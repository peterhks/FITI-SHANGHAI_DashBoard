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AN\Desktop\dashboard\"/>
    </mc:Choice>
  </mc:AlternateContent>
  <xr:revisionPtr revIDLastSave="0" documentId="13_ncr:1_{0694CF89-8780-4923-B80A-EC094BA2E549}" xr6:coauthVersionLast="47" xr6:coauthVersionMax="47" xr10:uidLastSave="{00000000-0000-0000-0000-000000000000}"/>
  <bookViews>
    <workbookView xWindow="-120" yWindow="-120" windowWidth="29040" windowHeight="15720" tabRatio="599" activeTab="3" xr2:uid="{326B3F25-1559-4B3F-A107-EBCA4864156E}"/>
  </bookViews>
  <sheets>
    <sheet name="global part1 " sheetId="11" r:id="rId1"/>
    <sheet name="global part2" sheetId="3" r:id="rId2"/>
    <sheet name="KC part" sheetId="18" r:id="rId3"/>
    <sheet name="GB part" sheetId="5" r:id="rId4"/>
    <sheet name="KC part (이랜드 각각)" sheetId="6" state="hidden" r:id="rId5"/>
    <sheet name="inspection (원단)" sheetId="14" r:id="rId6"/>
    <sheet name="inspection (가먼트)" sheetId="17" r:id="rId7"/>
    <sheet name="종합" sheetId="16" r:id="rId8"/>
  </sheets>
  <externalReferences>
    <externalReference r:id="rId9"/>
  </externalReferences>
  <definedNames>
    <definedName name="_xlnm._FilterDatabase" localSheetId="0" hidden="1">'global part1 '!$S$4:$W$6</definedName>
    <definedName name="_xlnm._FilterDatabase" localSheetId="4" hidden="1">'KC part (이랜드 각각)'!$A$1:$L$1087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4" i="5" l="1"/>
  <c r="AL5" i="17"/>
  <c r="AL6" i="17"/>
  <c r="AL7" i="17"/>
  <c r="AL8" i="17"/>
  <c r="AL9" i="17"/>
  <c r="AL10" i="17"/>
  <c r="AL11" i="17"/>
  <c r="AL12" i="17"/>
  <c r="AL13" i="17"/>
  <c r="AL14" i="17"/>
  <c r="AL15" i="17"/>
  <c r="AL16" i="17"/>
  <c r="AL17" i="17"/>
  <c r="AL18" i="17"/>
  <c r="AL19" i="17"/>
  <c r="AL20" i="17"/>
  <c r="AL21" i="17"/>
  <c r="AL22" i="17"/>
  <c r="AL23" i="17"/>
  <c r="AL24" i="17"/>
  <c r="AL25" i="17"/>
  <c r="AL26" i="17"/>
  <c r="AL27" i="17"/>
  <c r="AL28" i="17"/>
  <c r="AL29" i="17"/>
  <c r="AL30" i="17"/>
  <c r="AL31" i="17"/>
  <c r="AL32" i="17"/>
  <c r="AL33" i="17"/>
  <c r="AL34" i="17"/>
  <c r="AL35" i="17"/>
  <c r="AL36" i="17"/>
  <c r="AL37" i="17"/>
  <c r="AL38" i="17"/>
  <c r="AL39" i="17"/>
  <c r="AL40" i="17"/>
  <c r="AL41" i="17"/>
  <c r="AL42" i="17"/>
  <c r="AL43" i="17"/>
  <c r="AK5" i="17"/>
  <c r="AK6" i="17"/>
  <c r="AK7" i="17"/>
  <c r="AK8" i="17"/>
  <c r="AK9" i="17"/>
  <c r="AK10" i="17"/>
  <c r="AK11" i="17"/>
  <c r="AK12" i="17"/>
  <c r="AK13" i="17"/>
  <c r="AK14" i="17"/>
  <c r="AK15" i="17"/>
  <c r="AK16" i="17"/>
  <c r="AK17" i="17"/>
  <c r="AK18" i="17"/>
  <c r="AK19" i="17"/>
  <c r="AK20" i="17"/>
  <c r="AK21" i="17"/>
  <c r="AK22" i="17"/>
  <c r="AK23" i="17"/>
  <c r="AK24" i="17"/>
  <c r="AK25" i="17"/>
  <c r="AK26" i="17"/>
  <c r="AK27" i="17"/>
  <c r="AK28" i="17"/>
  <c r="AK29" i="17"/>
  <c r="AK30" i="17"/>
  <c r="AK31" i="17"/>
  <c r="AK32" i="17"/>
  <c r="AK33" i="17"/>
  <c r="AK34" i="17"/>
  <c r="AK35" i="17"/>
  <c r="AK36" i="17"/>
  <c r="AK37" i="17"/>
  <c r="AK38" i="17"/>
  <c r="AK39" i="17"/>
  <c r="AK40" i="17"/>
  <c r="AK41" i="17"/>
  <c r="AK42" i="17"/>
  <c r="AK43" i="17"/>
  <c r="D289" i="17"/>
  <c r="E289" i="17"/>
  <c r="F289" i="17"/>
  <c r="G289" i="17"/>
  <c r="H289" i="17"/>
  <c r="I289" i="17"/>
  <c r="J289" i="17"/>
  <c r="K289" i="17"/>
  <c r="L289" i="17"/>
  <c r="M289" i="17"/>
  <c r="N289" i="17"/>
  <c r="O289" i="17"/>
  <c r="R289" i="17"/>
  <c r="S289" i="17"/>
  <c r="T289" i="17"/>
  <c r="U289" i="17"/>
  <c r="V289" i="17"/>
  <c r="W289" i="17"/>
  <c r="X289" i="17"/>
  <c r="Y289" i="17"/>
  <c r="Z289" i="17"/>
  <c r="AA289" i="17"/>
  <c r="AB289" i="17"/>
  <c r="AC289" i="17"/>
  <c r="AM4" i="14"/>
  <c r="AM5" i="14"/>
  <c r="AM6" i="14"/>
  <c r="AM7" i="14"/>
  <c r="AM8" i="14"/>
  <c r="AL4" i="14"/>
  <c r="AL5" i="14"/>
  <c r="AL6" i="14"/>
  <c r="AL7" i="14"/>
  <c r="AL8" i="14"/>
  <c r="AG301" i="14"/>
  <c r="AG302" i="14"/>
  <c r="AG303" i="14"/>
  <c r="AG304" i="14"/>
  <c r="AG305" i="14"/>
  <c r="AG306" i="14"/>
  <c r="AG307" i="14"/>
  <c r="AG308" i="14"/>
  <c r="AG309" i="14"/>
  <c r="AG310" i="14"/>
  <c r="AG311" i="14"/>
  <c r="AG312" i="14"/>
  <c r="AG313" i="14"/>
  <c r="AG314" i="14"/>
  <c r="AG315" i="14"/>
  <c r="AG316" i="14"/>
  <c r="AG317" i="14"/>
  <c r="AG318" i="14"/>
  <c r="AG319" i="14"/>
  <c r="AG320" i="14"/>
  <c r="AG321" i="14"/>
  <c r="AG322" i="14"/>
  <c r="AG323" i="14"/>
  <c r="AG324" i="14"/>
  <c r="AG325" i="14"/>
  <c r="AG326" i="14"/>
  <c r="AG327" i="14"/>
  <c r="AG328" i="14"/>
  <c r="AG300" i="14"/>
  <c r="AG299" i="14"/>
  <c r="AG298" i="14"/>
  <c r="AG297" i="14"/>
  <c r="AG296" i="14"/>
  <c r="AG295" i="14"/>
  <c r="AG294" i="14"/>
  <c r="AG293" i="14"/>
  <c r="AG292" i="14"/>
  <c r="AG291" i="14"/>
  <c r="AG290" i="14"/>
  <c r="AG289" i="14"/>
  <c r="AG288" i="14"/>
  <c r="AG287" i="14"/>
  <c r="AG286" i="14"/>
  <c r="AG285" i="14"/>
  <c r="AG284" i="14"/>
  <c r="AG283" i="14"/>
  <c r="AG282" i="14"/>
  <c r="AG281" i="14"/>
  <c r="AG280" i="14"/>
  <c r="AG279" i="14"/>
  <c r="AG278" i="14"/>
  <c r="AG277" i="14"/>
  <c r="AG276" i="14"/>
  <c r="AG275" i="14"/>
  <c r="AG274" i="14"/>
  <c r="AG273" i="14"/>
  <c r="AG272" i="14"/>
  <c r="AG271" i="14"/>
  <c r="AG270" i="14"/>
  <c r="AG269" i="14"/>
  <c r="AG268" i="14"/>
  <c r="AG267" i="14"/>
  <c r="AG266" i="14"/>
  <c r="AG265" i="14"/>
  <c r="AG264" i="14"/>
  <c r="AG263" i="14"/>
  <c r="AG262" i="14"/>
  <c r="AG261" i="14"/>
  <c r="AG260" i="14"/>
  <c r="AG259" i="14"/>
  <c r="AG258" i="14"/>
  <c r="AG257" i="14"/>
  <c r="AG256" i="14"/>
  <c r="AG255" i="14"/>
  <c r="AG254" i="14"/>
  <c r="AG253" i="14"/>
  <c r="AG252" i="14"/>
  <c r="AG251" i="14"/>
  <c r="AG250" i="14"/>
  <c r="AG249" i="14"/>
  <c r="AG248" i="14"/>
  <c r="AG247" i="14"/>
  <c r="AG246" i="14"/>
  <c r="AG245" i="14"/>
  <c r="AG244" i="14"/>
  <c r="AG243" i="14"/>
  <c r="AG242" i="14"/>
  <c r="AG241" i="14"/>
  <c r="AG240" i="14"/>
  <c r="AG239" i="14"/>
  <c r="AG238" i="14"/>
  <c r="AG237" i="14"/>
  <c r="AG236" i="14"/>
  <c r="AG235" i="14"/>
  <c r="AG234" i="14"/>
  <c r="AG233" i="14"/>
  <c r="AG232" i="14"/>
  <c r="AG231" i="14"/>
  <c r="AG230" i="14"/>
  <c r="AG229" i="14"/>
  <c r="AG228" i="14"/>
  <c r="AG227" i="14"/>
  <c r="AG226" i="14"/>
  <c r="AG225" i="14"/>
  <c r="AG224" i="14"/>
  <c r="AG223" i="14"/>
  <c r="AG222" i="14"/>
  <c r="AG221" i="14"/>
  <c r="AG220" i="14"/>
  <c r="AG219" i="14"/>
  <c r="AG218" i="14"/>
  <c r="AG217" i="14"/>
  <c r="AG216" i="14"/>
  <c r="AG215" i="14"/>
  <c r="AG214" i="14"/>
  <c r="AG213" i="14"/>
  <c r="AG212" i="14"/>
  <c r="AG211" i="14"/>
  <c r="AG210" i="14"/>
  <c r="AG209" i="14"/>
  <c r="AG208" i="14"/>
  <c r="AG207" i="14"/>
  <c r="AG206" i="14"/>
  <c r="AG205" i="14"/>
  <c r="AG204" i="14"/>
  <c r="AG203" i="14"/>
  <c r="AG202" i="14"/>
  <c r="AG201" i="14"/>
  <c r="AG200" i="14"/>
  <c r="AG199" i="14"/>
  <c r="AG198" i="14"/>
  <c r="AG197" i="14"/>
  <c r="AG196" i="14"/>
  <c r="AG195" i="14"/>
  <c r="AG194" i="14"/>
  <c r="AG193" i="14"/>
  <c r="AG192" i="14"/>
  <c r="AG191" i="14"/>
  <c r="AG190" i="14"/>
  <c r="AG189" i="14"/>
  <c r="AG188" i="14"/>
  <c r="AG187" i="14"/>
  <c r="AG186" i="14"/>
  <c r="AG185" i="14"/>
  <c r="AG184" i="14"/>
  <c r="AG183" i="14"/>
  <c r="AG182" i="14"/>
  <c r="AG181" i="14"/>
  <c r="AG180" i="14"/>
  <c r="AG179" i="14"/>
  <c r="AG178" i="14"/>
  <c r="AG177" i="14"/>
  <c r="AG176" i="14"/>
  <c r="AG175" i="14"/>
  <c r="AG174" i="14"/>
  <c r="AG173" i="14"/>
  <c r="AG172" i="14"/>
  <c r="AG171" i="14"/>
  <c r="AG170" i="14"/>
  <c r="AG169" i="14"/>
  <c r="AG168" i="14"/>
  <c r="AG167" i="14"/>
  <c r="AG166" i="14"/>
  <c r="AG165" i="14"/>
  <c r="AG164" i="14"/>
  <c r="AG163" i="14"/>
  <c r="AG162" i="14"/>
  <c r="AG161" i="14"/>
  <c r="AG160" i="14"/>
  <c r="AG159" i="14"/>
  <c r="AG158" i="14"/>
  <c r="AG157" i="14"/>
  <c r="AG156" i="14"/>
  <c r="AG155" i="14"/>
  <c r="AG154" i="14"/>
  <c r="AG153" i="14"/>
  <c r="AG152" i="14"/>
  <c r="AG151" i="14"/>
  <c r="AG150" i="14"/>
  <c r="AG149" i="14"/>
  <c r="AG148" i="14"/>
  <c r="AG147" i="14"/>
  <c r="AG146" i="14"/>
  <c r="AG145" i="14"/>
  <c r="AG144" i="14"/>
  <c r="AG143" i="14"/>
  <c r="AG142" i="14"/>
  <c r="AG141" i="14"/>
  <c r="AG140" i="14"/>
  <c r="AG139" i="14"/>
  <c r="AG138" i="14"/>
  <c r="AG137" i="14"/>
  <c r="AG136" i="14"/>
  <c r="AG135" i="14"/>
  <c r="AG134" i="14"/>
  <c r="AG133" i="14"/>
  <c r="AG132" i="14"/>
  <c r="AG131" i="14"/>
  <c r="AG130" i="14"/>
  <c r="AG129" i="14"/>
  <c r="AG128" i="14"/>
  <c r="AG127" i="14"/>
  <c r="AG126" i="14"/>
  <c r="AG125" i="14"/>
  <c r="AG124" i="14"/>
  <c r="AG123" i="14"/>
  <c r="AG122" i="14"/>
  <c r="AG121" i="14"/>
  <c r="AG120" i="14"/>
  <c r="AG119" i="14"/>
  <c r="AG118" i="14"/>
  <c r="AG117" i="14"/>
  <c r="AG116" i="14"/>
  <c r="AG115" i="14"/>
  <c r="AG114" i="14"/>
  <c r="AG113" i="14"/>
  <c r="AG112" i="14"/>
  <c r="AG111" i="14"/>
  <c r="AG110" i="14"/>
  <c r="AG109" i="14"/>
  <c r="AG108" i="14"/>
  <c r="AG107" i="14"/>
  <c r="AG106" i="14"/>
  <c r="AG105" i="14"/>
  <c r="AG104" i="14"/>
  <c r="AG103" i="14"/>
  <c r="AG102" i="14"/>
  <c r="AG101" i="14"/>
  <c r="AG100" i="14"/>
  <c r="AG99" i="14"/>
  <c r="AG98" i="14"/>
  <c r="AG97" i="14"/>
  <c r="AG96" i="14"/>
  <c r="AG95" i="14"/>
  <c r="AG94" i="14"/>
  <c r="AG93" i="14"/>
  <c r="AG92" i="14"/>
  <c r="AG91" i="14"/>
  <c r="AG90" i="14"/>
  <c r="AG89" i="14"/>
  <c r="AG88" i="14"/>
  <c r="AG87" i="14"/>
  <c r="AG86" i="14"/>
  <c r="AG85" i="14"/>
  <c r="AG84" i="14"/>
  <c r="AG83" i="14"/>
  <c r="AG82" i="14"/>
  <c r="AG81" i="14"/>
  <c r="AG80" i="14"/>
  <c r="AG79" i="14"/>
  <c r="AG78" i="14"/>
  <c r="AG4" i="14"/>
  <c r="AG5" i="14"/>
  <c r="AG6" i="14"/>
  <c r="AG7" i="14"/>
  <c r="AG8" i="14"/>
  <c r="AG9" i="14"/>
  <c r="AG10" i="14"/>
  <c r="AG11" i="14"/>
  <c r="AG12" i="14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43" i="14"/>
  <c r="AG44" i="14"/>
  <c r="AG45" i="14"/>
  <c r="AG46" i="14"/>
  <c r="AG47" i="14"/>
  <c r="AG48" i="14"/>
  <c r="AG49" i="14"/>
  <c r="AG50" i="14"/>
  <c r="AG51" i="14"/>
  <c r="AG52" i="14"/>
  <c r="AG53" i="14"/>
  <c r="AG54" i="14"/>
  <c r="AG55" i="14"/>
  <c r="AG56" i="14"/>
  <c r="AG57" i="14"/>
  <c r="AG58" i="14"/>
  <c r="AG59" i="14"/>
  <c r="AG60" i="14"/>
  <c r="AG61" i="14"/>
  <c r="AG62" i="14"/>
  <c r="AG63" i="14"/>
  <c r="AG64" i="14"/>
  <c r="AG65" i="14"/>
  <c r="AG66" i="14"/>
  <c r="AG67" i="14"/>
  <c r="AG68" i="14"/>
  <c r="AG69" i="14"/>
  <c r="AG70" i="14"/>
  <c r="AG71" i="14"/>
  <c r="AG72" i="14"/>
  <c r="AG73" i="14"/>
  <c r="AG74" i="14"/>
  <c r="AG75" i="14"/>
  <c r="AG76" i="14"/>
  <c r="AG77" i="14"/>
  <c r="AG3" i="14"/>
  <c r="AG2" i="14"/>
  <c r="AD2" i="14"/>
  <c r="D329" i="14"/>
  <c r="E329" i="14"/>
  <c r="F329" i="14"/>
  <c r="G329" i="14"/>
  <c r="H329" i="14"/>
  <c r="I329" i="14"/>
  <c r="J329" i="14"/>
  <c r="K329" i="14"/>
  <c r="L329" i="14"/>
  <c r="M329" i="14"/>
  <c r="N329" i="14"/>
  <c r="O329" i="14"/>
  <c r="P329" i="14"/>
  <c r="Q329" i="14"/>
  <c r="R329" i="14"/>
  <c r="S329" i="14"/>
  <c r="T329" i="14"/>
  <c r="U329" i="14"/>
  <c r="V329" i="14"/>
  <c r="W329" i="14"/>
  <c r="X329" i="14"/>
  <c r="Y329" i="14"/>
  <c r="Z329" i="14"/>
  <c r="AA329" i="14"/>
  <c r="AB329" i="14"/>
  <c r="AC329" i="14"/>
  <c r="AD329" i="14"/>
  <c r="AL5" i="5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AK5" i="5"/>
  <c r="AK6" i="5"/>
  <c r="AK7" i="5"/>
  <c r="AK8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F529" i="5"/>
  <c r="AF530" i="5"/>
  <c r="AF531" i="5"/>
  <c r="AF532" i="5"/>
  <c r="AF533" i="5"/>
  <c r="AF534" i="5"/>
  <c r="AF535" i="5"/>
  <c r="AF536" i="5"/>
  <c r="AF537" i="5"/>
  <c r="AF538" i="5"/>
  <c r="AF539" i="5"/>
  <c r="AF540" i="5"/>
  <c r="AF541" i="5"/>
  <c r="AF542" i="5"/>
  <c r="AF543" i="5"/>
  <c r="AF544" i="5"/>
  <c r="AF545" i="5"/>
  <c r="AF546" i="5"/>
  <c r="AF547" i="5"/>
  <c r="AF548" i="5"/>
  <c r="AF549" i="5"/>
  <c r="AF550" i="5"/>
  <c r="AF551" i="5"/>
  <c r="AF552" i="5"/>
  <c r="AF553" i="5"/>
  <c r="AF554" i="5"/>
  <c r="AF555" i="5"/>
  <c r="AF556" i="5"/>
  <c r="AF557" i="5"/>
  <c r="AF558" i="5"/>
  <c r="AF559" i="5"/>
  <c r="AF560" i="5"/>
  <c r="AF561" i="5"/>
  <c r="AF562" i="5"/>
  <c r="AF563" i="5"/>
  <c r="AF564" i="5"/>
  <c r="AF565" i="5"/>
  <c r="AF566" i="5"/>
  <c r="AF567" i="5"/>
  <c r="AF568" i="5"/>
  <c r="AF569" i="5"/>
  <c r="AF570" i="5"/>
  <c r="AF571" i="5"/>
  <c r="AF572" i="5"/>
  <c r="AF573" i="5"/>
  <c r="AF574" i="5"/>
  <c r="AF575" i="5"/>
  <c r="AF576" i="5"/>
  <c r="AF577" i="5"/>
  <c r="AF578" i="5"/>
  <c r="AF579" i="5"/>
  <c r="AF580" i="5"/>
  <c r="AF581" i="5"/>
  <c r="AF582" i="5"/>
  <c r="AF583" i="5"/>
  <c r="AF584" i="5"/>
  <c r="AF585" i="5"/>
  <c r="AF586" i="5"/>
  <c r="AF587" i="5"/>
  <c r="AF588" i="5"/>
  <c r="AF589" i="5"/>
  <c r="AF590" i="5"/>
  <c r="AF591" i="5"/>
  <c r="AF592" i="5"/>
  <c r="AF593" i="5"/>
  <c r="AF594" i="5"/>
  <c r="AF595" i="5"/>
  <c r="AF596" i="5"/>
  <c r="AF597" i="5"/>
  <c r="AF598" i="5"/>
  <c r="AF599" i="5"/>
  <c r="AF600" i="5"/>
  <c r="AF601" i="5"/>
  <c r="AF602" i="5"/>
  <c r="AF603" i="5"/>
  <c r="AF604" i="5"/>
  <c r="AF605" i="5"/>
  <c r="AF606" i="5"/>
  <c r="AF607" i="5"/>
  <c r="AF608" i="5"/>
  <c r="AF609" i="5"/>
  <c r="AF610" i="5"/>
  <c r="AF611" i="5"/>
  <c r="AF612" i="5"/>
  <c r="AF613" i="5"/>
  <c r="AF614" i="5"/>
  <c r="AF615" i="5"/>
  <c r="AF616" i="5"/>
  <c r="AF617" i="5"/>
  <c r="AF618" i="5"/>
  <c r="AF619" i="5"/>
  <c r="AF620" i="5"/>
  <c r="AF621" i="5"/>
  <c r="AF622" i="5"/>
  <c r="AF623" i="5"/>
  <c r="AF624" i="5"/>
  <c r="AF625" i="5"/>
  <c r="AF626" i="5"/>
  <c r="AF627" i="5"/>
  <c r="AF628" i="5"/>
  <c r="AF629" i="5"/>
  <c r="AF630" i="5"/>
  <c r="AF631" i="5"/>
  <c r="AF632" i="5"/>
  <c r="AF633" i="5"/>
  <c r="AF634" i="5"/>
  <c r="AF635" i="5"/>
  <c r="AF636" i="5"/>
  <c r="AF637" i="5"/>
  <c r="AF638" i="5"/>
  <c r="AF639" i="5"/>
  <c r="AF640" i="5"/>
  <c r="AF641" i="5"/>
  <c r="AF642" i="5"/>
  <c r="AF643" i="5"/>
  <c r="AF644" i="5"/>
  <c r="AF645" i="5"/>
  <c r="AF646" i="5"/>
  <c r="AF647" i="5"/>
  <c r="AF648" i="5"/>
  <c r="AF649" i="5"/>
  <c r="AF650" i="5"/>
  <c r="AF651" i="5"/>
  <c r="AF652" i="5"/>
  <c r="AF653" i="5"/>
  <c r="AF654" i="5"/>
  <c r="AF655" i="5"/>
  <c r="AF656" i="5"/>
  <c r="AF657" i="5"/>
  <c r="AF658" i="5"/>
  <c r="AF659" i="5"/>
  <c r="AF660" i="5"/>
  <c r="AF661" i="5"/>
  <c r="AF662" i="5"/>
  <c r="AF663" i="5"/>
  <c r="AF664" i="5"/>
  <c r="AF665" i="5"/>
  <c r="AF666" i="5"/>
  <c r="AF667" i="5"/>
  <c r="AF668" i="5"/>
  <c r="AF669" i="5"/>
  <c r="AF670" i="5"/>
  <c r="AF671" i="5"/>
  <c r="AF672" i="5"/>
  <c r="AF673" i="5"/>
  <c r="AF674" i="5"/>
  <c r="AF675" i="5"/>
  <c r="AF676" i="5"/>
  <c r="AF677" i="5"/>
  <c r="AF528" i="5"/>
  <c r="AF527" i="5"/>
  <c r="AF526" i="5"/>
  <c r="AF525" i="5"/>
  <c r="AF524" i="5"/>
  <c r="AF523" i="5"/>
  <c r="AF522" i="5"/>
  <c r="AF521" i="5"/>
  <c r="AF520" i="5"/>
  <c r="AF519" i="5"/>
  <c r="AF518" i="5"/>
  <c r="AF517" i="5"/>
  <c r="AF516" i="5"/>
  <c r="AF515" i="5"/>
  <c r="AF514" i="5"/>
  <c r="AF513" i="5"/>
  <c r="AF512" i="5"/>
  <c r="AF511" i="5"/>
  <c r="AF510" i="5"/>
  <c r="AF509" i="5"/>
  <c r="AF508" i="5"/>
  <c r="AF507" i="5"/>
  <c r="AF506" i="5"/>
  <c r="AF505" i="5"/>
  <c r="AF504" i="5"/>
  <c r="AF503" i="5"/>
  <c r="AF502" i="5"/>
  <c r="AF501" i="5"/>
  <c r="AF500" i="5"/>
  <c r="AF499" i="5"/>
  <c r="AF498" i="5"/>
  <c r="AF497" i="5"/>
  <c r="AF496" i="5"/>
  <c r="AF495" i="5"/>
  <c r="AF494" i="5"/>
  <c r="AF493" i="5"/>
  <c r="AF492" i="5"/>
  <c r="AF491" i="5"/>
  <c r="AF490" i="5"/>
  <c r="AF489" i="5"/>
  <c r="AF488" i="5"/>
  <c r="AF487" i="5"/>
  <c r="AF486" i="5"/>
  <c r="AF485" i="5"/>
  <c r="AF484" i="5"/>
  <c r="AF483" i="5"/>
  <c r="AF482" i="5"/>
  <c r="AF481" i="5"/>
  <c r="AF480" i="5"/>
  <c r="AF479" i="5"/>
  <c r="AF478" i="5"/>
  <c r="AF477" i="5"/>
  <c r="AF476" i="5"/>
  <c r="AF475" i="5"/>
  <c r="AF474" i="5"/>
  <c r="AF473" i="5"/>
  <c r="AF472" i="5"/>
  <c r="AF471" i="5"/>
  <c r="AF470" i="5"/>
  <c r="AF469" i="5"/>
  <c r="AF468" i="5"/>
  <c r="AF467" i="5"/>
  <c r="AF466" i="5"/>
  <c r="AF465" i="5"/>
  <c r="AF464" i="5"/>
  <c r="AF463" i="5"/>
  <c r="AF462" i="5"/>
  <c r="AF461" i="5"/>
  <c r="AF460" i="5"/>
  <c r="AF459" i="5"/>
  <c r="AF458" i="5"/>
  <c r="AF457" i="5"/>
  <c r="AF456" i="5"/>
  <c r="AF455" i="5"/>
  <c r="AF454" i="5"/>
  <c r="AF453" i="5"/>
  <c r="AF452" i="5"/>
  <c r="AF451" i="5"/>
  <c r="AF450" i="5"/>
  <c r="AF449" i="5"/>
  <c r="AF448" i="5"/>
  <c r="AF447" i="5"/>
  <c r="AF446" i="5"/>
  <c r="AF445" i="5"/>
  <c r="AF444" i="5"/>
  <c r="AF443" i="5"/>
  <c r="AF442" i="5"/>
  <c r="AF441" i="5"/>
  <c r="AF440" i="5"/>
  <c r="AF439" i="5"/>
  <c r="AF438" i="5"/>
  <c r="AF437" i="5"/>
  <c r="AF436" i="5"/>
  <c r="AF435" i="5"/>
  <c r="AF434" i="5"/>
  <c r="AF433" i="5"/>
  <c r="AF432" i="5"/>
  <c r="AF431" i="5"/>
  <c r="AF430" i="5"/>
  <c r="AF429" i="5"/>
  <c r="AF428" i="5"/>
  <c r="AF427" i="5"/>
  <c r="AF426" i="5"/>
  <c r="AF425" i="5"/>
  <c r="AF424" i="5"/>
  <c r="AF423" i="5"/>
  <c r="AF422" i="5"/>
  <c r="AF421" i="5"/>
  <c r="AF420" i="5"/>
  <c r="AF419" i="5"/>
  <c r="AF418" i="5"/>
  <c r="AF417" i="5"/>
  <c r="AF416" i="5"/>
  <c r="AF415" i="5"/>
  <c r="AF414" i="5"/>
  <c r="AF413" i="5"/>
  <c r="AF412" i="5"/>
  <c r="AF411" i="5"/>
  <c r="AF410" i="5"/>
  <c r="AF409" i="5"/>
  <c r="AF408" i="5"/>
  <c r="AF407" i="5"/>
  <c r="AF406" i="5"/>
  <c r="AF405" i="5"/>
  <c r="AF404" i="5"/>
  <c r="AF403" i="5"/>
  <c r="AF402" i="5"/>
  <c r="AF401" i="5"/>
  <c r="AF400" i="5"/>
  <c r="AF399" i="5"/>
  <c r="AF398" i="5"/>
  <c r="AF397" i="5"/>
  <c r="AF396" i="5"/>
  <c r="AF395" i="5"/>
  <c r="AF394" i="5"/>
  <c r="AF393" i="5"/>
  <c r="AF392" i="5"/>
  <c r="AF391" i="5"/>
  <c r="AF390" i="5"/>
  <c r="AF389" i="5"/>
  <c r="AF388" i="5"/>
  <c r="AF387" i="5"/>
  <c r="AF386" i="5"/>
  <c r="AF385" i="5"/>
  <c r="AF384" i="5"/>
  <c r="AF383" i="5"/>
  <c r="AF382" i="5"/>
  <c r="AF381" i="5"/>
  <c r="AF380" i="5"/>
  <c r="AF379" i="5"/>
  <c r="AF378" i="5"/>
  <c r="AF377" i="5"/>
  <c r="AF376" i="5"/>
  <c r="AF375" i="5"/>
  <c r="AF374" i="5"/>
  <c r="AF373" i="5"/>
  <c r="AF372" i="5"/>
  <c r="AF371" i="5"/>
  <c r="AF370" i="5"/>
  <c r="AF369" i="5"/>
  <c r="AF368" i="5"/>
  <c r="AF367" i="5"/>
  <c r="AF366" i="5"/>
  <c r="AF365" i="5"/>
  <c r="AF364" i="5"/>
  <c r="AF363" i="5"/>
  <c r="AF362" i="5"/>
  <c r="AF361" i="5"/>
  <c r="AF360" i="5"/>
  <c r="AF359" i="5"/>
  <c r="AF358" i="5"/>
  <c r="AF357" i="5"/>
  <c r="AF356" i="5"/>
  <c r="AF355" i="5"/>
  <c r="AF354" i="5"/>
  <c r="AF353" i="5"/>
  <c r="AF352" i="5"/>
  <c r="AF351" i="5"/>
  <c r="AF350" i="5"/>
  <c r="AF349" i="5"/>
  <c r="AF348" i="5"/>
  <c r="AF347" i="5"/>
  <c r="AF346" i="5"/>
  <c r="AF345" i="5"/>
  <c r="AF344" i="5"/>
  <c r="AF343" i="5"/>
  <c r="AF342" i="5"/>
  <c r="AF341" i="5"/>
  <c r="AF340" i="5"/>
  <c r="AF339" i="5"/>
  <c r="AF338" i="5"/>
  <c r="AF337" i="5"/>
  <c r="AF336" i="5"/>
  <c r="AF335" i="5"/>
  <c r="AF334" i="5"/>
  <c r="AF333" i="5"/>
  <c r="AF332" i="5"/>
  <c r="AF331" i="5"/>
  <c r="AF330" i="5"/>
  <c r="AF329" i="5"/>
  <c r="AF328" i="5"/>
  <c r="AF327" i="5"/>
  <c r="AF326" i="5"/>
  <c r="AF325" i="5"/>
  <c r="AF324" i="5"/>
  <c r="AF323" i="5"/>
  <c r="AF322" i="5"/>
  <c r="AF321" i="5"/>
  <c r="AF320" i="5"/>
  <c r="AF319" i="5"/>
  <c r="AF318" i="5"/>
  <c r="AF317" i="5"/>
  <c r="AF316" i="5"/>
  <c r="AF315" i="5"/>
  <c r="AF314" i="5"/>
  <c r="AF313" i="5"/>
  <c r="AF312" i="5"/>
  <c r="AF311" i="5"/>
  <c r="AF310" i="5"/>
  <c r="AF309" i="5"/>
  <c r="AF308" i="5"/>
  <c r="AF307" i="5"/>
  <c r="AF306" i="5"/>
  <c r="AF305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2" i="5"/>
  <c r="D678" i="5"/>
  <c r="E678" i="5"/>
  <c r="F678" i="5"/>
  <c r="G678" i="5"/>
  <c r="H678" i="5"/>
  <c r="I678" i="5"/>
  <c r="J678" i="5"/>
  <c r="K678" i="5"/>
  <c r="L678" i="5"/>
  <c r="M678" i="5"/>
  <c r="N678" i="5"/>
  <c r="O678" i="5"/>
  <c r="P678" i="5"/>
  <c r="Q678" i="5"/>
  <c r="R678" i="5"/>
  <c r="S678" i="5"/>
  <c r="T678" i="5"/>
  <c r="U678" i="5"/>
  <c r="V678" i="5"/>
  <c r="W678" i="5"/>
  <c r="X678" i="5"/>
  <c r="Y678" i="5"/>
  <c r="Z678" i="5"/>
  <c r="AA678" i="5"/>
  <c r="AB678" i="5"/>
  <c r="AC678" i="5"/>
  <c r="AD678" i="5"/>
  <c r="AL4" i="18"/>
  <c r="AL5" i="18"/>
  <c r="AL6" i="18"/>
  <c r="AL7" i="18"/>
  <c r="AL8" i="18"/>
  <c r="AL9" i="18"/>
  <c r="AL10" i="18"/>
  <c r="AL11" i="18"/>
  <c r="AL12" i="18"/>
  <c r="AL13" i="18"/>
  <c r="AL14" i="18"/>
  <c r="AL15" i="18"/>
  <c r="AL16" i="18"/>
  <c r="AL17" i="18"/>
  <c r="AL18" i="18"/>
  <c r="AL19" i="18"/>
  <c r="AL20" i="18"/>
  <c r="AL21" i="18"/>
  <c r="AL22" i="18"/>
  <c r="AL23" i="18"/>
  <c r="AL24" i="18"/>
  <c r="AL25" i="18"/>
  <c r="AL26" i="18"/>
  <c r="AL27" i="18"/>
  <c r="AL28" i="18"/>
  <c r="AL29" i="18"/>
  <c r="AL30" i="18"/>
  <c r="AL31" i="18"/>
  <c r="AL32" i="18"/>
  <c r="AL33" i="18"/>
  <c r="AL34" i="18"/>
  <c r="AL35" i="18"/>
  <c r="AL36" i="18"/>
  <c r="AL37" i="18"/>
  <c r="AL38" i="18"/>
  <c r="AL39" i="18"/>
  <c r="AL40" i="18"/>
  <c r="AL41" i="18"/>
  <c r="AL42" i="18"/>
  <c r="AL43" i="18"/>
  <c r="AL44" i="18"/>
  <c r="AL45" i="18"/>
  <c r="AL46" i="18"/>
  <c r="AL47" i="18"/>
  <c r="AL48" i="18"/>
  <c r="AL49" i="18"/>
  <c r="AL50" i="18"/>
  <c r="AL51" i="18"/>
  <c r="AL52" i="18"/>
  <c r="AL53" i="18"/>
  <c r="AL54" i="18"/>
  <c r="AL55" i="18"/>
  <c r="AL56" i="18"/>
  <c r="AL57" i="18"/>
  <c r="AL58" i="18"/>
  <c r="AL59" i="18"/>
  <c r="AL60" i="18"/>
  <c r="AL61" i="18"/>
  <c r="AL62" i="18"/>
  <c r="AL63" i="18"/>
  <c r="AL64" i="18"/>
  <c r="AL65" i="18"/>
  <c r="AL66" i="18"/>
  <c r="AL67" i="18"/>
  <c r="AL68" i="18"/>
  <c r="AL69" i="18"/>
  <c r="AL70" i="18"/>
  <c r="AL71" i="18"/>
  <c r="AL72" i="18"/>
  <c r="AL73" i="18"/>
  <c r="AL74" i="18"/>
  <c r="AL75" i="18"/>
  <c r="AL76" i="18"/>
  <c r="AL77" i="18"/>
  <c r="AL78" i="18"/>
  <c r="AL79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F1600" i="18"/>
  <c r="AF1601" i="18"/>
  <c r="AF1602" i="18"/>
  <c r="AF1603" i="18"/>
  <c r="AF1604" i="18"/>
  <c r="AF1605" i="18"/>
  <c r="AF1606" i="18"/>
  <c r="AF1607" i="18"/>
  <c r="AF1608" i="18"/>
  <c r="AF1609" i="18"/>
  <c r="AF1610" i="18"/>
  <c r="AF1611" i="18"/>
  <c r="AF1612" i="18"/>
  <c r="AF1613" i="18"/>
  <c r="AF1614" i="18"/>
  <c r="AF1615" i="18"/>
  <c r="AF1616" i="18"/>
  <c r="AF1617" i="18"/>
  <c r="AF1618" i="18"/>
  <c r="AF1619" i="18"/>
  <c r="AF1620" i="18"/>
  <c r="AF1621" i="18"/>
  <c r="AF1622" i="18"/>
  <c r="AF1623" i="18"/>
  <c r="AF1624" i="18"/>
  <c r="AF1625" i="18"/>
  <c r="AF1626" i="18"/>
  <c r="AF1627" i="18"/>
  <c r="AF1628" i="18"/>
  <c r="AF1629" i="18"/>
  <c r="AF1630" i="18"/>
  <c r="AF1631" i="18"/>
  <c r="AF1632" i="18"/>
  <c r="AF1633" i="18"/>
  <c r="AF1634" i="18"/>
  <c r="AF1635" i="18"/>
  <c r="AF1636" i="18"/>
  <c r="AF1637" i="18"/>
  <c r="AF1638" i="18"/>
  <c r="AF1639" i="18"/>
  <c r="AF1640" i="18"/>
  <c r="AF1641" i="18"/>
  <c r="AF1642" i="18"/>
  <c r="AF1643" i="18"/>
  <c r="AF1644" i="18"/>
  <c r="AF1645" i="18"/>
  <c r="AF1646" i="18"/>
  <c r="AF1647" i="18"/>
  <c r="AF1648" i="18"/>
  <c r="AF1649" i="18"/>
  <c r="AF1650" i="18"/>
  <c r="AF1651" i="18"/>
  <c r="AF1652" i="18"/>
  <c r="AF1653" i="18"/>
  <c r="AF1654" i="18"/>
  <c r="AF1655" i="18"/>
  <c r="AF1656" i="18"/>
  <c r="AF1657" i="18"/>
  <c r="AF1658" i="18"/>
  <c r="AF1659" i="18"/>
  <c r="AF1660" i="18"/>
  <c r="AF1661" i="18"/>
  <c r="AF1662" i="18"/>
  <c r="AF1663" i="18"/>
  <c r="AF1664" i="18"/>
  <c r="AF1665" i="18"/>
  <c r="AF1666" i="18"/>
  <c r="AF1667" i="18"/>
  <c r="AF1668" i="18"/>
  <c r="AF1669" i="18"/>
  <c r="AF1670" i="18"/>
  <c r="AF1671" i="18"/>
  <c r="AF1672" i="18"/>
  <c r="AF1673" i="18"/>
  <c r="AF1674" i="18"/>
  <c r="AF1675" i="18"/>
  <c r="AF1676" i="18"/>
  <c r="AF1677" i="18"/>
  <c r="AF1678" i="18"/>
  <c r="AF1679" i="18"/>
  <c r="AF1680" i="18"/>
  <c r="AF1681" i="18"/>
  <c r="AF1682" i="18"/>
  <c r="AF1683" i="18"/>
  <c r="AF1684" i="18"/>
  <c r="AF1685" i="18"/>
  <c r="AF1686" i="18"/>
  <c r="AF1687" i="18"/>
  <c r="AF1688" i="18"/>
  <c r="AF1689" i="18"/>
  <c r="AF1690" i="18"/>
  <c r="AF1691" i="18"/>
  <c r="AF1692" i="18"/>
  <c r="AF1693" i="18"/>
  <c r="AF1694" i="18"/>
  <c r="AF1695" i="18"/>
  <c r="AF1696" i="18"/>
  <c r="AF1697" i="18"/>
  <c r="AF1698" i="18"/>
  <c r="AF1699" i="18"/>
  <c r="AF1700" i="18"/>
  <c r="AF1701" i="18"/>
  <c r="AF1702" i="18"/>
  <c r="AF1703" i="18"/>
  <c r="AF1704" i="18"/>
  <c r="AF1705" i="18"/>
  <c r="AF1706" i="18"/>
  <c r="AF1707" i="18"/>
  <c r="AF1708" i="18"/>
  <c r="AF1709" i="18"/>
  <c r="AF1710" i="18"/>
  <c r="AF1711" i="18"/>
  <c r="AF1712" i="18"/>
  <c r="AF1713" i="18"/>
  <c r="AF1714" i="18"/>
  <c r="AF1715" i="18"/>
  <c r="AF1716" i="18"/>
  <c r="AF1717" i="18"/>
  <c r="AF1718" i="18"/>
  <c r="AF1719" i="18"/>
  <c r="AF1720" i="18"/>
  <c r="AF1721" i="18"/>
  <c r="AF1722" i="18"/>
  <c r="AF1723" i="18"/>
  <c r="AF1724" i="18"/>
  <c r="AF1725" i="18"/>
  <c r="AF1726" i="18"/>
  <c r="AF1727" i="18"/>
  <c r="AF1728" i="18"/>
  <c r="AF1729" i="18"/>
  <c r="AF1730" i="18"/>
  <c r="AF1731" i="18"/>
  <c r="AF1732" i="18"/>
  <c r="AF1733" i="18"/>
  <c r="AF1734" i="18"/>
  <c r="AF1735" i="18"/>
  <c r="AF1736" i="18"/>
  <c r="AF1737" i="18"/>
  <c r="AF1738" i="18"/>
  <c r="AF1739" i="18"/>
  <c r="AF1740" i="18"/>
  <c r="AF1741" i="18"/>
  <c r="AF1742" i="18"/>
  <c r="AF1743" i="18"/>
  <c r="AF1744" i="18"/>
  <c r="AF1745" i="18"/>
  <c r="AF1746" i="18"/>
  <c r="AF1747" i="18"/>
  <c r="AF1748" i="18"/>
  <c r="AF1749" i="18"/>
  <c r="AF1750" i="18"/>
  <c r="AF1751" i="18"/>
  <c r="AF1752" i="18"/>
  <c r="AF1753" i="18"/>
  <c r="AF1754" i="18"/>
  <c r="AF1755" i="18"/>
  <c r="AF1756" i="18"/>
  <c r="AF1757" i="18"/>
  <c r="AF1758" i="18"/>
  <c r="AF1759" i="18"/>
  <c r="AF1760" i="18"/>
  <c r="AF1761" i="18"/>
  <c r="AF1762" i="18"/>
  <c r="AF1763" i="18"/>
  <c r="AF1764" i="18"/>
  <c r="AF1765" i="18"/>
  <c r="AF1766" i="18"/>
  <c r="AF1767" i="18"/>
  <c r="AF1768" i="18"/>
  <c r="AF1769" i="18"/>
  <c r="AF1770" i="18"/>
  <c r="AF1771" i="18"/>
  <c r="AF1772" i="18"/>
  <c r="AF1773" i="18"/>
  <c r="AF1774" i="18"/>
  <c r="AF1775" i="18"/>
  <c r="AF1776" i="18"/>
  <c r="AF1777" i="18"/>
  <c r="AF1778" i="18"/>
  <c r="AF1779" i="18"/>
  <c r="AF1780" i="18"/>
  <c r="AF1781" i="18"/>
  <c r="AF1782" i="18"/>
  <c r="AF1783" i="18"/>
  <c r="AF1784" i="18"/>
  <c r="AF1785" i="18"/>
  <c r="AF1786" i="18"/>
  <c r="AF1787" i="18"/>
  <c r="AF1788" i="18"/>
  <c r="AF1789" i="18"/>
  <c r="AF1790" i="18"/>
  <c r="AF1791" i="18"/>
  <c r="AF1792" i="18"/>
  <c r="AF1793" i="18"/>
  <c r="AF1794" i="18"/>
  <c r="AF1795" i="18"/>
  <c r="AF1796" i="18"/>
  <c r="AF1797" i="18"/>
  <c r="AF1798" i="18"/>
  <c r="AF1799" i="18"/>
  <c r="AF1800" i="18"/>
  <c r="AF1801" i="18"/>
  <c r="AF1802" i="18"/>
  <c r="AF1803" i="18"/>
  <c r="AF1804" i="18"/>
  <c r="AF1805" i="18"/>
  <c r="AF1806" i="18"/>
  <c r="AF1807" i="18"/>
  <c r="AF1808" i="18"/>
  <c r="AF1809" i="18"/>
  <c r="AF1810" i="18"/>
  <c r="AF1811" i="18"/>
  <c r="AF1812" i="18"/>
  <c r="AF1813" i="18"/>
  <c r="AF1814" i="18"/>
  <c r="AF1815" i="18"/>
  <c r="AF1816" i="18"/>
  <c r="AF1817" i="18"/>
  <c r="AF1818" i="18"/>
  <c r="AF1819" i="18"/>
  <c r="AF1820" i="18"/>
  <c r="AF1821" i="18"/>
  <c r="AF1822" i="18"/>
  <c r="AF1823" i="18"/>
  <c r="AF1824" i="18"/>
  <c r="AF1825" i="18"/>
  <c r="AF1826" i="18"/>
  <c r="AF1827" i="18"/>
  <c r="AF1828" i="18"/>
  <c r="AF1829" i="18"/>
  <c r="AF1830" i="18"/>
  <c r="AF1831" i="18"/>
  <c r="AF1832" i="18"/>
  <c r="AF1833" i="18"/>
  <c r="AF1834" i="18"/>
  <c r="AF1835" i="18"/>
  <c r="AF1836" i="18"/>
  <c r="AF1837" i="18"/>
  <c r="AF1838" i="18"/>
  <c r="AF1839" i="18"/>
  <c r="AF1840" i="18"/>
  <c r="AF1841" i="18"/>
  <c r="AF1842" i="18"/>
  <c r="AF1843" i="18"/>
  <c r="AF1844" i="18"/>
  <c r="AF1845" i="18"/>
  <c r="AF1846" i="18"/>
  <c r="AF1847" i="18"/>
  <c r="AF1848" i="18"/>
  <c r="AF1849" i="18"/>
  <c r="AF1850" i="18"/>
  <c r="AF1851" i="18"/>
  <c r="AF1852" i="18"/>
  <c r="AF1853" i="18"/>
  <c r="AF1854" i="18"/>
  <c r="AF1855" i="18"/>
  <c r="AF1856" i="18"/>
  <c r="AF1857" i="18"/>
  <c r="AF1858" i="18"/>
  <c r="AF1859" i="18"/>
  <c r="AF1860" i="18"/>
  <c r="AF1861" i="18"/>
  <c r="AF1862" i="18"/>
  <c r="AF1863" i="18"/>
  <c r="AF1864" i="18"/>
  <c r="AF1865" i="18"/>
  <c r="AF1866" i="18"/>
  <c r="AF1867" i="18"/>
  <c r="AF1868" i="18"/>
  <c r="AF1869" i="18"/>
  <c r="AF1870" i="18"/>
  <c r="AF1871" i="18"/>
  <c r="AF1872" i="18"/>
  <c r="AF1873" i="18"/>
  <c r="AF1874" i="18"/>
  <c r="AF1875" i="18"/>
  <c r="AF1876" i="18"/>
  <c r="AF1877" i="18"/>
  <c r="AF1878" i="18"/>
  <c r="AF1879" i="18"/>
  <c r="AF1880" i="18"/>
  <c r="AF1881" i="18"/>
  <c r="AF1882" i="18"/>
  <c r="AF1883" i="18"/>
  <c r="AF1884" i="18"/>
  <c r="AF1885" i="18"/>
  <c r="AF1886" i="18"/>
  <c r="AF1887" i="18"/>
  <c r="AF1888" i="18"/>
  <c r="AF1889" i="18"/>
  <c r="AF1890" i="18"/>
  <c r="AF1891" i="18"/>
  <c r="AF1892" i="18"/>
  <c r="AF1893" i="18"/>
  <c r="AF1894" i="18"/>
  <c r="AF1895" i="18"/>
  <c r="AF1896" i="18"/>
  <c r="AF1897" i="18"/>
  <c r="AF1898" i="18"/>
  <c r="AF1899" i="18"/>
  <c r="AF1900" i="18"/>
  <c r="AF1901" i="18"/>
  <c r="AF1902" i="18"/>
  <c r="AF1903" i="18"/>
  <c r="AF1904" i="18"/>
  <c r="AF1905" i="18"/>
  <c r="AF1906" i="18"/>
  <c r="AF1907" i="18"/>
  <c r="AF1908" i="18"/>
  <c r="AF1909" i="18"/>
  <c r="AF1910" i="18"/>
  <c r="AF1911" i="18"/>
  <c r="AF1912" i="18"/>
  <c r="AF1913" i="18"/>
  <c r="AF1914" i="18"/>
  <c r="AF1915" i="18"/>
  <c r="AF1916" i="18"/>
  <c r="AF1917" i="18"/>
  <c r="AF1918" i="18"/>
  <c r="AF1919" i="18"/>
  <c r="AF1920" i="18"/>
  <c r="AF1921" i="18"/>
  <c r="AF1922" i="18"/>
  <c r="AF1923" i="18"/>
  <c r="AF1924" i="18"/>
  <c r="AF1925" i="18"/>
  <c r="AF1926" i="18"/>
  <c r="AF1927" i="18"/>
  <c r="AF1928" i="18"/>
  <c r="AF1929" i="18"/>
  <c r="AF1930" i="18"/>
  <c r="AF1931" i="18"/>
  <c r="AF1932" i="18"/>
  <c r="AF1933" i="18"/>
  <c r="AF1934" i="18"/>
  <c r="AF1935" i="18"/>
  <c r="AF1936" i="18"/>
  <c r="AF1937" i="18"/>
  <c r="AF1938" i="18"/>
  <c r="AF1939" i="18"/>
  <c r="AF1940" i="18"/>
  <c r="AF1941" i="18"/>
  <c r="AF1942" i="18"/>
  <c r="AF1943" i="18"/>
  <c r="AF1944" i="18"/>
  <c r="AF1945" i="18"/>
  <c r="AF1946" i="18"/>
  <c r="AF1947" i="18"/>
  <c r="AF1948" i="18"/>
  <c r="AF1949" i="18"/>
  <c r="AF1950" i="18"/>
  <c r="AF1951" i="18"/>
  <c r="AF1952" i="18"/>
  <c r="AF1953" i="18"/>
  <c r="AF1954" i="18"/>
  <c r="AF1955" i="18"/>
  <c r="AF1956" i="18"/>
  <c r="AF1957" i="18"/>
  <c r="AF1958" i="18"/>
  <c r="AF1959" i="18"/>
  <c r="AF1960" i="18"/>
  <c r="AF1961" i="18"/>
  <c r="AF1962" i="18"/>
  <c r="AF1963" i="18"/>
  <c r="AF1964" i="18"/>
  <c r="AF1965" i="18"/>
  <c r="AF1966" i="18"/>
  <c r="AF1967" i="18"/>
  <c r="AF1968" i="18"/>
  <c r="AF1969" i="18"/>
  <c r="AF1970" i="18"/>
  <c r="AF1971" i="18"/>
  <c r="AF1972" i="18"/>
  <c r="AF1973" i="18"/>
  <c r="AF1974" i="18"/>
  <c r="AF1975" i="18"/>
  <c r="AF1976" i="18"/>
  <c r="AF1977" i="18"/>
  <c r="AF1978" i="18"/>
  <c r="AF1979" i="18"/>
  <c r="AF1980" i="18"/>
  <c r="AF1981" i="18"/>
  <c r="AF1982" i="18"/>
  <c r="AF1983" i="18"/>
  <c r="AF1984" i="18"/>
  <c r="AF1985" i="18"/>
  <c r="AF1986" i="18"/>
  <c r="AF1987" i="18"/>
  <c r="AF1988" i="18"/>
  <c r="AF1989" i="18"/>
  <c r="AF1990" i="18"/>
  <c r="AF1991" i="18"/>
  <c r="AF1992" i="18"/>
  <c r="AF1993" i="18"/>
  <c r="AF1994" i="18"/>
  <c r="AF1995" i="18"/>
  <c r="AF1996" i="18"/>
  <c r="AF1997" i="18"/>
  <c r="AF1998" i="18"/>
  <c r="AF1999" i="18"/>
  <c r="AF2000" i="18"/>
  <c r="AF2001" i="18"/>
  <c r="AF2002" i="18"/>
  <c r="AF2003" i="18"/>
  <c r="AF2004" i="18"/>
  <c r="AF2005" i="18"/>
  <c r="AF2006" i="18"/>
  <c r="AF2007" i="18"/>
  <c r="AF2008" i="18"/>
  <c r="AF2009" i="18"/>
  <c r="AF2010" i="18"/>
  <c r="AF2011" i="18"/>
  <c r="AF2012" i="18"/>
  <c r="AF2013" i="18"/>
  <c r="AF2014" i="18"/>
  <c r="AF2015" i="18"/>
  <c r="AF2016" i="18"/>
  <c r="AF2017" i="18"/>
  <c r="AF2018" i="18"/>
  <c r="AF2019" i="18"/>
  <c r="AF2020" i="18"/>
  <c r="AF2021" i="18"/>
  <c r="AF2022" i="18"/>
  <c r="AF2023" i="18"/>
  <c r="AF2024" i="18"/>
  <c r="AF2025" i="18"/>
  <c r="AF2026" i="18"/>
  <c r="AF2027" i="18"/>
  <c r="AF2028" i="18"/>
  <c r="AF2029" i="18"/>
  <c r="AF2030" i="18"/>
  <c r="AF2031" i="18"/>
  <c r="AF2032" i="18"/>
  <c r="AF2033" i="18"/>
  <c r="AF2034" i="18"/>
  <c r="AF2035" i="18"/>
  <c r="AF2036" i="18"/>
  <c r="AF2037" i="18"/>
  <c r="AF2038" i="18"/>
  <c r="AF2039" i="18"/>
  <c r="AF2040" i="18"/>
  <c r="AF2041" i="18"/>
  <c r="AF2042" i="18"/>
  <c r="AF2043" i="18"/>
  <c r="AF2044" i="18"/>
  <c r="AF2045" i="18"/>
  <c r="AF2046" i="18"/>
  <c r="AF2047" i="18"/>
  <c r="AF2048" i="18"/>
  <c r="AF2049" i="18"/>
  <c r="AF2050" i="18"/>
  <c r="AF2051" i="18"/>
  <c r="AF2052" i="18"/>
  <c r="AF2053" i="18"/>
  <c r="AF2054" i="18"/>
  <c r="AF2055" i="18"/>
  <c r="AF2056" i="18"/>
  <c r="AF2057" i="18"/>
  <c r="AF2058" i="18"/>
  <c r="AF2059" i="18"/>
  <c r="AF2060" i="18"/>
  <c r="AF2061" i="18"/>
  <c r="AF2062" i="18"/>
  <c r="AF2063" i="18"/>
  <c r="AF2064" i="18"/>
  <c r="AF1599" i="18"/>
  <c r="AF1598" i="18"/>
  <c r="AF1597" i="18"/>
  <c r="AF1596" i="18"/>
  <c r="AF1595" i="18"/>
  <c r="AF1594" i="18"/>
  <c r="AF1593" i="18"/>
  <c r="AF1592" i="18"/>
  <c r="AF1591" i="18"/>
  <c r="AF1590" i="18"/>
  <c r="AF1589" i="18"/>
  <c r="AF1588" i="18"/>
  <c r="AF1587" i="18"/>
  <c r="AF1586" i="18"/>
  <c r="AF1585" i="18"/>
  <c r="AF1584" i="18"/>
  <c r="AF1583" i="18"/>
  <c r="AF1582" i="18"/>
  <c r="AF1581" i="18"/>
  <c r="AF1580" i="18"/>
  <c r="AF1579" i="18"/>
  <c r="AF1578" i="18"/>
  <c r="AF1577" i="18"/>
  <c r="AF1576" i="18"/>
  <c r="AF1575" i="18"/>
  <c r="AF1574" i="18"/>
  <c r="AF1573" i="18"/>
  <c r="AF1572" i="18"/>
  <c r="AF1571" i="18"/>
  <c r="AF1570" i="18"/>
  <c r="AF1569" i="18"/>
  <c r="AF1568" i="18"/>
  <c r="AF1567" i="18"/>
  <c r="AF1566" i="18"/>
  <c r="AF1565" i="18"/>
  <c r="AF1564" i="18"/>
  <c r="AF1563" i="18"/>
  <c r="AF1562" i="18"/>
  <c r="AF1561" i="18"/>
  <c r="AF1560" i="18"/>
  <c r="AF1559" i="18"/>
  <c r="AF1558" i="18"/>
  <c r="AF1557" i="18"/>
  <c r="AF1556" i="18"/>
  <c r="AF1555" i="18"/>
  <c r="AF1554" i="18"/>
  <c r="AF1553" i="18"/>
  <c r="AF1552" i="18"/>
  <c r="AF1551" i="18"/>
  <c r="AF1550" i="18"/>
  <c r="AF1549" i="18"/>
  <c r="AF1548" i="18"/>
  <c r="AF1547" i="18"/>
  <c r="AF1546" i="18"/>
  <c r="AF1545" i="18"/>
  <c r="AF1544" i="18"/>
  <c r="AF1543" i="18"/>
  <c r="AF1542" i="18"/>
  <c r="AF1541" i="18"/>
  <c r="AF1540" i="18"/>
  <c r="AF1539" i="18"/>
  <c r="AF1538" i="18"/>
  <c r="AF1537" i="18"/>
  <c r="AF1536" i="18"/>
  <c r="AF1535" i="18"/>
  <c r="AF1534" i="18"/>
  <c r="AF1533" i="18"/>
  <c r="AF1532" i="18"/>
  <c r="AF1531" i="18"/>
  <c r="AF1530" i="18"/>
  <c r="AF1529" i="18"/>
  <c r="AF1528" i="18"/>
  <c r="AF1527" i="18"/>
  <c r="AF1526" i="18"/>
  <c r="AF1525" i="18"/>
  <c r="AF1524" i="18"/>
  <c r="AF1523" i="18"/>
  <c r="AF1522" i="18"/>
  <c r="AF1521" i="18"/>
  <c r="AF1520" i="18"/>
  <c r="AF1519" i="18"/>
  <c r="AF1518" i="18"/>
  <c r="AF1517" i="18"/>
  <c r="AF1516" i="18"/>
  <c r="AF1515" i="18"/>
  <c r="AF1514" i="18"/>
  <c r="AF1513" i="18"/>
  <c r="AF1512" i="18"/>
  <c r="AF1511" i="18"/>
  <c r="AF1510" i="18"/>
  <c r="AF1509" i="18"/>
  <c r="AF1508" i="18"/>
  <c r="AF1507" i="18"/>
  <c r="AF1506" i="18"/>
  <c r="AF1505" i="18"/>
  <c r="AF1504" i="18"/>
  <c r="AF1503" i="18"/>
  <c r="AF1502" i="18"/>
  <c r="AF1501" i="18"/>
  <c r="AF1500" i="18"/>
  <c r="AF1499" i="18"/>
  <c r="AF1498" i="18"/>
  <c r="AF1497" i="18"/>
  <c r="AF1496" i="18"/>
  <c r="AF1495" i="18"/>
  <c r="AF1494" i="18"/>
  <c r="AF1493" i="18"/>
  <c r="AF1492" i="18"/>
  <c r="AF1491" i="18"/>
  <c r="AF1490" i="18"/>
  <c r="AF1489" i="18"/>
  <c r="AF1488" i="18"/>
  <c r="AF1487" i="18"/>
  <c r="AF1486" i="18"/>
  <c r="AF1485" i="18"/>
  <c r="AF1484" i="18"/>
  <c r="AF1483" i="18"/>
  <c r="AF1482" i="18"/>
  <c r="AF1481" i="18"/>
  <c r="AF1480" i="18"/>
  <c r="AF1479" i="18"/>
  <c r="AF1478" i="18"/>
  <c r="AF1477" i="18"/>
  <c r="AF1476" i="18"/>
  <c r="AF1475" i="18"/>
  <c r="AF1474" i="18"/>
  <c r="AF1473" i="18"/>
  <c r="AF1472" i="18"/>
  <c r="AF1471" i="18"/>
  <c r="AF1470" i="18"/>
  <c r="AF1469" i="18"/>
  <c r="AF1468" i="18"/>
  <c r="AF1467" i="18"/>
  <c r="AF1466" i="18"/>
  <c r="AF1465" i="18"/>
  <c r="AF1464" i="18"/>
  <c r="AF1463" i="18"/>
  <c r="AF1462" i="18"/>
  <c r="AF1461" i="18"/>
  <c r="AF1460" i="18"/>
  <c r="AF1459" i="18"/>
  <c r="AF1458" i="18"/>
  <c r="AF1457" i="18"/>
  <c r="AF1456" i="18"/>
  <c r="AF1455" i="18"/>
  <c r="AF1454" i="18"/>
  <c r="AF1453" i="18"/>
  <c r="AF1452" i="18"/>
  <c r="AF1451" i="18"/>
  <c r="AF1450" i="18"/>
  <c r="AF1449" i="18"/>
  <c r="AF1448" i="18"/>
  <c r="AF1447" i="18"/>
  <c r="AF1446" i="18"/>
  <c r="AF1445" i="18"/>
  <c r="AF1444" i="18"/>
  <c r="AF1443" i="18"/>
  <c r="AF1442" i="18"/>
  <c r="AF1441" i="18"/>
  <c r="AF1440" i="18"/>
  <c r="AF1439" i="18"/>
  <c r="AF1438" i="18"/>
  <c r="AF1437" i="18"/>
  <c r="AF1436" i="18"/>
  <c r="AF1435" i="18"/>
  <c r="AF1434" i="18"/>
  <c r="AF1433" i="18"/>
  <c r="AF1432" i="18"/>
  <c r="AF1431" i="18"/>
  <c r="AF1430" i="18"/>
  <c r="AF1429" i="18"/>
  <c r="AF1428" i="18"/>
  <c r="AF1427" i="18"/>
  <c r="AF1426" i="18"/>
  <c r="AF1425" i="18"/>
  <c r="AF1424" i="18"/>
  <c r="AF1423" i="18"/>
  <c r="AF1422" i="18"/>
  <c r="AF1421" i="18"/>
  <c r="AF1420" i="18"/>
  <c r="AF1419" i="18"/>
  <c r="AF1418" i="18"/>
  <c r="AF1417" i="18"/>
  <c r="AF1416" i="18"/>
  <c r="AF1415" i="18"/>
  <c r="AF1414" i="18"/>
  <c r="AF1413" i="18"/>
  <c r="AF1412" i="18"/>
  <c r="AF1411" i="18"/>
  <c r="AF1410" i="18"/>
  <c r="AF1409" i="18"/>
  <c r="AF1408" i="18"/>
  <c r="AF1407" i="18"/>
  <c r="AF1406" i="18"/>
  <c r="AF1405" i="18"/>
  <c r="AF1404" i="18"/>
  <c r="AF1403" i="18"/>
  <c r="AF1402" i="18"/>
  <c r="AF1401" i="18"/>
  <c r="AF1400" i="18"/>
  <c r="AF1399" i="18"/>
  <c r="AF1398" i="18"/>
  <c r="AF1397" i="18"/>
  <c r="AF1396" i="18"/>
  <c r="AF1395" i="18"/>
  <c r="AF1394" i="18"/>
  <c r="AF1393" i="18"/>
  <c r="AF1392" i="18"/>
  <c r="AF1391" i="18"/>
  <c r="AF1390" i="18"/>
  <c r="AF1389" i="18"/>
  <c r="AF1388" i="18"/>
  <c r="AF1387" i="18"/>
  <c r="AF1386" i="18"/>
  <c r="AF1385" i="18"/>
  <c r="AF1384" i="18"/>
  <c r="AF1383" i="18"/>
  <c r="AF1382" i="18"/>
  <c r="AF1381" i="18"/>
  <c r="AF1380" i="18"/>
  <c r="AF1379" i="18"/>
  <c r="AF1378" i="18"/>
  <c r="AF1377" i="18"/>
  <c r="AF1376" i="18"/>
  <c r="AF1375" i="18"/>
  <c r="AF1374" i="18"/>
  <c r="AF1373" i="18"/>
  <c r="AF1372" i="18"/>
  <c r="AF1371" i="18"/>
  <c r="AF1370" i="18"/>
  <c r="AF1369" i="18"/>
  <c r="AF1368" i="18"/>
  <c r="AF1367" i="18"/>
  <c r="AF1366" i="18"/>
  <c r="AF1365" i="18"/>
  <c r="AF1364" i="18"/>
  <c r="AF1363" i="18"/>
  <c r="AF1362" i="18"/>
  <c r="AF1361" i="18"/>
  <c r="AF1360" i="18"/>
  <c r="AF1359" i="18"/>
  <c r="AF1358" i="18"/>
  <c r="AF1357" i="18"/>
  <c r="AF1356" i="18"/>
  <c r="AF1355" i="18"/>
  <c r="AF1354" i="18"/>
  <c r="AF1353" i="18"/>
  <c r="AF1352" i="18"/>
  <c r="AF1351" i="18"/>
  <c r="AF1350" i="18"/>
  <c r="AF1349" i="18"/>
  <c r="AF1348" i="18"/>
  <c r="AF1347" i="18"/>
  <c r="AF1346" i="18"/>
  <c r="AF1345" i="18"/>
  <c r="AF1344" i="18"/>
  <c r="AF1343" i="18"/>
  <c r="AF1342" i="18"/>
  <c r="AF1341" i="18"/>
  <c r="AF1340" i="18"/>
  <c r="AF1339" i="18"/>
  <c r="AF1338" i="18"/>
  <c r="AF1337" i="18"/>
  <c r="AF1336" i="18"/>
  <c r="AF1335" i="18"/>
  <c r="AF1334" i="18"/>
  <c r="AF1333" i="18"/>
  <c r="AF1332" i="18"/>
  <c r="AF1331" i="18"/>
  <c r="AF1330" i="18"/>
  <c r="AF1329" i="18"/>
  <c r="AF1328" i="18"/>
  <c r="AF1327" i="18"/>
  <c r="AF1326" i="18"/>
  <c r="AF1325" i="18"/>
  <c r="AF1324" i="18"/>
  <c r="AF1323" i="18"/>
  <c r="AF1322" i="18"/>
  <c r="AF1321" i="18"/>
  <c r="AF1320" i="18"/>
  <c r="AF1319" i="18"/>
  <c r="AF1318" i="18"/>
  <c r="AF1317" i="18"/>
  <c r="AF1316" i="18"/>
  <c r="AF1315" i="18"/>
  <c r="AF1314" i="18"/>
  <c r="AF1313" i="18"/>
  <c r="AF1312" i="18"/>
  <c r="AF1311" i="18"/>
  <c r="AF1310" i="18"/>
  <c r="AF1309" i="18"/>
  <c r="AF1308" i="18"/>
  <c r="AF1307" i="18"/>
  <c r="AF1306" i="18"/>
  <c r="AF1305" i="18"/>
  <c r="AF1304" i="18"/>
  <c r="AF1303" i="18"/>
  <c r="AF1302" i="18"/>
  <c r="AF1301" i="18"/>
  <c r="AF1300" i="18"/>
  <c r="AF1299" i="18"/>
  <c r="AF1298" i="18"/>
  <c r="AF1297" i="18"/>
  <c r="AF1296" i="18"/>
  <c r="AF1295" i="18"/>
  <c r="AF1294" i="18"/>
  <c r="AF1293" i="18"/>
  <c r="AF1292" i="18"/>
  <c r="AF1291" i="18"/>
  <c r="AF1290" i="18"/>
  <c r="AF1289" i="18"/>
  <c r="AF1288" i="18"/>
  <c r="AF1287" i="18"/>
  <c r="AF1286" i="18"/>
  <c r="AF1285" i="18"/>
  <c r="AF1284" i="18"/>
  <c r="AF1283" i="18"/>
  <c r="AF1282" i="18"/>
  <c r="AF1281" i="18"/>
  <c r="AF1280" i="18"/>
  <c r="AF1279" i="18"/>
  <c r="AF1278" i="18"/>
  <c r="AF1277" i="18"/>
  <c r="AF1276" i="18"/>
  <c r="AF1275" i="18"/>
  <c r="AF1274" i="18"/>
  <c r="AF1273" i="18"/>
  <c r="AF1272" i="18"/>
  <c r="AF1271" i="18"/>
  <c r="AF1270" i="18"/>
  <c r="AF1269" i="18"/>
  <c r="AF1268" i="18"/>
  <c r="AF1267" i="18"/>
  <c r="AF1266" i="18"/>
  <c r="AF1265" i="18"/>
  <c r="AF1264" i="18"/>
  <c r="AF1263" i="18"/>
  <c r="AF1262" i="18"/>
  <c r="AF1261" i="18"/>
  <c r="AF1260" i="18"/>
  <c r="AF1259" i="18"/>
  <c r="AF1258" i="18"/>
  <c r="AF1257" i="18"/>
  <c r="AF1256" i="18"/>
  <c r="AF1255" i="18"/>
  <c r="AF1254" i="18"/>
  <c r="AF1253" i="18"/>
  <c r="AF1252" i="18"/>
  <c r="AF1251" i="18"/>
  <c r="AF1250" i="18"/>
  <c r="AF1249" i="18"/>
  <c r="AF1248" i="18"/>
  <c r="AF1247" i="18"/>
  <c r="AF1246" i="18"/>
  <c r="AF1245" i="18"/>
  <c r="AF1244" i="18"/>
  <c r="AF1243" i="18"/>
  <c r="AF1242" i="18"/>
  <c r="AF1241" i="18"/>
  <c r="AF1240" i="18"/>
  <c r="AF1239" i="18"/>
  <c r="AF1238" i="18"/>
  <c r="AF1237" i="18"/>
  <c r="AF1236" i="18"/>
  <c r="AF1235" i="18"/>
  <c r="AF1234" i="18"/>
  <c r="AF1233" i="18"/>
  <c r="AF1232" i="18"/>
  <c r="AF1231" i="18"/>
  <c r="AF1230" i="18"/>
  <c r="AF1229" i="18"/>
  <c r="AF1228" i="18"/>
  <c r="AF1227" i="18"/>
  <c r="AF1226" i="18"/>
  <c r="AF1225" i="18"/>
  <c r="AF1224" i="18"/>
  <c r="AF1223" i="18"/>
  <c r="AF1222" i="18"/>
  <c r="AF1221" i="18"/>
  <c r="AF1220" i="18"/>
  <c r="AF1219" i="18"/>
  <c r="AF1218" i="18"/>
  <c r="AF1217" i="18"/>
  <c r="AF1216" i="18"/>
  <c r="AF1215" i="18"/>
  <c r="AF1214" i="18"/>
  <c r="AF1213" i="18"/>
  <c r="AF1212" i="18"/>
  <c r="AF1211" i="18"/>
  <c r="AF1210" i="18"/>
  <c r="AF1209" i="18"/>
  <c r="AF1208" i="18"/>
  <c r="AF1207" i="18"/>
  <c r="AF1206" i="18"/>
  <c r="AF1205" i="18"/>
  <c r="AF1204" i="18"/>
  <c r="AF1203" i="18"/>
  <c r="AF1202" i="18"/>
  <c r="AF1201" i="18"/>
  <c r="AF1200" i="18"/>
  <c r="AF1199" i="18"/>
  <c r="AF1198" i="18"/>
  <c r="AF1197" i="18"/>
  <c r="AF1196" i="18"/>
  <c r="AF1195" i="18"/>
  <c r="AF1194" i="18"/>
  <c r="AF1193" i="18"/>
  <c r="AF1192" i="18"/>
  <c r="AF1191" i="18"/>
  <c r="AF1190" i="18"/>
  <c r="AF1189" i="18"/>
  <c r="AF1188" i="18"/>
  <c r="AF1187" i="18"/>
  <c r="AF1186" i="18"/>
  <c r="AF1185" i="18"/>
  <c r="AF1184" i="18"/>
  <c r="AF1183" i="18"/>
  <c r="AF1182" i="18"/>
  <c r="AF1181" i="18"/>
  <c r="AF1180" i="18"/>
  <c r="AF1179" i="18"/>
  <c r="AF1178" i="18"/>
  <c r="AF1177" i="18"/>
  <c r="AF1176" i="18"/>
  <c r="AF1175" i="18"/>
  <c r="AF1174" i="18"/>
  <c r="AF1173" i="18"/>
  <c r="AF1172" i="18"/>
  <c r="AF1171" i="18"/>
  <c r="AF1170" i="18"/>
  <c r="AF1169" i="18"/>
  <c r="AF1168" i="18"/>
  <c r="AF1167" i="18"/>
  <c r="AF1166" i="18"/>
  <c r="AF1165" i="18"/>
  <c r="AF1164" i="18"/>
  <c r="AF1163" i="18"/>
  <c r="AF1162" i="18"/>
  <c r="AF1161" i="18"/>
  <c r="AF1160" i="18"/>
  <c r="AF1159" i="18"/>
  <c r="AF1158" i="18"/>
  <c r="AF1157" i="18"/>
  <c r="AF1156" i="18"/>
  <c r="AF1155" i="18"/>
  <c r="AF1154" i="18"/>
  <c r="AF1153" i="18"/>
  <c r="AF1152" i="18"/>
  <c r="AF1151" i="18"/>
  <c r="AF1150" i="18"/>
  <c r="AF1149" i="18"/>
  <c r="AF1148" i="18"/>
  <c r="AF1147" i="18"/>
  <c r="AF1146" i="18"/>
  <c r="AF1145" i="18"/>
  <c r="AF1144" i="18"/>
  <c r="AF1143" i="18"/>
  <c r="AF1142" i="18"/>
  <c r="AF1141" i="18"/>
  <c r="AF1140" i="18"/>
  <c r="AF1139" i="18"/>
  <c r="AF1138" i="18"/>
  <c r="AF1137" i="18"/>
  <c r="AF1136" i="18"/>
  <c r="AF1135" i="18"/>
  <c r="AF1134" i="18"/>
  <c r="AF1133" i="18"/>
  <c r="AF1132" i="18"/>
  <c r="AF1131" i="18"/>
  <c r="AF1130" i="18"/>
  <c r="AF1129" i="18"/>
  <c r="AF1128" i="18"/>
  <c r="AF1127" i="18"/>
  <c r="AF1126" i="18"/>
  <c r="AF1125" i="18"/>
  <c r="AF1124" i="18"/>
  <c r="AF1123" i="18"/>
  <c r="AF1122" i="18"/>
  <c r="AF1121" i="18"/>
  <c r="AF1120" i="18"/>
  <c r="AF1119" i="18"/>
  <c r="AF1118" i="18"/>
  <c r="AF1117" i="18"/>
  <c r="AF1116" i="18"/>
  <c r="AF1115" i="18"/>
  <c r="AF1114" i="18"/>
  <c r="AF1113" i="18"/>
  <c r="AF1112" i="18"/>
  <c r="AF1111" i="18"/>
  <c r="AF1110" i="18"/>
  <c r="AF1109" i="18"/>
  <c r="AF1108" i="18"/>
  <c r="AF1107" i="18"/>
  <c r="AF1106" i="18"/>
  <c r="AF1105" i="18"/>
  <c r="AF1104" i="18"/>
  <c r="AF1103" i="18"/>
  <c r="AF1102" i="18"/>
  <c r="AF1101" i="18"/>
  <c r="AF1100" i="18"/>
  <c r="AF1099" i="18"/>
  <c r="AF1098" i="18"/>
  <c r="AF1097" i="18"/>
  <c r="AF1096" i="18"/>
  <c r="AF1095" i="18"/>
  <c r="AF1094" i="18"/>
  <c r="AF1093" i="18"/>
  <c r="AF1092" i="18"/>
  <c r="AF1091" i="18"/>
  <c r="AF1090" i="18"/>
  <c r="AF1089" i="18"/>
  <c r="AF1088" i="18"/>
  <c r="AF1087" i="18"/>
  <c r="AF1086" i="18"/>
  <c r="AF1085" i="18"/>
  <c r="AF1084" i="18"/>
  <c r="AF1083" i="18"/>
  <c r="AF1082" i="18"/>
  <c r="AF1081" i="18"/>
  <c r="AF1080" i="18"/>
  <c r="AF1079" i="18"/>
  <c r="AF1078" i="18"/>
  <c r="AF1077" i="18"/>
  <c r="AF1076" i="18"/>
  <c r="AF1075" i="18"/>
  <c r="AF1074" i="18"/>
  <c r="AF1073" i="18"/>
  <c r="AF1072" i="18"/>
  <c r="AF1071" i="18"/>
  <c r="AF1070" i="18"/>
  <c r="AF1069" i="18"/>
  <c r="AF1068" i="18"/>
  <c r="AF1067" i="18"/>
  <c r="AF1066" i="18"/>
  <c r="AF1065" i="18"/>
  <c r="AF1064" i="18"/>
  <c r="AF1063" i="18"/>
  <c r="AF1062" i="18"/>
  <c r="AF1061" i="18"/>
  <c r="AF1060" i="18"/>
  <c r="AF1059" i="18"/>
  <c r="AF1058" i="18"/>
  <c r="AF1057" i="18"/>
  <c r="AF1056" i="18"/>
  <c r="AF1055" i="18"/>
  <c r="AF1054" i="18"/>
  <c r="AF1053" i="18"/>
  <c r="AF1052" i="18"/>
  <c r="AF1051" i="18"/>
  <c r="AF1050" i="18"/>
  <c r="AF1049" i="18"/>
  <c r="AF1048" i="18"/>
  <c r="AF1047" i="18"/>
  <c r="AF1046" i="18"/>
  <c r="AF1045" i="18"/>
  <c r="AF1044" i="18"/>
  <c r="AF1043" i="18"/>
  <c r="AF1042" i="18"/>
  <c r="AF1041" i="18"/>
  <c r="AF1040" i="18"/>
  <c r="AF1039" i="18"/>
  <c r="AF1038" i="18"/>
  <c r="AF1037" i="18"/>
  <c r="AF1036" i="18"/>
  <c r="AF1035" i="18"/>
  <c r="AF1034" i="18"/>
  <c r="AF1033" i="18"/>
  <c r="AF1032" i="18"/>
  <c r="AF1031" i="18"/>
  <c r="AF1030" i="18"/>
  <c r="AF1029" i="18"/>
  <c r="AF1028" i="18"/>
  <c r="AF1027" i="18"/>
  <c r="AF1026" i="18"/>
  <c r="AF1025" i="18"/>
  <c r="AF1024" i="18"/>
  <c r="AF1023" i="18"/>
  <c r="AF1022" i="18"/>
  <c r="AF1021" i="18"/>
  <c r="AF1020" i="18"/>
  <c r="AF1019" i="18"/>
  <c r="AF1018" i="18"/>
  <c r="AF1017" i="18"/>
  <c r="AF1016" i="18"/>
  <c r="AF1015" i="18"/>
  <c r="AF1014" i="18"/>
  <c r="AF1013" i="18"/>
  <c r="AF1012" i="18"/>
  <c r="AF1011" i="18"/>
  <c r="AF1010" i="18"/>
  <c r="AF1009" i="18"/>
  <c r="AF1008" i="18"/>
  <c r="AF1007" i="18"/>
  <c r="AF1006" i="18"/>
  <c r="AF1005" i="18"/>
  <c r="AF1004" i="18"/>
  <c r="AF1003" i="18"/>
  <c r="AF1002" i="18"/>
  <c r="AF1001" i="18"/>
  <c r="AF1000" i="18"/>
  <c r="AF999" i="18"/>
  <c r="AF998" i="18"/>
  <c r="AF997" i="18"/>
  <c r="AF996" i="18"/>
  <c r="AF995" i="18"/>
  <c r="AF994" i="18"/>
  <c r="AF993" i="18"/>
  <c r="AF992" i="18"/>
  <c r="AF991" i="18"/>
  <c r="AF990" i="18"/>
  <c r="AF989" i="18"/>
  <c r="AF988" i="18"/>
  <c r="AF987" i="18"/>
  <c r="AF986" i="18"/>
  <c r="AF985" i="18"/>
  <c r="AF984" i="18"/>
  <c r="AF983" i="18"/>
  <c r="AF982" i="18"/>
  <c r="AF981" i="18"/>
  <c r="AF980" i="18"/>
  <c r="AF979" i="18"/>
  <c r="AF978" i="18"/>
  <c r="AF977" i="18"/>
  <c r="AF976" i="18"/>
  <c r="AF975" i="18"/>
  <c r="AF974" i="18"/>
  <c r="AF973" i="18"/>
  <c r="AF972" i="18"/>
  <c r="AF971" i="18"/>
  <c r="AF970" i="18"/>
  <c r="AF969" i="18"/>
  <c r="AF968" i="18"/>
  <c r="AF967" i="18"/>
  <c r="AF966" i="18"/>
  <c r="AF965" i="18"/>
  <c r="AF964" i="18"/>
  <c r="AF963" i="18"/>
  <c r="AF962" i="18"/>
  <c r="AF961" i="18"/>
  <c r="AF960" i="18"/>
  <c r="AF959" i="18"/>
  <c r="AF958" i="18"/>
  <c r="AF957" i="18"/>
  <c r="AF956" i="18"/>
  <c r="AF955" i="18"/>
  <c r="AF954" i="18"/>
  <c r="AF953" i="18"/>
  <c r="AF952" i="18"/>
  <c r="AF951" i="18"/>
  <c r="AF950" i="18"/>
  <c r="AF949" i="18"/>
  <c r="AF948" i="18"/>
  <c r="AF947" i="18"/>
  <c r="AF946" i="18"/>
  <c r="AF945" i="18"/>
  <c r="AF944" i="18"/>
  <c r="AF943" i="18"/>
  <c r="AF942" i="18"/>
  <c r="AF941" i="18"/>
  <c r="AF940" i="18"/>
  <c r="AF939" i="18"/>
  <c r="AF938" i="18"/>
  <c r="AF937" i="18"/>
  <c r="AF936" i="18"/>
  <c r="AF935" i="18"/>
  <c r="AF934" i="18"/>
  <c r="AF933" i="18"/>
  <c r="AF932" i="18"/>
  <c r="AF931" i="18"/>
  <c r="AF930" i="18"/>
  <c r="AF929" i="18"/>
  <c r="AF928" i="18"/>
  <c r="AF927" i="18"/>
  <c r="AF926" i="18"/>
  <c r="AF925" i="18"/>
  <c r="AF924" i="18"/>
  <c r="AF923" i="18"/>
  <c r="AF922" i="18"/>
  <c r="AF921" i="18"/>
  <c r="AF920" i="18"/>
  <c r="AF919" i="18"/>
  <c r="AF918" i="18"/>
  <c r="AF917" i="18"/>
  <c r="AF916" i="18"/>
  <c r="AF915" i="18"/>
  <c r="AF914" i="18"/>
  <c r="AF913" i="18"/>
  <c r="AF912" i="18"/>
  <c r="AF911" i="18"/>
  <c r="AF910" i="18"/>
  <c r="AF909" i="18"/>
  <c r="AF908" i="18"/>
  <c r="AF907" i="18"/>
  <c r="AF906" i="18"/>
  <c r="AF905" i="18"/>
  <c r="AF904" i="18"/>
  <c r="AF903" i="18"/>
  <c r="AF902" i="18"/>
  <c r="AF901" i="18"/>
  <c r="AF900" i="18"/>
  <c r="AF899" i="18"/>
  <c r="AF898" i="18"/>
  <c r="AF897" i="18"/>
  <c r="AF896" i="18"/>
  <c r="AF895" i="18"/>
  <c r="AF894" i="18"/>
  <c r="AF893" i="18"/>
  <c r="AF892" i="18"/>
  <c r="AF891" i="18"/>
  <c r="AF890" i="18"/>
  <c r="AF889" i="18"/>
  <c r="AF888" i="18"/>
  <c r="AF887" i="18"/>
  <c r="AF886" i="18"/>
  <c r="AF885" i="18"/>
  <c r="AF884" i="18"/>
  <c r="AF883" i="18"/>
  <c r="AF882" i="18"/>
  <c r="AF881" i="18"/>
  <c r="AF880" i="18"/>
  <c r="AF879" i="18"/>
  <c r="AF878" i="18"/>
  <c r="AF877" i="18"/>
  <c r="AF876" i="18"/>
  <c r="AF875" i="18"/>
  <c r="AF874" i="18"/>
  <c r="AF873" i="18"/>
  <c r="AF872" i="18"/>
  <c r="AF871" i="18"/>
  <c r="AF870" i="18"/>
  <c r="AF869" i="18"/>
  <c r="AF868" i="18"/>
  <c r="AF867" i="18"/>
  <c r="AF866" i="18"/>
  <c r="AF865" i="18"/>
  <c r="AF864" i="18"/>
  <c r="AF863" i="18"/>
  <c r="AF862" i="18"/>
  <c r="AF861" i="18"/>
  <c r="AF860" i="18"/>
  <c r="AF859" i="18"/>
  <c r="AF858" i="18"/>
  <c r="AF857" i="18"/>
  <c r="AF856" i="18"/>
  <c r="AF855" i="18"/>
  <c r="AF854" i="18"/>
  <c r="AF853" i="18"/>
  <c r="AF852" i="18"/>
  <c r="AF851" i="18"/>
  <c r="AF850" i="18"/>
  <c r="AF849" i="18"/>
  <c r="AF848" i="18"/>
  <c r="AF847" i="18"/>
  <c r="AF846" i="18"/>
  <c r="AF845" i="18"/>
  <c r="AF844" i="18"/>
  <c r="AF843" i="18"/>
  <c r="AF842" i="18"/>
  <c r="AF841" i="18"/>
  <c r="AF840" i="18"/>
  <c r="AF839" i="18"/>
  <c r="AF838" i="18"/>
  <c r="AF837" i="18"/>
  <c r="AF836" i="18"/>
  <c r="AF835" i="18"/>
  <c r="AF834" i="18"/>
  <c r="AF833" i="18"/>
  <c r="AF832" i="18"/>
  <c r="AF831" i="18"/>
  <c r="AF830" i="18"/>
  <c r="AF829" i="18"/>
  <c r="AF828" i="18"/>
  <c r="AF827" i="18"/>
  <c r="AF826" i="18"/>
  <c r="AF825" i="18"/>
  <c r="AF824" i="18"/>
  <c r="AF823" i="18"/>
  <c r="AF822" i="18"/>
  <c r="AF821" i="18"/>
  <c r="AF820" i="18"/>
  <c r="AF819" i="18"/>
  <c r="AF818" i="18"/>
  <c r="AF817" i="18"/>
  <c r="AF816" i="18"/>
  <c r="AF815" i="18"/>
  <c r="AF814" i="18"/>
  <c r="AF813" i="18"/>
  <c r="AF812" i="18"/>
  <c r="AF811" i="18"/>
  <c r="AF810" i="18"/>
  <c r="AF809" i="18"/>
  <c r="AF808" i="18"/>
  <c r="AF807" i="18"/>
  <c r="AF806" i="18"/>
  <c r="AF805" i="18"/>
  <c r="AF804" i="18"/>
  <c r="AF803" i="18"/>
  <c r="AF802" i="18"/>
  <c r="AF801" i="18"/>
  <c r="AF800" i="18"/>
  <c r="AF799" i="18"/>
  <c r="AF798" i="18"/>
  <c r="AF797" i="18"/>
  <c r="AF796" i="18"/>
  <c r="AF795" i="18"/>
  <c r="AF794" i="18"/>
  <c r="AF793" i="18"/>
  <c r="AF792" i="18"/>
  <c r="AF791" i="18"/>
  <c r="AF790" i="18"/>
  <c r="AF789" i="18"/>
  <c r="AF788" i="18"/>
  <c r="AF787" i="18"/>
  <c r="AF786" i="18"/>
  <c r="AF785" i="18"/>
  <c r="AF784" i="18"/>
  <c r="AF783" i="18"/>
  <c r="AF782" i="18"/>
  <c r="AF781" i="18"/>
  <c r="AF780" i="18"/>
  <c r="AF779" i="18"/>
  <c r="AF778" i="18"/>
  <c r="AF777" i="18"/>
  <c r="AF776" i="18"/>
  <c r="AF775" i="18"/>
  <c r="AF774" i="18"/>
  <c r="AF773" i="18"/>
  <c r="AF772" i="18"/>
  <c r="AF771" i="18"/>
  <c r="AF770" i="18"/>
  <c r="AF769" i="18"/>
  <c r="AF768" i="18"/>
  <c r="AF767" i="18"/>
  <c r="AF766" i="18"/>
  <c r="AF765" i="18"/>
  <c r="AF764" i="18"/>
  <c r="AF763" i="18"/>
  <c r="AF762" i="18"/>
  <c r="AF761" i="18"/>
  <c r="AF760" i="18"/>
  <c r="AF759" i="18"/>
  <c r="AF758" i="18"/>
  <c r="AF757" i="18"/>
  <c r="AF756" i="18"/>
  <c r="AF755" i="18"/>
  <c r="AF754" i="18"/>
  <c r="AF753" i="18"/>
  <c r="AF752" i="18"/>
  <c r="AF751" i="18"/>
  <c r="AF750" i="18"/>
  <c r="AF749" i="18"/>
  <c r="AF748" i="18"/>
  <c r="AF747" i="18"/>
  <c r="AF746" i="18"/>
  <c r="AF745" i="18"/>
  <c r="AF744" i="18"/>
  <c r="AF743" i="18"/>
  <c r="AF742" i="18"/>
  <c r="AF741" i="18"/>
  <c r="AF740" i="18"/>
  <c r="AF739" i="18"/>
  <c r="AF738" i="18"/>
  <c r="AF737" i="18"/>
  <c r="AF736" i="18"/>
  <c r="AF735" i="18"/>
  <c r="AF734" i="18"/>
  <c r="AF733" i="18"/>
  <c r="AF732" i="18"/>
  <c r="AF731" i="18"/>
  <c r="AF730" i="18"/>
  <c r="AF729" i="18"/>
  <c r="AF728" i="18"/>
  <c r="AF727" i="18"/>
  <c r="AF726" i="18"/>
  <c r="AF725" i="18"/>
  <c r="AF724" i="18"/>
  <c r="AF723" i="18"/>
  <c r="AF722" i="18"/>
  <c r="AF721" i="18"/>
  <c r="AF720" i="18"/>
  <c r="AF719" i="18"/>
  <c r="AF718" i="18"/>
  <c r="AF717" i="18"/>
  <c r="AF716" i="18"/>
  <c r="AF715" i="18"/>
  <c r="AF714" i="18"/>
  <c r="AF713" i="18"/>
  <c r="AF712" i="18"/>
  <c r="AF711" i="18"/>
  <c r="AF710" i="18"/>
  <c r="AF709" i="18"/>
  <c r="AF708" i="18"/>
  <c r="AF707" i="18"/>
  <c r="AF706" i="18"/>
  <c r="AF705" i="18"/>
  <c r="AF704" i="18"/>
  <c r="AF703" i="18"/>
  <c r="AF702" i="18"/>
  <c r="AF701" i="18"/>
  <c r="AF700" i="18"/>
  <c r="AF699" i="18"/>
  <c r="AF698" i="18"/>
  <c r="AF697" i="18"/>
  <c r="AF696" i="18"/>
  <c r="AF695" i="18"/>
  <c r="AF694" i="18"/>
  <c r="AF693" i="18"/>
  <c r="AF692" i="18"/>
  <c r="AF691" i="18"/>
  <c r="AF690" i="18"/>
  <c r="AF689" i="18"/>
  <c r="AF688" i="18"/>
  <c r="AF687" i="18"/>
  <c r="AF686" i="18"/>
  <c r="AF685" i="18"/>
  <c r="AF684" i="18"/>
  <c r="AF683" i="18"/>
  <c r="AF682" i="18"/>
  <c r="AF681" i="18"/>
  <c r="AF680" i="18"/>
  <c r="AF679" i="18"/>
  <c r="AF678" i="18"/>
  <c r="AF677" i="18"/>
  <c r="AF676" i="18"/>
  <c r="AF675" i="18"/>
  <c r="AF674" i="18"/>
  <c r="AF673" i="18"/>
  <c r="AF672" i="18"/>
  <c r="AF671" i="18"/>
  <c r="AF670" i="18"/>
  <c r="AF669" i="18"/>
  <c r="AF668" i="18"/>
  <c r="AF667" i="18"/>
  <c r="AF666" i="18"/>
  <c r="AF665" i="18"/>
  <c r="AF664" i="18"/>
  <c r="AF663" i="18"/>
  <c r="AF662" i="18"/>
  <c r="AF661" i="18"/>
  <c r="AF660" i="18"/>
  <c r="AF659" i="18"/>
  <c r="AF658" i="18"/>
  <c r="AF657" i="18"/>
  <c r="AF656" i="18"/>
  <c r="AF655" i="18"/>
  <c r="AF654" i="18"/>
  <c r="AF653" i="18"/>
  <c r="AF652" i="18"/>
  <c r="AF651" i="18"/>
  <c r="AF650" i="18"/>
  <c r="AF649" i="18"/>
  <c r="AF648" i="18"/>
  <c r="AF647" i="18"/>
  <c r="AF646" i="18"/>
  <c r="AF645" i="18"/>
  <c r="AF644" i="18"/>
  <c r="AF643" i="18"/>
  <c r="AF642" i="18"/>
  <c r="AF641" i="18"/>
  <c r="AF640" i="18"/>
  <c r="AF639" i="18"/>
  <c r="AF638" i="18"/>
  <c r="AF637" i="18"/>
  <c r="AF636" i="18"/>
  <c r="AF635" i="18"/>
  <c r="AF634" i="18"/>
  <c r="AF633" i="18"/>
  <c r="AF632" i="18"/>
  <c r="AF631" i="18"/>
  <c r="AF630" i="18"/>
  <c r="AF629" i="18"/>
  <c r="AF628" i="18"/>
  <c r="AF627" i="18"/>
  <c r="AF626" i="18"/>
  <c r="AF625" i="18"/>
  <c r="AF624" i="18"/>
  <c r="AF623" i="18"/>
  <c r="AF622" i="18"/>
  <c r="AF621" i="18"/>
  <c r="AF620" i="18"/>
  <c r="AF619" i="18"/>
  <c r="AF618" i="18"/>
  <c r="AF617" i="18"/>
  <c r="AF616" i="18"/>
  <c r="AF615" i="18"/>
  <c r="AF614" i="18"/>
  <c r="AF613" i="18"/>
  <c r="AF612" i="18"/>
  <c r="AF611" i="18"/>
  <c r="AF610" i="18"/>
  <c r="AF609" i="18"/>
  <c r="AF608" i="18"/>
  <c r="AF607" i="18"/>
  <c r="AF606" i="18"/>
  <c r="AF605" i="18"/>
  <c r="AF604" i="18"/>
  <c r="AF603" i="18"/>
  <c r="AF602" i="18"/>
  <c r="AF601" i="18"/>
  <c r="AF600" i="18"/>
  <c r="AF599" i="18"/>
  <c r="AF598" i="18"/>
  <c r="AF597" i="18"/>
  <c r="AF596" i="18"/>
  <c r="AF595" i="18"/>
  <c r="AF594" i="18"/>
  <c r="AF593" i="18"/>
  <c r="AF592" i="18"/>
  <c r="AF591" i="18"/>
  <c r="AF590" i="18"/>
  <c r="AF589" i="18"/>
  <c r="AF588" i="18"/>
  <c r="AF587" i="18"/>
  <c r="AF586" i="18"/>
  <c r="AF585" i="18"/>
  <c r="AF584" i="18"/>
  <c r="AF583" i="18"/>
  <c r="AF582" i="18"/>
  <c r="AF581" i="18"/>
  <c r="AF580" i="18"/>
  <c r="AF579" i="18"/>
  <c r="AF578" i="18"/>
  <c r="AF577" i="18"/>
  <c r="AF576" i="18"/>
  <c r="AF575" i="18"/>
  <c r="AF574" i="18"/>
  <c r="AF573" i="18"/>
  <c r="AF572" i="18"/>
  <c r="AF571" i="18"/>
  <c r="AF570" i="18"/>
  <c r="AF569" i="18"/>
  <c r="AF568" i="18"/>
  <c r="AF567" i="18"/>
  <c r="AF566" i="18"/>
  <c r="AF565" i="18"/>
  <c r="AF564" i="18"/>
  <c r="AF563" i="18"/>
  <c r="AF562" i="18"/>
  <c r="AF561" i="18"/>
  <c r="AF560" i="18"/>
  <c r="AF559" i="18"/>
  <c r="AF558" i="18"/>
  <c r="AF557" i="18"/>
  <c r="AF556" i="18"/>
  <c r="AF555" i="18"/>
  <c r="AF554" i="18"/>
  <c r="AF553" i="18"/>
  <c r="AF552" i="18"/>
  <c r="AF551" i="18"/>
  <c r="AF550" i="18"/>
  <c r="AF549" i="18"/>
  <c r="AF548" i="18"/>
  <c r="AF547" i="18"/>
  <c r="AF546" i="18"/>
  <c r="AF545" i="18"/>
  <c r="AF544" i="18"/>
  <c r="AF543" i="18"/>
  <c r="AF542" i="18"/>
  <c r="AF541" i="18"/>
  <c r="AF540" i="18"/>
  <c r="AF539" i="18"/>
  <c r="AF538" i="18"/>
  <c r="AF537" i="18"/>
  <c r="AF536" i="18"/>
  <c r="AF535" i="18"/>
  <c r="AF534" i="18"/>
  <c r="AF533" i="18"/>
  <c r="AF532" i="18"/>
  <c r="AF531" i="18"/>
  <c r="AF530" i="18"/>
  <c r="AF529" i="18"/>
  <c r="AF528" i="18"/>
  <c r="AF527" i="18"/>
  <c r="AF526" i="18"/>
  <c r="AF525" i="18"/>
  <c r="AF524" i="18"/>
  <c r="AF523" i="18"/>
  <c r="AF522" i="18"/>
  <c r="AF521" i="18"/>
  <c r="AF520" i="18"/>
  <c r="AF519" i="18"/>
  <c r="AF518" i="18"/>
  <c r="AF517" i="18"/>
  <c r="AF516" i="18"/>
  <c r="AF515" i="18"/>
  <c r="AF514" i="18"/>
  <c r="AF513" i="18"/>
  <c r="AF512" i="18"/>
  <c r="AF511" i="18"/>
  <c r="AF510" i="18"/>
  <c r="AF509" i="18"/>
  <c r="AF508" i="18"/>
  <c r="AF507" i="18"/>
  <c r="AF506" i="18"/>
  <c r="AF505" i="18"/>
  <c r="AF504" i="18"/>
  <c r="AF503" i="18"/>
  <c r="AF502" i="18"/>
  <c r="AF501" i="18"/>
  <c r="AF500" i="18"/>
  <c r="AF499" i="18"/>
  <c r="AF498" i="18"/>
  <c r="AF497" i="18"/>
  <c r="AF496" i="18"/>
  <c r="AF495" i="18"/>
  <c r="AF494" i="18"/>
  <c r="AF493" i="18"/>
  <c r="AF492" i="18"/>
  <c r="AF491" i="18"/>
  <c r="AF490" i="18"/>
  <c r="AF489" i="18"/>
  <c r="AF488" i="18"/>
  <c r="AF487" i="18"/>
  <c r="AF486" i="18"/>
  <c r="AF485" i="18"/>
  <c r="AF484" i="18"/>
  <c r="AF483" i="18"/>
  <c r="AF482" i="18"/>
  <c r="AF481" i="18"/>
  <c r="AF480" i="18"/>
  <c r="AF479" i="18"/>
  <c r="AF478" i="18"/>
  <c r="AF477" i="18"/>
  <c r="AF476" i="18"/>
  <c r="AF475" i="18"/>
  <c r="AF474" i="18"/>
  <c r="AF473" i="18"/>
  <c r="AF472" i="18"/>
  <c r="AF471" i="18"/>
  <c r="AF470" i="18"/>
  <c r="AF469" i="18"/>
  <c r="AF468" i="18"/>
  <c r="AF467" i="18"/>
  <c r="AF466" i="18"/>
  <c r="AF465" i="18"/>
  <c r="AF464" i="18"/>
  <c r="AF463" i="18"/>
  <c r="AF462" i="18"/>
  <c r="AF461" i="18"/>
  <c r="AF460" i="18"/>
  <c r="AF459" i="18"/>
  <c r="AF458" i="18"/>
  <c r="AF457" i="18"/>
  <c r="AF456" i="18"/>
  <c r="AF455" i="18"/>
  <c r="AF454" i="18"/>
  <c r="AF453" i="18"/>
  <c r="AF452" i="18"/>
  <c r="AF451" i="18"/>
  <c r="AF450" i="18"/>
  <c r="AF449" i="18"/>
  <c r="AF448" i="18"/>
  <c r="AF447" i="18"/>
  <c r="AF446" i="18"/>
  <c r="AF445" i="18"/>
  <c r="AF444" i="18"/>
  <c r="AF443" i="18"/>
  <c r="AF442" i="18"/>
  <c r="AF441" i="18"/>
  <c r="AF440" i="18"/>
  <c r="AF439" i="18"/>
  <c r="AF438" i="18"/>
  <c r="AF437" i="18"/>
  <c r="AF436" i="18"/>
  <c r="AF435" i="18"/>
  <c r="AF434" i="18"/>
  <c r="AF433" i="18"/>
  <c r="AF432" i="18"/>
  <c r="AF431" i="18"/>
  <c r="AF430" i="18"/>
  <c r="AF429" i="18"/>
  <c r="AF428" i="18"/>
  <c r="AF427" i="18"/>
  <c r="AF426" i="18"/>
  <c r="AF425" i="18"/>
  <c r="AF424" i="18"/>
  <c r="AF423" i="18"/>
  <c r="AF422" i="18"/>
  <c r="AF421" i="18"/>
  <c r="AF420" i="18"/>
  <c r="AF419" i="18"/>
  <c r="AF418" i="18"/>
  <c r="AF417" i="18"/>
  <c r="AF416" i="18"/>
  <c r="AF415" i="18"/>
  <c r="AF414" i="18"/>
  <c r="AF413" i="18"/>
  <c r="AF412" i="18"/>
  <c r="AF411" i="18"/>
  <c r="AF410" i="18"/>
  <c r="AF409" i="18"/>
  <c r="AF408" i="18"/>
  <c r="AF407" i="18"/>
  <c r="AF406" i="18"/>
  <c r="AF405" i="18"/>
  <c r="AF404" i="18"/>
  <c r="AF403" i="18"/>
  <c r="AF402" i="18"/>
  <c r="AF401" i="18"/>
  <c r="AF400" i="18"/>
  <c r="AF399" i="18"/>
  <c r="AF398" i="18"/>
  <c r="AF397" i="18"/>
  <c r="AF396" i="18"/>
  <c r="AF395" i="18"/>
  <c r="AF394" i="18"/>
  <c r="AF393" i="18"/>
  <c r="AF392" i="18"/>
  <c r="AF391" i="18"/>
  <c r="AF390" i="18"/>
  <c r="AF389" i="18"/>
  <c r="AF388" i="18"/>
  <c r="AF387" i="18"/>
  <c r="AF386" i="18"/>
  <c r="AF385" i="18"/>
  <c r="AF384" i="18"/>
  <c r="AF383" i="18"/>
  <c r="AF382" i="18"/>
  <c r="AF381" i="18"/>
  <c r="AF380" i="18"/>
  <c r="AF379" i="18"/>
  <c r="AF378" i="18"/>
  <c r="AF377" i="18"/>
  <c r="AF376" i="18"/>
  <c r="AF375" i="18"/>
  <c r="AF374" i="18"/>
  <c r="AF373" i="18"/>
  <c r="AF372" i="18"/>
  <c r="AF371" i="18"/>
  <c r="AF370" i="18"/>
  <c r="AF369" i="18"/>
  <c r="AF368" i="18"/>
  <c r="AF367" i="18"/>
  <c r="AF366" i="18"/>
  <c r="AF365" i="18"/>
  <c r="AF364" i="18"/>
  <c r="AF363" i="18"/>
  <c r="AF362" i="18"/>
  <c r="AF361" i="18"/>
  <c r="AF360" i="18"/>
  <c r="AF359" i="18"/>
  <c r="AF358" i="18"/>
  <c r="AF357" i="18"/>
  <c r="AF356" i="18"/>
  <c r="AF355" i="18"/>
  <c r="AF354" i="18"/>
  <c r="AF353" i="18"/>
  <c r="AF352" i="18"/>
  <c r="AF351" i="18"/>
  <c r="AF350" i="18"/>
  <c r="AF349" i="18"/>
  <c r="AF348" i="18"/>
  <c r="AF347" i="18"/>
  <c r="AF346" i="18"/>
  <c r="AF345" i="18"/>
  <c r="AF344" i="18"/>
  <c r="AF343" i="18"/>
  <c r="AF342" i="18"/>
  <c r="AF341" i="18"/>
  <c r="AF340" i="18"/>
  <c r="AF339" i="18"/>
  <c r="AF338" i="18"/>
  <c r="AF337" i="18"/>
  <c r="AF336" i="18"/>
  <c r="AF335" i="18"/>
  <c r="AF334" i="18"/>
  <c r="AF333" i="18"/>
  <c r="AF332" i="18"/>
  <c r="AF331" i="18"/>
  <c r="AF330" i="18"/>
  <c r="AF329" i="18"/>
  <c r="AF328" i="18"/>
  <c r="AF327" i="18"/>
  <c r="AF326" i="18"/>
  <c r="AF325" i="18"/>
  <c r="AF324" i="18"/>
  <c r="AF323" i="18"/>
  <c r="AF6" i="18"/>
  <c r="AF7" i="18"/>
  <c r="AF8" i="18"/>
  <c r="AF9" i="18"/>
  <c r="AF10" i="18"/>
  <c r="AF11" i="18"/>
  <c r="AF12" i="18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F37" i="18"/>
  <c r="AF38" i="18"/>
  <c r="AF39" i="18"/>
  <c r="AF40" i="18"/>
  <c r="AF41" i="18"/>
  <c r="AF42" i="18"/>
  <c r="AF43" i="18"/>
  <c r="AF44" i="18"/>
  <c r="AF45" i="18"/>
  <c r="AF46" i="18"/>
  <c r="AF47" i="18"/>
  <c r="AF48" i="18"/>
  <c r="AF49" i="18"/>
  <c r="AF50" i="18"/>
  <c r="AF51" i="18"/>
  <c r="AF52" i="18"/>
  <c r="AF53" i="18"/>
  <c r="AF54" i="18"/>
  <c r="AF55" i="18"/>
  <c r="AF56" i="18"/>
  <c r="AF57" i="18"/>
  <c r="AF58" i="18"/>
  <c r="AF59" i="18"/>
  <c r="AF60" i="18"/>
  <c r="AF61" i="18"/>
  <c r="AF62" i="18"/>
  <c r="AF63" i="18"/>
  <c r="AF64" i="18"/>
  <c r="AF65" i="18"/>
  <c r="AF66" i="18"/>
  <c r="AF67" i="18"/>
  <c r="AF68" i="18"/>
  <c r="AF69" i="18"/>
  <c r="AF70" i="18"/>
  <c r="AF71" i="18"/>
  <c r="AF72" i="18"/>
  <c r="AF73" i="18"/>
  <c r="AF74" i="18"/>
  <c r="AF75" i="18"/>
  <c r="AF76" i="18"/>
  <c r="AF77" i="18"/>
  <c r="AF78" i="18"/>
  <c r="AF79" i="18"/>
  <c r="AF80" i="18"/>
  <c r="AF81" i="18"/>
  <c r="AF82" i="18"/>
  <c r="AF83" i="18"/>
  <c r="AF84" i="18"/>
  <c r="AF85" i="18"/>
  <c r="AF86" i="18"/>
  <c r="AF87" i="18"/>
  <c r="AF88" i="18"/>
  <c r="AF89" i="18"/>
  <c r="AF90" i="18"/>
  <c r="AF91" i="18"/>
  <c r="AF92" i="18"/>
  <c r="AF93" i="18"/>
  <c r="AF94" i="18"/>
  <c r="AF95" i="18"/>
  <c r="AF96" i="18"/>
  <c r="AF97" i="18"/>
  <c r="AF98" i="18"/>
  <c r="AF99" i="18"/>
  <c r="AF100" i="18"/>
  <c r="AF101" i="18"/>
  <c r="AF102" i="18"/>
  <c r="AF103" i="18"/>
  <c r="AF104" i="18"/>
  <c r="AF105" i="18"/>
  <c r="AF106" i="18"/>
  <c r="AF107" i="18"/>
  <c r="AF108" i="18"/>
  <c r="AF109" i="18"/>
  <c r="AF110" i="18"/>
  <c r="AF111" i="18"/>
  <c r="AF112" i="18"/>
  <c r="AF113" i="18"/>
  <c r="AF114" i="18"/>
  <c r="AF115" i="18"/>
  <c r="AF116" i="18"/>
  <c r="AF117" i="18"/>
  <c r="AF118" i="18"/>
  <c r="AF119" i="18"/>
  <c r="AF120" i="18"/>
  <c r="AF121" i="18"/>
  <c r="AF122" i="18"/>
  <c r="AF123" i="18"/>
  <c r="AF124" i="18"/>
  <c r="AF125" i="18"/>
  <c r="AF126" i="18"/>
  <c r="AF127" i="18"/>
  <c r="AF128" i="18"/>
  <c r="AF129" i="18"/>
  <c r="AF130" i="18"/>
  <c r="AF131" i="18"/>
  <c r="AF132" i="18"/>
  <c r="AF133" i="18"/>
  <c r="AF134" i="18"/>
  <c r="AF135" i="18"/>
  <c r="AF136" i="18"/>
  <c r="AF137" i="18"/>
  <c r="AF138" i="18"/>
  <c r="AF139" i="18"/>
  <c r="AF140" i="18"/>
  <c r="AF141" i="18"/>
  <c r="AF142" i="18"/>
  <c r="AF143" i="18"/>
  <c r="AF144" i="18"/>
  <c r="AF145" i="18"/>
  <c r="AF146" i="18"/>
  <c r="AF147" i="18"/>
  <c r="AF148" i="18"/>
  <c r="AF149" i="18"/>
  <c r="AF150" i="18"/>
  <c r="AF151" i="18"/>
  <c r="AF152" i="18"/>
  <c r="AF153" i="18"/>
  <c r="AF154" i="18"/>
  <c r="AF155" i="18"/>
  <c r="AF156" i="18"/>
  <c r="AF157" i="18"/>
  <c r="AF158" i="18"/>
  <c r="AF159" i="18"/>
  <c r="AF160" i="18"/>
  <c r="AF161" i="18"/>
  <c r="AF162" i="18"/>
  <c r="AF163" i="18"/>
  <c r="AF164" i="18"/>
  <c r="AF165" i="18"/>
  <c r="AF166" i="18"/>
  <c r="AF167" i="18"/>
  <c r="AF168" i="18"/>
  <c r="AF169" i="18"/>
  <c r="AF170" i="18"/>
  <c r="AF171" i="18"/>
  <c r="AF172" i="18"/>
  <c r="AF173" i="18"/>
  <c r="AF174" i="18"/>
  <c r="AF175" i="18"/>
  <c r="AF176" i="18"/>
  <c r="AF177" i="18"/>
  <c r="AF178" i="18"/>
  <c r="AF179" i="18"/>
  <c r="AF180" i="18"/>
  <c r="AF181" i="18"/>
  <c r="AF182" i="18"/>
  <c r="AF183" i="18"/>
  <c r="AF184" i="18"/>
  <c r="AF185" i="18"/>
  <c r="AF186" i="18"/>
  <c r="AF187" i="18"/>
  <c r="AF188" i="18"/>
  <c r="AF189" i="18"/>
  <c r="AF190" i="18"/>
  <c r="AF191" i="18"/>
  <c r="AF192" i="18"/>
  <c r="AF193" i="18"/>
  <c r="AF194" i="18"/>
  <c r="AF195" i="18"/>
  <c r="AF196" i="18"/>
  <c r="AF197" i="18"/>
  <c r="AF198" i="18"/>
  <c r="AF199" i="18"/>
  <c r="AF200" i="18"/>
  <c r="AF201" i="18"/>
  <c r="AF202" i="18"/>
  <c r="AF203" i="18"/>
  <c r="AF204" i="18"/>
  <c r="AF205" i="18"/>
  <c r="AF206" i="18"/>
  <c r="AF207" i="18"/>
  <c r="AF208" i="18"/>
  <c r="AF209" i="18"/>
  <c r="AF210" i="18"/>
  <c r="AF211" i="18"/>
  <c r="AF212" i="18"/>
  <c r="AF213" i="18"/>
  <c r="AF214" i="18"/>
  <c r="AF215" i="18"/>
  <c r="AF216" i="18"/>
  <c r="AF217" i="18"/>
  <c r="AF218" i="18"/>
  <c r="AF219" i="18"/>
  <c r="AF220" i="18"/>
  <c r="AF221" i="18"/>
  <c r="AF222" i="18"/>
  <c r="AF223" i="18"/>
  <c r="AF224" i="18"/>
  <c r="AF225" i="18"/>
  <c r="AF226" i="18"/>
  <c r="AF227" i="18"/>
  <c r="AF228" i="18"/>
  <c r="AF229" i="18"/>
  <c r="AF230" i="18"/>
  <c r="AF231" i="18"/>
  <c r="AF232" i="18"/>
  <c r="AF233" i="18"/>
  <c r="AF234" i="18"/>
  <c r="AF235" i="18"/>
  <c r="AF236" i="18"/>
  <c r="AF237" i="18"/>
  <c r="AF238" i="18"/>
  <c r="AF239" i="18"/>
  <c r="AF240" i="18"/>
  <c r="AF241" i="18"/>
  <c r="AF242" i="18"/>
  <c r="AF243" i="18"/>
  <c r="AF244" i="18"/>
  <c r="AF245" i="18"/>
  <c r="AF246" i="18"/>
  <c r="AF247" i="18"/>
  <c r="AF248" i="18"/>
  <c r="AF249" i="18"/>
  <c r="AF250" i="18"/>
  <c r="AF251" i="18"/>
  <c r="AF252" i="18"/>
  <c r="AF253" i="18"/>
  <c r="AF254" i="18"/>
  <c r="AF255" i="18"/>
  <c r="AF256" i="18"/>
  <c r="AF257" i="18"/>
  <c r="AF258" i="18"/>
  <c r="AF259" i="18"/>
  <c r="AF260" i="18"/>
  <c r="AF261" i="18"/>
  <c r="AF262" i="18"/>
  <c r="AF263" i="18"/>
  <c r="AF264" i="18"/>
  <c r="AF265" i="18"/>
  <c r="AF266" i="18"/>
  <c r="AF267" i="18"/>
  <c r="AF268" i="18"/>
  <c r="AF269" i="18"/>
  <c r="AF270" i="18"/>
  <c r="AF271" i="18"/>
  <c r="AF272" i="18"/>
  <c r="AF273" i="18"/>
  <c r="AF274" i="18"/>
  <c r="AF275" i="18"/>
  <c r="AF276" i="18"/>
  <c r="AF277" i="18"/>
  <c r="AF278" i="18"/>
  <c r="AF279" i="18"/>
  <c r="AF280" i="18"/>
  <c r="AF281" i="18"/>
  <c r="AF282" i="18"/>
  <c r="AF283" i="18"/>
  <c r="AF284" i="18"/>
  <c r="AF285" i="18"/>
  <c r="AF286" i="18"/>
  <c r="AF287" i="18"/>
  <c r="AF288" i="18"/>
  <c r="AF289" i="18"/>
  <c r="AF290" i="18"/>
  <c r="AF291" i="18"/>
  <c r="AF292" i="18"/>
  <c r="AF293" i="18"/>
  <c r="AF294" i="18"/>
  <c r="AF295" i="18"/>
  <c r="AF296" i="18"/>
  <c r="AF297" i="18"/>
  <c r="AF298" i="18"/>
  <c r="AF299" i="18"/>
  <c r="AF300" i="18"/>
  <c r="AF301" i="18"/>
  <c r="AF302" i="18"/>
  <c r="AF303" i="18"/>
  <c r="AF304" i="18"/>
  <c r="AF305" i="18"/>
  <c r="AF306" i="18"/>
  <c r="AF307" i="18"/>
  <c r="AF308" i="18"/>
  <c r="AF309" i="18"/>
  <c r="AF310" i="18"/>
  <c r="AF311" i="18"/>
  <c r="AF312" i="18"/>
  <c r="AF313" i="18"/>
  <c r="AF314" i="18"/>
  <c r="AF315" i="18"/>
  <c r="AF316" i="18"/>
  <c r="AF317" i="18"/>
  <c r="AF318" i="18"/>
  <c r="AF319" i="18"/>
  <c r="AF320" i="18"/>
  <c r="AF321" i="18"/>
  <c r="AF322" i="18"/>
  <c r="AF3" i="18"/>
  <c r="AF4" i="18"/>
  <c r="AF5" i="18"/>
  <c r="AF2" i="18"/>
  <c r="AD2" i="18"/>
  <c r="D2065" i="18"/>
  <c r="E2065" i="18"/>
  <c r="F2065" i="18"/>
  <c r="G2065" i="18"/>
  <c r="H2065" i="18"/>
  <c r="I2065" i="18"/>
  <c r="J2065" i="18"/>
  <c r="K2065" i="18"/>
  <c r="L2065" i="18"/>
  <c r="M2065" i="18"/>
  <c r="N2065" i="18"/>
  <c r="O2065" i="18"/>
  <c r="P2065" i="18"/>
  <c r="Q2065" i="18"/>
  <c r="R2065" i="18"/>
  <c r="S2065" i="18"/>
  <c r="T2065" i="18"/>
  <c r="U2065" i="18"/>
  <c r="V2065" i="18"/>
  <c r="W2065" i="18"/>
  <c r="X2065" i="18"/>
  <c r="Y2065" i="18"/>
  <c r="Z2065" i="18"/>
  <c r="AA2065" i="18"/>
  <c r="AB2065" i="18"/>
  <c r="AC2065" i="18"/>
  <c r="AD2065" i="18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9" i="3"/>
  <c r="AK18" i="3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K6" i="11"/>
  <c r="AK5" i="11"/>
  <c r="AK4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AD171" i="17"/>
  <c r="Q171" i="17"/>
  <c r="P171" i="17"/>
  <c r="P172" i="17"/>
  <c r="AD283" i="17"/>
  <c r="AD284" i="17"/>
  <c r="AD285" i="17"/>
  <c r="AD286" i="17"/>
  <c r="AD287" i="17"/>
  <c r="AD288" i="17"/>
  <c r="C289" i="17"/>
  <c r="Q281" i="17"/>
  <c r="Q282" i="17"/>
  <c r="Q283" i="17"/>
  <c r="Q284" i="17"/>
  <c r="Q285" i="17"/>
  <c r="Q286" i="17"/>
  <c r="Q287" i="17"/>
  <c r="Q288" i="17"/>
  <c r="P280" i="17"/>
  <c r="P281" i="17"/>
  <c r="P282" i="17"/>
  <c r="P283" i="17"/>
  <c r="P284" i="17"/>
  <c r="P285" i="17"/>
  <c r="P286" i="17"/>
  <c r="P287" i="17"/>
  <c r="P288" i="17"/>
  <c r="AD165" i="17"/>
  <c r="AD166" i="17"/>
  <c r="AD163" i="17"/>
  <c r="Q166" i="17"/>
  <c r="Q165" i="17"/>
  <c r="Q163" i="17"/>
  <c r="P163" i="17"/>
  <c r="P164" i="17"/>
  <c r="P165" i="17"/>
  <c r="AE165" i="17" s="1"/>
  <c r="P166" i="17"/>
  <c r="AE166" i="17" s="1"/>
  <c r="P167" i="17"/>
  <c r="P168" i="17"/>
  <c r="AD136" i="17"/>
  <c r="AD137" i="17"/>
  <c r="AD138" i="17"/>
  <c r="Q136" i="17"/>
  <c r="Q137" i="17"/>
  <c r="Q138" i="17"/>
  <c r="P137" i="17"/>
  <c r="P138" i="17"/>
  <c r="P139" i="17"/>
  <c r="P140" i="17"/>
  <c r="AD101" i="17"/>
  <c r="AD102" i="17"/>
  <c r="AD103" i="17"/>
  <c r="Q101" i="17"/>
  <c r="Q102" i="17"/>
  <c r="Q103" i="17"/>
  <c r="P100" i="17"/>
  <c r="P101" i="17"/>
  <c r="P102" i="17"/>
  <c r="P103" i="17"/>
  <c r="P104" i="17"/>
  <c r="AD325" i="14"/>
  <c r="AD326" i="14"/>
  <c r="AD327" i="14"/>
  <c r="AF327" i="14" s="1"/>
  <c r="AD328" i="14"/>
  <c r="Q323" i="14"/>
  <c r="Q324" i="14"/>
  <c r="Q325" i="14"/>
  <c r="Q326" i="14"/>
  <c r="Q327" i="14"/>
  <c r="Q328" i="14"/>
  <c r="P323" i="14"/>
  <c r="P324" i="14"/>
  <c r="P325" i="14"/>
  <c r="P326" i="14"/>
  <c r="P327" i="14"/>
  <c r="P328" i="14"/>
  <c r="C329" i="14"/>
  <c r="AD73" i="14"/>
  <c r="AD74" i="14"/>
  <c r="AD75" i="14"/>
  <c r="AD76" i="14"/>
  <c r="AD77" i="14"/>
  <c r="Q71" i="14"/>
  <c r="Q72" i="14"/>
  <c r="Q73" i="14"/>
  <c r="Q74" i="14"/>
  <c r="Q75" i="14"/>
  <c r="Q76" i="14"/>
  <c r="Q77" i="14"/>
  <c r="P72" i="14"/>
  <c r="P73" i="14"/>
  <c r="P74" i="14"/>
  <c r="P75" i="14"/>
  <c r="P76" i="14"/>
  <c r="P77" i="14"/>
  <c r="P78" i="14"/>
  <c r="P79" i="14"/>
  <c r="P80" i="14"/>
  <c r="P81" i="14"/>
  <c r="AD664" i="5"/>
  <c r="AD665" i="5"/>
  <c r="AD666" i="5"/>
  <c r="AD667" i="5"/>
  <c r="AD668" i="5"/>
  <c r="AD669" i="5"/>
  <c r="AD670" i="5"/>
  <c r="AD671" i="5"/>
  <c r="AD672" i="5"/>
  <c r="AD673" i="5"/>
  <c r="AD674" i="5"/>
  <c r="AD675" i="5"/>
  <c r="AD676" i="5"/>
  <c r="AD677" i="5"/>
  <c r="AE677" i="5" s="1"/>
  <c r="Q677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C678" i="5"/>
  <c r="AD485" i="5"/>
  <c r="AD486" i="5"/>
  <c r="AD488" i="5"/>
  <c r="AD489" i="5"/>
  <c r="AD490" i="5"/>
  <c r="AD491" i="5"/>
  <c r="AD492" i="5"/>
  <c r="AD466" i="5"/>
  <c r="AD467" i="5"/>
  <c r="AD468" i="5"/>
  <c r="AD469" i="5"/>
  <c r="AE469" i="5" s="1"/>
  <c r="Q488" i="5"/>
  <c r="Q489" i="5"/>
  <c r="Q490" i="5"/>
  <c r="Q491" i="5"/>
  <c r="Q492" i="5"/>
  <c r="P488" i="5"/>
  <c r="P489" i="5"/>
  <c r="P490" i="5"/>
  <c r="P491" i="5"/>
  <c r="P492" i="5"/>
  <c r="P493" i="5"/>
  <c r="Q466" i="5"/>
  <c r="Q467" i="5"/>
  <c r="Q468" i="5"/>
  <c r="Q469" i="5"/>
  <c r="P466" i="5"/>
  <c r="P467" i="5"/>
  <c r="P468" i="5"/>
  <c r="P469" i="5"/>
  <c r="AD324" i="5"/>
  <c r="AD325" i="5"/>
  <c r="AD326" i="5"/>
  <c r="Q323" i="5"/>
  <c r="Q324" i="5"/>
  <c r="Q325" i="5"/>
  <c r="Q326" i="5"/>
  <c r="P322" i="5"/>
  <c r="P323" i="5"/>
  <c r="P324" i="5"/>
  <c r="P325" i="5"/>
  <c r="P326" i="5"/>
  <c r="P327" i="5"/>
  <c r="P328" i="5"/>
  <c r="P329" i="5"/>
  <c r="AE2062" i="18"/>
  <c r="AE2063" i="18"/>
  <c r="AE2064" i="18"/>
  <c r="AD2061" i="18"/>
  <c r="AD2062" i="18"/>
  <c r="AD2063" i="18"/>
  <c r="AD2064" i="18"/>
  <c r="C2065" i="18"/>
  <c r="Q2064" i="18"/>
  <c r="Q2053" i="18"/>
  <c r="Q2054" i="18"/>
  <c r="Q2055" i="18"/>
  <c r="Q2056" i="18"/>
  <c r="Q2057" i="18"/>
  <c r="Q2058" i="18"/>
  <c r="Q2059" i="18"/>
  <c r="Q2060" i="18"/>
  <c r="Q2061" i="18"/>
  <c r="Q2062" i="18"/>
  <c r="Q2063" i="18"/>
  <c r="P2057" i="18"/>
  <c r="P2058" i="18"/>
  <c r="P2059" i="18"/>
  <c r="P2060" i="18"/>
  <c r="P2061" i="18"/>
  <c r="P2062" i="18"/>
  <c r="P2063" i="18"/>
  <c r="P2064" i="18"/>
  <c r="AE286" i="17" l="1"/>
  <c r="AE171" i="17"/>
  <c r="AE287" i="17"/>
  <c r="AE163" i="17"/>
  <c r="AE285" i="17"/>
  <c r="AE288" i="17"/>
  <c r="AE102" i="17"/>
  <c r="AE138" i="17"/>
  <c r="AE137" i="17"/>
  <c r="AE103" i="17"/>
  <c r="AF326" i="14"/>
  <c r="AF325" i="14"/>
  <c r="AF328" i="14"/>
  <c r="AF75" i="14"/>
  <c r="AF77" i="14"/>
  <c r="AF73" i="14"/>
  <c r="AF76" i="14"/>
  <c r="AF74" i="14"/>
  <c r="AE676" i="5"/>
  <c r="AE671" i="5"/>
  <c r="AE674" i="5"/>
  <c r="AE670" i="5"/>
  <c r="AE666" i="5"/>
  <c r="AE673" i="5"/>
  <c r="AE669" i="5"/>
  <c r="AE665" i="5"/>
  <c r="AE672" i="5"/>
  <c r="AE668" i="5"/>
  <c r="AE664" i="5"/>
  <c r="AE675" i="5"/>
  <c r="AE667" i="5"/>
  <c r="AE491" i="5"/>
  <c r="AE467" i="5"/>
  <c r="AE466" i="5"/>
  <c r="AE489" i="5"/>
  <c r="AE488" i="5"/>
  <c r="AE490" i="5"/>
  <c r="AE468" i="5"/>
  <c r="AE326" i="5"/>
  <c r="AE325" i="5"/>
  <c r="AE324" i="5"/>
  <c r="AD1312" i="18"/>
  <c r="AD1313" i="18"/>
  <c r="AD1314" i="18"/>
  <c r="AD1315" i="18"/>
  <c r="AE1315" i="18" s="1"/>
  <c r="AD1316" i="18"/>
  <c r="AD1317" i="18"/>
  <c r="Q1312" i="18"/>
  <c r="Q1313" i="18"/>
  <c r="Q1314" i="18"/>
  <c r="Q1315" i="18"/>
  <c r="Q1316" i="18"/>
  <c r="Q1317" i="18"/>
  <c r="P1312" i="18"/>
  <c r="P1313" i="18"/>
  <c r="P1314" i="18"/>
  <c r="P1315" i="18"/>
  <c r="P1316" i="18"/>
  <c r="P1317" i="18"/>
  <c r="AD1011" i="18"/>
  <c r="AD1012" i="18"/>
  <c r="AD1013" i="18"/>
  <c r="AD988" i="18"/>
  <c r="AD989" i="18"/>
  <c r="AD990" i="18"/>
  <c r="AD991" i="18"/>
  <c r="AD992" i="18"/>
  <c r="AD993" i="18"/>
  <c r="Q1007" i="18"/>
  <c r="Q1008" i="18"/>
  <c r="Q1009" i="18"/>
  <c r="Q1010" i="18"/>
  <c r="Q1011" i="18"/>
  <c r="Q1012" i="18"/>
  <c r="Q1013" i="18"/>
  <c r="Q987" i="18"/>
  <c r="Q988" i="18"/>
  <c r="Q989" i="18"/>
  <c r="Q990" i="18"/>
  <c r="Q991" i="18"/>
  <c r="Q992" i="18"/>
  <c r="Q993" i="18"/>
  <c r="P988" i="18"/>
  <c r="P989" i="18"/>
  <c r="P990" i="18"/>
  <c r="P991" i="18"/>
  <c r="P992" i="18"/>
  <c r="P993" i="18"/>
  <c r="P994" i="18"/>
  <c r="P995" i="18"/>
  <c r="P996" i="18"/>
  <c r="P997" i="18"/>
  <c r="P998" i="18"/>
  <c r="P999" i="18"/>
  <c r="P1000" i="18"/>
  <c r="P1001" i="18"/>
  <c r="P1002" i="18"/>
  <c r="P1003" i="18"/>
  <c r="P1004" i="18"/>
  <c r="P1005" i="18"/>
  <c r="P1006" i="18"/>
  <c r="P1007" i="18"/>
  <c r="P1008" i="18"/>
  <c r="P1009" i="18"/>
  <c r="P1010" i="18"/>
  <c r="P1011" i="18"/>
  <c r="P1012" i="18"/>
  <c r="P1013" i="18"/>
  <c r="P1014" i="18"/>
  <c r="P1015" i="18"/>
  <c r="P1016" i="18"/>
  <c r="P1017" i="18"/>
  <c r="P1018" i="18"/>
  <c r="P1019" i="18"/>
  <c r="P1020" i="18"/>
  <c r="P1021" i="18"/>
  <c r="P1022" i="18"/>
  <c r="AD662" i="18"/>
  <c r="AD663" i="18"/>
  <c r="AD664" i="18"/>
  <c r="Q659" i="18"/>
  <c r="Q660" i="18"/>
  <c r="Q661" i="18"/>
  <c r="Q662" i="18"/>
  <c r="Q663" i="18"/>
  <c r="Q664" i="18"/>
  <c r="P661" i="18"/>
  <c r="P662" i="18"/>
  <c r="P663" i="18"/>
  <c r="P664" i="18"/>
  <c r="P665" i="18"/>
  <c r="P666" i="18"/>
  <c r="AE1314" i="18" l="1"/>
  <c r="AE1313" i="18"/>
  <c r="AE1013" i="18"/>
  <c r="AE1316" i="18"/>
  <c r="AE1312" i="18"/>
  <c r="AE1317" i="18"/>
  <c r="AE991" i="18"/>
  <c r="AE664" i="18"/>
  <c r="AE993" i="18"/>
  <c r="AE663" i="18"/>
  <c r="AE992" i="18"/>
  <c r="AE988" i="18"/>
  <c r="AE989" i="18"/>
  <c r="AE662" i="18"/>
  <c r="AE990" i="18"/>
  <c r="AE1012" i="18"/>
  <c r="AE1011" i="18"/>
  <c r="AE284" i="3"/>
  <c r="AE285" i="3"/>
  <c r="AD280" i="3"/>
  <c r="AD281" i="3"/>
  <c r="AD282" i="3"/>
  <c r="AD283" i="3"/>
  <c r="AD284" i="3"/>
  <c r="AD285" i="3"/>
  <c r="AD286" i="3"/>
  <c r="Q277" i="3"/>
  <c r="Q278" i="3"/>
  <c r="Q279" i="3"/>
  <c r="Q280" i="3"/>
  <c r="Q281" i="3"/>
  <c r="Q282" i="3"/>
  <c r="Q283" i="3"/>
  <c r="Q284" i="3"/>
  <c r="Q285" i="3"/>
  <c r="Q28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AD394" i="11"/>
  <c r="AD395" i="11"/>
  <c r="AD396" i="11"/>
  <c r="AE396" i="11" s="1"/>
  <c r="AD397" i="11"/>
  <c r="AD398" i="11"/>
  <c r="AE398" i="11" s="1"/>
  <c r="Q393" i="11"/>
  <c r="Q394" i="11"/>
  <c r="Q395" i="11"/>
  <c r="Q396" i="11"/>
  <c r="Q397" i="11"/>
  <c r="Q398" i="11"/>
  <c r="P395" i="11"/>
  <c r="P396" i="11"/>
  <c r="P397" i="11"/>
  <c r="P398" i="11"/>
  <c r="P399" i="11"/>
  <c r="P400" i="11"/>
  <c r="P401" i="11"/>
  <c r="P402" i="11"/>
  <c r="AD2057" i="18"/>
  <c r="AD2058" i="18"/>
  <c r="AD2059" i="18"/>
  <c r="AD2060" i="18"/>
  <c r="P1318" i="18"/>
  <c r="P1319" i="18"/>
  <c r="P1320" i="18"/>
  <c r="P1321" i="18"/>
  <c r="P1322" i="18"/>
  <c r="AD2050" i="18"/>
  <c r="AD2051" i="18"/>
  <c r="AD2052" i="18"/>
  <c r="AD2053" i="18"/>
  <c r="AD2054" i="18"/>
  <c r="AD2055" i="18"/>
  <c r="AD2056" i="18"/>
  <c r="Q2048" i="18"/>
  <c r="Q2049" i="18"/>
  <c r="Q2050" i="18"/>
  <c r="Q2051" i="18"/>
  <c r="Q2052" i="18"/>
  <c r="P2049" i="18"/>
  <c r="P2050" i="18"/>
  <c r="P2051" i="18"/>
  <c r="P2052" i="18"/>
  <c r="P2053" i="18"/>
  <c r="P2054" i="18"/>
  <c r="P2055" i="18"/>
  <c r="P2056" i="18"/>
  <c r="AD1168" i="18"/>
  <c r="AD1169" i="18"/>
  <c r="AD1170" i="18"/>
  <c r="Q1168" i="18"/>
  <c r="Q1169" i="18"/>
  <c r="Q1170" i="18"/>
  <c r="P1166" i="18"/>
  <c r="P1167" i="18"/>
  <c r="P1168" i="18"/>
  <c r="P1169" i="18"/>
  <c r="P1170" i="18"/>
  <c r="P1171" i="18"/>
  <c r="P1172" i="18"/>
  <c r="P1173" i="18"/>
  <c r="P1174" i="18"/>
  <c r="P1175" i="18"/>
  <c r="AD1055" i="18"/>
  <c r="AD1056" i="18"/>
  <c r="AD1057" i="18"/>
  <c r="Q1055" i="18"/>
  <c r="Q1056" i="18"/>
  <c r="Q1057" i="18"/>
  <c r="P1054" i="18"/>
  <c r="P1055" i="18"/>
  <c r="P1056" i="18"/>
  <c r="P1057" i="18"/>
  <c r="P1058" i="18"/>
  <c r="P1059" i="18"/>
  <c r="P1060" i="18"/>
  <c r="AD943" i="18"/>
  <c r="AD944" i="18"/>
  <c r="Q941" i="18"/>
  <c r="Q942" i="18"/>
  <c r="Q943" i="18"/>
  <c r="Q944" i="18"/>
  <c r="P940" i="18"/>
  <c r="P941" i="18"/>
  <c r="P942" i="18"/>
  <c r="P943" i="18"/>
  <c r="P944" i="18"/>
  <c r="P945" i="18"/>
  <c r="P946" i="18"/>
  <c r="P947" i="18"/>
  <c r="P948" i="18"/>
  <c r="P949" i="18"/>
  <c r="P950" i="18"/>
  <c r="P951" i="18"/>
  <c r="P952" i="18"/>
  <c r="P953" i="18"/>
  <c r="P954" i="18"/>
  <c r="P955" i="18"/>
  <c r="AD840" i="18"/>
  <c r="Q834" i="18"/>
  <c r="Q835" i="18"/>
  <c r="Q836" i="18"/>
  <c r="Q837" i="18"/>
  <c r="Q838" i="18"/>
  <c r="Q839" i="18"/>
  <c r="Q840" i="18"/>
  <c r="P835" i="18"/>
  <c r="P836" i="18"/>
  <c r="P837" i="18"/>
  <c r="P838" i="18"/>
  <c r="P839" i="18"/>
  <c r="P840" i="18"/>
  <c r="P841" i="18"/>
  <c r="P842" i="18"/>
  <c r="P843" i="18"/>
  <c r="AD753" i="18"/>
  <c r="AD754" i="18"/>
  <c r="AD755" i="18"/>
  <c r="Q754" i="18"/>
  <c r="Q755" i="18"/>
  <c r="P752" i="18"/>
  <c r="P753" i="18"/>
  <c r="P754" i="18"/>
  <c r="P755" i="18"/>
  <c r="P756" i="18"/>
  <c r="P757" i="18"/>
  <c r="P758" i="18"/>
  <c r="AD656" i="18"/>
  <c r="AD657" i="18"/>
  <c r="AD658" i="18"/>
  <c r="AD659" i="18"/>
  <c r="AD660" i="18"/>
  <c r="AD661" i="18"/>
  <c r="Q656" i="18"/>
  <c r="Q657" i="18"/>
  <c r="Q658" i="18"/>
  <c r="P655" i="18"/>
  <c r="P656" i="18"/>
  <c r="P657" i="18"/>
  <c r="P658" i="18"/>
  <c r="P659" i="18"/>
  <c r="P660" i="18"/>
  <c r="AD319" i="18"/>
  <c r="AD320" i="18"/>
  <c r="AD321" i="18"/>
  <c r="AD322" i="18"/>
  <c r="Q320" i="18"/>
  <c r="Q321" i="18"/>
  <c r="Q322" i="18"/>
  <c r="P319" i="18"/>
  <c r="P320" i="18"/>
  <c r="P321" i="18"/>
  <c r="P322" i="18"/>
  <c r="P323" i="18"/>
  <c r="P324" i="18"/>
  <c r="P325" i="18"/>
  <c r="P326" i="18"/>
  <c r="P327" i="18"/>
  <c r="AD436" i="3"/>
  <c r="AD437" i="3"/>
  <c r="AD407" i="3"/>
  <c r="AD408" i="3"/>
  <c r="AD409" i="3"/>
  <c r="Q435" i="3"/>
  <c r="Q436" i="3"/>
  <c r="Q437" i="3"/>
  <c r="Q408" i="3"/>
  <c r="Q409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AD273" i="3"/>
  <c r="AD274" i="3"/>
  <c r="AD275" i="3"/>
  <c r="AD276" i="3"/>
  <c r="AD277" i="3"/>
  <c r="AD278" i="3"/>
  <c r="AD279" i="3"/>
  <c r="Q272" i="3"/>
  <c r="Q273" i="3"/>
  <c r="Q274" i="3"/>
  <c r="Q275" i="3"/>
  <c r="Q276" i="3"/>
  <c r="P269" i="3"/>
  <c r="P270" i="3"/>
  <c r="P271" i="3"/>
  <c r="P272" i="3"/>
  <c r="P273" i="3"/>
  <c r="P274" i="3"/>
  <c r="P275" i="3"/>
  <c r="P276" i="3"/>
  <c r="P289" i="3"/>
  <c r="AD144" i="3"/>
  <c r="AD141" i="3"/>
  <c r="AD142" i="3"/>
  <c r="AD143" i="3"/>
  <c r="Q143" i="3"/>
  <c r="Q144" i="3"/>
  <c r="P141" i="3"/>
  <c r="P142" i="3"/>
  <c r="P143" i="3"/>
  <c r="P144" i="3"/>
  <c r="P145" i="3"/>
  <c r="AD393" i="11"/>
  <c r="Q388" i="11"/>
  <c r="Q389" i="11"/>
  <c r="Q390" i="11"/>
  <c r="Q391" i="11"/>
  <c r="Q392" i="11"/>
  <c r="P386" i="11"/>
  <c r="P387" i="11"/>
  <c r="P388" i="11"/>
  <c r="P389" i="11"/>
  <c r="P390" i="11"/>
  <c r="P391" i="11"/>
  <c r="P392" i="11"/>
  <c r="P393" i="11"/>
  <c r="P394" i="11"/>
  <c r="P113" i="17"/>
  <c r="AE409" i="3" l="1"/>
  <c r="AE436" i="3"/>
  <c r="AE408" i="3"/>
  <c r="AE283" i="3"/>
  <c r="AE286" i="3"/>
  <c r="AE397" i="11"/>
  <c r="AE2060" i="18"/>
  <c r="AE2061" i="18"/>
  <c r="AE2058" i="18"/>
  <c r="AE2054" i="18"/>
  <c r="AE2057" i="18"/>
  <c r="AE2056" i="18"/>
  <c r="AE2052" i="18"/>
  <c r="AE281" i="3"/>
  <c r="AE277" i="3"/>
  <c r="AE437" i="3"/>
  <c r="AE280" i="3"/>
  <c r="AE276" i="3"/>
  <c r="AE394" i="11"/>
  <c r="AE2053" i="18"/>
  <c r="AE2059" i="18"/>
  <c r="AE2055" i="18"/>
  <c r="AE2051" i="18"/>
  <c r="AE1168" i="18"/>
  <c r="AE1170" i="18"/>
  <c r="AE1057" i="18"/>
  <c r="AE1169" i="18"/>
  <c r="AE944" i="18"/>
  <c r="AE1056" i="18"/>
  <c r="AE943" i="18"/>
  <c r="AE753" i="18"/>
  <c r="AE755" i="18"/>
  <c r="AE840" i="18"/>
  <c r="AE754" i="18"/>
  <c r="AE658" i="18"/>
  <c r="AE661" i="18"/>
  <c r="AE660" i="18"/>
  <c r="AE659" i="18"/>
  <c r="AE321" i="18"/>
  <c r="AE322" i="18"/>
  <c r="AE279" i="3"/>
  <c r="AE275" i="3"/>
  <c r="AE282" i="3"/>
  <c r="AE278" i="3"/>
  <c r="AE142" i="3"/>
  <c r="AE144" i="3"/>
  <c r="AE143" i="3"/>
  <c r="AE395" i="11"/>
  <c r="AE393" i="11"/>
  <c r="Q179" i="17"/>
  <c r="Q180" i="17"/>
  <c r="Q181" i="17"/>
  <c r="Q182" i="17"/>
  <c r="Q183" i="17"/>
  <c r="Q184" i="17"/>
  <c r="Q185" i="17"/>
  <c r="Q186" i="17"/>
  <c r="Q187" i="17"/>
  <c r="Q188" i="17"/>
  <c r="Q189" i="17"/>
  <c r="Q190" i="17"/>
  <c r="Q191" i="17"/>
  <c r="Q192" i="17"/>
  <c r="Q193" i="17"/>
  <c r="Q194" i="17"/>
  <c r="Q195" i="17"/>
  <c r="Q196" i="17"/>
  <c r="Q197" i="17"/>
  <c r="Q198" i="17"/>
  <c r="Q199" i="17"/>
  <c r="Q200" i="17"/>
  <c r="Q201" i="17"/>
  <c r="Q202" i="17"/>
  <c r="Q203" i="17"/>
  <c r="Q204" i="17"/>
  <c r="Q205" i="17"/>
  <c r="Q206" i="17"/>
  <c r="Q207" i="17"/>
  <c r="Q208" i="17"/>
  <c r="Q209" i="17"/>
  <c r="Q210" i="17"/>
  <c r="Q211" i="17"/>
  <c r="Q212" i="17"/>
  <c r="Q213" i="17"/>
  <c r="Q214" i="17"/>
  <c r="Q215" i="17"/>
  <c r="Q216" i="17"/>
  <c r="Q217" i="17"/>
  <c r="Q218" i="17"/>
  <c r="Q219" i="17"/>
  <c r="Q220" i="17"/>
  <c r="Q221" i="17"/>
  <c r="Q222" i="17"/>
  <c r="Q223" i="17"/>
  <c r="Q224" i="17"/>
  <c r="Q225" i="17"/>
  <c r="Q226" i="17"/>
  <c r="Q227" i="17"/>
  <c r="Q228" i="17"/>
  <c r="Q229" i="17"/>
  <c r="Q230" i="17"/>
  <c r="Q231" i="17"/>
  <c r="Q232" i="17"/>
  <c r="Q233" i="17"/>
  <c r="Q234" i="17"/>
  <c r="Q235" i="17"/>
  <c r="Q236" i="17"/>
  <c r="Q237" i="17"/>
  <c r="Q238" i="17"/>
  <c r="Q239" i="17"/>
  <c r="Q240" i="17"/>
  <c r="Q241" i="17"/>
  <c r="Q242" i="17"/>
  <c r="Q243" i="17"/>
  <c r="Q244" i="17"/>
  <c r="Q245" i="17"/>
  <c r="Q246" i="17"/>
  <c r="Q247" i="17"/>
  <c r="Q248" i="17"/>
  <c r="Q249" i="17"/>
  <c r="Q250" i="17"/>
  <c r="Q251" i="17"/>
  <c r="Q252" i="17"/>
  <c r="Q253" i="17"/>
  <c r="Q254" i="17"/>
  <c r="Q255" i="17"/>
  <c r="Q256" i="17"/>
  <c r="Q257" i="17"/>
  <c r="Q258" i="17"/>
  <c r="Q259" i="17"/>
  <c r="Q260" i="17"/>
  <c r="Q261" i="17"/>
  <c r="Q262" i="17"/>
  <c r="Q263" i="17"/>
  <c r="Q264" i="17"/>
  <c r="Q265" i="17"/>
  <c r="Q266" i="17"/>
  <c r="Q267" i="17"/>
  <c r="Q268" i="17"/>
  <c r="Q269" i="17"/>
  <c r="Q270" i="17"/>
  <c r="Q271" i="17"/>
  <c r="Q272" i="17"/>
  <c r="Q273" i="17"/>
  <c r="Q274" i="17"/>
  <c r="Q275" i="17"/>
  <c r="Q276" i="17"/>
  <c r="Q277" i="17"/>
  <c r="Q278" i="17"/>
  <c r="Q279" i="17"/>
  <c r="Q280" i="17"/>
  <c r="Q178" i="17"/>
  <c r="Q177" i="17"/>
  <c r="Q176" i="17"/>
  <c r="Q175" i="17"/>
  <c r="Q174" i="17"/>
  <c r="Q173" i="17"/>
  <c r="Q172" i="17"/>
  <c r="Q170" i="17"/>
  <c r="Q169" i="17"/>
  <c r="Q168" i="17"/>
  <c r="Q167" i="17"/>
  <c r="Q164" i="17"/>
  <c r="Q162" i="17"/>
  <c r="Q161" i="17"/>
  <c r="Q160" i="17"/>
  <c r="Q159" i="17"/>
  <c r="Q158" i="17"/>
  <c r="Q157" i="17"/>
  <c r="Q156" i="17"/>
  <c r="Q155" i="17"/>
  <c r="Q154" i="17"/>
  <c r="Q153" i="17"/>
  <c r="Q152" i="17"/>
  <c r="Q151" i="17"/>
  <c r="Q150" i="17"/>
  <c r="Q149" i="17"/>
  <c r="Q148" i="17"/>
  <c r="Q147" i="17"/>
  <c r="Q146" i="17"/>
  <c r="Q145" i="17"/>
  <c r="Q144" i="17"/>
  <c r="Q143" i="17"/>
  <c r="Q142" i="17"/>
  <c r="Q141" i="17"/>
  <c r="Q140" i="17"/>
  <c r="Q139" i="17"/>
  <c r="Q135" i="17"/>
  <c r="Q134" i="17"/>
  <c r="Q133" i="17"/>
  <c r="Q132" i="17"/>
  <c r="Q131" i="17"/>
  <c r="Q130" i="17"/>
  <c r="Q129" i="17"/>
  <c r="Q128" i="17"/>
  <c r="Q127" i="17"/>
  <c r="Q126" i="17"/>
  <c r="Q125" i="17"/>
  <c r="Q124" i="17"/>
  <c r="Q123" i="17"/>
  <c r="Q122" i="17"/>
  <c r="Q121" i="17"/>
  <c r="Q120" i="17"/>
  <c r="Q119" i="17"/>
  <c r="Q118" i="17"/>
  <c r="Q117" i="17"/>
  <c r="Q116" i="17"/>
  <c r="Q115" i="17"/>
  <c r="Q114" i="17"/>
  <c r="Q113" i="17"/>
  <c r="Q112" i="17"/>
  <c r="Q111" i="17"/>
  <c r="Q110" i="17"/>
  <c r="Q109" i="17"/>
  <c r="Q108" i="17"/>
  <c r="Q107" i="17"/>
  <c r="Q106" i="17"/>
  <c r="Q105" i="17"/>
  <c r="Q104" i="17"/>
  <c r="Q100" i="17"/>
  <c r="Q99" i="17"/>
  <c r="Q98" i="17"/>
  <c r="Q97" i="17"/>
  <c r="Q96" i="17"/>
  <c r="Q95" i="17"/>
  <c r="Q94" i="17"/>
  <c r="Q93" i="17"/>
  <c r="Q92" i="17"/>
  <c r="Q91" i="17"/>
  <c r="Q90" i="17"/>
  <c r="Q89" i="17"/>
  <c r="Q88" i="17"/>
  <c r="Q87" i="17"/>
  <c r="Q86" i="17"/>
  <c r="Q85" i="17"/>
  <c r="Q84" i="17"/>
  <c r="Q83" i="17"/>
  <c r="Q82" i="17"/>
  <c r="Q81" i="17"/>
  <c r="Q80" i="17"/>
  <c r="Q79" i="17"/>
  <c r="Q78" i="17"/>
  <c r="Q77" i="17"/>
  <c r="Q76" i="17"/>
  <c r="Q75" i="17"/>
  <c r="Q74" i="17"/>
  <c r="Q73" i="17"/>
  <c r="Q72" i="17"/>
  <c r="Q71" i="17"/>
  <c r="Q70" i="17"/>
  <c r="Q69" i="17"/>
  <c r="Q68" i="17"/>
  <c r="Q67" i="17"/>
  <c r="Q66" i="17"/>
  <c r="Q65" i="17"/>
  <c r="Q64" i="17"/>
  <c r="Q63" i="17"/>
  <c r="Q62" i="17"/>
  <c r="Q61" i="17"/>
  <c r="Q60" i="17"/>
  <c r="Q59" i="17"/>
  <c r="Q58" i="17"/>
  <c r="Q57" i="17"/>
  <c r="Q56" i="17"/>
  <c r="Q55" i="17"/>
  <c r="Q54" i="17"/>
  <c r="Q53" i="17"/>
  <c r="Q52" i="17"/>
  <c r="Q51" i="17"/>
  <c r="Q50" i="17"/>
  <c r="Q49" i="17"/>
  <c r="Q48" i="17"/>
  <c r="Q47" i="17"/>
  <c r="Q46" i="17"/>
  <c r="Q45" i="17"/>
  <c r="Q44" i="17"/>
  <c r="Q43" i="17"/>
  <c r="Q42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3" i="17"/>
  <c r="Q2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5" i="17"/>
  <c r="P106" i="17"/>
  <c r="P107" i="17"/>
  <c r="P108" i="17"/>
  <c r="P109" i="17"/>
  <c r="P110" i="17"/>
  <c r="P111" i="17"/>
  <c r="P112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AE136" i="17" s="1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9" i="17"/>
  <c r="P170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P185" i="17"/>
  <c r="P186" i="17"/>
  <c r="P187" i="17"/>
  <c r="P188" i="17"/>
  <c r="P189" i="17"/>
  <c r="P190" i="17"/>
  <c r="P191" i="17"/>
  <c r="P192" i="17"/>
  <c r="P193" i="17"/>
  <c r="P194" i="17"/>
  <c r="P195" i="17"/>
  <c r="P196" i="17"/>
  <c r="P197" i="17"/>
  <c r="P198" i="17"/>
  <c r="P199" i="17"/>
  <c r="P200" i="17"/>
  <c r="P201" i="17"/>
  <c r="P202" i="17"/>
  <c r="P203" i="17"/>
  <c r="P204" i="17"/>
  <c r="P205" i="17"/>
  <c r="P206" i="17"/>
  <c r="P207" i="17"/>
  <c r="P208" i="17"/>
  <c r="P209" i="17"/>
  <c r="P210" i="17"/>
  <c r="P211" i="17"/>
  <c r="P212" i="17"/>
  <c r="P213" i="17"/>
  <c r="P214" i="17"/>
  <c r="P215" i="17"/>
  <c r="P216" i="17"/>
  <c r="P217" i="17"/>
  <c r="P218" i="17"/>
  <c r="P219" i="17"/>
  <c r="P220" i="17"/>
  <c r="P221" i="17"/>
  <c r="P222" i="17"/>
  <c r="P223" i="17"/>
  <c r="P224" i="17"/>
  <c r="P225" i="17"/>
  <c r="P226" i="17"/>
  <c r="P227" i="17"/>
  <c r="P228" i="17"/>
  <c r="P229" i="17"/>
  <c r="P230" i="17"/>
  <c r="P231" i="17"/>
  <c r="P232" i="17"/>
  <c r="P233" i="17"/>
  <c r="P234" i="17"/>
  <c r="P235" i="17"/>
  <c r="P236" i="17"/>
  <c r="P237" i="17"/>
  <c r="P238" i="17"/>
  <c r="P239" i="17"/>
  <c r="P240" i="17"/>
  <c r="P241" i="17"/>
  <c r="P242" i="17"/>
  <c r="P243" i="17"/>
  <c r="P244" i="17"/>
  <c r="P245" i="17"/>
  <c r="P246" i="17"/>
  <c r="P247" i="17"/>
  <c r="P248" i="17"/>
  <c r="P249" i="17"/>
  <c r="P250" i="17"/>
  <c r="P251" i="17"/>
  <c r="P252" i="17"/>
  <c r="P253" i="17"/>
  <c r="P254" i="17"/>
  <c r="P255" i="17"/>
  <c r="P256" i="17"/>
  <c r="P257" i="17"/>
  <c r="P258" i="17"/>
  <c r="P259" i="17"/>
  <c r="P260" i="17"/>
  <c r="P261" i="17"/>
  <c r="P262" i="17"/>
  <c r="P263" i="17"/>
  <c r="P264" i="17"/>
  <c r="P265" i="17"/>
  <c r="P266" i="17"/>
  <c r="P267" i="17"/>
  <c r="P268" i="17"/>
  <c r="P269" i="17"/>
  <c r="P270" i="17"/>
  <c r="P271" i="17"/>
  <c r="P272" i="17"/>
  <c r="P273" i="17"/>
  <c r="P274" i="17"/>
  <c r="P275" i="17"/>
  <c r="P276" i="17"/>
  <c r="P277" i="17"/>
  <c r="P278" i="17"/>
  <c r="P279" i="17"/>
  <c r="P3" i="17"/>
  <c r="P2" i="17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292" i="14"/>
  <c r="Q291" i="14"/>
  <c r="Q290" i="14"/>
  <c r="Q289" i="14"/>
  <c r="Q288" i="14"/>
  <c r="Q287" i="14"/>
  <c r="Q286" i="14"/>
  <c r="Q285" i="14"/>
  <c r="Q284" i="14"/>
  <c r="Q283" i="14"/>
  <c r="Q282" i="14"/>
  <c r="Q281" i="14"/>
  <c r="Q280" i="14"/>
  <c r="Q279" i="14"/>
  <c r="Q278" i="14"/>
  <c r="Q277" i="14"/>
  <c r="Q276" i="14"/>
  <c r="Q275" i="14"/>
  <c r="Q274" i="14"/>
  <c r="Q273" i="14"/>
  <c r="Q272" i="14"/>
  <c r="Q271" i="14"/>
  <c r="Q270" i="14"/>
  <c r="Q269" i="14"/>
  <c r="Q268" i="14"/>
  <c r="Q267" i="14"/>
  <c r="Q266" i="14"/>
  <c r="Q265" i="14"/>
  <c r="Q264" i="14"/>
  <c r="Q263" i="14"/>
  <c r="Q262" i="14"/>
  <c r="Q261" i="14"/>
  <c r="Q260" i="14"/>
  <c r="Q259" i="14"/>
  <c r="Q258" i="14"/>
  <c r="Q257" i="14"/>
  <c r="Q256" i="14"/>
  <c r="Q255" i="14"/>
  <c r="Q254" i="14"/>
  <c r="Q253" i="14"/>
  <c r="Q252" i="14"/>
  <c r="Q251" i="14"/>
  <c r="Q250" i="14"/>
  <c r="Q249" i="14"/>
  <c r="Q248" i="14"/>
  <c r="Q247" i="14"/>
  <c r="Q246" i="14"/>
  <c r="Q245" i="14"/>
  <c r="Q244" i="14"/>
  <c r="Q243" i="14"/>
  <c r="Q242" i="14"/>
  <c r="Q241" i="14"/>
  <c r="Q240" i="14"/>
  <c r="Q239" i="14"/>
  <c r="Q238" i="14"/>
  <c r="Q237" i="14"/>
  <c r="Q236" i="14"/>
  <c r="Q235" i="14"/>
  <c r="Q234" i="14"/>
  <c r="Q233" i="14"/>
  <c r="Q232" i="14"/>
  <c r="Q231" i="14"/>
  <c r="Q230" i="14"/>
  <c r="Q229" i="14"/>
  <c r="Q228" i="14"/>
  <c r="Q227" i="14"/>
  <c r="Q226" i="14"/>
  <c r="Q225" i="14"/>
  <c r="Q224" i="14"/>
  <c r="Q223" i="14"/>
  <c r="Q222" i="14"/>
  <c r="Q221" i="14"/>
  <c r="Q220" i="14"/>
  <c r="Q219" i="14"/>
  <c r="Q218" i="14"/>
  <c r="Q217" i="14"/>
  <c r="Q216" i="14"/>
  <c r="Q215" i="14"/>
  <c r="Q214" i="14"/>
  <c r="Q213" i="14"/>
  <c r="Q212" i="14"/>
  <c r="Q211" i="14"/>
  <c r="Q210" i="14"/>
  <c r="Q209" i="14"/>
  <c r="Q208" i="14"/>
  <c r="Q207" i="14"/>
  <c r="Q206" i="14"/>
  <c r="Q205" i="14"/>
  <c r="Q204" i="14"/>
  <c r="Q203" i="14"/>
  <c r="Q202" i="14"/>
  <c r="Q201" i="14"/>
  <c r="Q200" i="14"/>
  <c r="Q199" i="14"/>
  <c r="Q198" i="14"/>
  <c r="Q197" i="14"/>
  <c r="Q196" i="14"/>
  <c r="Q195" i="14"/>
  <c r="Q194" i="14"/>
  <c r="Q193" i="14"/>
  <c r="Q192" i="14"/>
  <c r="Q191" i="14"/>
  <c r="Q190" i="14"/>
  <c r="Q189" i="14"/>
  <c r="Q188" i="14"/>
  <c r="Q187" i="14"/>
  <c r="Q186" i="14"/>
  <c r="Q185" i="14"/>
  <c r="Q184" i="14"/>
  <c r="Q183" i="14"/>
  <c r="Q182" i="14"/>
  <c r="Q181" i="14"/>
  <c r="Q180" i="14"/>
  <c r="Q179" i="14"/>
  <c r="Q178" i="14"/>
  <c r="Q177" i="14"/>
  <c r="Q176" i="14"/>
  <c r="Q175" i="14"/>
  <c r="Q174" i="14"/>
  <c r="Q173" i="14"/>
  <c r="Q172" i="14"/>
  <c r="Q171" i="14"/>
  <c r="Q170" i="14"/>
  <c r="Q169" i="14"/>
  <c r="Q168" i="14"/>
  <c r="Q167" i="14"/>
  <c r="Q166" i="14"/>
  <c r="Q165" i="14"/>
  <c r="Q164" i="14"/>
  <c r="Q163" i="14"/>
  <c r="Q162" i="14"/>
  <c r="Q161" i="14"/>
  <c r="Q160" i="14"/>
  <c r="Q159" i="14"/>
  <c r="Q158" i="14"/>
  <c r="Q157" i="14"/>
  <c r="Q156" i="14"/>
  <c r="Q155" i="14"/>
  <c r="Q154" i="14"/>
  <c r="Q153" i="14"/>
  <c r="Q152" i="14"/>
  <c r="Q151" i="14"/>
  <c r="Q150" i="14"/>
  <c r="Q149" i="14"/>
  <c r="Q148" i="14"/>
  <c r="Q147" i="14"/>
  <c r="Q146" i="14"/>
  <c r="Q145" i="14"/>
  <c r="Q144" i="14"/>
  <c r="Q143" i="14"/>
  <c r="Q142" i="14"/>
  <c r="Q141" i="14"/>
  <c r="Q140" i="14"/>
  <c r="Q139" i="14"/>
  <c r="Q138" i="14"/>
  <c r="Q137" i="14"/>
  <c r="Q136" i="14"/>
  <c r="Q135" i="14"/>
  <c r="Q134" i="14"/>
  <c r="Q133" i="14"/>
  <c r="Q132" i="14"/>
  <c r="Q131" i="14"/>
  <c r="Q130" i="14"/>
  <c r="Q129" i="14"/>
  <c r="Q128" i="14"/>
  <c r="Q127" i="14"/>
  <c r="Q126" i="14"/>
  <c r="Q125" i="14"/>
  <c r="Q124" i="14"/>
  <c r="Q123" i="14"/>
  <c r="Q122" i="14"/>
  <c r="Q121" i="14"/>
  <c r="Q120" i="14"/>
  <c r="Q119" i="14"/>
  <c r="Q118" i="14"/>
  <c r="Q117" i="14"/>
  <c r="Q116" i="14"/>
  <c r="Q115" i="14"/>
  <c r="Q114" i="14"/>
  <c r="Q113" i="14"/>
  <c r="Q112" i="14"/>
  <c r="Q111" i="14"/>
  <c r="Q110" i="14"/>
  <c r="Q109" i="14"/>
  <c r="Q108" i="14"/>
  <c r="Q107" i="14"/>
  <c r="Q106" i="14"/>
  <c r="Q105" i="14"/>
  <c r="Q104" i="14"/>
  <c r="Q103" i="14"/>
  <c r="Q102" i="14"/>
  <c r="Q101" i="14"/>
  <c r="Q100" i="14"/>
  <c r="Q99" i="14"/>
  <c r="Q98" i="14"/>
  <c r="Q97" i="14"/>
  <c r="Q96" i="14"/>
  <c r="Q95" i="14"/>
  <c r="Q94" i="14"/>
  <c r="Q93" i="14"/>
  <c r="Q92" i="14"/>
  <c r="Q91" i="14"/>
  <c r="Q90" i="14"/>
  <c r="Q89" i="14"/>
  <c r="Q88" i="14"/>
  <c r="Q87" i="14"/>
  <c r="Q86" i="14"/>
  <c r="Q85" i="14"/>
  <c r="Q84" i="14"/>
  <c r="Q83" i="14"/>
  <c r="Q82" i="14"/>
  <c r="Q81" i="14"/>
  <c r="Q80" i="14"/>
  <c r="Q79" i="14"/>
  <c r="Q78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3" i="14"/>
  <c r="Q2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3" i="14"/>
  <c r="P54" i="14"/>
  <c r="P55" i="14"/>
  <c r="P56" i="14"/>
  <c r="P57" i="14"/>
  <c r="P58" i="14"/>
  <c r="P59" i="14"/>
  <c r="P60" i="14"/>
  <c r="P61" i="14"/>
  <c r="P62" i="14"/>
  <c r="P63" i="14"/>
  <c r="P64" i="14"/>
  <c r="P65" i="14"/>
  <c r="P66" i="14"/>
  <c r="P67" i="14"/>
  <c r="P68" i="14"/>
  <c r="P69" i="14"/>
  <c r="P70" i="14"/>
  <c r="P71" i="14"/>
  <c r="P82" i="14"/>
  <c r="P83" i="14"/>
  <c r="P84" i="14"/>
  <c r="P85" i="14"/>
  <c r="P86" i="14"/>
  <c r="P87" i="14"/>
  <c r="P88" i="14"/>
  <c r="P89" i="14"/>
  <c r="P90" i="14"/>
  <c r="P91" i="14"/>
  <c r="P92" i="14"/>
  <c r="P93" i="14"/>
  <c r="P94" i="14"/>
  <c r="P95" i="14"/>
  <c r="P96" i="14"/>
  <c r="P97" i="14"/>
  <c r="P98" i="14"/>
  <c r="P99" i="14"/>
  <c r="P100" i="14"/>
  <c r="P101" i="14"/>
  <c r="P102" i="14"/>
  <c r="P103" i="14"/>
  <c r="P104" i="14"/>
  <c r="P105" i="14"/>
  <c r="P106" i="14"/>
  <c r="P107" i="14"/>
  <c r="P108" i="14"/>
  <c r="P109" i="14"/>
  <c r="P110" i="14"/>
  <c r="P111" i="14"/>
  <c r="P112" i="14"/>
  <c r="P113" i="14"/>
  <c r="P114" i="14"/>
  <c r="P115" i="14"/>
  <c r="P116" i="14"/>
  <c r="P117" i="14"/>
  <c r="P118" i="14"/>
  <c r="P119" i="14"/>
  <c r="P120" i="14"/>
  <c r="P121" i="14"/>
  <c r="P122" i="14"/>
  <c r="P123" i="14"/>
  <c r="P124" i="14"/>
  <c r="P125" i="14"/>
  <c r="P126" i="14"/>
  <c r="P127" i="14"/>
  <c r="P128" i="14"/>
  <c r="P129" i="14"/>
  <c r="P130" i="14"/>
  <c r="P131" i="14"/>
  <c r="P132" i="14"/>
  <c r="P133" i="14"/>
  <c r="P134" i="14"/>
  <c r="P135" i="14"/>
  <c r="P136" i="14"/>
  <c r="P137" i="14"/>
  <c r="P138" i="14"/>
  <c r="P139" i="14"/>
  <c r="P140" i="14"/>
  <c r="P141" i="14"/>
  <c r="P142" i="14"/>
  <c r="P143" i="14"/>
  <c r="P144" i="14"/>
  <c r="P145" i="14"/>
  <c r="P146" i="14"/>
  <c r="P147" i="14"/>
  <c r="P148" i="14"/>
  <c r="P149" i="14"/>
  <c r="P150" i="14"/>
  <c r="P151" i="14"/>
  <c r="P152" i="14"/>
  <c r="P153" i="14"/>
  <c r="P154" i="14"/>
  <c r="P155" i="14"/>
  <c r="P156" i="14"/>
  <c r="P157" i="14"/>
  <c r="P158" i="14"/>
  <c r="P159" i="14"/>
  <c r="P160" i="14"/>
  <c r="P161" i="14"/>
  <c r="P162" i="14"/>
  <c r="P163" i="14"/>
  <c r="P164" i="14"/>
  <c r="P165" i="14"/>
  <c r="P166" i="14"/>
  <c r="P167" i="14"/>
  <c r="P168" i="14"/>
  <c r="P169" i="14"/>
  <c r="P170" i="14"/>
  <c r="P171" i="14"/>
  <c r="P172" i="14"/>
  <c r="P173" i="14"/>
  <c r="P174" i="14"/>
  <c r="P175" i="14"/>
  <c r="P176" i="14"/>
  <c r="P177" i="14"/>
  <c r="P178" i="14"/>
  <c r="P179" i="14"/>
  <c r="P180" i="14"/>
  <c r="P181" i="14"/>
  <c r="P182" i="14"/>
  <c r="P183" i="14"/>
  <c r="P184" i="14"/>
  <c r="P185" i="14"/>
  <c r="P186" i="14"/>
  <c r="P187" i="14"/>
  <c r="P188" i="14"/>
  <c r="P189" i="14"/>
  <c r="P190" i="14"/>
  <c r="P191" i="14"/>
  <c r="P192" i="14"/>
  <c r="P193" i="14"/>
  <c r="P194" i="14"/>
  <c r="P195" i="14"/>
  <c r="P196" i="14"/>
  <c r="P197" i="14"/>
  <c r="P198" i="14"/>
  <c r="P199" i="14"/>
  <c r="P200" i="14"/>
  <c r="P201" i="14"/>
  <c r="P202" i="14"/>
  <c r="P203" i="14"/>
  <c r="P204" i="14"/>
  <c r="P205" i="14"/>
  <c r="P206" i="14"/>
  <c r="P207" i="14"/>
  <c r="P208" i="14"/>
  <c r="P209" i="14"/>
  <c r="P210" i="14"/>
  <c r="P211" i="14"/>
  <c r="P212" i="14"/>
  <c r="P213" i="14"/>
  <c r="P214" i="14"/>
  <c r="P215" i="14"/>
  <c r="P216" i="14"/>
  <c r="P217" i="14"/>
  <c r="P218" i="14"/>
  <c r="P219" i="14"/>
  <c r="P220" i="14"/>
  <c r="P221" i="14"/>
  <c r="P222" i="14"/>
  <c r="P223" i="14"/>
  <c r="P224" i="14"/>
  <c r="P225" i="14"/>
  <c r="P226" i="14"/>
  <c r="P227" i="14"/>
  <c r="P228" i="14"/>
  <c r="P229" i="14"/>
  <c r="P230" i="14"/>
  <c r="P231" i="14"/>
  <c r="P232" i="14"/>
  <c r="P233" i="14"/>
  <c r="P234" i="14"/>
  <c r="P235" i="14"/>
  <c r="P236" i="14"/>
  <c r="P237" i="14"/>
  <c r="P238" i="14"/>
  <c r="P239" i="14"/>
  <c r="P240" i="14"/>
  <c r="P241" i="14"/>
  <c r="P242" i="14"/>
  <c r="P243" i="14"/>
  <c r="P244" i="14"/>
  <c r="P245" i="14"/>
  <c r="P246" i="14"/>
  <c r="P247" i="14"/>
  <c r="P248" i="14"/>
  <c r="P249" i="14"/>
  <c r="P250" i="14"/>
  <c r="P251" i="14"/>
  <c r="P252" i="14"/>
  <c r="P253" i="14"/>
  <c r="P254" i="14"/>
  <c r="P255" i="14"/>
  <c r="P256" i="14"/>
  <c r="P257" i="14"/>
  <c r="P258" i="14"/>
  <c r="P259" i="14"/>
  <c r="P260" i="14"/>
  <c r="P261" i="14"/>
  <c r="P262" i="14"/>
  <c r="P263" i="14"/>
  <c r="P264" i="14"/>
  <c r="P265" i="14"/>
  <c r="P266" i="14"/>
  <c r="P267" i="14"/>
  <c r="P268" i="14"/>
  <c r="P269" i="14"/>
  <c r="P270" i="14"/>
  <c r="P271" i="14"/>
  <c r="P272" i="14"/>
  <c r="P273" i="14"/>
  <c r="P274" i="14"/>
  <c r="P275" i="14"/>
  <c r="P276" i="14"/>
  <c r="P277" i="14"/>
  <c r="P278" i="14"/>
  <c r="P279" i="14"/>
  <c r="P280" i="14"/>
  <c r="P281" i="14"/>
  <c r="P282" i="14"/>
  <c r="P283" i="14"/>
  <c r="P284" i="14"/>
  <c r="P285" i="14"/>
  <c r="P286" i="14"/>
  <c r="P287" i="14"/>
  <c r="P288" i="14"/>
  <c r="P289" i="14"/>
  <c r="P290" i="14"/>
  <c r="P291" i="14"/>
  <c r="P292" i="14"/>
  <c r="P293" i="14"/>
  <c r="P294" i="14"/>
  <c r="P295" i="14"/>
  <c r="P296" i="14"/>
  <c r="P297" i="14"/>
  <c r="P298" i="14"/>
  <c r="P299" i="14"/>
  <c r="P300" i="14"/>
  <c r="P301" i="14"/>
  <c r="P302" i="14"/>
  <c r="P303" i="14"/>
  <c r="P304" i="14"/>
  <c r="P305" i="14"/>
  <c r="P306" i="14"/>
  <c r="P307" i="14"/>
  <c r="P308" i="14"/>
  <c r="P309" i="14"/>
  <c r="P310" i="14"/>
  <c r="P311" i="14"/>
  <c r="P312" i="14"/>
  <c r="P313" i="14"/>
  <c r="P314" i="14"/>
  <c r="P315" i="14"/>
  <c r="P316" i="14"/>
  <c r="P317" i="14"/>
  <c r="P318" i="14"/>
  <c r="P319" i="14"/>
  <c r="P320" i="14"/>
  <c r="P321" i="14"/>
  <c r="P322" i="14"/>
  <c r="P3" i="14"/>
  <c r="P2" i="14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2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AE485" i="5" s="1"/>
  <c r="P486" i="5"/>
  <c r="AE486" i="5" s="1"/>
  <c r="P487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2" i="5"/>
  <c r="Q1614" i="18"/>
  <c r="Q1615" i="18"/>
  <c r="Q1616" i="18"/>
  <c r="Q1617" i="18"/>
  <c r="Q1618" i="18"/>
  <c r="Q1619" i="18"/>
  <c r="Q1620" i="18"/>
  <c r="Q1621" i="18"/>
  <c r="Q1622" i="18"/>
  <c r="Q1623" i="18"/>
  <c r="Q1624" i="18"/>
  <c r="Q1625" i="18"/>
  <c r="Q1626" i="18"/>
  <c r="Q1627" i="18"/>
  <c r="Q1628" i="18"/>
  <c r="Q1629" i="18"/>
  <c r="Q1630" i="18"/>
  <c r="Q1631" i="18"/>
  <c r="Q1632" i="18"/>
  <c r="Q1633" i="18"/>
  <c r="Q1634" i="18"/>
  <c r="Q1635" i="18"/>
  <c r="Q1636" i="18"/>
  <c r="Q1637" i="18"/>
  <c r="Q1638" i="18"/>
  <c r="Q1639" i="18"/>
  <c r="Q1640" i="18"/>
  <c r="Q1641" i="18"/>
  <c r="Q1642" i="18"/>
  <c r="Q1643" i="18"/>
  <c r="Q1644" i="18"/>
  <c r="Q1645" i="18"/>
  <c r="Q1646" i="18"/>
  <c r="Q1647" i="18"/>
  <c r="Q1648" i="18"/>
  <c r="Q1649" i="18"/>
  <c r="Q1650" i="18"/>
  <c r="Q1651" i="18"/>
  <c r="Q1652" i="18"/>
  <c r="Q1653" i="18"/>
  <c r="Q1654" i="18"/>
  <c r="Q1655" i="18"/>
  <c r="Q1656" i="18"/>
  <c r="Q1657" i="18"/>
  <c r="Q1658" i="18"/>
  <c r="Q1659" i="18"/>
  <c r="Q1660" i="18"/>
  <c r="Q1661" i="18"/>
  <c r="Q1662" i="18"/>
  <c r="Q1663" i="18"/>
  <c r="Q1664" i="18"/>
  <c r="Q1665" i="18"/>
  <c r="Q1666" i="18"/>
  <c r="Q1667" i="18"/>
  <c r="Q1668" i="18"/>
  <c r="Q1669" i="18"/>
  <c r="Q1670" i="18"/>
  <c r="Q1671" i="18"/>
  <c r="Q1672" i="18"/>
  <c r="Q1673" i="18"/>
  <c r="Q1674" i="18"/>
  <c r="Q1675" i="18"/>
  <c r="Q1676" i="18"/>
  <c r="Q1677" i="18"/>
  <c r="Q1678" i="18"/>
  <c r="Q1679" i="18"/>
  <c r="Q1680" i="18"/>
  <c r="Q1681" i="18"/>
  <c r="Q1682" i="18"/>
  <c r="Q1683" i="18"/>
  <c r="Q1684" i="18"/>
  <c r="Q1685" i="18"/>
  <c r="Q1686" i="18"/>
  <c r="Q1687" i="18"/>
  <c r="Q1688" i="18"/>
  <c r="Q1689" i="18"/>
  <c r="Q1690" i="18"/>
  <c r="Q1691" i="18"/>
  <c r="Q1692" i="18"/>
  <c r="Q1693" i="18"/>
  <c r="Q1694" i="18"/>
  <c r="Q1695" i="18"/>
  <c r="Q1696" i="18"/>
  <c r="Q1697" i="18"/>
  <c r="Q1698" i="18"/>
  <c r="Q1699" i="18"/>
  <c r="Q1700" i="18"/>
  <c r="Q1701" i="18"/>
  <c r="Q1702" i="18"/>
  <c r="Q1703" i="18"/>
  <c r="Q1704" i="18"/>
  <c r="Q1705" i="18"/>
  <c r="Q1706" i="18"/>
  <c r="Q1707" i="18"/>
  <c r="Q1708" i="18"/>
  <c r="Q1709" i="18"/>
  <c r="Q1710" i="18"/>
  <c r="Q1711" i="18"/>
  <c r="Q1712" i="18"/>
  <c r="Q1713" i="18"/>
  <c r="Q1714" i="18"/>
  <c r="Q1715" i="18"/>
  <c r="Q1716" i="18"/>
  <c r="Q1717" i="18"/>
  <c r="Q1718" i="18"/>
  <c r="Q1719" i="18"/>
  <c r="Q1720" i="18"/>
  <c r="Q1721" i="18"/>
  <c r="Q1722" i="18"/>
  <c r="Q1723" i="18"/>
  <c r="Q1724" i="18"/>
  <c r="Q1725" i="18"/>
  <c r="Q1726" i="18"/>
  <c r="Q1727" i="18"/>
  <c r="Q1728" i="18"/>
  <c r="Q1729" i="18"/>
  <c r="Q1730" i="18"/>
  <c r="Q1731" i="18"/>
  <c r="Q1732" i="18"/>
  <c r="Q1733" i="18"/>
  <c r="Q1734" i="18"/>
  <c r="Q1735" i="18"/>
  <c r="Q1736" i="18"/>
  <c r="Q1737" i="18"/>
  <c r="Q1738" i="18"/>
  <c r="Q1739" i="18"/>
  <c r="Q1740" i="18"/>
  <c r="Q1741" i="18"/>
  <c r="Q1742" i="18"/>
  <c r="Q1743" i="18"/>
  <c r="Q1744" i="18"/>
  <c r="Q1745" i="18"/>
  <c r="Q1746" i="18"/>
  <c r="Q1747" i="18"/>
  <c r="Q1748" i="18"/>
  <c r="Q1749" i="18"/>
  <c r="Q1750" i="18"/>
  <c r="Q1751" i="18"/>
  <c r="Q1752" i="18"/>
  <c r="Q1753" i="18"/>
  <c r="Q1754" i="18"/>
  <c r="Q1755" i="18"/>
  <c r="Q1756" i="18"/>
  <c r="Q1757" i="18"/>
  <c r="Q1758" i="18"/>
  <c r="Q1759" i="18"/>
  <c r="Q1760" i="18"/>
  <c r="Q1761" i="18"/>
  <c r="Q1762" i="18"/>
  <c r="Q1763" i="18"/>
  <c r="Q1764" i="18"/>
  <c r="Q1765" i="18"/>
  <c r="Q1766" i="18"/>
  <c r="Q1767" i="18"/>
  <c r="Q1768" i="18"/>
  <c r="Q1769" i="18"/>
  <c r="Q1770" i="18"/>
  <c r="Q1771" i="18"/>
  <c r="Q1772" i="18"/>
  <c r="Q1773" i="18"/>
  <c r="Q1774" i="18"/>
  <c r="Q1775" i="18"/>
  <c r="Q1776" i="18"/>
  <c r="Q1777" i="18"/>
  <c r="Q1778" i="18"/>
  <c r="Q1779" i="18"/>
  <c r="Q1780" i="18"/>
  <c r="Q1781" i="18"/>
  <c r="Q1782" i="18"/>
  <c r="Q1783" i="18"/>
  <c r="Q1784" i="18"/>
  <c r="Q1785" i="18"/>
  <c r="Q1786" i="18"/>
  <c r="Q1787" i="18"/>
  <c r="Q1788" i="18"/>
  <c r="Q1789" i="18"/>
  <c r="Q1790" i="18"/>
  <c r="Q1791" i="18"/>
  <c r="Q1792" i="18"/>
  <c r="Q1793" i="18"/>
  <c r="Q1794" i="18"/>
  <c r="Q1795" i="18"/>
  <c r="Q1796" i="18"/>
  <c r="Q1797" i="18"/>
  <c r="Q1798" i="18"/>
  <c r="Q1799" i="18"/>
  <c r="Q1800" i="18"/>
  <c r="Q1801" i="18"/>
  <c r="Q1802" i="18"/>
  <c r="Q1803" i="18"/>
  <c r="Q1804" i="18"/>
  <c r="Q1805" i="18"/>
  <c r="Q1806" i="18"/>
  <c r="Q1807" i="18"/>
  <c r="Q1808" i="18"/>
  <c r="Q1809" i="18"/>
  <c r="Q1810" i="18"/>
  <c r="Q1811" i="18"/>
  <c r="Q1812" i="18"/>
  <c r="Q1813" i="18"/>
  <c r="Q1814" i="18"/>
  <c r="Q1815" i="18"/>
  <c r="Q1816" i="18"/>
  <c r="Q1817" i="18"/>
  <c r="Q1818" i="18"/>
  <c r="Q1819" i="18"/>
  <c r="Q1820" i="18"/>
  <c r="Q1821" i="18"/>
  <c r="Q1822" i="18"/>
  <c r="Q1823" i="18"/>
  <c r="Q1824" i="18"/>
  <c r="Q1825" i="18"/>
  <c r="Q1826" i="18"/>
  <c r="Q1827" i="18"/>
  <c r="Q1828" i="18"/>
  <c r="Q1829" i="18"/>
  <c r="Q1830" i="18"/>
  <c r="Q1831" i="18"/>
  <c r="Q1832" i="18"/>
  <c r="Q1833" i="18"/>
  <c r="Q1834" i="18"/>
  <c r="Q1835" i="18"/>
  <c r="Q1836" i="18"/>
  <c r="Q1837" i="18"/>
  <c r="Q1838" i="18"/>
  <c r="Q1839" i="18"/>
  <c r="Q1840" i="18"/>
  <c r="Q1841" i="18"/>
  <c r="Q1842" i="18"/>
  <c r="Q1843" i="18"/>
  <c r="Q1844" i="18"/>
  <c r="Q1845" i="18"/>
  <c r="Q1846" i="18"/>
  <c r="Q1847" i="18"/>
  <c r="Q1848" i="18"/>
  <c r="Q1849" i="18"/>
  <c r="Q1850" i="18"/>
  <c r="Q1851" i="18"/>
  <c r="Q1852" i="18"/>
  <c r="Q1853" i="18"/>
  <c r="Q1854" i="18"/>
  <c r="Q1855" i="18"/>
  <c r="Q1856" i="18"/>
  <c r="Q1857" i="18"/>
  <c r="Q1858" i="18"/>
  <c r="Q1859" i="18"/>
  <c r="Q1860" i="18"/>
  <c r="Q1861" i="18"/>
  <c r="Q1862" i="18"/>
  <c r="Q1863" i="18"/>
  <c r="Q1864" i="18"/>
  <c r="Q1865" i="18"/>
  <c r="Q1866" i="18"/>
  <c r="Q1867" i="18"/>
  <c r="Q1868" i="18"/>
  <c r="Q1869" i="18"/>
  <c r="Q1870" i="18"/>
  <c r="Q1871" i="18"/>
  <c r="Q1872" i="18"/>
  <c r="Q1873" i="18"/>
  <c r="Q1874" i="18"/>
  <c r="Q1875" i="18"/>
  <c r="Q1876" i="18"/>
  <c r="Q1877" i="18"/>
  <c r="Q1878" i="18"/>
  <c r="Q1879" i="18"/>
  <c r="Q1880" i="18"/>
  <c r="Q1881" i="18"/>
  <c r="Q1882" i="18"/>
  <c r="Q1883" i="18"/>
  <c r="Q1884" i="18"/>
  <c r="Q1885" i="18"/>
  <c r="Q1886" i="18"/>
  <c r="Q1887" i="18"/>
  <c r="Q1888" i="18"/>
  <c r="Q1889" i="18"/>
  <c r="Q1890" i="18"/>
  <c r="Q1891" i="18"/>
  <c r="Q1892" i="18"/>
  <c r="Q1893" i="18"/>
  <c r="Q1894" i="18"/>
  <c r="Q1895" i="18"/>
  <c r="Q1896" i="18"/>
  <c r="Q1897" i="18"/>
  <c r="Q1898" i="18"/>
  <c r="Q1899" i="18"/>
  <c r="Q1900" i="18"/>
  <c r="Q1901" i="18"/>
  <c r="Q1902" i="18"/>
  <c r="Q1903" i="18"/>
  <c r="Q1904" i="18"/>
  <c r="Q1905" i="18"/>
  <c r="Q1906" i="18"/>
  <c r="Q1907" i="18"/>
  <c r="Q1908" i="18"/>
  <c r="Q1909" i="18"/>
  <c r="Q1910" i="18"/>
  <c r="Q1911" i="18"/>
  <c r="Q1912" i="18"/>
  <c r="Q1913" i="18"/>
  <c r="Q1914" i="18"/>
  <c r="Q1915" i="18"/>
  <c r="Q1916" i="18"/>
  <c r="Q1917" i="18"/>
  <c r="Q1918" i="18"/>
  <c r="Q1919" i="18"/>
  <c r="Q1920" i="18"/>
  <c r="Q1921" i="18"/>
  <c r="Q1922" i="18"/>
  <c r="Q1923" i="18"/>
  <c r="Q1924" i="18"/>
  <c r="Q1925" i="18"/>
  <c r="Q1926" i="18"/>
  <c r="Q1927" i="18"/>
  <c r="Q1928" i="18"/>
  <c r="Q1929" i="18"/>
  <c r="Q1930" i="18"/>
  <c r="Q1931" i="18"/>
  <c r="Q1932" i="18"/>
  <c r="Q1933" i="18"/>
  <c r="Q1934" i="18"/>
  <c r="Q1935" i="18"/>
  <c r="Q1936" i="18"/>
  <c r="Q1937" i="18"/>
  <c r="Q1938" i="18"/>
  <c r="Q1939" i="18"/>
  <c r="Q1940" i="18"/>
  <c r="Q1941" i="18"/>
  <c r="Q1942" i="18"/>
  <c r="Q1943" i="18"/>
  <c r="Q1944" i="18"/>
  <c r="Q1945" i="18"/>
  <c r="Q1946" i="18"/>
  <c r="Q1947" i="18"/>
  <c r="Q1948" i="18"/>
  <c r="Q1949" i="18"/>
  <c r="Q1950" i="18"/>
  <c r="Q1951" i="18"/>
  <c r="Q1952" i="18"/>
  <c r="Q1953" i="18"/>
  <c r="Q1954" i="18"/>
  <c r="Q1955" i="18"/>
  <c r="Q1956" i="18"/>
  <c r="Q1957" i="18"/>
  <c r="Q1958" i="18"/>
  <c r="Q1959" i="18"/>
  <c r="Q1960" i="18"/>
  <c r="Q1961" i="18"/>
  <c r="Q1962" i="18"/>
  <c r="Q1963" i="18"/>
  <c r="Q1964" i="18"/>
  <c r="Q1965" i="18"/>
  <c r="Q1966" i="18"/>
  <c r="Q1967" i="18"/>
  <c r="Q1968" i="18"/>
  <c r="Q1969" i="18"/>
  <c r="Q1970" i="18"/>
  <c r="Q1971" i="18"/>
  <c r="Q1972" i="18"/>
  <c r="Q1973" i="18"/>
  <c r="Q1974" i="18"/>
  <c r="Q1975" i="18"/>
  <c r="Q1976" i="18"/>
  <c r="Q1977" i="18"/>
  <c r="Q1978" i="18"/>
  <c r="Q1979" i="18"/>
  <c r="Q1980" i="18"/>
  <c r="Q1981" i="18"/>
  <c r="Q1982" i="18"/>
  <c r="Q1983" i="18"/>
  <c r="Q1984" i="18"/>
  <c r="Q1985" i="18"/>
  <c r="Q1986" i="18"/>
  <c r="Q1987" i="18"/>
  <c r="Q1988" i="18"/>
  <c r="Q1989" i="18"/>
  <c r="Q1990" i="18"/>
  <c r="Q1991" i="18"/>
  <c r="Q1992" i="18"/>
  <c r="Q1993" i="18"/>
  <c r="Q1994" i="18"/>
  <c r="Q1995" i="18"/>
  <c r="Q1996" i="18"/>
  <c r="Q1997" i="18"/>
  <c r="Q1998" i="18"/>
  <c r="Q1999" i="18"/>
  <c r="Q2000" i="18"/>
  <c r="Q2001" i="18"/>
  <c r="Q2002" i="18"/>
  <c r="Q2003" i="18"/>
  <c r="Q2004" i="18"/>
  <c r="Q2005" i="18"/>
  <c r="Q2006" i="18"/>
  <c r="Q2007" i="18"/>
  <c r="Q2008" i="18"/>
  <c r="Q2009" i="18"/>
  <c r="Q2010" i="18"/>
  <c r="Q2011" i="18"/>
  <c r="Q2012" i="18"/>
  <c r="Q2013" i="18"/>
  <c r="Q2014" i="18"/>
  <c r="Q2015" i="18"/>
  <c r="Q2016" i="18"/>
  <c r="Q2017" i="18"/>
  <c r="Q2018" i="18"/>
  <c r="Q2019" i="18"/>
  <c r="Q2020" i="18"/>
  <c r="Q2021" i="18"/>
  <c r="Q2022" i="18"/>
  <c r="Q2023" i="18"/>
  <c r="Q2024" i="18"/>
  <c r="Q2025" i="18"/>
  <c r="Q2026" i="18"/>
  <c r="Q2027" i="18"/>
  <c r="Q2028" i="18"/>
  <c r="Q2029" i="18"/>
  <c r="Q2030" i="18"/>
  <c r="Q2031" i="18"/>
  <c r="Q2032" i="18"/>
  <c r="Q2033" i="18"/>
  <c r="Q2034" i="18"/>
  <c r="Q2035" i="18"/>
  <c r="Q2036" i="18"/>
  <c r="Q2037" i="18"/>
  <c r="Q2038" i="18"/>
  <c r="Q2039" i="18"/>
  <c r="Q2040" i="18"/>
  <c r="Q2041" i="18"/>
  <c r="Q2042" i="18"/>
  <c r="Q2043" i="18"/>
  <c r="Q2044" i="18"/>
  <c r="Q2045" i="18"/>
  <c r="Q2046" i="18"/>
  <c r="Q2047" i="18"/>
  <c r="Q1613" i="18"/>
  <c r="Q1612" i="18"/>
  <c r="Q1611" i="18"/>
  <c r="Q1610" i="18"/>
  <c r="Q1609" i="18"/>
  <c r="Q1608" i="18"/>
  <c r="Q1607" i="18"/>
  <c r="Q1606" i="18"/>
  <c r="Q1605" i="18"/>
  <c r="Q1604" i="18"/>
  <c r="Q1603" i="18"/>
  <c r="Q1602" i="18"/>
  <c r="Q1601" i="18"/>
  <c r="Q1600" i="18"/>
  <c r="Q1599" i="18"/>
  <c r="Q1598" i="18"/>
  <c r="Q1597" i="18"/>
  <c r="Q1596" i="18"/>
  <c r="Q1595" i="18"/>
  <c r="Q1594" i="18"/>
  <c r="Q1593" i="18"/>
  <c r="Q1592" i="18"/>
  <c r="Q1591" i="18"/>
  <c r="Q1590" i="18"/>
  <c r="Q1589" i="18"/>
  <c r="Q1588" i="18"/>
  <c r="Q1587" i="18"/>
  <c r="Q1586" i="18"/>
  <c r="Q1585" i="18"/>
  <c r="Q1584" i="18"/>
  <c r="Q1583" i="18"/>
  <c r="Q1582" i="18"/>
  <c r="Q1581" i="18"/>
  <c r="Q1580" i="18"/>
  <c r="Q1579" i="18"/>
  <c r="Q1578" i="18"/>
  <c r="Q1577" i="18"/>
  <c r="Q1576" i="18"/>
  <c r="Q1575" i="18"/>
  <c r="Q1574" i="18"/>
  <c r="Q1573" i="18"/>
  <c r="Q1572" i="18"/>
  <c r="Q1571" i="18"/>
  <c r="Q1570" i="18"/>
  <c r="Q1569" i="18"/>
  <c r="Q1568" i="18"/>
  <c r="Q1567" i="18"/>
  <c r="Q1566" i="18"/>
  <c r="Q1565" i="18"/>
  <c r="Q1564" i="18"/>
  <c r="Q1563" i="18"/>
  <c r="Q1562" i="18"/>
  <c r="Q1561" i="18"/>
  <c r="Q1560" i="18"/>
  <c r="Q1559" i="18"/>
  <c r="Q1558" i="18"/>
  <c r="Q1557" i="18"/>
  <c r="Q1556" i="18"/>
  <c r="Q1555" i="18"/>
  <c r="Q1554" i="18"/>
  <c r="Q1553" i="18"/>
  <c r="Q1552" i="18"/>
  <c r="Q1551" i="18"/>
  <c r="Q1550" i="18"/>
  <c r="Q1549" i="18"/>
  <c r="Q1548" i="18"/>
  <c r="Q1547" i="18"/>
  <c r="Q1546" i="18"/>
  <c r="Q1545" i="18"/>
  <c r="Q1544" i="18"/>
  <c r="Q1543" i="18"/>
  <c r="Q1542" i="18"/>
  <c r="Q1541" i="18"/>
  <c r="Q1540" i="18"/>
  <c r="Q1539" i="18"/>
  <c r="Q1538" i="18"/>
  <c r="Q1537" i="18"/>
  <c r="Q1536" i="18"/>
  <c r="Q1535" i="18"/>
  <c r="Q1534" i="18"/>
  <c r="Q1533" i="18"/>
  <c r="Q1532" i="18"/>
  <c r="Q1531" i="18"/>
  <c r="Q1530" i="18"/>
  <c r="Q1529" i="18"/>
  <c r="Q1528" i="18"/>
  <c r="Q1527" i="18"/>
  <c r="Q1526" i="18"/>
  <c r="Q1525" i="18"/>
  <c r="Q1524" i="18"/>
  <c r="Q1523" i="18"/>
  <c r="Q1522" i="18"/>
  <c r="Q1521" i="18"/>
  <c r="Q1520" i="18"/>
  <c r="Q1519" i="18"/>
  <c r="Q1518" i="18"/>
  <c r="Q1517" i="18"/>
  <c r="Q1516" i="18"/>
  <c r="Q1515" i="18"/>
  <c r="Q1514" i="18"/>
  <c r="Q1513" i="18"/>
  <c r="Q1512" i="18"/>
  <c r="Q1511" i="18"/>
  <c r="Q1510" i="18"/>
  <c r="Q1509" i="18"/>
  <c r="Q1508" i="18"/>
  <c r="Q1507" i="18"/>
  <c r="Q1506" i="18"/>
  <c r="Q1505" i="18"/>
  <c r="Q1504" i="18"/>
  <c r="Q1503" i="18"/>
  <c r="Q1502" i="18"/>
  <c r="Q1501" i="18"/>
  <c r="Q1500" i="18"/>
  <c r="Q1499" i="18"/>
  <c r="Q1498" i="18"/>
  <c r="Q1497" i="18"/>
  <c r="Q1496" i="18"/>
  <c r="Q1495" i="18"/>
  <c r="Q1494" i="18"/>
  <c r="Q1493" i="18"/>
  <c r="Q1492" i="18"/>
  <c r="Q1491" i="18"/>
  <c r="Q1490" i="18"/>
  <c r="Q1489" i="18"/>
  <c r="Q1488" i="18"/>
  <c r="Q1487" i="18"/>
  <c r="Q1486" i="18"/>
  <c r="Q1485" i="18"/>
  <c r="Q1484" i="18"/>
  <c r="Q1483" i="18"/>
  <c r="Q1482" i="18"/>
  <c r="Q1481" i="18"/>
  <c r="Q1480" i="18"/>
  <c r="Q1479" i="18"/>
  <c r="Q1478" i="18"/>
  <c r="Q1477" i="18"/>
  <c r="Q1476" i="18"/>
  <c r="Q1475" i="18"/>
  <c r="Q1474" i="18"/>
  <c r="Q1473" i="18"/>
  <c r="Q1472" i="18"/>
  <c r="Q1471" i="18"/>
  <c r="Q1470" i="18"/>
  <c r="Q1469" i="18"/>
  <c r="Q1468" i="18"/>
  <c r="Q1467" i="18"/>
  <c r="Q1466" i="18"/>
  <c r="Q1465" i="18"/>
  <c r="Q1464" i="18"/>
  <c r="Q1463" i="18"/>
  <c r="Q1462" i="18"/>
  <c r="Q1461" i="18"/>
  <c r="Q1460" i="18"/>
  <c r="Q1459" i="18"/>
  <c r="Q1458" i="18"/>
  <c r="Q1457" i="18"/>
  <c r="Q1456" i="18"/>
  <c r="Q1455" i="18"/>
  <c r="Q1454" i="18"/>
  <c r="Q1453" i="18"/>
  <c r="Q1452" i="18"/>
  <c r="Q1451" i="18"/>
  <c r="Q1450" i="18"/>
  <c r="Q1449" i="18"/>
  <c r="Q1448" i="18"/>
  <c r="Q1447" i="18"/>
  <c r="Q1446" i="18"/>
  <c r="Q1445" i="18"/>
  <c r="Q1444" i="18"/>
  <c r="Q1443" i="18"/>
  <c r="Q1442" i="18"/>
  <c r="Q1441" i="18"/>
  <c r="Q1440" i="18"/>
  <c r="Q1439" i="18"/>
  <c r="Q1438" i="18"/>
  <c r="Q1437" i="18"/>
  <c r="Q1436" i="18"/>
  <c r="Q1435" i="18"/>
  <c r="Q1434" i="18"/>
  <c r="Q1433" i="18"/>
  <c r="Q1432" i="18"/>
  <c r="Q1431" i="18"/>
  <c r="Q1430" i="18"/>
  <c r="Q1429" i="18"/>
  <c r="Q1428" i="18"/>
  <c r="Q1427" i="18"/>
  <c r="Q1426" i="18"/>
  <c r="Q1425" i="18"/>
  <c r="Q1424" i="18"/>
  <c r="Q1423" i="18"/>
  <c r="Q1422" i="18"/>
  <c r="Q1421" i="18"/>
  <c r="Q1420" i="18"/>
  <c r="Q1419" i="18"/>
  <c r="Q1418" i="18"/>
  <c r="Q1417" i="18"/>
  <c r="Q1416" i="18"/>
  <c r="Q1415" i="18"/>
  <c r="Q1414" i="18"/>
  <c r="Q1413" i="18"/>
  <c r="Q1412" i="18"/>
  <c r="Q1411" i="18"/>
  <c r="Q1410" i="18"/>
  <c r="Q1409" i="18"/>
  <c r="Q1408" i="18"/>
  <c r="Q1407" i="18"/>
  <c r="Q1406" i="18"/>
  <c r="Q1405" i="18"/>
  <c r="Q1404" i="18"/>
  <c r="Q1403" i="18"/>
  <c r="Q1402" i="18"/>
  <c r="Q1401" i="18"/>
  <c r="Q1400" i="18"/>
  <c r="Q1399" i="18"/>
  <c r="Q1398" i="18"/>
  <c r="Q1397" i="18"/>
  <c r="Q1396" i="18"/>
  <c r="Q1395" i="18"/>
  <c r="Q1394" i="18"/>
  <c r="Q1393" i="18"/>
  <c r="Q1392" i="18"/>
  <c r="Q1391" i="18"/>
  <c r="Q1390" i="18"/>
  <c r="Q1389" i="18"/>
  <c r="Q1388" i="18"/>
  <c r="Q1387" i="18"/>
  <c r="Q1386" i="18"/>
  <c r="Q1385" i="18"/>
  <c r="Q1384" i="18"/>
  <c r="Q1383" i="18"/>
  <c r="Q1382" i="18"/>
  <c r="Q1381" i="18"/>
  <c r="Q1380" i="18"/>
  <c r="Q1379" i="18"/>
  <c r="Q1378" i="18"/>
  <c r="Q1377" i="18"/>
  <c r="Q1376" i="18"/>
  <c r="Q1375" i="18"/>
  <c r="Q1374" i="18"/>
  <c r="Q1373" i="18"/>
  <c r="Q1372" i="18"/>
  <c r="Q1371" i="18"/>
  <c r="Q1370" i="18"/>
  <c r="Q1369" i="18"/>
  <c r="Q1368" i="18"/>
  <c r="Q1367" i="18"/>
  <c r="Q1366" i="18"/>
  <c r="Q1365" i="18"/>
  <c r="Q1364" i="18"/>
  <c r="Q1363" i="18"/>
  <c r="Q1362" i="18"/>
  <c r="Q1361" i="18"/>
  <c r="Q1360" i="18"/>
  <c r="Q1359" i="18"/>
  <c r="Q1358" i="18"/>
  <c r="Q1357" i="18"/>
  <c r="Q1356" i="18"/>
  <c r="Q1355" i="18"/>
  <c r="Q1354" i="18"/>
  <c r="Q1353" i="18"/>
  <c r="Q1352" i="18"/>
  <c r="Q1351" i="18"/>
  <c r="Q1350" i="18"/>
  <c r="Q1349" i="18"/>
  <c r="Q1348" i="18"/>
  <c r="Q1347" i="18"/>
  <c r="Q1346" i="18"/>
  <c r="Q1345" i="18"/>
  <c r="Q1344" i="18"/>
  <c r="Q1343" i="18"/>
  <c r="Q1342" i="18"/>
  <c r="Q1341" i="18"/>
  <c r="Q1340" i="18"/>
  <c r="Q1339" i="18"/>
  <c r="Q1338" i="18"/>
  <c r="Q1337" i="18"/>
  <c r="Q1336" i="18"/>
  <c r="Q1335" i="18"/>
  <c r="Q1334" i="18"/>
  <c r="Q1333" i="18"/>
  <c r="Q1332" i="18"/>
  <c r="Q1331" i="18"/>
  <c r="Q1330" i="18"/>
  <c r="Q1329" i="18"/>
  <c r="Q1328" i="18"/>
  <c r="Q1327" i="18"/>
  <c r="Q1326" i="18"/>
  <c r="Q1325" i="18"/>
  <c r="Q1324" i="18"/>
  <c r="Q1323" i="18"/>
  <c r="Q1322" i="18"/>
  <c r="Q1321" i="18"/>
  <c r="Q1320" i="18"/>
  <c r="Q1319" i="18"/>
  <c r="Q1318" i="18"/>
  <c r="Q1311" i="18"/>
  <c r="Q1310" i="18"/>
  <c r="Q1309" i="18"/>
  <c r="Q1308" i="18"/>
  <c r="Q1307" i="18"/>
  <c r="Q1306" i="18"/>
  <c r="Q1305" i="18"/>
  <c r="Q1304" i="18"/>
  <c r="Q1303" i="18"/>
  <c r="Q1302" i="18"/>
  <c r="Q1301" i="18"/>
  <c r="Q1300" i="18"/>
  <c r="Q1299" i="18"/>
  <c r="Q1298" i="18"/>
  <c r="Q1297" i="18"/>
  <c r="Q1296" i="18"/>
  <c r="Q1295" i="18"/>
  <c r="Q1294" i="18"/>
  <c r="Q1293" i="18"/>
  <c r="Q1292" i="18"/>
  <c r="Q1291" i="18"/>
  <c r="Q1290" i="18"/>
  <c r="Q1289" i="18"/>
  <c r="Q1288" i="18"/>
  <c r="Q1287" i="18"/>
  <c r="Q1286" i="18"/>
  <c r="Q1285" i="18"/>
  <c r="Q1284" i="18"/>
  <c r="Q1283" i="18"/>
  <c r="Q1282" i="18"/>
  <c r="Q1281" i="18"/>
  <c r="Q1280" i="18"/>
  <c r="Q1279" i="18"/>
  <c r="Q1278" i="18"/>
  <c r="Q1277" i="18"/>
  <c r="Q1276" i="18"/>
  <c r="Q1275" i="18"/>
  <c r="Q1274" i="18"/>
  <c r="Q1273" i="18"/>
  <c r="Q1272" i="18"/>
  <c r="Q1271" i="18"/>
  <c r="Q1270" i="18"/>
  <c r="Q1269" i="18"/>
  <c r="Q1268" i="18"/>
  <c r="Q1267" i="18"/>
  <c r="Q1266" i="18"/>
  <c r="Q1265" i="18"/>
  <c r="Q1264" i="18"/>
  <c r="Q1263" i="18"/>
  <c r="Q1262" i="18"/>
  <c r="Q1261" i="18"/>
  <c r="Q1260" i="18"/>
  <c r="Q1259" i="18"/>
  <c r="Q1258" i="18"/>
  <c r="Q1257" i="18"/>
  <c r="Q1256" i="18"/>
  <c r="Q1255" i="18"/>
  <c r="Q1254" i="18"/>
  <c r="Q1253" i="18"/>
  <c r="Q1252" i="18"/>
  <c r="Q1251" i="18"/>
  <c r="Q1250" i="18"/>
  <c r="Q1249" i="18"/>
  <c r="Q1248" i="18"/>
  <c r="Q1247" i="18"/>
  <c r="Q1246" i="18"/>
  <c r="Q1245" i="18"/>
  <c r="Q1244" i="18"/>
  <c r="Q1243" i="18"/>
  <c r="Q1242" i="18"/>
  <c r="Q1241" i="18"/>
  <c r="Q1240" i="18"/>
  <c r="Q1239" i="18"/>
  <c r="Q1238" i="18"/>
  <c r="Q1237" i="18"/>
  <c r="Q1236" i="18"/>
  <c r="Q1235" i="18"/>
  <c r="Q1234" i="18"/>
  <c r="Q1233" i="18"/>
  <c r="Q1232" i="18"/>
  <c r="Q1231" i="18"/>
  <c r="Q1230" i="18"/>
  <c r="Q1229" i="18"/>
  <c r="Q1228" i="18"/>
  <c r="Q1227" i="18"/>
  <c r="Q1226" i="18"/>
  <c r="Q1225" i="18"/>
  <c r="Q1224" i="18"/>
  <c r="Q1223" i="18"/>
  <c r="Q1222" i="18"/>
  <c r="Q1221" i="18"/>
  <c r="Q1220" i="18"/>
  <c r="Q1219" i="18"/>
  <c r="Q1218" i="18"/>
  <c r="Q1217" i="18"/>
  <c r="Q1216" i="18"/>
  <c r="Q1215" i="18"/>
  <c r="Q1214" i="18"/>
  <c r="Q1213" i="18"/>
  <c r="Q1212" i="18"/>
  <c r="Q1211" i="18"/>
  <c r="Q1210" i="18"/>
  <c r="Q1209" i="18"/>
  <c r="Q1208" i="18"/>
  <c r="Q1207" i="18"/>
  <c r="Q1206" i="18"/>
  <c r="Q1205" i="18"/>
  <c r="Q1204" i="18"/>
  <c r="Q1203" i="18"/>
  <c r="Q1202" i="18"/>
  <c r="Q1201" i="18"/>
  <c r="Q1200" i="18"/>
  <c r="Q1199" i="18"/>
  <c r="Q1198" i="18"/>
  <c r="Q1197" i="18"/>
  <c r="Q1196" i="18"/>
  <c r="Q1195" i="18"/>
  <c r="Q1194" i="18"/>
  <c r="Q1193" i="18"/>
  <c r="Q1192" i="18"/>
  <c r="Q1191" i="18"/>
  <c r="Q1190" i="18"/>
  <c r="Q1189" i="18"/>
  <c r="Q1188" i="18"/>
  <c r="Q1187" i="18"/>
  <c r="Q1186" i="18"/>
  <c r="Q1185" i="18"/>
  <c r="Q1184" i="18"/>
  <c r="Q1183" i="18"/>
  <c r="Q1182" i="18"/>
  <c r="Q1181" i="18"/>
  <c r="Q1180" i="18"/>
  <c r="Q1179" i="18"/>
  <c r="Q1178" i="18"/>
  <c r="Q1177" i="18"/>
  <c r="Q1176" i="18"/>
  <c r="Q1175" i="18"/>
  <c r="Q1174" i="18"/>
  <c r="Q1173" i="18"/>
  <c r="Q1172" i="18"/>
  <c r="Q1171" i="18"/>
  <c r="Q1167" i="18"/>
  <c r="Q1166" i="18"/>
  <c r="Q1165" i="18"/>
  <c r="Q1164" i="18"/>
  <c r="Q1163" i="18"/>
  <c r="Q1162" i="18"/>
  <c r="Q1161" i="18"/>
  <c r="Q1160" i="18"/>
  <c r="Q1159" i="18"/>
  <c r="Q1158" i="18"/>
  <c r="Q1157" i="18"/>
  <c r="Q1156" i="18"/>
  <c r="Q1155" i="18"/>
  <c r="Q1154" i="18"/>
  <c r="Q1153" i="18"/>
  <c r="Q1152" i="18"/>
  <c r="Q1151" i="18"/>
  <c r="Q1150" i="18"/>
  <c r="Q1149" i="18"/>
  <c r="Q1148" i="18"/>
  <c r="Q1147" i="18"/>
  <c r="Q1146" i="18"/>
  <c r="Q1145" i="18"/>
  <c r="Q1144" i="18"/>
  <c r="Q1143" i="18"/>
  <c r="Q1142" i="18"/>
  <c r="Q1141" i="18"/>
  <c r="Q1140" i="18"/>
  <c r="Q1139" i="18"/>
  <c r="Q1138" i="18"/>
  <c r="Q1137" i="18"/>
  <c r="Q1136" i="18"/>
  <c r="Q1135" i="18"/>
  <c r="Q1134" i="18"/>
  <c r="Q1133" i="18"/>
  <c r="Q1132" i="18"/>
  <c r="Q1131" i="18"/>
  <c r="Q1130" i="18"/>
  <c r="Q1129" i="18"/>
  <c r="Q1128" i="18"/>
  <c r="Q1127" i="18"/>
  <c r="Q1126" i="18"/>
  <c r="Q1125" i="18"/>
  <c r="Q1124" i="18"/>
  <c r="Q1123" i="18"/>
  <c r="Q1122" i="18"/>
  <c r="Q1121" i="18"/>
  <c r="Q1120" i="18"/>
  <c r="Q1119" i="18"/>
  <c r="Q1118" i="18"/>
  <c r="Q1117" i="18"/>
  <c r="Q1116" i="18"/>
  <c r="Q1115" i="18"/>
  <c r="Q1114" i="18"/>
  <c r="Q1113" i="18"/>
  <c r="Q1112" i="18"/>
  <c r="Q1111" i="18"/>
  <c r="Q1110" i="18"/>
  <c r="Q1109" i="18"/>
  <c r="Q1108" i="18"/>
  <c r="Q1107" i="18"/>
  <c r="Q1106" i="18"/>
  <c r="Q1105" i="18"/>
  <c r="Q1104" i="18"/>
  <c r="Q1103" i="18"/>
  <c r="Q1102" i="18"/>
  <c r="Q1101" i="18"/>
  <c r="Q1100" i="18"/>
  <c r="Q1099" i="18"/>
  <c r="Q1098" i="18"/>
  <c r="Q1097" i="18"/>
  <c r="Q1096" i="18"/>
  <c r="Q1095" i="18"/>
  <c r="Q1094" i="18"/>
  <c r="Q1093" i="18"/>
  <c r="Q1092" i="18"/>
  <c r="Q1091" i="18"/>
  <c r="Q1090" i="18"/>
  <c r="Q1089" i="18"/>
  <c r="Q1088" i="18"/>
  <c r="Q1087" i="18"/>
  <c r="Q1086" i="18"/>
  <c r="Q1085" i="18"/>
  <c r="Q1084" i="18"/>
  <c r="Q1083" i="18"/>
  <c r="Q1082" i="18"/>
  <c r="Q1081" i="18"/>
  <c r="Q1080" i="18"/>
  <c r="Q1079" i="18"/>
  <c r="Q1078" i="18"/>
  <c r="Q1077" i="18"/>
  <c r="Q1076" i="18"/>
  <c r="Q1075" i="18"/>
  <c r="Q1074" i="18"/>
  <c r="Q1073" i="18"/>
  <c r="Q1072" i="18"/>
  <c r="Q1071" i="18"/>
  <c r="Q1070" i="18"/>
  <c r="Q1069" i="18"/>
  <c r="Q1068" i="18"/>
  <c r="Q1067" i="18"/>
  <c r="Q1066" i="18"/>
  <c r="Q1065" i="18"/>
  <c r="Q1064" i="18"/>
  <c r="Q1063" i="18"/>
  <c r="Q1062" i="18"/>
  <c r="Q1061" i="18"/>
  <c r="Q1060" i="18"/>
  <c r="Q1059" i="18"/>
  <c r="Q1058" i="18"/>
  <c r="Q1054" i="18"/>
  <c r="Q1053" i="18"/>
  <c r="Q1052" i="18"/>
  <c r="Q1051" i="18"/>
  <c r="Q1050" i="18"/>
  <c r="Q1049" i="18"/>
  <c r="Q1048" i="18"/>
  <c r="Q1047" i="18"/>
  <c r="Q1046" i="18"/>
  <c r="Q1045" i="18"/>
  <c r="Q1044" i="18"/>
  <c r="Q1043" i="18"/>
  <c r="Q1042" i="18"/>
  <c r="Q1041" i="18"/>
  <c r="Q1040" i="18"/>
  <c r="Q1039" i="18"/>
  <c r="Q1038" i="18"/>
  <c r="Q1037" i="18"/>
  <c r="Q1036" i="18"/>
  <c r="Q1035" i="18"/>
  <c r="Q1034" i="18"/>
  <c r="Q1033" i="18"/>
  <c r="Q1032" i="18"/>
  <c r="Q1031" i="18"/>
  <c r="Q1030" i="18"/>
  <c r="Q1029" i="18"/>
  <c r="Q1028" i="18"/>
  <c r="Q1027" i="18"/>
  <c r="Q1026" i="18"/>
  <c r="Q1025" i="18"/>
  <c r="Q1024" i="18"/>
  <c r="Q1023" i="18"/>
  <c r="Q1022" i="18"/>
  <c r="Q1021" i="18"/>
  <c r="Q1020" i="18"/>
  <c r="Q1019" i="18"/>
  <c r="Q1018" i="18"/>
  <c r="Q1017" i="18"/>
  <c r="Q1016" i="18"/>
  <c r="Q1015" i="18"/>
  <c r="Q1014" i="18"/>
  <c r="Q1006" i="18"/>
  <c r="Q1005" i="18"/>
  <c r="Q1004" i="18"/>
  <c r="Q1003" i="18"/>
  <c r="Q1002" i="18"/>
  <c r="Q1001" i="18"/>
  <c r="Q1000" i="18"/>
  <c r="Q999" i="18"/>
  <c r="Q998" i="18"/>
  <c r="Q997" i="18"/>
  <c r="Q996" i="18"/>
  <c r="Q995" i="18"/>
  <c r="Q994" i="18"/>
  <c r="Q986" i="18"/>
  <c r="Q985" i="18"/>
  <c r="Q984" i="18"/>
  <c r="Q983" i="18"/>
  <c r="Q982" i="18"/>
  <c r="Q981" i="18"/>
  <c r="Q980" i="18"/>
  <c r="Q979" i="18"/>
  <c r="Q978" i="18"/>
  <c r="Q977" i="18"/>
  <c r="Q976" i="18"/>
  <c r="Q975" i="18"/>
  <c r="Q974" i="18"/>
  <c r="Q973" i="18"/>
  <c r="Q972" i="18"/>
  <c r="Q971" i="18"/>
  <c r="Q970" i="18"/>
  <c r="Q969" i="18"/>
  <c r="Q968" i="18"/>
  <c r="Q967" i="18"/>
  <c r="Q966" i="18"/>
  <c r="Q965" i="18"/>
  <c r="Q964" i="18"/>
  <c r="Q963" i="18"/>
  <c r="Q962" i="18"/>
  <c r="Q961" i="18"/>
  <c r="Q960" i="18"/>
  <c r="Q959" i="18"/>
  <c r="Q958" i="18"/>
  <c r="Q957" i="18"/>
  <c r="Q956" i="18"/>
  <c r="Q955" i="18"/>
  <c r="Q954" i="18"/>
  <c r="Q953" i="18"/>
  <c r="Q952" i="18"/>
  <c r="Q951" i="18"/>
  <c r="Q950" i="18"/>
  <c r="Q949" i="18"/>
  <c r="Q948" i="18"/>
  <c r="Q947" i="18"/>
  <c r="Q946" i="18"/>
  <c r="Q945" i="18"/>
  <c r="Q940" i="18"/>
  <c r="Q939" i="18"/>
  <c r="Q938" i="18"/>
  <c r="Q937" i="18"/>
  <c r="Q936" i="18"/>
  <c r="Q935" i="18"/>
  <c r="Q934" i="18"/>
  <c r="Q933" i="18"/>
  <c r="Q932" i="18"/>
  <c r="Q931" i="18"/>
  <c r="Q930" i="18"/>
  <c r="Q929" i="18"/>
  <c r="Q928" i="18"/>
  <c r="Q927" i="18"/>
  <c r="Q926" i="18"/>
  <c r="Q925" i="18"/>
  <c r="Q924" i="18"/>
  <c r="Q923" i="18"/>
  <c r="Q922" i="18"/>
  <c r="Q921" i="18"/>
  <c r="Q920" i="18"/>
  <c r="Q919" i="18"/>
  <c r="Q918" i="18"/>
  <c r="Q917" i="18"/>
  <c r="Q916" i="18"/>
  <c r="Q915" i="18"/>
  <c r="Q914" i="18"/>
  <c r="Q913" i="18"/>
  <c r="Q912" i="18"/>
  <c r="Q911" i="18"/>
  <c r="Q910" i="18"/>
  <c r="Q909" i="18"/>
  <c r="Q908" i="18"/>
  <c r="Q907" i="18"/>
  <c r="Q906" i="18"/>
  <c r="Q905" i="18"/>
  <c r="Q904" i="18"/>
  <c r="Q903" i="18"/>
  <c r="Q902" i="18"/>
  <c r="Q901" i="18"/>
  <c r="Q900" i="18"/>
  <c r="Q899" i="18"/>
  <c r="Q898" i="18"/>
  <c r="Q897" i="18"/>
  <c r="Q896" i="18"/>
  <c r="Q895" i="18"/>
  <c r="Q894" i="18"/>
  <c r="Q893" i="18"/>
  <c r="Q892" i="18"/>
  <c r="Q891" i="18"/>
  <c r="Q890" i="18"/>
  <c r="Q889" i="18"/>
  <c r="Q888" i="18"/>
  <c r="Q887" i="18"/>
  <c r="Q886" i="18"/>
  <c r="Q885" i="18"/>
  <c r="Q884" i="18"/>
  <c r="Q883" i="18"/>
  <c r="Q882" i="18"/>
  <c r="Q881" i="18"/>
  <c r="Q880" i="18"/>
  <c r="Q879" i="18"/>
  <c r="Q878" i="18"/>
  <c r="Q877" i="18"/>
  <c r="Q876" i="18"/>
  <c r="Q875" i="18"/>
  <c r="Q874" i="18"/>
  <c r="Q873" i="18"/>
  <c r="Q872" i="18"/>
  <c r="Q871" i="18"/>
  <c r="Q870" i="18"/>
  <c r="Q869" i="18"/>
  <c r="Q868" i="18"/>
  <c r="Q867" i="18"/>
  <c r="Q866" i="18"/>
  <c r="Q865" i="18"/>
  <c r="Q864" i="18"/>
  <c r="Q863" i="18"/>
  <c r="Q862" i="18"/>
  <c r="Q861" i="18"/>
  <c r="Q860" i="18"/>
  <c r="Q859" i="18"/>
  <c r="Q858" i="18"/>
  <c r="Q857" i="18"/>
  <c r="Q856" i="18"/>
  <c r="Q855" i="18"/>
  <c r="Q854" i="18"/>
  <c r="Q853" i="18"/>
  <c r="Q852" i="18"/>
  <c r="Q851" i="18"/>
  <c r="Q850" i="18"/>
  <c r="Q849" i="18"/>
  <c r="Q848" i="18"/>
  <c r="Q847" i="18"/>
  <c r="Q846" i="18"/>
  <c r="Q845" i="18"/>
  <c r="Q844" i="18"/>
  <c r="Q843" i="18"/>
  <c r="Q842" i="18"/>
  <c r="Q841" i="18"/>
  <c r="Q833" i="18"/>
  <c r="Q832" i="18"/>
  <c r="Q831" i="18"/>
  <c r="Q830" i="18"/>
  <c r="Q829" i="18"/>
  <c r="Q828" i="18"/>
  <c r="Q827" i="18"/>
  <c r="Q826" i="18"/>
  <c r="Q825" i="18"/>
  <c r="Q824" i="18"/>
  <c r="Q823" i="18"/>
  <c r="Q822" i="18"/>
  <c r="Q821" i="18"/>
  <c r="Q820" i="18"/>
  <c r="Q819" i="18"/>
  <c r="Q818" i="18"/>
  <c r="Q817" i="18"/>
  <c r="Q816" i="18"/>
  <c r="Q815" i="18"/>
  <c r="Q814" i="18"/>
  <c r="Q813" i="18"/>
  <c r="Q812" i="18"/>
  <c r="Q811" i="18"/>
  <c r="Q810" i="18"/>
  <c r="Q809" i="18"/>
  <c r="Q808" i="18"/>
  <c r="Q807" i="18"/>
  <c r="Q806" i="18"/>
  <c r="Q805" i="18"/>
  <c r="Q804" i="18"/>
  <c r="Q803" i="18"/>
  <c r="Q802" i="18"/>
  <c r="Q801" i="18"/>
  <c r="Q800" i="18"/>
  <c r="Q799" i="18"/>
  <c r="Q798" i="18"/>
  <c r="Q797" i="18"/>
  <c r="Q796" i="18"/>
  <c r="Q795" i="18"/>
  <c r="Q794" i="18"/>
  <c r="Q793" i="18"/>
  <c r="Q792" i="18"/>
  <c r="Q791" i="18"/>
  <c r="Q790" i="18"/>
  <c r="Q789" i="18"/>
  <c r="Q788" i="18"/>
  <c r="Q787" i="18"/>
  <c r="Q786" i="18"/>
  <c r="Q785" i="18"/>
  <c r="Q784" i="18"/>
  <c r="Q783" i="18"/>
  <c r="Q782" i="18"/>
  <c r="Q781" i="18"/>
  <c r="Q780" i="18"/>
  <c r="Q779" i="18"/>
  <c r="Q778" i="18"/>
  <c r="Q777" i="18"/>
  <c r="Q776" i="18"/>
  <c r="Q775" i="18"/>
  <c r="Q774" i="18"/>
  <c r="Q773" i="18"/>
  <c r="Q772" i="18"/>
  <c r="Q771" i="18"/>
  <c r="Q770" i="18"/>
  <c r="Q769" i="18"/>
  <c r="Q768" i="18"/>
  <c r="Q767" i="18"/>
  <c r="Q766" i="18"/>
  <c r="Q765" i="18"/>
  <c r="Q764" i="18"/>
  <c r="Q763" i="18"/>
  <c r="Q762" i="18"/>
  <c r="Q761" i="18"/>
  <c r="Q760" i="18"/>
  <c r="Q759" i="18"/>
  <c r="Q758" i="18"/>
  <c r="Q757" i="18"/>
  <c r="Q756" i="18"/>
  <c r="Q753" i="18"/>
  <c r="Q752" i="18"/>
  <c r="Q751" i="18"/>
  <c r="Q750" i="18"/>
  <c r="Q749" i="18"/>
  <c r="Q748" i="18"/>
  <c r="Q747" i="18"/>
  <c r="Q746" i="18"/>
  <c r="Q745" i="18"/>
  <c r="Q744" i="18"/>
  <c r="Q743" i="18"/>
  <c r="Q742" i="18"/>
  <c r="Q741" i="18"/>
  <c r="Q740" i="18"/>
  <c r="Q739" i="18"/>
  <c r="Q738" i="18"/>
  <c r="Q737" i="18"/>
  <c r="Q736" i="18"/>
  <c r="Q735" i="18"/>
  <c r="Q734" i="18"/>
  <c r="Q733" i="18"/>
  <c r="Q732" i="18"/>
  <c r="Q731" i="18"/>
  <c r="Q730" i="18"/>
  <c r="Q729" i="18"/>
  <c r="Q728" i="18"/>
  <c r="Q727" i="18"/>
  <c r="Q726" i="18"/>
  <c r="Q725" i="18"/>
  <c r="Q724" i="18"/>
  <c r="Q723" i="18"/>
  <c r="Q722" i="18"/>
  <c r="Q721" i="18"/>
  <c r="Q720" i="18"/>
  <c r="Q719" i="18"/>
  <c r="Q718" i="18"/>
  <c r="Q717" i="18"/>
  <c r="Q716" i="18"/>
  <c r="Q715" i="18"/>
  <c r="Q714" i="18"/>
  <c r="Q713" i="18"/>
  <c r="Q712" i="18"/>
  <c r="Q711" i="18"/>
  <c r="Q710" i="18"/>
  <c r="Q709" i="18"/>
  <c r="Q708" i="18"/>
  <c r="Q707" i="18"/>
  <c r="Q706" i="18"/>
  <c r="Q705" i="18"/>
  <c r="Q704" i="18"/>
  <c r="Q703" i="18"/>
  <c r="Q702" i="18"/>
  <c r="Q701" i="18"/>
  <c r="Q700" i="18"/>
  <c r="Q699" i="18"/>
  <c r="Q698" i="18"/>
  <c r="Q697" i="18"/>
  <c r="Q696" i="18"/>
  <c r="Q695" i="18"/>
  <c r="Q694" i="18"/>
  <c r="Q693" i="18"/>
  <c r="Q692" i="18"/>
  <c r="Q691" i="18"/>
  <c r="Q690" i="18"/>
  <c r="Q689" i="18"/>
  <c r="Q688" i="18"/>
  <c r="Q687" i="18"/>
  <c r="Q686" i="18"/>
  <c r="Q685" i="18"/>
  <c r="Q684" i="18"/>
  <c r="Q683" i="18"/>
  <c r="Q682" i="18"/>
  <c r="Q681" i="18"/>
  <c r="Q680" i="18"/>
  <c r="Q679" i="18"/>
  <c r="Q678" i="18"/>
  <c r="Q677" i="18"/>
  <c r="Q676" i="18"/>
  <c r="Q675" i="18"/>
  <c r="Q674" i="18"/>
  <c r="Q673" i="18"/>
  <c r="Q672" i="18"/>
  <c r="Q671" i="18"/>
  <c r="Q670" i="18"/>
  <c r="Q669" i="18"/>
  <c r="Q668" i="18"/>
  <c r="Q667" i="18"/>
  <c r="Q666" i="18"/>
  <c r="Q665" i="18"/>
  <c r="Q655" i="18"/>
  <c r="Q654" i="18"/>
  <c r="Q653" i="18"/>
  <c r="Q652" i="18"/>
  <c r="Q651" i="18"/>
  <c r="Q650" i="18"/>
  <c r="Q649" i="18"/>
  <c r="Q648" i="18"/>
  <c r="Q647" i="18"/>
  <c r="Q646" i="18"/>
  <c r="Q645" i="18"/>
  <c r="Q644" i="18"/>
  <c r="Q643" i="18"/>
  <c r="Q642" i="18"/>
  <c r="Q641" i="18"/>
  <c r="Q640" i="18"/>
  <c r="Q639" i="18"/>
  <c r="Q638" i="18"/>
  <c r="Q637" i="18"/>
  <c r="Q636" i="18"/>
  <c r="Q635" i="18"/>
  <c r="Q634" i="18"/>
  <c r="Q633" i="18"/>
  <c r="Q632" i="18"/>
  <c r="Q631" i="18"/>
  <c r="Q630" i="18"/>
  <c r="Q629" i="18"/>
  <c r="Q628" i="18"/>
  <c r="Q627" i="18"/>
  <c r="Q626" i="18"/>
  <c r="Q625" i="18"/>
  <c r="Q624" i="18"/>
  <c r="Q623" i="18"/>
  <c r="Q622" i="18"/>
  <c r="Q621" i="18"/>
  <c r="Q620" i="18"/>
  <c r="Q619" i="18"/>
  <c r="Q618" i="18"/>
  <c r="Q617" i="18"/>
  <c r="Q616" i="18"/>
  <c r="Q615" i="18"/>
  <c r="Q614" i="18"/>
  <c r="Q613" i="18"/>
  <c r="Q612" i="18"/>
  <c r="Q611" i="18"/>
  <c r="Q610" i="18"/>
  <c r="Q609" i="18"/>
  <c r="Q608" i="18"/>
  <c r="Q607" i="18"/>
  <c r="Q606" i="18"/>
  <c r="Q605" i="18"/>
  <c r="Q604" i="18"/>
  <c r="Q603" i="18"/>
  <c r="Q602" i="18"/>
  <c r="Q601" i="18"/>
  <c r="Q600" i="18"/>
  <c r="Q599" i="18"/>
  <c r="Q598" i="18"/>
  <c r="Q597" i="18"/>
  <c r="Q596" i="18"/>
  <c r="Q595" i="18"/>
  <c r="Q594" i="18"/>
  <c r="Q593" i="18"/>
  <c r="Q592" i="18"/>
  <c r="Q591" i="18"/>
  <c r="Q590" i="18"/>
  <c r="Q589" i="18"/>
  <c r="Q588" i="18"/>
  <c r="Q587" i="18"/>
  <c r="Q586" i="18"/>
  <c r="Q585" i="18"/>
  <c r="Q584" i="18"/>
  <c r="Q583" i="18"/>
  <c r="Q582" i="18"/>
  <c r="Q581" i="18"/>
  <c r="Q580" i="18"/>
  <c r="Q579" i="18"/>
  <c r="Q578" i="18"/>
  <c r="Q577" i="18"/>
  <c r="Q576" i="18"/>
  <c r="Q575" i="18"/>
  <c r="Q574" i="18"/>
  <c r="Q573" i="18"/>
  <c r="Q572" i="18"/>
  <c r="Q571" i="18"/>
  <c r="Q570" i="18"/>
  <c r="Q569" i="18"/>
  <c r="Q568" i="18"/>
  <c r="Q567" i="18"/>
  <c r="Q566" i="18"/>
  <c r="Q565" i="18"/>
  <c r="Q564" i="18"/>
  <c r="Q563" i="18"/>
  <c r="Q562" i="18"/>
  <c r="Q561" i="18"/>
  <c r="Q560" i="18"/>
  <c r="Q559" i="18"/>
  <c r="Q558" i="18"/>
  <c r="Q557" i="18"/>
  <c r="Q556" i="18"/>
  <c r="Q555" i="18"/>
  <c r="Q554" i="18"/>
  <c r="Q553" i="18"/>
  <c r="Q552" i="18"/>
  <c r="Q551" i="18"/>
  <c r="Q550" i="18"/>
  <c r="Q549" i="18"/>
  <c r="Q548" i="18"/>
  <c r="Q547" i="18"/>
  <c r="Q546" i="18"/>
  <c r="Q545" i="18"/>
  <c r="Q544" i="18"/>
  <c r="Q543" i="18"/>
  <c r="Q542" i="18"/>
  <c r="Q541" i="18"/>
  <c r="Q540" i="18"/>
  <c r="Q539" i="18"/>
  <c r="Q538" i="18"/>
  <c r="Q537" i="18"/>
  <c r="Q536" i="18"/>
  <c r="Q535" i="18"/>
  <c r="Q534" i="18"/>
  <c r="Q533" i="18"/>
  <c r="Q532" i="18"/>
  <c r="Q531" i="18"/>
  <c r="Q530" i="18"/>
  <c r="Q529" i="18"/>
  <c r="Q528" i="18"/>
  <c r="Q527" i="18"/>
  <c r="Q526" i="18"/>
  <c r="Q525" i="18"/>
  <c r="Q524" i="18"/>
  <c r="Q523" i="18"/>
  <c r="Q522" i="18"/>
  <c r="Q521" i="18"/>
  <c r="Q520" i="18"/>
  <c r="Q519" i="18"/>
  <c r="Q518" i="18"/>
  <c r="Q517" i="18"/>
  <c r="Q516" i="18"/>
  <c r="Q515" i="18"/>
  <c r="Q514" i="18"/>
  <c r="Q513" i="18"/>
  <c r="Q512" i="18"/>
  <c r="Q511" i="18"/>
  <c r="Q510" i="18"/>
  <c r="Q509" i="18"/>
  <c r="Q508" i="18"/>
  <c r="Q507" i="18"/>
  <c r="Q506" i="18"/>
  <c r="Q505" i="18"/>
  <c r="Q504" i="18"/>
  <c r="Q503" i="18"/>
  <c r="Q502" i="18"/>
  <c r="Q501" i="18"/>
  <c r="Q500" i="18"/>
  <c r="Q499" i="18"/>
  <c r="Q498" i="18"/>
  <c r="Q497" i="18"/>
  <c r="Q496" i="18"/>
  <c r="Q495" i="18"/>
  <c r="Q494" i="18"/>
  <c r="Q493" i="18"/>
  <c r="Q492" i="18"/>
  <c r="Q491" i="18"/>
  <c r="Q490" i="18"/>
  <c r="Q489" i="18"/>
  <c r="Q488" i="18"/>
  <c r="Q487" i="18"/>
  <c r="Q486" i="18"/>
  <c r="Q485" i="18"/>
  <c r="Q484" i="18"/>
  <c r="Q483" i="18"/>
  <c r="Q482" i="18"/>
  <c r="Q481" i="18"/>
  <c r="Q480" i="18"/>
  <c r="Q479" i="18"/>
  <c r="Q478" i="18"/>
  <c r="Q477" i="18"/>
  <c r="Q476" i="18"/>
  <c r="Q475" i="18"/>
  <c r="Q474" i="18"/>
  <c r="Q473" i="18"/>
  <c r="Q472" i="18"/>
  <c r="Q471" i="18"/>
  <c r="Q470" i="18"/>
  <c r="Q469" i="18"/>
  <c r="Q468" i="18"/>
  <c r="Q467" i="18"/>
  <c r="Q466" i="18"/>
  <c r="Q465" i="18"/>
  <c r="Q464" i="18"/>
  <c r="Q463" i="18"/>
  <c r="Q462" i="18"/>
  <c r="Q461" i="18"/>
  <c r="Q460" i="18"/>
  <c r="Q459" i="18"/>
  <c r="Q458" i="18"/>
  <c r="Q457" i="18"/>
  <c r="Q456" i="18"/>
  <c r="Q455" i="18"/>
  <c r="Q454" i="18"/>
  <c r="Q453" i="18"/>
  <c r="Q452" i="18"/>
  <c r="Q451" i="18"/>
  <c r="Q450" i="18"/>
  <c r="Q449" i="18"/>
  <c r="Q448" i="18"/>
  <c r="Q447" i="18"/>
  <c r="Q446" i="18"/>
  <c r="Q445" i="18"/>
  <c r="Q444" i="18"/>
  <c r="Q443" i="18"/>
  <c r="Q442" i="18"/>
  <c r="Q441" i="18"/>
  <c r="Q440" i="18"/>
  <c r="Q439" i="18"/>
  <c r="Q438" i="18"/>
  <c r="Q437" i="18"/>
  <c r="Q436" i="18"/>
  <c r="Q435" i="18"/>
  <c r="Q434" i="18"/>
  <c r="Q433" i="18"/>
  <c r="Q432" i="18"/>
  <c r="Q431" i="18"/>
  <c r="Q430" i="18"/>
  <c r="Q429" i="18"/>
  <c r="Q428" i="18"/>
  <c r="Q427" i="18"/>
  <c r="Q426" i="18"/>
  <c r="Q425" i="18"/>
  <c r="Q424" i="18"/>
  <c r="Q423" i="18"/>
  <c r="Q422" i="18"/>
  <c r="Q421" i="18"/>
  <c r="Q420" i="18"/>
  <c r="Q419" i="18"/>
  <c r="Q418" i="18"/>
  <c r="Q417" i="18"/>
  <c r="Q416" i="18"/>
  <c r="Q415" i="18"/>
  <c r="Q414" i="18"/>
  <c r="Q413" i="18"/>
  <c r="Q412" i="18"/>
  <c r="Q411" i="18"/>
  <c r="Q410" i="18"/>
  <c r="Q409" i="18"/>
  <c r="Q408" i="18"/>
  <c r="Q407" i="18"/>
  <c r="Q406" i="18"/>
  <c r="Q405" i="18"/>
  <c r="Q404" i="18"/>
  <c r="Q403" i="18"/>
  <c r="Q402" i="18"/>
  <c r="Q401" i="18"/>
  <c r="Q400" i="18"/>
  <c r="Q399" i="18"/>
  <c r="Q398" i="18"/>
  <c r="Q397" i="18"/>
  <c r="Q396" i="18"/>
  <c r="Q395" i="18"/>
  <c r="Q394" i="18"/>
  <c r="Q393" i="18"/>
  <c r="Q392" i="18"/>
  <c r="Q391" i="18"/>
  <c r="Q390" i="18"/>
  <c r="Q389" i="18"/>
  <c r="Q388" i="18"/>
  <c r="Q387" i="18"/>
  <c r="Q386" i="18"/>
  <c r="Q385" i="18"/>
  <c r="Q384" i="18"/>
  <c r="Q383" i="18"/>
  <c r="Q382" i="18"/>
  <c r="Q381" i="18"/>
  <c r="Q380" i="18"/>
  <c r="Q379" i="18"/>
  <c r="Q378" i="18"/>
  <c r="Q377" i="18"/>
  <c r="Q376" i="18"/>
  <c r="Q375" i="18"/>
  <c r="Q374" i="18"/>
  <c r="Q373" i="18"/>
  <c r="Q372" i="18"/>
  <c r="Q371" i="18"/>
  <c r="Q370" i="18"/>
  <c r="Q369" i="18"/>
  <c r="Q368" i="18"/>
  <c r="Q367" i="18"/>
  <c r="Q366" i="18"/>
  <c r="Q365" i="18"/>
  <c r="Q364" i="18"/>
  <c r="Q363" i="18"/>
  <c r="Q362" i="18"/>
  <c r="Q361" i="18"/>
  <c r="Q360" i="18"/>
  <c r="Q359" i="18"/>
  <c r="Q358" i="18"/>
  <c r="Q357" i="18"/>
  <c r="Q356" i="18"/>
  <c r="Q355" i="18"/>
  <c r="Q354" i="18"/>
  <c r="Q353" i="18"/>
  <c r="Q352" i="18"/>
  <c r="Q351" i="18"/>
  <c r="Q350" i="18"/>
  <c r="Q349" i="18"/>
  <c r="Q348" i="18"/>
  <c r="Q347" i="18"/>
  <c r="Q346" i="18"/>
  <c r="Q345" i="18"/>
  <c r="Q344" i="18"/>
  <c r="Q343" i="18"/>
  <c r="Q342" i="18"/>
  <c r="Q341" i="18"/>
  <c r="Q340" i="18"/>
  <c r="Q339" i="18"/>
  <c r="Q338" i="18"/>
  <c r="Q337" i="18"/>
  <c r="Q336" i="18"/>
  <c r="Q335" i="18"/>
  <c r="Q334" i="18"/>
  <c r="Q333" i="18"/>
  <c r="Q332" i="18"/>
  <c r="Q331" i="18"/>
  <c r="Q330" i="18"/>
  <c r="Q329" i="18"/>
  <c r="Q328" i="18"/>
  <c r="Q327" i="18"/>
  <c r="Q326" i="18"/>
  <c r="Q325" i="18"/>
  <c r="Q324" i="18"/>
  <c r="Q323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161" i="18"/>
  <c r="Q162" i="18"/>
  <c r="Q163" i="18"/>
  <c r="Q164" i="18"/>
  <c r="Q165" i="18"/>
  <c r="Q166" i="18"/>
  <c r="Q167" i="18"/>
  <c r="Q168" i="18"/>
  <c r="Q169" i="18"/>
  <c r="Q170" i="18"/>
  <c r="Q171" i="18"/>
  <c r="Q172" i="18"/>
  <c r="Q173" i="18"/>
  <c r="Q174" i="18"/>
  <c r="Q175" i="18"/>
  <c r="Q176" i="18"/>
  <c r="Q177" i="18"/>
  <c r="Q178" i="18"/>
  <c r="Q179" i="18"/>
  <c r="Q180" i="18"/>
  <c r="Q181" i="18"/>
  <c r="Q182" i="18"/>
  <c r="Q183" i="18"/>
  <c r="Q184" i="18"/>
  <c r="Q185" i="18"/>
  <c r="Q186" i="18"/>
  <c r="Q187" i="18"/>
  <c r="Q188" i="18"/>
  <c r="Q189" i="18"/>
  <c r="Q190" i="18"/>
  <c r="Q191" i="18"/>
  <c r="Q192" i="18"/>
  <c r="Q193" i="18"/>
  <c r="Q194" i="18"/>
  <c r="Q195" i="18"/>
  <c r="Q196" i="18"/>
  <c r="Q197" i="18"/>
  <c r="Q198" i="18"/>
  <c r="Q199" i="18"/>
  <c r="Q200" i="18"/>
  <c r="Q201" i="18"/>
  <c r="Q202" i="18"/>
  <c r="Q203" i="18"/>
  <c r="Q204" i="18"/>
  <c r="Q205" i="18"/>
  <c r="Q206" i="18"/>
  <c r="Q207" i="18"/>
  <c r="Q208" i="18"/>
  <c r="Q209" i="18"/>
  <c r="Q210" i="18"/>
  <c r="Q211" i="18"/>
  <c r="Q212" i="18"/>
  <c r="Q213" i="18"/>
  <c r="Q214" i="18"/>
  <c r="Q215" i="18"/>
  <c r="Q216" i="18"/>
  <c r="Q217" i="18"/>
  <c r="Q218" i="18"/>
  <c r="Q219" i="18"/>
  <c r="Q220" i="18"/>
  <c r="Q221" i="18"/>
  <c r="Q222" i="18"/>
  <c r="Q223" i="18"/>
  <c r="Q224" i="18"/>
  <c r="Q225" i="18"/>
  <c r="Q226" i="18"/>
  <c r="Q227" i="18"/>
  <c r="Q228" i="18"/>
  <c r="Q229" i="18"/>
  <c r="Q230" i="18"/>
  <c r="Q231" i="18"/>
  <c r="Q232" i="18"/>
  <c r="Q233" i="18"/>
  <c r="Q234" i="18"/>
  <c r="Q235" i="18"/>
  <c r="Q236" i="18"/>
  <c r="Q237" i="18"/>
  <c r="Q238" i="18"/>
  <c r="Q239" i="18"/>
  <c r="Q240" i="18"/>
  <c r="Q241" i="18"/>
  <c r="Q242" i="18"/>
  <c r="Q243" i="18"/>
  <c r="Q244" i="18"/>
  <c r="Q245" i="18"/>
  <c r="Q246" i="18"/>
  <c r="Q247" i="18"/>
  <c r="Q248" i="18"/>
  <c r="Q249" i="18"/>
  <c r="Q250" i="18"/>
  <c r="Q251" i="18"/>
  <c r="Q252" i="18"/>
  <c r="Q253" i="18"/>
  <c r="Q254" i="18"/>
  <c r="Q255" i="18"/>
  <c r="Q256" i="18"/>
  <c r="Q257" i="18"/>
  <c r="Q258" i="18"/>
  <c r="Q259" i="18"/>
  <c r="Q260" i="18"/>
  <c r="Q261" i="18"/>
  <c r="Q262" i="18"/>
  <c r="Q263" i="18"/>
  <c r="Q264" i="18"/>
  <c r="Q265" i="18"/>
  <c r="Q266" i="18"/>
  <c r="Q267" i="18"/>
  <c r="Q268" i="18"/>
  <c r="Q269" i="18"/>
  <c r="Q270" i="18"/>
  <c r="Q271" i="18"/>
  <c r="Q272" i="18"/>
  <c r="Q273" i="18"/>
  <c r="Q274" i="18"/>
  <c r="Q275" i="18"/>
  <c r="Q276" i="18"/>
  <c r="Q277" i="18"/>
  <c r="Q278" i="18"/>
  <c r="Q279" i="18"/>
  <c r="Q280" i="18"/>
  <c r="Q281" i="18"/>
  <c r="Q282" i="18"/>
  <c r="Q283" i="18"/>
  <c r="Q284" i="18"/>
  <c r="Q285" i="18"/>
  <c r="Q286" i="18"/>
  <c r="Q287" i="18"/>
  <c r="Q288" i="18"/>
  <c r="Q289" i="18"/>
  <c r="Q290" i="18"/>
  <c r="Q291" i="18"/>
  <c r="Q292" i="18"/>
  <c r="Q293" i="18"/>
  <c r="Q294" i="18"/>
  <c r="Q295" i="18"/>
  <c r="Q296" i="18"/>
  <c r="Q297" i="18"/>
  <c r="Q298" i="18"/>
  <c r="Q299" i="18"/>
  <c r="Q300" i="18"/>
  <c r="Q301" i="18"/>
  <c r="Q302" i="18"/>
  <c r="Q303" i="18"/>
  <c r="Q304" i="18"/>
  <c r="Q305" i="18"/>
  <c r="Q306" i="18"/>
  <c r="Q307" i="18"/>
  <c r="Q308" i="18"/>
  <c r="Q309" i="18"/>
  <c r="Q310" i="18"/>
  <c r="Q311" i="18"/>
  <c r="Q312" i="18"/>
  <c r="Q313" i="18"/>
  <c r="Q314" i="18"/>
  <c r="Q315" i="18"/>
  <c r="Q316" i="18"/>
  <c r="Q317" i="18"/>
  <c r="Q318" i="18"/>
  <c r="Q319" i="18"/>
  <c r="Q2" i="18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47" i="18"/>
  <c r="P148" i="18"/>
  <c r="P149" i="18"/>
  <c r="P150" i="18"/>
  <c r="P151" i="18"/>
  <c r="P152" i="18"/>
  <c r="P153" i="18"/>
  <c r="P154" i="18"/>
  <c r="P155" i="18"/>
  <c r="P156" i="18"/>
  <c r="P157" i="18"/>
  <c r="P158" i="18"/>
  <c r="P159" i="18"/>
  <c r="P160" i="18"/>
  <c r="P161" i="18"/>
  <c r="P162" i="18"/>
  <c r="P163" i="18"/>
  <c r="P164" i="18"/>
  <c r="P165" i="18"/>
  <c r="P166" i="18"/>
  <c r="P167" i="18"/>
  <c r="P168" i="18"/>
  <c r="P169" i="18"/>
  <c r="P170" i="18"/>
  <c r="P171" i="18"/>
  <c r="P172" i="18"/>
  <c r="P173" i="18"/>
  <c r="P174" i="18"/>
  <c r="P175" i="18"/>
  <c r="P176" i="18"/>
  <c r="P177" i="18"/>
  <c r="P178" i="18"/>
  <c r="P179" i="18"/>
  <c r="P180" i="18"/>
  <c r="P181" i="18"/>
  <c r="P182" i="18"/>
  <c r="P183" i="18"/>
  <c r="P184" i="18"/>
  <c r="P185" i="18"/>
  <c r="P186" i="18"/>
  <c r="P187" i="18"/>
  <c r="P188" i="18"/>
  <c r="P189" i="18"/>
  <c r="P190" i="18"/>
  <c r="P191" i="18"/>
  <c r="P192" i="18"/>
  <c r="P193" i="18"/>
  <c r="P194" i="18"/>
  <c r="P195" i="18"/>
  <c r="P196" i="18"/>
  <c r="P197" i="18"/>
  <c r="P198" i="18"/>
  <c r="P199" i="18"/>
  <c r="P200" i="18"/>
  <c r="P201" i="18"/>
  <c r="P202" i="18"/>
  <c r="P203" i="18"/>
  <c r="P204" i="18"/>
  <c r="P205" i="18"/>
  <c r="P206" i="18"/>
  <c r="P207" i="18"/>
  <c r="P208" i="18"/>
  <c r="P209" i="18"/>
  <c r="P210" i="18"/>
  <c r="P211" i="18"/>
  <c r="P212" i="18"/>
  <c r="P213" i="18"/>
  <c r="P214" i="18"/>
  <c r="P215" i="18"/>
  <c r="P216" i="18"/>
  <c r="P217" i="18"/>
  <c r="P218" i="18"/>
  <c r="P219" i="18"/>
  <c r="P220" i="18"/>
  <c r="P221" i="18"/>
  <c r="P222" i="18"/>
  <c r="P223" i="18"/>
  <c r="P224" i="18"/>
  <c r="P225" i="18"/>
  <c r="P226" i="18"/>
  <c r="P227" i="18"/>
  <c r="P228" i="18"/>
  <c r="P229" i="18"/>
  <c r="P230" i="18"/>
  <c r="P231" i="18"/>
  <c r="P232" i="18"/>
  <c r="P233" i="18"/>
  <c r="P234" i="18"/>
  <c r="P235" i="18"/>
  <c r="P236" i="18"/>
  <c r="P237" i="18"/>
  <c r="P238" i="18"/>
  <c r="P239" i="18"/>
  <c r="P240" i="18"/>
  <c r="P241" i="18"/>
  <c r="P242" i="18"/>
  <c r="P243" i="18"/>
  <c r="P244" i="18"/>
  <c r="P245" i="18"/>
  <c r="P246" i="18"/>
  <c r="P247" i="18"/>
  <c r="P248" i="18"/>
  <c r="P249" i="18"/>
  <c r="P250" i="18"/>
  <c r="P251" i="18"/>
  <c r="P252" i="18"/>
  <c r="P253" i="18"/>
  <c r="P254" i="18"/>
  <c r="P255" i="18"/>
  <c r="P256" i="18"/>
  <c r="P257" i="18"/>
  <c r="P258" i="18"/>
  <c r="P259" i="18"/>
  <c r="P260" i="18"/>
  <c r="P261" i="18"/>
  <c r="P262" i="18"/>
  <c r="P263" i="18"/>
  <c r="P264" i="18"/>
  <c r="P265" i="18"/>
  <c r="P266" i="18"/>
  <c r="P267" i="18"/>
  <c r="P268" i="18"/>
  <c r="P269" i="18"/>
  <c r="P270" i="18"/>
  <c r="P271" i="18"/>
  <c r="P272" i="18"/>
  <c r="P273" i="18"/>
  <c r="P274" i="18"/>
  <c r="P275" i="18"/>
  <c r="P276" i="18"/>
  <c r="P277" i="18"/>
  <c r="P278" i="18"/>
  <c r="P279" i="18"/>
  <c r="P280" i="18"/>
  <c r="P281" i="18"/>
  <c r="P282" i="18"/>
  <c r="P283" i="18"/>
  <c r="P284" i="18"/>
  <c r="P285" i="18"/>
  <c r="P286" i="18"/>
  <c r="P287" i="18"/>
  <c r="P288" i="18"/>
  <c r="P289" i="18"/>
  <c r="P290" i="18"/>
  <c r="P291" i="18"/>
  <c r="P292" i="18"/>
  <c r="P293" i="18"/>
  <c r="P294" i="18"/>
  <c r="P295" i="18"/>
  <c r="P296" i="18"/>
  <c r="P297" i="18"/>
  <c r="P298" i="18"/>
  <c r="P299" i="18"/>
  <c r="P300" i="18"/>
  <c r="P301" i="18"/>
  <c r="P302" i="18"/>
  <c r="P303" i="18"/>
  <c r="P304" i="18"/>
  <c r="P305" i="18"/>
  <c r="P306" i="18"/>
  <c r="P307" i="18"/>
  <c r="P308" i="18"/>
  <c r="P309" i="18"/>
  <c r="P310" i="18"/>
  <c r="P311" i="18"/>
  <c r="P312" i="18"/>
  <c r="P313" i="18"/>
  <c r="P314" i="18"/>
  <c r="P315" i="18"/>
  <c r="P316" i="18"/>
  <c r="P317" i="18"/>
  <c r="P318" i="18"/>
  <c r="P328" i="18"/>
  <c r="P329" i="18"/>
  <c r="P330" i="18"/>
  <c r="P331" i="18"/>
  <c r="P332" i="18"/>
  <c r="P333" i="18"/>
  <c r="P334" i="18"/>
  <c r="P335" i="18"/>
  <c r="P336" i="18"/>
  <c r="P337" i="18"/>
  <c r="P338" i="18"/>
  <c r="P339" i="18"/>
  <c r="P340" i="18"/>
  <c r="P341" i="18"/>
  <c r="P342" i="18"/>
  <c r="P343" i="18"/>
  <c r="P344" i="18"/>
  <c r="P345" i="18"/>
  <c r="P346" i="18"/>
  <c r="P347" i="18"/>
  <c r="P348" i="18"/>
  <c r="P349" i="18"/>
  <c r="P350" i="18"/>
  <c r="P351" i="18"/>
  <c r="P352" i="18"/>
  <c r="P353" i="18"/>
  <c r="P354" i="18"/>
  <c r="P355" i="18"/>
  <c r="P356" i="18"/>
  <c r="P357" i="18"/>
  <c r="P358" i="18"/>
  <c r="P359" i="18"/>
  <c r="P360" i="18"/>
  <c r="P361" i="18"/>
  <c r="P362" i="18"/>
  <c r="P363" i="18"/>
  <c r="P364" i="18"/>
  <c r="P365" i="18"/>
  <c r="P366" i="18"/>
  <c r="P367" i="18"/>
  <c r="P368" i="18"/>
  <c r="P369" i="18"/>
  <c r="P370" i="18"/>
  <c r="P371" i="18"/>
  <c r="P372" i="18"/>
  <c r="P373" i="18"/>
  <c r="P374" i="18"/>
  <c r="P375" i="18"/>
  <c r="P376" i="18"/>
  <c r="P377" i="18"/>
  <c r="P378" i="18"/>
  <c r="P379" i="18"/>
  <c r="P380" i="18"/>
  <c r="P381" i="18"/>
  <c r="P382" i="18"/>
  <c r="P383" i="18"/>
  <c r="P384" i="18"/>
  <c r="P385" i="18"/>
  <c r="P386" i="18"/>
  <c r="P387" i="18"/>
  <c r="P388" i="18"/>
  <c r="P389" i="18"/>
  <c r="P390" i="18"/>
  <c r="P391" i="18"/>
  <c r="P392" i="18"/>
  <c r="P393" i="18"/>
  <c r="P394" i="18"/>
  <c r="P395" i="18"/>
  <c r="P396" i="18"/>
  <c r="P397" i="18"/>
  <c r="P398" i="18"/>
  <c r="P399" i="18"/>
  <c r="P400" i="18"/>
  <c r="P401" i="18"/>
  <c r="P402" i="18"/>
  <c r="P403" i="18"/>
  <c r="P404" i="18"/>
  <c r="P405" i="18"/>
  <c r="P406" i="18"/>
  <c r="P407" i="18"/>
  <c r="P408" i="18"/>
  <c r="P409" i="18"/>
  <c r="P410" i="18"/>
  <c r="P411" i="18"/>
  <c r="P412" i="18"/>
  <c r="P413" i="18"/>
  <c r="P414" i="18"/>
  <c r="P415" i="18"/>
  <c r="P416" i="18"/>
  <c r="P417" i="18"/>
  <c r="P418" i="18"/>
  <c r="P419" i="18"/>
  <c r="P420" i="18"/>
  <c r="P421" i="18"/>
  <c r="P422" i="18"/>
  <c r="P423" i="18"/>
  <c r="P424" i="18"/>
  <c r="P425" i="18"/>
  <c r="P426" i="18"/>
  <c r="P427" i="18"/>
  <c r="P428" i="18"/>
  <c r="P429" i="18"/>
  <c r="P430" i="18"/>
  <c r="P431" i="18"/>
  <c r="P432" i="18"/>
  <c r="P433" i="18"/>
  <c r="P434" i="18"/>
  <c r="P435" i="18"/>
  <c r="P436" i="18"/>
  <c r="P437" i="18"/>
  <c r="P438" i="18"/>
  <c r="P439" i="18"/>
  <c r="P440" i="18"/>
  <c r="P441" i="18"/>
  <c r="P442" i="18"/>
  <c r="P443" i="18"/>
  <c r="P444" i="18"/>
  <c r="P445" i="18"/>
  <c r="P446" i="18"/>
  <c r="P447" i="18"/>
  <c r="P448" i="18"/>
  <c r="P449" i="18"/>
  <c r="P450" i="18"/>
  <c r="P451" i="18"/>
  <c r="P452" i="18"/>
  <c r="P453" i="18"/>
  <c r="P454" i="18"/>
  <c r="P455" i="18"/>
  <c r="P456" i="18"/>
  <c r="P457" i="18"/>
  <c r="P458" i="18"/>
  <c r="P459" i="18"/>
  <c r="P460" i="18"/>
  <c r="P461" i="18"/>
  <c r="P462" i="18"/>
  <c r="P463" i="18"/>
  <c r="P464" i="18"/>
  <c r="P465" i="18"/>
  <c r="P466" i="18"/>
  <c r="P467" i="18"/>
  <c r="P468" i="18"/>
  <c r="P469" i="18"/>
  <c r="P470" i="18"/>
  <c r="P471" i="18"/>
  <c r="P472" i="18"/>
  <c r="P473" i="18"/>
  <c r="P474" i="18"/>
  <c r="P475" i="18"/>
  <c r="P476" i="18"/>
  <c r="P477" i="18"/>
  <c r="P478" i="18"/>
  <c r="P479" i="18"/>
  <c r="P480" i="18"/>
  <c r="P481" i="18"/>
  <c r="P482" i="18"/>
  <c r="P483" i="18"/>
  <c r="P484" i="18"/>
  <c r="P485" i="18"/>
  <c r="P486" i="18"/>
  <c r="P487" i="18"/>
  <c r="P488" i="18"/>
  <c r="P489" i="18"/>
  <c r="P490" i="18"/>
  <c r="P491" i="18"/>
  <c r="P492" i="18"/>
  <c r="P493" i="18"/>
  <c r="P494" i="18"/>
  <c r="P495" i="18"/>
  <c r="P496" i="18"/>
  <c r="P497" i="18"/>
  <c r="P498" i="18"/>
  <c r="P499" i="18"/>
  <c r="P500" i="18"/>
  <c r="P501" i="18"/>
  <c r="P502" i="18"/>
  <c r="P503" i="18"/>
  <c r="P504" i="18"/>
  <c r="P505" i="18"/>
  <c r="P506" i="18"/>
  <c r="P507" i="18"/>
  <c r="P508" i="18"/>
  <c r="P509" i="18"/>
  <c r="P510" i="18"/>
  <c r="P511" i="18"/>
  <c r="P512" i="18"/>
  <c r="P513" i="18"/>
  <c r="P514" i="18"/>
  <c r="P515" i="18"/>
  <c r="P516" i="18"/>
  <c r="P517" i="18"/>
  <c r="P518" i="18"/>
  <c r="P519" i="18"/>
  <c r="P520" i="18"/>
  <c r="P521" i="18"/>
  <c r="P522" i="18"/>
  <c r="P523" i="18"/>
  <c r="P524" i="18"/>
  <c r="P525" i="18"/>
  <c r="P526" i="18"/>
  <c r="P527" i="18"/>
  <c r="P528" i="18"/>
  <c r="P529" i="18"/>
  <c r="P530" i="18"/>
  <c r="P531" i="18"/>
  <c r="P532" i="18"/>
  <c r="P533" i="18"/>
  <c r="P534" i="18"/>
  <c r="P535" i="18"/>
  <c r="P536" i="18"/>
  <c r="P537" i="18"/>
  <c r="P538" i="18"/>
  <c r="P539" i="18"/>
  <c r="P540" i="18"/>
  <c r="P541" i="18"/>
  <c r="P542" i="18"/>
  <c r="P543" i="18"/>
  <c r="P544" i="18"/>
  <c r="P545" i="18"/>
  <c r="P546" i="18"/>
  <c r="P547" i="18"/>
  <c r="P548" i="18"/>
  <c r="P549" i="18"/>
  <c r="P550" i="18"/>
  <c r="P551" i="18"/>
  <c r="P552" i="18"/>
  <c r="P553" i="18"/>
  <c r="P554" i="18"/>
  <c r="P555" i="18"/>
  <c r="P556" i="18"/>
  <c r="P557" i="18"/>
  <c r="P558" i="18"/>
  <c r="P559" i="18"/>
  <c r="P560" i="18"/>
  <c r="P561" i="18"/>
  <c r="P562" i="18"/>
  <c r="P563" i="18"/>
  <c r="P564" i="18"/>
  <c r="P565" i="18"/>
  <c r="P566" i="18"/>
  <c r="P567" i="18"/>
  <c r="P568" i="18"/>
  <c r="P569" i="18"/>
  <c r="P570" i="18"/>
  <c r="P571" i="18"/>
  <c r="P572" i="18"/>
  <c r="P573" i="18"/>
  <c r="P574" i="18"/>
  <c r="P575" i="18"/>
  <c r="P576" i="18"/>
  <c r="P577" i="18"/>
  <c r="P578" i="18"/>
  <c r="P579" i="18"/>
  <c r="P580" i="18"/>
  <c r="P581" i="18"/>
  <c r="P582" i="18"/>
  <c r="P583" i="18"/>
  <c r="P584" i="18"/>
  <c r="P585" i="18"/>
  <c r="P586" i="18"/>
  <c r="P587" i="18"/>
  <c r="P588" i="18"/>
  <c r="P589" i="18"/>
  <c r="P590" i="18"/>
  <c r="P591" i="18"/>
  <c r="P592" i="18"/>
  <c r="P593" i="18"/>
  <c r="P594" i="18"/>
  <c r="P595" i="18"/>
  <c r="P596" i="18"/>
  <c r="P597" i="18"/>
  <c r="P598" i="18"/>
  <c r="P599" i="18"/>
  <c r="P600" i="18"/>
  <c r="P601" i="18"/>
  <c r="P602" i="18"/>
  <c r="P603" i="18"/>
  <c r="P604" i="18"/>
  <c r="P605" i="18"/>
  <c r="P606" i="18"/>
  <c r="P607" i="18"/>
  <c r="P608" i="18"/>
  <c r="P609" i="18"/>
  <c r="P610" i="18"/>
  <c r="P611" i="18"/>
  <c r="P612" i="18"/>
  <c r="P613" i="18"/>
  <c r="P614" i="18"/>
  <c r="P615" i="18"/>
  <c r="P616" i="18"/>
  <c r="P617" i="18"/>
  <c r="P618" i="18"/>
  <c r="P619" i="18"/>
  <c r="P620" i="18"/>
  <c r="P621" i="18"/>
  <c r="P622" i="18"/>
  <c r="P623" i="18"/>
  <c r="P624" i="18"/>
  <c r="P625" i="18"/>
  <c r="P626" i="18"/>
  <c r="P627" i="18"/>
  <c r="P628" i="18"/>
  <c r="P629" i="18"/>
  <c r="P630" i="18"/>
  <c r="P631" i="18"/>
  <c r="P632" i="18"/>
  <c r="P633" i="18"/>
  <c r="P634" i="18"/>
  <c r="P635" i="18"/>
  <c r="P636" i="18"/>
  <c r="P637" i="18"/>
  <c r="P638" i="18"/>
  <c r="P639" i="18"/>
  <c r="P640" i="18"/>
  <c r="P641" i="18"/>
  <c r="P642" i="18"/>
  <c r="P643" i="18"/>
  <c r="P644" i="18"/>
  <c r="P645" i="18"/>
  <c r="P646" i="18"/>
  <c r="P647" i="18"/>
  <c r="P648" i="18"/>
  <c r="P649" i="18"/>
  <c r="P650" i="18"/>
  <c r="P651" i="18"/>
  <c r="P652" i="18"/>
  <c r="P653" i="18"/>
  <c r="P654" i="18"/>
  <c r="P667" i="18"/>
  <c r="P668" i="18"/>
  <c r="P669" i="18"/>
  <c r="P670" i="18"/>
  <c r="P671" i="18"/>
  <c r="P672" i="18"/>
  <c r="P673" i="18"/>
  <c r="P674" i="18"/>
  <c r="P675" i="18"/>
  <c r="P676" i="18"/>
  <c r="P677" i="18"/>
  <c r="P678" i="18"/>
  <c r="P679" i="18"/>
  <c r="P680" i="18"/>
  <c r="P681" i="18"/>
  <c r="P682" i="18"/>
  <c r="P683" i="18"/>
  <c r="P684" i="18"/>
  <c r="P685" i="18"/>
  <c r="P686" i="18"/>
  <c r="P687" i="18"/>
  <c r="P688" i="18"/>
  <c r="P689" i="18"/>
  <c r="P690" i="18"/>
  <c r="P691" i="18"/>
  <c r="P692" i="18"/>
  <c r="P693" i="18"/>
  <c r="P694" i="18"/>
  <c r="P695" i="18"/>
  <c r="P696" i="18"/>
  <c r="P697" i="18"/>
  <c r="P698" i="18"/>
  <c r="P699" i="18"/>
  <c r="P700" i="18"/>
  <c r="P701" i="18"/>
  <c r="P702" i="18"/>
  <c r="P703" i="18"/>
  <c r="P704" i="18"/>
  <c r="P705" i="18"/>
  <c r="P706" i="18"/>
  <c r="P707" i="18"/>
  <c r="P708" i="18"/>
  <c r="P709" i="18"/>
  <c r="P710" i="18"/>
  <c r="P711" i="18"/>
  <c r="P712" i="18"/>
  <c r="P713" i="18"/>
  <c r="P714" i="18"/>
  <c r="P715" i="18"/>
  <c r="P716" i="18"/>
  <c r="P717" i="18"/>
  <c r="P718" i="18"/>
  <c r="P719" i="18"/>
  <c r="P720" i="18"/>
  <c r="P721" i="18"/>
  <c r="P722" i="18"/>
  <c r="P723" i="18"/>
  <c r="P724" i="18"/>
  <c r="P725" i="18"/>
  <c r="P726" i="18"/>
  <c r="P727" i="18"/>
  <c r="P728" i="18"/>
  <c r="P729" i="18"/>
  <c r="P730" i="18"/>
  <c r="P731" i="18"/>
  <c r="P732" i="18"/>
  <c r="P733" i="18"/>
  <c r="P734" i="18"/>
  <c r="P735" i="18"/>
  <c r="P736" i="18"/>
  <c r="P737" i="18"/>
  <c r="P738" i="18"/>
  <c r="P739" i="18"/>
  <c r="P740" i="18"/>
  <c r="P741" i="18"/>
  <c r="P742" i="18"/>
  <c r="P743" i="18"/>
  <c r="P744" i="18"/>
  <c r="P745" i="18"/>
  <c r="P746" i="18"/>
  <c r="P747" i="18"/>
  <c r="P748" i="18"/>
  <c r="P749" i="18"/>
  <c r="P750" i="18"/>
  <c r="P751" i="18"/>
  <c r="P759" i="18"/>
  <c r="P760" i="18"/>
  <c r="P761" i="18"/>
  <c r="P762" i="18"/>
  <c r="P763" i="18"/>
  <c r="P764" i="18"/>
  <c r="P765" i="18"/>
  <c r="P766" i="18"/>
  <c r="P767" i="18"/>
  <c r="P768" i="18"/>
  <c r="P769" i="18"/>
  <c r="P770" i="18"/>
  <c r="P771" i="18"/>
  <c r="P772" i="18"/>
  <c r="P773" i="18"/>
  <c r="P774" i="18"/>
  <c r="P775" i="18"/>
  <c r="P776" i="18"/>
  <c r="P777" i="18"/>
  <c r="P778" i="18"/>
  <c r="P779" i="18"/>
  <c r="P780" i="18"/>
  <c r="P781" i="18"/>
  <c r="P782" i="18"/>
  <c r="P783" i="18"/>
  <c r="P784" i="18"/>
  <c r="P785" i="18"/>
  <c r="P786" i="18"/>
  <c r="P787" i="18"/>
  <c r="P788" i="18"/>
  <c r="P789" i="18"/>
  <c r="P790" i="18"/>
  <c r="P791" i="18"/>
  <c r="P792" i="18"/>
  <c r="P793" i="18"/>
  <c r="P794" i="18"/>
  <c r="P795" i="18"/>
  <c r="P796" i="18"/>
  <c r="P797" i="18"/>
  <c r="P798" i="18"/>
  <c r="P799" i="18"/>
  <c r="P800" i="18"/>
  <c r="P801" i="18"/>
  <c r="P802" i="18"/>
  <c r="P803" i="18"/>
  <c r="P804" i="18"/>
  <c r="P805" i="18"/>
  <c r="P806" i="18"/>
  <c r="P807" i="18"/>
  <c r="P808" i="18"/>
  <c r="P809" i="18"/>
  <c r="P810" i="18"/>
  <c r="P811" i="18"/>
  <c r="P812" i="18"/>
  <c r="P813" i="18"/>
  <c r="P814" i="18"/>
  <c r="P815" i="18"/>
  <c r="P816" i="18"/>
  <c r="P817" i="18"/>
  <c r="P818" i="18"/>
  <c r="P819" i="18"/>
  <c r="P820" i="18"/>
  <c r="P821" i="18"/>
  <c r="P822" i="18"/>
  <c r="P823" i="18"/>
  <c r="P824" i="18"/>
  <c r="P825" i="18"/>
  <c r="P826" i="18"/>
  <c r="P827" i="18"/>
  <c r="P828" i="18"/>
  <c r="P829" i="18"/>
  <c r="P830" i="18"/>
  <c r="P831" i="18"/>
  <c r="P832" i="18"/>
  <c r="P833" i="18"/>
  <c r="P834" i="18"/>
  <c r="P844" i="18"/>
  <c r="P845" i="18"/>
  <c r="P846" i="18"/>
  <c r="P847" i="18"/>
  <c r="P848" i="18"/>
  <c r="P849" i="18"/>
  <c r="P850" i="18"/>
  <c r="P851" i="18"/>
  <c r="P852" i="18"/>
  <c r="P853" i="18"/>
  <c r="P854" i="18"/>
  <c r="P855" i="18"/>
  <c r="P856" i="18"/>
  <c r="P857" i="18"/>
  <c r="P858" i="18"/>
  <c r="P859" i="18"/>
  <c r="P860" i="18"/>
  <c r="P861" i="18"/>
  <c r="P862" i="18"/>
  <c r="P863" i="18"/>
  <c r="P864" i="18"/>
  <c r="P865" i="18"/>
  <c r="P866" i="18"/>
  <c r="P867" i="18"/>
  <c r="P868" i="18"/>
  <c r="P869" i="18"/>
  <c r="P870" i="18"/>
  <c r="P871" i="18"/>
  <c r="P872" i="18"/>
  <c r="P873" i="18"/>
  <c r="P874" i="18"/>
  <c r="P875" i="18"/>
  <c r="P876" i="18"/>
  <c r="P877" i="18"/>
  <c r="P878" i="18"/>
  <c r="P879" i="18"/>
  <c r="P880" i="18"/>
  <c r="P881" i="18"/>
  <c r="P882" i="18"/>
  <c r="P883" i="18"/>
  <c r="P884" i="18"/>
  <c r="P885" i="18"/>
  <c r="P886" i="18"/>
  <c r="P887" i="18"/>
  <c r="P888" i="18"/>
  <c r="P889" i="18"/>
  <c r="P890" i="18"/>
  <c r="P891" i="18"/>
  <c r="P892" i="18"/>
  <c r="P893" i="18"/>
  <c r="P894" i="18"/>
  <c r="P895" i="18"/>
  <c r="P896" i="18"/>
  <c r="P897" i="18"/>
  <c r="P898" i="18"/>
  <c r="P899" i="18"/>
  <c r="P900" i="18"/>
  <c r="P901" i="18"/>
  <c r="P902" i="18"/>
  <c r="P903" i="18"/>
  <c r="P904" i="18"/>
  <c r="P905" i="18"/>
  <c r="P906" i="18"/>
  <c r="P907" i="18"/>
  <c r="P908" i="18"/>
  <c r="P909" i="18"/>
  <c r="P910" i="18"/>
  <c r="P911" i="18"/>
  <c r="P912" i="18"/>
  <c r="P913" i="18"/>
  <c r="P914" i="18"/>
  <c r="P915" i="18"/>
  <c r="P916" i="18"/>
  <c r="P917" i="18"/>
  <c r="P918" i="18"/>
  <c r="P919" i="18"/>
  <c r="P920" i="18"/>
  <c r="P921" i="18"/>
  <c r="P922" i="18"/>
  <c r="P923" i="18"/>
  <c r="P924" i="18"/>
  <c r="P925" i="18"/>
  <c r="P926" i="18"/>
  <c r="P927" i="18"/>
  <c r="P928" i="18"/>
  <c r="P929" i="18"/>
  <c r="P930" i="18"/>
  <c r="P931" i="18"/>
  <c r="P932" i="18"/>
  <c r="P933" i="18"/>
  <c r="P934" i="18"/>
  <c r="P935" i="18"/>
  <c r="P936" i="18"/>
  <c r="P937" i="18"/>
  <c r="P938" i="18"/>
  <c r="P939" i="18"/>
  <c r="P956" i="18"/>
  <c r="P957" i="18"/>
  <c r="P958" i="18"/>
  <c r="P959" i="18"/>
  <c r="P960" i="18"/>
  <c r="P961" i="18"/>
  <c r="P962" i="18"/>
  <c r="P963" i="18"/>
  <c r="P964" i="18"/>
  <c r="P965" i="18"/>
  <c r="P966" i="18"/>
  <c r="P967" i="18"/>
  <c r="P968" i="18"/>
  <c r="P969" i="18"/>
  <c r="P970" i="18"/>
  <c r="P971" i="18"/>
  <c r="P972" i="18"/>
  <c r="P973" i="18"/>
  <c r="P974" i="18"/>
  <c r="P975" i="18"/>
  <c r="P976" i="18"/>
  <c r="P977" i="18"/>
  <c r="P978" i="18"/>
  <c r="P979" i="18"/>
  <c r="P980" i="18"/>
  <c r="P981" i="18"/>
  <c r="P982" i="18"/>
  <c r="P983" i="18"/>
  <c r="P984" i="18"/>
  <c r="P985" i="18"/>
  <c r="P986" i="18"/>
  <c r="P987" i="18"/>
  <c r="P1023" i="18"/>
  <c r="P1024" i="18"/>
  <c r="P1025" i="18"/>
  <c r="P1026" i="18"/>
  <c r="P1027" i="18"/>
  <c r="P1028" i="18"/>
  <c r="P1029" i="18"/>
  <c r="P1030" i="18"/>
  <c r="P1031" i="18"/>
  <c r="P1032" i="18"/>
  <c r="P1033" i="18"/>
  <c r="P1034" i="18"/>
  <c r="P1035" i="18"/>
  <c r="P1036" i="18"/>
  <c r="P1037" i="18"/>
  <c r="P1038" i="18"/>
  <c r="P1039" i="18"/>
  <c r="P1040" i="18"/>
  <c r="P1041" i="18"/>
  <c r="P1042" i="18"/>
  <c r="P1043" i="18"/>
  <c r="P1044" i="18"/>
  <c r="P1045" i="18"/>
  <c r="P1046" i="18"/>
  <c r="P1047" i="18"/>
  <c r="P1048" i="18"/>
  <c r="P1049" i="18"/>
  <c r="P1050" i="18"/>
  <c r="P1051" i="18"/>
  <c r="P1052" i="18"/>
  <c r="P1053" i="18"/>
  <c r="P1061" i="18"/>
  <c r="P1062" i="18"/>
  <c r="P1063" i="18"/>
  <c r="P1064" i="18"/>
  <c r="P1065" i="18"/>
  <c r="P1066" i="18"/>
  <c r="P1067" i="18"/>
  <c r="P1068" i="18"/>
  <c r="P1069" i="18"/>
  <c r="P1070" i="18"/>
  <c r="P1071" i="18"/>
  <c r="P1072" i="18"/>
  <c r="P1073" i="18"/>
  <c r="P1074" i="18"/>
  <c r="P1075" i="18"/>
  <c r="P1076" i="18"/>
  <c r="P1077" i="18"/>
  <c r="P1078" i="18"/>
  <c r="P1079" i="18"/>
  <c r="P1080" i="18"/>
  <c r="P1081" i="18"/>
  <c r="P1082" i="18"/>
  <c r="P1083" i="18"/>
  <c r="P1084" i="18"/>
  <c r="P1085" i="18"/>
  <c r="P1086" i="18"/>
  <c r="P1087" i="18"/>
  <c r="P1088" i="18"/>
  <c r="P1089" i="18"/>
  <c r="P1090" i="18"/>
  <c r="P1091" i="18"/>
  <c r="P1092" i="18"/>
  <c r="P1093" i="18"/>
  <c r="P1094" i="18"/>
  <c r="P1095" i="18"/>
  <c r="P1096" i="18"/>
  <c r="P1097" i="18"/>
  <c r="P1098" i="18"/>
  <c r="P1099" i="18"/>
  <c r="P1100" i="18"/>
  <c r="P1101" i="18"/>
  <c r="P1102" i="18"/>
  <c r="P1103" i="18"/>
  <c r="P1104" i="18"/>
  <c r="P1105" i="18"/>
  <c r="P1106" i="18"/>
  <c r="P1107" i="18"/>
  <c r="P1108" i="18"/>
  <c r="P1109" i="18"/>
  <c r="P1110" i="18"/>
  <c r="P1111" i="18"/>
  <c r="P1112" i="18"/>
  <c r="P1113" i="18"/>
  <c r="P1114" i="18"/>
  <c r="P1115" i="18"/>
  <c r="P1116" i="18"/>
  <c r="P1117" i="18"/>
  <c r="P1118" i="18"/>
  <c r="P1119" i="18"/>
  <c r="P1120" i="18"/>
  <c r="P1121" i="18"/>
  <c r="P1122" i="18"/>
  <c r="P1123" i="18"/>
  <c r="P1124" i="18"/>
  <c r="P1125" i="18"/>
  <c r="P1126" i="18"/>
  <c r="P1127" i="18"/>
  <c r="P1128" i="18"/>
  <c r="P1129" i="18"/>
  <c r="P1130" i="18"/>
  <c r="P1131" i="18"/>
  <c r="P1132" i="18"/>
  <c r="P1133" i="18"/>
  <c r="P1134" i="18"/>
  <c r="P1135" i="18"/>
  <c r="P1136" i="18"/>
  <c r="P1137" i="18"/>
  <c r="P1138" i="18"/>
  <c r="P1139" i="18"/>
  <c r="P1140" i="18"/>
  <c r="P1141" i="18"/>
  <c r="P1142" i="18"/>
  <c r="P1143" i="18"/>
  <c r="P1144" i="18"/>
  <c r="P1145" i="18"/>
  <c r="P1146" i="18"/>
  <c r="P1147" i="18"/>
  <c r="P1148" i="18"/>
  <c r="P1149" i="18"/>
  <c r="P1150" i="18"/>
  <c r="P1151" i="18"/>
  <c r="P1152" i="18"/>
  <c r="P1153" i="18"/>
  <c r="P1154" i="18"/>
  <c r="P1155" i="18"/>
  <c r="P1156" i="18"/>
  <c r="P1157" i="18"/>
  <c r="P1158" i="18"/>
  <c r="P1159" i="18"/>
  <c r="P1160" i="18"/>
  <c r="P1161" i="18"/>
  <c r="P1162" i="18"/>
  <c r="P1163" i="18"/>
  <c r="P1164" i="18"/>
  <c r="P1165" i="18"/>
  <c r="P1176" i="18"/>
  <c r="P1177" i="18"/>
  <c r="P1178" i="18"/>
  <c r="P1179" i="18"/>
  <c r="P1180" i="18"/>
  <c r="P1181" i="18"/>
  <c r="P1182" i="18"/>
  <c r="P1183" i="18"/>
  <c r="P1184" i="18"/>
  <c r="P1185" i="18"/>
  <c r="P1186" i="18"/>
  <c r="P1187" i="18"/>
  <c r="P1188" i="18"/>
  <c r="P1189" i="18"/>
  <c r="P1190" i="18"/>
  <c r="P1191" i="18"/>
  <c r="P1192" i="18"/>
  <c r="P1193" i="18"/>
  <c r="P1194" i="18"/>
  <c r="P1195" i="18"/>
  <c r="P1196" i="18"/>
  <c r="P1197" i="18"/>
  <c r="P1198" i="18"/>
  <c r="P1199" i="18"/>
  <c r="P1200" i="18"/>
  <c r="P1201" i="18"/>
  <c r="P1202" i="18"/>
  <c r="P1203" i="18"/>
  <c r="P1204" i="18"/>
  <c r="P1205" i="18"/>
  <c r="P1206" i="18"/>
  <c r="P1207" i="18"/>
  <c r="P1208" i="18"/>
  <c r="P1209" i="18"/>
  <c r="P1210" i="18"/>
  <c r="P1211" i="18"/>
  <c r="P1212" i="18"/>
  <c r="P1213" i="18"/>
  <c r="P1214" i="18"/>
  <c r="P1215" i="18"/>
  <c r="P1216" i="18"/>
  <c r="P1217" i="18"/>
  <c r="P1218" i="18"/>
  <c r="P1219" i="18"/>
  <c r="P1220" i="18"/>
  <c r="P1221" i="18"/>
  <c r="P1222" i="18"/>
  <c r="P1223" i="18"/>
  <c r="P1224" i="18"/>
  <c r="P1225" i="18"/>
  <c r="P1226" i="18"/>
  <c r="P1227" i="18"/>
  <c r="P1228" i="18"/>
  <c r="P1229" i="18"/>
  <c r="P1230" i="18"/>
  <c r="P1231" i="18"/>
  <c r="P1232" i="18"/>
  <c r="P1233" i="18"/>
  <c r="P1234" i="18"/>
  <c r="P1235" i="18"/>
  <c r="P1236" i="18"/>
  <c r="P1237" i="18"/>
  <c r="P1238" i="18"/>
  <c r="P1239" i="18"/>
  <c r="P1240" i="18"/>
  <c r="P1241" i="18"/>
  <c r="P1242" i="18"/>
  <c r="P1243" i="18"/>
  <c r="P1244" i="18"/>
  <c r="P1245" i="18"/>
  <c r="P1246" i="18"/>
  <c r="P1247" i="18"/>
  <c r="P1248" i="18"/>
  <c r="P1249" i="18"/>
  <c r="P1250" i="18"/>
  <c r="P1251" i="18"/>
  <c r="P1252" i="18"/>
  <c r="P1253" i="18"/>
  <c r="P1254" i="18"/>
  <c r="P1255" i="18"/>
  <c r="P1256" i="18"/>
  <c r="P1257" i="18"/>
  <c r="P1258" i="18"/>
  <c r="P1259" i="18"/>
  <c r="P1260" i="18"/>
  <c r="P1261" i="18"/>
  <c r="P1262" i="18"/>
  <c r="P1263" i="18"/>
  <c r="P1264" i="18"/>
  <c r="P1265" i="18"/>
  <c r="P1266" i="18"/>
  <c r="P1267" i="18"/>
  <c r="P1268" i="18"/>
  <c r="P1269" i="18"/>
  <c r="P1270" i="18"/>
  <c r="P1271" i="18"/>
  <c r="P1272" i="18"/>
  <c r="P1273" i="18"/>
  <c r="P1274" i="18"/>
  <c r="P1275" i="18"/>
  <c r="P1276" i="18"/>
  <c r="P1277" i="18"/>
  <c r="P1278" i="18"/>
  <c r="P1279" i="18"/>
  <c r="P1280" i="18"/>
  <c r="P1281" i="18"/>
  <c r="P1282" i="18"/>
  <c r="P1283" i="18"/>
  <c r="P1284" i="18"/>
  <c r="P1285" i="18"/>
  <c r="P1286" i="18"/>
  <c r="P1287" i="18"/>
  <c r="P1288" i="18"/>
  <c r="P1289" i="18"/>
  <c r="P1290" i="18"/>
  <c r="P1291" i="18"/>
  <c r="P1292" i="18"/>
  <c r="P1293" i="18"/>
  <c r="P1294" i="18"/>
  <c r="P1295" i="18"/>
  <c r="P1296" i="18"/>
  <c r="P1297" i="18"/>
  <c r="P1298" i="18"/>
  <c r="P1299" i="18"/>
  <c r="P1300" i="18"/>
  <c r="P1301" i="18"/>
  <c r="P1302" i="18"/>
  <c r="P1303" i="18"/>
  <c r="P1304" i="18"/>
  <c r="P1305" i="18"/>
  <c r="P1306" i="18"/>
  <c r="P1307" i="18"/>
  <c r="P1308" i="18"/>
  <c r="P1309" i="18"/>
  <c r="P1310" i="18"/>
  <c r="P1311" i="18"/>
  <c r="P1323" i="18"/>
  <c r="P1324" i="18"/>
  <c r="P1325" i="18"/>
  <c r="P1326" i="18"/>
  <c r="P1327" i="18"/>
  <c r="P1328" i="18"/>
  <c r="P1329" i="18"/>
  <c r="P1330" i="18"/>
  <c r="P1331" i="18"/>
  <c r="P1332" i="18"/>
  <c r="P1333" i="18"/>
  <c r="P1334" i="18"/>
  <c r="P1335" i="18"/>
  <c r="P1336" i="18"/>
  <c r="P1337" i="18"/>
  <c r="P1338" i="18"/>
  <c r="P1339" i="18"/>
  <c r="P1340" i="18"/>
  <c r="P1341" i="18"/>
  <c r="P1342" i="18"/>
  <c r="P1343" i="18"/>
  <c r="P1344" i="18"/>
  <c r="P1345" i="18"/>
  <c r="P1346" i="18"/>
  <c r="P1347" i="18"/>
  <c r="P1348" i="18"/>
  <c r="P1349" i="18"/>
  <c r="P1350" i="18"/>
  <c r="P1351" i="18"/>
  <c r="P1352" i="18"/>
  <c r="P1353" i="18"/>
  <c r="P1354" i="18"/>
  <c r="P1355" i="18"/>
  <c r="P1356" i="18"/>
  <c r="P1357" i="18"/>
  <c r="P1358" i="18"/>
  <c r="P1359" i="18"/>
  <c r="P1360" i="18"/>
  <c r="P1361" i="18"/>
  <c r="P1362" i="18"/>
  <c r="P1363" i="18"/>
  <c r="P1364" i="18"/>
  <c r="P1365" i="18"/>
  <c r="P1366" i="18"/>
  <c r="P1367" i="18"/>
  <c r="P1368" i="18"/>
  <c r="P1369" i="18"/>
  <c r="P1370" i="18"/>
  <c r="P1371" i="18"/>
  <c r="P1372" i="18"/>
  <c r="P1373" i="18"/>
  <c r="P1374" i="18"/>
  <c r="P1375" i="18"/>
  <c r="P1376" i="18"/>
  <c r="P1377" i="18"/>
  <c r="P1378" i="18"/>
  <c r="P1379" i="18"/>
  <c r="P1380" i="18"/>
  <c r="P1381" i="18"/>
  <c r="P1382" i="18"/>
  <c r="P1383" i="18"/>
  <c r="P1384" i="18"/>
  <c r="P1385" i="18"/>
  <c r="P1386" i="18"/>
  <c r="P1387" i="18"/>
  <c r="P1388" i="18"/>
  <c r="P1389" i="18"/>
  <c r="P1390" i="18"/>
  <c r="P1391" i="18"/>
  <c r="P1392" i="18"/>
  <c r="P1393" i="18"/>
  <c r="P1394" i="18"/>
  <c r="P1395" i="18"/>
  <c r="P1396" i="18"/>
  <c r="P1397" i="18"/>
  <c r="P1398" i="18"/>
  <c r="P1399" i="18"/>
  <c r="P1400" i="18"/>
  <c r="P1401" i="18"/>
  <c r="P1402" i="18"/>
  <c r="P1403" i="18"/>
  <c r="P1404" i="18"/>
  <c r="P1405" i="18"/>
  <c r="P1406" i="18"/>
  <c r="P1407" i="18"/>
  <c r="P1408" i="18"/>
  <c r="P1409" i="18"/>
  <c r="P1410" i="18"/>
  <c r="P1411" i="18"/>
  <c r="P1412" i="18"/>
  <c r="P1413" i="18"/>
  <c r="P1414" i="18"/>
  <c r="P1415" i="18"/>
  <c r="P1416" i="18"/>
  <c r="P1417" i="18"/>
  <c r="P1418" i="18"/>
  <c r="P1419" i="18"/>
  <c r="P1420" i="18"/>
  <c r="P1421" i="18"/>
  <c r="P1422" i="18"/>
  <c r="P1423" i="18"/>
  <c r="P1424" i="18"/>
  <c r="P1425" i="18"/>
  <c r="P1426" i="18"/>
  <c r="P1427" i="18"/>
  <c r="P1428" i="18"/>
  <c r="P1429" i="18"/>
  <c r="P1430" i="18"/>
  <c r="P1431" i="18"/>
  <c r="P1432" i="18"/>
  <c r="P1433" i="18"/>
  <c r="P1434" i="18"/>
  <c r="P1435" i="18"/>
  <c r="P1436" i="18"/>
  <c r="P1437" i="18"/>
  <c r="P1438" i="18"/>
  <c r="P1439" i="18"/>
  <c r="P1440" i="18"/>
  <c r="P1441" i="18"/>
  <c r="P1442" i="18"/>
  <c r="P1443" i="18"/>
  <c r="P1444" i="18"/>
  <c r="P1445" i="18"/>
  <c r="P1446" i="18"/>
  <c r="P1447" i="18"/>
  <c r="P1448" i="18"/>
  <c r="P1449" i="18"/>
  <c r="P1450" i="18"/>
  <c r="P1451" i="18"/>
  <c r="P1452" i="18"/>
  <c r="P1453" i="18"/>
  <c r="P1454" i="18"/>
  <c r="P1455" i="18"/>
  <c r="P1456" i="18"/>
  <c r="P1457" i="18"/>
  <c r="P1458" i="18"/>
  <c r="P1459" i="18"/>
  <c r="P1460" i="18"/>
  <c r="P1461" i="18"/>
  <c r="P1462" i="18"/>
  <c r="P1463" i="18"/>
  <c r="P1464" i="18"/>
  <c r="P1465" i="18"/>
  <c r="P1466" i="18"/>
  <c r="P1467" i="18"/>
  <c r="P1468" i="18"/>
  <c r="P1469" i="18"/>
  <c r="P1470" i="18"/>
  <c r="P1471" i="18"/>
  <c r="P1472" i="18"/>
  <c r="P1473" i="18"/>
  <c r="P1474" i="18"/>
  <c r="P1475" i="18"/>
  <c r="P1476" i="18"/>
  <c r="P1477" i="18"/>
  <c r="P1478" i="18"/>
  <c r="P1479" i="18"/>
  <c r="P1480" i="18"/>
  <c r="P1481" i="18"/>
  <c r="P1482" i="18"/>
  <c r="P1483" i="18"/>
  <c r="P1484" i="18"/>
  <c r="P1485" i="18"/>
  <c r="P1486" i="18"/>
  <c r="P1487" i="18"/>
  <c r="P1488" i="18"/>
  <c r="P1489" i="18"/>
  <c r="P1490" i="18"/>
  <c r="P1491" i="18"/>
  <c r="P1492" i="18"/>
  <c r="P1493" i="18"/>
  <c r="P1494" i="18"/>
  <c r="P1495" i="18"/>
  <c r="P1496" i="18"/>
  <c r="P1497" i="18"/>
  <c r="P1498" i="18"/>
  <c r="P1499" i="18"/>
  <c r="P1500" i="18"/>
  <c r="P1501" i="18"/>
  <c r="P1502" i="18"/>
  <c r="P1503" i="18"/>
  <c r="P1504" i="18"/>
  <c r="P1505" i="18"/>
  <c r="P1506" i="18"/>
  <c r="P1507" i="18"/>
  <c r="P1508" i="18"/>
  <c r="P1509" i="18"/>
  <c r="P1510" i="18"/>
  <c r="P1511" i="18"/>
  <c r="P1512" i="18"/>
  <c r="P1513" i="18"/>
  <c r="P1514" i="18"/>
  <c r="P1515" i="18"/>
  <c r="P1516" i="18"/>
  <c r="P1517" i="18"/>
  <c r="P1518" i="18"/>
  <c r="P1519" i="18"/>
  <c r="P1520" i="18"/>
  <c r="P1521" i="18"/>
  <c r="P1522" i="18"/>
  <c r="P1523" i="18"/>
  <c r="P1524" i="18"/>
  <c r="P1525" i="18"/>
  <c r="P1526" i="18"/>
  <c r="P1527" i="18"/>
  <c r="P1528" i="18"/>
  <c r="P1529" i="18"/>
  <c r="P1530" i="18"/>
  <c r="P1531" i="18"/>
  <c r="P1532" i="18"/>
  <c r="P1533" i="18"/>
  <c r="P1534" i="18"/>
  <c r="P1535" i="18"/>
  <c r="P1536" i="18"/>
  <c r="P1537" i="18"/>
  <c r="P1538" i="18"/>
  <c r="P1539" i="18"/>
  <c r="P1540" i="18"/>
  <c r="P1541" i="18"/>
  <c r="P1542" i="18"/>
  <c r="P1543" i="18"/>
  <c r="P1544" i="18"/>
  <c r="P1545" i="18"/>
  <c r="P1546" i="18"/>
  <c r="P1547" i="18"/>
  <c r="P1548" i="18"/>
  <c r="P1549" i="18"/>
  <c r="P1550" i="18"/>
  <c r="P1551" i="18"/>
  <c r="P1552" i="18"/>
  <c r="P1553" i="18"/>
  <c r="P1554" i="18"/>
  <c r="P1555" i="18"/>
  <c r="P1556" i="18"/>
  <c r="P1557" i="18"/>
  <c r="P1558" i="18"/>
  <c r="P1559" i="18"/>
  <c r="P1560" i="18"/>
  <c r="P1561" i="18"/>
  <c r="P1562" i="18"/>
  <c r="P1563" i="18"/>
  <c r="P1564" i="18"/>
  <c r="P1565" i="18"/>
  <c r="P1566" i="18"/>
  <c r="P1567" i="18"/>
  <c r="P1568" i="18"/>
  <c r="P1569" i="18"/>
  <c r="P1570" i="18"/>
  <c r="P1571" i="18"/>
  <c r="P1572" i="18"/>
  <c r="P1573" i="18"/>
  <c r="P1574" i="18"/>
  <c r="P1575" i="18"/>
  <c r="P1576" i="18"/>
  <c r="P1577" i="18"/>
  <c r="P1578" i="18"/>
  <c r="P1579" i="18"/>
  <c r="P1580" i="18"/>
  <c r="P1581" i="18"/>
  <c r="P1582" i="18"/>
  <c r="P1583" i="18"/>
  <c r="P1584" i="18"/>
  <c r="P1585" i="18"/>
  <c r="P1586" i="18"/>
  <c r="P1587" i="18"/>
  <c r="P1588" i="18"/>
  <c r="P1589" i="18"/>
  <c r="P1590" i="18"/>
  <c r="P1591" i="18"/>
  <c r="P1592" i="18"/>
  <c r="P1593" i="18"/>
  <c r="P1594" i="18"/>
  <c r="P1595" i="18"/>
  <c r="P1596" i="18"/>
  <c r="P1597" i="18"/>
  <c r="P1598" i="18"/>
  <c r="P1599" i="18"/>
  <c r="P1600" i="18"/>
  <c r="P1601" i="18"/>
  <c r="P1602" i="18"/>
  <c r="P1603" i="18"/>
  <c r="P1604" i="18"/>
  <c r="P1605" i="18"/>
  <c r="P1606" i="18"/>
  <c r="P1607" i="18"/>
  <c r="P1608" i="18"/>
  <c r="P1609" i="18"/>
  <c r="P1610" i="18"/>
  <c r="P1611" i="18"/>
  <c r="P1612" i="18"/>
  <c r="P1613" i="18"/>
  <c r="P1614" i="18"/>
  <c r="P1615" i="18"/>
  <c r="P1616" i="18"/>
  <c r="P1617" i="18"/>
  <c r="P1618" i="18"/>
  <c r="P1619" i="18"/>
  <c r="P1620" i="18"/>
  <c r="P1621" i="18"/>
  <c r="P1622" i="18"/>
  <c r="P1623" i="18"/>
  <c r="P1624" i="18"/>
  <c r="P1625" i="18"/>
  <c r="P1626" i="18"/>
  <c r="P1627" i="18"/>
  <c r="P1628" i="18"/>
  <c r="P1629" i="18"/>
  <c r="P1630" i="18"/>
  <c r="P1631" i="18"/>
  <c r="P1632" i="18"/>
  <c r="P1633" i="18"/>
  <c r="P1634" i="18"/>
  <c r="P1635" i="18"/>
  <c r="P1636" i="18"/>
  <c r="P1637" i="18"/>
  <c r="P1638" i="18"/>
  <c r="P1639" i="18"/>
  <c r="P1640" i="18"/>
  <c r="P1641" i="18"/>
  <c r="P1642" i="18"/>
  <c r="P1643" i="18"/>
  <c r="P1644" i="18"/>
  <c r="P1645" i="18"/>
  <c r="P1646" i="18"/>
  <c r="P1647" i="18"/>
  <c r="P1648" i="18"/>
  <c r="P1649" i="18"/>
  <c r="P1650" i="18"/>
  <c r="P1651" i="18"/>
  <c r="P1652" i="18"/>
  <c r="P1653" i="18"/>
  <c r="P1654" i="18"/>
  <c r="P1655" i="18"/>
  <c r="P1656" i="18"/>
  <c r="P1657" i="18"/>
  <c r="P1658" i="18"/>
  <c r="P1659" i="18"/>
  <c r="P1660" i="18"/>
  <c r="P1661" i="18"/>
  <c r="P1662" i="18"/>
  <c r="P1663" i="18"/>
  <c r="P1664" i="18"/>
  <c r="P1665" i="18"/>
  <c r="P1666" i="18"/>
  <c r="P1667" i="18"/>
  <c r="P1668" i="18"/>
  <c r="P1669" i="18"/>
  <c r="P1670" i="18"/>
  <c r="P1671" i="18"/>
  <c r="P1672" i="18"/>
  <c r="P1673" i="18"/>
  <c r="P1674" i="18"/>
  <c r="P1675" i="18"/>
  <c r="P1676" i="18"/>
  <c r="P1677" i="18"/>
  <c r="P1678" i="18"/>
  <c r="P1679" i="18"/>
  <c r="P1680" i="18"/>
  <c r="P1681" i="18"/>
  <c r="P1682" i="18"/>
  <c r="P1683" i="18"/>
  <c r="P1684" i="18"/>
  <c r="P1685" i="18"/>
  <c r="P1686" i="18"/>
  <c r="P1687" i="18"/>
  <c r="P1688" i="18"/>
  <c r="P1689" i="18"/>
  <c r="P1690" i="18"/>
  <c r="P1691" i="18"/>
  <c r="P1692" i="18"/>
  <c r="P1693" i="18"/>
  <c r="P1694" i="18"/>
  <c r="P1695" i="18"/>
  <c r="P1696" i="18"/>
  <c r="P1697" i="18"/>
  <c r="P1698" i="18"/>
  <c r="P1699" i="18"/>
  <c r="P1700" i="18"/>
  <c r="P1701" i="18"/>
  <c r="P1702" i="18"/>
  <c r="P1703" i="18"/>
  <c r="P1704" i="18"/>
  <c r="P1705" i="18"/>
  <c r="P1706" i="18"/>
  <c r="P1707" i="18"/>
  <c r="P1708" i="18"/>
  <c r="P1709" i="18"/>
  <c r="P1710" i="18"/>
  <c r="P1711" i="18"/>
  <c r="P1712" i="18"/>
  <c r="P1713" i="18"/>
  <c r="P1714" i="18"/>
  <c r="P1715" i="18"/>
  <c r="P1716" i="18"/>
  <c r="P1717" i="18"/>
  <c r="P1718" i="18"/>
  <c r="P1719" i="18"/>
  <c r="P1720" i="18"/>
  <c r="P1721" i="18"/>
  <c r="P1722" i="18"/>
  <c r="P1723" i="18"/>
  <c r="P1724" i="18"/>
  <c r="P1725" i="18"/>
  <c r="P1726" i="18"/>
  <c r="P1727" i="18"/>
  <c r="P1728" i="18"/>
  <c r="P1729" i="18"/>
  <c r="P1730" i="18"/>
  <c r="P1731" i="18"/>
  <c r="P1732" i="18"/>
  <c r="P1733" i="18"/>
  <c r="P1734" i="18"/>
  <c r="P1735" i="18"/>
  <c r="P1736" i="18"/>
  <c r="P1737" i="18"/>
  <c r="P1738" i="18"/>
  <c r="P1739" i="18"/>
  <c r="P1740" i="18"/>
  <c r="P1741" i="18"/>
  <c r="P1742" i="18"/>
  <c r="P1743" i="18"/>
  <c r="P1744" i="18"/>
  <c r="P1745" i="18"/>
  <c r="P1746" i="18"/>
  <c r="P1747" i="18"/>
  <c r="P1748" i="18"/>
  <c r="P1749" i="18"/>
  <c r="P1750" i="18"/>
  <c r="P1751" i="18"/>
  <c r="P1752" i="18"/>
  <c r="P1753" i="18"/>
  <c r="P1754" i="18"/>
  <c r="P1755" i="18"/>
  <c r="P1756" i="18"/>
  <c r="P1757" i="18"/>
  <c r="P1758" i="18"/>
  <c r="P1759" i="18"/>
  <c r="P1760" i="18"/>
  <c r="P1761" i="18"/>
  <c r="P1762" i="18"/>
  <c r="P1763" i="18"/>
  <c r="P1764" i="18"/>
  <c r="P1765" i="18"/>
  <c r="P1766" i="18"/>
  <c r="P1767" i="18"/>
  <c r="P1768" i="18"/>
  <c r="P1769" i="18"/>
  <c r="P1770" i="18"/>
  <c r="P1771" i="18"/>
  <c r="P1772" i="18"/>
  <c r="P1773" i="18"/>
  <c r="P1774" i="18"/>
  <c r="P1775" i="18"/>
  <c r="P1776" i="18"/>
  <c r="P1777" i="18"/>
  <c r="P1778" i="18"/>
  <c r="P1779" i="18"/>
  <c r="P1780" i="18"/>
  <c r="P1781" i="18"/>
  <c r="P1782" i="18"/>
  <c r="P1783" i="18"/>
  <c r="P1784" i="18"/>
  <c r="P1785" i="18"/>
  <c r="P1786" i="18"/>
  <c r="P1787" i="18"/>
  <c r="P1788" i="18"/>
  <c r="P1789" i="18"/>
  <c r="P1790" i="18"/>
  <c r="P1791" i="18"/>
  <c r="P1792" i="18"/>
  <c r="P1793" i="18"/>
  <c r="P1794" i="18"/>
  <c r="P1795" i="18"/>
  <c r="P1796" i="18"/>
  <c r="P1797" i="18"/>
  <c r="P1798" i="18"/>
  <c r="P1799" i="18"/>
  <c r="P1800" i="18"/>
  <c r="P1801" i="18"/>
  <c r="P1802" i="18"/>
  <c r="P1803" i="18"/>
  <c r="P1804" i="18"/>
  <c r="P1805" i="18"/>
  <c r="P1806" i="18"/>
  <c r="P1807" i="18"/>
  <c r="P1808" i="18"/>
  <c r="P1809" i="18"/>
  <c r="P1810" i="18"/>
  <c r="P1811" i="18"/>
  <c r="P1812" i="18"/>
  <c r="P1813" i="18"/>
  <c r="P1814" i="18"/>
  <c r="P1815" i="18"/>
  <c r="P1816" i="18"/>
  <c r="P1817" i="18"/>
  <c r="P1818" i="18"/>
  <c r="P1819" i="18"/>
  <c r="P1820" i="18"/>
  <c r="P1821" i="18"/>
  <c r="P1822" i="18"/>
  <c r="P1823" i="18"/>
  <c r="P1824" i="18"/>
  <c r="P1825" i="18"/>
  <c r="P1826" i="18"/>
  <c r="P1827" i="18"/>
  <c r="P1828" i="18"/>
  <c r="P1829" i="18"/>
  <c r="P1830" i="18"/>
  <c r="P1831" i="18"/>
  <c r="P1832" i="18"/>
  <c r="P1833" i="18"/>
  <c r="P1834" i="18"/>
  <c r="P1835" i="18"/>
  <c r="P1836" i="18"/>
  <c r="P1837" i="18"/>
  <c r="P1838" i="18"/>
  <c r="P1839" i="18"/>
  <c r="P1840" i="18"/>
  <c r="P1841" i="18"/>
  <c r="P1842" i="18"/>
  <c r="P1843" i="18"/>
  <c r="P1844" i="18"/>
  <c r="P1845" i="18"/>
  <c r="P1846" i="18"/>
  <c r="P1847" i="18"/>
  <c r="P1848" i="18"/>
  <c r="P1849" i="18"/>
  <c r="P1850" i="18"/>
  <c r="P1851" i="18"/>
  <c r="P1852" i="18"/>
  <c r="P1853" i="18"/>
  <c r="P1854" i="18"/>
  <c r="P1855" i="18"/>
  <c r="P1856" i="18"/>
  <c r="P1857" i="18"/>
  <c r="P1858" i="18"/>
  <c r="P1859" i="18"/>
  <c r="P1860" i="18"/>
  <c r="P1861" i="18"/>
  <c r="P1862" i="18"/>
  <c r="P1863" i="18"/>
  <c r="P1864" i="18"/>
  <c r="P1865" i="18"/>
  <c r="P1866" i="18"/>
  <c r="P1867" i="18"/>
  <c r="P1868" i="18"/>
  <c r="P1869" i="18"/>
  <c r="P1870" i="18"/>
  <c r="P1871" i="18"/>
  <c r="P1872" i="18"/>
  <c r="P1873" i="18"/>
  <c r="P1874" i="18"/>
  <c r="P1875" i="18"/>
  <c r="P1876" i="18"/>
  <c r="P1877" i="18"/>
  <c r="P1878" i="18"/>
  <c r="P1879" i="18"/>
  <c r="P1880" i="18"/>
  <c r="P1881" i="18"/>
  <c r="P1882" i="18"/>
  <c r="P1883" i="18"/>
  <c r="P1884" i="18"/>
  <c r="P1885" i="18"/>
  <c r="P1886" i="18"/>
  <c r="P1887" i="18"/>
  <c r="P1888" i="18"/>
  <c r="P1889" i="18"/>
  <c r="P1890" i="18"/>
  <c r="P1891" i="18"/>
  <c r="P1892" i="18"/>
  <c r="P1893" i="18"/>
  <c r="P1894" i="18"/>
  <c r="P1895" i="18"/>
  <c r="P1896" i="18"/>
  <c r="P1897" i="18"/>
  <c r="P1898" i="18"/>
  <c r="P1899" i="18"/>
  <c r="P1900" i="18"/>
  <c r="P1901" i="18"/>
  <c r="P1902" i="18"/>
  <c r="P1903" i="18"/>
  <c r="P1904" i="18"/>
  <c r="P1905" i="18"/>
  <c r="P1906" i="18"/>
  <c r="P1907" i="18"/>
  <c r="P1908" i="18"/>
  <c r="P1909" i="18"/>
  <c r="P1910" i="18"/>
  <c r="P1911" i="18"/>
  <c r="P1912" i="18"/>
  <c r="P1913" i="18"/>
  <c r="P1914" i="18"/>
  <c r="P1915" i="18"/>
  <c r="P1916" i="18"/>
  <c r="P1917" i="18"/>
  <c r="P1918" i="18"/>
  <c r="P1919" i="18"/>
  <c r="P1920" i="18"/>
  <c r="P1921" i="18"/>
  <c r="P1922" i="18"/>
  <c r="P1923" i="18"/>
  <c r="P1924" i="18"/>
  <c r="P1925" i="18"/>
  <c r="P1926" i="18"/>
  <c r="P1927" i="18"/>
  <c r="P1928" i="18"/>
  <c r="P1929" i="18"/>
  <c r="P1930" i="18"/>
  <c r="P1931" i="18"/>
  <c r="P1932" i="18"/>
  <c r="P1933" i="18"/>
  <c r="P1934" i="18"/>
  <c r="P1935" i="18"/>
  <c r="P1936" i="18"/>
  <c r="P1937" i="18"/>
  <c r="P1938" i="18"/>
  <c r="P1939" i="18"/>
  <c r="P1940" i="18"/>
  <c r="P1941" i="18"/>
  <c r="P1942" i="18"/>
  <c r="P1943" i="18"/>
  <c r="P1944" i="18"/>
  <c r="P1945" i="18"/>
  <c r="P1946" i="18"/>
  <c r="P1947" i="18"/>
  <c r="P1948" i="18"/>
  <c r="P1949" i="18"/>
  <c r="P1950" i="18"/>
  <c r="P1951" i="18"/>
  <c r="P1952" i="18"/>
  <c r="P1953" i="18"/>
  <c r="P1954" i="18"/>
  <c r="P1955" i="18"/>
  <c r="P1956" i="18"/>
  <c r="P1957" i="18"/>
  <c r="P1958" i="18"/>
  <c r="P1959" i="18"/>
  <c r="P1960" i="18"/>
  <c r="P1961" i="18"/>
  <c r="P1962" i="18"/>
  <c r="P1963" i="18"/>
  <c r="P1964" i="18"/>
  <c r="P1965" i="18"/>
  <c r="P1966" i="18"/>
  <c r="P1967" i="18"/>
  <c r="P1968" i="18"/>
  <c r="P1969" i="18"/>
  <c r="P1970" i="18"/>
  <c r="P1971" i="18"/>
  <c r="P1972" i="18"/>
  <c r="P1973" i="18"/>
  <c r="P1974" i="18"/>
  <c r="P1975" i="18"/>
  <c r="P1976" i="18"/>
  <c r="P1977" i="18"/>
  <c r="P1978" i="18"/>
  <c r="P1979" i="18"/>
  <c r="P1980" i="18"/>
  <c r="P1981" i="18"/>
  <c r="P1982" i="18"/>
  <c r="P1983" i="18"/>
  <c r="P1984" i="18"/>
  <c r="P1985" i="18"/>
  <c r="P1986" i="18"/>
  <c r="P1987" i="18"/>
  <c r="P1988" i="18"/>
  <c r="P1989" i="18"/>
  <c r="P1990" i="18"/>
  <c r="P1991" i="18"/>
  <c r="P1992" i="18"/>
  <c r="P1993" i="18"/>
  <c r="P1994" i="18"/>
  <c r="P1995" i="18"/>
  <c r="P1996" i="18"/>
  <c r="P1997" i="18"/>
  <c r="P1998" i="18"/>
  <c r="P1999" i="18"/>
  <c r="P2000" i="18"/>
  <c r="P2001" i="18"/>
  <c r="P2002" i="18"/>
  <c r="P2003" i="18"/>
  <c r="P2004" i="18"/>
  <c r="P2005" i="18"/>
  <c r="P2006" i="18"/>
  <c r="P2007" i="18"/>
  <c r="P2008" i="18"/>
  <c r="P2009" i="18"/>
  <c r="P2010" i="18"/>
  <c r="P2011" i="18"/>
  <c r="P2012" i="18"/>
  <c r="P2013" i="18"/>
  <c r="P2014" i="18"/>
  <c r="P2015" i="18"/>
  <c r="P2016" i="18"/>
  <c r="P2017" i="18"/>
  <c r="P2018" i="18"/>
  <c r="P2019" i="18"/>
  <c r="P2020" i="18"/>
  <c r="P2021" i="18"/>
  <c r="P2022" i="18"/>
  <c r="P2023" i="18"/>
  <c r="P2024" i="18"/>
  <c r="P2025" i="18"/>
  <c r="P2026" i="18"/>
  <c r="P2027" i="18"/>
  <c r="P2028" i="18"/>
  <c r="P2029" i="18"/>
  <c r="P2030" i="18"/>
  <c r="P2031" i="18"/>
  <c r="P2032" i="18"/>
  <c r="P2033" i="18"/>
  <c r="P2034" i="18"/>
  <c r="P2035" i="18"/>
  <c r="P2036" i="18"/>
  <c r="P2037" i="18"/>
  <c r="P2038" i="18"/>
  <c r="P2039" i="18"/>
  <c r="P2040" i="18"/>
  <c r="P2041" i="18"/>
  <c r="P2042" i="18"/>
  <c r="P2043" i="18"/>
  <c r="P2044" i="18"/>
  <c r="P2045" i="18"/>
  <c r="P2046" i="18"/>
  <c r="P2047" i="18"/>
  <c r="P2048" i="18"/>
  <c r="P2" i="18"/>
  <c r="Q476" i="3"/>
  <c r="Q477" i="3"/>
  <c r="Q478" i="3"/>
  <c r="Q479" i="3"/>
  <c r="Q480" i="3"/>
  <c r="Q481" i="3"/>
  <c r="Q482" i="3"/>
  <c r="Q483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AD41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AE407" i="3" s="1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2" i="3"/>
  <c r="Q410" i="11"/>
  <c r="Q411" i="11"/>
  <c r="Q412" i="11"/>
  <c r="Q413" i="11"/>
  <c r="Q414" i="11"/>
  <c r="Q415" i="11"/>
  <c r="Q416" i="11"/>
  <c r="Q417" i="11"/>
  <c r="Q418" i="11"/>
  <c r="Q420" i="11"/>
  <c r="Q421" i="11"/>
  <c r="Q422" i="11"/>
  <c r="Q423" i="11"/>
  <c r="Q424" i="11"/>
  <c r="Q425" i="11"/>
  <c r="Q426" i="11"/>
  <c r="Q427" i="11"/>
  <c r="Q428" i="11"/>
  <c r="Q429" i="11"/>
  <c r="Q430" i="11"/>
  <c r="Q431" i="11"/>
  <c r="Q432" i="11"/>
  <c r="Q433" i="11"/>
  <c r="Q434" i="11"/>
  <c r="Q435" i="11"/>
  <c r="Q436" i="11"/>
  <c r="Q437" i="11"/>
  <c r="Q438" i="11"/>
  <c r="Q439" i="11"/>
  <c r="Q440" i="11"/>
  <c r="Q441" i="11"/>
  <c r="Q442" i="11"/>
  <c r="Q443" i="11"/>
  <c r="Q444" i="11"/>
  <c r="Q445" i="11"/>
  <c r="Q446" i="11"/>
  <c r="Q447" i="11"/>
  <c r="Q448" i="11"/>
  <c r="Q449" i="11"/>
  <c r="Q450" i="11"/>
  <c r="Q409" i="11"/>
  <c r="Q408" i="11"/>
  <c r="Q407" i="11"/>
  <c r="Q406" i="11"/>
  <c r="Q405" i="11"/>
  <c r="Q404" i="11"/>
  <c r="Q403" i="11"/>
  <c r="Q402" i="11"/>
  <c r="Q401" i="11"/>
  <c r="Q400" i="11"/>
  <c r="Q399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96" i="11"/>
  <c r="Q97" i="11"/>
  <c r="Q98" i="11"/>
  <c r="Q99" i="11"/>
  <c r="Q100" i="11"/>
  <c r="Q101" i="11"/>
  <c r="Q102" i="11"/>
  <c r="Q103" i="11"/>
  <c r="Q104" i="11"/>
  <c r="Q105" i="11"/>
  <c r="Q106" i="11"/>
  <c r="Q107" i="11"/>
  <c r="Q108" i="11"/>
  <c r="Q109" i="11"/>
  <c r="Q110" i="11"/>
  <c r="Q111" i="11"/>
  <c r="Q112" i="11"/>
  <c r="Q113" i="11"/>
  <c r="Q114" i="11"/>
  <c r="Q115" i="11"/>
  <c r="Q116" i="11"/>
  <c r="Q117" i="11"/>
  <c r="Q118" i="11"/>
  <c r="Q119" i="11"/>
  <c r="Q120" i="11"/>
  <c r="Q121" i="11"/>
  <c r="Q122" i="11"/>
  <c r="Q123" i="11"/>
  <c r="Q124" i="11"/>
  <c r="Q125" i="11"/>
  <c r="Q126" i="11"/>
  <c r="Q127" i="11"/>
  <c r="Q128" i="11"/>
  <c r="Q129" i="11"/>
  <c r="Q130" i="11"/>
  <c r="Q131" i="11"/>
  <c r="Q132" i="11"/>
  <c r="Q133" i="11"/>
  <c r="Q134" i="11"/>
  <c r="Q135" i="11"/>
  <c r="Q136" i="11"/>
  <c r="Q137" i="11"/>
  <c r="Q138" i="11"/>
  <c r="Q139" i="11"/>
  <c r="Q140" i="11"/>
  <c r="Q141" i="11"/>
  <c r="Q142" i="11"/>
  <c r="Q143" i="11"/>
  <c r="Q144" i="11"/>
  <c r="Q145" i="11"/>
  <c r="Q146" i="11"/>
  <c r="Q147" i="11"/>
  <c r="Q148" i="11"/>
  <c r="Q149" i="11"/>
  <c r="Q150" i="11"/>
  <c r="Q151" i="11"/>
  <c r="Q152" i="11"/>
  <c r="Q153" i="11"/>
  <c r="Q154" i="11"/>
  <c r="Q155" i="11"/>
  <c r="Q156" i="11"/>
  <c r="Q157" i="11"/>
  <c r="Q158" i="11"/>
  <c r="Q159" i="11"/>
  <c r="Q160" i="11"/>
  <c r="Q161" i="11"/>
  <c r="Q162" i="11"/>
  <c r="Q163" i="11"/>
  <c r="Q164" i="11"/>
  <c r="Q165" i="11"/>
  <c r="Q166" i="11"/>
  <c r="Q167" i="11"/>
  <c r="Q168" i="11"/>
  <c r="Q169" i="11"/>
  <c r="Q170" i="11"/>
  <c r="Q171" i="11"/>
  <c r="Q172" i="11"/>
  <c r="Q173" i="11"/>
  <c r="Q174" i="11"/>
  <c r="Q175" i="11"/>
  <c r="Q176" i="11"/>
  <c r="Q177" i="11"/>
  <c r="Q178" i="11"/>
  <c r="Q179" i="11"/>
  <c r="Q180" i="11"/>
  <c r="Q181" i="11"/>
  <c r="Q182" i="11"/>
  <c r="Q183" i="11"/>
  <c r="Q184" i="11"/>
  <c r="Q185" i="11"/>
  <c r="Q186" i="11"/>
  <c r="Q187" i="11"/>
  <c r="Q188" i="11"/>
  <c r="Q189" i="11"/>
  <c r="Q190" i="11"/>
  <c r="Q191" i="11"/>
  <c r="Q192" i="11"/>
  <c r="Q193" i="11"/>
  <c r="Q194" i="11"/>
  <c r="Q195" i="11"/>
  <c r="Q196" i="11"/>
  <c r="Q197" i="11"/>
  <c r="Q198" i="11"/>
  <c r="Q199" i="11"/>
  <c r="Q200" i="11"/>
  <c r="Q201" i="11"/>
  <c r="Q202" i="11"/>
  <c r="Q203" i="11"/>
  <c r="Q204" i="11"/>
  <c r="Q205" i="11"/>
  <c r="Q206" i="11"/>
  <c r="Q207" i="11"/>
  <c r="Q208" i="11"/>
  <c r="Q209" i="11"/>
  <c r="Q210" i="11"/>
  <c r="Q211" i="11"/>
  <c r="Q212" i="11"/>
  <c r="Q213" i="11"/>
  <c r="Q214" i="11"/>
  <c r="Q215" i="11"/>
  <c r="Q216" i="11"/>
  <c r="Q217" i="11"/>
  <c r="Q218" i="11"/>
  <c r="Q219" i="11"/>
  <c r="Q220" i="11"/>
  <c r="Q221" i="11"/>
  <c r="Q222" i="11"/>
  <c r="Q223" i="11"/>
  <c r="Q224" i="11"/>
  <c r="Q225" i="11"/>
  <c r="Q226" i="11"/>
  <c r="Q227" i="11"/>
  <c r="Q228" i="11"/>
  <c r="Q229" i="11"/>
  <c r="Q230" i="11"/>
  <c r="Q231" i="11"/>
  <c r="Q232" i="11"/>
  <c r="Q233" i="11"/>
  <c r="Q234" i="11"/>
  <c r="Q235" i="11"/>
  <c r="Q236" i="11"/>
  <c r="Q237" i="11"/>
  <c r="Q238" i="11"/>
  <c r="Q239" i="11"/>
  <c r="Q240" i="11"/>
  <c r="Q241" i="11"/>
  <c r="Q242" i="11"/>
  <c r="Q243" i="11"/>
  <c r="Q244" i="11"/>
  <c r="Q245" i="11"/>
  <c r="Q246" i="11"/>
  <c r="Q247" i="11"/>
  <c r="Q248" i="11"/>
  <c r="Q249" i="11"/>
  <c r="Q250" i="11"/>
  <c r="Q251" i="11"/>
  <c r="Q252" i="11"/>
  <c r="Q253" i="11"/>
  <c r="Q254" i="11"/>
  <c r="Q255" i="11"/>
  <c r="Q256" i="11"/>
  <c r="Q257" i="11"/>
  <c r="Q258" i="11"/>
  <c r="Q259" i="11"/>
  <c r="Q260" i="11"/>
  <c r="Q261" i="11"/>
  <c r="Q262" i="11"/>
  <c r="Q263" i="11"/>
  <c r="Q264" i="11"/>
  <c r="Q265" i="11"/>
  <c r="Q266" i="11"/>
  <c r="Q267" i="11"/>
  <c r="Q268" i="11"/>
  <c r="Q269" i="11"/>
  <c r="Q270" i="11"/>
  <c r="Q271" i="11"/>
  <c r="Q272" i="11"/>
  <c r="Q273" i="11"/>
  <c r="Q274" i="11"/>
  <c r="Q275" i="11"/>
  <c r="Q276" i="11"/>
  <c r="Q277" i="11"/>
  <c r="Q278" i="11"/>
  <c r="Q279" i="11"/>
  <c r="Q280" i="11"/>
  <c r="Q281" i="11"/>
  <c r="Q282" i="11"/>
  <c r="Q283" i="11"/>
  <c r="Q284" i="11"/>
  <c r="Q285" i="11"/>
  <c r="Q286" i="11"/>
  <c r="Q287" i="11"/>
  <c r="Q288" i="11"/>
  <c r="Q289" i="11"/>
  <c r="Q290" i="11"/>
  <c r="Q291" i="11"/>
  <c r="Q292" i="11"/>
  <c r="Q293" i="11"/>
  <c r="Q294" i="11"/>
  <c r="Q295" i="11"/>
  <c r="Q296" i="11"/>
  <c r="Q297" i="11"/>
  <c r="Q298" i="11"/>
  <c r="Q299" i="11"/>
  <c r="Q300" i="11"/>
  <c r="Q301" i="11"/>
  <c r="Q302" i="11"/>
  <c r="Q303" i="11"/>
  <c r="Q304" i="11"/>
  <c r="Q305" i="11"/>
  <c r="Q306" i="11"/>
  <c r="Q307" i="11"/>
  <c r="Q308" i="11"/>
  <c r="Q309" i="11"/>
  <c r="Q310" i="11"/>
  <c r="Q311" i="11"/>
  <c r="Q312" i="11"/>
  <c r="Q313" i="11"/>
  <c r="Q314" i="11"/>
  <c r="Q315" i="11"/>
  <c r="Q316" i="11"/>
  <c r="Q317" i="11"/>
  <c r="Q318" i="11"/>
  <c r="Q319" i="11"/>
  <c r="Q320" i="11"/>
  <c r="Q321" i="11"/>
  <c r="Q322" i="11"/>
  <c r="Q323" i="11"/>
  <c r="Q324" i="11"/>
  <c r="Q325" i="11"/>
  <c r="Q326" i="11"/>
  <c r="Q327" i="11"/>
  <c r="Q328" i="11"/>
  <c r="Q329" i="11"/>
  <c r="Q330" i="11"/>
  <c r="Q331" i="11"/>
  <c r="Q332" i="11"/>
  <c r="Q333" i="11"/>
  <c r="Q334" i="11"/>
  <c r="Q335" i="11"/>
  <c r="Q336" i="11"/>
  <c r="Q337" i="11"/>
  <c r="Q338" i="11"/>
  <c r="Q339" i="11"/>
  <c r="Q340" i="11"/>
  <c r="Q341" i="11"/>
  <c r="Q342" i="11"/>
  <c r="Q343" i="11"/>
  <c r="Q344" i="11"/>
  <c r="Q345" i="11"/>
  <c r="Q346" i="11"/>
  <c r="Q347" i="11"/>
  <c r="Q348" i="11"/>
  <c r="Q349" i="11"/>
  <c r="Q350" i="11"/>
  <c r="Q351" i="11"/>
  <c r="Q352" i="11"/>
  <c r="Q353" i="11"/>
  <c r="Q354" i="11"/>
  <c r="Q355" i="11"/>
  <c r="Q356" i="11"/>
  <c r="Q357" i="11"/>
  <c r="Q358" i="11"/>
  <c r="Q359" i="11"/>
  <c r="Q360" i="11"/>
  <c r="Q361" i="11"/>
  <c r="Q362" i="11"/>
  <c r="Q363" i="11"/>
  <c r="Q364" i="11"/>
  <c r="Q365" i="11"/>
  <c r="Q366" i="11"/>
  <c r="Q367" i="11"/>
  <c r="Q368" i="11"/>
  <c r="Q369" i="11"/>
  <c r="Q370" i="11"/>
  <c r="Q371" i="11"/>
  <c r="Q372" i="11"/>
  <c r="Q373" i="11"/>
  <c r="Q374" i="11"/>
  <c r="Q375" i="11"/>
  <c r="Q376" i="11"/>
  <c r="Q377" i="11"/>
  <c r="Q378" i="11"/>
  <c r="Q379" i="11"/>
  <c r="Q380" i="11"/>
  <c r="Q381" i="11"/>
  <c r="Q382" i="11"/>
  <c r="Q383" i="11"/>
  <c r="Q384" i="11"/>
  <c r="Q385" i="11"/>
  <c r="Q386" i="11"/>
  <c r="Q387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2" i="11"/>
  <c r="P289" i="17" l="1"/>
  <c r="Q289" i="17"/>
  <c r="AE418" i="3"/>
  <c r="AL24" i="5"/>
  <c r="AK80" i="18"/>
  <c r="AD39" i="17"/>
  <c r="AD40" i="17"/>
  <c r="AD41" i="17"/>
  <c r="AD42" i="17"/>
  <c r="AD43" i="17"/>
  <c r="AD281" i="17"/>
  <c r="AD282" i="17"/>
  <c r="AD168" i="17"/>
  <c r="AD160" i="17"/>
  <c r="AD161" i="17"/>
  <c r="AD100" i="17"/>
  <c r="AD79" i="17"/>
  <c r="AD80" i="17"/>
  <c r="AD81" i="17"/>
  <c r="AE43" i="17" l="1"/>
  <c r="AE42" i="17"/>
  <c r="AE41" i="17"/>
  <c r="AE40" i="17"/>
  <c r="AE284" i="17"/>
  <c r="AE283" i="17"/>
  <c r="AE161" i="17"/>
  <c r="AE160" i="17"/>
  <c r="AE168" i="17"/>
  <c r="AE80" i="17"/>
  <c r="AE100" i="17"/>
  <c r="AE81" i="17"/>
  <c r="AE101" i="17"/>
  <c r="AD230" i="14"/>
  <c r="AD231" i="14"/>
  <c r="AD232" i="14"/>
  <c r="AD233" i="14"/>
  <c r="AD71" i="14"/>
  <c r="AD72" i="14"/>
  <c r="AD662" i="5"/>
  <c r="AD663" i="5"/>
  <c r="AD363" i="5"/>
  <c r="AD364" i="5"/>
  <c r="AD365" i="5"/>
  <c r="AD366" i="5"/>
  <c r="AD367" i="5"/>
  <c r="AD323" i="5"/>
  <c r="AD319" i="5"/>
  <c r="AD320" i="5"/>
  <c r="AD321" i="5"/>
  <c r="AD322" i="5"/>
  <c r="AD2030" i="18"/>
  <c r="AD2031" i="18"/>
  <c r="AD2032" i="18"/>
  <c r="AD2033" i="18"/>
  <c r="AD2034" i="18"/>
  <c r="AD2035" i="18"/>
  <c r="AD2036" i="18"/>
  <c r="AD2037" i="18"/>
  <c r="AD2038" i="18"/>
  <c r="AD2039" i="18"/>
  <c r="AD2040" i="18"/>
  <c r="AD2041" i="18"/>
  <c r="AD2042" i="18"/>
  <c r="AD2043" i="18"/>
  <c r="AD2044" i="18"/>
  <c r="AD2045" i="18"/>
  <c r="AD2046" i="18"/>
  <c r="AD2047" i="18"/>
  <c r="AD2048" i="18"/>
  <c r="AD2049" i="18"/>
  <c r="AD1299" i="18"/>
  <c r="AD1288" i="18"/>
  <c r="AD1289" i="18"/>
  <c r="AD1238" i="18"/>
  <c r="AD1239" i="18"/>
  <c r="AD1240" i="18"/>
  <c r="AD1241" i="18"/>
  <c r="AD1133" i="18"/>
  <c r="AD1134" i="18"/>
  <c r="AD1135" i="18"/>
  <c r="AD1136" i="18"/>
  <c r="AD1137" i="18"/>
  <c r="AD1109" i="18"/>
  <c r="AD1110" i="18"/>
  <c r="AD1054" i="18"/>
  <c r="AD911" i="18"/>
  <c r="AD912" i="18"/>
  <c r="AD913" i="18"/>
  <c r="AD836" i="18"/>
  <c r="AD837" i="18"/>
  <c r="AD838" i="18"/>
  <c r="AD839" i="18"/>
  <c r="AE839" i="18" s="1"/>
  <c r="AD779" i="18"/>
  <c r="AD780" i="18"/>
  <c r="AD781" i="18"/>
  <c r="AD782" i="18"/>
  <c r="AD700" i="18"/>
  <c r="AD701" i="18"/>
  <c r="AD702" i="18"/>
  <c r="AD703" i="18"/>
  <c r="AD655" i="18"/>
  <c r="AD456" i="3"/>
  <c r="AD457" i="3"/>
  <c r="AE457" i="3" s="1"/>
  <c r="AD458" i="3"/>
  <c r="AE458" i="3" s="1"/>
  <c r="AE273" i="3"/>
  <c r="AD2" i="5"/>
  <c r="AD280" i="17"/>
  <c r="AE281" i="17"/>
  <c r="AD164" i="17"/>
  <c r="AD167" i="17"/>
  <c r="AD169" i="17"/>
  <c r="AD170" i="17"/>
  <c r="AD82" i="17"/>
  <c r="AD144" i="17"/>
  <c r="AD145" i="17"/>
  <c r="AD93" i="17"/>
  <c r="AD94" i="17"/>
  <c r="AD95" i="17"/>
  <c r="AD96" i="17"/>
  <c r="AD97" i="17"/>
  <c r="AD98" i="17"/>
  <c r="AD99" i="17"/>
  <c r="AD84" i="17"/>
  <c r="AD85" i="17"/>
  <c r="AD86" i="17"/>
  <c r="AD87" i="17"/>
  <c r="AD88" i="17"/>
  <c r="AD89" i="17"/>
  <c r="AD90" i="17"/>
  <c r="AD91" i="17"/>
  <c r="AD76" i="17"/>
  <c r="AD77" i="17"/>
  <c r="AD78" i="17"/>
  <c r="AD16" i="17"/>
  <c r="AD17" i="17"/>
  <c r="AD18" i="17"/>
  <c r="AD19" i="17"/>
  <c r="AD20" i="17"/>
  <c r="AD21" i="17"/>
  <c r="AD322" i="14"/>
  <c r="AD323" i="14"/>
  <c r="AD324" i="14"/>
  <c r="AD282" i="14"/>
  <c r="AD283" i="14"/>
  <c r="AD228" i="14"/>
  <c r="AD229" i="14"/>
  <c r="AD65" i="14"/>
  <c r="AD66" i="14"/>
  <c r="AD67" i="14"/>
  <c r="AD68" i="14"/>
  <c r="AD69" i="14"/>
  <c r="AD70" i="14"/>
  <c r="AD2021" i="18"/>
  <c r="AD2022" i="18"/>
  <c r="AD2023" i="18"/>
  <c r="AD2024" i="18"/>
  <c r="AD2025" i="18"/>
  <c r="AD2026" i="18"/>
  <c r="AD2027" i="18"/>
  <c r="AD2028" i="18"/>
  <c r="AD2029" i="18"/>
  <c r="AD1199" i="18"/>
  <c r="AD1200" i="18"/>
  <c r="AD1201" i="18"/>
  <c r="AD1167" i="18"/>
  <c r="AE1167" i="18" s="1"/>
  <c r="AD1154" i="18"/>
  <c r="AD1155" i="18"/>
  <c r="AD1156" i="18"/>
  <c r="AD1107" i="18"/>
  <c r="AD1108" i="18"/>
  <c r="AD1010" i="18"/>
  <c r="AD987" i="18"/>
  <c r="AD939" i="18"/>
  <c r="AD940" i="18"/>
  <c r="AD941" i="18"/>
  <c r="AD942" i="18"/>
  <c r="AD909" i="18"/>
  <c r="AD910" i="18"/>
  <c r="AD751" i="18"/>
  <c r="AD752" i="18"/>
  <c r="AD705" i="18"/>
  <c r="AD706" i="18"/>
  <c r="AD652" i="18"/>
  <c r="AD653" i="18"/>
  <c r="AD654" i="18"/>
  <c r="AD476" i="18"/>
  <c r="AD475" i="18"/>
  <c r="AD390" i="18"/>
  <c r="AD391" i="18"/>
  <c r="AD317" i="18"/>
  <c r="AD318" i="18"/>
  <c r="AF324" i="14" l="1"/>
  <c r="AF72" i="14"/>
  <c r="AE1010" i="18"/>
  <c r="AF232" i="14"/>
  <c r="AF233" i="14"/>
  <c r="AE663" i="5"/>
  <c r="AE364" i="5"/>
  <c r="AE367" i="5"/>
  <c r="AE2044" i="18"/>
  <c r="AE2036" i="18"/>
  <c r="AE2048" i="18"/>
  <c r="AE2040" i="18"/>
  <c r="AE2047" i="18"/>
  <c r="AE2043" i="18"/>
  <c r="AE2039" i="18"/>
  <c r="AE2035" i="18"/>
  <c r="AE2050" i="18"/>
  <c r="AE2046" i="18"/>
  <c r="AE2042" i="18"/>
  <c r="AE2038" i="18"/>
  <c r="AE2034" i="18"/>
  <c r="AE1240" i="18"/>
  <c r="AE2049" i="18"/>
  <c r="AE2045" i="18"/>
  <c r="AE2041" i="18"/>
  <c r="AE2037" i="18"/>
  <c r="AE167" i="17"/>
  <c r="AF322" i="14"/>
  <c r="AE366" i="5"/>
  <c r="AE320" i="5"/>
  <c r="AE365" i="5"/>
  <c r="AE321" i="5"/>
  <c r="AE323" i="5"/>
  <c r="AE322" i="5"/>
  <c r="AE1239" i="18"/>
  <c r="AE1238" i="18"/>
  <c r="AE1299" i="18"/>
  <c r="AE1289" i="18"/>
  <c r="AE1134" i="18"/>
  <c r="AE1137" i="18"/>
  <c r="AE1136" i="18"/>
  <c r="AE1135" i="18"/>
  <c r="AE1055" i="18"/>
  <c r="AE913" i="18"/>
  <c r="AE1110" i="18"/>
  <c r="AE702" i="18"/>
  <c r="AE912" i="18"/>
  <c r="AE836" i="18"/>
  <c r="AE781" i="18"/>
  <c r="AE837" i="18"/>
  <c r="AE782" i="18"/>
  <c r="AE701" i="18"/>
  <c r="AE838" i="18"/>
  <c r="AE657" i="18"/>
  <c r="AE656" i="18"/>
  <c r="AE655" i="18"/>
  <c r="AE654" i="18"/>
  <c r="AE274" i="3"/>
  <c r="AF323" i="14"/>
  <c r="AF283" i="14"/>
  <c r="AE2025" i="18"/>
  <c r="AE2033" i="18"/>
  <c r="AE2029" i="18"/>
  <c r="AE2032" i="18"/>
  <c r="AE2028" i="18"/>
  <c r="AE2024" i="18"/>
  <c r="AE2031" i="18"/>
  <c r="AE2027" i="18"/>
  <c r="AE2023" i="18"/>
  <c r="AE2030" i="18"/>
  <c r="AE2026" i="18"/>
  <c r="AE2022" i="18"/>
  <c r="AE282" i="17"/>
  <c r="AE169" i="17"/>
  <c r="AE170" i="17"/>
  <c r="AE164" i="17"/>
  <c r="AE88" i="17"/>
  <c r="AE82" i="17"/>
  <c r="AE280" i="17"/>
  <c r="AE89" i="17"/>
  <c r="AE144" i="17"/>
  <c r="AE145" i="17"/>
  <c r="AE98" i="17"/>
  <c r="AE97" i="17"/>
  <c r="AE90" i="17"/>
  <c r="AE86" i="17"/>
  <c r="AE91" i="17"/>
  <c r="AE87" i="17"/>
  <c r="AE77" i="17"/>
  <c r="AE99" i="17"/>
  <c r="AE78" i="17"/>
  <c r="AE79" i="17"/>
  <c r="AE20" i="17"/>
  <c r="AE21" i="17"/>
  <c r="AF228" i="14"/>
  <c r="AF231" i="14"/>
  <c r="AF282" i="14"/>
  <c r="AF230" i="14"/>
  <c r="AF71" i="14"/>
  <c r="AF67" i="14"/>
  <c r="AF229" i="14"/>
  <c r="AF69" i="14"/>
  <c r="AF65" i="14"/>
  <c r="AF68" i="14"/>
  <c r="AF70" i="14"/>
  <c r="AF66" i="14"/>
  <c r="AE1201" i="18"/>
  <c r="AE1200" i="18"/>
  <c r="AE1156" i="18"/>
  <c r="AE1155" i="18"/>
  <c r="AE1109" i="18"/>
  <c r="AE780" i="18"/>
  <c r="AE910" i="18"/>
  <c r="AE941" i="18"/>
  <c r="AE940" i="18"/>
  <c r="AE909" i="18"/>
  <c r="AE911" i="18"/>
  <c r="AE942" i="18"/>
  <c r="AE751" i="18"/>
  <c r="AE752" i="18"/>
  <c r="AE706" i="18"/>
  <c r="AE700" i="18"/>
  <c r="AE652" i="18"/>
  <c r="AE705" i="18"/>
  <c r="AE653" i="18"/>
  <c r="AE475" i="18"/>
  <c r="AE476" i="18"/>
  <c r="AE317" i="18"/>
  <c r="AE320" i="18"/>
  <c r="AE391" i="18"/>
  <c r="AE319" i="18"/>
  <c r="AE318" i="18"/>
  <c r="AD482" i="3"/>
  <c r="AD483" i="3"/>
  <c r="C484" i="3"/>
  <c r="AD435" i="3"/>
  <c r="AD342" i="3"/>
  <c r="AD343" i="3"/>
  <c r="AD332" i="3"/>
  <c r="AD333" i="3"/>
  <c r="AD334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139" i="3"/>
  <c r="AD140" i="3"/>
  <c r="AD657" i="5"/>
  <c r="AD658" i="5"/>
  <c r="AD659" i="5"/>
  <c r="AD660" i="5"/>
  <c r="AD661" i="5"/>
  <c r="AD316" i="5"/>
  <c r="AD317" i="5"/>
  <c r="AD318" i="5"/>
  <c r="AD86" i="5"/>
  <c r="AD87" i="5"/>
  <c r="AD88" i="5"/>
  <c r="AD89" i="5"/>
  <c r="AD382" i="11"/>
  <c r="AD383" i="11"/>
  <c r="AD384" i="11"/>
  <c r="AD385" i="11"/>
  <c r="AD386" i="11"/>
  <c r="AD387" i="11"/>
  <c r="AE387" i="11" s="1"/>
  <c r="AD388" i="11"/>
  <c r="AD389" i="11"/>
  <c r="AD390" i="11"/>
  <c r="AD391" i="11"/>
  <c r="AE391" i="11" s="1"/>
  <c r="AD392" i="11"/>
  <c r="AE19" i="17"/>
  <c r="AD142" i="14"/>
  <c r="D4" i="16"/>
  <c r="C4" i="16"/>
  <c r="AL5" i="11"/>
  <c r="AD277" i="17"/>
  <c r="AD278" i="17"/>
  <c r="AD279" i="17"/>
  <c r="AD155" i="17"/>
  <c r="AD156" i="17"/>
  <c r="AD157" i="17"/>
  <c r="AD319" i="14"/>
  <c r="AD320" i="14"/>
  <c r="AD321" i="14"/>
  <c r="AD61" i="14"/>
  <c r="AD62" i="14"/>
  <c r="AD63" i="14"/>
  <c r="AD64" i="14"/>
  <c r="AF64" i="14" l="1"/>
  <c r="AE659" i="5"/>
  <c r="AE662" i="5"/>
  <c r="AE658" i="5"/>
  <c r="AE89" i="5"/>
  <c r="AE660" i="5"/>
  <c r="AE661" i="5"/>
  <c r="AE657" i="5"/>
  <c r="AE2" i="18"/>
  <c r="AE342" i="3"/>
  <c r="AE269" i="3"/>
  <c r="AE265" i="3"/>
  <c r="AE261" i="3"/>
  <c r="AE333" i="3"/>
  <c r="AE343" i="3"/>
  <c r="AE157" i="17"/>
  <c r="AE279" i="17"/>
  <c r="AF142" i="14"/>
  <c r="AE267" i="3"/>
  <c r="AE483" i="3"/>
  <c r="AE435" i="3"/>
  <c r="AE271" i="3"/>
  <c r="AE334" i="3"/>
  <c r="AE263" i="3"/>
  <c r="AE259" i="3"/>
  <c r="AE270" i="3"/>
  <c r="AE266" i="3"/>
  <c r="AE262" i="3"/>
  <c r="AE272" i="3"/>
  <c r="AE268" i="3"/>
  <c r="AE264" i="3"/>
  <c r="AE260" i="3"/>
  <c r="AE317" i="5"/>
  <c r="AE316" i="5"/>
  <c r="AE318" i="5"/>
  <c r="AE319" i="5"/>
  <c r="AE88" i="5"/>
  <c r="AE87" i="5"/>
  <c r="AE389" i="11"/>
  <c r="AE385" i="11"/>
  <c r="AE392" i="11"/>
  <c r="AE388" i="11"/>
  <c r="AE390" i="11"/>
  <c r="AE386" i="11"/>
  <c r="AE278" i="17"/>
  <c r="AE156" i="17"/>
  <c r="AE155" i="17"/>
  <c r="AE142" i="14"/>
  <c r="AF320" i="14"/>
  <c r="AF321" i="14"/>
  <c r="AD647" i="5"/>
  <c r="AD648" i="5"/>
  <c r="AD649" i="5"/>
  <c r="AD650" i="5"/>
  <c r="AD651" i="5"/>
  <c r="AD652" i="5"/>
  <c r="AD653" i="5"/>
  <c r="AD654" i="5"/>
  <c r="AD655" i="5"/>
  <c r="AD656" i="5"/>
  <c r="AD476" i="5"/>
  <c r="AD477" i="5"/>
  <c r="AD478" i="5"/>
  <c r="AD479" i="5"/>
  <c r="AD310" i="5"/>
  <c r="AD311" i="5"/>
  <c r="AD312" i="5"/>
  <c r="AD313" i="5"/>
  <c r="AD314" i="5"/>
  <c r="AD315" i="5"/>
  <c r="AD85" i="5"/>
  <c r="AD2008" i="18"/>
  <c r="AD2009" i="18"/>
  <c r="AD2010" i="18"/>
  <c r="AD2011" i="18"/>
  <c r="AD2012" i="18"/>
  <c r="AD2013" i="18"/>
  <c r="AD2014" i="18"/>
  <c r="AD2015" i="18"/>
  <c r="AD2016" i="18"/>
  <c r="AD2017" i="18"/>
  <c r="AD2018" i="18"/>
  <c r="AD2019" i="18"/>
  <c r="AD2020" i="18"/>
  <c r="AD1302" i="18"/>
  <c r="AE1302" i="18" s="1"/>
  <c r="AD1303" i="18"/>
  <c r="AD1304" i="18"/>
  <c r="AD1301" i="18"/>
  <c r="AD1226" i="18"/>
  <c r="AD1227" i="18"/>
  <c r="AD1228" i="18"/>
  <c r="AD1229" i="18"/>
  <c r="AD1198" i="18"/>
  <c r="AD1165" i="18"/>
  <c r="AD1166" i="18"/>
  <c r="AD907" i="18"/>
  <c r="AD908" i="18"/>
  <c r="AD860" i="18"/>
  <c r="AD861" i="18"/>
  <c r="AD862" i="18"/>
  <c r="AD776" i="18"/>
  <c r="AD777" i="18"/>
  <c r="AD778" i="18"/>
  <c r="AD647" i="18"/>
  <c r="AD648" i="18"/>
  <c r="AD649" i="18"/>
  <c r="AD650" i="18"/>
  <c r="AD651" i="18"/>
  <c r="AD472" i="18"/>
  <c r="AD473" i="18"/>
  <c r="AD474" i="18"/>
  <c r="AD315" i="18"/>
  <c r="AD316" i="18"/>
  <c r="AE474" i="18" l="1"/>
  <c r="AE2015" i="18"/>
  <c r="AE654" i="5"/>
  <c r="AE656" i="5"/>
  <c r="AE479" i="5"/>
  <c r="AE655" i="5"/>
  <c r="AE2016" i="18"/>
  <c r="AE2021" i="18"/>
  <c r="AE2017" i="18"/>
  <c r="AE2013" i="18"/>
  <c r="AE1303" i="18"/>
  <c r="AE2020" i="18"/>
  <c r="AE2012" i="18"/>
  <c r="AE2019" i="18"/>
  <c r="AE2011" i="18"/>
  <c r="AE478" i="5"/>
  <c r="AE477" i="5"/>
  <c r="AE315" i="5"/>
  <c r="AE314" i="5"/>
  <c r="AE313" i="5"/>
  <c r="AE86" i="5"/>
  <c r="AE85" i="5"/>
  <c r="AE2018" i="18"/>
  <c r="AE2014" i="18"/>
  <c r="AE1301" i="18"/>
  <c r="AE1304" i="18"/>
  <c r="AE1199" i="18"/>
  <c r="AE1227" i="18"/>
  <c r="AE861" i="18"/>
  <c r="AE1166" i="18"/>
  <c r="AE1229" i="18"/>
  <c r="AE860" i="18"/>
  <c r="AE1228" i="18"/>
  <c r="AE1165" i="18"/>
  <c r="AE908" i="18"/>
  <c r="AE862" i="18"/>
  <c r="AE779" i="18"/>
  <c r="AE649" i="18"/>
  <c r="AE778" i="18"/>
  <c r="AE777" i="18"/>
  <c r="AE650" i="18"/>
  <c r="AE651" i="18"/>
  <c r="AE647" i="18"/>
  <c r="AE648" i="18"/>
  <c r="AE473" i="18"/>
  <c r="AE316" i="18"/>
  <c r="AE315" i="18"/>
  <c r="AD406" i="3"/>
  <c r="AD257" i="3"/>
  <c r="AD258" i="3"/>
  <c r="AD449" i="11"/>
  <c r="AD450" i="11"/>
  <c r="AF61" i="14"/>
  <c r="AF62" i="14"/>
  <c r="AF63" i="14"/>
  <c r="AE2010" i="18"/>
  <c r="AE2009" i="18"/>
  <c r="AD2007" i="18"/>
  <c r="AD2006" i="18"/>
  <c r="AD2005" i="18"/>
  <c r="AD2004" i="18"/>
  <c r="AD2003" i="18"/>
  <c r="AD2002" i="18"/>
  <c r="AD2001" i="18"/>
  <c r="AD2000" i="18"/>
  <c r="AD1999" i="18"/>
  <c r="AD1998" i="18"/>
  <c r="AD1997" i="18"/>
  <c r="AD1996" i="18"/>
  <c r="AD1995" i="18"/>
  <c r="AD1994" i="18"/>
  <c r="AD1993" i="18"/>
  <c r="AD1992" i="18"/>
  <c r="AD1991" i="18"/>
  <c r="AD1990" i="18"/>
  <c r="AD1989" i="18"/>
  <c r="AD1988" i="18"/>
  <c r="AD1987" i="18"/>
  <c r="AD1986" i="18"/>
  <c r="AD1985" i="18"/>
  <c r="AD1984" i="18"/>
  <c r="AD1983" i="18"/>
  <c r="AD1982" i="18"/>
  <c r="AD1981" i="18"/>
  <c r="AD1980" i="18"/>
  <c r="AD1979" i="18"/>
  <c r="AD1978" i="18"/>
  <c r="AD1977" i="18"/>
  <c r="AD1976" i="18"/>
  <c r="AD1975" i="18"/>
  <c r="AD1974" i="18"/>
  <c r="AD1973" i="18"/>
  <c r="AD1972" i="18"/>
  <c r="AD1971" i="18"/>
  <c r="AD1970" i="18"/>
  <c r="AD1969" i="18"/>
  <c r="AD1968" i="18"/>
  <c r="AD1967" i="18"/>
  <c r="AD1966" i="18"/>
  <c r="AD1965" i="18"/>
  <c r="AD1964" i="18"/>
  <c r="AD1963" i="18"/>
  <c r="AD1962" i="18"/>
  <c r="AD1961" i="18"/>
  <c r="AD1960" i="18"/>
  <c r="AD1959" i="18"/>
  <c r="AD1958" i="18"/>
  <c r="AD1957" i="18"/>
  <c r="AD1956" i="18"/>
  <c r="AD1955" i="18"/>
  <c r="AD1954" i="18"/>
  <c r="AD1953" i="18"/>
  <c r="AD1952" i="18"/>
  <c r="AD1951" i="18"/>
  <c r="AD1950" i="18"/>
  <c r="AD1949" i="18"/>
  <c r="AD1948" i="18"/>
  <c r="AD1947" i="18"/>
  <c r="AD1946" i="18"/>
  <c r="AD1945" i="18"/>
  <c r="AD1944" i="18"/>
  <c r="AD1943" i="18"/>
  <c r="AD1942" i="18"/>
  <c r="AD1941" i="18"/>
  <c r="AD1940" i="18"/>
  <c r="AD1939" i="18"/>
  <c r="AD1938" i="18"/>
  <c r="AD1937" i="18"/>
  <c r="AD1936" i="18"/>
  <c r="AD1935" i="18"/>
  <c r="AD1934" i="18"/>
  <c r="AD1933" i="18"/>
  <c r="AD1932" i="18"/>
  <c r="AD1931" i="18"/>
  <c r="AD1930" i="18"/>
  <c r="AD1929" i="18"/>
  <c r="AD1928" i="18"/>
  <c r="AD1927" i="18"/>
  <c r="AD1926" i="18"/>
  <c r="AD1925" i="18"/>
  <c r="AD1924" i="18"/>
  <c r="AD1923" i="18"/>
  <c r="AD1922" i="18"/>
  <c r="AD1921" i="18"/>
  <c r="AD1920" i="18"/>
  <c r="AD1919" i="18"/>
  <c r="AD1918" i="18"/>
  <c r="AD1917" i="18"/>
  <c r="AD1916" i="18"/>
  <c r="AD1915" i="18"/>
  <c r="AD1914" i="18"/>
  <c r="AD1913" i="18"/>
  <c r="AD1912" i="18"/>
  <c r="AD1911" i="18"/>
  <c r="AD1910" i="18"/>
  <c r="AD1909" i="18"/>
  <c r="AD1908" i="18"/>
  <c r="AD1907" i="18"/>
  <c r="AD1906" i="18"/>
  <c r="AD1905" i="18"/>
  <c r="AD1904" i="18"/>
  <c r="AD1903" i="18"/>
  <c r="AD1902" i="18"/>
  <c r="AD1901" i="18"/>
  <c r="AD1900" i="18"/>
  <c r="AD1899" i="18"/>
  <c r="AD1898" i="18"/>
  <c r="AD1897" i="18"/>
  <c r="AD1896" i="18"/>
  <c r="AD1895" i="18"/>
  <c r="AD1894" i="18"/>
  <c r="AD1893" i="18"/>
  <c r="AD1892" i="18"/>
  <c r="AD1891" i="18"/>
  <c r="AD1890" i="18"/>
  <c r="AD1889" i="18"/>
  <c r="AD1888" i="18"/>
  <c r="AD1887" i="18"/>
  <c r="AD1886" i="18"/>
  <c r="AD1885" i="18"/>
  <c r="AD1884" i="18"/>
  <c r="AD1883" i="18"/>
  <c r="AD1882" i="18"/>
  <c r="AD1881" i="18"/>
  <c r="AD1880" i="18"/>
  <c r="AD1879" i="18"/>
  <c r="AD1878" i="18"/>
  <c r="AD1877" i="18"/>
  <c r="AD1876" i="18"/>
  <c r="AD1875" i="18"/>
  <c r="AD1874" i="18"/>
  <c r="AD1873" i="18"/>
  <c r="AD1872" i="18"/>
  <c r="AD1871" i="18"/>
  <c r="AD1870" i="18"/>
  <c r="AD1869" i="18"/>
  <c r="AD1868" i="18"/>
  <c r="AD1867" i="18"/>
  <c r="AD1866" i="18"/>
  <c r="AD1865" i="18"/>
  <c r="AD1864" i="18"/>
  <c r="AD1863" i="18"/>
  <c r="AD1862" i="18"/>
  <c r="AD1861" i="18"/>
  <c r="AD1860" i="18"/>
  <c r="AD1859" i="18"/>
  <c r="AD1858" i="18"/>
  <c r="AD1857" i="18"/>
  <c r="AD1856" i="18"/>
  <c r="AD1855" i="18"/>
  <c r="AD1854" i="18"/>
  <c r="AD1853" i="18"/>
  <c r="AD1852" i="18"/>
  <c r="AD1851" i="18"/>
  <c r="AD1850" i="18"/>
  <c r="AD1849" i="18"/>
  <c r="AD1848" i="18"/>
  <c r="AD1847" i="18"/>
  <c r="AD1846" i="18"/>
  <c r="AD1845" i="18"/>
  <c r="AD1844" i="18"/>
  <c r="AD1843" i="18"/>
  <c r="AD1842" i="18"/>
  <c r="AD1841" i="18"/>
  <c r="AD1840" i="18"/>
  <c r="AD1839" i="18"/>
  <c r="AD1838" i="18"/>
  <c r="AD1837" i="18"/>
  <c r="AD1836" i="18"/>
  <c r="AD1835" i="18"/>
  <c r="AD1834" i="18"/>
  <c r="AD1833" i="18"/>
  <c r="AD1832" i="18"/>
  <c r="AD1831" i="18"/>
  <c r="AD1830" i="18"/>
  <c r="AD1829" i="18"/>
  <c r="AD1828" i="18"/>
  <c r="AD1827" i="18"/>
  <c r="AD1826" i="18"/>
  <c r="AD1825" i="18"/>
  <c r="AD1824" i="18"/>
  <c r="AD1823" i="18"/>
  <c r="AD1822" i="18"/>
  <c r="AD1821" i="18"/>
  <c r="AD1820" i="18"/>
  <c r="AD1819" i="18"/>
  <c r="AD1818" i="18"/>
  <c r="AD1817" i="18"/>
  <c r="AD1816" i="18"/>
  <c r="AD1815" i="18"/>
  <c r="AD1814" i="18"/>
  <c r="AD1813" i="18"/>
  <c r="AD1812" i="18"/>
  <c r="AD1811" i="18"/>
  <c r="AD1810" i="18"/>
  <c r="AD1809" i="18"/>
  <c r="AD1808" i="18"/>
  <c r="AD1807" i="18"/>
  <c r="AD1806" i="18"/>
  <c r="AD1805" i="18"/>
  <c r="AD1804" i="18"/>
  <c r="AD1803" i="18"/>
  <c r="AD1802" i="18"/>
  <c r="AD1801" i="18"/>
  <c r="AD1800" i="18"/>
  <c r="AD1799" i="18"/>
  <c r="AD1798" i="18"/>
  <c r="AD1797" i="18"/>
  <c r="AD1796" i="18"/>
  <c r="AD1795" i="18"/>
  <c r="AD1794" i="18"/>
  <c r="AD1793" i="18"/>
  <c r="AD1792" i="18"/>
  <c r="AD1791" i="18"/>
  <c r="AD1790" i="18"/>
  <c r="AD1789" i="18"/>
  <c r="AD1788" i="18"/>
  <c r="AD1787" i="18"/>
  <c r="AD1786" i="18"/>
  <c r="AD1785" i="18"/>
  <c r="AD1784" i="18"/>
  <c r="AD1783" i="18"/>
  <c r="AD1782" i="18"/>
  <c r="AD1781" i="18"/>
  <c r="AD1780" i="18"/>
  <c r="AD1779" i="18"/>
  <c r="AD1778" i="18"/>
  <c r="AD1777" i="18"/>
  <c r="AD1776" i="18"/>
  <c r="AD1775" i="18"/>
  <c r="AD1774" i="18"/>
  <c r="AD1773" i="18"/>
  <c r="AD1772" i="18"/>
  <c r="AD1771" i="18"/>
  <c r="AD1770" i="18"/>
  <c r="AD1769" i="18"/>
  <c r="AD1768" i="18"/>
  <c r="AD1767" i="18"/>
  <c r="AD1766" i="18"/>
  <c r="AD1765" i="18"/>
  <c r="AD1764" i="18"/>
  <c r="AD1763" i="18"/>
  <c r="AD1762" i="18"/>
  <c r="AD1761" i="18"/>
  <c r="AD1760" i="18"/>
  <c r="AD1759" i="18"/>
  <c r="AD1758" i="18"/>
  <c r="AD1757" i="18"/>
  <c r="AD1756" i="18"/>
  <c r="AD1755" i="18"/>
  <c r="AD1754" i="18"/>
  <c r="AD1753" i="18"/>
  <c r="AD1752" i="18"/>
  <c r="AD1751" i="18"/>
  <c r="AD1750" i="18"/>
  <c r="AD1749" i="18"/>
  <c r="AD1748" i="18"/>
  <c r="AD1747" i="18"/>
  <c r="AD1746" i="18"/>
  <c r="AD1745" i="18"/>
  <c r="AD1744" i="18"/>
  <c r="AD1743" i="18"/>
  <c r="AD1742" i="18"/>
  <c r="AD1741" i="18"/>
  <c r="AD1740" i="18"/>
  <c r="AD1739" i="18"/>
  <c r="AD1738" i="18"/>
  <c r="AD1737" i="18"/>
  <c r="AD1736" i="18"/>
  <c r="AD1735" i="18"/>
  <c r="AD1734" i="18"/>
  <c r="AD1733" i="18"/>
  <c r="AD1732" i="18"/>
  <c r="AD1731" i="18"/>
  <c r="AD1730" i="18"/>
  <c r="AD1729" i="18"/>
  <c r="AD1728" i="18"/>
  <c r="AD1727" i="18"/>
  <c r="AD1726" i="18"/>
  <c r="AD1725" i="18"/>
  <c r="AD1724" i="18"/>
  <c r="AD1723" i="18"/>
  <c r="AD1722" i="18"/>
  <c r="AD1721" i="18"/>
  <c r="AD1720" i="18"/>
  <c r="AD1719" i="18"/>
  <c r="AD1718" i="18"/>
  <c r="AD1717" i="18"/>
  <c r="AD1716" i="18"/>
  <c r="AD1715" i="18"/>
  <c r="AD1714" i="18"/>
  <c r="AD1713" i="18"/>
  <c r="AD1712" i="18"/>
  <c r="AD1711" i="18"/>
  <c r="AD1710" i="18"/>
  <c r="AD1709" i="18"/>
  <c r="AD1708" i="18"/>
  <c r="AD1707" i="18"/>
  <c r="AD1706" i="18"/>
  <c r="AD1705" i="18"/>
  <c r="AD1704" i="18"/>
  <c r="AD1703" i="18"/>
  <c r="AD1702" i="18"/>
  <c r="AD1701" i="18"/>
  <c r="AD1700" i="18"/>
  <c r="AD1699" i="18"/>
  <c r="AD1698" i="18"/>
  <c r="AD1697" i="18"/>
  <c r="AD1696" i="18"/>
  <c r="AD1695" i="18"/>
  <c r="AD1694" i="18"/>
  <c r="AD1693" i="18"/>
  <c r="AD1692" i="18"/>
  <c r="AD1691" i="18"/>
  <c r="AD1690" i="18"/>
  <c r="AD1689" i="18"/>
  <c r="AD1688" i="18"/>
  <c r="AD1687" i="18"/>
  <c r="AD1686" i="18"/>
  <c r="AD1685" i="18"/>
  <c r="AD1684" i="18"/>
  <c r="AD1683" i="18"/>
  <c r="AD1682" i="18"/>
  <c r="AD1681" i="18"/>
  <c r="AD1680" i="18"/>
  <c r="AD1679" i="18"/>
  <c r="AD1678" i="18"/>
  <c r="AD1677" i="18"/>
  <c r="AD1676" i="18"/>
  <c r="AD1675" i="18"/>
  <c r="AD1674" i="18"/>
  <c r="AD1673" i="18"/>
  <c r="AD1672" i="18"/>
  <c r="AD1671" i="18"/>
  <c r="AD1670" i="18"/>
  <c r="AD1669" i="18"/>
  <c r="AD1668" i="18"/>
  <c r="AD1667" i="18"/>
  <c r="AD1666" i="18"/>
  <c r="AD1665" i="18"/>
  <c r="AD1664" i="18"/>
  <c r="AD1663" i="18"/>
  <c r="AD1662" i="18"/>
  <c r="AD1661" i="18"/>
  <c r="AD1660" i="18"/>
  <c r="AD1659" i="18"/>
  <c r="AD1658" i="18"/>
  <c r="AD1657" i="18"/>
  <c r="AD1656" i="18"/>
  <c r="AD1655" i="18"/>
  <c r="AD1654" i="18"/>
  <c r="AD1653" i="18"/>
  <c r="AD1652" i="18"/>
  <c r="AD1651" i="18"/>
  <c r="AD1650" i="18"/>
  <c r="AD1649" i="18"/>
  <c r="AD1648" i="18"/>
  <c r="AD1647" i="18"/>
  <c r="AD1646" i="18"/>
  <c r="AD1645" i="18"/>
  <c r="AD1644" i="18"/>
  <c r="AD1643" i="18"/>
  <c r="AD1642" i="18"/>
  <c r="AD1641" i="18"/>
  <c r="AD1640" i="18"/>
  <c r="AD1639" i="18"/>
  <c r="AD1638" i="18"/>
  <c r="AD1637" i="18"/>
  <c r="AD1636" i="18"/>
  <c r="AD1635" i="18"/>
  <c r="AD1634" i="18"/>
  <c r="AD1633" i="18"/>
  <c r="AD1632" i="18"/>
  <c r="AD1631" i="18"/>
  <c r="AD1630" i="18"/>
  <c r="AD1629" i="18"/>
  <c r="AD1628" i="18"/>
  <c r="AD1627" i="18"/>
  <c r="AD1626" i="18"/>
  <c r="AD1625" i="18"/>
  <c r="AD1624" i="18"/>
  <c r="AD1623" i="18"/>
  <c r="AD1622" i="18"/>
  <c r="AD1621" i="18"/>
  <c r="AD1620" i="18"/>
  <c r="AD1619" i="18"/>
  <c r="AD1618" i="18"/>
  <c r="AD1617" i="18"/>
  <c r="AD1616" i="18"/>
  <c r="AD1615" i="18"/>
  <c r="AD1614" i="18"/>
  <c r="AD1613" i="18"/>
  <c r="AD1612" i="18"/>
  <c r="AD1611" i="18"/>
  <c r="AD1610" i="18"/>
  <c r="AD1609" i="18"/>
  <c r="AD1608" i="18"/>
  <c r="AD1607" i="18"/>
  <c r="AD1606" i="18"/>
  <c r="AD1605" i="18"/>
  <c r="AD1604" i="18"/>
  <c r="AD1603" i="18"/>
  <c r="AD1602" i="18"/>
  <c r="AD1601" i="18"/>
  <c r="AD1600" i="18"/>
  <c r="AD1599" i="18"/>
  <c r="AD1598" i="18"/>
  <c r="AD1597" i="18"/>
  <c r="AD1596" i="18"/>
  <c r="AD1595" i="18"/>
  <c r="AD1594" i="18"/>
  <c r="AD1593" i="18"/>
  <c r="AD1592" i="18"/>
  <c r="AD1591" i="18"/>
  <c r="AD1590" i="18"/>
  <c r="AD1589" i="18"/>
  <c r="AD1588" i="18"/>
  <c r="AD1587" i="18"/>
  <c r="AD1586" i="18"/>
  <c r="AD1585" i="18"/>
  <c r="AD1584" i="18"/>
  <c r="AD1583" i="18"/>
  <c r="AD1582" i="18"/>
  <c r="AD1581" i="18"/>
  <c r="AD1580" i="18"/>
  <c r="AD1579" i="18"/>
  <c r="AD1578" i="18"/>
  <c r="AD1577" i="18"/>
  <c r="AD1576" i="18"/>
  <c r="AD1575" i="18"/>
  <c r="AD1574" i="18"/>
  <c r="AD1573" i="18"/>
  <c r="AD1572" i="18"/>
  <c r="AD1571" i="18"/>
  <c r="AD1570" i="18"/>
  <c r="AD1569" i="18"/>
  <c r="AD1568" i="18"/>
  <c r="AD1567" i="18"/>
  <c r="AD1566" i="18"/>
  <c r="AD1565" i="18"/>
  <c r="AD1564" i="18"/>
  <c r="AD1563" i="18"/>
  <c r="AD1562" i="18"/>
  <c r="AD1561" i="18"/>
  <c r="AD1560" i="18"/>
  <c r="AD1559" i="18"/>
  <c r="AD1558" i="18"/>
  <c r="AD1557" i="18"/>
  <c r="AD1556" i="18"/>
  <c r="AD1555" i="18"/>
  <c r="AD1554" i="18"/>
  <c r="AD1553" i="18"/>
  <c r="AD1552" i="18"/>
  <c r="AD1551" i="18"/>
  <c r="AD1550" i="18"/>
  <c r="AD1549" i="18"/>
  <c r="AD1548" i="18"/>
  <c r="AD1547" i="18"/>
  <c r="AD1546" i="18"/>
  <c r="AD1545" i="18"/>
  <c r="AD1544" i="18"/>
  <c r="AD1543" i="18"/>
  <c r="AD1542" i="18"/>
  <c r="AD1541" i="18"/>
  <c r="AD1540" i="18"/>
  <c r="AD1539" i="18"/>
  <c r="AD1538" i="18"/>
  <c r="AD1537" i="18"/>
  <c r="AD1536" i="18"/>
  <c r="AD1535" i="18"/>
  <c r="AD1534" i="18"/>
  <c r="AD1533" i="18"/>
  <c r="AD1532" i="18"/>
  <c r="AD1531" i="18"/>
  <c r="AD1530" i="18"/>
  <c r="AD1529" i="18"/>
  <c r="AD1528" i="18"/>
  <c r="AD1527" i="18"/>
  <c r="AD1526" i="18"/>
  <c r="AD1525" i="18"/>
  <c r="AD1524" i="18"/>
  <c r="AD1523" i="18"/>
  <c r="AD1522" i="18"/>
  <c r="AD1521" i="18"/>
  <c r="AD1520" i="18"/>
  <c r="AD1519" i="18"/>
  <c r="AD1518" i="18"/>
  <c r="AD1517" i="18"/>
  <c r="AD1516" i="18"/>
  <c r="AD1515" i="18"/>
  <c r="AD1514" i="18"/>
  <c r="AD1513" i="18"/>
  <c r="AD1512" i="18"/>
  <c r="AD1511" i="18"/>
  <c r="AD1510" i="18"/>
  <c r="AD1509" i="18"/>
  <c r="AD1508" i="18"/>
  <c r="AD1507" i="18"/>
  <c r="AD1506" i="18"/>
  <c r="AD1505" i="18"/>
  <c r="AD1504" i="18"/>
  <c r="AD1503" i="18"/>
  <c r="AD1502" i="18"/>
  <c r="AD1501" i="18"/>
  <c r="AD1500" i="18"/>
  <c r="AD1499" i="18"/>
  <c r="AD1498" i="18"/>
  <c r="AD1497" i="18"/>
  <c r="AD1496" i="18"/>
  <c r="AD1495" i="18"/>
  <c r="AD1494" i="18"/>
  <c r="AD1493" i="18"/>
  <c r="AD1492" i="18"/>
  <c r="AD1491" i="18"/>
  <c r="AD1490" i="18"/>
  <c r="AD1489" i="18"/>
  <c r="AD1488" i="18"/>
  <c r="AD1487" i="18"/>
  <c r="AD1486" i="18"/>
  <c r="AD1485" i="18"/>
  <c r="AD1484" i="18"/>
  <c r="AD1483" i="18"/>
  <c r="AD1482" i="18"/>
  <c r="AD1481" i="18"/>
  <c r="AD1480" i="18"/>
  <c r="AD1479" i="18"/>
  <c r="AD1478" i="18"/>
  <c r="AD1477" i="18"/>
  <c r="AD1476" i="18"/>
  <c r="AD1475" i="18"/>
  <c r="AD1474" i="18"/>
  <c r="AD1473" i="18"/>
  <c r="AD1472" i="18"/>
  <c r="AD1471" i="18"/>
  <c r="AD1470" i="18"/>
  <c r="AD1469" i="18"/>
  <c r="AD1468" i="18"/>
  <c r="AD1467" i="18"/>
  <c r="AD1466" i="18"/>
  <c r="AD1465" i="18"/>
  <c r="AD1464" i="18"/>
  <c r="AD1463" i="18"/>
  <c r="AD1462" i="18"/>
  <c r="AD1461" i="18"/>
  <c r="AD1460" i="18"/>
  <c r="AD1459" i="18"/>
  <c r="AD1458" i="18"/>
  <c r="AD1457" i="18"/>
  <c r="AD1456" i="18"/>
  <c r="AD1455" i="18"/>
  <c r="AD1454" i="18"/>
  <c r="AD1453" i="18"/>
  <c r="AD1452" i="18"/>
  <c r="AD1451" i="18"/>
  <c r="AD1450" i="18"/>
  <c r="AD1449" i="18"/>
  <c r="AD1448" i="18"/>
  <c r="AD1447" i="18"/>
  <c r="AD1446" i="18"/>
  <c r="AD1445" i="18"/>
  <c r="AD1444" i="18"/>
  <c r="AD1443" i="18"/>
  <c r="AD1442" i="18"/>
  <c r="AD1441" i="18"/>
  <c r="AD1440" i="18"/>
  <c r="AD1439" i="18"/>
  <c r="AD1438" i="18"/>
  <c r="AD1437" i="18"/>
  <c r="AD1436" i="18"/>
  <c r="AD1435" i="18"/>
  <c r="AD1434" i="18"/>
  <c r="AD1433" i="18"/>
  <c r="AD1432" i="18"/>
  <c r="AD1431" i="18"/>
  <c r="AD1430" i="18"/>
  <c r="AD1429" i="18"/>
  <c r="AD1428" i="18"/>
  <c r="AD1427" i="18"/>
  <c r="AD1426" i="18"/>
  <c r="AD1425" i="18"/>
  <c r="AD1424" i="18"/>
  <c r="AD1423" i="18"/>
  <c r="AD1422" i="18"/>
  <c r="AD1421" i="18"/>
  <c r="AD1420" i="18"/>
  <c r="AD1419" i="18"/>
  <c r="AD1418" i="18"/>
  <c r="AD1417" i="18"/>
  <c r="AD1416" i="18"/>
  <c r="AD1415" i="18"/>
  <c r="AD1414" i="18"/>
  <c r="AD1413" i="18"/>
  <c r="AD1412" i="18"/>
  <c r="AD1411" i="18"/>
  <c r="AD1410" i="18"/>
  <c r="AD1409" i="18"/>
  <c r="AD1408" i="18"/>
  <c r="AD1407" i="18"/>
  <c r="AD1406" i="18"/>
  <c r="AD1405" i="18"/>
  <c r="AD1404" i="18"/>
  <c r="AD1403" i="18"/>
  <c r="AD1402" i="18"/>
  <c r="AD1401" i="18"/>
  <c r="AD1400" i="18"/>
  <c r="AD1399" i="18"/>
  <c r="AD1398" i="18"/>
  <c r="AD1397" i="18"/>
  <c r="AD1396" i="18"/>
  <c r="AD1395" i="18"/>
  <c r="AD1394" i="18"/>
  <c r="AD1393" i="18"/>
  <c r="AD1392" i="18"/>
  <c r="AD1391" i="18"/>
  <c r="AD1390" i="18"/>
  <c r="AD1389" i="18"/>
  <c r="AD1388" i="18"/>
  <c r="AD1387" i="18"/>
  <c r="AD1386" i="18"/>
  <c r="AD1385" i="18"/>
  <c r="AD1384" i="18"/>
  <c r="AD1383" i="18"/>
  <c r="AD1382" i="18"/>
  <c r="AD1381" i="18"/>
  <c r="AD1380" i="18"/>
  <c r="AD1379" i="18"/>
  <c r="AD1378" i="18"/>
  <c r="AD1377" i="18"/>
  <c r="AD1376" i="18"/>
  <c r="AD1375" i="18"/>
  <c r="AD1374" i="18"/>
  <c r="AD1373" i="18"/>
  <c r="AD1372" i="18"/>
  <c r="AD1371" i="18"/>
  <c r="AD1370" i="18"/>
  <c r="AD1369" i="18"/>
  <c r="AD1368" i="18"/>
  <c r="AD1367" i="18"/>
  <c r="AD1366" i="18"/>
  <c r="AD1365" i="18"/>
  <c r="AD1364" i="18"/>
  <c r="AD1363" i="18"/>
  <c r="AD1362" i="18"/>
  <c r="AD1361" i="18"/>
  <c r="AD1360" i="18"/>
  <c r="AD1359" i="18"/>
  <c r="AD1358" i="18"/>
  <c r="AD1357" i="18"/>
  <c r="AD1356" i="18"/>
  <c r="AD1355" i="18"/>
  <c r="AD1354" i="18"/>
  <c r="AD1353" i="18"/>
  <c r="AD1352" i="18"/>
  <c r="AD1351" i="18"/>
  <c r="AD1350" i="18"/>
  <c r="AD1349" i="18"/>
  <c r="AD1348" i="18"/>
  <c r="AD1347" i="18"/>
  <c r="AD1346" i="18"/>
  <c r="AD1345" i="18"/>
  <c r="AD1344" i="18"/>
  <c r="AD1343" i="18"/>
  <c r="AD1342" i="18"/>
  <c r="AD1341" i="18"/>
  <c r="AD1340" i="18"/>
  <c r="AD1339" i="18"/>
  <c r="AD1338" i="18"/>
  <c r="AD1337" i="18"/>
  <c r="AD1336" i="18"/>
  <c r="AD1335" i="18"/>
  <c r="AD1334" i="18"/>
  <c r="AD1333" i="18"/>
  <c r="AD1332" i="18"/>
  <c r="AD1331" i="18"/>
  <c r="AD1330" i="18"/>
  <c r="AD1329" i="18"/>
  <c r="AD1328" i="18"/>
  <c r="AD1327" i="18"/>
  <c r="AD1326" i="18"/>
  <c r="AD1325" i="18"/>
  <c r="AD1324" i="18"/>
  <c r="AD1323" i="18"/>
  <c r="AD1322" i="18"/>
  <c r="AD1321" i="18"/>
  <c r="AD1320" i="18"/>
  <c r="AD1319" i="18"/>
  <c r="AD1318" i="18"/>
  <c r="AD1311" i="18"/>
  <c r="AD1310" i="18"/>
  <c r="AD1309" i="18"/>
  <c r="AD1308" i="18"/>
  <c r="AD1307" i="18"/>
  <c r="AD1306" i="18"/>
  <c r="AD1305" i="18"/>
  <c r="AD1300" i="18"/>
  <c r="AD1298" i="18"/>
  <c r="AD1297" i="18"/>
  <c r="AD1296" i="18"/>
  <c r="AD1295" i="18"/>
  <c r="AD1294" i="18"/>
  <c r="AD1293" i="18"/>
  <c r="AD1292" i="18"/>
  <c r="AD1291" i="18"/>
  <c r="AD1290" i="18"/>
  <c r="AD1287" i="18"/>
  <c r="AD1286" i="18"/>
  <c r="AD1285" i="18"/>
  <c r="AD1284" i="18"/>
  <c r="AD1283" i="18"/>
  <c r="AD1282" i="18"/>
  <c r="AD1281" i="18"/>
  <c r="AD1280" i="18"/>
  <c r="AD1279" i="18"/>
  <c r="AD1278" i="18"/>
  <c r="AD1277" i="18"/>
  <c r="AD1276" i="18"/>
  <c r="AD1275" i="18"/>
  <c r="AD1274" i="18"/>
  <c r="AD1273" i="18"/>
  <c r="AD1272" i="18"/>
  <c r="AD1271" i="18"/>
  <c r="AD1270" i="18"/>
  <c r="AD1269" i="18"/>
  <c r="AD1268" i="18"/>
  <c r="AD1267" i="18"/>
  <c r="AD1266" i="18"/>
  <c r="AD1265" i="18"/>
  <c r="AD1264" i="18"/>
  <c r="AD1263" i="18"/>
  <c r="AD1262" i="18"/>
  <c r="AD1261" i="18"/>
  <c r="AD1260" i="18"/>
  <c r="AD1259" i="18"/>
  <c r="AD1258" i="18"/>
  <c r="AD1257" i="18"/>
  <c r="AD1256" i="18"/>
  <c r="AD1255" i="18"/>
  <c r="AD1254" i="18"/>
  <c r="AD1253" i="18"/>
  <c r="AD1252" i="18"/>
  <c r="AD1251" i="18"/>
  <c r="AD1250" i="18"/>
  <c r="AD1249" i="18"/>
  <c r="AD1248" i="18"/>
  <c r="AD1247" i="18"/>
  <c r="AD1246" i="18"/>
  <c r="AD1245" i="18"/>
  <c r="AD1244" i="18"/>
  <c r="AD1243" i="18"/>
  <c r="AD1242" i="18"/>
  <c r="AD1237" i="18"/>
  <c r="AD1236" i="18"/>
  <c r="AD1235" i="18"/>
  <c r="AD1234" i="18"/>
  <c r="AD1233" i="18"/>
  <c r="AD1232" i="18"/>
  <c r="AD1231" i="18"/>
  <c r="AD1230" i="18"/>
  <c r="AE1226" i="18"/>
  <c r="AD1225" i="18"/>
  <c r="AD1224" i="18"/>
  <c r="AD1223" i="18"/>
  <c r="AD1222" i="18"/>
  <c r="AD1221" i="18"/>
  <c r="AD1220" i="18"/>
  <c r="AD1219" i="18"/>
  <c r="AD1218" i="18"/>
  <c r="AD1217" i="18"/>
  <c r="AD1216" i="18"/>
  <c r="AD1215" i="18"/>
  <c r="AD1214" i="18"/>
  <c r="AD1213" i="18"/>
  <c r="AD1212" i="18"/>
  <c r="AD1211" i="18"/>
  <c r="AD1210" i="18"/>
  <c r="AD1209" i="18"/>
  <c r="AD1208" i="18"/>
  <c r="AD1207" i="18"/>
  <c r="AD1206" i="18"/>
  <c r="AD1205" i="18"/>
  <c r="AD1204" i="18"/>
  <c r="AD1203" i="18"/>
  <c r="AD1202" i="18"/>
  <c r="AD1197" i="18"/>
  <c r="AD1196" i="18"/>
  <c r="AD1195" i="18"/>
  <c r="AD1194" i="18"/>
  <c r="AD1193" i="18"/>
  <c r="AD1192" i="18"/>
  <c r="AD1191" i="18"/>
  <c r="AD1190" i="18"/>
  <c r="AD1189" i="18"/>
  <c r="AD1188" i="18"/>
  <c r="AD1187" i="18"/>
  <c r="AD1186" i="18"/>
  <c r="AD1185" i="18"/>
  <c r="AD1184" i="18"/>
  <c r="AD1183" i="18"/>
  <c r="AD1182" i="18"/>
  <c r="AD1181" i="18"/>
  <c r="AD1180" i="18"/>
  <c r="AD1179" i="18"/>
  <c r="AD1178" i="18"/>
  <c r="AD1177" i="18"/>
  <c r="AD1176" i="18"/>
  <c r="AD1175" i="18"/>
  <c r="AD1174" i="18"/>
  <c r="AD1173" i="18"/>
  <c r="AD1172" i="18"/>
  <c r="AD1171" i="18"/>
  <c r="AD1164" i="18"/>
  <c r="AD1163" i="18"/>
  <c r="AD1162" i="18"/>
  <c r="AD1161" i="18"/>
  <c r="AD1160" i="18"/>
  <c r="AD1159" i="18"/>
  <c r="AD1158" i="18"/>
  <c r="AD1157" i="18"/>
  <c r="AD1153" i="18"/>
  <c r="AD1152" i="18"/>
  <c r="AD1151" i="18"/>
  <c r="AD1150" i="18"/>
  <c r="AD1149" i="18"/>
  <c r="AD1148" i="18"/>
  <c r="AD1147" i="18"/>
  <c r="AD1146" i="18"/>
  <c r="AD1145" i="18"/>
  <c r="AD1144" i="18"/>
  <c r="AD1143" i="18"/>
  <c r="AD1142" i="18"/>
  <c r="AD1141" i="18"/>
  <c r="AD1140" i="18"/>
  <c r="AD1139" i="18"/>
  <c r="AD1138" i="18"/>
  <c r="AD1132" i="18"/>
  <c r="AD1131" i="18"/>
  <c r="AD1130" i="18"/>
  <c r="AD1129" i="18"/>
  <c r="AD1128" i="18"/>
  <c r="AD1127" i="18"/>
  <c r="AD1126" i="18"/>
  <c r="AD1125" i="18"/>
  <c r="AD1124" i="18"/>
  <c r="AD1123" i="18"/>
  <c r="AD1122" i="18"/>
  <c r="AD1121" i="18"/>
  <c r="AD1120" i="18"/>
  <c r="AD1119" i="18"/>
  <c r="AD1118" i="18"/>
  <c r="AD1117" i="18"/>
  <c r="AD1116" i="18"/>
  <c r="AD1115" i="18"/>
  <c r="AD1114" i="18"/>
  <c r="AD1113" i="18"/>
  <c r="AD1112" i="18"/>
  <c r="AD1111" i="18"/>
  <c r="AD1106" i="18"/>
  <c r="AD1105" i="18"/>
  <c r="AD1104" i="18"/>
  <c r="AD1103" i="18"/>
  <c r="AD1102" i="18"/>
  <c r="AD1101" i="18"/>
  <c r="AD1100" i="18"/>
  <c r="AD1099" i="18"/>
  <c r="AD1098" i="18"/>
  <c r="AD1097" i="18"/>
  <c r="AD1096" i="18"/>
  <c r="AD1095" i="18"/>
  <c r="AD1094" i="18"/>
  <c r="AD1093" i="18"/>
  <c r="AD1092" i="18"/>
  <c r="AD1091" i="18"/>
  <c r="AD1090" i="18"/>
  <c r="AD1089" i="18"/>
  <c r="AD1088" i="18"/>
  <c r="AD1087" i="18"/>
  <c r="AD1086" i="18"/>
  <c r="AD1085" i="18"/>
  <c r="AD1084" i="18"/>
  <c r="AD1083" i="18"/>
  <c r="AD1082" i="18"/>
  <c r="AD1081" i="18"/>
  <c r="AD1080" i="18"/>
  <c r="AD1079" i="18"/>
  <c r="AD1078" i="18"/>
  <c r="AD1077" i="18"/>
  <c r="AD1076" i="18"/>
  <c r="AD1075" i="18"/>
  <c r="AD1074" i="18"/>
  <c r="AD1073" i="18"/>
  <c r="AD1072" i="18"/>
  <c r="AD1071" i="18"/>
  <c r="AD1070" i="18"/>
  <c r="AD1069" i="18"/>
  <c r="AD1068" i="18"/>
  <c r="AD1067" i="18"/>
  <c r="AD1066" i="18"/>
  <c r="AD1065" i="18"/>
  <c r="AD1064" i="18"/>
  <c r="AD1063" i="18"/>
  <c r="AD1062" i="18"/>
  <c r="AD1061" i="18"/>
  <c r="AD1060" i="18"/>
  <c r="AD1059" i="18"/>
  <c r="AD1058" i="18"/>
  <c r="AD1053" i="18"/>
  <c r="AD1052" i="18"/>
  <c r="AD1051" i="18"/>
  <c r="AD1050" i="18"/>
  <c r="AD1049" i="18"/>
  <c r="AD1048" i="18"/>
  <c r="AD1047" i="18"/>
  <c r="AD1046" i="18"/>
  <c r="AD1045" i="18"/>
  <c r="AD1044" i="18"/>
  <c r="AD1043" i="18"/>
  <c r="AD1042" i="18"/>
  <c r="AD1041" i="18"/>
  <c r="AD1040" i="18"/>
  <c r="AD1039" i="18"/>
  <c r="AD1038" i="18"/>
  <c r="AD1037" i="18"/>
  <c r="AD1036" i="18"/>
  <c r="AD1035" i="18"/>
  <c r="AD1034" i="18"/>
  <c r="AD1033" i="18"/>
  <c r="AD1032" i="18"/>
  <c r="AD1031" i="18"/>
  <c r="AD1030" i="18"/>
  <c r="AD1029" i="18"/>
  <c r="AD1028" i="18"/>
  <c r="AD1027" i="18"/>
  <c r="AD1026" i="18"/>
  <c r="AD1025" i="18"/>
  <c r="AD1024" i="18"/>
  <c r="AD1023" i="18"/>
  <c r="AD1022" i="18"/>
  <c r="AD1021" i="18"/>
  <c r="AD1020" i="18"/>
  <c r="AD1019" i="18"/>
  <c r="AD1018" i="18"/>
  <c r="AD1017" i="18"/>
  <c r="AD1016" i="18"/>
  <c r="AD1015" i="18"/>
  <c r="AD1014" i="18"/>
  <c r="AD1009" i="18"/>
  <c r="AD1008" i="18"/>
  <c r="AD1007" i="18"/>
  <c r="AD1006" i="18"/>
  <c r="AD1005" i="18"/>
  <c r="AD1004" i="18"/>
  <c r="AD1003" i="18"/>
  <c r="AD1002" i="18"/>
  <c r="AD1001" i="18"/>
  <c r="AD1000" i="18"/>
  <c r="AD999" i="18"/>
  <c r="AD998" i="18"/>
  <c r="AD997" i="18"/>
  <c r="AD996" i="18"/>
  <c r="AD995" i="18"/>
  <c r="AD994" i="18"/>
  <c r="AD986" i="18"/>
  <c r="AD985" i="18"/>
  <c r="AD984" i="18"/>
  <c r="AD983" i="18"/>
  <c r="AD982" i="18"/>
  <c r="AD981" i="18"/>
  <c r="AD980" i="18"/>
  <c r="AD979" i="18"/>
  <c r="AD978" i="18"/>
  <c r="AD977" i="18"/>
  <c r="AD976" i="18"/>
  <c r="AD975" i="18"/>
  <c r="AD974" i="18"/>
  <c r="AD973" i="18"/>
  <c r="AD972" i="18"/>
  <c r="AD971" i="18"/>
  <c r="AD970" i="18"/>
  <c r="AD969" i="18"/>
  <c r="AD968" i="18"/>
  <c r="AD967" i="18"/>
  <c r="AD966" i="18"/>
  <c r="AD965" i="18"/>
  <c r="AD964" i="18"/>
  <c r="AD963" i="18"/>
  <c r="AD962" i="18"/>
  <c r="AD961" i="18"/>
  <c r="AD960" i="18"/>
  <c r="AD959" i="18"/>
  <c r="AD958" i="18"/>
  <c r="AD957" i="18"/>
  <c r="AD956" i="18"/>
  <c r="AD955" i="18"/>
  <c r="AD954" i="18"/>
  <c r="AD953" i="18"/>
  <c r="AD952" i="18"/>
  <c r="AD951" i="18"/>
  <c r="AD950" i="18"/>
  <c r="AD949" i="18"/>
  <c r="AD948" i="18"/>
  <c r="AD947" i="18"/>
  <c r="AD946" i="18"/>
  <c r="AD945" i="18"/>
  <c r="AD938" i="18"/>
  <c r="AD937" i="18"/>
  <c r="AD936" i="18"/>
  <c r="AD935" i="18"/>
  <c r="AD934" i="18"/>
  <c r="AD933" i="18"/>
  <c r="AD932" i="18"/>
  <c r="AD931" i="18"/>
  <c r="AD930" i="18"/>
  <c r="AD929" i="18"/>
  <c r="AD928" i="18"/>
  <c r="AD927" i="18"/>
  <c r="AD926" i="18"/>
  <c r="AD925" i="18"/>
  <c r="AD924" i="18"/>
  <c r="AD923" i="18"/>
  <c r="AD922" i="18"/>
  <c r="AD921" i="18"/>
  <c r="AD920" i="18"/>
  <c r="AD919" i="18"/>
  <c r="AD918" i="18"/>
  <c r="AD917" i="18"/>
  <c r="AD916" i="18"/>
  <c r="AD915" i="18"/>
  <c r="AD914" i="18"/>
  <c r="AD906" i="18"/>
  <c r="AD905" i="18"/>
  <c r="AD904" i="18"/>
  <c r="AD903" i="18"/>
  <c r="AD902" i="18"/>
  <c r="AD901" i="18"/>
  <c r="AD900" i="18"/>
  <c r="AD899" i="18"/>
  <c r="AD898" i="18"/>
  <c r="AD897" i="18"/>
  <c r="AD896" i="18"/>
  <c r="AD895" i="18"/>
  <c r="AD894" i="18"/>
  <c r="AD893" i="18"/>
  <c r="AD892" i="18"/>
  <c r="AD891" i="18"/>
  <c r="AD890" i="18"/>
  <c r="AD889" i="18"/>
  <c r="AD888" i="18"/>
  <c r="AD887" i="18"/>
  <c r="AD886" i="18"/>
  <c r="AD885" i="18"/>
  <c r="AD884" i="18"/>
  <c r="AD883" i="18"/>
  <c r="AD882" i="18"/>
  <c r="AD881" i="18"/>
  <c r="AD880" i="18"/>
  <c r="AD879" i="18"/>
  <c r="AD878" i="18"/>
  <c r="AD877" i="18"/>
  <c r="AD876" i="18"/>
  <c r="AD875" i="18"/>
  <c r="AD874" i="18"/>
  <c r="AD873" i="18"/>
  <c r="AD872" i="18"/>
  <c r="AD871" i="18"/>
  <c r="AD870" i="18"/>
  <c r="AD869" i="18"/>
  <c r="AD868" i="18"/>
  <c r="AD867" i="18"/>
  <c r="AD866" i="18"/>
  <c r="AD865" i="18"/>
  <c r="AD864" i="18"/>
  <c r="AD863" i="18"/>
  <c r="AD859" i="18"/>
  <c r="AD858" i="18"/>
  <c r="AD857" i="18"/>
  <c r="AD856" i="18"/>
  <c r="AD855" i="18"/>
  <c r="AD854" i="18"/>
  <c r="AD853" i="18"/>
  <c r="AD852" i="18"/>
  <c r="AD851" i="18"/>
  <c r="AD850" i="18"/>
  <c r="AD849" i="18"/>
  <c r="AD848" i="18"/>
  <c r="AD847" i="18"/>
  <c r="AD846" i="18"/>
  <c r="AD845" i="18"/>
  <c r="AD844" i="18"/>
  <c r="AD843" i="18"/>
  <c r="AD842" i="18"/>
  <c r="AD841" i="18"/>
  <c r="AD835" i="18"/>
  <c r="AD834" i="18"/>
  <c r="AD833" i="18"/>
  <c r="AD832" i="18"/>
  <c r="AD831" i="18"/>
  <c r="AD830" i="18"/>
  <c r="AD829" i="18"/>
  <c r="AD828" i="18"/>
  <c r="AD827" i="18"/>
  <c r="AD826" i="18"/>
  <c r="AD825" i="18"/>
  <c r="AD824" i="18"/>
  <c r="AD823" i="18"/>
  <c r="AD822" i="18"/>
  <c r="AD821" i="18"/>
  <c r="AD820" i="18"/>
  <c r="AD819" i="18"/>
  <c r="AD818" i="18"/>
  <c r="AD817" i="18"/>
  <c r="AD816" i="18"/>
  <c r="AD815" i="18"/>
  <c r="AD814" i="18"/>
  <c r="AD813" i="18"/>
  <c r="AD812" i="18"/>
  <c r="AD811" i="18"/>
  <c r="AD810" i="18"/>
  <c r="AD809" i="18"/>
  <c r="AD808" i="18"/>
  <c r="AD807" i="18"/>
  <c r="AD806" i="18"/>
  <c r="AD805" i="18"/>
  <c r="AD804" i="18"/>
  <c r="AD803" i="18"/>
  <c r="AD802" i="18"/>
  <c r="AD801" i="18"/>
  <c r="AD800" i="18"/>
  <c r="AD799" i="18"/>
  <c r="AD798" i="18"/>
  <c r="AD797" i="18"/>
  <c r="AD796" i="18"/>
  <c r="AD795" i="18"/>
  <c r="AD794" i="18"/>
  <c r="AD793" i="18"/>
  <c r="AD792" i="18"/>
  <c r="AD791" i="18"/>
  <c r="AD790" i="18"/>
  <c r="AD789" i="18"/>
  <c r="AD788" i="18"/>
  <c r="AD787" i="18"/>
  <c r="AD786" i="18"/>
  <c r="AD785" i="18"/>
  <c r="AD784" i="18"/>
  <c r="AD783" i="18"/>
  <c r="AD775" i="18"/>
  <c r="AD774" i="18"/>
  <c r="AD773" i="18"/>
  <c r="AD772" i="18"/>
  <c r="AD771" i="18"/>
  <c r="AD770" i="18"/>
  <c r="AD769" i="18"/>
  <c r="AD768" i="18"/>
  <c r="AD767" i="18"/>
  <c r="AD766" i="18"/>
  <c r="AD765" i="18"/>
  <c r="AD764" i="18"/>
  <c r="AD763" i="18"/>
  <c r="AD762" i="18"/>
  <c r="AD761" i="18"/>
  <c r="AD760" i="18"/>
  <c r="AD759" i="18"/>
  <c r="AD758" i="18"/>
  <c r="AD757" i="18"/>
  <c r="AD756" i="18"/>
  <c r="AE756" i="18" s="1"/>
  <c r="AD750" i="18"/>
  <c r="AD749" i="18"/>
  <c r="AD748" i="18"/>
  <c r="AD747" i="18"/>
  <c r="AD746" i="18"/>
  <c r="AD745" i="18"/>
  <c r="AD744" i="18"/>
  <c r="AD743" i="18"/>
  <c r="AD742" i="18"/>
  <c r="AD741" i="18"/>
  <c r="AD740" i="18"/>
  <c r="AD739" i="18"/>
  <c r="AD738" i="18"/>
  <c r="AD737" i="18"/>
  <c r="AD736" i="18"/>
  <c r="AD735" i="18"/>
  <c r="AD734" i="18"/>
  <c r="AD733" i="18"/>
  <c r="AD732" i="18"/>
  <c r="AD731" i="18"/>
  <c r="AD730" i="18"/>
  <c r="AD729" i="18"/>
  <c r="AD728" i="18"/>
  <c r="AD727" i="18"/>
  <c r="AD726" i="18"/>
  <c r="AD725" i="18"/>
  <c r="AD724" i="18"/>
  <c r="AD723" i="18"/>
  <c r="AD722" i="18"/>
  <c r="AD721" i="18"/>
  <c r="AD720" i="18"/>
  <c r="AD719" i="18"/>
  <c r="AD718" i="18"/>
  <c r="AD717" i="18"/>
  <c r="AD716" i="18"/>
  <c r="AD715" i="18"/>
  <c r="AD714" i="18"/>
  <c r="AD713" i="18"/>
  <c r="AD712" i="18"/>
  <c r="AD711" i="18"/>
  <c r="AD710" i="18"/>
  <c r="AD709" i="18"/>
  <c r="AD708" i="18"/>
  <c r="AD707" i="18"/>
  <c r="AD704" i="18"/>
  <c r="AD699" i="18"/>
  <c r="AD698" i="18"/>
  <c r="AD697" i="18"/>
  <c r="AD696" i="18"/>
  <c r="AD695" i="18"/>
  <c r="AD694" i="18"/>
  <c r="AD693" i="18"/>
  <c r="AD692" i="18"/>
  <c r="AD691" i="18"/>
  <c r="AD690" i="18"/>
  <c r="AD689" i="18"/>
  <c r="AD688" i="18"/>
  <c r="AD687" i="18"/>
  <c r="AD686" i="18"/>
  <c r="AD685" i="18"/>
  <c r="AD684" i="18"/>
  <c r="AD683" i="18"/>
  <c r="AD682" i="18"/>
  <c r="AD681" i="18"/>
  <c r="AD680" i="18"/>
  <c r="AD679" i="18"/>
  <c r="AD678" i="18"/>
  <c r="AD677" i="18"/>
  <c r="AD676" i="18"/>
  <c r="AD675" i="18"/>
  <c r="AD674" i="18"/>
  <c r="AD673" i="18"/>
  <c r="AD672" i="18"/>
  <c r="AD671" i="18"/>
  <c r="AD670" i="18"/>
  <c r="AD669" i="18"/>
  <c r="AD668" i="18"/>
  <c r="AD667" i="18"/>
  <c r="AD666" i="18"/>
  <c r="AD665" i="18"/>
  <c r="AD646" i="18"/>
  <c r="AD645" i="18"/>
  <c r="AD644" i="18"/>
  <c r="AD643" i="18"/>
  <c r="AD642" i="18"/>
  <c r="AD641" i="18"/>
  <c r="AD640" i="18"/>
  <c r="AD639" i="18"/>
  <c r="AD638" i="18"/>
  <c r="AD637" i="18"/>
  <c r="AD636" i="18"/>
  <c r="AD635" i="18"/>
  <c r="AD634" i="18"/>
  <c r="AD633" i="18"/>
  <c r="AD632" i="18"/>
  <c r="AD631" i="18"/>
  <c r="AD630" i="18"/>
  <c r="AD629" i="18"/>
  <c r="AD628" i="18"/>
  <c r="AD627" i="18"/>
  <c r="AD626" i="18"/>
  <c r="AD625" i="18"/>
  <c r="AD624" i="18"/>
  <c r="AD623" i="18"/>
  <c r="AD622" i="18"/>
  <c r="AD621" i="18"/>
  <c r="AD620" i="18"/>
  <c r="AD619" i="18"/>
  <c r="AD618" i="18"/>
  <c r="AD617" i="18"/>
  <c r="AD616" i="18"/>
  <c r="AD615" i="18"/>
  <c r="AD614" i="18"/>
  <c r="AD613" i="18"/>
  <c r="AD612" i="18"/>
  <c r="AD611" i="18"/>
  <c r="AD610" i="18"/>
  <c r="AD609" i="18"/>
  <c r="AD608" i="18"/>
  <c r="AD607" i="18"/>
  <c r="AD606" i="18"/>
  <c r="AD605" i="18"/>
  <c r="AD604" i="18"/>
  <c r="AD603" i="18"/>
  <c r="AD602" i="18"/>
  <c r="AD601" i="18"/>
  <c r="AD600" i="18"/>
  <c r="AD599" i="18"/>
  <c r="AD598" i="18"/>
  <c r="AD597" i="18"/>
  <c r="AD596" i="18"/>
  <c r="AD595" i="18"/>
  <c r="AD594" i="18"/>
  <c r="AD593" i="18"/>
  <c r="AD592" i="18"/>
  <c r="AD591" i="18"/>
  <c r="AD590" i="18"/>
  <c r="AD589" i="18"/>
  <c r="AD588" i="18"/>
  <c r="AD587" i="18"/>
  <c r="AD586" i="18"/>
  <c r="AD585" i="18"/>
  <c r="AD584" i="18"/>
  <c r="AD583" i="18"/>
  <c r="AD582" i="18"/>
  <c r="AD581" i="18"/>
  <c r="AD580" i="18"/>
  <c r="AD579" i="18"/>
  <c r="AD578" i="18"/>
  <c r="AD577" i="18"/>
  <c r="AD576" i="18"/>
  <c r="AD575" i="18"/>
  <c r="AD574" i="18"/>
  <c r="AD573" i="18"/>
  <c r="AD572" i="18"/>
  <c r="AD571" i="18"/>
  <c r="AD570" i="18"/>
  <c r="AD569" i="18"/>
  <c r="AD568" i="18"/>
  <c r="AD567" i="18"/>
  <c r="AD566" i="18"/>
  <c r="AD565" i="18"/>
  <c r="AD564" i="18"/>
  <c r="AD563" i="18"/>
  <c r="AD562" i="18"/>
  <c r="AD561" i="18"/>
  <c r="AD560" i="18"/>
  <c r="AD559" i="18"/>
  <c r="AD558" i="18"/>
  <c r="AD557" i="18"/>
  <c r="AD556" i="18"/>
  <c r="AD555" i="18"/>
  <c r="AD554" i="18"/>
  <c r="AD553" i="18"/>
  <c r="AD552" i="18"/>
  <c r="AD551" i="18"/>
  <c r="AD550" i="18"/>
  <c r="AD549" i="18"/>
  <c r="AD548" i="18"/>
  <c r="AD547" i="18"/>
  <c r="AD546" i="18"/>
  <c r="AD545" i="18"/>
  <c r="AD544" i="18"/>
  <c r="AD543" i="18"/>
  <c r="AD542" i="18"/>
  <c r="AD541" i="18"/>
  <c r="AD540" i="18"/>
  <c r="AD539" i="18"/>
  <c r="AD538" i="18"/>
  <c r="AD537" i="18"/>
  <c r="AD536" i="18"/>
  <c r="AD535" i="18"/>
  <c r="AD534" i="18"/>
  <c r="AD533" i="18"/>
  <c r="AD532" i="18"/>
  <c r="AD531" i="18"/>
  <c r="AD530" i="18"/>
  <c r="AD529" i="18"/>
  <c r="AD528" i="18"/>
  <c r="AD527" i="18"/>
  <c r="AD526" i="18"/>
  <c r="AD525" i="18"/>
  <c r="AD524" i="18"/>
  <c r="AD523" i="18"/>
  <c r="AD522" i="18"/>
  <c r="AD521" i="18"/>
  <c r="AD520" i="18"/>
  <c r="AD519" i="18"/>
  <c r="AD518" i="18"/>
  <c r="AD517" i="18"/>
  <c r="AD516" i="18"/>
  <c r="AD515" i="18"/>
  <c r="AD514" i="18"/>
  <c r="AD513" i="18"/>
  <c r="AD512" i="18"/>
  <c r="AD511" i="18"/>
  <c r="AD510" i="18"/>
  <c r="AD509" i="18"/>
  <c r="AD508" i="18"/>
  <c r="AD507" i="18"/>
  <c r="AD506" i="18"/>
  <c r="AD505" i="18"/>
  <c r="AD504" i="18"/>
  <c r="AD503" i="18"/>
  <c r="AD502" i="18"/>
  <c r="AD501" i="18"/>
  <c r="AD500" i="18"/>
  <c r="AD499" i="18"/>
  <c r="AD498" i="18"/>
  <c r="AD497" i="18"/>
  <c r="AD496" i="18"/>
  <c r="AD495" i="18"/>
  <c r="AD494" i="18"/>
  <c r="AD493" i="18"/>
  <c r="AD492" i="18"/>
  <c r="AD491" i="18"/>
  <c r="AD490" i="18"/>
  <c r="AD489" i="18"/>
  <c r="AD488" i="18"/>
  <c r="AD487" i="18"/>
  <c r="AD486" i="18"/>
  <c r="AD485" i="18"/>
  <c r="AD484" i="18"/>
  <c r="AD483" i="18"/>
  <c r="AD482" i="18"/>
  <c r="AD481" i="18"/>
  <c r="AD480" i="18"/>
  <c r="AD479" i="18"/>
  <c r="AD478" i="18"/>
  <c r="AD477" i="18"/>
  <c r="AE472" i="18"/>
  <c r="AD471" i="18"/>
  <c r="AD470" i="18"/>
  <c r="AD469" i="18"/>
  <c r="AD468" i="18"/>
  <c r="AD467" i="18"/>
  <c r="AD466" i="18"/>
  <c r="AD465" i="18"/>
  <c r="AD464" i="18"/>
  <c r="AD463" i="18"/>
  <c r="AD462" i="18"/>
  <c r="AD461" i="18"/>
  <c r="AD460" i="18"/>
  <c r="AD459" i="18"/>
  <c r="AD458" i="18"/>
  <c r="AD457" i="18"/>
  <c r="AD456" i="18"/>
  <c r="AD455" i="18"/>
  <c r="AD454" i="18"/>
  <c r="AD453" i="18"/>
  <c r="AD452" i="18"/>
  <c r="AD451" i="18"/>
  <c r="AD450" i="18"/>
  <c r="AD449" i="18"/>
  <c r="AD448" i="18"/>
  <c r="AD447" i="18"/>
  <c r="AD446" i="18"/>
  <c r="AD445" i="18"/>
  <c r="AD444" i="18"/>
  <c r="AD443" i="18"/>
  <c r="AD442" i="18"/>
  <c r="AD441" i="18"/>
  <c r="AD440" i="18"/>
  <c r="AD439" i="18"/>
  <c r="AD438" i="18"/>
  <c r="AD437" i="18"/>
  <c r="AD436" i="18"/>
  <c r="AD435" i="18"/>
  <c r="AD434" i="18"/>
  <c r="AD433" i="18"/>
  <c r="AD432" i="18"/>
  <c r="AD431" i="18"/>
  <c r="AD430" i="18"/>
  <c r="AD429" i="18"/>
  <c r="AD428" i="18"/>
  <c r="AD427" i="18"/>
  <c r="AD426" i="18"/>
  <c r="AD425" i="18"/>
  <c r="AD424" i="18"/>
  <c r="AD423" i="18"/>
  <c r="AD422" i="18"/>
  <c r="AD421" i="18"/>
  <c r="AD420" i="18"/>
  <c r="AD419" i="18"/>
  <c r="AD418" i="18"/>
  <c r="AD417" i="18"/>
  <c r="AD416" i="18"/>
  <c r="AD415" i="18"/>
  <c r="AD414" i="18"/>
  <c r="AD413" i="18"/>
  <c r="AD412" i="18"/>
  <c r="AD411" i="18"/>
  <c r="AD410" i="18"/>
  <c r="AD409" i="18"/>
  <c r="AD408" i="18"/>
  <c r="AD407" i="18"/>
  <c r="AD406" i="18"/>
  <c r="AD405" i="18"/>
  <c r="AD404" i="18"/>
  <c r="AD403" i="18"/>
  <c r="AD402" i="18"/>
  <c r="AD401" i="18"/>
  <c r="AD400" i="18"/>
  <c r="AD399" i="18"/>
  <c r="AD398" i="18"/>
  <c r="AD397" i="18"/>
  <c r="AD396" i="18"/>
  <c r="AD395" i="18"/>
  <c r="AD394" i="18"/>
  <c r="AD393" i="18"/>
  <c r="AD392" i="18"/>
  <c r="AD389" i="18"/>
  <c r="AD388" i="18"/>
  <c r="AD387" i="18"/>
  <c r="AD386" i="18"/>
  <c r="AD385" i="18"/>
  <c r="AD384" i="18"/>
  <c r="AD383" i="18"/>
  <c r="AD382" i="18"/>
  <c r="AD381" i="18"/>
  <c r="AD380" i="18"/>
  <c r="AD379" i="18"/>
  <c r="AD378" i="18"/>
  <c r="AD377" i="18"/>
  <c r="AD376" i="18"/>
  <c r="AD375" i="18"/>
  <c r="AD374" i="18"/>
  <c r="AD373" i="18"/>
  <c r="AD372" i="18"/>
  <c r="AD371" i="18"/>
  <c r="AD370" i="18"/>
  <c r="AD369" i="18"/>
  <c r="AD368" i="18"/>
  <c r="AD367" i="18"/>
  <c r="AD366" i="18"/>
  <c r="AD365" i="18"/>
  <c r="AD364" i="18"/>
  <c r="AD363" i="18"/>
  <c r="AD362" i="18"/>
  <c r="AD361" i="18"/>
  <c r="AD360" i="18"/>
  <c r="AD359" i="18"/>
  <c r="AD358" i="18"/>
  <c r="AD357" i="18"/>
  <c r="AD356" i="18"/>
  <c r="AD355" i="18"/>
  <c r="AD354" i="18"/>
  <c r="AD353" i="18"/>
  <c r="AD352" i="18"/>
  <c r="AD351" i="18"/>
  <c r="AD350" i="18"/>
  <c r="AD349" i="18"/>
  <c r="AD348" i="18"/>
  <c r="AD347" i="18"/>
  <c r="AD346" i="18"/>
  <c r="AD345" i="18"/>
  <c r="AD344" i="18"/>
  <c r="AD343" i="18"/>
  <c r="AD342" i="18"/>
  <c r="AD341" i="18"/>
  <c r="AD340" i="18"/>
  <c r="AD339" i="18"/>
  <c r="AD338" i="18"/>
  <c r="AD337" i="18"/>
  <c r="AD336" i="18"/>
  <c r="AD335" i="18"/>
  <c r="AD334" i="18"/>
  <c r="AD333" i="18"/>
  <c r="AD332" i="18"/>
  <c r="AD331" i="18"/>
  <c r="AD330" i="18"/>
  <c r="AD329" i="18"/>
  <c r="AD328" i="18"/>
  <c r="AD327" i="18"/>
  <c r="AD326" i="18"/>
  <c r="AD325" i="18"/>
  <c r="AD324" i="18"/>
  <c r="AD323" i="18"/>
  <c r="AD314" i="18"/>
  <c r="AD313" i="18"/>
  <c r="AD312" i="18"/>
  <c r="AD311" i="18"/>
  <c r="AD310" i="18"/>
  <c r="AD309" i="18"/>
  <c r="AD308" i="18"/>
  <c r="AD307" i="18"/>
  <c r="AD306" i="18"/>
  <c r="AD305" i="18"/>
  <c r="AD304" i="18"/>
  <c r="AD303" i="18"/>
  <c r="AD302" i="18"/>
  <c r="AD301" i="18"/>
  <c r="AD300" i="18"/>
  <c r="AD299" i="18"/>
  <c r="AD298" i="18"/>
  <c r="AD297" i="18"/>
  <c r="AD296" i="18"/>
  <c r="AD295" i="18"/>
  <c r="AD294" i="18"/>
  <c r="AD293" i="18"/>
  <c r="AD292" i="18"/>
  <c r="AD291" i="18"/>
  <c r="AD290" i="18"/>
  <c r="AD289" i="18"/>
  <c r="AD288" i="18"/>
  <c r="AD287" i="18"/>
  <c r="AD286" i="18"/>
  <c r="AD285" i="18"/>
  <c r="AD284" i="18"/>
  <c r="AD283" i="18"/>
  <c r="AD282" i="18"/>
  <c r="AD281" i="18"/>
  <c r="AD280" i="18"/>
  <c r="AD279" i="18"/>
  <c r="AD278" i="18"/>
  <c r="AD277" i="18"/>
  <c r="AD276" i="18"/>
  <c r="AD275" i="18"/>
  <c r="AD274" i="18"/>
  <c r="AD273" i="18"/>
  <c r="AD272" i="18"/>
  <c r="AD271" i="18"/>
  <c r="AD270" i="18"/>
  <c r="AD269" i="18"/>
  <c r="AD268" i="18"/>
  <c r="AD267" i="18"/>
  <c r="AD266" i="18"/>
  <c r="AD265" i="18"/>
  <c r="AD264" i="18"/>
  <c r="AD263" i="18"/>
  <c r="AD262" i="18"/>
  <c r="AD261" i="18"/>
  <c r="AD260" i="18"/>
  <c r="AD259" i="18"/>
  <c r="AD258" i="18"/>
  <c r="AD257" i="18"/>
  <c r="AD256" i="18"/>
  <c r="AD255" i="18"/>
  <c r="AD254" i="18"/>
  <c r="AD253" i="18"/>
  <c r="AD252" i="18"/>
  <c r="AD251" i="18"/>
  <c r="AD250" i="18"/>
  <c r="AD249" i="18"/>
  <c r="AD248" i="18"/>
  <c r="AD247" i="18"/>
  <c r="AD246" i="18"/>
  <c r="AD245" i="18"/>
  <c r="AD244" i="18"/>
  <c r="AD243" i="18"/>
  <c r="AD242" i="18"/>
  <c r="AD241" i="18"/>
  <c r="AD240" i="18"/>
  <c r="AD239" i="18"/>
  <c r="AD238" i="18"/>
  <c r="AD237" i="18"/>
  <c r="AD236" i="18"/>
  <c r="AD235" i="18"/>
  <c r="AD234" i="18"/>
  <c r="AD233" i="18"/>
  <c r="AD232" i="18"/>
  <c r="AD231" i="18"/>
  <c r="AD230" i="18"/>
  <c r="AD229" i="18"/>
  <c r="AD228" i="18"/>
  <c r="AD227" i="18"/>
  <c r="AD226" i="18"/>
  <c r="AD225" i="18"/>
  <c r="AD224" i="18"/>
  <c r="AD223" i="18"/>
  <c r="AD222" i="18"/>
  <c r="AD221" i="18"/>
  <c r="AD220" i="18"/>
  <c r="AD219" i="18"/>
  <c r="AD218" i="18"/>
  <c r="AD217" i="18"/>
  <c r="AD216" i="18"/>
  <c r="AD215" i="18"/>
  <c r="AD214" i="18"/>
  <c r="AD213" i="18"/>
  <c r="AD212" i="18"/>
  <c r="AD211" i="18"/>
  <c r="AD210" i="18"/>
  <c r="AD209" i="18"/>
  <c r="AD208" i="18"/>
  <c r="AD207" i="18"/>
  <c r="AD206" i="18"/>
  <c r="AD205" i="18"/>
  <c r="AD204" i="18"/>
  <c r="AD203" i="18"/>
  <c r="AD202" i="18"/>
  <c r="AD201" i="18"/>
  <c r="AD200" i="18"/>
  <c r="AD199" i="18"/>
  <c r="AD198" i="18"/>
  <c r="AD197" i="18"/>
  <c r="AD196" i="18"/>
  <c r="AD195" i="18"/>
  <c r="AD194" i="18"/>
  <c r="AD193" i="18"/>
  <c r="AD192" i="18"/>
  <c r="AD191" i="18"/>
  <c r="AD190" i="18"/>
  <c r="AD189" i="18"/>
  <c r="AD188" i="18"/>
  <c r="AD187" i="18"/>
  <c r="AD186" i="18"/>
  <c r="AD185" i="18"/>
  <c r="AD184" i="18"/>
  <c r="AD183" i="18"/>
  <c r="AD182" i="18"/>
  <c r="AD181" i="18"/>
  <c r="AD180" i="18"/>
  <c r="AD179" i="18"/>
  <c r="AD178" i="18"/>
  <c r="AD177" i="18"/>
  <c r="AD176" i="18"/>
  <c r="AD175" i="18"/>
  <c r="AD174" i="18"/>
  <c r="AD173" i="18"/>
  <c r="AD172" i="18"/>
  <c r="AD171" i="18"/>
  <c r="AD170" i="18"/>
  <c r="AD169" i="18"/>
  <c r="AD168" i="18"/>
  <c r="AD167" i="18"/>
  <c r="AD166" i="18"/>
  <c r="AD165" i="18"/>
  <c r="AD164" i="18"/>
  <c r="AD163" i="18"/>
  <c r="AD162" i="18"/>
  <c r="AD161" i="18"/>
  <c r="AD160" i="18"/>
  <c r="AD159" i="18"/>
  <c r="AD158" i="18"/>
  <c r="AD157" i="18"/>
  <c r="AD156" i="18"/>
  <c r="AD155" i="18"/>
  <c r="AD154" i="18"/>
  <c r="AD153" i="18"/>
  <c r="AD152" i="18"/>
  <c r="AD151" i="18"/>
  <c r="AD150" i="18"/>
  <c r="AD149" i="18"/>
  <c r="AD148" i="18"/>
  <c r="AD147" i="18"/>
  <c r="AD146" i="18"/>
  <c r="AD145" i="18"/>
  <c r="AD144" i="18"/>
  <c r="AD143" i="18"/>
  <c r="AD142" i="18"/>
  <c r="AD141" i="18"/>
  <c r="AD140" i="18"/>
  <c r="AD139" i="18"/>
  <c r="AD138" i="18"/>
  <c r="AD137" i="18"/>
  <c r="AD136" i="18"/>
  <c r="AD135" i="18"/>
  <c r="AD134" i="18"/>
  <c r="AD133" i="18"/>
  <c r="AD132" i="18"/>
  <c r="AD131" i="18"/>
  <c r="AD130" i="18"/>
  <c r="AD129" i="18"/>
  <c r="AD128" i="18"/>
  <c r="AD127" i="18"/>
  <c r="AD126" i="18"/>
  <c r="AD125" i="18"/>
  <c r="AD124" i="18"/>
  <c r="AD123" i="18"/>
  <c r="AD122" i="18"/>
  <c r="AD121" i="18"/>
  <c r="AD120" i="18"/>
  <c r="AD119" i="18"/>
  <c r="AD118" i="18"/>
  <c r="AD117" i="18"/>
  <c r="AD116" i="18"/>
  <c r="AD115" i="18"/>
  <c r="AD114" i="18"/>
  <c r="AD113" i="18"/>
  <c r="AD112" i="18"/>
  <c r="AD111" i="18"/>
  <c r="AD110" i="18"/>
  <c r="AD109" i="18"/>
  <c r="AD108" i="18"/>
  <c r="AD107" i="18"/>
  <c r="AD106" i="18"/>
  <c r="AD105" i="18"/>
  <c r="AD104" i="18"/>
  <c r="AD103" i="18"/>
  <c r="AD102" i="18"/>
  <c r="AD101" i="18"/>
  <c r="AD100" i="18"/>
  <c r="AD99" i="18"/>
  <c r="AD98" i="18"/>
  <c r="AD97" i="18"/>
  <c r="AD96" i="18"/>
  <c r="AD95" i="18"/>
  <c r="AD94" i="18"/>
  <c r="AD93" i="18"/>
  <c r="AD92" i="18"/>
  <c r="AD91" i="18"/>
  <c r="AD90" i="18"/>
  <c r="AD89" i="18"/>
  <c r="AD88" i="18"/>
  <c r="AD87" i="18"/>
  <c r="AD86" i="18"/>
  <c r="AD85" i="18"/>
  <c r="AD84" i="18"/>
  <c r="AD83" i="18"/>
  <c r="AD82" i="18"/>
  <c r="AD81" i="18"/>
  <c r="AL80" i="18"/>
  <c r="F4" i="16" s="1"/>
  <c r="E4" i="16"/>
  <c r="AD80" i="18"/>
  <c r="AD79" i="18"/>
  <c r="AD78" i="18"/>
  <c r="AD77" i="18"/>
  <c r="AD76" i="18"/>
  <c r="AD75" i="18"/>
  <c r="AD74" i="18"/>
  <c r="AD73" i="18"/>
  <c r="AD72" i="18"/>
  <c r="AD71" i="18"/>
  <c r="AD70" i="18"/>
  <c r="AD69" i="18"/>
  <c r="AD68" i="18"/>
  <c r="AD67" i="18"/>
  <c r="AD66" i="18"/>
  <c r="AD65" i="18"/>
  <c r="AD64" i="18"/>
  <c r="AD63" i="18"/>
  <c r="AD62" i="18"/>
  <c r="AD61" i="18"/>
  <c r="AD60" i="18"/>
  <c r="AD59" i="18"/>
  <c r="AD58" i="18"/>
  <c r="AD57" i="18"/>
  <c r="AD56" i="18"/>
  <c r="AD55" i="18"/>
  <c r="AD54" i="18"/>
  <c r="AD53" i="18"/>
  <c r="AD52" i="18"/>
  <c r="AD51" i="18"/>
  <c r="AD50" i="18"/>
  <c r="AD49" i="18"/>
  <c r="AD48" i="18"/>
  <c r="AD47" i="18"/>
  <c r="AD46" i="18"/>
  <c r="AD45" i="18"/>
  <c r="AD44" i="18"/>
  <c r="AD43" i="18"/>
  <c r="AD42" i="18"/>
  <c r="AD41" i="18"/>
  <c r="AD40" i="18"/>
  <c r="AD39" i="18"/>
  <c r="AD38" i="18"/>
  <c r="AD37" i="18"/>
  <c r="AD36" i="18"/>
  <c r="AD35" i="18"/>
  <c r="AD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AD4" i="18"/>
  <c r="AL3" i="18"/>
  <c r="AK3" i="18"/>
  <c r="AD3" i="18"/>
  <c r="AD133" i="17"/>
  <c r="AD134" i="17"/>
  <c r="AD63" i="17"/>
  <c r="AD64" i="17"/>
  <c r="AD65" i="17"/>
  <c r="AD66" i="17"/>
  <c r="AD315" i="14"/>
  <c r="AD316" i="14"/>
  <c r="AD317" i="14"/>
  <c r="AD318" i="14"/>
  <c r="AD279" i="14"/>
  <c r="AD280" i="14"/>
  <c r="AD226" i="14"/>
  <c r="AD227" i="14"/>
  <c r="AE258" i="3" l="1"/>
  <c r="AF318" i="14"/>
  <c r="AE450" i="11"/>
  <c r="AE323" i="18"/>
  <c r="AE478" i="18"/>
  <c r="AE479" i="18"/>
  <c r="AE63" i="17"/>
  <c r="AE64" i="17"/>
  <c r="AE676" i="18"/>
  <c r="AE933" i="18"/>
  <c r="AE169" i="18"/>
  <c r="AE18" i="18"/>
  <c r="AE22" i="18"/>
  <c r="AE30" i="18"/>
  <c r="AE70" i="18"/>
  <c r="AE74" i="18"/>
  <c r="AE84" i="18"/>
  <c r="AE527" i="18"/>
  <c r="AE539" i="18"/>
  <c r="AE543" i="18"/>
  <c r="AE587" i="18"/>
  <c r="AE591" i="18"/>
  <c r="AE603" i="18"/>
  <c r="AE607" i="18"/>
  <c r="AE951" i="18"/>
  <c r="AE975" i="18"/>
  <c r="AE983" i="18"/>
  <c r="AE1114" i="18"/>
  <c r="AE1122" i="18"/>
  <c r="AE1277" i="18"/>
  <c r="AE1294" i="18"/>
  <c r="AE1346" i="18"/>
  <c r="AE1598" i="18"/>
  <c r="AE1622" i="18"/>
  <c r="AE1744" i="18"/>
  <c r="AE1756" i="18"/>
  <c r="AE1760" i="18"/>
  <c r="AE1772" i="18"/>
  <c r="AE1800" i="18"/>
  <c r="AE1804" i="18"/>
  <c r="AE1808" i="18"/>
  <c r="AE1820" i="18"/>
  <c r="AE1824" i="18"/>
  <c r="AE1932" i="18"/>
  <c r="AE1948" i="18"/>
  <c r="AE799" i="18"/>
  <c r="AE801" i="18"/>
  <c r="AE829" i="18"/>
  <c r="AE831" i="18"/>
  <c r="AE846" i="18"/>
  <c r="AE914" i="18"/>
  <c r="AE946" i="18"/>
  <c r="AE950" i="18"/>
  <c r="AE952" i="18"/>
  <c r="AE958" i="18"/>
  <c r="AE966" i="18"/>
  <c r="AE970" i="18"/>
  <c r="AE978" i="18"/>
  <c r="AE984" i="18"/>
  <c r="AE1029" i="18"/>
  <c r="AE1079" i="18"/>
  <c r="AE1083" i="18"/>
  <c r="AE1107" i="18"/>
  <c r="AE1133" i="18"/>
  <c r="AE1258" i="18"/>
  <c r="AE1264" i="18"/>
  <c r="AE1270" i="18"/>
  <c r="AE1274" i="18"/>
  <c r="AE1323" i="18"/>
  <c r="AE1327" i="18"/>
  <c r="AE1469" i="18"/>
  <c r="AE1473" i="18"/>
  <c r="AE1481" i="18"/>
  <c r="AE1497" i="18"/>
  <c r="AE1729" i="18"/>
  <c r="AE1741" i="18"/>
  <c r="AE1929" i="18"/>
  <c r="AE1993" i="18"/>
  <c r="AE261" i="18"/>
  <c r="AE331" i="18"/>
  <c r="AE424" i="18"/>
  <c r="AE428" i="18"/>
  <c r="AE432" i="18"/>
  <c r="AE460" i="18"/>
  <c r="AE512" i="18"/>
  <c r="AE516" i="18"/>
  <c r="AE520" i="18"/>
  <c r="AE524" i="18"/>
  <c r="AE532" i="18"/>
  <c r="AE580" i="18"/>
  <c r="AE584" i="18"/>
  <c r="AE586" i="18"/>
  <c r="AE588" i="18"/>
  <c r="AE636" i="18"/>
  <c r="AE736" i="18"/>
  <c r="AE759" i="18"/>
  <c r="AE1125" i="18"/>
  <c r="AE1127" i="18"/>
  <c r="AE1149" i="18"/>
  <c r="AE1208" i="18"/>
  <c r="AE1333" i="18"/>
  <c r="AE1349" i="18"/>
  <c r="AE1355" i="18"/>
  <c r="AE1401" i="18"/>
  <c r="AE1429" i="18"/>
  <c r="AE1449" i="18"/>
  <c r="AE1961" i="18"/>
  <c r="AE1989" i="18"/>
  <c r="AE508" i="18"/>
  <c r="AE528" i="18"/>
  <c r="AE572" i="18"/>
  <c r="AE576" i="18"/>
  <c r="AE600" i="18"/>
  <c r="AE703" i="18"/>
  <c r="AE708" i="18"/>
  <c r="AE1123" i="18"/>
  <c r="AE1231" i="18"/>
  <c r="AE1248" i="18"/>
  <c r="AE1291" i="18"/>
  <c r="AE1517" i="18"/>
  <c r="AE1529" i="18"/>
  <c r="AE1581" i="18"/>
  <c r="AE1709" i="18"/>
  <c r="AE1917" i="18"/>
  <c r="AE356" i="18"/>
  <c r="AE372" i="18"/>
  <c r="AE401" i="18"/>
  <c r="AE986" i="18"/>
  <c r="AE995" i="18"/>
  <c r="AE999" i="18"/>
  <c r="AE1023" i="18"/>
  <c r="AE1053" i="18"/>
  <c r="AE1163" i="18"/>
  <c r="AE1205" i="18"/>
  <c r="AE1448" i="18"/>
  <c r="AE1452" i="18"/>
  <c r="AE1464" i="18"/>
  <c r="AE1512" i="18"/>
  <c r="AE1516" i="18"/>
  <c r="AE1524" i="18"/>
  <c r="AE1528" i="18"/>
  <c r="AE1590" i="18"/>
  <c r="AE1997" i="18"/>
  <c r="AE2001" i="18"/>
  <c r="AE833" i="18"/>
  <c r="AE856" i="18"/>
  <c r="AE1129" i="18"/>
  <c r="AE1186" i="18"/>
  <c r="AE1371" i="18"/>
  <c r="AE1465" i="18"/>
  <c r="AE1957" i="18"/>
  <c r="AE1237" i="18"/>
  <c r="AE193" i="18"/>
  <c r="AE221" i="18"/>
  <c r="AE233" i="18"/>
  <c r="AE245" i="18"/>
  <c r="AE253" i="18"/>
  <c r="AE277" i="18"/>
  <c r="AE335" i="18"/>
  <c r="AE405" i="18"/>
  <c r="AE409" i="18"/>
  <c r="AE417" i="18"/>
  <c r="AE437" i="18"/>
  <c r="AE453" i="18"/>
  <c r="AE457" i="18"/>
  <c r="AE465" i="18"/>
  <c r="AE717" i="18"/>
  <c r="AE719" i="18"/>
  <c r="AE758" i="18"/>
  <c r="AE767" i="18"/>
  <c r="AE769" i="18"/>
  <c r="AE775" i="18"/>
  <c r="AE791" i="18"/>
  <c r="AE795" i="18"/>
  <c r="AE797" i="18"/>
  <c r="AE811" i="18"/>
  <c r="AE848" i="18"/>
  <c r="AE850" i="18"/>
  <c r="AE852" i="18"/>
  <c r="AE871" i="18"/>
  <c r="AE879" i="18"/>
  <c r="AE891" i="18"/>
  <c r="AE895" i="18"/>
  <c r="AE903" i="18"/>
  <c r="AE932" i="18"/>
  <c r="AE934" i="18"/>
  <c r="AE969" i="18"/>
  <c r="AE1003" i="18"/>
  <c r="AE1017" i="18"/>
  <c r="AE1073" i="18"/>
  <c r="AE1148" i="18"/>
  <c r="AE1183" i="18"/>
  <c r="AE1224" i="18"/>
  <c r="AE1359" i="18"/>
  <c r="AE1389" i="18"/>
  <c r="AE1662" i="18"/>
  <c r="AE1678" i="18"/>
  <c r="AE1686" i="18"/>
  <c r="AE1688" i="18"/>
  <c r="AE1700" i="18"/>
  <c r="AE1708" i="18"/>
  <c r="AE1710" i="18"/>
  <c r="AE1716" i="18"/>
  <c r="AE1732" i="18"/>
  <c r="AE1736" i="18"/>
  <c r="AE1776" i="18"/>
  <c r="AE1912" i="18"/>
  <c r="AE1924" i="18"/>
  <c r="AE1928" i="18"/>
  <c r="AE1933" i="18"/>
  <c r="AE1937" i="18"/>
  <c r="AE19" i="18"/>
  <c r="AE51" i="18"/>
  <c r="AE63" i="18"/>
  <c r="AE67" i="18"/>
  <c r="AE79" i="18"/>
  <c r="AE83" i="18"/>
  <c r="AE88" i="18"/>
  <c r="AE92" i="18"/>
  <c r="AE96" i="18"/>
  <c r="AE100" i="18"/>
  <c r="AE136" i="18"/>
  <c r="AE140" i="18"/>
  <c r="AE156" i="18"/>
  <c r="AE168" i="18"/>
  <c r="AE173" i="18"/>
  <c r="AE177" i="18"/>
  <c r="AE181" i="18"/>
  <c r="AE185" i="18"/>
  <c r="AE189" i="18"/>
  <c r="AE50" i="18"/>
  <c r="AE66" i="18"/>
  <c r="AE119" i="18"/>
  <c r="AE131" i="18"/>
  <c r="AE153" i="18"/>
  <c r="AE172" i="18"/>
  <c r="AE184" i="18"/>
  <c r="AE204" i="18"/>
  <c r="AE216" i="18"/>
  <c r="AE220" i="18"/>
  <c r="AE232" i="18"/>
  <c r="AE312" i="18"/>
  <c r="AE352" i="18"/>
  <c r="AE382" i="18"/>
  <c r="AE384" i="18"/>
  <c r="AE386" i="18"/>
  <c r="AE393" i="18"/>
  <c r="AE632" i="18"/>
  <c r="AE683" i="18"/>
  <c r="AE695" i="18"/>
  <c r="AE697" i="18"/>
  <c r="AE748" i="18"/>
  <c r="AE750" i="18"/>
  <c r="AE832" i="18"/>
  <c r="AE834" i="18"/>
  <c r="AE845" i="18"/>
  <c r="AE870" i="18"/>
  <c r="AE886" i="18"/>
  <c r="AE894" i="18"/>
  <c r="AE1033" i="18"/>
  <c r="AE1041" i="18"/>
  <c r="AE1091" i="18"/>
  <c r="AE1093" i="18"/>
  <c r="AE1099" i="18"/>
  <c r="AE1160" i="18"/>
  <c r="AE1180" i="18"/>
  <c r="AE1242" i="18"/>
  <c r="AE1280" i="18"/>
  <c r="AE1306" i="18"/>
  <c r="AE1388" i="18"/>
  <c r="AE1400" i="18"/>
  <c r="AE1405" i="18"/>
  <c r="AE1409" i="18"/>
  <c r="AE1566" i="18"/>
  <c r="AE1574" i="18"/>
  <c r="AE1586" i="18"/>
  <c r="AE1593" i="18"/>
  <c r="AE1605" i="18"/>
  <c r="AE1819" i="18"/>
  <c r="AE1823" i="18"/>
  <c r="AE1835" i="18"/>
  <c r="AE1839" i="18"/>
  <c r="AE1843" i="18"/>
  <c r="AE1845" i="18"/>
  <c r="AE1849" i="18"/>
  <c r="AE1865" i="18"/>
  <c r="AE1893" i="18"/>
  <c r="AE1897" i="18"/>
  <c r="AE135" i="18"/>
  <c r="AE237" i="18"/>
  <c r="AE241" i="18"/>
  <c r="AE461" i="18"/>
  <c r="AE680" i="18"/>
  <c r="AE726" i="18"/>
  <c r="AE924" i="18"/>
  <c r="AE928" i="18"/>
  <c r="AE974" i="18"/>
  <c r="AE1015" i="18"/>
  <c r="AE1063" i="18"/>
  <c r="AE1067" i="18"/>
  <c r="AE1088" i="18"/>
  <c r="AE1139" i="18"/>
  <c r="AE1143" i="18"/>
  <c r="AE1204" i="18"/>
  <c r="AE1417" i="18"/>
  <c r="AE1433" i="18"/>
  <c r="AE1453" i="18"/>
  <c r="AE1457" i="18"/>
  <c r="AE1476" i="18"/>
  <c r="AE1557" i="18"/>
  <c r="AE1573" i="18"/>
  <c r="AE1614" i="18"/>
  <c r="AE1649" i="18"/>
  <c r="AE1661" i="18"/>
  <c r="AE1665" i="18"/>
  <c r="AE1673" i="18"/>
  <c r="AE1677" i="18"/>
  <c r="AE1680" i="18"/>
  <c r="AE1684" i="18"/>
  <c r="AE1712" i="18"/>
  <c r="AE1720" i="18"/>
  <c r="AE1724" i="18"/>
  <c r="AE1726" i="18"/>
  <c r="AE1755" i="18"/>
  <c r="AE1771" i="18"/>
  <c r="AE1775" i="18"/>
  <c r="AE1780" i="18"/>
  <c r="AE1784" i="18"/>
  <c r="AE1792" i="18"/>
  <c r="AE1828" i="18"/>
  <c r="AE1869" i="18"/>
  <c r="AE1873" i="18"/>
  <c r="AE1881" i="18"/>
  <c r="AE1973" i="18"/>
  <c r="AE6" i="18"/>
  <c r="AE116" i="18"/>
  <c r="AE132" i="18"/>
  <c r="AE201" i="18"/>
  <c r="AE217" i="18"/>
  <c r="AE236" i="18"/>
  <c r="AE260" i="18"/>
  <c r="AE264" i="18"/>
  <c r="AE276" i="18"/>
  <c r="AE281" i="18"/>
  <c r="AE285" i="18"/>
  <c r="AE297" i="18"/>
  <c r="AE301" i="18"/>
  <c r="AE309" i="18"/>
  <c r="AE327" i="18"/>
  <c r="AE340" i="18"/>
  <c r="AE359" i="18"/>
  <c r="AE363" i="18"/>
  <c r="AE367" i="18"/>
  <c r="AE379" i="18"/>
  <c r="AE383" i="18"/>
  <c r="AE427" i="18"/>
  <c r="AE431" i="18"/>
  <c r="AE433" i="18"/>
  <c r="AE447" i="18"/>
  <c r="AE449" i="18"/>
  <c r="AE482" i="18"/>
  <c r="AE484" i="18"/>
  <c r="AE494" i="18"/>
  <c r="AE498" i="18"/>
  <c r="AE500" i="18"/>
  <c r="AE502" i="18"/>
  <c r="AE504" i="18"/>
  <c r="AE514" i="18"/>
  <c r="AE640" i="18"/>
  <c r="AE669" i="18"/>
  <c r="AE673" i="18"/>
  <c r="AE677" i="18"/>
  <c r="AE681" i="18"/>
  <c r="AE785" i="18"/>
  <c r="AE823" i="18"/>
  <c r="AE851" i="18"/>
  <c r="AE865" i="18"/>
  <c r="AE885" i="18"/>
  <c r="AE889" i="18"/>
  <c r="AE897" i="18"/>
  <c r="AE915" i="18"/>
  <c r="AE923" i="18"/>
  <c r="AE954" i="18"/>
  <c r="AE956" i="18"/>
  <c r="AE962" i="18"/>
  <c r="AE1004" i="18"/>
  <c r="AE1014" i="18"/>
  <c r="AE1035" i="18"/>
  <c r="AE1039" i="18"/>
  <c r="AE1047" i="18"/>
  <c r="AE1074" i="18"/>
  <c r="AE1087" i="18"/>
  <c r="AE1089" i="18"/>
  <c r="AE1095" i="18"/>
  <c r="AE1103" i="18"/>
  <c r="AE1220" i="18"/>
  <c r="AE1286" i="18"/>
  <c r="AE1370" i="18"/>
  <c r="AE1375" i="18"/>
  <c r="AE1383" i="18"/>
  <c r="AE1385" i="18"/>
  <c r="AE1945" i="18"/>
  <c r="AE3" i="18"/>
  <c r="AE15" i="18"/>
  <c r="AE26" i="18"/>
  <c r="AE34" i="18"/>
  <c r="AE78" i="18"/>
  <c r="AE296" i="18"/>
  <c r="AE330" i="18"/>
  <c r="AE360" i="18"/>
  <c r="AE397" i="18"/>
  <c r="AE408" i="18"/>
  <c r="AE412" i="18"/>
  <c r="AE444" i="18"/>
  <c r="AE542" i="18"/>
  <c r="AE546" i="18"/>
  <c r="AE558" i="18"/>
  <c r="AE562" i="18"/>
  <c r="AE564" i="18"/>
  <c r="AE568" i="18"/>
  <c r="AE626" i="18"/>
  <c r="AE630" i="18"/>
  <c r="AE720" i="18"/>
  <c r="AE876" i="18"/>
  <c r="AE884" i="18"/>
  <c r="AE904" i="18"/>
  <c r="AE916" i="18"/>
  <c r="AE922" i="18"/>
  <c r="AE926" i="18"/>
  <c r="AE938" i="18"/>
  <c r="AE1007" i="18"/>
  <c r="AE1030" i="18"/>
  <c r="AE1038" i="18"/>
  <c r="AE1065" i="18"/>
  <c r="AE1069" i="18"/>
  <c r="AE1075" i="18"/>
  <c r="AE1106" i="18"/>
  <c r="AE1113" i="18"/>
  <c r="AE1117" i="18"/>
  <c r="AE1196" i="18"/>
  <c r="AE1310" i="18"/>
  <c r="AE1339" i="18"/>
  <c r="AE1343" i="18"/>
  <c r="AE1365" i="18"/>
  <c r="AE1533" i="18"/>
  <c r="AE1545" i="18"/>
  <c r="AE1606" i="18"/>
  <c r="AE1618" i="18"/>
  <c r="AE1909" i="18"/>
  <c r="AE1913" i="18"/>
  <c r="AE1977" i="18"/>
  <c r="AE1054" i="18"/>
  <c r="AE1064" i="18"/>
  <c r="AE1140" i="18"/>
  <c r="AE1214" i="18"/>
  <c r="AE1297" i="18"/>
  <c r="AE1393" i="18"/>
  <c r="AE1513" i="18"/>
  <c r="AE1582" i="18"/>
  <c r="AE1630" i="18"/>
  <c r="AE1646" i="18"/>
  <c r="AE1666" i="18"/>
  <c r="AE1670" i="18"/>
  <c r="AE1697" i="18"/>
  <c r="AE1740" i="18"/>
  <c r="AE1742" i="18"/>
  <c r="AE1748" i="18"/>
  <c r="AE1853" i="18"/>
  <c r="AE1857" i="18"/>
  <c r="AE1868" i="18"/>
  <c r="AE1872" i="18"/>
  <c r="AE1884" i="18"/>
  <c r="AE1888" i="18"/>
  <c r="AE31" i="18"/>
  <c r="AE38" i="18"/>
  <c r="AE42" i="18"/>
  <c r="AE46" i="18"/>
  <c r="AE87" i="18"/>
  <c r="AE99" i="18"/>
  <c r="AE104" i="18"/>
  <c r="AE108" i="18"/>
  <c r="AE112" i="18"/>
  <c r="AE197" i="18"/>
  <c r="AE249" i="18"/>
  <c r="AE280" i="18"/>
  <c r="AE305" i="18"/>
  <c r="AE334" i="18"/>
  <c r="AE346" i="18"/>
  <c r="AE376" i="18"/>
  <c r="AE380" i="18"/>
  <c r="AE399" i="18"/>
  <c r="AE421" i="18"/>
  <c r="AE425" i="18"/>
  <c r="AE448" i="18"/>
  <c r="AE451" i="18"/>
  <c r="AE469" i="18"/>
  <c r="AE491" i="18"/>
  <c r="AE495" i="18"/>
  <c r="AE499" i="18"/>
  <c r="AE548" i="18"/>
  <c r="AE689" i="18"/>
  <c r="AE35" i="18"/>
  <c r="AE47" i="18"/>
  <c r="AE54" i="18"/>
  <c r="AE58" i="18"/>
  <c r="AE62" i="18"/>
  <c r="AE103" i="18"/>
  <c r="AE115" i="18"/>
  <c r="AE120" i="18"/>
  <c r="AE124" i="18"/>
  <c r="AE128" i="18"/>
  <c r="AE149" i="18"/>
  <c r="AE188" i="18"/>
  <c r="AE200" i="18"/>
  <c r="AE205" i="18"/>
  <c r="AE209" i="18"/>
  <c r="AE213" i="18"/>
  <c r="AE248" i="18"/>
  <c r="AE252" i="18"/>
  <c r="AE257" i="18"/>
  <c r="AE293" i="18"/>
  <c r="AE300" i="18"/>
  <c r="AE313" i="18"/>
  <c r="AE343" i="18"/>
  <c r="AE347" i="18"/>
  <c r="AE362" i="18"/>
  <c r="AE366" i="18"/>
  <c r="AE368" i="18"/>
  <c r="AE370" i="18"/>
  <c r="AE388" i="18"/>
  <c r="AE396" i="18"/>
  <c r="AE411" i="18"/>
  <c r="AE415" i="18"/>
  <c r="AE441" i="18"/>
  <c r="AE445" i="18"/>
  <c r="AE463" i="18"/>
  <c r="AE488" i="18"/>
  <c r="AE492" i="18"/>
  <c r="AE511" i="18"/>
  <c r="AE765" i="18"/>
  <c r="AE817" i="18"/>
  <c r="AE873" i="18"/>
  <c r="AE10" i="18"/>
  <c r="AE14" i="18"/>
  <c r="AE144" i="18"/>
  <c r="AE152" i="18"/>
  <c r="AE157" i="18"/>
  <c r="AE161" i="18"/>
  <c r="AE165" i="18"/>
  <c r="AE225" i="18"/>
  <c r="AE229" i="18"/>
  <c r="AE265" i="18"/>
  <c r="AE269" i="18"/>
  <c r="AE344" i="18"/>
  <c r="AE435" i="18"/>
  <c r="AE612" i="18"/>
  <c r="AE803" i="18"/>
  <c r="AE515" i="18"/>
  <c r="AE518" i="18"/>
  <c r="AE536" i="18"/>
  <c r="AE540" i="18"/>
  <c r="AE555" i="18"/>
  <c r="AE559" i="18"/>
  <c r="AE604" i="18"/>
  <c r="AE608" i="18"/>
  <c r="AE623" i="18"/>
  <c r="AE627" i="18"/>
  <c r="AE642" i="18"/>
  <c r="AE646" i="18"/>
  <c r="AE665" i="18"/>
  <c r="AE667" i="18"/>
  <c r="AE692" i="18"/>
  <c r="AE710" i="18"/>
  <c r="AE716" i="18"/>
  <c r="AE718" i="18"/>
  <c r="AE735" i="18"/>
  <c r="AE742" i="18"/>
  <c r="AE744" i="18"/>
  <c r="AE761" i="18"/>
  <c r="AE763" i="18"/>
  <c r="AE766" i="18"/>
  <c r="AE771" i="18"/>
  <c r="AE789" i="18"/>
  <c r="AE794" i="18"/>
  <c r="AE813" i="18"/>
  <c r="AE827" i="18"/>
  <c r="AE844" i="18"/>
  <c r="AE864" i="18"/>
  <c r="AE869" i="18"/>
  <c r="AE878" i="18"/>
  <c r="AE881" i="18"/>
  <c r="AE883" i="18"/>
  <c r="AE893" i="18"/>
  <c r="AE902" i="18"/>
  <c r="AE905" i="18"/>
  <c r="AE921" i="18"/>
  <c r="AE931" i="18"/>
  <c r="AE959" i="18"/>
  <c r="AE964" i="18"/>
  <c r="AE968" i="18"/>
  <c r="AE982" i="18"/>
  <c r="AE1006" i="18"/>
  <c r="AE1022" i="18"/>
  <c r="AE1025" i="18"/>
  <c r="AE1027" i="18"/>
  <c r="AE1037" i="18"/>
  <c r="AE1046" i="18"/>
  <c r="AE1049" i="18"/>
  <c r="AE1072" i="18"/>
  <c r="AE1081" i="18"/>
  <c r="AE1096" i="18"/>
  <c r="AE1101" i="18"/>
  <c r="AE1105" i="18"/>
  <c r="AE1121" i="18"/>
  <c r="AE1142" i="18"/>
  <c r="AE1147" i="18"/>
  <c r="AE1151" i="18"/>
  <c r="AE1217" i="18"/>
  <c r="AE1254" i="18"/>
  <c r="AE530" i="18"/>
  <c r="AE552" i="18"/>
  <c r="AE556" i="18"/>
  <c r="AE571" i="18"/>
  <c r="AE575" i="18"/>
  <c r="AE596" i="18"/>
  <c r="AE616" i="18"/>
  <c r="AE620" i="18"/>
  <c r="AE624" i="18"/>
  <c r="AE639" i="18"/>
  <c r="AE643" i="18"/>
  <c r="AE679" i="18"/>
  <c r="AE693" i="18"/>
  <c r="AE707" i="18"/>
  <c r="AE711" i="18"/>
  <c r="AE732" i="18"/>
  <c r="AE734" i="18"/>
  <c r="AE741" i="18"/>
  <c r="AE774" i="18"/>
  <c r="AE788" i="18"/>
  <c r="AE802" i="18"/>
  <c r="AE805" i="18"/>
  <c r="AE807" i="18"/>
  <c r="AE821" i="18"/>
  <c r="AE835" i="18"/>
  <c r="AE843" i="18"/>
  <c r="AE853" i="18"/>
  <c r="AE858" i="18"/>
  <c r="AE863" i="18"/>
  <c r="AE872" i="18"/>
  <c r="AE877" i="18"/>
  <c r="AE887" i="18"/>
  <c r="AE896" i="18"/>
  <c r="AE901" i="18"/>
  <c r="AE918" i="18"/>
  <c r="AE920" i="18"/>
  <c r="AE930" i="18"/>
  <c r="AE939" i="18"/>
  <c r="AE967" i="18"/>
  <c r="AE976" i="18"/>
  <c r="AE996" i="18"/>
  <c r="AE1001" i="18"/>
  <c r="AE1005" i="18"/>
  <c r="AE1021" i="18"/>
  <c r="AE1031" i="18"/>
  <c r="AE1040" i="18"/>
  <c r="AE1045" i="18"/>
  <c r="AE1059" i="18"/>
  <c r="AE1061" i="18"/>
  <c r="AE1071" i="18"/>
  <c r="AE1080" i="18"/>
  <c r="AE1104" i="18"/>
  <c r="AE1115" i="18"/>
  <c r="AE1130" i="18"/>
  <c r="AE1154" i="18"/>
  <c r="AE1159" i="18"/>
  <c r="AE1162" i="18"/>
  <c r="AE1174" i="18"/>
  <c r="AE1141" i="18"/>
  <c r="AE1153" i="18"/>
  <c r="AE1171" i="18"/>
  <c r="AE1191" i="18"/>
  <c r="AE1195" i="18"/>
  <c r="AE1198" i="18"/>
  <c r="AE1216" i="18"/>
  <c r="AE1219" i="18"/>
  <c r="AE1246" i="18"/>
  <c r="AE1256" i="18"/>
  <c r="AE1266" i="18"/>
  <c r="AE1271" i="18"/>
  <c r="AE1285" i="18"/>
  <c r="AE1325" i="18"/>
  <c r="AE1330" i="18"/>
  <c r="AE1335" i="18"/>
  <c r="AE1354" i="18"/>
  <c r="AE1404" i="18"/>
  <c r="AE1416" i="18"/>
  <c r="AE1421" i="18"/>
  <c r="AE1425" i="18"/>
  <c r="AE1480" i="18"/>
  <c r="AE1485" i="18"/>
  <c r="AE1489" i="18"/>
  <c r="AE1493" i="18"/>
  <c r="AE1521" i="18"/>
  <c r="AE1540" i="18"/>
  <c r="AE1544" i="18"/>
  <c r="AE1549" i="18"/>
  <c r="AE1553" i="18"/>
  <c r="AE1561" i="18"/>
  <c r="AE1570" i="18"/>
  <c r="AE1577" i="18"/>
  <c r="AE1597" i="18"/>
  <c r="AE1602" i="18"/>
  <c r="AE1634" i="18"/>
  <c r="AE1638" i="18"/>
  <c r="AE1642" i="18"/>
  <c r="AE1653" i="18"/>
  <c r="AE1692" i="18"/>
  <c r="AE1694" i="18"/>
  <c r="AE1705" i="18"/>
  <c r="AE1721" i="18"/>
  <c r="AE1734" i="18"/>
  <c r="AE1787" i="18"/>
  <c r="AE1791" i="18"/>
  <c r="AE1796" i="18"/>
  <c r="AE1832" i="18"/>
  <c r="AE1836" i="18"/>
  <c r="AE1861" i="18"/>
  <c r="AE1876" i="18"/>
  <c r="AE1880" i="18"/>
  <c r="AE1885" i="18"/>
  <c r="AE1889" i="18"/>
  <c r="AE1900" i="18"/>
  <c r="AE1904" i="18"/>
  <c r="AE1921" i="18"/>
  <c r="AE1925" i="18"/>
  <c r="AE1949" i="18"/>
  <c r="AE1953" i="18"/>
  <c r="AE1182" i="18"/>
  <c r="AE1194" i="18"/>
  <c r="AE1212" i="18"/>
  <c r="AE1245" i="18"/>
  <c r="AE1250" i="18"/>
  <c r="AE1269" i="18"/>
  <c r="AE1279" i="18"/>
  <c r="AE1295" i="18"/>
  <c r="AE1308" i="18"/>
  <c r="AE1319" i="18"/>
  <c r="AE1338" i="18"/>
  <c r="AE1348" i="18"/>
  <c r="AE1363" i="18"/>
  <c r="AE1373" i="18"/>
  <c r="AE1381" i="18"/>
  <c r="AE1413" i="18"/>
  <c r="AE1420" i="18"/>
  <c r="AE1428" i="18"/>
  <c r="AE1432" i="18"/>
  <c r="AE1437" i="18"/>
  <c r="AE1441" i="18"/>
  <c r="AE1445" i="18"/>
  <c r="AE1484" i="18"/>
  <c r="AE1492" i="18"/>
  <c r="AE1496" i="18"/>
  <c r="AE1501" i="18"/>
  <c r="AE1505" i="18"/>
  <c r="AE1509" i="18"/>
  <c r="AE1537" i="18"/>
  <c r="AE1548" i="18"/>
  <c r="AE1556" i="18"/>
  <c r="AE1578" i="18"/>
  <c r="AE1589" i="18"/>
  <c r="AE1610" i="18"/>
  <c r="AE1617" i="18"/>
  <c r="AE1621" i="18"/>
  <c r="AE1645" i="18"/>
  <c r="AE1650" i="18"/>
  <c r="AE1654" i="18"/>
  <c r="AE1658" i="18"/>
  <c r="AE1702" i="18"/>
  <c r="AE1718" i="18"/>
  <c r="AE1750" i="18"/>
  <c r="AE1752" i="18"/>
  <c r="AE1788" i="18"/>
  <c r="AE1803" i="18"/>
  <c r="AE1807" i="18"/>
  <c r="AE1812" i="18"/>
  <c r="AE1816" i="18"/>
  <c r="AE1852" i="18"/>
  <c r="AE1856" i="18"/>
  <c r="AE1877" i="18"/>
  <c r="AE1901" i="18"/>
  <c r="AE1905" i="18"/>
  <c r="AE1941" i="18"/>
  <c r="AE1956" i="18"/>
  <c r="AE1960" i="18"/>
  <c r="AE1965" i="18"/>
  <c r="AE1969" i="18"/>
  <c r="AE1980" i="18"/>
  <c r="AE1984" i="18"/>
  <c r="AE2005" i="18"/>
  <c r="AE1759" i="18"/>
  <c r="AE1764" i="18"/>
  <c r="AE1768" i="18"/>
  <c r="AE1972" i="18"/>
  <c r="AE1976" i="18"/>
  <c r="AE1981" i="18"/>
  <c r="AE1985" i="18"/>
  <c r="AE1996" i="18"/>
  <c r="AE2000" i="18"/>
  <c r="AE7" i="18"/>
  <c r="AE23" i="18"/>
  <c r="AE39" i="18"/>
  <c r="AE55" i="18"/>
  <c r="AE71" i="18"/>
  <c r="AE91" i="18"/>
  <c r="AE107" i="18"/>
  <c r="AE123" i="18"/>
  <c r="AE139" i="18"/>
  <c r="AE160" i="18"/>
  <c r="AE176" i="18"/>
  <c r="AE192" i="18"/>
  <c r="AE208" i="18"/>
  <c r="AE224" i="18"/>
  <c r="AE244" i="18"/>
  <c r="AE284" i="18"/>
  <c r="AE289" i="18"/>
  <c r="AE308" i="18"/>
  <c r="AE351" i="18"/>
  <c r="AE354" i="18"/>
  <c r="AE364" i="18"/>
  <c r="AE392" i="18"/>
  <c r="AE395" i="18"/>
  <c r="AE416" i="18"/>
  <c r="AE419" i="18"/>
  <c r="AE429" i="18"/>
  <c r="AE456" i="18"/>
  <c r="AE459" i="18"/>
  <c r="AE483" i="18"/>
  <c r="AE486" i="18"/>
  <c r="AE496" i="18"/>
  <c r="AE523" i="18"/>
  <c r="AE526" i="18"/>
  <c r="AE547" i="18"/>
  <c r="AE550" i="18"/>
  <c r="AE560" i="18"/>
  <c r="AE592" i="18"/>
  <c r="AE854" i="18"/>
  <c r="AE997" i="18"/>
  <c r="AE1131" i="18"/>
  <c r="AE11" i="18"/>
  <c r="AE27" i="18"/>
  <c r="AE43" i="18"/>
  <c r="AE59" i="18"/>
  <c r="AE75" i="18"/>
  <c r="AE95" i="18"/>
  <c r="AE111" i="18"/>
  <c r="AE127" i="18"/>
  <c r="AE143" i="18"/>
  <c r="AE148" i="18"/>
  <c r="AE164" i="18"/>
  <c r="AE180" i="18"/>
  <c r="AE196" i="18"/>
  <c r="AE212" i="18"/>
  <c r="AE228" i="18"/>
  <c r="AE268" i="18"/>
  <c r="AE273" i="18"/>
  <c r="AE292" i="18"/>
  <c r="AE338" i="18"/>
  <c r="AE348" i="18"/>
  <c r="AE375" i="18"/>
  <c r="AE378" i="18"/>
  <c r="AE400" i="18"/>
  <c r="AE403" i="18"/>
  <c r="AE413" i="18"/>
  <c r="AE440" i="18"/>
  <c r="AE443" i="18"/>
  <c r="AE464" i="18"/>
  <c r="AE467" i="18"/>
  <c r="AE480" i="18"/>
  <c r="AE507" i="18"/>
  <c r="AE510" i="18"/>
  <c r="AE531" i="18"/>
  <c r="AE534" i="18"/>
  <c r="AE544" i="18"/>
  <c r="AE685" i="18"/>
  <c r="AE960" i="18"/>
  <c r="AE1097" i="18"/>
  <c r="AE563" i="18"/>
  <c r="AE566" i="18"/>
  <c r="AE574" i="18"/>
  <c r="AE579" i="18"/>
  <c r="AE582" i="18"/>
  <c r="AE590" i="18"/>
  <c r="AE595" i="18"/>
  <c r="AE598" i="18"/>
  <c r="AE606" i="18"/>
  <c r="AE611" i="18"/>
  <c r="AE614" i="18"/>
  <c r="AE631" i="18"/>
  <c r="AE634" i="18"/>
  <c r="AE644" i="18"/>
  <c r="AE688" i="18"/>
  <c r="AE691" i="18"/>
  <c r="AE725" i="18"/>
  <c r="AE728" i="18"/>
  <c r="AE749" i="18"/>
  <c r="AE764" i="18"/>
  <c r="AE768" i="18"/>
  <c r="AE784" i="18"/>
  <c r="AE787" i="18"/>
  <c r="AE810" i="18"/>
  <c r="AE820" i="18"/>
  <c r="AE826" i="18"/>
  <c r="AE842" i="18"/>
  <c r="AE855" i="18"/>
  <c r="AE868" i="18"/>
  <c r="AE875" i="18"/>
  <c r="AE888" i="18"/>
  <c r="AE900" i="18"/>
  <c r="AE907" i="18"/>
  <c r="AE937" i="18"/>
  <c r="AE948" i="18"/>
  <c r="AE980" i="18"/>
  <c r="AE1019" i="18"/>
  <c r="AE1051" i="18"/>
  <c r="AE1085" i="18"/>
  <c r="AE1119" i="18"/>
  <c r="AE1158" i="18"/>
  <c r="AE1178" i="18"/>
  <c r="AE1206" i="18"/>
  <c r="AE1222" i="18"/>
  <c r="AE1233" i="18"/>
  <c r="AE1253" i="18"/>
  <c r="AE1278" i="18"/>
  <c r="AE1288" i="18"/>
  <c r="AE1300" i="18"/>
  <c r="AE1322" i="18"/>
  <c r="AE1347" i="18"/>
  <c r="AE1357" i="18"/>
  <c r="AE1367" i="18"/>
  <c r="AE1397" i="18"/>
  <c r="AE1461" i="18"/>
  <c r="AE1525" i="18"/>
  <c r="AE1674" i="18"/>
  <c r="AE240" i="18"/>
  <c r="AE256" i="18"/>
  <c r="AE272" i="18"/>
  <c r="AE288" i="18"/>
  <c r="AE304" i="18"/>
  <c r="AE326" i="18"/>
  <c r="AE339" i="18"/>
  <c r="AE342" i="18"/>
  <c r="AE350" i="18"/>
  <c r="AE355" i="18"/>
  <c r="AE358" i="18"/>
  <c r="AE371" i="18"/>
  <c r="AE374" i="18"/>
  <c r="AE387" i="18"/>
  <c r="AE390" i="18"/>
  <c r="AE404" i="18"/>
  <c r="AE407" i="18"/>
  <c r="AE420" i="18"/>
  <c r="AE423" i="18"/>
  <c r="AE436" i="18"/>
  <c r="AE439" i="18"/>
  <c r="AE452" i="18"/>
  <c r="AE455" i="18"/>
  <c r="AE468" i="18"/>
  <c r="AE471" i="18"/>
  <c r="AE487" i="18"/>
  <c r="AE490" i="18"/>
  <c r="AE503" i="18"/>
  <c r="AE506" i="18"/>
  <c r="AE519" i="18"/>
  <c r="AE522" i="18"/>
  <c r="AE535" i="18"/>
  <c r="AE538" i="18"/>
  <c r="AE551" i="18"/>
  <c r="AE554" i="18"/>
  <c r="AE567" i="18"/>
  <c r="AE570" i="18"/>
  <c r="AE578" i="18"/>
  <c r="AE583" i="18"/>
  <c r="AE594" i="18"/>
  <c r="AE599" i="18"/>
  <c r="AE602" i="18"/>
  <c r="AE610" i="18"/>
  <c r="AE615" i="18"/>
  <c r="AE618" i="18"/>
  <c r="AE628" i="18"/>
  <c r="AE672" i="18"/>
  <c r="AE675" i="18"/>
  <c r="AE696" i="18"/>
  <c r="AE699" i="18"/>
  <c r="AE712" i="18"/>
  <c r="AE733" i="18"/>
  <c r="AE800" i="18"/>
  <c r="AE804" i="18"/>
  <c r="AE816" i="18"/>
  <c r="AE819" i="18"/>
  <c r="AE847" i="18"/>
  <c r="AE859" i="18"/>
  <c r="AE867" i="18"/>
  <c r="AE880" i="18"/>
  <c r="AE892" i="18"/>
  <c r="AE899" i="18"/>
  <c r="AE917" i="18"/>
  <c r="AE929" i="18"/>
  <c r="AE936" i="18"/>
  <c r="AE953" i="18"/>
  <c r="AE972" i="18"/>
  <c r="AE985" i="18"/>
  <c r="AE1009" i="18"/>
  <c r="AE1024" i="18"/>
  <c r="AE1043" i="18"/>
  <c r="AE1058" i="18"/>
  <c r="AE1077" i="18"/>
  <c r="AE1090" i="18"/>
  <c r="AE1111" i="18"/>
  <c r="AE1124" i="18"/>
  <c r="AE1145" i="18"/>
  <c r="AE619" i="18"/>
  <c r="AE622" i="18"/>
  <c r="AE635" i="18"/>
  <c r="AE638" i="18"/>
  <c r="AE668" i="18"/>
  <c r="AE671" i="18"/>
  <c r="AE684" i="18"/>
  <c r="AE687" i="18"/>
  <c r="AE724" i="18"/>
  <c r="AE727" i="18"/>
  <c r="AE740" i="18"/>
  <c r="AE743" i="18"/>
  <c r="AE783" i="18"/>
  <c r="AE786" i="18"/>
  <c r="AE815" i="18"/>
  <c r="AE818" i="18"/>
  <c r="AE1172" i="18"/>
  <c r="AE1188" i="18"/>
  <c r="AE1236" i="18"/>
  <c r="AE1247" i="18"/>
  <c r="AE1262" i="18"/>
  <c r="AE1272" i="18"/>
  <c r="AE1282" i="18"/>
  <c r="AE1305" i="18"/>
  <c r="AE1331" i="18"/>
  <c r="AE1341" i="18"/>
  <c r="AE1351" i="18"/>
  <c r="AE1379" i="18"/>
  <c r="AE1477" i="18"/>
  <c r="AE1541" i="18"/>
  <c r="AE1562" i="18"/>
  <c r="AE1594" i="18"/>
  <c r="AE1626" i="18"/>
  <c r="AE1190" i="18"/>
  <c r="AE1261" i="18"/>
  <c r="AE1362" i="18"/>
  <c r="AE1436" i="18"/>
  <c r="AE1500" i="18"/>
  <c r="AE1532" i="18"/>
  <c r="AE1569" i="18"/>
  <c r="AE1585" i="18"/>
  <c r="AE1601" i="18"/>
  <c r="AE1609" i="18"/>
  <c r="AE1701" i="18"/>
  <c r="AE1704" i="18"/>
  <c r="AE1733" i="18"/>
  <c r="AE1763" i="18"/>
  <c r="AE1779" i="18"/>
  <c r="AE1795" i="18"/>
  <c r="AE1811" i="18"/>
  <c r="AE1827" i="18"/>
  <c r="AE1840" i="18"/>
  <c r="AE1844" i="18"/>
  <c r="AE1860" i="18"/>
  <c r="AE1892" i="18"/>
  <c r="AE1908" i="18"/>
  <c r="AE1916" i="18"/>
  <c r="AE1940" i="18"/>
  <c r="AE1964" i="18"/>
  <c r="AE1988" i="18"/>
  <c r="AE2004" i="18"/>
  <c r="AE1380" i="18"/>
  <c r="AE1392" i="18"/>
  <c r="AE1408" i="18"/>
  <c r="AE1424" i="18"/>
  <c r="AE1440" i="18"/>
  <c r="AE1456" i="18"/>
  <c r="AE1472" i="18"/>
  <c r="AE1488" i="18"/>
  <c r="AE1504" i="18"/>
  <c r="AE1520" i="18"/>
  <c r="AE1536" i="18"/>
  <c r="AE1552" i="18"/>
  <c r="AE1565" i="18"/>
  <c r="AE1613" i="18"/>
  <c r="AE1629" i="18"/>
  <c r="AE1637" i="18"/>
  <c r="AE1669" i="18"/>
  <c r="AE1696" i="18"/>
  <c r="AE1728" i="18"/>
  <c r="AE1767" i="18"/>
  <c r="AE1783" i="18"/>
  <c r="AE1799" i="18"/>
  <c r="AE1815" i="18"/>
  <c r="AE1831" i="18"/>
  <c r="AE1848" i="18"/>
  <c r="AE1864" i="18"/>
  <c r="AE1896" i="18"/>
  <c r="AE1920" i="18"/>
  <c r="AE1936" i="18"/>
  <c r="AE1944" i="18"/>
  <c r="AE1952" i="18"/>
  <c r="AE1968" i="18"/>
  <c r="AE1992" i="18"/>
  <c r="AE2008" i="18"/>
  <c r="AE1307" i="18"/>
  <c r="AE1340" i="18"/>
  <c r="AE1372" i="18"/>
  <c r="AE1378" i="18"/>
  <c r="AE1396" i="18"/>
  <c r="AE1412" i="18"/>
  <c r="AE1444" i="18"/>
  <c r="AE1460" i="18"/>
  <c r="AE1468" i="18"/>
  <c r="AE1508" i="18"/>
  <c r="AE1625" i="18"/>
  <c r="AE1633" i="18"/>
  <c r="AE1641" i="18"/>
  <c r="AE1657" i="18"/>
  <c r="AE257" i="3"/>
  <c r="AE133" i="17"/>
  <c r="AE134" i="17"/>
  <c r="AE66" i="17"/>
  <c r="AE65" i="17"/>
  <c r="AF317" i="14"/>
  <c r="AF319" i="14"/>
  <c r="AE422" i="18"/>
  <c r="AE446" i="18"/>
  <c r="AE481" i="18"/>
  <c r="AE505" i="18"/>
  <c r="AE537" i="18"/>
  <c r="AE553" i="18"/>
  <c r="AE561" i="18"/>
  <c r="AE577" i="18"/>
  <c r="AE593" i="18"/>
  <c r="AE617" i="18"/>
  <c r="AE625" i="18"/>
  <c r="AE666" i="18"/>
  <c r="AE682" i="18"/>
  <c r="AE5" i="18"/>
  <c r="AE9" i="18"/>
  <c r="AE13" i="18"/>
  <c r="AE17" i="18"/>
  <c r="AE21" i="18"/>
  <c r="AE25" i="18"/>
  <c r="AE29" i="18"/>
  <c r="AE33" i="18"/>
  <c r="AE37" i="18"/>
  <c r="AE41" i="18"/>
  <c r="AE45" i="18"/>
  <c r="AE49" i="18"/>
  <c r="AE53" i="18"/>
  <c r="AE57" i="18"/>
  <c r="AE61" i="18"/>
  <c r="AE65" i="18"/>
  <c r="AE69" i="18"/>
  <c r="AE73" i="18"/>
  <c r="AE77" i="18"/>
  <c r="AE81" i="18"/>
  <c r="AE85" i="18"/>
  <c r="AE89" i="18"/>
  <c r="AE93" i="18"/>
  <c r="AE97" i="18"/>
  <c r="AE101" i="18"/>
  <c r="AE105" i="18"/>
  <c r="AE109" i="18"/>
  <c r="AE113" i="18"/>
  <c r="AE117" i="18"/>
  <c r="AE121" i="18"/>
  <c r="AE125" i="18"/>
  <c r="AE129" i="18"/>
  <c r="AE133" i="18"/>
  <c r="AE137" i="18"/>
  <c r="AE141" i="18"/>
  <c r="AE145" i="18"/>
  <c r="AE147" i="18"/>
  <c r="AE151" i="18"/>
  <c r="AE155" i="18"/>
  <c r="AE159" i="18"/>
  <c r="AE163" i="18"/>
  <c r="AE167" i="18"/>
  <c r="AE171" i="18"/>
  <c r="AE175" i="18"/>
  <c r="AE179" i="18"/>
  <c r="AE183" i="18"/>
  <c r="AE187" i="18"/>
  <c r="AE191" i="18"/>
  <c r="AE195" i="18"/>
  <c r="AE199" i="18"/>
  <c r="AE203" i="18"/>
  <c r="AE207" i="18"/>
  <c r="AE211" i="18"/>
  <c r="AE215" i="18"/>
  <c r="AE219" i="18"/>
  <c r="AE223" i="18"/>
  <c r="AE227" i="18"/>
  <c r="AE231" i="18"/>
  <c r="AE235" i="18"/>
  <c r="AE239" i="18"/>
  <c r="AE243" i="18"/>
  <c r="AE247" i="18"/>
  <c r="AE251" i="18"/>
  <c r="AE255" i="18"/>
  <c r="AE259" i="18"/>
  <c r="AE263" i="18"/>
  <c r="AE267" i="18"/>
  <c r="AE271" i="18"/>
  <c r="AE275" i="18"/>
  <c r="AE279" i="18"/>
  <c r="AE283" i="18"/>
  <c r="AE287" i="18"/>
  <c r="AE291" i="18"/>
  <c r="AE295" i="18"/>
  <c r="AE299" i="18"/>
  <c r="AE303" i="18"/>
  <c r="AE307" i="18"/>
  <c r="AE311" i="18"/>
  <c r="AE325" i="18"/>
  <c r="AE329" i="18"/>
  <c r="AE333" i="18"/>
  <c r="AE337" i="18"/>
  <c r="AE341" i="18"/>
  <c r="AE349" i="18"/>
  <c r="AE373" i="18"/>
  <c r="AE389" i="18"/>
  <c r="AE398" i="18"/>
  <c r="AE414" i="18"/>
  <c r="AE438" i="18"/>
  <c r="AE454" i="18"/>
  <c r="AE462" i="18"/>
  <c r="AE470" i="18"/>
  <c r="AE489" i="18"/>
  <c r="AE513" i="18"/>
  <c r="AE569" i="18"/>
  <c r="AE601" i="18"/>
  <c r="AE609" i="18"/>
  <c r="AE674" i="18"/>
  <c r="AE690" i="18"/>
  <c r="AE698" i="18"/>
  <c r="AE772" i="18"/>
  <c r="AE1210" i="18"/>
  <c r="AE4" i="18"/>
  <c r="AE8" i="18"/>
  <c r="AE12" i="18"/>
  <c r="AE16" i="18"/>
  <c r="AE20" i="18"/>
  <c r="AE24" i="18"/>
  <c r="AE28" i="18"/>
  <c r="AE32" i="18"/>
  <c r="AE36" i="18"/>
  <c r="AE40" i="18"/>
  <c r="AE44" i="18"/>
  <c r="AE48" i="18"/>
  <c r="AE52" i="18"/>
  <c r="AE56" i="18"/>
  <c r="AE60" i="18"/>
  <c r="AE64" i="18"/>
  <c r="AE68" i="18"/>
  <c r="AE72" i="18"/>
  <c r="AE76" i="18"/>
  <c r="AE80" i="18"/>
  <c r="AE82" i="18"/>
  <c r="AE86" i="18"/>
  <c r="AE90" i="18"/>
  <c r="AE94" i="18"/>
  <c r="AE98" i="18"/>
  <c r="AE102" i="18"/>
  <c r="AE106" i="18"/>
  <c r="AE110" i="18"/>
  <c r="AE114" i="18"/>
  <c r="AE118" i="18"/>
  <c r="AE122" i="18"/>
  <c r="AE126" i="18"/>
  <c r="AE130" i="18"/>
  <c r="AE134" i="18"/>
  <c r="AE138" i="18"/>
  <c r="AE142" i="18"/>
  <c r="AE146" i="18"/>
  <c r="AE150" i="18"/>
  <c r="AE154" i="18"/>
  <c r="AE158" i="18"/>
  <c r="AE162" i="18"/>
  <c r="AE166" i="18"/>
  <c r="AE170" i="18"/>
  <c r="AE174" i="18"/>
  <c r="AE178" i="18"/>
  <c r="AE182" i="18"/>
  <c r="AE186" i="18"/>
  <c r="AE190" i="18"/>
  <c r="AE194" i="18"/>
  <c r="AE198" i="18"/>
  <c r="AE202" i="18"/>
  <c r="AE206" i="18"/>
  <c r="AE210" i="18"/>
  <c r="AE214" i="18"/>
  <c r="AE218" i="18"/>
  <c r="AE222" i="18"/>
  <c r="AE226" i="18"/>
  <c r="AE230" i="18"/>
  <c r="AE234" i="18"/>
  <c r="AE238" i="18"/>
  <c r="AE242" i="18"/>
  <c r="AE246" i="18"/>
  <c r="AE250" i="18"/>
  <c r="AE254" i="18"/>
  <c r="AE258" i="18"/>
  <c r="AE262" i="18"/>
  <c r="AE266" i="18"/>
  <c r="AE270" i="18"/>
  <c r="AE274" i="18"/>
  <c r="AE278" i="18"/>
  <c r="AE282" i="18"/>
  <c r="AE286" i="18"/>
  <c r="AE290" i="18"/>
  <c r="AE294" i="18"/>
  <c r="AE298" i="18"/>
  <c r="AE302" i="18"/>
  <c r="AE306" i="18"/>
  <c r="AE310" i="18"/>
  <c r="AE314" i="18"/>
  <c r="AE324" i="18"/>
  <c r="AE328" i="18"/>
  <c r="AE332" i="18"/>
  <c r="AE336" i="18"/>
  <c r="AE345" i="18"/>
  <c r="AE353" i="18"/>
  <c r="AE361" i="18"/>
  <c r="AE369" i="18"/>
  <c r="AE377" i="18"/>
  <c r="AE385" i="18"/>
  <c r="AE394" i="18"/>
  <c r="AE402" i="18"/>
  <c r="AE410" i="18"/>
  <c r="AE418" i="18"/>
  <c r="AE426" i="18"/>
  <c r="AE434" i="18"/>
  <c r="AE442" i="18"/>
  <c r="AE450" i="18"/>
  <c r="AE458" i="18"/>
  <c r="AE466" i="18"/>
  <c r="AE477" i="18"/>
  <c r="AE485" i="18"/>
  <c r="AE493" i="18"/>
  <c r="AE501" i="18"/>
  <c r="AE509" i="18"/>
  <c r="AE517" i="18"/>
  <c r="AE525" i="18"/>
  <c r="AE533" i="18"/>
  <c r="AE541" i="18"/>
  <c r="AE549" i="18"/>
  <c r="AE557" i="18"/>
  <c r="AE565" i="18"/>
  <c r="AE573" i="18"/>
  <c r="AE581" i="18"/>
  <c r="AE589" i="18"/>
  <c r="AE597" i="18"/>
  <c r="AE605" i="18"/>
  <c r="AE613" i="18"/>
  <c r="AE621" i="18"/>
  <c r="AE629" i="18"/>
  <c r="AE637" i="18"/>
  <c r="AE645" i="18"/>
  <c r="AE670" i="18"/>
  <c r="AE678" i="18"/>
  <c r="AE686" i="18"/>
  <c r="AE694" i="18"/>
  <c r="AE704" i="18"/>
  <c r="AE713" i="18"/>
  <c r="AE721" i="18"/>
  <c r="AE729" i="18"/>
  <c r="AE737" i="18"/>
  <c r="AE745" i="18"/>
  <c r="AE792" i="18"/>
  <c r="AE824" i="18"/>
  <c r="AE1499" i="18"/>
  <c r="AE357" i="18"/>
  <c r="AE365" i="18"/>
  <c r="AE381" i="18"/>
  <c r="AE406" i="18"/>
  <c r="AE430" i="18"/>
  <c r="AE497" i="18"/>
  <c r="AE521" i="18"/>
  <c r="AE529" i="18"/>
  <c r="AE545" i="18"/>
  <c r="AE585" i="18"/>
  <c r="AE633" i="18"/>
  <c r="AE641" i="18"/>
  <c r="AE709" i="18"/>
  <c r="AE808" i="18"/>
  <c r="AE715" i="18"/>
  <c r="AE723" i="18"/>
  <c r="AE731" i="18"/>
  <c r="AE739" i="18"/>
  <c r="AE747" i="18"/>
  <c r="AE760" i="18"/>
  <c r="AE776" i="18"/>
  <c r="AE796" i="18"/>
  <c r="AE812" i="18"/>
  <c r="AE828" i="18"/>
  <c r="AE1176" i="18"/>
  <c r="AE1209" i="18"/>
  <c r="AE1283" i="18"/>
  <c r="AE1352" i="18"/>
  <c r="AE1403" i="18"/>
  <c r="AE1531" i="18"/>
  <c r="AE1690" i="18"/>
  <c r="AE714" i="18"/>
  <c r="AE722" i="18"/>
  <c r="AE730" i="18"/>
  <c r="AE738" i="18"/>
  <c r="AE746" i="18"/>
  <c r="AE757" i="18"/>
  <c r="AE773" i="18"/>
  <c r="AE793" i="18"/>
  <c r="AE809" i="18"/>
  <c r="AE825" i="18"/>
  <c r="AE949" i="18"/>
  <c r="AE957" i="18"/>
  <c r="AE965" i="18"/>
  <c r="AE973" i="18"/>
  <c r="AE981" i="18"/>
  <c r="AE994" i="18"/>
  <c r="AE1002" i="18"/>
  <c r="AE1020" i="18"/>
  <c r="AE1028" i="18"/>
  <c r="AE1036" i="18"/>
  <c r="AE1044" i="18"/>
  <c r="AE1052" i="18"/>
  <c r="AE1062" i="18"/>
  <c r="AE1070" i="18"/>
  <c r="AE1078" i="18"/>
  <c r="AE1086" i="18"/>
  <c r="AE1094" i="18"/>
  <c r="AE1102" i="18"/>
  <c r="AE1112" i="18"/>
  <c r="AE1120" i="18"/>
  <c r="AE1128" i="18"/>
  <c r="AE1138" i="18"/>
  <c r="AE1146" i="18"/>
  <c r="AE1175" i="18"/>
  <c r="AE1203" i="18"/>
  <c r="AE1435" i="18"/>
  <c r="AE1563" i="18"/>
  <c r="AE1568" i="18"/>
  <c r="AE1575" i="18"/>
  <c r="AE1251" i="18"/>
  <c r="AE1320" i="18"/>
  <c r="AE1384" i="18"/>
  <c r="AE1467" i="18"/>
  <c r="AE762" i="18"/>
  <c r="AE770" i="18"/>
  <c r="AE790" i="18"/>
  <c r="AE798" i="18"/>
  <c r="AE806" i="18"/>
  <c r="AE814" i="18"/>
  <c r="AE822" i="18"/>
  <c r="AE830" i="18"/>
  <c r="AE841" i="18"/>
  <c r="AE849" i="18"/>
  <c r="AE857" i="18"/>
  <c r="AE866" i="18"/>
  <c r="AE874" i="18"/>
  <c r="AE882" i="18"/>
  <c r="AE890" i="18"/>
  <c r="AE898" i="18"/>
  <c r="AE906" i="18"/>
  <c r="AE925" i="18"/>
  <c r="AE945" i="18"/>
  <c r="AE961" i="18"/>
  <c r="AE977" i="18"/>
  <c r="AE998" i="18"/>
  <c r="AE1016" i="18"/>
  <c r="AE1032" i="18"/>
  <c r="AE1048" i="18"/>
  <c r="AE1066" i="18"/>
  <c r="AE1082" i="18"/>
  <c r="AE1098" i="18"/>
  <c r="AE1116" i="18"/>
  <c r="AE1132" i="18"/>
  <c r="AE1150" i="18"/>
  <c r="AE1157" i="18"/>
  <c r="AE1164" i="18"/>
  <c r="AE1187" i="18"/>
  <c r="AE1193" i="18"/>
  <c r="AE1202" i="18"/>
  <c r="AE1221" i="18"/>
  <c r="AE1225" i="18"/>
  <c r="AE1255" i="18"/>
  <c r="AE1259" i="18"/>
  <c r="AE1287" i="18"/>
  <c r="AE1292" i="18"/>
  <c r="AE1324" i="18"/>
  <c r="AE1328" i="18"/>
  <c r="AE1356" i="18"/>
  <c r="AE1360" i="18"/>
  <c r="AE1395" i="18"/>
  <c r="AE1427" i="18"/>
  <c r="AE1459" i="18"/>
  <c r="AE1491" i="18"/>
  <c r="AE1523" i="18"/>
  <c r="AE1555" i="18"/>
  <c r="AE1595" i="18"/>
  <c r="AE1600" i="18"/>
  <c r="AE1607" i="18"/>
  <c r="AE1689" i="18"/>
  <c r="AE1714" i="18"/>
  <c r="AE1179" i="18"/>
  <c r="AE1185" i="18"/>
  <c r="AE1192" i="18"/>
  <c r="AE1213" i="18"/>
  <c r="AE1230" i="18"/>
  <c r="AE1234" i="18"/>
  <c r="AE1263" i="18"/>
  <c r="AE1267" i="18"/>
  <c r="AE1296" i="18"/>
  <c r="AE1332" i="18"/>
  <c r="AE1336" i="18"/>
  <c r="AE1364" i="18"/>
  <c r="AE1368" i="18"/>
  <c r="AE1387" i="18"/>
  <c r="AE1419" i="18"/>
  <c r="AE1451" i="18"/>
  <c r="AE1483" i="18"/>
  <c r="AE1515" i="18"/>
  <c r="AE1547" i="18"/>
  <c r="AE1627" i="18"/>
  <c r="AE1632" i="18"/>
  <c r="AE1639" i="18"/>
  <c r="AE1683" i="18"/>
  <c r="AE1177" i="18"/>
  <c r="AE1184" i="18"/>
  <c r="AE1211" i="18"/>
  <c r="AE1243" i="18"/>
  <c r="AE1275" i="18"/>
  <c r="AE1311" i="18"/>
  <c r="AE1344" i="18"/>
  <c r="AE1376" i="18"/>
  <c r="AE1411" i="18"/>
  <c r="AE1443" i="18"/>
  <c r="AE1475" i="18"/>
  <c r="AE1507" i="18"/>
  <c r="AE1539" i="18"/>
  <c r="AE1659" i="18"/>
  <c r="AE1664" i="18"/>
  <c r="AE1671" i="18"/>
  <c r="AE1850" i="18"/>
  <c r="AE1855" i="18"/>
  <c r="AE1386" i="18"/>
  <c r="AE1394" i="18"/>
  <c r="AE1402" i="18"/>
  <c r="AE1410" i="18"/>
  <c r="AE1418" i="18"/>
  <c r="AE1426" i="18"/>
  <c r="AE1434" i="18"/>
  <c r="AE1442" i="18"/>
  <c r="AE1450" i="18"/>
  <c r="AE1458" i="18"/>
  <c r="AE1466" i="18"/>
  <c r="AE1474" i="18"/>
  <c r="AE1482" i="18"/>
  <c r="AE1490" i="18"/>
  <c r="AE1498" i="18"/>
  <c r="AE1506" i="18"/>
  <c r="AE1514" i="18"/>
  <c r="AE1522" i="18"/>
  <c r="AE1530" i="18"/>
  <c r="AE1538" i="18"/>
  <c r="AE1546" i="18"/>
  <c r="AE1554" i="18"/>
  <c r="AE1560" i="18"/>
  <c r="AE1567" i="18"/>
  <c r="AE1587" i="18"/>
  <c r="AE1592" i="18"/>
  <c r="AE1599" i="18"/>
  <c r="AE1619" i="18"/>
  <c r="AE1624" i="18"/>
  <c r="AE1631" i="18"/>
  <c r="AE1651" i="18"/>
  <c r="AE1656" i="18"/>
  <c r="AE1663" i="18"/>
  <c r="AE1682" i="18"/>
  <c r="AE1713" i="18"/>
  <c r="AE1745" i="18"/>
  <c r="AE1754" i="18"/>
  <c r="AE1946" i="18"/>
  <c r="AE1951" i="18"/>
  <c r="AE2002" i="18"/>
  <c r="AE2007" i="18"/>
  <c r="AE1218" i="18"/>
  <c r="AE1235" i="18"/>
  <c r="AE1244" i="18"/>
  <c r="AE1252" i="18"/>
  <c r="AE1260" i="18"/>
  <c r="AE1268" i="18"/>
  <c r="AE1276" i="18"/>
  <c r="AE1284" i="18"/>
  <c r="AE1293" i="18"/>
  <c r="AE1321" i="18"/>
  <c r="AE1329" i="18"/>
  <c r="AE1337" i="18"/>
  <c r="AE1345" i="18"/>
  <c r="AE1353" i="18"/>
  <c r="AE1361" i="18"/>
  <c r="AE1369" i="18"/>
  <c r="AE1377" i="18"/>
  <c r="AE1391" i="18"/>
  <c r="AE1399" i="18"/>
  <c r="AE1407" i="18"/>
  <c r="AE1415" i="18"/>
  <c r="AE1423" i="18"/>
  <c r="AE1431" i="18"/>
  <c r="AE1439" i="18"/>
  <c r="AE1447" i="18"/>
  <c r="AE1455" i="18"/>
  <c r="AE1463" i="18"/>
  <c r="AE1471" i="18"/>
  <c r="AE1479" i="18"/>
  <c r="AE1487" i="18"/>
  <c r="AE1495" i="18"/>
  <c r="AE1503" i="18"/>
  <c r="AE1511" i="18"/>
  <c r="AE1519" i="18"/>
  <c r="AE1527" i="18"/>
  <c r="AE1535" i="18"/>
  <c r="AE1543" i="18"/>
  <c r="AE1551" i="18"/>
  <c r="AE1559" i="18"/>
  <c r="AE1579" i="18"/>
  <c r="AE1584" i="18"/>
  <c r="AE1591" i="18"/>
  <c r="AE1611" i="18"/>
  <c r="AE1616" i="18"/>
  <c r="AE1623" i="18"/>
  <c r="AE1643" i="18"/>
  <c r="AE1648" i="18"/>
  <c r="AE1655" i="18"/>
  <c r="AE1675" i="18"/>
  <c r="AE1681" i="18"/>
  <c r="AE1707" i="18"/>
  <c r="AE1739" i="18"/>
  <c r="AE1753" i="18"/>
  <c r="AE1882" i="18"/>
  <c r="AE1887" i="18"/>
  <c r="AE1938" i="18"/>
  <c r="AE1943" i="18"/>
  <c r="AE1978" i="18"/>
  <c r="AE1983" i="18"/>
  <c r="AE919" i="18"/>
  <c r="AE927" i="18"/>
  <c r="AE935" i="18"/>
  <c r="AE947" i="18"/>
  <c r="AE955" i="18"/>
  <c r="AE963" i="18"/>
  <c r="AE971" i="18"/>
  <c r="AE979" i="18"/>
  <c r="AE987" i="18"/>
  <c r="AE1000" i="18"/>
  <c r="AE1008" i="18"/>
  <c r="AE1018" i="18"/>
  <c r="AE1026" i="18"/>
  <c r="AE1034" i="18"/>
  <c r="AE1042" i="18"/>
  <c r="AE1050" i="18"/>
  <c r="AE1060" i="18"/>
  <c r="AE1068" i="18"/>
  <c r="AE1076" i="18"/>
  <c r="AE1084" i="18"/>
  <c r="AE1092" i="18"/>
  <c r="AE1100" i="18"/>
  <c r="AE1108" i="18"/>
  <c r="AE1118" i="18"/>
  <c r="AE1126" i="18"/>
  <c r="AE1144" i="18"/>
  <c r="AE1152" i="18"/>
  <c r="AE1161" i="18"/>
  <c r="AE1173" i="18"/>
  <c r="AE1181" i="18"/>
  <c r="AE1189" i="18"/>
  <c r="AE1197" i="18"/>
  <c r="AE1207" i="18"/>
  <c r="AE1215" i="18"/>
  <c r="AE1223" i="18"/>
  <c r="AE1232" i="18"/>
  <c r="AE1241" i="18"/>
  <c r="AE1249" i="18"/>
  <c r="AE1257" i="18"/>
  <c r="AE1265" i="18"/>
  <c r="AE1273" i="18"/>
  <c r="AE1281" i="18"/>
  <c r="AE1290" i="18"/>
  <c r="AE1298" i="18"/>
  <c r="AE1309" i="18"/>
  <c r="AE1318" i="18"/>
  <c r="AE1326" i="18"/>
  <c r="AE1334" i="18"/>
  <c r="AE1342" i="18"/>
  <c r="AE1350" i="18"/>
  <c r="AE1358" i="18"/>
  <c r="AE1366" i="18"/>
  <c r="AE1374" i="18"/>
  <c r="AE1382" i="18"/>
  <c r="AE1390" i="18"/>
  <c r="AE1398" i="18"/>
  <c r="AE1406" i="18"/>
  <c r="AE1414" i="18"/>
  <c r="AE1422" i="18"/>
  <c r="AE1430" i="18"/>
  <c r="AE1438" i="18"/>
  <c r="AE1446" i="18"/>
  <c r="AE1454" i="18"/>
  <c r="AE1462" i="18"/>
  <c r="AE1470" i="18"/>
  <c r="AE1478" i="18"/>
  <c r="AE1486" i="18"/>
  <c r="AE1494" i="18"/>
  <c r="AE1502" i="18"/>
  <c r="AE1510" i="18"/>
  <c r="AE1518" i="18"/>
  <c r="AE1526" i="18"/>
  <c r="AE1534" i="18"/>
  <c r="AE1542" i="18"/>
  <c r="AE1550" i="18"/>
  <c r="AE1558" i="18"/>
  <c r="AE1571" i="18"/>
  <c r="AE1576" i="18"/>
  <c r="AE1583" i="18"/>
  <c r="AE1603" i="18"/>
  <c r="AE1608" i="18"/>
  <c r="AE1615" i="18"/>
  <c r="AE1635" i="18"/>
  <c r="AE1640" i="18"/>
  <c r="AE1647" i="18"/>
  <c r="AE1667" i="18"/>
  <c r="AE1672" i="18"/>
  <c r="AE1747" i="18"/>
  <c r="AE1874" i="18"/>
  <c r="AE1879" i="18"/>
  <c r="AE1914" i="18"/>
  <c r="AE1919" i="18"/>
  <c r="AE1564" i="18"/>
  <c r="AE1572" i="18"/>
  <c r="AE1580" i="18"/>
  <c r="AE1588" i="18"/>
  <c r="AE1596" i="18"/>
  <c r="AE1604" i="18"/>
  <c r="AE1612" i="18"/>
  <c r="AE1620" i="18"/>
  <c r="AE1628" i="18"/>
  <c r="AE1636" i="18"/>
  <c r="AE1644" i="18"/>
  <c r="AE1652" i="18"/>
  <c r="AE1660" i="18"/>
  <c r="AE1668" i="18"/>
  <c r="AE1676" i="18"/>
  <c r="AE1715" i="18"/>
  <c r="AE1722" i="18"/>
  <c r="AE1746" i="18"/>
  <c r="AE1847" i="18"/>
  <c r="AE1906" i="18"/>
  <c r="AE1911" i="18"/>
  <c r="AE1970" i="18"/>
  <c r="AE1975" i="18"/>
  <c r="AE1693" i="18"/>
  <c r="AE1699" i="18"/>
  <c r="AE1706" i="18"/>
  <c r="AE1725" i="18"/>
  <c r="AE1731" i="18"/>
  <c r="AE1738" i="18"/>
  <c r="AE1866" i="18"/>
  <c r="AE1871" i="18"/>
  <c r="AE1898" i="18"/>
  <c r="AE1903" i="18"/>
  <c r="AE1930" i="18"/>
  <c r="AE1935" i="18"/>
  <c r="AE1962" i="18"/>
  <c r="AE1967" i="18"/>
  <c r="AE1994" i="18"/>
  <c r="AE1999" i="18"/>
  <c r="AE1685" i="18"/>
  <c r="AE1691" i="18"/>
  <c r="AE1698" i="18"/>
  <c r="AE1717" i="18"/>
  <c r="AE1723" i="18"/>
  <c r="AE1730" i="18"/>
  <c r="AE1737" i="18"/>
  <c r="AE1749" i="18"/>
  <c r="AE1858" i="18"/>
  <c r="AE1863" i="18"/>
  <c r="AE1890" i="18"/>
  <c r="AE1895" i="18"/>
  <c r="AE1922" i="18"/>
  <c r="AE1927" i="18"/>
  <c r="AE1954" i="18"/>
  <c r="AE1959" i="18"/>
  <c r="AE1986" i="18"/>
  <c r="AE1991" i="18"/>
  <c r="AE1758" i="18"/>
  <c r="AE1762" i="18"/>
  <c r="AE1766" i="18"/>
  <c r="AE1770" i="18"/>
  <c r="AE1774" i="18"/>
  <c r="AE1778" i="18"/>
  <c r="AE1782" i="18"/>
  <c r="AE1786" i="18"/>
  <c r="AE1790" i="18"/>
  <c r="AE1794" i="18"/>
  <c r="AE1798" i="18"/>
  <c r="AE1802" i="18"/>
  <c r="AE1806" i="18"/>
  <c r="AE1810" i="18"/>
  <c r="AE1814" i="18"/>
  <c r="AE1818" i="18"/>
  <c r="AE1822" i="18"/>
  <c r="AE1826" i="18"/>
  <c r="AE1830" i="18"/>
  <c r="AE1834" i="18"/>
  <c r="AE1838" i="18"/>
  <c r="AE1842" i="18"/>
  <c r="AE1846" i="18"/>
  <c r="AE1854" i="18"/>
  <c r="AE1862" i="18"/>
  <c r="AE1870" i="18"/>
  <c r="AE1878" i="18"/>
  <c r="AE1886" i="18"/>
  <c r="AE1894" i="18"/>
  <c r="AE1902" i="18"/>
  <c r="AE1910" i="18"/>
  <c r="AE1918" i="18"/>
  <c r="AE1926" i="18"/>
  <c r="AE1934" i="18"/>
  <c r="AE1942" i="18"/>
  <c r="AE1950" i="18"/>
  <c r="AE1958" i="18"/>
  <c r="AE1966" i="18"/>
  <c r="AE1974" i="18"/>
  <c r="AE1982" i="18"/>
  <c r="AE1990" i="18"/>
  <c r="AE1998" i="18"/>
  <c r="AE2006" i="18"/>
  <c r="AE1679" i="18"/>
  <c r="AE1687" i="18"/>
  <c r="AE1695" i="18"/>
  <c r="AE1703" i="18"/>
  <c r="AE1711" i="18"/>
  <c r="AE1719" i="18"/>
  <c r="AE1727" i="18"/>
  <c r="AE1735" i="18"/>
  <c r="AE1743" i="18"/>
  <c r="AE1751" i="18"/>
  <c r="AE1757" i="18"/>
  <c r="AE1761" i="18"/>
  <c r="AE1765" i="18"/>
  <c r="AE1769" i="18"/>
  <c r="AE1773" i="18"/>
  <c r="AE1777" i="18"/>
  <c r="AE1781" i="18"/>
  <c r="AE1785" i="18"/>
  <c r="AE1789" i="18"/>
  <c r="AE1793" i="18"/>
  <c r="AE1797" i="18"/>
  <c r="AE1801" i="18"/>
  <c r="AE1805" i="18"/>
  <c r="AE1809" i="18"/>
  <c r="AE1813" i="18"/>
  <c r="AE1817" i="18"/>
  <c r="AE1821" i="18"/>
  <c r="AE1825" i="18"/>
  <c r="AE1829" i="18"/>
  <c r="AE1833" i="18"/>
  <c r="AE1837" i="18"/>
  <c r="AE1841" i="18"/>
  <c r="AE1851" i="18"/>
  <c r="AE1859" i="18"/>
  <c r="AE1867" i="18"/>
  <c r="AE1875" i="18"/>
  <c r="AE1883" i="18"/>
  <c r="AE1891" i="18"/>
  <c r="AE1899" i="18"/>
  <c r="AE1907" i="18"/>
  <c r="AE1915" i="18"/>
  <c r="AE1923" i="18"/>
  <c r="AE1931" i="18"/>
  <c r="AE1939" i="18"/>
  <c r="AE1947" i="18"/>
  <c r="AE1955" i="18"/>
  <c r="AE1963" i="18"/>
  <c r="AE1971" i="18"/>
  <c r="AE1979" i="18"/>
  <c r="AE1987" i="18"/>
  <c r="AE1995" i="18"/>
  <c r="AE2003" i="18"/>
  <c r="AF280" i="14"/>
  <c r="AF279" i="14"/>
  <c r="AF227" i="14"/>
  <c r="AF226" i="14"/>
  <c r="AD645" i="5"/>
  <c r="AD646" i="5"/>
  <c r="AD461" i="5"/>
  <c r="AD462" i="5"/>
  <c r="AD463" i="5"/>
  <c r="AD360" i="5"/>
  <c r="AD361" i="5"/>
  <c r="AD362" i="5"/>
  <c r="AD308" i="5"/>
  <c r="AD309" i="5"/>
  <c r="AD256" i="3"/>
  <c r="AD66" i="3"/>
  <c r="AD67" i="3"/>
  <c r="AD68" i="3"/>
  <c r="AD375" i="11"/>
  <c r="AD376" i="11"/>
  <c r="AD377" i="11"/>
  <c r="AD378" i="11"/>
  <c r="AD379" i="11"/>
  <c r="AD380" i="11"/>
  <c r="AD381" i="11"/>
  <c r="AE256" i="3" l="1"/>
  <c r="AE2065" i="18"/>
  <c r="AE382" i="11"/>
  <c r="AE378" i="11"/>
  <c r="AE653" i="5"/>
  <c r="AE646" i="5"/>
  <c r="AE652" i="5"/>
  <c r="AE651" i="5"/>
  <c r="AE647" i="5"/>
  <c r="AE650" i="5"/>
  <c r="AE649" i="5"/>
  <c r="AE645" i="5"/>
  <c r="AE648" i="5"/>
  <c r="AE462" i="5"/>
  <c r="AE362" i="5"/>
  <c r="AE463" i="5"/>
  <c r="AE309" i="5"/>
  <c r="AE311" i="5"/>
  <c r="AE312" i="5"/>
  <c r="AE308" i="5"/>
  <c r="AE310" i="5"/>
  <c r="AE363" i="5"/>
  <c r="AE68" i="3"/>
  <c r="AE384" i="11"/>
  <c r="AE380" i="11"/>
  <c r="AE376" i="11"/>
  <c r="AE383" i="11"/>
  <c r="AE379" i="11"/>
  <c r="AE381" i="11"/>
  <c r="AE377" i="11"/>
  <c r="AD3" i="5" l="1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255" i="5"/>
  <c r="AD256" i="5"/>
  <c r="AD257" i="5"/>
  <c r="AD258" i="5"/>
  <c r="AD259" i="5"/>
  <c r="AD260" i="5"/>
  <c r="AD261" i="5"/>
  <c r="AD262" i="5"/>
  <c r="AD263" i="5"/>
  <c r="AD264" i="5"/>
  <c r="AD265" i="5"/>
  <c r="AD266" i="5"/>
  <c r="AD267" i="5"/>
  <c r="AD268" i="5"/>
  <c r="AD269" i="5"/>
  <c r="AD270" i="5"/>
  <c r="AD271" i="5"/>
  <c r="AD272" i="5"/>
  <c r="AD273" i="5"/>
  <c r="AD274" i="5"/>
  <c r="AD275" i="5"/>
  <c r="AD276" i="5"/>
  <c r="AD277" i="5"/>
  <c r="AD278" i="5"/>
  <c r="AD279" i="5"/>
  <c r="AD280" i="5"/>
  <c r="AD281" i="5"/>
  <c r="AD282" i="5"/>
  <c r="AD283" i="5"/>
  <c r="AD284" i="5"/>
  <c r="AD285" i="5"/>
  <c r="AD286" i="5"/>
  <c r="AD287" i="5"/>
  <c r="AD288" i="5"/>
  <c r="AD289" i="5"/>
  <c r="AD290" i="5"/>
  <c r="AD291" i="5"/>
  <c r="AD292" i="5"/>
  <c r="AD293" i="5"/>
  <c r="AD294" i="5"/>
  <c r="AD295" i="5"/>
  <c r="AD296" i="5"/>
  <c r="AD297" i="5"/>
  <c r="AD298" i="5"/>
  <c r="AD299" i="5"/>
  <c r="AD300" i="5"/>
  <c r="AD301" i="5"/>
  <c r="AD302" i="5"/>
  <c r="AD303" i="5"/>
  <c r="AD304" i="5"/>
  <c r="AD305" i="5"/>
  <c r="AD306" i="5"/>
  <c r="AD307" i="5"/>
  <c r="AD327" i="5"/>
  <c r="AD328" i="5"/>
  <c r="AD329" i="5"/>
  <c r="AD330" i="5"/>
  <c r="AD331" i="5"/>
  <c r="AD332" i="5"/>
  <c r="AD333" i="5"/>
  <c r="AD334" i="5"/>
  <c r="AD335" i="5"/>
  <c r="AD336" i="5"/>
  <c r="AD337" i="5"/>
  <c r="AD338" i="5"/>
  <c r="AD339" i="5"/>
  <c r="AD340" i="5"/>
  <c r="AD341" i="5"/>
  <c r="AD342" i="5"/>
  <c r="AD343" i="5"/>
  <c r="AD344" i="5"/>
  <c r="AD345" i="5"/>
  <c r="AD346" i="5"/>
  <c r="AD347" i="5"/>
  <c r="AD348" i="5"/>
  <c r="AD349" i="5"/>
  <c r="AD350" i="5"/>
  <c r="AD351" i="5"/>
  <c r="AD352" i="5"/>
  <c r="AD353" i="5"/>
  <c r="AD354" i="5"/>
  <c r="AD355" i="5"/>
  <c r="AD356" i="5"/>
  <c r="AD357" i="5"/>
  <c r="AD358" i="5"/>
  <c r="AD359" i="5"/>
  <c r="AD368" i="5"/>
  <c r="AD369" i="5"/>
  <c r="AD370" i="5"/>
  <c r="AD371" i="5"/>
  <c r="AD372" i="5"/>
  <c r="AD373" i="5"/>
  <c r="AD374" i="5"/>
  <c r="AD375" i="5"/>
  <c r="AD376" i="5"/>
  <c r="AD377" i="5"/>
  <c r="AD378" i="5"/>
  <c r="AD379" i="5"/>
  <c r="AD380" i="5"/>
  <c r="AD381" i="5"/>
  <c r="AD382" i="5"/>
  <c r="AD383" i="5"/>
  <c r="AD384" i="5"/>
  <c r="AD385" i="5"/>
  <c r="AD386" i="5"/>
  <c r="AD387" i="5"/>
  <c r="AD388" i="5"/>
  <c r="AD389" i="5"/>
  <c r="AD390" i="5"/>
  <c r="AD391" i="5"/>
  <c r="AD392" i="5"/>
  <c r="AD393" i="5"/>
  <c r="AD394" i="5"/>
  <c r="AD395" i="5"/>
  <c r="AD396" i="5"/>
  <c r="AD397" i="5"/>
  <c r="AD398" i="5"/>
  <c r="AD399" i="5"/>
  <c r="AD400" i="5"/>
  <c r="AD401" i="5"/>
  <c r="AD402" i="5"/>
  <c r="AD403" i="5"/>
  <c r="AD404" i="5"/>
  <c r="AD405" i="5"/>
  <c r="AD406" i="5"/>
  <c r="AD407" i="5"/>
  <c r="AD408" i="5"/>
  <c r="AD409" i="5"/>
  <c r="AD410" i="5"/>
  <c r="AD411" i="5"/>
  <c r="AD412" i="5"/>
  <c r="AD413" i="5"/>
  <c r="AD414" i="5"/>
  <c r="AD415" i="5"/>
  <c r="AD416" i="5"/>
  <c r="AD417" i="5"/>
  <c r="AD418" i="5"/>
  <c r="AD419" i="5"/>
  <c r="AD420" i="5"/>
  <c r="AD421" i="5"/>
  <c r="AD422" i="5"/>
  <c r="AD423" i="5"/>
  <c r="AD424" i="5"/>
  <c r="AD425" i="5"/>
  <c r="AD426" i="5"/>
  <c r="AD427" i="5"/>
  <c r="AD428" i="5"/>
  <c r="AD429" i="5"/>
  <c r="AD430" i="5"/>
  <c r="AD431" i="5"/>
  <c r="AD432" i="5"/>
  <c r="AD433" i="5"/>
  <c r="AD434" i="5"/>
  <c r="AD435" i="5"/>
  <c r="AD436" i="5"/>
  <c r="AD437" i="5"/>
  <c r="AD438" i="5"/>
  <c r="AD439" i="5"/>
  <c r="AD440" i="5"/>
  <c r="AD441" i="5"/>
  <c r="AD442" i="5"/>
  <c r="AD443" i="5"/>
  <c r="AD444" i="5"/>
  <c r="AD445" i="5"/>
  <c r="AD446" i="5"/>
  <c r="AD447" i="5"/>
  <c r="AD448" i="5"/>
  <c r="AD449" i="5"/>
  <c r="AD450" i="5"/>
  <c r="AD451" i="5"/>
  <c r="AD452" i="5"/>
  <c r="AD453" i="5"/>
  <c r="AD454" i="5"/>
  <c r="AD455" i="5"/>
  <c r="AD456" i="5"/>
  <c r="AD457" i="5"/>
  <c r="AD458" i="5"/>
  <c r="AD459" i="5"/>
  <c r="AD460" i="5"/>
  <c r="AD464" i="5"/>
  <c r="AD465" i="5"/>
  <c r="AD470" i="5"/>
  <c r="AD471" i="5"/>
  <c r="AD472" i="5"/>
  <c r="AD473" i="5"/>
  <c r="AD474" i="5"/>
  <c r="AD475" i="5"/>
  <c r="AD480" i="5"/>
  <c r="AD481" i="5"/>
  <c r="AD482" i="5"/>
  <c r="AD483" i="5"/>
  <c r="AE483" i="5" s="1"/>
  <c r="AD484" i="5"/>
  <c r="AE484" i="5" s="1"/>
  <c r="AD487" i="5"/>
  <c r="AD493" i="5"/>
  <c r="AD494" i="5"/>
  <c r="AD495" i="5"/>
  <c r="AD496" i="5"/>
  <c r="AD497" i="5"/>
  <c r="AD498" i="5"/>
  <c r="AD499" i="5"/>
  <c r="AD500" i="5"/>
  <c r="AD501" i="5"/>
  <c r="AD502" i="5"/>
  <c r="AD503" i="5"/>
  <c r="AD504" i="5"/>
  <c r="AD505" i="5"/>
  <c r="AD506" i="5"/>
  <c r="AD507" i="5"/>
  <c r="AD508" i="5"/>
  <c r="AD509" i="5"/>
  <c r="AD510" i="5"/>
  <c r="AD511" i="5"/>
  <c r="AD512" i="5"/>
  <c r="AD513" i="5"/>
  <c r="AD514" i="5"/>
  <c r="AD515" i="5"/>
  <c r="AD516" i="5"/>
  <c r="AD517" i="5"/>
  <c r="AD518" i="5"/>
  <c r="AD519" i="5"/>
  <c r="AD520" i="5"/>
  <c r="AD521" i="5"/>
  <c r="AD522" i="5"/>
  <c r="AD523" i="5"/>
  <c r="AD524" i="5"/>
  <c r="AD525" i="5"/>
  <c r="AD526" i="5"/>
  <c r="AD527" i="5"/>
  <c r="AD528" i="5"/>
  <c r="AD529" i="5"/>
  <c r="AD530" i="5"/>
  <c r="AD531" i="5"/>
  <c r="AD532" i="5"/>
  <c r="AD533" i="5"/>
  <c r="AD534" i="5"/>
  <c r="AD535" i="5"/>
  <c r="AD536" i="5"/>
  <c r="AD537" i="5"/>
  <c r="AD538" i="5"/>
  <c r="AD539" i="5"/>
  <c r="AD540" i="5"/>
  <c r="AD541" i="5"/>
  <c r="AD542" i="5"/>
  <c r="AD543" i="5"/>
  <c r="AD544" i="5"/>
  <c r="AD545" i="5"/>
  <c r="AD546" i="5"/>
  <c r="AD547" i="5"/>
  <c r="AD548" i="5"/>
  <c r="AD549" i="5"/>
  <c r="AD550" i="5"/>
  <c r="AD551" i="5"/>
  <c r="AD552" i="5"/>
  <c r="AD553" i="5"/>
  <c r="AD554" i="5"/>
  <c r="AD555" i="5"/>
  <c r="AD556" i="5"/>
  <c r="AD557" i="5"/>
  <c r="AD558" i="5"/>
  <c r="AD559" i="5"/>
  <c r="AD560" i="5"/>
  <c r="AD561" i="5"/>
  <c r="AD562" i="5"/>
  <c r="AD563" i="5"/>
  <c r="AD564" i="5"/>
  <c r="AD565" i="5"/>
  <c r="AD566" i="5"/>
  <c r="AD567" i="5"/>
  <c r="AD568" i="5"/>
  <c r="AD569" i="5"/>
  <c r="AD570" i="5"/>
  <c r="AD571" i="5"/>
  <c r="AD572" i="5"/>
  <c r="AD573" i="5"/>
  <c r="AD574" i="5"/>
  <c r="AD575" i="5"/>
  <c r="AD576" i="5"/>
  <c r="AD577" i="5"/>
  <c r="AD578" i="5"/>
  <c r="AD579" i="5"/>
  <c r="AD580" i="5"/>
  <c r="AD581" i="5"/>
  <c r="AD582" i="5"/>
  <c r="AD583" i="5"/>
  <c r="AD584" i="5"/>
  <c r="AD585" i="5"/>
  <c r="AD586" i="5"/>
  <c r="AD587" i="5"/>
  <c r="AD588" i="5"/>
  <c r="AD589" i="5"/>
  <c r="AD590" i="5"/>
  <c r="AD591" i="5"/>
  <c r="AD592" i="5"/>
  <c r="AD593" i="5"/>
  <c r="AD594" i="5"/>
  <c r="AD595" i="5"/>
  <c r="AD596" i="5"/>
  <c r="AD597" i="5"/>
  <c r="AD598" i="5"/>
  <c r="AD599" i="5"/>
  <c r="AD600" i="5"/>
  <c r="AD601" i="5"/>
  <c r="AD602" i="5"/>
  <c r="AD603" i="5"/>
  <c r="AD604" i="5"/>
  <c r="AD605" i="5"/>
  <c r="AD606" i="5"/>
  <c r="AD607" i="5"/>
  <c r="AD608" i="5"/>
  <c r="AD609" i="5"/>
  <c r="AD610" i="5"/>
  <c r="AD611" i="5"/>
  <c r="AD612" i="5"/>
  <c r="AD613" i="5"/>
  <c r="AD614" i="5"/>
  <c r="AD615" i="5"/>
  <c r="AD616" i="5"/>
  <c r="AD617" i="5"/>
  <c r="AD618" i="5"/>
  <c r="AD619" i="5"/>
  <c r="AD620" i="5"/>
  <c r="AD621" i="5"/>
  <c r="AD622" i="5"/>
  <c r="AD623" i="5"/>
  <c r="AD624" i="5"/>
  <c r="AD625" i="5"/>
  <c r="AD626" i="5"/>
  <c r="AD627" i="5"/>
  <c r="AD628" i="5"/>
  <c r="AD629" i="5"/>
  <c r="AD630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2" i="17"/>
  <c r="AL20" i="3"/>
  <c r="AK20" i="3"/>
  <c r="AD162" i="17"/>
  <c r="AD276" i="14"/>
  <c r="AD277" i="14"/>
  <c r="AD278" i="14"/>
  <c r="AD224" i="14"/>
  <c r="AD225" i="14"/>
  <c r="AD58" i="14"/>
  <c r="AD59" i="14"/>
  <c r="AD60" i="14"/>
  <c r="AE2" i="5" l="1"/>
  <c r="AF278" i="14"/>
  <c r="AF225" i="14"/>
  <c r="AF315" i="14"/>
  <c r="AF316" i="14"/>
  <c r="AE643" i="5"/>
  <c r="AE639" i="5"/>
  <c r="AE162" i="17"/>
  <c r="AF277" i="14"/>
  <c r="AF59" i="14"/>
  <c r="AF60" i="14"/>
  <c r="AE642" i="5"/>
  <c r="AE641" i="5"/>
  <c r="AE644" i="5"/>
  <c r="AE640" i="5"/>
  <c r="AE305" i="5"/>
  <c r="AE304" i="5"/>
  <c r="AE307" i="5"/>
  <c r="AE303" i="5"/>
  <c r="AE306" i="5"/>
  <c r="AD405" i="3"/>
  <c r="AD331" i="3"/>
  <c r="AD253" i="3"/>
  <c r="AD254" i="3"/>
  <c r="AD255" i="3"/>
  <c r="AD372" i="11"/>
  <c r="AD373" i="11"/>
  <c r="AD374" i="11"/>
  <c r="AK24" i="5"/>
  <c r="AL44" i="17"/>
  <c r="AK44" i="17"/>
  <c r="AM9" i="14"/>
  <c r="AL9" i="14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E255" i="3" l="1"/>
  <c r="AE332" i="3"/>
  <c r="AE373" i="11"/>
  <c r="AE375" i="11"/>
  <c r="AE374" i="11"/>
  <c r="AD74" i="17"/>
  <c r="AD75" i="17"/>
  <c r="AD221" i="14"/>
  <c r="AD222" i="14"/>
  <c r="AD223" i="14"/>
  <c r="AD51" i="14"/>
  <c r="AD52" i="14"/>
  <c r="AD53" i="14"/>
  <c r="AD54" i="14"/>
  <c r="AD55" i="14"/>
  <c r="AD56" i="14"/>
  <c r="AD57" i="14"/>
  <c r="AE254" i="3"/>
  <c r="AD365" i="11"/>
  <c r="AD366" i="11"/>
  <c r="AD367" i="11"/>
  <c r="AD368" i="11"/>
  <c r="AD369" i="11"/>
  <c r="AD370" i="11"/>
  <c r="AD371" i="11"/>
  <c r="AE481" i="3"/>
  <c r="AE482" i="3"/>
  <c r="AE301" i="5" l="1"/>
  <c r="AE302" i="5"/>
  <c r="AF224" i="14"/>
  <c r="AF276" i="14"/>
  <c r="AF223" i="14"/>
  <c r="AE406" i="3"/>
  <c r="AE371" i="11"/>
  <c r="AE367" i="11"/>
  <c r="AE370" i="11"/>
  <c r="AE369" i="11"/>
  <c r="AE372" i="11"/>
  <c r="AE368" i="11"/>
  <c r="AE633" i="5"/>
  <c r="AE636" i="5"/>
  <c r="AE632" i="5"/>
  <c r="AE637" i="5"/>
  <c r="AE629" i="5"/>
  <c r="AE638" i="5"/>
  <c r="AE634" i="5"/>
  <c r="AE630" i="5"/>
  <c r="AE631" i="5"/>
  <c r="AE635" i="5"/>
  <c r="AF222" i="14"/>
  <c r="AF55" i="14"/>
  <c r="AF51" i="14"/>
  <c r="AF58" i="14"/>
  <c r="AF54" i="14"/>
  <c r="AF57" i="14"/>
  <c r="AF53" i="14"/>
  <c r="AF56" i="14"/>
  <c r="AF52" i="14"/>
  <c r="AE297" i="5"/>
  <c r="AE300" i="5"/>
  <c r="AE296" i="5"/>
  <c r="AE299" i="5"/>
  <c r="AE298" i="5"/>
  <c r="AE122" i="5"/>
  <c r="AE121" i="5"/>
  <c r="AE83" i="5"/>
  <c r="AE84" i="5"/>
  <c r="AE96" i="17"/>
  <c r="AD69" i="3"/>
  <c r="AD2" i="11"/>
  <c r="AE69" i="3" l="1"/>
  <c r="AD275" i="14" l="1"/>
  <c r="AD48" i="14"/>
  <c r="AD49" i="14"/>
  <c r="AD50" i="14"/>
  <c r="AE80" i="5"/>
  <c r="AE81" i="5"/>
  <c r="AF275" i="14" l="1"/>
  <c r="AF50" i="14"/>
  <c r="AF49" i="14"/>
  <c r="AE292" i="5"/>
  <c r="AE288" i="5"/>
  <c r="AF2" i="14"/>
  <c r="AF48" i="14"/>
  <c r="AE295" i="5"/>
  <c r="AE291" i="5"/>
  <c r="AE287" i="5"/>
  <c r="AE361" i="5"/>
  <c r="AE293" i="5"/>
  <c r="AE289" i="5"/>
  <c r="AE119" i="5"/>
  <c r="AE82" i="5"/>
  <c r="AE294" i="5"/>
  <c r="AE290" i="5"/>
  <c r="AE360" i="5"/>
  <c r="AE120" i="5"/>
  <c r="AD402" i="3"/>
  <c r="AD403" i="3"/>
  <c r="AD404" i="3"/>
  <c r="AE405" i="3" l="1"/>
  <c r="AE404" i="3"/>
  <c r="AE403" i="3"/>
  <c r="AE480" i="3"/>
  <c r="AE402" i="3"/>
  <c r="AD362" i="11"/>
  <c r="AD363" i="11"/>
  <c r="AD364" i="11"/>
  <c r="AE365" i="11"/>
  <c r="AE366" i="11"/>
  <c r="AE363" i="11" l="1"/>
  <c r="AE362" i="11"/>
  <c r="AE364" i="11"/>
  <c r="AD158" i="17"/>
  <c r="AD159" i="17"/>
  <c r="AD275" i="17"/>
  <c r="AD276" i="17"/>
  <c r="AD109" i="17"/>
  <c r="AD314" i="14"/>
  <c r="AF221" i="14"/>
  <c r="AD47" i="14"/>
  <c r="AD46" i="14"/>
  <c r="AD45" i="14"/>
  <c r="AD44" i="14"/>
  <c r="AD43" i="14"/>
  <c r="AF45" i="14" l="1"/>
  <c r="AF314" i="14"/>
  <c r="AF46" i="14"/>
  <c r="AF44" i="14"/>
  <c r="AF43" i="14"/>
  <c r="AF47" i="14"/>
  <c r="AE109" i="17"/>
  <c r="AE158" i="17"/>
  <c r="AE76" i="17"/>
  <c r="AE277" i="17"/>
  <c r="AE276" i="17"/>
  <c r="AE275" i="17"/>
  <c r="AE159" i="17"/>
  <c r="AE281" i="5"/>
  <c r="AE621" i="5"/>
  <c r="AE79" i="5"/>
  <c r="AE284" i="5"/>
  <c r="AE280" i="5"/>
  <c r="AE276" i="5"/>
  <c r="AE424" i="5"/>
  <c r="AE628" i="5"/>
  <c r="AE624" i="5"/>
  <c r="AE285" i="5"/>
  <c r="AE277" i="5"/>
  <c r="AE625" i="5"/>
  <c r="AE78" i="5"/>
  <c r="AE283" i="5"/>
  <c r="AE279" i="5"/>
  <c r="AE359" i="5"/>
  <c r="AE423" i="5"/>
  <c r="AE446" i="5"/>
  <c r="AE627" i="5"/>
  <c r="AE623" i="5"/>
  <c r="AE493" i="5"/>
  <c r="AE77" i="5"/>
  <c r="AE286" i="5"/>
  <c r="AE282" i="5"/>
  <c r="AE278" i="5"/>
  <c r="AE626" i="5"/>
  <c r="AE622" i="5"/>
  <c r="AD447" i="3"/>
  <c r="AD251" i="3"/>
  <c r="AD252" i="3"/>
  <c r="AD351" i="11"/>
  <c r="AD352" i="11"/>
  <c r="AD353" i="11"/>
  <c r="AD354" i="11"/>
  <c r="AD355" i="11"/>
  <c r="AD356" i="11"/>
  <c r="AD357" i="11"/>
  <c r="AD358" i="11"/>
  <c r="AD359" i="11"/>
  <c r="AD360" i="11"/>
  <c r="AD361" i="11"/>
  <c r="AE358" i="11" l="1"/>
  <c r="AE354" i="11"/>
  <c r="AE353" i="11"/>
  <c r="AE357" i="11"/>
  <c r="AE356" i="11"/>
  <c r="AE361" i="11"/>
  <c r="AE360" i="11"/>
  <c r="AE352" i="11"/>
  <c r="AE359" i="11"/>
  <c r="AE355" i="11"/>
  <c r="AE351" i="11"/>
  <c r="AE253" i="3"/>
  <c r="AE252" i="3"/>
  <c r="AE251" i="3"/>
  <c r="AE478" i="3"/>
  <c r="AE479" i="3"/>
  <c r="AE447" i="3"/>
  <c r="AL4" i="17"/>
  <c r="AK4" i="17"/>
  <c r="AM3" i="14"/>
  <c r="AL3" i="14"/>
  <c r="AL4" i="5"/>
  <c r="AK4" i="5"/>
  <c r="AL5" i="3"/>
  <c r="AK5" i="3"/>
  <c r="AL6" i="11"/>
  <c r="AL4" i="11"/>
  <c r="AE269" i="5" l="1"/>
  <c r="AE272" i="5"/>
  <c r="AE268" i="5"/>
  <c r="AE620" i="5"/>
  <c r="AE76" i="5"/>
  <c r="AE75" i="5"/>
  <c r="AE275" i="5"/>
  <c r="AE271" i="5"/>
  <c r="AE267" i="5"/>
  <c r="AE273" i="5"/>
  <c r="AE274" i="5"/>
  <c r="AE270" i="5"/>
  <c r="AD273" i="17"/>
  <c r="AD274" i="17"/>
  <c r="AE274" i="17" l="1"/>
  <c r="AE273" i="17"/>
  <c r="AD312" i="14"/>
  <c r="AD42" i="14"/>
  <c r="AF312" i="14" l="1"/>
  <c r="AF42" i="14"/>
  <c r="AD346" i="11"/>
  <c r="AD347" i="11"/>
  <c r="AD348" i="11"/>
  <c r="AD349" i="11"/>
  <c r="AD350" i="11"/>
  <c r="AE347" i="11" l="1"/>
  <c r="AE350" i="11"/>
  <c r="AE346" i="11"/>
  <c r="AE349" i="11"/>
  <c r="AE348" i="11"/>
  <c r="AD187" i="17"/>
  <c r="AD188" i="17"/>
  <c r="AD189" i="17"/>
  <c r="AD190" i="17"/>
  <c r="AD191" i="17"/>
  <c r="AD192" i="17"/>
  <c r="AD193" i="17"/>
  <c r="AD194" i="17"/>
  <c r="AD195" i="17"/>
  <c r="AD196" i="17"/>
  <c r="AD197" i="17"/>
  <c r="AD198" i="17"/>
  <c r="AD199" i="17"/>
  <c r="AD200" i="17"/>
  <c r="AD201" i="17"/>
  <c r="AD202" i="17"/>
  <c r="AD203" i="17"/>
  <c r="AD204" i="17"/>
  <c r="AD205" i="17"/>
  <c r="AD206" i="17"/>
  <c r="AD207" i="17"/>
  <c r="AD208" i="17"/>
  <c r="AD209" i="17"/>
  <c r="AD210" i="17"/>
  <c r="AD211" i="17"/>
  <c r="AD212" i="17"/>
  <c r="AD213" i="17"/>
  <c r="AD214" i="17"/>
  <c r="AD215" i="17"/>
  <c r="AD216" i="17"/>
  <c r="AD217" i="17"/>
  <c r="AD218" i="17"/>
  <c r="AD219" i="17"/>
  <c r="AD220" i="17"/>
  <c r="AD221" i="17"/>
  <c r="AD222" i="17"/>
  <c r="AD223" i="17"/>
  <c r="AD224" i="17"/>
  <c r="AD225" i="17"/>
  <c r="AD226" i="17"/>
  <c r="AD227" i="17"/>
  <c r="AD228" i="17"/>
  <c r="AD229" i="17"/>
  <c r="AD230" i="17"/>
  <c r="AD231" i="17"/>
  <c r="AD232" i="17"/>
  <c r="AD233" i="17"/>
  <c r="AD234" i="17"/>
  <c r="AD235" i="17"/>
  <c r="AD236" i="17"/>
  <c r="AD237" i="17"/>
  <c r="AD238" i="17"/>
  <c r="AD239" i="17"/>
  <c r="AD240" i="17"/>
  <c r="AD241" i="17"/>
  <c r="AD242" i="17"/>
  <c r="AD243" i="17"/>
  <c r="AD244" i="17"/>
  <c r="AD245" i="17"/>
  <c r="AD246" i="17"/>
  <c r="AD247" i="17"/>
  <c r="AD248" i="17"/>
  <c r="AD249" i="17"/>
  <c r="AD250" i="17"/>
  <c r="AD251" i="17"/>
  <c r="AD252" i="17"/>
  <c r="AD253" i="17"/>
  <c r="AD254" i="17"/>
  <c r="AD255" i="17"/>
  <c r="AD256" i="17"/>
  <c r="AD257" i="17"/>
  <c r="AD258" i="17"/>
  <c r="AD259" i="17"/>
  <c r="AD260" i="17"/>
  <c r="AD261" i="17"/>
  <c r="AD262" i="17"/>
  <c r="AD263" i="17"/>
  <c r="AD264" i="17"/>
  <c r="AD265" i="17"/>
  <c r="AD266" i="17"/>
  <c r="AD267" i="17"/>
  <c r="AD268" i="17"/>
  <c r="AD269" i="17"/>
  <c r="AD270" i="17"/>
  <c r="AD271" i="17"/>
  <c r="AD272" i="17"/>
  <c r="AD186" i="17"/>
  <c r="AD185" i="17"/>
  <c r="AD184" i="17"/>
  <c r="AD183" i="17"/>
  <c r="AD182" i="17"/>
  <c r="AD181" i="17"/>
  <c r="AD180" i="17"/>
  <c r="AD179" i="17"/>
  <c r="AD178" i="17"/>
  <c r="AD177" i="17"/>
  <c r="AD176" i="17"/>
  <c r="AD175" i="17"/>
  <c r="AD174" i="17"/>
  <c r="AD173" i="17"/>
  <c r="AD172" i="17"/>
  <c r="AD154" i="17"/>
  <c r="AD153" i="17"/>
  <c r="AD152" i="17"/>
  <c r="AD151" i="17"/>
  <c r="AD150" i="17"/>
  <c r="AD149" i="17"/>
  <c r="AD148" i="17"/>
  <c r="AD147" i="17"/>
  <c r="AD146" i="17"/>
  <c r="AD143" i="17"/>
  <c r="AD142" i="17"/>
  <c r="AD141" i="17"/>
  <c r="AD140" i="17"/>
  <c r="AD139" i="17"/>
  <c r="AD135" i="17"/>
  <c r="AD132" i="17"/>
  <c r="AD131" i="17"/>
  <c r="AD130" i="17"/>
  <c r="AD129" i="17"/>
  <c r="AD128" i="17"/>
  <c r="AD127" i="17"/>
  <c r="AD126" i="17"/>
  <c r="AD125" i="17"/>
  <c r="AD124" i="17"/>
  <c r="AD123" i="17"/>
  <c r="AD122" i="17"/>
  <c r="AD121" i="17"/>
  <c r="AD120" i="17"/>
  <c r="AD119" i="17"/>
  <c r="AD118" i="17"/>
  <c r="AD117" i="17"/>
  <c r="AD116" i="17"/>
  <c r="AD115" i="17"/>
  <c r="AD114" i="17"/>
  <c r="AD113" i="17"/>
  <c r="AD112" i="17"/>
  <c r="AD111" i="17"/>
  <c r="AD110" i="17"/>
  <c r="AD108" i="17"/>
  <c r="AD107" i="17"/>
  <c r="AD106" i="17"/>
  <c r="AD105" i="17"/>
  <c r="AD104" i="17"/>
  <c r="AD92" i="17"/>
  <c r="AD83" i="17"/>
  <c r="AD73" i="17"/>
  <c r="AD72" i="17"/>
  <c r="AD71" i="17"/>
  <c r="AD70" i="17"/>
  <c r="AD69" i="17"/>
  <c r="AD68" i="17"/>
  <c r="AD67" i="17"/>
  <c r="AD62" i="17"/>
  <c r="AD61" i="17"/>
  <c r="AD60" i="17"/>
  <c r="AD59" i="17"/>
  <c r="AD58" i="17"/>
  <c r="AD57" i="17"/>
  <c r="AD56" i="17"/>
  <c r="AD55" i="17"/>
  <c r="AD54" i="17"/>
  <c r="AD53" i="17"/>
  <c r="AD52" i="17"/>
  <c r="AD51" i="17"/>
  <c r="AD50" i="17"/>
  <c r="AD49" i="17"/>
  <c r="AD48" i="17"/>
  <c r="AD47" i="17"/>
  <c r="AD46" i="17"/>
  <c r="AD45" i="17"/>
  <c r="AD44" i="17"/>
  <c r="AD38" i="17"/>
  <c r="AD37" i="17"/>
  <c r="AD36" i="17"/>
  <c r="AD35" i="17"/>
  <c r="AD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4" i="17"/>
  <c r="AD5" i="17"/>
  <c r="AF5" i="17" s="1"/>
  <c r="AD6" i="17"/>
  <c r="AD7" i="17"/>
  <c r="AD8" i="17"/>
  <c r="AD9" i="17"/>
  <c r="AF9" i="17" s="1"/>
  <c r="AD10" i="17"/>
  <c r="AD11" i="17"/>
  <c r="AD12" i="17"/>
  <c r="AD13" i="17"/>
  <c r="AF13" i="17" s="1"/>
  <c r="AD14" i="17"/>
  <c r="AD15" i="17"/>
  <c r="AD3" i="17"/>
  <c r="AD287" i="14"/>
  <c r="AD288" i="14"/>
  <c r="AD289" i="14"/>
  <c r="AD290" i="14"/>
  <c r="AD291" i="14"/>
  <c r="AD292" i="14"/>
  <c r="AD293" i="14"/>
  <c r="AD294" i="14"/>
  <c r="AD295" i="14"/>
  <c r="AD296" i="14"/>
  <c r="AD297" i="14"/>
  <c r="AD298" i="14"/>
  <c r="AD299" i="14"/>
  <c r="AD300" i="14"/>
  <c r="AD301" i="14"/>
  <c r="AD302" i="14"/>
  <c r="AD303" i="14"/>
  <c r="AD304" i="14"/>
  <c r="AD305" i="14"/>
  <c r="AD306" i="14"/>
  <c r="AD307" i="14"/>
  <c r="AD308" i="14"/>
  <c r="AD309" i="14"/>
  <c r="AD310" i="14"/>
  <c r="AD311" i="14"/>
  <c r="AD313" i="14"/>
  <c r="AD286" i="14"/>
  <c r="AD285" i="14"/>
  <c r="AD284" i="14"/>
  <c r="AD281" i="14"/>
  <c r="AD274" i="14"/>
  <c r="AD273" i="14"/>
  <c r="AD272" i="14"/>
  <c r="AD271" i="14"/>
  <c r="AD270" i="14"/>
  <c r="AD269" i="14"/>
  <c r="AD268" i="14"/>
  <c r="AD267" i="14"/>
  <c r="AD266" i="14"/>
  <c r="AD265" i="14"/>
  <c r="AD264" i="14"/>
  <c r="AD263" i="14"/>
  <c r="AD262" i="14"/>
  <c r="AD261" i="14"/>
  <c r="AD260" i="14"/>
  <c r="AD259" i="14"/>
  <c r="AD258" i="14"/>
  <c r="AD257" i="14"/>
  <c r="AD256" i="14"/>
  <c r="AD255" i="14"/>
  <c r="AD254" i="14"/>
  <c r="AD253" i="14"/>
  <c r="AD252" i="14"/>
  <c r="AD251" i="14"/>
  <c r="AD250" i="14"/>
  <c r="AD249" i="14"/>
  <c r="AD248" i="14"/>
  <c r="AD247" i="14"/>
  <c r="AD246" i="14"/>
  <c r="AD245" i="14"/>
  <c r="AD244" i="14"/>
  <c r="AD243" i="14"/>
  <c r="AD242" i="14"/>
  <c r="AD241" i="14"/>
  <c r="AD240" i="14"/>
  <c r="AD239" i="14"/>
  <c r="AD238" i="14"/>
  <c r="AD237" i="14"/>
  <c r="AD236" i="14"/>
  <c r="AD235" i="14"/>
  <c r="AD234" i="14"/>
  <c r="AD188" i="14"/>
  <c r="AD189" i="14"/>
  <c r="AD190" i="14"/>
  <c r="AD191" i="14"/>
  <c r="AD192" i="14"/>
  <c r="AD193" i="14"/>
  <c r="AD194" i="14"/>
  <c r="AD195" i="14"/>
  <c r="AD196" i="14"/>
  <c r="AD197" i="14"/>
  <c r="AD198" i="14"/>
  <c r="AD199" i="14"/>
  <c r="AD200" i="14"/>
  <c r="AD201" i="14"/>
  <c r="AD202" i="14"/>
  <c r="AD203" i="14"/>
  <c r="AD204" i="14"/>
  <c r="AD205" i="14"/>
  <c r="AD206" i="14"/>
  <c r="AD207" i="14"/>
  <c r="AD208" i="14"/>
  <c r="AD209" i="14"/>
  <c r="AD210" i="14"/>
  <c r="AD211" i="14"/>
  <c r="AD212" i="14"/>
  <c r="AD213" i="14"/>
  <c r="AD214" i="14"/>
  <c r="AD215" i="14"/>
  <c r="AD216" i="14"/>
  <c r="AD217" i="14"/>
  <c r="AD218" i="14"/>
  <c r="AD219" i="14"/>
  <c r="AD220" i="14"/>
  <c r="AD187" i="14"/>
  <c r="AD186" i="14"/>
  <c r="AD185" i="14"/>
  <c r="AD184" i="14"/>
  <c r="AD183" i="14"/>
  <c r="AD182" i="14"/>
  <c r="AD181" i="14"/>
  <c r="AD180" i="14"/>
  <c r="AD179" i="14"/>
  <c r="AD178" i="14"/>
  <c r="AD177" i="14"/>
  <c r="AD176" i="14"/>
  <c r="AD175" i="14"/>
  <c r="AD174" i="14"/>
  <c r="AD173" i="14"/>
  <c r="AD172" i="14"/>
  <c r="AD171" i="14"/>
  <c r="AD170" i="14"/>
  <c r="AD169" i="14"/>
  <c r="AD168" i="14"/>
  <c r="AD167" i="14"/>
  <c r="AD166" i="14"/>
  <c r="AD165" i="14"/>
  <c r="AD164" i="14"/>
  <c r="AD163" i="14"/>
  <c r="AD162" i="14"/>
  <c r="AD161" i="14"/>
  <c r="AD160" i="14"/>
  <c r="AD159" i="14"/>
  <c r="AD158" i="14"/>
  <c r="AD157" i="14"/>
  <c r="AD156" i="14"/>
  <c r="AD117" i="14"/>
  <c r="AD118" i="14"/>
  <c r="AD119" i="14"/>
  <c r="AD120" i="14"/>
  <c r="AD121" i="14"/>
  <c r="AD122" i="14"/>
  <c r="AD123" i="14"/>
  <c r="AD124" i="14"/>
  <c r="AD125" i="14"/>
  <c r="AD126" i="14"/>
  <c r="AD127" i="14"/>
  <c r="AD128" i="14"/>
  <c r="AD129" i="14"/>
  <c r="AD130" i="14"/>
  <c r="AD131" i="14"/>
  <c r="AD132" i="14"/>
  <c r="AD133" i="14"/>
  <c r="AD134" i="14"/>
  <c r="AD135" i="14"/>
  <c r="AD136" i="14"/>
  <c r="AD137" i="14"/>
  <c r="AD138" i="14"/>
  <c r="AD139" i="14"/>
  <c r="AD140" i="14"/>
  <c r="AD141" i="14"/>
  <c r="AD143" i="14"/>
  <c r="AD144" i="14"/>
  <c r="AD145" i="14"/>
  <c r="AD146" i="14"/>
  <c r="AD147" i="14"/>
  <c r="AD148" i="14"/>
  <c r="AD149" i="14"/>
  <c r="AD150" i="14"/>
  <c r="AD151" i="14"/>
  <c r="AD152" i="14"/>
  <c r="AD153" i="14"/>
  <c r="AD154" i="14"/>
  <c r="AD155" i="14"/>
  <c r="AD116" i="14"/>
  <c r="AD115" i="14"/>
  <c r="AD114" i="14"/>
  <c r="AD113" i="14"/>
  <c r="AD112" i="14"/>
  <c r="AD111" i="14"/>
  <c r="AD110" i="14"/>
  <c r="AD109" i="14"/>
  <c r="AD108" i="14"/>
  <c r="AD107" i="14"/>
  <c r="AD106" i="14"/>
  <c r="AD105" i="14"/>
  <c r="AD104" i="14"/>
  <c r="AD103" i="14"/>
  <c r="AD102" i="14"/>
  <c r="AD101" i="14"/>
  <c r="AD100" i="14"/>
  <c r="AD99" i="14"/>
  <c r="AD98" i="14"/>
  <c r="AD97" i="14"/>
  <c r="AD96" i="14"/>
  <c r="AD95" i="14"/>
  <c r="AD94" i="14"/>
  <c r="AD93" i="14"/>
  <c r="AD92" i="14"/>
  <c r="AD91" i="14"/>
  <c r="AD90" i="14"/>
  <c r="AD89" i="14"/>
  <c r="AD88" i="14"/>
  <c r="AD87" i="14"/>
  <c r="AD86" i="14"/>
  <c r="AD85" i="14"/>
  <c r="AD84" i="14"/>
  <c r="AD83" i="14"/>
  <c r="AD82" i="14"/>
  <c r="AD81" i="14"/>
  <c r="AD80" i="14"/>
  <c r="AD79" i="14"/>
  <c r="AD78" i="14"/>
  <c r="AD4" i="14"/>
  <c r="AD5" i="14"/>
  <c r="AD6" i="14"/>
  <c r="AD7" i="14"/>
  <c r="AD8" i="14"/>
  <c r="AD9" i="14"/>
  <c r="AD10" i="14"/>
  <c r="AD11" i="14"/>
  <c r="AD12" i="14"/>
  <c r="AD13" i="14"/>
  <c r="AD14" i="14"/>
  <c r="AD15" i="14"/>
  <c r="AD16" i="14"/>
  <c r="AD17" i="14"/>
  <c r="AD18" i="14"/>
  <c r="AD19" i="14"/>
  <c r="AD20" i="14"/>
  <c r="AD21" i="14"/>
  <c r="AD22" i="14"/>
  <c r="AD23" i="14"/>
  <c r="AD24" i="14"/>
  <c r="AD25" i="14"/>
  <c r="AD26" i="14"/>
  <c r="AD27" i="14"/>
  <c r="AD28" i="14"/>
  <c r="AD29" i="14"/>
  <c r="AD30" i="14"/>
  <c r="AD31" i="14"/>
  <c r="AD32" i="14"/>
  <c r="AD33" i="14"/>
  <c r="AD34" i="14"/>
  <c r="AD35" i="14"/>
  <c r="AD36" i="14"/>
  <c r="AD37" i="14"/>
  <c r="AD38" i="14"/>
  <c r="AD39" i="14"/>
  <c r="AD40" i="14"/>
  <c r="AD41" i="14"/>
  <c r="AD3" i="14"/>
  <c r="AD464" i="3"/>
  <c r="AD463" i="3"/>
  <c r="AD462" i="3"/>
  <c r="AD461" i="3"/>
  <c r="AD460" i="3"/>
  <c r="AD459" i="3"/>
  <c r="AD455" i="3"/>
  <c r="AD454" i="3"/>
  <c r="AD453" i="3"/>
  <c r="AD452" i="3"/>
  <c r="AD451" i="3"/>
  <c r="AD450" i="3"/>
  <c r="AD449" i="3"/>
  <c r="AD448" i="3"/>
  <c r="AD446" i="3"/>
  <c r="AD445" i="3"/>
  <c r="AD444" i="3"/>
  <c r="AD443" i="3"/>
  <c r="AD442" i="3"/>
  <c r="AD441" i="3"/>
  <c r="AD440" i="3"/>
  <c r="AD439" i="3"/>
  <c r="AD438" i="3"/>
  <c r="AD434" i="3"/>
  <c r="AD433" i="3"/>
  <c r="AD432" i="3"/>
  <c r="AD431" i="3"/>
  <c r="AD430" i="3"/>
  <c r="AD429" i="3"/>
  <c r="AD428" i="3"/>
  <c r="AD427" i="3"/>
  <c r="AD426" i="3"/>
  <c r="AD425" i="3"/>
  <c r="AD424" i="3"/>
  <c r="AD423" i="3"/>
  <c r="AD422" i="3"/>
  <c r="AD421" i="3"/>
  <c r="AD420" i="3"/>
  <c r="AD419" i="3"/>
  <c r="AD417" i="3"/>
  <c r="AD416" i="3"/>
  <c r="AD415" i="3"/>
  <c r="AD414" i="3"/>
  <c r="AD413" i="3"/>
  <c r="AD412" i="3"/>
  <c r="AD411" i="3"/>
  <c r="AD410" i="3"/>
  <c r="AD401" i="3"/>
  <c r="AD400" i="3"/>
  <c r="AD399" i="3"/>
  <c r="AD398" i="3"/>
  <c r="AD397" i="3"/>
  <c r="AD396" i="3"/>
  <c r="AD395" i="3"/>
  <c r="AD394" i="3"/>
  <c r="AD393" i="3"/>
  <c r="AD392" i="3"/>
  <c r="AD391" i="3"/>
  <c r="AD390" i="3"/>
  <c r="AD389" i="3"/>
  <c r="AD388" i="3"/>
  <c r="AD387" i="3"/>
  <c r="AD386" i="3"/>
  <c r="AD385" i="3"/>
  <c r="AD384" i="3"/>
  <c r="AD383" i="3"/>
  <c r="AD382" i="3"/>
  <c r="AD381" i="3"/>
  <c r="AD380" i="3"/>
  <c r="AD379" i="3"/>
  <c r="AD378" i="3"/>
  <c r="AD377" i="3"/>
  <c r="AD376" i="3"/>
  <c r="AD375" i="3"/>
  <c r="AD374" i="3"/>
  <c r="AD373" i="3"/>
  <c r="AD372" i="3"/>
  <c r="AD371" i="3"/>
  <c r="AD370" i="3"/>
  <c r="AD369" i="3"/>
  <c r="AD368" i="3"/>
  <c r="AD367" i="3"/>
  <c r="AD366" i="3"/>
  <c r="AD365" i="3"/>
  <c r="AD364" i="3"/>
  <c r="AD363" i="3"/>
  <c r="AD362" i="3"/>
  <c r="AD361" i="3"/>
  <c r="AD360" i="3"/>
  <c r="AD359" i="3"/>
  <c r="AD358" i="3"/>
  <c r="AD357" i="3"/>
  <c r="AD356" i="3"/>
  <c r="AD355" i="3"/>
  <c r="AD354" i="3"/>
  <c r="AD353" i="3"/>
  <c r="AD352" i="3"/>
  <c r="AD351" i="3"/>
  <c r="AD350" i="3"/>
  <c r="AD349" i="3"/>
  <c r="AD348" i="3"/>
  <c r="AD347" i="3"/>
  <c r="AD346" i="3"/>
  <c r="AD345" i="3"/>
  <c r="AD344" i="3"/>
  <c r="AD341" i="3"/>
  <c r="AD340" i="3"/>
  <c r="AD339" i="3"/>
  <c r="AD338" i="3"/>
  <c r="AD337" i="3"/>
  <c r="AD336" i="3"/>
  <c r="AD335" i="3"/>
  <c r="AD330" i="3"/>
  <c r="AD329" i="3"/>
  <c r="AD328" i="3"/>
  <c r="AD327" i="3"/>
  <c r="AD326" i="3"/>
  <c r="AD325" i="3"/>
  <c r="AD324" i="3"/>
  <c r="AD323" i="3"/>
  <c r="AD322" i="3"/>
  <c r="AD321" i="3"/>
  <c r="AD320" i="3"/>
  <c r="AD319" i="3"/>
  <c r="AD318" i="3"/>
  <c r="AD317" i="3"/>
  <c r="AD316" i="3"/>
  <c r="AD315" i="3"/>
  <c r="AD314" i="3"/>
  <c r="AD313" i="3"/>
  <c r="AD312" i="3"/>
  <c r="AD311" i="3"/>
  <c r="AD310" i="3"/>
  <c r="AD309" i="3"/>
  <c r="AD308" i="3"/>
  <c r="AD307" i="3"/>
  <c r="AD306" i="3"/>
  <c r="AD305" i="3"/>
  <c r="AD304" i="3"/>
  <c r="AD303" i="3"/>
  <c r="AD302" i="3"/>
  <c r="AD301" i="3"/>
  <c r="AD300" i="3"/>
  <c r="AD299" i="3"/>
  <c r="AD298" i="3"/>
  <c r="AD297" i="3"/>
  <c r="AD296" i="3"/>
  <c r="AD295" i="3"/>
  <c r="AD294" i="3"/>
  <c r="AD293" i="3"/>
  <c r="AD292" i="3"/>
  <c r="AD291" i="3"/>
  <c r="AD290" i="3"/>
  <c r="AD289" i="3"/>
  <c r="AD288" i="3"/>
  <c r="AD287" i="3"/>
  <c r="AD250" i="3"/>
  <c r="AD249" i="3"/>
  <c r="AD248" i="3"/>
  <c r="AD247" i="3"/>
  <c r="AD246" i="3"/>
  <c r="AD245" i="3"/>
  <c r="AD244" i="3"/>
  <c r="AD243" i="3"/>
  <c r="AD242" i="3"/>
  <c r="AD241" i="3"/>
  <c r="AD240" i="3"/>
  <c r="AD239" i="3"/>
  <c r="AD238" i="3"/>
  <c r="AD237" i="3"/>
  <c r="AD236" i="3"/>
  <c r="AD235" i="3"/>
  <c r="AD234" i="3"/>
  <c r="AD233" i="3"/>
  <c r="AD232" i="3"/>
  <c r="AD231" i="3"/>
  <c r="AD230" i="3"/>
  <c r="AD229" i="3"/>
  <c r="AD228" i="3"/>
  <c r="AD227" i="3"/>
  <c r="AD226" i="3"/>
  <c r="AD225" i="3"/>
  <c r="AD224" i="3"/>
  <c r="AD223" i="3"/>
  <c r="AD222" i="3"/>
  <c r="AD221" i="3"/>
  <c r="AD220" i="3"/>
  <c r="AD219" i="3"/>
  <c r="AD218" i="3"/>
  <c r="AD217" i="3"/>
  <c r="AD216" i="3"/>
  <c r="AD215" i="3"/>
  <c r="AD214" i="3"/>
  <c r="AD213" i="3"/>
  <c r="AD212" i="3"/>
  <c r="AD211" i="3"/>
  <c r="AD210" i="3"/>
  <c r="AD209" i="3"/>
  <c r="AD208" i="3"/>
  <c r="AD207" i="3"/>
  <c r="AD206" i="3"/>
  <c r="AD205" i="3"/>
  <c r="AD204" i="3"/>
  <c r="AD203" i="3"/>
  <c r="AD202" i="3"/>
  <c r="AD201" i="3"/>
  <c r="AD200" i="3"/>
  <c r="AD199" i="3"/>
  <c r="AD198" i="3"/>
  <c r="AD197" i="3"/>
  <c r="AD196" i="3"/>
  <c r="AD195" i="3"/>
  <c r="AD194" i="3"/>
  <c r="AD193" i="3"/>
  <c r="AD192" i="3"/>
  <c r="AD191" i="3"/>
  <c r="AD190" i="3"/>
  <c r="AD189" i="3"/>
  <c r="AD188" i="3"/>
  <c r="AD187" i="3"/>
  <c r="AD186" i="3"/>
  <c r="AD185" i="3"/>
  <c r="AD184" i="3"/>
  <c r="AD183" i="3"/>
  <c r="AD182" i="3"/>
  <c r="AD181" i="3"/>
  <c r="AD180" i="3"/>
  <c r="AD179" i="3"/>
  <c r="AD178" i="3"/>
  <c r="AD177" i="3"/>
  <c r="AD176" i="3"/>
  <c r="AD175" i="3"/>
  <c r="AD174" i="3"/>
  <c r="AD173" i="3"/>
  <c r="AD172" i="3"/>
  <c r="AD171" i="3"/>
  <c r="AD170" i="3"/>
  <c r="AD169" i="3"/>
  <c r="AD168" i="3"/>
  <c r="AD167" i="3"/>
  <c r="AD166" i="3"/>
  <c r="AD165" i="3"/>
  <c r="AD164" i="3"/>
  <c r="AD163" i="3"/>
  <c r="AD162" i="3"/>
  <c r="AD161" i="3"/>
  <c r="AD160" i="3"/>
  <c r="AD159" i="3"/>
  <c r="AD158" i="3"/>
  <c r="AD157" i="3"/>
  <c r="AD156" i="3"/>
  <c r="AD155" i="3"/>
  <c r="AD154" i="3"/>
  <c r="AD153" i="3"/>
  <c r="AD152" i="3"/>
  <c r="AD151" i="3"/>
  <c r="AD150" i="3"/>
  <c r="AD149" i="3"/>
  <c r="AD148" i="3"/>
  <c r="AD147" i="3"/>
  <c r="AD146" i="3"/>
  <c r="AD145" i="3"/>
  <c r="AD138" i="3"/>
  <c r="AD137" i="3"/>
  <c r="AD136" i="3"/>
  <c r="AD135" i="3"/>
  <c r="AD134" i="3"/>
  <c r="AD133" i="3"/>
  <c r="AD132" i="3"/>
  <c r="AD131" i="3"/>
  <c r="AD130" i="3"/>
  <c r="AD129" i="3"/>
  <c r="AD128" i="3"/>
  <c r="AD127" i="3"/>
  <c r="AD126" i="3"/>
  <c r="AD125" i="3"/>
  <c r="AD124" i="3"/>
  <c r="AD123" i="3"/>
  <c r="AD122" i="3"/>
  <c r="AD121" i="3"/>
  <c r="AD120" i="3"/>
  <c r="AD119" i="3"/>
  <c r="AD118" i="3"/>
  <c r="AD117" i="3"/>
  <c r="AD116" i="3"/>
  <c r="AD115" i="3"/>
  <c r="AD114" i="3"/>
  <c r="AD113" i="3"/>
  <c r="AD112" i="3"/>
  <c r="AD111" i="3"/>
  <c r="AD110" i="3"/>
  <c r="AD109" i="3"/>
  <c r="AD108" i="3"/>
  <c r="AD107" i="3"/>
  <c r="AD106" i="3"/>
  <c r="AD105" i="3"/>
  <c r="AD104" i="3"/>
  <c r="AD103" i="3"/>
  <c r="AD102" i="3"/>
  <c r="AD101" i="3"/>
  <c r="AD100" i="3"/>
  <c r="AD99" i="3"/>
  <c r="AD98" i="3"/>
  <c r="AD97" i="3"/>
  <c r="AD96" i="3"/>
  <c r="AD95" i="3"/>
  <c r="AD94" i="3"/>
  <c r="AD93" i="3"/>
  <c r="AD92" i="3"/>
  <c r="AD91" i="3"/>
  <c r="AD90" i="3"/>
  <c r="AD89" i="3"/>
  <c r="AD88" i="3"/>
  <c r="AD87" i="3"/>
  <c r="AD86" i="3"/>
  <c r="AD85" i="3"/>
  <c r="AD84" i="3"/>
  <c r="AD83" i="3"/>
  <c r="AD82" i="3"/>
  <c r="AD81" i="3"/>
  <c r="AD80" i="3"/>
  <c r="AD79" i="3"/>
  <c r="AD78" i="3"/>
  <c r="AD77" i="3"/>
  <c r="AD76" i="3"/>
  <c r="AD75" i="3"/>
  <c r="AD74" i="3"/>
  <c r="AD73" i="3"/>
  <c r="AD72" i="3"/>
  <c r="AD71" i="3"/>
  <c r="AD70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3" i="3"/>
  <c r="AD2" i="3"/>
  <c r="AD406" i="11"/>
  <c r="AD407" i="11"/>
  <c r="AD408" i="11"/>
  <c r="AD409" i="11"/>
  <c r="AD410" i="11"/>
  <c r="AD411" i="11"/>
  <c r="AD412" i="11"/>
  <c r="AD413" i="11"/>
  <c r="AD414" i="11"/>
  <c r="AD415" i="11"/>
  <c r="AD416" i="11"/>
  <c r="AD417" i="11"/>
  <c r="AD418" i="11"/>
  <c r="AD419" i="11"/>
  <c r="AD420" i="11"/>
  <c r="AD421" i="11"/>
  <c r="AD422" i="11"/>
  <c r="AD423" i="11"/>
  <c r="AD424" i="11"/>
  <c r="AD425" i="11"/>
  <c r="AD426" i="11"/>
  <c r="AD427" i="11"/>
  <c r="AD428" i="11"/>
  <c r="AD429" i="11"/>
  <c r="AD430" i="11"/>
  <c r="AD431" i="11"/>
  <c r="AD432" i="11"/>
  <c r="AD433" i="11"/>
  <c r="AD434" i="11"/>
  <c r="AD435" i="11"/>
  <c r="AD436" i="11"/>
  <c r="AD437" i="11"/>
  <c r="AD438" i="11"/>
  <c r="AD439" i="11"/>
  <c r="AD440" i="11"/>
  <c r="AD441" i="11"/>
  <c r="AD442" i="11"/>
  <c r="AD443" i="11"/>
  <c r="AD444" i="11"/>
  <c r="AD445" i="11"/>
  <c r="AD446" i="11"/>
  <c r="AD447" i="11"/>
  <c r="AD448" i="11"/>
  <c r="AE449" i="11"/>
  <c r="AD405" i="11"/>
  <c r="AD404" i="11"/>
  <c r="AD403" i="11"/>
  <c r="AD402" i="11"/>
  <c r="AD401" i="11"/>
  <c r="AD400" i="11"/>
  <c r="AD399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33" i="11"/>
  <c r="AD34" i="11"/>
  <c r="AD35" i="11"/>
  <c r="AD36" i="11"/>
  <c r="AD37" i="11"/>
  <c r="AD38" i="11"/>
  <c r="AD39" i="11"/>
  <c r="AD40" i="11"/>
  <c r="AD41" i="11"/>
  <c r="AD42" i="11"/>
  <c r="AD43" i="11"/>
  <c r="AD44" i="11"/>
  <c r="AD45" i="11"/>
  <c r="AD46" i="11"/>
  <c r="AD47" i="11"/>
  <c r="AD48" i="11"/>
  <c r="AD49" i="11"/>
  <c r="AD50" i="11"/>
  <c r="AD51" i="11"/>
  <c r="AD52" i="11"/>
  <c r="AD53" i="11"/>
  <c r="AD54" i="11"/>
  <c r="AD55" i="11"/>
  <c r="AD56" i="11"/>
  <c r="AD57" i="11"/>
  <c r="AD58" i="11"/>
  <c r="AD59" i="11"/>
  <c r="AD60" i="11"/>
  <c r="AD61" i="11"/>
  <c r="AD62" i="11"/>
  <c r="AD63" i="11"/>
  <c r="AD64" i="11"/>
  <c r="AD65" i="11"/>
  <c r="AD66" i="11"/>
  <c r="AD67" i="11"/>
  <c r="AD68" i="11"/>
  <c r="AD69" i="11"/>
  <c r="AD70" i="11"/>
  <c r="AD71" i="11"/>
  <c r="AD72" i="11"/>
  <c r="AD73" i="11"/>
  <c r="AD74" i="11"/>
  <c r="AD75" i="11"/>
  <c r="AD76" i="11"/>
  <c r="AD77" i="11"/>
  <c r="AD78" i="11"/>
  <c r="AD79" i="11"/>
  <c r="AD80" i="11"/>
  <c r="AD81" i="11"/>
  <c r="AD82" i="11"/>
  <c r="AD83" i="11"/>
  <c r="AD84" i="11"/>
  <c r="AD85" i="11"/>
  <c r="AD86" i="11"/>
  <c r="AD87" i="11"/>
  <c r="AD88" i="11"/>
  <c r="AD89" i="11"/>
  <c r="AD90" i="11"/>
  <c r="AD91" i="11"/>
  <c r="AD92" i="11"/>
  <c r="AD93" i="11"/>
  <c r="AD94" i="11"/>
  <c r="AD95" i="11"/>
  <c r="AD96" i="11"/>
  <c r="AD97" i="11"/>
  <c r="AD98" i="11"/>
  <c r="AD99" i="11"/>
  <c r="AD100" i="11"/>
  <c r="AD101" i="11"/>
  <c r="AD102" i="11"/>
  <c r="AD103" i="11"/>
  <c r="AD104" i="11"/>
  <c r="AD105" i="11"/>
  <c r="AD106" i="11"/>
  <c r="AD107" i="11"/>
  <c r="AD108" i="11"/>
  <c r="AD109" i="11"/>
  <c r="AD110" i="11"/>
  <c r="AD111" i="11"/>
  <c r="AD112" i="11"/>
  <c r="AD113" i="11"/>
  <c r="AD114" i="11"/>
  <c r="AD115" i="11"/>
  <c r="AD116" i="11"/>
  <c r="AD117" i="11"/>
  <c r="AD118" i="11"/>
  <c r="AD119" i="11"/>
  <c r="AD120" i="11"/>
  <c r="AD121" i="11"/>
  <c r="AD122" i="11"/>
  <c r="AD123" i="11"/>
  <c r="AD124" i="11"/>
  <c r="AD125" i="11"/>
  <c r="AD126" i="11"/>
  <c r="AD127" i="11"/>
  <c r="AD128" i="11"/>
  <c r="AD129" i="11"/>
  <c r="AD130" i="11"/>
  <c r="AD131" i="11"/>
  <c r="AD132" i="11"/>
  <c r="AD133" i="11"/>
  <c r="AD134" i="11"/>
  <c r="AD135" i="11"/>
  <c r="AD136" i="11"/>
  <c r="AD137" i="11"/>
  <c r="AD138" i="11"/>
  <c r="AD139" i="11"/>
  <c r="AD140" i="11"/>
  <c r="AD141" i="11"/>
  <c r="AD142" i="11"/>
  <c r="AD143" i="11"/>
  <c r="AD144" i="11"/>
  <c r="AD145" i="11"/>
  <c r="AD146" i="11"/>
  <c r="AD147" i="11"/>
  <c r="AD148" i="11"/>
  <c r="AD149" i="11"/>
  <c r="AD150" i="11"/>
  <c r="AD151" i="11"/>
  <c r="AD152" i="11"/>
  <c r="AD153" i="11"/>
  <c r="AD154" i="11"/>
  <c r="AD155" i="11"/>
  <c r="AD156" i="11"/>
  <c r="AD157" i="11"/>
  <c r="AD158" i="11"/>
  <c r="AD159" i="11"/>
  <c r="AD160" i="11"/>
  <c r="AD161" i="11"/>
  <c r="AD162" i="11"/>
  <c r="AD163" i="11"/>
  <c r="AD164" i="11"/>
  <c r="AD165" i="11"/>
  <c r="AD166" i="11"/>
  <c r="AD167" i="11"/>
  <c r="AD168" i="11"/>
  <c r="AD169" i="11"/>
  <c r="AD170" i="11"/>
  <c r="AD171" i="11"/>
  <c r="AD172" i="11"/>
  <c r="AD173" i="11"/>
  <c r="AD174" i="11"/>
  <c r="AD175" i="11"/>
  <c r="AD176" i="11"/>
  <c r="AD177" i="11"/>
  <c r="AD178" i="11"/>
  <c r="AD179" i="11"/>
  <c r="AD180" i="11"/>
  <c r="AD181" i="11"/>
  <c r="AD182" i="11"/>
  <c r="AD183" i="11"/>
  <c r="AD184" i="11"/>
  <c r="AD185" i="11"/>
  <c r="AD186" i="11"/>
  <c r="AD187" i="11"/>
  <c r="AD188" i="11"/>
  <c r="AD189" i="11"/>
  <c r="AD190" i="11"/>
  <c r="AD191" i="11"/>
  <c r="AD192" i="11"/>
  <c r="AD193" i="11"/>
  <c r="AD194" i="11"/>
  <c r="AD195" i="11"/>
  <c r="AD196" i="11"/>
  <c r="AD197" i="11"/>
  <c r="AD198" i="11"/>
  <c r="AD199" i="11"/>
  <c r="AD200" i="11"/>
  <c r="AD201" i="11"/>
  <c r="AD202" i="11"/>
  <c r="AD203" i="11"/>
  <c r="AD204" i="11"/>
  <c r="AD205" i="11"/>
  <c r="AD206" i="11"/>
  <c r="AD207" i="11"/>
  <c r="AD208" i="11"/>
  <c r="AD209" i="11"/>
  <c r="AD210" i="11"/>
  <c r="AD211" i="11"/>
  <c r="AD212" i="11"/>
  <c r="AD213" i="11"/>
  <c r="AD214" i="11"/>
  <c r="AD215" i="11"/>
  <c r="AD216" i="11"/>
  <c r="AD217" i="11"/>
  <c r="AD218" i="11"/>
  <c r="AD219" i="11"/>
  <c r="AD220" i="11"/>
  <c r="AD221" i="11"/>
  <c r="AD222" i="11"/>
  <c r="AD223" i="11"/>
  <c r="AD224" i="11"/>
  <c r="AD225" i="11"/>
  <c r="AD226" i="11"/>
  <c r="AD227" i="11"/>
  <c r="AD228" i="11"/>
  <c r="AD229" i="11"/>
  <c r="AD230" i="11"/>
  <c r="AD231" i="11"/>
  <c r="AD232" i="11"/>
  <c r="AD233" i="11"/>
  <c r="AD234" i="11"/>
  <c r="AD235" i="11"/>
  <c r="AD236" i="11"/>
  <c r="AD237" i="11"/>
  <c r="AD238" i="11"/>
  <c r="AD239" i="11"/>
  <c r="AD240" i="11"/>
  <c r="AD241" i="11"/>
  <c r="AD242" i="11"/>
  <c r="AD243" i="11"/>
  <c r="AD244" i="11"/>
  <c r="AD245" i="11"/>
  <c r="AD246" i="11"/>
  <c r="AD247" i="11"/>
  <c r="AD248" i="11"/>
  <c r="AD249" i="11"/>
  <c r="AD250" i="11"/>
  <c r="AD251" i="11"/>
  <c r="AD252" i="11"/>
  <c r="AD253" i="11"/>
  <c r="AD254" i="11"/>
  <c r="AD255" i="11"/>
  <c r="AD256" i="11"/>
  <c r="AD257" i="11"/>
  <c r="AD258" i="11"/>
  <c r="AD259" i="11"/>
  <c r="AD260" i="11"/>
  <c r="AD261" i="11"/>
  <c r="AD262" i="11"/>
  <c r="AD263" i="11"/>
  <c r="AD264" i="11"/>
  <c r="AD265" i="11"/>
  <c r="AD266" i="11"/>
  <c r="AD267" i="11"/>
  <c r="AD268" i="11"/>
  <c r="AD269" i="11"/>
  <c r="AD270" i="11"/>
  <c r="AD271" i="11"/>
  <c r="AD272" i="11"/>
  <c r="AD273" i="11"/>
  <c r="AD274" i="11"/>
  <c r="AD275" i="11"/>
  <c r="AD276" i="11"/>
  <c r="AD277" i="11"/>
  <c r="AD278" i="11"/>
  <c r="AD279" i="11"/>
  <c r="AD280" i="11"/>
  <c r="AD281" i="11"/>
  <c r="AD282" i="11"/>
  <c r="AD283" i="11"/>
  <c r="AD284" i="11"/>
  <c r="AD285" i="11"/>
  <c r="AD286" i="11"/>
  <c r="AD287" i="11"/>
  <c r="AD288" i="11"/>
  <c r="AD289" i="11"/>
  <c r="AD290" i="11"/>
  <c r="AD291" i="11"/>
  <c r="AD292" i="11"/>
  <c r="AD293" i="11"/>
  <c r="AD294" i="11"/>
  <c r="AD295" i="11"/>
  <c r="AD296" i="11"/>
  <c r="AD297" i="11"/>
  <c r="AD298" i="11"/>
  <c r="AD299" i="11"/>
  <c r="AD300" i="11"/>
  <c r="AD301" i="11"/>
  <c r="AD302" i="11"/>
  <c r="AD303" i="11"/>
  <c r="AD304" i="11"/>
  <c r="AD305" i="11"/>
  <c r="AD306" i="11"/>
  <c r="AD307" i="11"/>
  <c r="AD308" i="11"/>
  <c r="AD309" i="11"/>
  <c r="AD310" i="11"/>
  <c r="AD311" i="11"/>
  <c r="AD312" i="11"/>
  <c r="AD313" i="11"/>
  <c r="AD314" i="11"/>
  <c r="AD315" i="11"/>
  <c r="AD316" i="11"/>
  <c r="AD317" i="11"/>
  <c r="AD318" i="11"/>
  <c r="AD319" i="11"/>
  <c r="AD320" i="11"/>
  <c r="AD321" i="11"/>
  <c r="AD322" i="11"/>
  <c r="AD323" i="11"/>
  <c r="AD324" i="11"/>
  <c r="AD325" i="11"/>
  <c r="AD326" i="11"/>
  <c r="AD327" i="11"/>
  <c r="AD328" i="11"/>
  <c r="AD329" i="11"/>
  <c r="AD330" i="11"/>
  <c r="AD331" i="11"/>
  <c r="AD332" i="11"/>
  <c r="AD333" i="11"/>
  <c r="AD334" i="11"/>
  <c r="AD335" i="11"/>
  <c r="AD336" i="11"/>
  <c r="AD337" i="11"/>
  <c r="AD338" i="11"/>
  <c r="AD339" i="11"/>
  <c r="AD340" i="11"/>
  <c r="AD341" i="11"/>
  <c r="AD342" i="11"/>
  <c r="AD343" i="11"/>
  <c r="AD344" i="11"/>
  <c r="AD345" i="11"/>
  <c r="AF28" i="17" l="1"/>
  <c r="AF45" i="17"/>
  <c r="AF57" i="17"/>
  <c r="AF105" i="17"/>
  <c r="AF118" i="17"/>
  <c r="AF139" i="17"/>
  <c r="AF149" i="17"/>
  <c r="AF178" i="17"/>
  <c r="AF269" i="17"/>
  <c r="AF257" i="17"/>
  <c r="AF245" i="17"/>
  <c r="AF233" i="17"/>
  <c r="AF217" i="17"/>
  <c r="AF205" i="17"/>
  <c r="AF197" i="17"/>
  <c r="AF3" i="17"/>
  <c r="AF162" i="17"/>
  <c r="AF103" i="17"/>
  <c r="AF2" i="17"/>
  <c r="AF137" i="17"/>
  <c r="AF285" i="17"/>
  <c r="AF80" i="17"/>
  <c r="AF81" i="17"/>
  <c r="AF40" i="17"/>
  <c r="AF79" i="17"/>
  <c r="AF17" i="17"/>
  <c r="AF99" i="17"/>
  <c r="AF98" i="17"/>
  <c r="AF145" i="17"/>
  <c r="AF21" i="17"/>
  <c r="AF97" i="17"/>
  <c r="AF164" i="17"/>
  <c r="AF167" i="17"/>
  <c r="AF155" i="17"/>
  <c r="AF64" i="17"/>
  <c r="AF134" i="17"/>
  <c r="AF102" i="17"/>
  <c r="AF39" i="17"/>
  <c r="AF281" i="17"/>
  <c r="AF76" i="17"/>
  <c r="AF169" i="17"/>
  <c r="AF66" i="17"/>
  <c r="AF165" i="17"/>
  <c r="AF171" i="17"/>
  <c r="AF284" i="17"/>
  <c r="AF163" i="17"/>
  <c r="AF286" i="17"/>
  <c r="AF100" i="17"/>
  <c r="AF160" i="17"/>
  <c r="AF161" i="17"/>
  <c r="AF19" i="17"/>
  <c r="AF96" i="17"/>
  <c r="AF93" i="17"/>
  <c r="AF85" i="17"/>
  <c r="AF86" i="17"/>
  <c r="AF84" i="17"/>
  <c r="AF94" i="17"/>
  <c r="AF91" i="17"/>
  <c r="AF279" i="17"/>
  <c r="AF278" i="17"/>
  <c r="AF65" i="17"/>
  <c r="AF283" i="17"/>
  <c r="AF136" i="17"/>
  <c r="AF42" i="17"/>
  <c r="AF20" i="17"/>
  <c r="AF95" i="17"/>
  <c r="AF18" i="17"/>
  <c r="AF133" i="17"/>
  <c r="AD289" i="17"/>
  <c r="AF287" i="17"/>
  <c r="AF166" i="17"/>
  <c r="AF101" i="17"/>
  <c r="AF138" i="17"/>
  <c r="AF168" i="17"/>
  <c r="AF282" i="17"/>
  <c r="AF43" i="17"/>
  <c r="AF89" i="17"/>
  <c r="AF78" i="17"/>
  <c r="AF280" i="17"/>
  <c r="AF90" i="17"/>
  <c r="AF16" i="17"/>
  <c r="AF77" i="17"/>
  <c r="AF88" i="17"/>
  <c r="AF144" i="17"/>
  <c r="AF277" i="17"/>
  <c r="AF156" i="17"/>
  <c r="AF63" i="17"/>
  <c r="AF288" i="17"/>
  <c r="AF41" i="17"/>
  <c r="AF170" i="17"/>
  <c r="AF87" i="17"/>
  <c r="AF82" i="17"/>
  <c r="AF157" i="17"/>
  <c r="AF75" i="17"/>
  <c r="AF74" i="17"/>
  <c r="AF276" i="17"/>
  <c r="AF159" i="17"/>
  <c r="AF275" i="17"/>
  <c r="AF109" i="17"/>
  <c r="AF158" i="17"/>
  <c r="AF274" i="17"/>
  <c r="AF273" i="17"/>
  <c r="AF12" i="17"/>
  <c r="AF8" i="17"/>
  <c r="AF4" i="17"/>
  <c r="AF25" i="17"/>
  <c r="AF29" i="17"/>
  <c r="AF33" i="17"/>
  <c r="AF37" i="17"/>
  <c r="AF46" i="17"/>
  <c r="AF50" i="17"/>
  <c r="AF54" i="17"/>
  <c r="AF58" i="17"/>
  <c r="AF62" i="17"/>
  <c r="AF70" i="17"/>
  <c r="AF83" i="17"/>
  <c r="AF106" i="17"/>
  <c r="AF111" i="17"/>
  <c r="AF115" i="17"/>
  <c r="AF119" i="17"/>
  <c r="AF123" i="17"/>
  <c r="AF127" i="17"/>
  <c r="AF131" i="17"/>
  <c r="AF140" i="17"/>
  <c r="AF146" i="17"/>
  <c r="AF150" i="17"/>
  <c r="AF154" i="17"/>
  <c r="AF175" i="17"/>
  <c r="AF179" i="17"/>
  <c r="AF183" i="17"/>
  <c r="AF272" i="17"/>
  <c r="AF268" i="17"/>
  <c r="AF264" i="17"/>
  <c r="AF260" i="17"/>
  <c r="AF256" i="17"/>
  <c r="AF252" i="17"/>
  <c r="AF248" i="17"/>
  <c r="AF244" i="17"/>
  <c r="AF240" i="17"/>
  <c r="AF236" i="17"/>
  <c r="AF232" i="17"/>
  <c r="AF228" i="17"/>
  <c r="AF224" i="17"/>
  <c r="AF220" i="17"/>
  <c r="AF216" i="17"/>
  <c r="AF212" i="17"/>
  <c r="AF208" i="17"/>
  <c r="AF204" i="17"/>
  <c r="AF200" i="17"/>
  <c r="AF196" i="17"/>
  <c r="AF192" i="17"/>
  <c r="AF188" i="17"/>
  <c r="AF24" i="17"/>
  <c r="AF36" i="17"/>
  <c r="AF53" i="17"/>
  <c r="AF73" i="17"/>
  <c r="AF114" i="17"/>
  <c r="AF122" i="17"/>
  <c r="AF130" i="17"/>
  <c r="AF174" i="17"/>
  <c r="AF186" i="17"/>
  <c r="AF261" i="17"/>
  <c r="AF253" i="17"/>
  <c r="AF241" i="17"/>
  <c r="AF229" i="17"/>
  <c r="AF221" i="17"/>
  <c r="AF209" i="17"/>
  <c r="AF189" i="17"/>
  <c r="AF15" i="17"/>
  <c r="AF11" i="17"/>
  <c r="AF7" i="17"/>
  <c r="AF22" i="17"/>
  <c r="AF26" i="17"/>
  <c r="AF30" i="17"/>
  <c r="AF34" i="17"/>
  <c r="AF38" i="17"/>
  <c r="AF47" i="17"/>
  <c r="AF51" i="17"/>
  <c r="AF55" i="17"/>
  <c r="AF59" i="17"/>
  <c r="AF67" i="17"/>
  <c r="AF71" i="17"/>
  <c r="AF92" i="17"/>
  <c r="AF107" i="17"/>
  <c r="AF112" i="17"/>
  <c r="AF116" i="17"/>
  <c r="AF120" i="17"/>
  <c r="AF124" i="17"/>
  <c r="AF128" i="17"/>
  <c r="AF132" i="17"/>
  <c r="AF141" i="17"/>
  <c r="AF147" i="17"/>
  <c r="AF151" i="17"/>
  <c r="AF172" i="17"/>
  <c r="AF176" i="17"/>
  <c r="AF180" i="17"/>
  <c r="AF184" i="17"/>
  <c r="AF271" i="17"/>
  <c r="AF267" i="17"/>
  <c r="AF263" i="17"/>
  <c r="AF259" i="17"/>
  <c r="AF255" i="17"/>
  <c r="AF251" i="17"/>
  <c r="AF247" i="17"/>
  <c r="AF243" i="17"/>
  <c r="AF239" i="17"/>
  <c r="AF235" i="17"/>
  <c r="AF231" i="17"/>
  <c r="AF227" i="17"/>
  <c r="AF223" i="17"/>
  <c r="AF219" i="17"/>
  <c r="AF215" i="17"/>
  <c r="AF211" i="17"/>
  <c r="AF207" i="17"/>
  <c r="AF203" i="17"/>
  <c r="AF199" i="17"/>
  <c r="AF195" i="17"/>
  <c r="AF191" i="17"/>
  <c r="AF187" i="17"/>
  <c r="AF32" i="17"/>
  <c r="AF49" i="17"/>
  <c r="AF61" i="17"/>
  <c r="AF69" i="17"/>
  <c r="AF110" i="17"/>
  <c r="AF126" i="17"/>
  <c r="AF143" i="17"/>
  <c r="AF153" i="17"/>
  <c r="AF182" i="17"/>
  <c r="AF265" i="17"/>
  <c r="AF249" i="17"/>
  <c r="AF237" i="17"/>
  <c r="AF225" i="17"/>
  <c r="AF213" i="17"/>
  <c r="AF201" i="17"/>
  <c r="AF193" i="17"/>
  <c r="AF14" i="17"/>
  <c r="AF10" i="17"/>
  <c r="AF6" i="17"/>
  <c r="AF23" i="17"/>
  <c r="AF27" i="17"/>
  <c r="AF31" i="17"/>
  <c r="AF35" i="17"/>
  <c r="AF44" i="17"/>
  <c r="AF48" i="17"/>
  <c r="AF52" i="17"/>
  <c r="AF56" i="17"/>
  <c r="AF60" i="17"/>
  <c r="AF68" i="17"/>
  <c r="AF72" i="17"/>
  <c r="AF104" i="17"/>
  <c r="AF108" i="17"/>
  <c r="AF113" i="17"/>
  <c r="AF117" i="17"/>
  <c r="AF121" i="17"/>
  <c r="AF125" i="17"/>
  <c r="AF129" i="17"/>
  <c r="AF135" i="17"/>
  <c r="AF142" i="17"/>
  <c r="AF148" i="17"/>
  <c r="AF152" i="17"/>
  <c r="AF173" i="17"/>
  <c r="AF177" i="17"/>
  <c r="AF181" i="17"/>
  <c r="AF185" i="17"/>
  <c r="AF270" i="17"/>
  <c r="AF266" i="17"/>
  <c r="AF262" i="17"/>
  <c r="AF258" i="17"/>
  <c r="AF254" i="17"/>
  <c r="AF250" i="17"/>
  <c r="AF246" i="17"/>
  <c r="AF242" i="17"/>
  <c r="AF238" i="17"/>
  <c r="AF234" i="17"/>
  <c r="AF230" i="17"/>
  <c r="AF226" i="17"/>
  <c r="AF222" i="17"/>
  <c r="AF218" i="17"/>
  <c r="AF214" i="17"/>
  <c r="AF210" i="17"/>
  <c r="AF206" i="17"/>
  <c r="AF202" i="17"/>
  <c r="AF198" i="17"/>
  <c r="AF194" i="17"/>
  <c r="AF190" i="17"/>
  <c r="AF284" i="3"/>
  <c r="AF285" i="3"/>
  <c r="AF283" i="3"/>
  <c r="AF286" i="3"/>
  <c r="AF282" i="3"/>
  <c r="AF397" i="11"/>
  <c r="AF398" i="11"/>
  <c r="AF395" i="11"/>
  <c r="AF396" i="11"/>
  <c r="AF408" i="3"/>
  <c r="AF409" i="3"/>
  <c r="AF437" i="3"/>
  <c r="AF436" i="3"/>
  <c r="AF435" i="3"/>
  <c r="AF280" i="3"/>
  <c r="AF277" i="3"/>
  <c r="AF276" i="3"/>
  <c r="AF281" i="3"/>
  <c r="AF279" i="3"/>
  <c r="AF274" i="3"/>
  <c r="AF275" i="3"/>
  <c r="AF278" i="3"/>
  <c r="AF143" i="3"/>
  <c r="AF144" i="3"/>
  <c r="AF418" i="3"/>
  <c r="AF393" i="11"/>
  <c r="AF394" i="11"/>
  <c r="AF399" i="11"/>
  <c r="AF329" i="14"/>
  <c r="AF458" i="3"/>
  <c r="AF273" i="3"/>
  <c r="AF3" i="3"/>
  <c r="AF58" i="3"/>
  <c r="AF54" i="3"/>
  <c r="AF38" i="3"/>
  <c r="AF26" i="3"/>
  <c r="AF14" i="3"/>
  <c r="AF6" i="3"/>
  <c r="AF65" i="3"/>
  <c r="AF61" i="3"/>
  <c r="AF57" i="3"/>
  <c r="AF53" i="3"/>
  <c r="AF49" i="3"/>
  <c r="AF45" i="3"/>
  <c r="AF41" i="3"/>
  <c r="AF37" i="3"/>
  <c r="AF33" i="3"/>
  <c r="AF29" i="3"/>
  <c r="AF25" i="3"/>
  <c r="AF21" i="3"/>
  <c r="AF17" i="3"/>
  <c r="AF13" i="3"/>
  <c r="AF9" i="3"/>
  <c r="AF5" i="3"/>
  <c r="AF72" i="3"/>
  <c r="AF76" i="3"/>
  <c r="AF80" i="3"/>
  <c r="AF84" i="3"/>
  <c r="AF50" i="3"/>
  <c r="AF34" i="3"/>
  <c r="AF22" i="3"/>
  <c r="AF71" i="3"/>
  <c r="AF64" i="3"/>
  <c r="AF60" i="3"/>
  <c r="AF56" i="3"/>
  <c r="AF52" i="3"/>
  <c r="AF48" i="3"/>
  <c r="AF44" i="3"/>
  <c r="AF40" i="3"/>
  <c r="AF36" i="3"/>
  <c r="AF32" i="3"/>
  <c r="AF28" i="3"/>
  <c r="AF24" i="3"/>
  <c r="AF20" i="3"/>
  <c r="AF16" i="3"/>
  <c r="AF12" i="3"/>
  <c r="AF8" i="3"/>
  <c r="AF4" i="3"/>
  <c r="AF73" i="3"/>
  <c r="AF77" i="3"/>
  <c r="AF81" i="3"/>
  <c r="AF62" i="3"/>
  <c r="AF46" i="3"/>
  <c r="AF30" i="3"/>
  <c r="AF75" i="3"/>
  <c r="AF2" i="3"/>
  <c r="AF270" i="3"/>
  <c r="AF140" i="3"/>
  <c r="AF265" i="3"/>
  <c r="AF333" i="3"/>
  <c r="AF139" i="3"/>
  <c r="AF260" i="3"/>
  <c r="AF271" i="3"/>
  <c r="AF334" i="3"/>
  <c r="AF142" i="3"/>
  <c r="AF266" i="3"/>
  <c r="AF342" i="3"/>
  <c r="AF272" i="3"/>
  <c r="AF332" i="3"/>
  <c r="AF267" i="3"/>
  <c r="AF343" i="3"/>
  <c r="AF483" i="3"/>
  <c r="AF259" i="3"/>
  <c r="AF262" i="3"/>
  <c r="AF269" i="3"/>
  <c r="AF261" i="3"/>
  <c r="AF482" i="3"/>
  <c r="AF268" i="3"/>
  <c r="AF263" i="3"/>
  <c r="AF141" i="3"/>
  <c r="AF264" i="3"/>
  <c r="AF407" i="3"/>
  <c r="AF258" i="3"/>
  <c r="AF406" i="3"/>
  <c r="AF257" i="3"/>
  <c r="AF457" i="3"/>
  <c r="AF66" i="3"/>
  <c r="AF67" i="3"/>
  <c r="AF68" i="3"/>
  <c r="AF256" i="3"/>
  <c r="AF456" i="3"/>
  <c r="AF470" i="3"/>
  <c r="AF331" i="3"/>
  <c r="AF480" i="3"/>
  <c r="AF479" i="3"/>
  <c r="AF254" i="3"/>
  <c r="AF465" i="3"/>
  <c r="AF253" i="3"/>
  <c r="AF477" i="3"/>
  <c r="AF466" i="3"/>
  <c r="AF476" i="3"/>
  <c r="AF255" i="3"/>
  <c r="AF475" i="3"/>
  <c r="AF405" i="3"/>
  <c r="AF473" i="3"/>
  <c r="AF469" i="3"/>
  <c r="AF481" i="3"/>
  <c r="AF472" i="3"/>
  <c r="AF474" i="3"/>
  <c r="AF471" i="3"/>
  <c r="AF478" i="3"/>
  <c r="AF468" i="3"/>
  <c r="AF467" i="3"/>
  <c r="AF69" i="3"/>
  <c r="AF403" i="3"/>
  <c r="AF404" i="3"/>
  <c r="AF402" i="3"/>
  <c r="AF252" i="3"/>
  <c r="AF447" i="3"/>
  <c r="AF251" i="3"/>
  <c r="AF63" i="3"/>
  <c r="AF59" i="3"/>
  <c r="AF55" i="3"/>
  <c r="AF51" i="3"/>
  <c r="AF47" i="3"/>
  <c r="AF43" i="3"/>
  <c r="AF39" i="3"/>
  <c r="AF35" i="3"/>
  <c r="AF31" i="3"/>
  <c r="AF27" i="3"/>
  <c r="AF23" i="3"/>
  <c r="AF19" i="3"/>
  <c r="AF15" i="3"/>
  <c r="AF42" i="3"/>
  <c r="AF18" i="3"/>
  <c r="AF10" i="3"/>
  <c r="AF79" i="3"/>
  <c r="AF88" i="3"/>
  <c r="AF92" i="3"/>
  <c r="AF96" i="3"/>
  <c r="AF100" i="3"/>
  <c r="AF104" i="3"/>
  <c r="AF108" i="3"/>
  <c r="AF112" i="3"/>
  <c r="AF116" i="3"/>
  <c r="AF120" i="3"/>
  <c r="AF124" i="3"/>
  <c r="AF128" i="3"/>
  <c r="AF132" i="3"/>
  <c r="AF136" i="3"/>
  <c r="AF146" i="3"/>
  <c r="AF150" i="3"/>
  <c r="AF154" i="3"/>
  <c r="AF158" i="3"/>
  <c r="AF162" i="3"/>
  <c r="AF166" i="3"/>
  <c r="AF170" i="3"/>
  <c r="AF174" i="3"/>
  <c r="AF178" i="3"/>
  <c r="AF182" i="3"/>
  <c r="AF186" i="3"/>
  <c r="AF190" i="3"/>
  <c r="AF194" i="3"/>
  <c r="AF198" i="3"/>
  <c r="AF202" i="3"/>
  <c r="AF206" i="3"/>
  <c r="AF210" i="3"/>
  <c r="AF214" i="3"/>
  <c r="AF218" i="3"/>
  <c r="AF222" i="3"/>
  <c r="AF226" i="3"/>
  <c r="AF230" i="3"/>
  <c r="AF234" i="3"/>
  <c r="AF238" i="3"/>
  <c r="AF242" i="3"/>
  <c r="AF246" i="3"/>
  <c r="AF250" i="3"/>
  <c r="AF290" i="3"/>
  <c r="AF294" i="3"/>
  <c r="AF298" i="3"/>
  <c r="AF302" i="3"/>
  <c r="AF306" i="3"/>
  <c r="AF310" i="3"/>
  <c r="AF314" i="3"/>
  <c r="AF318" i="3"/>
  <c r="AF322" i="3"/>
  <c r="AF326" i="3"/>
  <c r="AF330" i="3"/>
  <c r="AF338" i="3"/>
  <c r="AF344" i="3"/>
  <c r="AF348" i="3"/>
  <c r="AF352" i="3"/>
  <c r="AF356" i="3"/>
  <c r="AF360" i="3"/>
  <c r="AF364" i="3"/>
  <c r="AF368" i="3"/>
  <c r="AF372" i="3"/>
  <c r="AF376" i="3"/>
  <c r="AF380" i="3"/>
  <c r="AF384" i="3"/>
  <c r="AF388" i="3"/>
  <c r="AF392" i="3"/>
  <c r="AF396" i="3"/>
  <c r="AF400" i="3"/>
  <c r="AF412" i="3"/>
  <c r="AF416" i="3"/>
  <c r="AF420" i="3"/>
  <c r="AF424" i="3"/>
  <c r="AF428" i="3"/>
  <c r="AF432" i="3"/>
  <c r="AF439" i="3"/>
  <c r="AF443" i="3"/>
  <c r="AF448" i="3"/>
  <c r="AF452" i="3"/>
  <c r="AF459" i="3"/>
  <c r="AF463" i="3"/>
  <c r="AF85" i="3"/>
  <c r="AF89" i="3"/>
  <c r="AF93" i="3"/>
  <c r="AF97" i="3"/>
  <c r="AF101" i="3"/>
  <c r="AF105" i="3"/>
  <c r="AF109" i="3"/>
  <c r="AF113" i="3"/>
  <c r="AF117" i="3"/>
  <c r="AF121" i="3"/>
  <c r="AF125" i="3"/>
  <c r="AF129" i="3"/>
  <c r="AF133" i="3"/>
  <c r="AF137" i="3"/>
  <c r="AF147" i="3"/>
  <c r="AF151" i="3"/>
  <c r="AF155" i="3"/>
  <c r="AF159" i="3"/>
  <c r="AF163" i="3"/>
  <c r="AF167" i="3"/>
  <c r="AF171" i="3"/>
  <c r="AF175" i="3"/>
  <c r="AF179" i="3"/>
  <c r="AF183" i="3"/>
  <c r="AF187" i="3"/>
  <c r="AF191" i="3"/>
  <c r="AF195" i="3"/>
  <c r="AF199" i="3"/>
  <c r="AF203" i="3"/>
  <c r="AF207" i="3"/>
  <c r="AF211" i="3"/>
  <c r="AF215" i="3"/>
  <c r="AF219" i="3"/>
  <c r="AF223" i="3"/>
  <c r="AF227" i="3"/>
  <c r="AF231" i="3"/>
  <c r="AF235" i="3"/>
  <c r="AF239" i="3"/>
  <c r="AF243" i="3"/>
  <c r="AF247" i="3"/>
  <c r="AE287" i="3"/>
  <c r="AF287" i="3"/>
  <c r="AF291" i="3"/>
  <c r="AF295" i="3"/>
  <c r="AF299" i="3"/>
  <c r="AF303" i="3"/>
  <c r="AF307" i="3"/>
  <c r="AF311" i="3"/>
  <c r="AF315" i="3"/>
  <c r="AF319" i="3"/>
  <c r="AF323" i="3"/>
  <c r="AF327" i="3"/>
  <c r="AF335" i="3"/>
  <c r="AF339" i="3"/>
  <c r="AF345" i="3"/>
  <c r="AF349" i="3"/>
  <c r="AF353" i="3"/>
  <c r="AF357" i="3"/>
  <c r="AF361" i="3"/>
  <c r="AF365" i="3"/>
  <c r="AF369" i="3"/>
  <c r="AF373" i="3"/>
  <c r="AF377" i="3"/>
  <c r="AF381" i="3"/>
  <c r="AF385" i="3"/>
  <c r="AF389" i="3"/>
  <c r="AF393" i="3"/>
  <c r="AF397" i="3"/>
  <c r="AF401" i="3"/>
  <c r="AF413" i="3"/>
  <c r="AF417" i="3"/>
  <c r="AF421" i="3"/>
  <c r="AF425" i="3"/>
  <c r="AF429" i="3"/>
  <c r="AF433" i="3"/>
  <c r="AF440" i="3"/>
  <c r="AF444" i="3"/>
  <c r="AF449" i="3"/>
  <c r="AF453" i="3"/>
  <c r="AF460" i="3"/>
  <c r="AF464" i="3"/>
  <c r="AF11" i="3"/>
  <c r="AF7" i="3"/>
  <c r="AF70" i="3"/>
  <c r="AF74" i="3"/>
  <c r="AF78" i="3"/>
  <c r="AF82" i="3"/>
  <c r="AF86" i="3"/>
  <c r="AF90" i="3"/>
  <c r="AF94" i="3"/>
  <c r="AF98" i="3"/>
  <c r="AF102" i="3"/>
  <c r="AF106" i="3"/>
  <c r="AF110" i="3"/>
  <c r="AF114" i="3"/>
  <c r="AF118" i="3"/>
  <c r="AF122" i="3"/>
  <c r="AF126" i="3"/>
  <c r="AF130" i="3"/>
  <c r="AF134" i="3"/>
  <c r="AF138" i="3"/>
  <c r="AF148" i="3"/>
  <c r="AF152" i="3"/>
  <c r="AF156" i="3"/>
  <c r="AF160" i="3"/>
  <c r="AF164" i="3"/>
  <c r="AF168" i="3"/>
  <c r="AF172" i="3"/>
  <c r="AF176" i="3"/>
  <c r="AF180" i="3"/>
  <c r="AF184" i="3"/>
  <c r="AF188" i="3"/>
  <c r="AF192" i="3"/>
  <c r="AF196" i="3"/>
  <c r="AF200" i="3"/>
  <c r="AF204" i="3"/>
  <c r="AF208" i="3"/>
  <c r="AF212" i="3"/>
  <c r="AF216" i="3"/>
  <c r="AF220" i="3"/>
  <c r="AF224" i="3"/>
  <c r="AF228" i="3"/>
  <c r="AF232" i="3"/>
  <c r="AF236" i="3"/>
  <c r="AF240" i="3"/>
  <c r="AF244" i="3"/>
  <c r="AF248" i="3"/>
  <c r="AF288" i="3"/>
  <c r="AF292" i="3"/>
  <c r="AF296" i="3"/>
  <c r="AF300" i="3"/>
  <c r="AF304" i="3"/>
  <c r="AF308" i="3"/>
  <c r="AF312" i="3"/>
  <c r="AF316" i="3"/>
  <c r="AF320" i="3"/>
  <c r="AF324" i="3"/>
  <c r="AF328" i="3"/>
  <c r="AF336" i="3"/>
  <c r="AF340" i="3"/>
  <c r="AF346" i="3"/>
  <c r="AF350" i="3"/>
  <c r="AF354" i="3"/>
  <c r="AF358" i="3"/>
  <c r="AF362" i="3"/>
  <c r="AF366" i="3"/>
  <c r="AF370" i="3"/>
  <c r="AF374" i="3"/>
  <c r="AF378" i="3"/>
  <c r="AF382" i="3"/>
  <c r="AF386" i="3"/>
  <c r="AF390" i="3"/>
  <c r="AF394" i="3"/>
  <c r="AF398" i="3"/>
  <c r="AF410" i="3"/>
  <c r="AF414" i="3"/>
  <c r="AF422" i="3"/>
  <c r="AF426" i="3"/>
  <c r="AF430" i="3"/>
  <c r="AF434" i="3"/>
  <c r="AF441" i="3"/>
  <c r="AF445" i="3"/>
  <c r="AF450" i="3"/>
  <c r="AF454" i="3"/>
  <c r="AF461" i="3"/>
  <c r="AF83" i="3"/>
  <c r="AF87" i="3"/>
  <c r="AF91" i="3"/>
  <c r="AF95" i="3"/>
  <c r="AF99" i="3"/>
  <c r="AF103" i="3"/>
  <c r="AF107" i="3"/>
  <c r="AF111" i="3"/>
  <c r="AF115" i="3"/>
  <c r="AF119" i="3"/>
  <c r="AF123" i="3"/>
  <c r="AF127" i="3"/>
  <c r="AF131" i="3"/>
  <c r="AF135" i="3"/>
  <c r="AF145" i="3"/>
  <c r="AF149" i="3"/>
  <c r="AF153" i="3"/>
  <c r="AF157" i="3"/>
  <c r="AF161" i="3"/>
  <c r="AF165" i="3"/>
  <c r="AF169" i="3"/>
  <c r="AF173" i="3"/>
  <c r="AF177" i="3"/>
  <c r="AF181" i="3"/>
  <c r="AF185" i="3"/>
  <c r="AF189" i="3"/>
  <c r="AF193" i="3"/>
  <c r="AF197" i="3"/>
  <c r="AF201" i="3"/>
  <c r="AF205" i="3"/>
  <c r="AF209" i="3"/>
  <c r="AF213" i="3"/>
  <c r="AF217" i="3"/>
  <c r="AF221" i="3"/>
  <c r="AF225" i="3"/>
  <c r="AF229" i="3"/>
  <c r="AF233" i="3"/>
  <c r="AF237" i="3"/>
  <c r="AF241" i="3"/>
  <c r="AF245" i="3"/>
  <c r="AF249" i="3"/>
  <c r="AF289" i="3"/>
  <c r="AF293" i="3"/>
  <c r="AF297" i="3"/>
  <c r="AF301" i="3"/>
  <c r="AF305" i="3"/>
  <c r="AF309" i="3"/>
  <c r="AF313" i="3"/>
  <c r="AF317" i="3"/>
  <c r="AF321" i="3"/>
  <c r="AF325" i="3"/>
  <c r="AF329" i="3"/>
  <c r="AF337" i="3"/>
  <c r="AF341" i="3"/>
  <c r="AF347" i="3"/>
  <c r="AF351" i="3"/>
  <c r="AF355" i="3"/>
  <c r="AF359" i="3"/>
  <c r="AF363" i="3"/>
  <c r="AF367" i="3"/>
  <c r="AF371" i="3"/>
  <c r="AF375" i="3"/>
  <c r="AF379" i="3"/>
  <c r="AF383" i="3"/>
  <c r="AF387" i="3"/>
  <c r="AF391" i="3"/>
  <c r="AF395" i="3"/>
  <c r="AF399" i="3"/>
  <c r="AF411" i="3"/>
  <c r="AF415" i="3"/>
  <c r="AF419" i="3"/>
  <c r="AF423" i="3"/>
  <c r="AF427" i="3"/>
  <c r="AF431" i="3"/>
  <c r="AF438" i="3"/>
  <c r="AF442" i="3"/>
  <c r="AF446" i="3"/>
  <c r="AF451" i="3"/>
  <c r="AF455" i="3"/>
  <c r="AF462" i="3"/>
  <c r="AF387" i="11"/>
  <c r="AF386" i="11"/>
  <c r="AF391" i="11"/>
  <c r="AF388" i="11"/>
  <c r="AF392" i="11"/>
  <c r="AF390" i="11"/>
  <c r="AF389" i="11"/>
  <c r="AF350" i="11"/>
  <c r="AE328" i="11"/>
  <c r="AF328" i="11"/>
  <c r="AE343" i="11"/>
  <c r="AF343" i="11"/>
  <c r="AE335" i="11"/>
  <c r="AF335" i="11"/>
  <c r="AE323" i="11"/>
  <c r="AF323" i="11"/>
  <c r="AE311" i="11"/>
  <c r="AF311" i="11"/>
  <c r="AE345" i="11"/>
  <c r="AF345" i="11"/>
  <c r="AE341" i="11"/>
  <c r="AF341" i="11"/>
  <c r="AE337" i="11"/>
  <c r="AF337" i="11"/>
  <c r="AE333" i="11"/>
  <c r="AF333" i="11"/>
  <c r="AE329" i="11"/>
  <c r="AF329" i="11"/>
  <c r="AE325" i="11"/>
  <c r="AF325" i="11"/>
  <c r="AE321" i="11"/>
  <c r="AF321" i="11"/>
  <c r="AE317" i="11"/>
  <c r="AF317" i="11"/>
  <c r="AE313" i="11"/>
  <c r="AF313" i="11"/>
  <c r="AE309" i="11"/>
  <c r="AF309" i="11"/>
  <c r="AE305" i="11"/>
  <c r="AF305" i="11"/>
  <c r="AE301" i="11"/>
  <c r="AF301" i="11"/>
  <c r="AE297" i="11"/>
  <c r="AF297" i="11"/>
  <c r="AE293" i="11"/>
  <c r="AF293" i="11"/>
  <c r="AE289" i="11"/>
  <c r="AF289" i="11"/>
  <c r="AE285" i="11"/>
  <c r="AF285" i="11"/>
  <c r="AE281" i="11"/>
  <c r="AF281" i="11"/>
  <c r="AE277" i="11"/>
  <c r="AF277" i="11"/>
  <c r="AE273" i="11"/>
  <c r="AF273" i="11"/>
  <c r="AE269" i="11"/>
  <c r="AF269" i="11"/>
  <c r="AE265" i="11"/>
  <c r="AF265" i="11"/>
  <c r="AE261" i="11"/>
  <c r="AF261" i="11"/>
  <c r="AE257" i="11"/>
  <c r="AF257" i="11"/>
  <c r="AE253" i="11"/>
  <c r="AF253" i="11"/>
  <c r="AE249" i="11"/>
  <c r="AF249" i="11"/>
  <c r="AE245" i="11"/>
  <c r="AF245" i="11"/>
  <c r="AE241" i="11"/>
  <c r="AF241" i="11"/>
  <c r="AE237" i="11"/>
  <c r="AF237" i="11"/>
  <c r="AE233" i="11"/>
  <c r="AF233" i="11"/>
  <c r="AE229" i="11"/>
  <c r="AF229" i="11"/>
  <c r="AE225" i="11"/>
  <c r="AF225" i="11"/>
  <c r="AE221" i="11"/>
  <c r="AF221" i="11"/>
  <c r="AE217" i="11"/>
  <c r="AF217" i="11"/>
  <c r="AE213" i="11"/>
  <c r="AF213" i="11"/>
  <c r="AE209" i="11"/>
  <c r="AF209" i="11"/>
  <c r="AE205" i="11"/>
  <c r="AF205" i="11"/>
  <c r="AE201" i="11"/>
  <c r="AF201" i="11"/>
  <c r="AE197" i="11"/>
  <c r="AF197" i="11"/>
  <c r="AE193" i="11"/>
  <c r="AF193" i="11"/>
  <c r="AE189" i="11"/>
  <c r="AF189" i="11"/>
  <c r="AE185" i="11"/>
  <c r="AF185" i="11"/>
  <c r="AE181" i="11"/>
  <c r="AF181" i="11"/>
  <c r="AE177" i="11"/>
  <c r="AF177" i="11"/>
  <c r="AE173" i="11"/>
  <c r="AF173" i="11"/>
  <c r="AE169" i="11"/>
  <c r="AF169" i="11"/>
  <c r="AE165" i="11"/>
  <c r="AF165" i="11"/>
  <c r="AE161" i="11"/>
  <c r="AF161" i="11"/>
  <c r="AE157" i="11"/>
  <c r="AF157" i="11"/>
  <c r="AE153" i="11"/>
  <c r="AF153" i="11"/>
  <c r="AE149" i="11"/>
  <c r="AF149" i="11"/>
  <c r="AE145" i="11"/>
  <c r="AF145" i="11"/>
  <c r="AE141" i="11"/>
  <c r="AF141" i="11"/>
  <c r="AE137" i="11"/>
  <c r="AF137" i="11"/>
  <c r="AE133" i="11"/>
  <c r="AF133" i="11"/>
  <c r="AE129" i="11"/>
  <c r="AF129" i="11"/>
  <c r="AE125" i="11"/>
  <c r="AF125" i="11"/>
  <c r="AE121" i="11"/>
  <c r="AF121" i="11"/>
  <c r="AE117" i="11"/>
  <c r="AF117" i="11"/>
  <c r="AE113" i="11"/>
  <c r="AF113" i="11"/>
  <c r="AE109" i="11"/>
  <c r="AF109" i="11"/>
  <c r="AE105" i="11"/>
  <c r="AF105" i="11"/>
  <c r="AE101" i="11"/>
  <c r="AF101" i="11"/>
  <c r="AE97" i="11"/>
  <c r="AF97" i="11"/>
  <c r="AE93" i="11"/>
  <c r="AF93" i="11"/>
  <c r="AE89" i="11"/>
  <c r="AF89" i="11"/>
  <c r="AE85" i="11"/>
  <c r="AF85" i="11"/>
  <c r="AE81" i="11"/>
  <c r="AF81" i="11"/>
  <c r="AE77" i="11"/>
  <c r="AF77" i="11"/>
  <c r="AE73" i="11"/>
  <c r="AF73" i="11"/>
  <c r="AE69" i="11"/>
  <c r="AF69" i="11"/>
  <c r="AE65" i="11"/>
  <c r="AF65" i="11"/>
  <c r="AE61" i="11"/>
  <c r="AF61" i="11"/>
  <c r="AE57" i="11"/>
  <c r="AF57" i="11"/>
  <c r="AE53" i="11"/>
  <c r="AF53" i="11"/>
  <c r="AE49" i="11"/>
  <c r="AF49" i="11"/>
  <c r="AE45" i="11"/>
  <c r="AF45" i="11"/>
  <c r="AE41" i="11"/>
  <c r="AF41" i="11"/>
  <c r="AE37" i="11"/>
  <c r="AF37" i="11"/>
  <c r="AE33" i="11"/>
  <c r="AF33" i="11"/>
  <c r="AE29" i="11"/>
  <c r="AF29" i="11"/>
  <c r="AE25" i="11"/>
  <c r="AF25" i="11"/>
  <c r="AE21" i="11"/>
  <c r="AF21" i="11"/>
  <c r="AE17" i="11"/>
  <c r="AF17" i="11"/>
  <c r="AE13" i="11"/>
  <c r="AF13" i="11"/>
  <c r="AE9" i="11"/>
  <c r="AF9" i="11"/>
  <c r="AE5" i="11"/>
  <c r="AF5" i="11"/>
  <c r="AE400" i="11"/>
  <c r="AF400" i="11"/>
  <c r="AE404" i="11"/>
  <c r="AF404" i="11"/>
  <c r="AE447" i="11"/>
  <c r="AF447" i="11"/>
  <c r="AE443" i="11"/>
  <c r="AF443" i="11"/>
  <c r="AE439" i="11"/>
  <c r="AF439" i="11"/>
  <c r="AE435" i="11"/>
  <c r="AF435" i="11"/>
  <c r="AE431" i="11"/>
  <c r="AF431" i="11"/>
  <c r="AE427" i="11"/>
  <c r="AF427" i="11"/>
  <c r="AE423" i="11"/>
  <c r="AF423" i="11"/>
  <c r="AF419" i="11"/>
  <c r="AE415" i="11"/>
  <c r="AF415" i="11"/>
  <c r="AE411" i="11"/>
  <c r="AF411" i="11"/>
  <c r="AE407" i="11"/>
  <c r="AF407" i="11"/>
  <c r="AF349" i="11"/>
  <c r="AE340" i="11"/>
  <c r="AF340" i="11"/>
  <c r="AE324" i="11"/>
  <c r="AF324" i="11"/>
  <c r="AE320" i="11"/>
  <c r="AF320" i="11"/>
  <c r="AE316" i="11"/>
  <c r="AF316" i="11"/>
  <c r="AE312" i="11"/>
  <c r="AF312" i="11"/>
  <c r="AE308" i="11"/>
  <c r="AF308" i="11"/>
  <c r="AE304" i="11"/>
  <c r="AF304" i="11"/>
  <c r="AE300" i="11"/>
  <c r="AF300" i="11"/>
  <c r="AE296" i="11"/>
  <c r="AF296" i="11"/>
  <c r="AE292" i="11"/>
  <c r="AF292" i="11"/>
  <c r="AE288" i="11"/>
  <c r="AF288" i="11"/>
  <c r="AE284" i="11"/>
  <c r="AF284" i="11"/>
  <c r="AE280" i="11"/>
  <c r="AF280" i="11"/>
  <c r="AE276" i="11"/>
  <c r="AF276" i="11"/>
  <c r="AE272" i="11"/>
  <c r="AF272" i="11"/>
  <c r="AE268" i="11"/>
  <c r="AF268" i="11"/>
  <c r="AE264" i="11"/>
  <c r="AF264" i="11"/>
  <c r="AE260" i="11"/>
  <c r="AF260" i="11"/>
  <c r="AE256" i="11"/>
  <c r="AF256" i="11"/>
  <c r="AE252" i="11"/>
  <c r="AF252" i="11"/>
  <c r="AE248" i="11"/>
  <c r="AF248" i="11"/>
  <c r="AE244" i="11"/>
  <c r="AF244" i="11"/>
  <c r="AE240" i="11"/>
  <c r="AF240" i="11"/>
  <c r="AE236" i="11"/>
  <c r="AF236" i="11"/>
  <c r="AE232" i="11"/>
  <c r="AF232" i="11"/>
  <c r="AE228" i="11"/>
  <c r="AF228" i="11"/>
  <c r="AE224" i="11"/>
  <c r="AF224" i="11"/>
  <c r="AE220" i="11"/>
  <c r="AF220" i="11"/>
  <c r="AE216" i="11"/>
  <c r="AF216" i="11"/>
  <c r="AE212" i="11"/>
  <c r="AF212" i="11"/>
  <c r="AE208" i="11"/>
  <c r="AF208" i="11"/>
  <c r="AE204" i="11"/>
  <c r="AF204" i="11"/>
  <c r="AE200" i="11"/>
  <c r="AF200" i="11"/>
  <c r="AE196" i="11"/>
  <c r="AF196" i="11"/>
  <c r="AE192" i="11"/>
  <c r="AF192" i="11"/>
  <c r="AE188" i="11"/>
  <c r="AF188" i="11"/>
  <c r="AE184" i="11"/>
  <c r="AF184" i="11"/>
  <c r="AE180" i="11"/>
  <c r="AF180" i="11"/>
  <c r="AE176" i="11"/>
  <c r="AF176" i="11"/>
  <c r="AE172" i="11"/>
  <c r="AF172" i="11"/>
  <c r="AE168" i="11"/>
  <c r="AF168" i="11"/>
  <c r="AE164" i="11"/>
  <c r="AF164" i="11"/>
  <c r="AE160" i="11"/>
  <c r="AF160" i="11"/>
  <c r="AE156" i="11"/>
  <c r="AF156" i="11"/>
  <c r="AE152" i="11"/>
  <c r="AF152" i="11"/>
  <c r="AE148" i="11"/>
  <c r="AF148" i="11"/>
  <c r="AE144" i="11"/>
  <c r="AF144" i="11"/>
  <c r="AE140" i="11"/>
  <c r="AF140" i="11"/>
  <c r="AE136" i="11"/>
  <c r="AF136" i="11"/>
  <c r="AE132" i="11"/>
  <c r="AF132" i="11"/>
  <c r="AE128" i="11"/>
  <c r="AF128" i="11"/>
  <c r="AE124" i="11"/>
  <c r="AF124" i="11"/>
  <c r="AE120" i="11"/>
  <c r="AF120" i="11"/>
  <c r="AE116" i="11"/>
  <c r="AF116" i="11"/>
  <c r="AE112" i="11"/>
  <c r="AF112" i="11"/>
  <c r="AE108" i="11"/>
  <c r="AF108" i="11"/>
  <c r="AE104" i="11"/>
  <c r="AF104" i="11"/>
  <c r="AE100" i="11"/>
  <c r="AF100" i="11"/>
  <c r="AE96" i="11"/>
  <c r="AF96" i="11"/>
  <c r="AE92" i="11"/>
  <c r="AF92" i="11"/>
  <c r="AE88" i="11"/>
  <c r="AF88" i="11"/>
  <c r="AE84" i="11"/>
  <c r="AF84" i="11"/>
  <c r="AE80" i="11"/>
  <c r="AF80" i="11"/>
  <c r="AE76" i="11"/>
  <c r="AF76" i="11"/>
  <c r="AE72" i="11"/>
  <c r="AF72" i="11"/>
  <c r="AE68" i="11"/>
  <c r="AF68" i="11"/>
  <c r="AE64" i="11"/>
  <c r="AF64" i="11"/>
  <c r="AE60" i="11"/>
  <c r="AF60" i="11"/>
  <c r="AE56" i="11"/>
  <c r="AF56" i="11"/>
  <c r="AE52" i="11"/>
  <c r="AF52" i="11"/>
  <c r="AE48" i="11"/>
  <c r="AF48" i="11"/>
  <c r="AE44" i="11"/>
  <c r="AF44" i="11"/>
  <c r="AE40" i="11"/>
  <c r="AF40" i="11"/>
  <c r="AE36" i="11"/>
  <c r="AF36" i="11"/>
  <c r="AE32" i="11"/>
  <c r="AF32" i="11"/>
  <c r="AE28" i="11"/>
  <c r="AF28" i="11"/>
  <c r="AE24" i="11"/>
  <c r="AF24" i="11"/>
  <c r="AE20" i="11"/>
  <c r="AF20" i="11"/>
  <c r="AE16" i="11"/>
  <c r="AF16" i="11"/>
  <c r="AE12" i="11"/>
  <c r="AF12" i="11"/>
  <c r="AE8" i="11"/>
  <c r="AF8" i="11"/>
  <c r="AE4" i="11"/>
  <c r="AF4" i="11"/>
  <c r="AE401" i="11"/>
  <c r="AF401" i="11"/>
  <c r="AE405" i="11"/>
  <c r="AF405" i="11"/>
  <c r="AE446" i="11"/>
  <c r="AF446" i="11"/>
  <c r="AE442" i="11"/>
  <c r="AF442" i="11"/>
  <c r="AE438" i="11"/>
  <c r="AF438" i="11"/>
  <c r="AE434" i="11"/>
  <c r="AF434" i="11"/>
  <c r="AE430" i="11"/>
  <c r="AF430" i="11"/>
  <c r="AE426" i="11"/>
  <c r="AF426" i="11"/>
  <c r="AE422" i="11"/>
  <c r="AF422" i="11"/>
  <c r="AE418" i="11"/>
  <c r="AF418" i="11"/>
  <c r="AE414" i="11"/>
  <c r="AF414" i="11"/>
  <c r="AE410" i="11"/>
  <c r="AF410" i="11"/>
  <c r="AE406" i="11"/>
  <c r="AF406" i="11"/>
  <c r="AE344" i="11"/>
  <c r="AF344" i="11"/>
  <c r="AE332" i="11"/>
  <c r="AF332" i="11"/>
  <c r="AE331" i="11"/>
  <c r="AF331" i="11"/>
  <c r="AE319" i="11"/>
  <c r="AF319" i="11"/>
  <c r="AE307" i="11"/>
  <c r="AF307" i="11"/>
  <c r="AE299" i="11"/>
  <c r="AF299" i="11"/>
  <c r="AE291" i="11"/>
  <c r="AF291" i="11"/>
  <c r="AE283" i="11"/>
  <c r="AF283" i="11"/>
  <c r="AE279" i="11"/>
  <c r="AF279" i="11"/>
  <c r="AE275" i="11"/>
  <c r="AF275" i="11"/>
  <c r="AE271" i="11"/>
  <c r="AF271" i="11"/>
  <c r="AE263" i="11"/>
  <c r="AF263" i="11"/>
  <c r="AE259" i="11"/>
  <c r="AF259" i="11"/>
  <c r="AE255" i="11"/>
  <c r="AF255" i="11"/>
  <c r="AE251" i="11"/>
  <c r="AF251" i="11"/>
  <c r="AE247" i="11"/>
  <c r="AF247" i="11"/>
  <c r="AE243" i="11"/>
  <c r="AF243" i="11"/>
  <c r="AE239" i="11"/>
  <c r="AF239" i="11"/>
  <c r="AE235" i="11"/>
  <c r="AF235" i="11"/>
  <c r="AE231" i="11"/>
  <c r="AF231" i="11"/>
  <c r="AE227" i="11"/>
  <c r="AF227" i="11"/>
  <c r="AE223" i="11"/>
  <c r="AF223" i="11"/>
  <c r="AE219" i="11"/>
  <c r="AF219" i="11"/>
  <c r="AE215" i="11"/>
  <c r="AF215" i="11"/>
  <c r="AE211" i="11"/>
  <c r="AF211" i="11"/>
  <c r="AE207" i="11"/>
  <c r="AF207" i="11"/>
  <c r="AE203" i="11"/>
  <c r="AF203" i="11"/>
  <c r="AE199" i="11"/>
  <c r="AF199" i="11"/>
  <c r="AE195" i="11"/>
  <c r="AF195" i="11"/>
  <c r="AE191" i="11"/>
  <c r="AF191" i="11"/>
  <c r="AE187" i="11"/>
  <c r="AF187" i="11"/>
  <c r="AE183" i="11"/>
  <c r="AF183" i="11"/>
  <c r="AE179" i="11"/>
  <c r="AF179" i="11"/>
  <c r="AE175" i="11"/>
  <c r="AF175" i="11"/>
  <c r="AE171" i="11"/>
  <c r="AF171" i="11"/>
  <c r="AE167" i="11"/>
  <c r="AF167" i="11"/>
  <c r="AE163" i="11"/>
  <c r="AF163" i="11"/>
  <c r="AE159" i="11"/>
  <c r="AF159" i="11"/>
  <c r="AE155" i="11"/>
  <c r="AF155" i="11"/>
  <c r="AE151" i="11"/>
  <c r="AF151" i="11"/>
  <c r="AE147" i="11"/>
  <c r="AF147" i="11"/>
  <c r="AE143" i="11"/>
  <c r="AF143" i="11"/>
  <c r="AE139" i="11"/>
  <c r="AF139" i="11"/>
  <c r="AE135" i="11"/>
  <c r="AF135" i="11"/>
  <c r="AE131" i="11"/>
  <c r="AF131" i="11"/>
  <c r="AE127" i="11"/>
  <c r="AF127" i="11"/>
  <c r="AE123" i="11"/>
  <c r="AF123" i="11"/>
  <c r="AE119" i="11"/>
  <c r="AF119" i="11"/>
  <c r="AE115" i="11"/>
  <c r="AF115" i="11"/>
  <c r="AE111" i="11"/>
  <c r="AF111" i="11"/>
  <c r="AE107" i="11"/>
  <c r="AF107" i="11"/>
  <c r="AE103" i="11"/>
  <c r="AF103" i="11"/>
  <c r="AE99" i="11"/>
  <c r="AF99" i="11"/>
  <c r="AE95" i="11"/>
  <c r="AF95" i="11"/>
  <c r="AE91" i="11"/>
  <c r="AF91" i="11"/>
  <c r="AE87" i="11"/>
  <c r="AF87" i="11"/>
  <c r="AE83" i="11"/>
  <c r="AF83" i="11"/>
  <c r="AE79" i="11"/>
  <c r="AF79" i="11"/>
  <c r="AE75" i="11"/>
  <c r="AF75" i="11"/>
  <c r="AE71" i="11"/>
  <c r="AF71" i="11"/>
  <c r="AE67" i="11"/>
  <c r="AF67" i="11"/>
  <c r="AE63" i="11"/>
  <c r="AF63" i="11"/>
  <c r="AE59" i="11"/>
  <c r="AF59" i="11"/>
  <c r="AE55" i="11"/>
  <c r="AF55" i="11"/>
  <c r="AE51" i="11"/>
  <c r="AF51" i="11"/>
  <c r="AE47" i="11"/>
  <c r="AF47" i="11"/>
  <c r="AE43" i="11"/>
  <c r="AF43" i="11"/>
  <c r="AE39" i="11"/>
  <c r="AF39" i="11"/>
  <c r="AE35" i="11"/>
  <c r="AF35" i="11"/>
  <c r="AE31" i="11"/>
  <c r="AF31" i="11"/>
  <c r="AE27" i="11"/>
  <c r="AF27" i="11"/>
  <c r="AE23" i="11"/>
  <c r="AF23" i="11"/>
  <c r="AE19" i="11"/>
  <c r="AF19" i="11"/>
  <c r="AE15" i="11"/>
  <c r="AF15" i="11"/>
  <c r="AE11" i="11"/>
  <c r="AF11" i="11"/>
  <c r="AE7" i="11"/>
  <c r="AF7" i="11"/>
  <c r="AF3" i="11"/>
  <c r="AF366" i="11"/>
  <c r="AF370" i="11"/>
  <c r="AF449" i="11"/>
  <c r="AF385" i="11"/>
  <c r="AF382" i="11"/>
  <c r="AF375" i="11"/>
  <c r="AF371" i="11"/>
  <c r="AF365" i="11"/>
  <c r="AF383" i="11"/>
  <c r="AF380" i="11"/>
  <c r="AF374" i="11"/>
  <c r="AF2" i="11"/>
  <c r="AF450" i="11"/>
  <c r="AF377" i="11"/>
  <c r="AF379" i="11"/>
  <c r="AF373" i="11"/>
  <c r="AF367" i="11"/>
  <c r="AF384" i="11"/>
  <c r="AF378" i="11"/>
  <c r="AF381" i="11"/>
  <c r="AF372" i="11"/>
  <c r="AF369" i="11"/>
  <c r="AF376" i="11"/>
  <c r="AF368" i="11"/>
  <c r="AF363" i="11"/>
  <c r="AF364" i="11"/>
  <c r="AF362" i="11"/>
  <c r="AF358" i="11"/>
  <c r="AF353" i="11"/>
  <c r="AF356" i="11"/>
  <c r="AF360" i="11"/>
  <c r="AF359" i="11"/>
  <c r="AF351" i="11"/>
  <c r="AF354" i="11"/>
  <c r="AF357" i="11"/>
  <c r="AF361" i="11"/>
  <c r="AF352" i="11"/>
  <c r="AF355" i="11"/>
  <c r="AE402" i="11"/>
  <c r="AF402" i="11"/>
  <c r="AE445" i="11"/>
  <c r="AF445" i="11"/>
  <c r="AE441" i="11"/>
  <c r="AF441" i="11"/>
  <c r="AE437" i="11"/>
  <c r="AF437" i="11"/>
  <c r="AE433" i="11"/>
  <c r="AF433" i="11"/>
  <c r="AE429" i="11"/>
  <c r="AF429" i="11"/>
  <c r="AE425" i="11"/>
  <c r="AF425" i="11"/>
  <c r="AE421" i="11"/>
  <c r="AF421" i="11"/>
  <c r="AE417" i="11"/>
  <c r="AF417" i="11"/>
  <c r="AE413" i="11"/>
  <c r="AF413" i="11"/>
  <c r="AE409" i="11"/>
  <c r="AF409" i="11"/>
  <c r="AF348" i="11"/>
  <c r="AF346" i="11"/>
  <c r="AF347" i="11"/>
  <c r="AE336" i="11"/>
  <c r="AF336" i="11"/>
  <c r="AE339" i="11"/>
  <c r="AF339" i="11"/>
  <c r="AE327" i="11"/>
  <c r="AF327" i="11"/>
  <c r="AE315" i="11"/>
  <c r="AF315" i="11"/>
  <c r="AE303" i="11"/>
  <c r="AF303" i="11"/>
  <c r="AE295" i="11"/>
  <c r="AF295" i="11"/>
  <c r="AE287" i="11"/>
  <c r="AF287" i="11"/>
  <c r="AE267" i="11"/>
  <c r="AF267" i="11"/>
  <c r="AE342" i="11"/>
  <c r="AF342" i="11"/>
  <c r="AE338" i="11"/>
  <c r="AF338" i="11"/>
  <c r="AE334" i="11"/>
  <c r="AF334" i="11"/>
  <c r="AE330" i="11"/>
  <c r="AF330" i="11"/>
  <c r="AE326" i="11"/>
  <c r="AF326" i="11"/>
  <c r="AE322" i="11"/>
  <c r="AF322" i="11"/>
  <c r="AE318" i="11"/>
  <c r="AF318" i="11"/>
  <c r="AE314" i="11"/>
  <c r="AF314" i="11"/>
  <c r="AE310" i="11"/>
  <c r="AF310" i="11"/>
  <c r="AE306" i="11"/>
  <c r="AF306" i="11"/>
  <c r="AE302" i="11"/>
  <c r="AF302" i="11"/>
  <c r="AE298" i="11"/>
  <c r="AF298" i="11"/>
  <c r="AE294" i="11"/>
  <c r="AF294" i="11"/>
  <c r="AE290" i="11"/>
  <c r="AF290" i="11"/>
  <c r="AE286" i="11"/>
  <c r="AF286" i="11"/>
  <c r="AE282" i="11"/>
  <c r="AF282" i="11"/>
  <c r="AE278" i="11"/>
  <c r="AF278" i="11"/>
  <c r="AE274" i="11"/>
  <c r="AF274" i="11"/>
  <c r="AE270" i="11"/>
  <c r="AF270" i="11"/>
  <c r="AE266" i="11"/>
  <c r="AF266" i="11"/>
  <c r="AE262" i="11"/>
  <c r="AF262" i="11"/>
  <c r="AE258" i="11"/>
  <c r="AF258" i="11"/>
  <c r="AE254" i="11"/>
  <c r="AF254" i="11"/>
  <c r="AE250" i="11"/>
  <c r="AF250" i="11"/>
  <c r="AE246" i="11"/>
  <c r="AF246" i="11"/>
  <c r="AE242" i="11"/>
  <c r="AF242" i="11"/>
  <c r="AE238" i="11"/>
  <c r="AF238" i="11"/>
  <c r="AE234" i="11"/>
  <c r="AF234" i="11"/>
  <c r="AE230" i="11"/>
  <c r="AF230" i="11"/>
  <c r="AE226" i="11"/>
  <c r="AF226" i="11"/>
  <c r="AE222" i="11"/>
  <c r="AF222" i="11"/>
  <c r="AE218" i="11"/>
  <c r="AF218" i="11"/>
  <c r="AE214" i="11"/>
  <c r="AF214" i="11"/>
  <c r="AE210" i="11"/>
  <c r="AF210" i="11"/>
  <c r="AE206" i="11"/>
  <c r="AF206" i="11"/>
  <c r="AE202" i="11"/>
  <c r="AF202" i="11"/>
  <c r="AE198" i="11"/>
  <c r="AF198" i="11"/>
  <c r="AE194" i="11"/>
  <c r="AF194" i="11"/>
  <c r="AE190" i="11"/>
  <c r="AF190" i="11"/>
  <c r="AE186" i="11"/>
  <c r="AF186" i="11"/>
  <c r="AE182" i="11"/>
  <c r="AF182" i="11"/>
  <c r="AE178" i="11"/>
  <c r="AF178" i="11"/>
  <c r="AE174" i="11"/>
  <c r="AF174" i="11"/>
  <c r="AE170" i="11"/>
  <c r="AF170" i="11"/>
  <c r="AE166" i="11"/>
  <c r="AF166" i="11"/>
  <c r="AE162" i="11"/>
  <c r="AF162" i="11"/>
  <c r="AE158" i="11"/>
  <c r="AF158" i="11"/>
  <c r="AE154" i="11"/>
  <c r="AF154" i="11"/>
  <c r="AE150" i="11"/>
  <c r="AF150" i="11"/>
  <c r="AE146" i="11"/>
  <c r="AF146" i="11"/>
  <c r="AE142" i="11"/>
  <c r="AF142" i="11"/>
  <c r="AE138" i="11"/>
  <c r="AF138" i="11"/>
  <c r="AE134" i="11"/>
  <c r="AF134" i="11"/>
  <c r="AE130" i="11"/>
  <c r="AF130" i="11"/>
  <c r="AE126" i="11"/>
  <c r="AF126" i="11"/>
  <c r="AE122" i="11"/>
  <c r="AF122" i="11"/>
  <c r="AE118" i="11"/>
  <c r="AF118" i="11"/>
  <c r="AE114" i="11"/>
  <c r="AF114" i="11"/>
  <c r="AE110" i="11"/>
  <c r="AF110" i="11"/>
  <c r="AE106" i="11"/>
  <c r="AF106" i="11"/>
  <c r="AE102" i="11"/>
  <c r="AF102" i="11"/>
  <c r="AE98" i="11"/>
  <c r="AF98" i="11"/>
  <c r="AE94" i="11"/>
  <c r="AF94" i="11"/>
  <c r="AE90" i="11"/>
  <c r="AF90" i="11"/>
  <c r="AE86" i="11"/>
  <c r="AF86" i="11"/>
  <c r="AE82" i="11"/>
  <c r="AF82" i="11"/>
  <c r="AE78" i="11"/>
  <c r="AF78" i="11"/>
  <c r="AE74" i="11"/>
  <c r="AF74" i="11"/>
  <c r="AE70" i="11"/>
  <c r="AF70" i="11"/>
  <c r="AE66" i="11"/>
  <c r="AF66" i="11"/>
  <c r="AE62" i="11"/>
  <c r="AF62" i="11"/>
  <c r="AE58" i="11"/>
  <c r="AF58" i="11"/>
  <c r="AE54" i="11"/>
  <c r="AF54" i="11"/>
  <c r="AE50" i="11"/>
  <c r="AF50" i="11"/>
  <c r="AE46" i="11"/>
  <c r="AF46" i="11"/>
  <c r="AE42" i="11"/>
  <c r="AF42" i="11"/>
  <c r="AE38" i="11"/>
  <c r="AF38" i="11"/>
  <c r="AE34" i="11"/>
  <c r="AF34" i="11"/>
  <c r="AE30" i="11"/>
  <c r="AF30" i="11"/>
  <c r="AE26" i="11"/>
  <c r="AF26" i="11"/>
  <c r="AE22" i="11"/>
  <c r="AF22" i="11"/>
  <c r="AE18" i="11"/>
  <c r="AF18" i="11"/>
  <c r="AE14" i="11"/>
  <c r="AF14" i="11"/>
  <c r="AE10" i="11"/>
  <c r="AF10" i="11"/>
  <c r="AE6" i="11"/>
  <c r="AF6" i="11"/>
  <c r="AE399" i="11"/>
  <c r="AE403" i="11"/>
  <c r="AF403" i="11"/>
  <c r="AE448" i="11"/>
  <c r="AF448" i="11"/>
  <c r="AE444" i="11"/>
  <c r="AF444" i="11"/>
  <c r="AE440" i="11"/>
  <c r="AF440" i="11"/>
  <c r="AE436" i="11"/>
  <c r="AF436" i="11"/>
  <c r="AE432" i="11"/>
  <c r="AF432" i="11"/>
  <c r="AE428" i="11"/>
  <c r="AF428" i="11"/>
  <c r="AE424" i="11"/>
  <c r="AF424" i="11"/>
  <c r="AE420" i="11"/>
  <c r="AF420" i="11"/>
  <c r="AE416" i="11"/>
  <c r="AF416" i="11"/>
  <c r="AE412" i="11"/>
  <c r="AF412" i="11"/>
  <c r="AE408" i="11"/>
  <c r="AF408" i="11"/>
  <c r="AF41" i="14"/>
  <c r="AF33" i="14"/>
  <c r="AF25" i="14"/>
  <c r="AF17" i="14"/>
  <c r="AF9" i="14"/>
  <c r="AF80" i="14"/>
  <c r="AF88" i="14"/>
  <c r="AF96" i="14"/>
  <c r="AF104" i="14"/>
  <c r="AF112" i="14"/>
  <c r="AF152" i="14"/>
  <c r="AF144" i="14"/>
  <c r="AF136" i="14"/>
  <c r="AF128" i="14"/>
  <c r="AF156" i="14"/>
  <c r="AF164" i="14"/>
  <c r="AF172" i="14"/>
  <c r="AF180" i="14"/>
  <c r="AF220" i="14"/>
  <c r="AF212" i="14"/>
  <c r="AF204" i="14"/>
  <c r="AF196" i="14"/>
  <c r="AF188" i="14"/>
  <c r="AF241" i="14"/>
  <c r="AF249" i="14"/>
  <c r="AF257" i="14"/>
  <c r="AF269" i="14"/>
  <c r="AF311" i="14"/>
  <c r="AF303" i="14"/>
  <c r="AF287" i="14"/>
  <c r="AF40" i="14"/>
  <c r="AF36" i="14"/>
  <c r="AF32" i="14"/>
  <c r="AF28" i="14"/>
  <c r="AF24" i="14"/>
  <c r="AF20" i="14"/>
  <c r="AF16" i="14"/>
  <c r="AF12" i="14"/>
  <c r="AF8" i="14"/>
  <c r="AF4" i="14"/>
  <c r="AF81" i="14"/>
  <c r="AF85" i="14"/>
  <c r="AF89" i="14"/>
  <c r="AF93" i="14"/>
  <c r="AF97" i="14"/>
  <c r="AF101" i="14"/>
  <c r="AF105" i="14"/>
  <c r="AF109" i="14"/>
  <c r="AF113" i="14"/>
  <c r="AF155" i="14"/>
  <c r="AF151" i="14"/>
  <c r="AF147" i="14"/>
  <c r="AF143" i="14"/>
  <c r="AF139" i="14"/>
  <c r="AF135" i="14"/>
  <c r="AF131" i="14"/>
  <c r="AF127" i="14"/>
  <c r="AF123" i="14"/>
  <c r="AF119" i="14"/>
  <c r="AF157" i="14"/>
  <c r="AF161" i="14"/>
  <c r="AF165" i="14"/>
  <c r="AF169" i="14"/>
  <c r="AF173" i="14"/>
  <c r="AF177" i="14"/>
  <c r="AF181" i="14"/>
  <c r="AF185" i="14"/>
  <c r="AF219" i="14"/>
  <c r="AF215" i="14"/>
  <c r="AF211" i="14"/>
  <c r="AF207" i="14"/>
  <c r="AF203" i="14"/>
  <c r="AF199" i="14"/>
  <c r="AF195" i="14"/>
  <c r="AF191" i="14"/>
  <c r="AF234" i="14"/>
  <c r="AF238" i="14"/>
  <c r="AF242" i="14"/>
  <c r="AF246" i="14"/>
  <c r="AF250" i="14"/>
  <c r="AF254" i="14"/>
  <c r="AF258" i="14"/>
  <c r="AF262" i="14"/>
  <c r="AF266" i="14"/>
  <c r="AF270" i="14"/>
  <c r="AF274" i="14"/>
  <c r="AF285" i="14"/>
  <c r="AF310" i="14"/>
  <c r="AF306" i="14"/>
  <c r="AF302" i="14"/>
  <c r="AF298" i="14"/>
  <c r="AF294" i="14"/>
  <c r="AF290" i="14"/>
  <c r="AF38" i="14"/>
  <c r="AF34" i="14"/>
  <c r="AF30" i="14"/>
  <c r="AF26" i="14"/>
  <c r="AF22" i="14"/>
  <c r="AF18" i="14"/>
  <c r="AF14" i="14"/>
  <c r="AF10" i="14"/>
  <c r="AF6" i="14"/>
  <c r="AF79" i="14"/>
  <c r="AF83" i="14"/>
  <c r="AF87" i="14"/>
  <c r="AF91" i="14"/>
  <c r="AF95" i="14"/>
  <c r="AF99" i="14"/>
  <c r="AF103" i="14"/>
  <c r="AF107" i="14"/>
  <c r="AF111" i="14"/>
  <c r="AF115" i="14"/>
  <c r="AF153" i="14"/>
  <c r="AF149" i="14"/>
  <c r="AF145" i="14"/>
  <c r="AF141" i="14"/>
  <c r="AF137" i="14"/>
  <c r="AF133" i="14"/>
  <c r="AF129" i="14"/>
  <c r="AF125" i="14"/>
  <c r="AF121" i="14"/>
  <c r="AF117" i="14"/>
  <c r="AF159" i="14"/>
  <c r="AF163" i="14"/>
  <c r="AF167" i="14"/>
  <c r="AF171" i="14"/>
  <c r="AF175" i="14"/>
  <c r="AF179" i="14"/>
  <c r="AF183" i="14"/>
  <c r="AF187" i="14"/>
  <c r="AF217" i="14"/>
  <c r="AF213" i="14"/>
  <c r="AF209" i="14"/>
  <c r="AF205" i="14"/>
  <c r="AF201" i="14"/>
  <c r="AF197" i="14"/>
  <c r="AF193" i="14"/>
  <c r="AF189" i="14"/>
  <c r="AF236" i="14"/>
  <c r="AF240" i="14"/>
  <c r="AF244" i="14"/>
  <c r="AF248" i="14"/>
  <c r="AF252" i="14"/>
  <c r="AF256" i="14"/>
  <c r="AF260" i="14"/>
  <c r="AF264" i="14"/>
  <c r="AF268" i="14"/>
  <c r="AF272" i="14"/>
  <c r="AF313" i="14"/>
  <c r="AF308" i="14"/>
  <c r="AF304" i="14"/>
  <c r="AF300" i="14"/>
  <c r="AF296" i="14"/>
  <c r="AF292" i="14"/>
  <c r="AF288" i="14"/>
  <c r="AF37" i="14"/>
  <c r="AF29" i="14"/>
  <c r="AF21" i="14"/>
  <c r="AF13" i="14"/>
  <c r="AF5" i="14"/>
  <c r="AF84" i="14"/>
  <c r="AF92" i="14"/>
  <c r="AF100" i="14"/>
  <c r="AF108" i="14"/>
  <c r="AF116" i="14"/>
  <c r="AF148" i="14"/>
  <c r="AF140" i="14"/>
  <c r="AF132" i="14"/>
  <c r="AF124" i="14"/>
  <c r="AF120" i="14"/>
  <c r="AF160" i="14"/>
  <c r="AF168" i="14"/>
  <c r="AF176" i="14"/>
  <c r="AF184" i="14"/>
  <c r="AF216" i="14"/>
  <c r="AF208" i="14"/>
  <c r="AF200" i="14"/>
  <c r="AF192" i="14"/>
  <c r="AF237" i="14"/>
  <c r="AF245" i="14"/>
  <c r="AF253" i="14"/>
  <c r="AF261" i="14"/>
  <c r="AF265" i="14"/>
  <c r="AF273" i="14"/>
  <c r="AF284" i="14"/>
  <c r="AF307" i="14"/>
  <c r="AF299" i="14"/>
  <c r="AF295" i="14"/>
  <c r="AF291" i="14"/>
  <c r="AF39" i="14"/>
  <c r="AF35" i="14"/>
  <c r="AF31" i="14"/>
  <c r="AF27" i="14"/>
  <c r="AF23" i="14"/>
  <c r="AF19" i="14"/>
  <c r="AF15" i="14"/>
  <c r="AF11" i="14"/>
  <c r="AF7" i="14"/>
  <c r="AF78" i="14"/>
  <c r="AF82" i="14"/>
  <c r="AF86" i="14"/>
  <c r="AF90" i="14"/>
  <c r="AF94" i="14"/>
  <c r="AF98" i="14"/>
  <c r="AF102" i="14"/>
  <c r="AF106" i="14"/>
  <c r="AF110" i="14"/>
  <c r="AF114" i="14"/>
  <c r="AF154" i="14"/>
  <c r="AF150" i="14"/>
  <c r="AF146" i="14"/>
  <c r="AF138" i="14"/>
  <c r="AF134" i="14"/>
  <c r="AF130" i="14"/>
  <c r="AF126" i="14"/>
  <c r="AF122" i="14"/>
  <c r="AF118" i="14"/>
  <c r="AF158" i="14"/>
  <c r="AF162" i="14"/>
  <c r="AF166" i="14"/>
  <c r="AF170" i="14"/>
  <c r="AF174" i="14"/>
  <c r="AF178" i="14"/>
  <c r="AF182" i="14"/>
  <c r="AF186" i="14"/>
  <c r="AF218" i="14"/>
  <c r="AF214" i="14"/>
  <c r="AF210" i="14"/>
  <c r="AF206" i="14"/>
  <c r="AF202" i="14"/>
  <c r="AF198" i="14"/>
  <c r="AF194" i="14"/>
  <c r="AF190" i="14"/>
  <c r="AF235" i="14"/>
  <c r="AF239" i="14"/>
  <c r="AF243" i="14"/>
  <c r="AF247" i="14"/>
  <c r="AF251" i="14"/>
  <c r="AF255" i="14"/>
  <c r="AF259" i="14"/>
  <c r="AF263" i="14"/>
  <c r="AF267" i="14"/>
  <c r="AF271" i="14"/>
  <c r="AF281" i="14"/>
  <c r="AF286" i="14"/>
  <c r="AF309" i="14"/>
  <c r="AF305" i="14"/>
  <c r="AF301" i="14"/>
  <c r="AF297" i="14"/>
  <c r="AF293" i="14"/>
  <c r="AF289" i="14"/>
  <c r="AE678" i="5"/>
  <c r="AE3" i="11"/>
  <c r="AE11" i="17"/>
  <c r="AE22" i="17"/>
  <c r="AE30" i="17"/>
  <c r="AE38" i="17"/>
  <c r="AE48" i="17"/>
  <c r="AE60" i="17"/>
  <c r="AE71" i="17"/>
  <c r="AE85" i="17"/>
  <c r="AE94" i="17"/>
  <c r="AE110" i="17"/>
  <c r="AE118" i="17"/>
  <c r="AE126" i="17"/>
  <c r="AE135" i="17"/>
  <c r="AE146" i="17"/>
  <c r="AE154" i="17"/>
  <c r="AE179" i="17"/>
  <c r="AE183" i="17"/>
  <c r="AE268" i="17"/>
  <c r="AE260" i="17"/>
  <c r="AE256" i="17"/>
  <c r="AE252" i="17"/>
  <c r="AE244" i="17"/>
  <c r="AE236" i="17"/>
  <c r="AE228" i="17"/>
  <c r="AE220" i="17"/>
  <c r="AE212" i="17"/>
  <c r="AE204" i="17"/>
  <c r="AE196" i="17"/>
  <c r="AE188" i="17"/>
  <c r="AE18" i="17"/>
  <c r="AE14" i="17"/>
  <c r="AE10" i="17"/>
  <c r="AE6" i="17"/>
  <c r="AE23" i="17"/>
  <c r="AE27" i="17"/>
  <c r="AE31" i="17"/>
  <c r="AE35" i="17"/>
  <c r="AE39" i="17"/>
  <c r="AE45" i="17"/>
  <c r="AE49" i="17"/>
  <c r="AE53" i="17"/>
  <c r="AE57" i="17"/>
  <c r="AE61" i="17"/>
  <c r="AE68" i="17"/>
  <c r="AE72" i="17"/>
  <c r="AE95" i="17"/>
  <c r="AE106" i="17"/>
  <c r="AE111" i="17"/>
  <c r="AE115" i="17"/>
  <c r="AE119" i="17"/>
  <c r="AE123" i="17"/>
  <c r="AE127" i="17"/>
  <c r="AE131" i="17"/>
  <c r="AE142" i="17"/>
  <c r="AE147" i="17"/>
  <c r="AE151" i="17"/>
  <c r="AE172" i="17"/>
  <c r="AE176" i="17"/>
  <c r="AE180" i="17"/>
  <c r="AE184" i="17"/>
  <c r="AE271" i="17"/>
  <c r="AE267" i="17"/>
  <c r="AE263" i="17"/>
  <c r="AE259" i="17"/>
  <c r="AE255" i="17"/>
  <c r="AE251" i="17"/>
  <c r="AE247" i="17"/>
  <c r="AE243" i="17"/>
  <c r="AE239" i="17"/>
  <c r="AE235" i="17"/>
  <c r="AE231" i="17"/>
  <c r="AE227" i="17"/>
  <c r="AE223" i="17"/>
  <c r="AE219" i="17"/>
  <c r="AE215" i="17"/>
  <c r="AE211" i="17"/>
  <c r="AE207" i="17"/>
  <c r="AE203" i="17"/>
  <c r="AE199" i="17"/>
  <c r="AE195" i="17"/>
  <c r="AE191" i="17"/>
  <c r="AE187" i="17"/>
  <c r="AE3" i="17"/>
  <c r="AE17" i="17"/>
  <c r="AE13" i="17"/>
  <c r="AE9" i="17"/>
  <c r="AE5" i="17"/>
  <c r="AE24" i="17"/>
  <c r="AE28" i="17"/>
  <c r="AE32" i="17"/>
  <c r="AE36" i="17"/>
  <c r="AE46" i="17"/>
  <c r="AE50" i="17"/>
  <c r="AE54" i="17"/>
  <c r="AE58" i="17"/>
  <c r="AE62" i="17"/>
  <c r="AE69" i="17"/>
  <c r="AE73" i="17"/>
  <c r="AE83" i="17"/>
  <c r="AE92" i="17"/>
  <c r="AE107" i="17"/>
  <c r="AE112" i="17"/>
  <c r="AE116" i="17"/>
  <c r="AE120" i="17"/>
  <c r="AE124" i="17"/>
  <c r="AE128" i="17"/>
  <c r="AE132" i="17"/>
  <c r="AE139" i="17"/>
  <c r="AE143" i="17"/>
  <c r="AE148" i="17"/>
  <c r="AE152" i="17"/>
  <c r="AE173" i="17"/>
  <c r="AE177" i="17"/>
  <c r="AE181" i="17"/>
  <c r="AE185" i="17"/>
  <c r="AE270" i="17"/>
  <c r="AE266" i="17"/>
  <c r="AE262" i="17"/>
  <c r="AE258" i="17"/>
  <c r="AE254" i="17"/>
  <c r="AE250" i="17"/>
  <c r="AE246" i="17"/>
  <c r="AE242" i="17"/>
  <c r="AE238" i="17"/>
  <c r="AE234" i="17"/>
  <c r="AE230" i="17"/>
  <c r="AE226" i="17"/>
  <c r="AE222" i="17"/>
  <c r="AE218" i="17"/>
  <c r="AE214" i="17"/>
  <c r="AE210" i="17"/>
  <c r="AE206" i="17"/>
  <c r="AE202" i="17"/>
  <c r="AE198" i="17"/>
  <c r="AE194" i="17"/>
  <c r="AE190" i="17"/>
  <c r="AE15" i="17"/>
  <c r="AE7" i="17"/>
  <c r="AE26" i="17"/>
  <c r="AE34" i="17"/>
  <c r="AE44" i="17"/>
  <c r="AE52" i="17"/>
  <c r="AE56" i="17"/>
  <c r="AE67" i="17"/>
  <c r="AE75" i="17"/>
  <c r="AE105" i="17"/>
  <c r="AE114" i="17"/>
  <c r="AE122" i="17"/>
  <c r="AE130" i="17"/>
  <c r="AE141" i="17"/>
  <c r="AE150" i="17"/>
  <c r="AE175" i="17"/>
  <c r="AE272" i="17"/>
  <c r="AE264" i="17"/>
  <c r="AE248" i="17"/>
  <c r="AE240" i="17"/>
  <c r="AE232" i="17"/>
  <c r="AE224" i="17"/>
  <c r="AE216" i="17"/>
  <c r="AE208" i="17"/>
  <c r="AE200" i="17"/>
  <c r="AE192" i="17"/>
  <c r="AE16" i="17"/>
  <c r="AE12" i="17"/>
  <c r="AE8" i="17"/>
  <c r="AE4" i="17"/>
  <c r="AE25" i="17"/>
  <c r="AE29" i="17"/>
  <c r="AE33" i="17"/>
  <c r="AE37" i="17"/>
  <c r="AE47" i="17"/>
  <c r="AE51" i="17"/>
  <c r="AE55" i="17"/>
  <c r="AE59" i="17"/>
  <c r="AE70" i="17"/>
  <c r="AE74" i="17"/>
  <c r="AE84" i="17"/>
  <c r="AE93" i="17"/>
  <c r="AE104" i="17"/>
  <c r="AE108" i="17"/>
  <c r="AE113" i="17"/>
  <c r="AE117" i="17"/>
  <c r="AE121" i="17"/>
  <c r="AE125" i="17"/>
  <c r="AE129" i="17"/>
  <c r="AE140" i="17"/>
  <c r="AE149" i="17"/>
  <c r="AE153" i="17"/>
  <c r="AE174" i="17"/>
  <c r="AE178" i="17"/>
  <c r="AE182" i="17"/>
  <c r="AE186" i="17"/>
  <c r="AE269" i="17"/>
  <c r="AE265" i="17"/>
  <c r="AE261" i="17"/>
  <c r="AE257" i="17"/>
  <c r="AE253" i="17"/>
  <c r="AE249" i="17"/>
  <c r="AE245" i="17"/>
  <c r="AE241" i="17"/>
  <c r="AE237" i="17"/>
  <c r="AE233" i="17"/>
  <c r="AE229" i="17"/>
  <c r="AE225" i="17"/>
  <c r="AE221" i="17"/>
  <c r="AE217" i="17"/>
  <c r="AE213" i="17"/>
  <c r="AE209" i="17"/>
  <c r="AE205" i="17"/>
  <c r="AE201" i="17"/>
  <c r="AE197" i="17"/>
  <c r="AE193" i="17"/>
  <c r="AE189" i="17"/>
  <c r="AF3" i="14"/>
  <c r="AE2" i="3"/>
  <c r="AE65" i="3"/>
  <c r="AE61" i="3"/>
  <c r="AE57" i="3"/>
  <c r="AE53" i="3"/>
  <c r="AE49" i="3"/>
  <c r="AE45" i="3"/>
  <c r="AE41" i="3"/>
  <c r="AE37" i="3"/>
  <c r="AE33" i="3"/>
  <c r="AE29" i="3"/>
  <c r="AE25" i="3"/>
  <c r="AE21" i="3"/>
  <c r="AE17" i="3"/>
  <c r="AE13" i="3"/>
  <c r="AE9" i="3"/>
  <c r="AE5" i="3"/>
  <c r="AE71" i="3"/>
  <c r="AE75" i="3"/>
  <c r="AE79" i="3"/>
  <c r="AE83" i="3"/>
  <c r="AE87" i="3"/>
  <c r="AE91" i="3"/>
  <c r="AE95" i="3"/>
  <c r="AE99" i="3"/>
  <c r="AE103" i="3"/>
  <c r="AE107" i="3"/>
  <c r="AE111" i="3"/>
  <c r="AE115" i="3"/>
  <c r="AE119" i="3"/>
  <c r="AE123" i="3"/>
  <c r="AE127" i="3"/>
  <c r="AE131" i="3"/>
  <c r="AE135" i="3"/>
  <c r="AE139" i="3"/>
  <c r="AE146" i="3"/>
  <c r="AE150" i="3"/>
  <c r="AE154" i="3"/>
  <c r="AE158" i="3"/>
  <c r="AE162" i="3"/>
  <c r="AE166" i="3"/>
  <c r="AE170" i="3"/>
  <c r="AE174" i="3"/>
  <c r="AE178" i="3"/>
  <c r="AE182" i="3"/>
  <c r="AE186" i="3"/>
  <c r="AE190" i="3"/>
  <c r="AE194" i="3"/>
  <c r="AE198" i="3"/>
  <c r="AE202" i="3"/>
  <c r="AE206" i="3"/>
  <c r="AE210" i="3"/>
  <c r="AE214" i="3"/>
  <c r="AE218" i="3"/>
  <c r="AE222" i="3"/>
  <c r="AE226" i="3"/>
  <c r="AE230" i="3"/>
  <c r="AE234" i="3"/>
  <c r="AE238" i="3"/>
  <c r="AE242" i="3"/>
  <c r="AE246" i="3"/>
  <c r="AE250" i="3"/>
  <c r="AE290" i="3"/>
  <c r="AE294" i="3"/>
  <c r="AE298" i="3"/>
  <c r="AE302" i="3"/>
  <c r="AE306" i="3"/>
  <c r="AE310" i="3"/>
  <c r="AE314" i="3"/>
  <c r="AE318" i="3"/>
  <c r="AE322" i="3"/>
  <c r="AE326" i="3"/>
  <c r="AE330" i="3"/>
  <c r="AE337" i="3"/>
  <c r="AE341" i="3"/>
  <c r="AE346" i="3"/>
  <c r="AE350" i="3"/>
  <c r="AE354" i="3"/>
  <c r="AE358" i="3"/>
  <c r="AE362" i="3"/>
  <c r="AE366" i="3"/>
  <c r="AE370" i="3"/>
  <c r="AE374" i="3"/>
  <c r="AE378" i="3"/>
  <c r="AE382" i="3"/>
  <c r="AE386" i="3"/>
  <c r="AE390" i="3"/>
  <c r="AE394" i="3"/>
  <c r="AE398" i="3"/>
  <c r="AE410" i="3"/>
  <c r="AE414" i="3"/>
  <c r="AE422" i="3"/>
  <c r="AE426" i="3"/>
  <c r="AE430" i="3"/>
  <c r="AE434" i="3"/>
  <c r="AE440" i="3"/>
  <c r="AE444" i="3"/>
  <c r="AE449" i="3"/>
  <c r="AE453" i="3"/>
  <c r="AE459" i="3"/>
  <c r="AE463" i="3"/>
  <c r="AE467" i="3"/>
  <c r="AE476" i="3"/>
  <c r="AE472" i="3"/>
  <c r="AE3" i="3"/>
  <c r="AE64" i="3"/>
  <c r="AE60" i="3"/>
  <c r="AE56" i="3"/>
  <c r="AE52" i="3"/>
  <c r="AE48" i="3"/>
  <c r="AE44" i="3"/>
  <c r="AE40" i="3"/>
  <c r="AE36" i="3"/>
  <c r="AE32" i="3"/>
  <c r="AE28" i="3"/>
  <c r="AE24" i="3"/>
  <c r="AE20" i="3"/>
  <c r="AE16" i="3"/>
  <c r="AE12" i="3"/>
  <c r="AE8" i="3"/>
  <c r="AE4" i="3"/>
  <c r="AE72" i="3"/>
  <c r="AE76" i="3"/>
  <c r="AE80" i="3"/>
  <c r="AE84" i="3"/>
  <c r="AE88" i="3"/>
  <c r="AE92" i="3"/>
  <c r="AE96" i="3"/>
  <c r="AE100" i="3"/>
  <c r="AE104" i="3"/>
  <c r="AE108" i="3"/>
  <c r="AE112" i="3"/>
  <c r="AE116" i="3"/>
  <c r="AE120" i="3"/>
  <c r="AE124" i="3"/>
  <c r="AE128" i="3"/>
  <c r="AE132" i="3"/>
  <c r="AE136" i="3"/>
  <c r="AE140" i="3"/>
  <c r="AE147" i="3"/>
  <c r="AE151" i="3"/>
  <c r="AE155" i="3"/>
  <c r="AE159" i="3"/>
  <c r="AE163" i="3"/>
  <c r="AE167" i="3"/>
  <c r="AE171" i="3"/>
  <c r="AE175" i="3"/>
  <c r="AE179" i="3"/>
  <c r="AE183" i="3"/>
  <c r="AE187" i="3"/>
  <c r="AE191" i="3"/>
  <c r="AE195" i="3"/>
  <c r="AE199" i="3"/>
  <c r="AE203" i="3"/>
  <c r="AE207" i="3"/>
  <c r="AE211" i="3"/>
  <c r="AE215" i="3"/>
  <c r="AE219" i="3"/>
  <c r="AE223" i="3"/>
  <c r="AE227" i="3"/>
  <c r="AE231" i="3"/>
  <c r="AE235" i="3"/>
  <c r="AE239" i="3"/>
  <c r="AE243" i="3"/>
  <c r="AE247" i="3"/>
  <c r="AE291" i="3"/>
  <c r="AE295" i="3"/>
  <c r="AE299" i="3"/>
  <c r="AE303" i="3"/>
  <c r="AE307" i="3"/>
  <c r="AE311" i="3"/>
  <c r="AE315" i="3"/>
  <c r="AE319" i="3"/>
  <c r="AE323" i="3"/>
  <c r="AE327" i="3"/>
  <c r="AE331" i="3"/>
  <c r="AE338" i="3"/>
  <c r="AE347" i="3"/>
  <c r="AE351" i="3"/>
  <c r="AE355" i="3"/>
  <c r="AE359" i="3"/>
  <c r="AE363" i="3"/>
  <c r="AE367" i="3"/>
  <c r="AE371" i="3"/>
  <c r="AE375" i="3"/>
  <c r="AE379" i="3"/>
  <c r="AE383" i="3"/>
  <c r="AE387" i="3"/>
  <c r="AE391" i="3"/>
  <c r="AE395" i="3"/>
  <c r="AE399" i="3"/>
  <c r="AE411" i="3"/>
  <c r="AE415" i="3"/>
  <c r="AE419" i="3"/>
  <c r="AE423" i="3"/>
  <c r="AE427" i="3"/>
  <c r="AE431" i="3"/>
  <c r="AE441" i="3"/>
  <c r="AE445" i="3"/>
  <c r="AE450" i="3"/>
  <c r="AE454" i="3"/>
  <c r="AE460" i="3"/>
  <c r="AE464" i="3"/>
  <c r="AE468" i="3"/>
  <c r="AE475" i="3"/>
  <c r="AE471" i="3"/>
  <c r="AE67" i="3"/>
  <c r="AE63" i="3"/>
  <c r="AE59" i="3"/>
  <c r="AE55" i="3"/>
  <c r="AE51" i="3"/>
  <c r="AE47" i="3"/>
  <c r="AE43" i="3"/>
  <c r="AE39" i="3"/>
  <c r="AE35" i="3"/>
  <c r="AE31" i="3"/>
  <c r="AE27" i="3"/>
  <c r="AE23" i="3"/>
  <c r="AE19" i="3"/>
  <c r="AE15" i="3"/>
  <c r="AE11" i="3"/>
  <c r="AE7" i="3"/>
  <c r="AE73" i="3"/>
  <c r="AE77" i="3"/>
  <c r="AE81" i="3"/>
  <c r="AE85" i="3"/>
  <c r="AE89" i="3"/>
  <c r="AE93" i="3"/>
  <c r="AE97" i="3"/>
  <c r="AE101" i="3"/>
  <c r="AE105" i="3"/>
  <c r="AE109" i="3"/>
  <c r="AE113" i="3"/>
  <c r="AE117" i="3"/>
  <c r="AE121" i="3"/>
  <c r="AE125" i="3"/>
  <c r="AE129" i="3"/>
  <c r="AE133" i="3"/>
  <c r="AE137" i="3"/>
  <c r="AE141" i="3"/>
  <c r="AE148" i="3"/>
  <c r="AE152" i="3"/>
  <c r="AE156" i="3"/>
  <c r="AE160" i="3"/>
  <c r="AE164" i="3"/>
  <c r="AE168" i="3"/>
  <c r="AE172" i="3"/>
  <c r="AE176" i="3"/>
  <c r="AE180" i="3"/>
  <c r="AE184" i="3"/>
  <c r="AE188" i="3"/>
  <c r="AE192" i="3"/>
  <c r="AE196" i="3"/>
  <c r="AE200" i="3"/>
  <c r="AE204" i="3"/>
  <c r="AE208" i="3"/>
  <c r="AE212" i="3"/>
  <c r="AE216" i="3"/>
  <c r="AE220" i="3"/>
  <c r="AE224" i="3"/>
  <c r="AE228" i="3"/>
  <c r="AE232" i="3"/>
  <c r="AE236" i="3"/>
  <c r="AE240" i="3"/>
  <c r="AE244" i="3"/>
  <c r="AE248" i="3"/>
  <c r="AE288" i="3"/>
  <c r="AE292" i="3"/>
  <c r="AE296" i="3"/>
  <c r="AE300" i="3"/>
  <c r="AE304" i="3"/>
  <c r="AE308" i="3"/>
  <c r="AE312" i="3"/>
  <c r="AE316" i="3"/>
  <c r="AE320" i="3"/>
  <c r="AE324" i="3"/>
  <c r="AE328" i="3"/>
  <c r="AE335" i="3"/>
  <c r="AE339" i="3"/>
  <c r="AE344" i="3"/>
  <c r="AE348" i="3"/>
  <c r="AE352" i="3"/>
  <c r="AE356" i="3"/>
  <c r="AE360" i="3"/>
  <c r="AE364" i="3"/>
  <c r="AE368" i="3"/>
  <c r="AE372" i="3"/>
  <c r="AE376" i="3"/>
  <c r="AE380" i="3"/>
  <c r="AE384" i="3"/>
  <c r="AE388" i="3"/>
  <c r="AE392" i="3"/>
  <c r="AE396" i="3"/>
  <c r="AE400" i="3"/>
  <c r="AE412" i="3"/>
  <c r="AE416" i="3"/>
  <c r="AE420" i="3"/>
  <c r="AE424" i="3"/>
  <c r="AE428" i="3"/>
  <c r="AE432" i="3"/>
  <c r="AE438" i="3"/>
  <c r="AE442" i="3"/>
  <c r="AE446" i="3"/>
  <c r="AE451" i="3"/>
  <c r="AE455" i="3"/>
  <c r="AE461" i="3"/>
  <c r="AE465" i="3"/>
  <c r="AE469" i="3"/>
  <c r="AE474" i="3"/>
  <c r="AE470" i="3"/>
  <c r="AE66" i="3"/>
  <c r="AE62" i="3"/>
  <c r="AE58" i="3"/>
  <c r="AE54" i="3"/>
  <c r="AE50" i="3"/>
  <c r="AE46" i="3"/>
  <c r="AE42" i="3"/>
  <c r="AE38" i="3"/>
  <c r="AE34" i="3"/>
  <c r="AE30" i="3"/>
  <c r="AE26" i="3"/>
  <c r="AE22" i="3"/>
  <c r="AE18" i="3"/>
  <c r="AE14" i="3"/>
  <c r="AE10" i="3"/>
  <c r="AE6" i="3"/>
  <c r="AE70" i="3"/>
  <c r="AE74" i="3"/>
  <c r="AE78" i="3"/>
  <c r="AE82" i="3"/>
  <c r="AE86" i="3"/>
  <c r="AE90" i="3"/>
  <c r="AE94" i="3"/>
  <c r="AE98" i="3"/>
  <c r="AE102" i="3"/>
  <c r="AE106" i="3"/>
  <c r="AE110" i="3"/>
  <c r="AE114" i="3"/>
  <c r="AE118" i="3"/>
  <c r="AE122" i="3"/>
  <c r="AE126" i="3"/>
  <c r="AE130" i="3"/>
  <c r="AE134" i="3"/>
  <c r="AE138" i="3"/>
  <c r="AE145" i="3"/>
  <c r="AE149" i="3"/>
  <c r="AE153" i="3"/>
  <c r="AE157" i="3"/>
  <c r="AE161" i="3"/>
  <c r="AE165" i="3"/>
  <c r="AE169" i="3"/>
  <c r="AE173" i="3"/>
  <c r="AE177" i="3"/>
  <c r="AE181" i="3"/>
  <c r="AE185" i="3"/>
  <c r="AE189" i="3"/>
  <c r="AE193" i="3"/>
  <c r="AE197" i="3"/>
  <c r="AE201" i="3"/>
  <c r="AE205" i="3"/>
  <c r="AE209" i="3"/>
  <c r="AE213" i="3"/>
  <c r="AE217" i="3"/>
  <c r="AE221" i="3"/>
  <c r="AE225" i="3"/>
  <c r="AE229" i="3"/>
  <c r="AE233" i="3"/>
  <c r="AE237" i="3"/>
  <c r="AE241" i="3"/>
  <c r="AE245" i="3"/>
  <c r="AE249" i="3"/>
  <c r="AE289" i="3"/>
  <c r="AE293" i="3"/>
  <c r="AE297" i="3"/>
  <c r="AE301" i="3"/>
  <c r="AE305" i="3"/>
  <c r="AE309" i="3"/>
  <c r="AE313" i="3"/>
  <c r="AE317" i="3"/>
  <c r="AE321" i="3"/>
  <c r="AE325" i="3"/>
  <c r="AE329" i="3"/>
  <c r="AE336" i="3"/>
  <c r="AE340" i="3"/>
  <c r="AE345" i="3"/>
  <c r="AE349" i="3"/>
  <c r="AE353" i="3"/>
  <c r="AE357" i="3"/>
  <c r="AE361" i="3"/>
  <c r="AE365" i="3"/>
  <c r="AE369" i="3"/>
  <c r="AE373" i="3"/>
  <c r="AE377" i="3"/>
  <c r="AE381" i="3"/>
  <c r="AE385" i="3"/>
  <c r="AE389" i="3"/>
  <c r="AE393" i="3"/>
  <c r="AE397" i="3"/>
  <c r="AE401" i="3"/>
  <c r="AE413" i="3"/>
  <c r="AE417" i="3"/>
  <c r="AE421" i="3"/>
  <c r="AE425" i="3"/>
  <c r="AE429" i="3"/>
  <c r="AE433" i="3"/>
  <c r="AE439" i="3"/>
  <c r="AE443" i="3"/>
  <c r="AE448" i="3"/>
  <c r="AE452" i="3"/>
  <c r="AE456" i="3"/>
  <c r="AE462" i="3"/>
  <c r="AE466" i="3"/>
  <c r="AE477" i="3"/>
  <c r="AE473" i="3"/>
  <c r="AE72" i="5"/>
  <c r="AE56" i="5"/>
  <c r="AE44" i="5"/>
  <c r="AE32" i="5"/>
  <c r="AE20" i="5"/>
  <c r="AE8" i="5"/>
  <c r="AE93" i="5"/>
  <c r="AE105" i="5"/>
  <c r="AE117" i="5"/>
  <c r="AE133" i="5"/>
  <c r="AE145" i="5"/>
  <c r="AE157" i="5"/>
  <c r="AE169" i="5"/>
  <c r="AE181" i="5"/>
  <c r="AE193" i="5"/>
  <c r="AE205" i="5"/>
  <c r="AE213" i="5"/>
  <c r="AE225" i="5"/>
  <c r="AE237" i="5"/>
  <c r="AE249" i="5"/>
  <c r="AE261" i="5"/>
  <c r="AE333" i="5"/>
  <c r="AE349" i="5"/>
  <c r="AE370" i="5"/>
  <c r="AE378" i="5"/>
  <c r="AE390" i="5"/>
  <c r="AE398" i="5"/>
  <c r="AE410" i="5"/>
  <c r="AE422" i="5"/>
  <c r="AE436" i="5"/>
  <c r="AE449" i="5"/>
  <c r="AE461" i="5"/>
  <c r="AE500" i="5"/>
  <c r="AE512" i="5"/>
  <c r="AE520" i="5"/>
  <c r="AE532" i="5"/>
  <c r="AE613" i="5"/>
  <c r="AE601" i="5"/>
  <c r="AE589" i="5"/>
  <c r="AE577" i="5"/>
  <c r="AE565" i="5"/>
  <c r="AE553" i="5"/>
  <c r="AE541" i="5"/>
  <c r="AE3" i="5"/>
  <c r="AE71" i="5"/>
  <c r="AE67" i="5"/>
  <c r="AE63" i="5"/>
  <c r="AE59" i="5"/>
  <c r="AE55" i="5"/>
  <c r="AE51" i="5"/>
  <c r="AE47" i="5"/>
  <c r="AE43" i="5"/>
  <c r="AE39" i="5"/>
  <c r="AE35" i="5"/>
  <c r="AE31" i="5"/>
  <c r="AE27" i="5"/>
  <c r="AE23" i="5"/>
  <c r="AE19" i="5"/>
  <c r="AE15" i="5"/>
  <c r="AE11" i="5"/>
  <c r="AE7" i="5"/>
  <c r="AE90" i="5"/>
  <c r="AE94" i="5"/>
  <c r="AE98" i="5"/>
  <c r="AE102" i="5"/>
  <c r="AE106" i="5"/>
  <c r="AE110" i="5"/>
  <c r="AE114" i="5"/>
  <c r="AE118" i="5"/>
  <c r="AE126" i="5"/>
  <c r="AE130" i="5"/>
  <c r="AE134" i="5"/>
  <c r="AE138" i="5"/>
  <c r="AE142" i="5"/>
  <c r="AE146" i="5"/>
  <c r="AE150" i="5"/>
  <c r="AE154" i="5"/>
  <c r="AE158" i="5"/>
  <c r="AE162" i="5"/>
  <c r="AE166" i="5"/>
  <c r="AE170" i="5"/>
  <c r="AE174" i="5"/>
  <c r="AE178" i="5"/>
  <c r="AE182" i="5"/>
  <c r="AE186" i="5"/>
  <c r="AE190" i="5"/>
  <c r="AE194" i="5"/>
  <c r="AE198" i="5"/>
  <c r="AE202" i="5"/>
  <c r="AE206" i="5"/>
  <c r="AE210" i="5"/>
  <c r="AE214" i="5"/>
  <c r="AE218" i="5"/>
  <c r="AE222" i="5"/>
  <c r="AE226" i="5"/>
  <c r="AE230" i="5"/>
  <c r="AE234" i="5"/>
  <c r="AE238" i="5"/>
  <c r="AE242" i="5"/>
  <c r="AE246" i="5"/>
  <c r="AE250" i="5"/>
  <c r="AE254" i="5"/>
  <c r="AE258" i="5"/>
  <c r="AE262" i="5"/>
  <c r="AE266" i="5"/>
  <c r="AE330" i="5"/>
  <c r="AE334" i="5"/>
  <c r="AE338" i="5"/>
  <c r="AE342" i="5"/>
  <c r="AE346" i="5"/>
  <c r="AE350" i="5"/>
  <c r="AE354" i="5"/>
  <c r="AE358" i="5"/>
  <c r="AE371" i="5"/>
  <c r="AE375" i="5"/>
  <c r="AE379" i="5"/>
  <c r="AE383" i="5"/>
  <c r="AE387" i="5"/>
  <c r="AE391" i="5"/>
  <c r="AE395" i="5"/>
  <c r="AE399" i="5"/>
  <c r="AE403" i="5"/>
  <c r="AE407" i="5"/>
  <c r="AE411" i="5"/>
  <c r="AE415" i="5"/>
  <c r="AE419" i="5"/>
  <c r="AE425" i="5"/>
  <c r="AE429" i="5"/>
  <c r="AE433" i="5"/>
  <c r="AE437" i="5"/>
  <c r="AE441" i="5"/>
  <c r="AE445" i="5"/>
  <c r="AE450" i="5"/>
  <c r="AE454" i="5"/>
  <c r="AE458" i="5"/>
  <c r="AE470" i="5"/>
  <c r="AE474" i="5"/>
  <c r="AE487" i="5"/>
  <c r="AE497" i="5"/>
  <c r="AE501" i="5"/>
  <c r="AE505" i="5"/>
  <c r="AE509" i="5"/>
  <c r="AE513" i="5"/>
  <c r="AE517" i="5"/>
  <c r="AE521" i="5"/>
  <c r="AE525" i="5"/>
  <c r="AE529" i="5"/>
  <c r="AE533" i="5"/>
  <c r="AE537" i="5"/>
  <c r="AE616" i="5"/>
  <c r="AE612" i="5"/>
  <c r="AE608" i="5"/>
  <c r="AE604" i="5"/>
  <c r="AE600" i="5"/>
  <c r="AE596" i="5"/>
  <c r="AE592" i="5"/>
  <c r="AE588" i="5"/>
  <c r="AE584" i="5"/>
  <c r="AE580" i="5"/>
  <c r="AE576" i="5"/>
  <c r="AE572" i="5"/>
  <c r="AE568" i="5"/>
  <c r="AE564" i="5"/>
  <c r="AE560" i="5"/>
  <c r="AE556" i="5"/>
  <c r="AE552" i="5"/>
  <c r="AE548" i="5"/>
  <c r="AE544" i="5"/>
  <c r="AE540" i="5"/>
  <c r="AE64" i="5"/>
  <c r="AE52" i="5"/>
  <c r="AE40" i="5"/>
  <c r="AE24" i="5"/>
  <c r="AE12" i="5"/>
  <c r="AE97" i="5"/>
  <c r="AE109" i="5"/>
  <c r="AE125" i="5"/>
  <c r="AE137" i="5"/>
  <c r="AE149" i="5"/>
  <c r="AE161" i="5"/>
  <c r="AE173" i="5"/>
  <c r="AE189" i="5"/>
  <c r="AE201" i="5"/>
  <c r="AE217" i="5"/>
  <c r="AE233" i="5"/>
  <c r="AE245" i="5"/>
  <c r="AE257" i="5"/>
  <c r="AE329" i="5"/>
  <c r="AE341" i="5"/>
  <c r="AE353" i="5"/>
  <c r="AE374" i="5"/>
  <c r="AE386" i="5"/>
  <c r="AE402" i="5"/>
  <c r="AE414" i="5"/>
  <c r="AE428" i="5"/>
  <c r="AE432" i="5"/>
  <c r="AE444" i="5"/>
  <c r="AE457" i="5"/>
  <c r="AE473" i="5"/>
  <c r="AE504" i="5"/>
  <c r="AE516" i="5"/>
  <c r="AE528" i="5"/>
  <c r="AE617" i="5"/>
  <c r="AE609" i="5"/>
  <c r="AE597" i="5"/>
  <c r="AE581" i="5"/>
  <c r="AE569" i="5"/>
  <c r="AE557" i="5"/>
  <c r="AE545" i="5"/>
  <c r="AE74" i="5"/>
  <c r="AE70" i="5"/>
  <c r="AE66" i="5"/>
  <c r="AE62" i="5"/>
  <c r="AE58" i="5"/>
  <c r="AE54" i="5"/>
  <c r="AE50" i="5"/>
  <c r="AE46" i="5"/>
  <c r="AE42" i="5"/>
  <c r="AE38" i="5"/>
  <c r="AE34" i="5"/>
  <c r="AE30" i="5"/>
  <c r="AE26" i="5"/>
  <c r="AE22" i="5"/>
  <c r="AE18" i="5"/>
  <c r="AE14" i="5"/>
  <c r="AE10" i="5"/>
  <c r="AE6" i="5"/>
  <c r="AE91" i="5"/>
  <c r="AE95" i="5"/>
  <c r="AE99" i="5"/>
  <c r="AE103" i="5"/>
  <c r="AE107" i="5"/>
  <c r="AE111" i="5"/>
  <c r="AE115" i="5"/>
  <c r="AE123" i="5"/>
  <c r="AE127" i="5"/>
  <c r="AE131" i="5"/>
  <c r="AE135" i="5"/>
  <c r="AE139" i="5"/>
  <c r="AE143" i="5"/>
  <c r="AE147" i="5"/>
  <c r="AE151" i="5"/>
  <c r="AE155" i="5"/>
  <c r="AE159" i="5"/>
  <c r="AE163" i="5"/>
  <c r="AE167" i="5"/>
  <c r="AE171" i="5"/>
  <c r="AE175" i="5"/>
  <c r="AE179" i="5"/>
  <c r="AE183" i="5"/>
  <c r="AE187" i="5"/>
  <c r="AE191" i="5"/>
  <c r="AE195" i="5"/>
  <c r="AE199" i="5"/>
  <c r="AE203" i="5"/>
  <c r="AE207" i="5"/>
  <c r="AE211" i="5"/>
  <c r="AE215" i="5"/>
  <c r="AE219" i="5"/>
  <c r="AE223" i="5"/>
  <c r="AE227" i="5"/>
  <c r="AE231" i="5"/>
  <c r="AE235" i="5"/>
  <c r="AE239" i="5"/>
  <c r="AE243" i="5"/>
  <c r="AE247" i="5"/>
  <c r="AE251" i="5"/>
  <c r="AE255" i="5"/>
  <c r="AE259" i="5"/>
  <c r="AE263" i="5"/>
  <c r="AE327" i="5"/>
  <c r="AE331" i="5"/>
  <c r="AE335" i="5"/>
  <c r="AE339" i="5"/>
  <c r="AE343" i="5"/>
  <c r="AE347" i="5"/>
  <c r="AE351" i="5"/>
  <c r="AE355" i="5"/>
  <c r="AE368" i="5"/>
  <c r="AE372" i="5"/>
  <c r="AE376" i="5"/>
  <c r="AE380" i="5"/>
  <c r="AE384" i="5"/>
  <c r="AE388" i="5"/>
  <c r="AE392" i="5"/>
  <c r="AE396" i="5"/>
  <c r="AE400" i="5"/>
  <c r="AE404" i="5"/>
  <c r="AE408" i="5"/>
  <c r="AE412" i="5"/>
  <c r="AE416" i="5"/>
  <c r="AE420" i="5"/>
  <c r="AE426" i="5"/>
  <c r="AE430" i="5"/>
  <c r="AE434" i="5"/>
  <c r="AE438" i="5"/>
  <c r="AE442" i="5"/>
  <c r="AE447" i="5"/>
  <c r="AE451" i="5"/>
  <c r="AE455" i="5"/>
  <c r="AE459" i="5"/>
  <c r="AE464" i="5"/>
  <c r="AE471" i="5"/>
  <c r="AE475" i="5"/>
  <c r="AE480" i="5"/>
  <c r="AE494" i="5"/>
  <c r="AE498" i="5"/>
  <c r="AE502" i="5"/>
  <c r="AE506" i="5"/>
  <c r="AE510" i="5"/>
  <c r="AE514" i="5"/>
  <c r="AE518" i="5"/>
  <c r="AE522" i="5"/>
  <c r="AE526" i="5"/>
  <c r="AE530" i="5"/>
  <c r="AE534" i="5"/>
  <c r="AE619" i="5"/>
  <c r="AE615" i="5"/>
  <c r="AE611" i="5"/>
  <c r="AE607" i="5"/>
  <c r="AE603" i="5"/>
  <c r="AE599" i="5"/>
  <c r="AE595" i="5"/>
  <c r="AE591" i="5"/>
  <c r="AE587" i="5"/>
  <c r="AE583" i="5"/>
  <c r="AE579" i="5"/>
  <c r="AE575" i="5"/>
  <c r="AE571" i="5"/>
  <c r="AE567" i="5"/>
  <c r="AE563" i="5"/>
  <c r="AE559" i="5"/>
  <c r="AE555" i="5"/>
  <c r="AE551" i="5"/>
  <c r="AE547" i="5"/>
  <c r="AE543" i="5"/>
  <c r="AE539" i="5"/>
  <c r="AE68" i="5"/>
  <c r="AE60" i="5"/>
  <c r="AE48" i="5"/>
  <c r="AE36" i="5"/>
  <c r="AE28" i="5"/>
  <c r="AE16" i="5"/>
  <c r="AE4" i="5"/>
  <c r="AE101" i="5"/>
  <c r="AE113" i="5"/>
  <c r="AE129" i="5"/>
  <c r="AE141" i="5"/>
  <c r="AE153" i="5"/>
  <c r="AE165" i="5"/>
  <c r="AE177" i="5"/>
  <c r="AE185" i="5"/>
  <c r="AE197" i="5"/>
  <c r="AE209" i="5"/>
  <c r="AE221" i="5"/>
  <c r="AE229" i="5"/>
  <c r="AE241" i="5"/>
  <c r="AE253" i="5"/>
  <c r="AE265" i="5"/>
  <c r="AE337" i="5"/>
  <c r="AE345" i="5"/>
  <c r="AE357" i="5"/>
  <c r="AE382" i="5"/>
  <c r="AE394" i="5"/>
  <c r="AE406" i="5"/>
  <c r="AE418" i="5"/>
  <c r="AE440" i="5"/>
  <c r="AE453" i="5"/>
  <c r="AE482" i="5"/>
  <c r="AE496" i="5"/>
  <c r="AE508" i="5"/>
  <c r="AE524" i="5"/>
  <c r="AE536" i="5"/>
  <c r="AE605" i="5"/>
  <c r="AE593" i="5"/>
  <c r="AE585" i="5"/>
  <c r="AE573" i="5"/>
  <c r="AE561" i="5"/>
  <c r="AE549" i="5"/>
  <c r="AE73" i="5"/>
  <c r="AE69" i="5"/>
  <c r="AE65" i="5"/>
  <c r="AE61" i="5"/>
  <c r="AE57" i="5"/>
  <c r="AE53" i="5"/>
  <c r="AE49" i="5"/>
  <c r="AE45" i="5"/>
  <c r="AE41" i="5"/>
  <c r="AE37" i="5"/>
  <c r="AE33" i="5"/>
  <c r="AE29" i="5"/>
  <c r="AE25" i="5"/>
  <c r="AE21" i="5"/>
  <c r="AE17" i="5"/>
  <c r="AE13" i="5"/>
  <c r="AE9" i="5"/>
  <c r="AE5" i="5"/>
  <c r="AE92" i="5"/>
  <c r="AE96" i="5"/>
  <c r="AE100" i="5"/>
  <c r="AE104" i="5"/>
  <c r="AE108" i="5"/>
  <c r="AE112" i="5"/>
  <c r="AE116" i="5"/>
  <c r="AE124" i="5"/>
  <c r="AE128" i="5"/>
  <c r="AE132" i="5"/>
  <c r="AE136" i="5"/>
  <c r="AE140" i="5"/>
  <c r="AE144" i="5"/>
  <c r="AE148" i="5"/>
  <c r="AE152" i="5"/>
  <c r="AE156" i="5"/>
  <c r="AE160" i="5"/>
  <c r="AE164" i="5"/>
  <c r="AE168" i="5"/>
  <c r="AE172" i="5"/>
  <c r="AE176" i="5"/>
  <c r="AE180" i="5"/>
  <c r="AE184" i="5"/>
  <c r="AE188" i="5"/>
  <c r="AE192" i="5"/>
  <c r="AE196" i="5"/>
  <c r="AE200" i="5"/>
  <c r="AE204" i="5"/>
  <c r="AE208" i="5"/>
  <c r="AE212" i="5"/>
  <c r="AE216" i="5"/>
  <c r="AE220" i="5"/>
  <c r="AE224" i="5"/>
  <c r="AE228" i="5"/>
  <c r="AE232" i="5"/>
  <c r="AE236" i="5"/>
  <c r="AE240" i="5"/>
  <c r="AE244" i="5"/>
  <c r="AE248" i="5"/>
  <c r="AE252" i="5"/>
  <c r="AE256" i="5"/>
  <c r="AE260" i="5"/>
  <c r="AE264" i="5"/>
  <c r="AE328" i="5"/>
  <c r="AE332" i="5"/>
  <c r="AE336" i="5"/>
  <c r="AE340" i="5"/>
  <c r="AE344" i="5"/>
  <c r="AE348" i="5"/>
  <c r="AE352" i="5"/>
  <c r="AE356" i="5"/>
  <c r="AE369" i="5"/>
  <c r="AE373" i="5"/>
  <c r="AE377" i="5"/>
  <c r="AE381" i="5"/>
  <c r="AE385" i="5"/>
  <c r="AE389" i="5"/>
  <c r="AE393" i="5"/>
  <c r="AE397" i="5"/>
  <c r="AE401" i="5"/>
  <c r="AE405" i="5"/>
  <c r="AE409" i="5"/>
  <c r="AE413" i="5"/>
  <c r="AE417" i="5"/>
  <c r="AE421" i="5"/>
  <c r="AE427" i="5"/>
  <c r="AE431" i="5"/>
  <c r="AE435" i="5"/>
  <c r="AE439" i="5"/>
  <c r="AE443" i="5"/>
  <c r="AE448" i="5"/>
  <c r="AE452" i="5"/>
  <c r="AE456" i="5"/>
  <c r="AE460" i="5"/>
  <c r="AE465" i="5"/>
  <c r="AE472" i="5"/>
  <c r="AE476" i="5"/>
  <c r="AE481" i="5"/>
  <c r="AE495" i="5"/>
  <c r="AE499" i="5"/>
  <c r="AE503" i="5"/>
  <c r="AE507" i="5"/>
  <c r="AE511" i="5"/>
  <c r="AE515" i="5"/>
  <c r="AE519" i="5"/>
  <c r="AE523" i="5"/>
  <c r="AE527" i="5"/>
  <c r="AE531" i="5"/>
  <c r="AE535" i="5"/>
  <c r="AE618" i="5"/>
  <c r="AE614" i="5"/>
  <c r="AE610" i="5"/>
  <c r="AE606" i="5"/>
  <c r="AE602" i="5"/>
  <c r="AE598" i="5"/>
  <c r="AE594" i="5"/>
  <c r="AE590" i="5"/>
  <c r="AE586" i="5"/>
  <c r="AE582" i="5"/>
  <c r="AE578" i="5"/>
  <c r="AE574" i="5"/>
  <c r="AE570" i="5"/>
  <c r="AE566" i="5"/>
  <c r="AE562" i="5"/>
  <c r="AE558" i="5"/>
  <c r="AE554" i="5"/>
  <c r="AE550" i="5"/>
  <c r="AE546" i="5"/>
  <c r="AE542" i="5"/>
  <c r="AE538" i="5"/>
  <c r="AE313" i="14"/>
  <c r="AE3" i="14"/>
  <c r="AE484" i="3" l="1"/>
  <c r="AF484" i="3"/>
  <c r="D7" i="16" l="1"/>
  <c r="C7" i="16"/>
  <c r="AE156" i="14" l="1"/>
  <c r="D11" i="16" l="1"/>
  <c r="C11" i="16"/>
  <c r="D10" i="16"/>
  <c r="C10" i="16"/>
  <c r="D8" i="16"/>
  <c r="D9" i="16" s="1"/>
  <c r="C8" i="16"/>
  <c r="C9" i="16" s="1"/>
  <c r="C12" i="16" l="1"/>
  <c r="D12" i="16"/>
  <c r="F11" i="16"/>
  <c r="E11" i="16"/>
  <c r="AE289" i="17" l="1"/>
  <c r="AE2" i="17"/>
  <c r="AE36" i="14" l="1"/>
  <c r="F8" i="16"/>
  <c r="F10" i="16"/>
  <c r="F12" i="16" s="1"/>
  <c r="D5" i="16"/>
  <c r="D6" i="16" s="1"/>
  <c r="D13" i="16" s="1"/>
  <c r="C5" i="16"/>
  <c r="F3" i="16"/>
  <c r="E3" i="16"/>
  <c r="D3" i="16"/>
  <c r="C3" i="16"/>
  <c r="C6" i="16" l="1"/>
  <c r="C13" i="16" s="1"/>
  <c r="F13" i="16" s="1"/>
  <c r="AE2" i="14"/>
  <c r="AE329" i="14" s="1"/>
  <c r="AE2" i="11" l="1"/>
  <c r="E10" i="16" l="1"/>
  <c r="E12" i="16" s="1"/>
  <c r="AE216" i="14" l="1"/>
  <c r="F5" i="16" l="1"/>
  <c r="F6" i="16" s="1"/>
  <c r="E5" i="16"/>
  <c r="E6" i="16" s="1"/>
  <c r="AE18" i="14" l="1"/>
  <c r="AE85" i="14"/>
  <c r="AE93" i="14"/>
  <c r="AE109" i="14"/>
  <c r="AE117" i="14"/>
  <c r="AE141" i="14"/>
  <c r="AE157" i="14"/>
  <c r="AE165" i="14"/>
  <c r="AE181" i="14"/>
  <c r="AE237" i="14"/>
  <c r="AE298" i="14"/>
  <c r="AE4" i="14"/>
  <c r="AE8" i="14"/>
  <c r="AE12" i="14"/>
  <c r="AE16" i="14"/>
  <c r="AE20" i="14"/>
  <c r="AE24" i="14"/>
  <c r="AE79" i="14"/>
  <c r="AE83" i="14"/>
  <c r="AE87" i="14"/>
  <c r="AE91" i="14"/>
  <c r="AE95" i="14"/>
  <c r="AE99" i="14"/>
  <c r="AE103" i="14"/>
  <c r="AE107" i="14"/>
  <c r="AE111" i="14"/>
  <c r="AE115" i="14"/>
  <c r="AE119" i="14"/>
  <c r="AE123" i="14"/>
  <c r="AE127" i="14"/>
  <c r="AE131" i="14"/>
  <c r="AE135" i="14"/>
  <c r="AE139" i="14"/>
  <c r="AE143" i="14"/>
  <c r="AE147" i="14"/>
  <c r="AE151" i="14"/>
  <c r="AE155" i="14"/>
  <c r="AE159" i="14"/>
  <c r="AE163" i="14"/>
  <c r="AE167" i="14"/>
  <c r="AE171" i="14"/>
  <c r="AE175" i="14"/>
  <c r="AE179" i="14"/>
  <c r="AE183" i="14"/>
  <c r="AE235" i="14"/>
  <c r="AE239" i="14"/>
  <c r="AE243" i="14"/>
  <c r="AE247" i="14"/>
  <c r="AE251" i="14"/>
  <c r="AE255" i="14"/>
  <c r="AE259" i="14"/>
  <c r="AE284" i="14"/>
  <c r="AE288" i="14"/>
  <c r="AE292" i="14"/>
  <c r="AE296" i="14"/>
  <c r="AE300" i="14"/>
  <c r="AE26" i="14"/>
  <c r="AE101" i="14"/>
  <c r="AE125" i="14"/>
  <c r="AE133" i="14"/>
  <c r="AE149" i="14"/>
  <c r="AE173" i="14"/>
  <c r="AE245" i="14"/>
  <c r="AE253" i="14"/>
  <c r="AE261" i="14"/>
  <c r="AE290" i="14"/>
  <c r="AE5" i="14"/>
  <c r="AE9" i="14"/>
  <c r="AE11" i="14"/>
  <c r="AE7" i="14"/>
  <c r="AE13" i="14"/>
  <c r="AE17" i="14"/>
  <c r="AE21" i="14"/>
  <c r="AE25" i="14"/>
  <c r="AE80" i="14"/>
  <c r="AE84" i="14"/>
  <c r="AE88" i="14"/>
  <c r="AE92" i="14"/>
  <c r="AE96" i="14"/>
  <c r="AE100" i="14"/>
  <c r="AE104" i="14"/>
  <c r="AE108" i="14"/>
  <c r="AE112" i="14"/>
  <c r="AE116" i="14"/>
  <c r="AE120" i="14"/>
  <c r="AE124" i="14"/>
  <c r="AE128" i="14"/>
  <c r="AE132" i="14"/>
  <c r="AE136" i="14"/>
  <c r="AE140" i="14"/>
  <c r="AE144" i="14"/>
  <c r="AE148" i="14"/>
  <c r="AE152" i="14"/>
  <c r="AE160" i="14"/>
  <c r="AE164" i="14"/>
  <c r="AE168" i="14"/>
  <c r="AE172" i="14"/>
  <c r="AE176" i="14"/>
  <c r="AE180" i="14"/>
  <c r="AE184" i="14"/>
  <c r="AE236" i="14"/>
  <c r="AE240" i="14"/>
  <c r="AE244" i="14"/>
  <c r="AE248" i="14"/>
  <c r="AE252" i="14"/>
  <c r="AE256" i="14"/>
  <c r="AE260" i="14"/>
  <c r="AE285" i="14"/>
  <c r="AE289" i="14"/>
  <c r="AE293" i="14"/>
  <c r="AE297" i="14"/>
  <c r="AE302" i="14"/>
  <c r="AE19" i="14"/>
  <c r="AE78" i="14"/>
  <c r="AE86" i="14"/>
  <c r="AE94" i="14"/>
  <c r="AE102" i="14"/>
  <c r="AE110" i="14"/>
  <c r="AE118" i="14"/>
  <c r="AE126" i="14"/>
  <c r="AE134" i="14"/>
  <c r="AE150" i="14"/>
  <c r="AE158" i="14"/>
  <c r="AE166" i="14"/>
  <c r="AE174" i="14"/>
  <c r="AE182" i="14"/>
  <c r="AE238" i="14"/>
  <c r="AE246" i="14"/>
  <c r="AE254" i="14"/>
  <c r="AE281" i="14"/>
  <c r="AE291" i="14"/>
  <c r="AE299" i="14"/>
  <c r="AE6" i="14"/>
  <c r="AE10" i="14"/>
  <c r="AE15" i="14"/>
  <c r="AE23" i="14"/>
  <c r="AE82" i="14"/>
  <c r="AE90" i="14"/>
  <c r="AE98" i="14"/>
  <c r="AE106" i="14"/>
  <c r="AE114" i="14"/>
  <c r="AE122" i="14"/>
  <c r="AE130" i="14"/>
  <c r="AE138" i="14"/>
  <c r="AE146" i="14"/>
  <c r="AE154" i="14"/>
  <c r="AE162" i="14"/>
  <c r="AE170" i="14"/>
  <c r="AE178" i="14"/>
  <c r="AE234" i="14"/>
  <c r="AE242" i="14"/>
  <c r="AE250" i="14"/>
  <c r="AE258" i="14"/>
  <c r="AE287" i="14"/>
  <c r="AE295" i="14"/>
  <c r="AE14" i="14"/>
  <c r="AE22" i="14"/>
  <c r="AE81" i="14"/>
  <c r="AE89" i="14"/>
  <c r="AE97" i="14"/>
  <c r="AE105" i="14"/>
  <c r="AE113" i="14"/>
  <c r="AE121" i="14"/>
  <c r="AE129" i="14"/>
  <c r="AE137" i="14"/>
  <c r="AE145" i="14"/>
  <c r="AE153" i="14"/>
  <c r="AE161" i="14"/>
  <c r="AE169" i="14"/>
  <c r="AE177" i="14"/>
  <c r="AE185" i="14"/>
  <c r="AE241" i="14"/>
  <c r="AE249" i="14"/>
  <c r="AE257" i="14"/>
  <c r="AE286" i="14"/>
  <c r="AE294" i="14"/>
  <c r="E8" i="16" l="1"/>
  <c r="F7" i="16"/>
  <c r="F9" i="16" s="1"/>
  <c r="E7" i="16"/>
  <c r="E9" i="16" l="1"/>
  <c r="E13" i="16" s="1"/>
  <c r="C419" i="11"/>
  <c r="P419" i="11" l="1"/>
  <c r="Q419" i="11"/>
  <c r="C451" i="11"/>
  <c r="AE451" i="11" l="1"/>
  <c r="AE419" i="11"/>
  <c r="I1087" i="6"/>
  <c r="G1087" i="6"/>
  <c r="F500" i="6"/>
  <c r="F501" i="6"/>
  <c r="F502" i="6"/>
  <c r="F503" i="6"/>
  <c r="F487" i="6"/>
  <c r="F479" i="6"/>
  <c r="F475" i="6"/>
  <c r="F471" i="6"/>
  <c r="F465" i="6"/>
  <c r="F464" i="6"/>
  <c r="F458" i="6"/>
  <c r="F504" i="6"/>
  <c r="F506" i="6"/>
  <c r="F507" i="6"/>
  <c r="F508" i="6"/>
  <c r="F509" i="6"/>
  <c r="F510" i="6"/>
  <c r="F511" i="6"/>
  <c r="F457" i="6"/>
  <c r="L638" i="6"/>
  <c r="L804" i="6"/>
  <c r="L910" i="6"/>
  <c r="L996" i="6"/>
  <c r="L1081" i="6"/>
  <c r="K19" i="6"/>
  <c r="K33" i="6"/>
  <c r="K47" i="6"/>
  <c r="K69" i="6"/>
  <c r="K81" i="6"/>
  <c r="K83" i="6"/>
  <c r="K86" i="6"/>
  <c r="K96" i="6"/>
  <c r="K100" i="6"/>
  <c r="K104" i="6"/>
  <c r="K105" i="6"/>
  <c r="K107" i="6"/>
  <c r="K116" i="6"/>
  <c r="K120" i="6"/>
  <c r="K121" i="6"/>
  <c r="K123" i="6"/>
  <c r="K125" i="6"/>
  <c r="K126" i="6"/>
  <c r="K128" i="6"/>
  <c r="K130" i="6"/>
  <c r="K131" i="6"/>
  <c r="K132" i="6"/>
  <c r="K133" i="6"/>
  <c r="K134" i="6"/>
  <c r="K136" i="6"/>
  <c r="K138" i="6"/>
  <c r="K140" i="6"/>
  <c r="K145" i="6"/>
  <c r="K146" i="6"/>
  <c r="K147" i="6"/>
  <c r="K149" i="6"/>
  <c r="K153" i="6"/>
  <c r="K154" i="6"/>
  <c r="K158" i="6"/>
  <c r="K161" i="6"/>
  <c r="K162" i="6"/>
  <c r="K163" i="6"/>
  <c r="K165" i="6"/>
  <c r="K166" i="6"/>
  <c r="K167" i="6"/>
  <c r="K168" i="6"/>
  <c r="K170" i="6"/>
  <c r="K211" i="6"/>
  <c r="K214" i="6"/>
  <c r="K227" i="6"/>
  <c r="K228" i="6"/>
  <c r="K230" i="6"/>
  <c r="K232" i="6"/>
  <c r="K241" i="6"/>
  <c r="K243" i="6"/>
  <c r="K245" i="6"/>
  <c r="K252" i="6"/>
  <c r="K254" i="6"/>
  <c r="K255" i="6"/>
  <c r="K256" i="6"/>
  <c r="K257" i="6"/>
  <c r="K260" i="6"/>
  <c r="K264" i="6"/>
  <c r="K265" i="6"/>
  <c r="K266" i="6"/>
  <c r="K268" i="6"/>
  <c r="K271" i="6"/>
  <c r="K273" i="6"/>
  <c r="K274" i="6"/>
  <c r="K276" i="6"/>
  <c r="K277" i="6"/>
  <c r="K278" i="6"/>
  <c r="K280" i="6"/>
  <c r="K283" i="6"/>
  <c r="K284" i="6"/>
  <c r="K289" i="6"/>
  <c r="K290" i="6"/>
  <c r="K291" i="6"/>
  <c r="K295" i="6"/>
  <c r="K296" i="6"/>
  <c r="K314" i="6"/>
  <c r="K316" i="6"/>
  <c r="K317" i="6"/>
  <c r="K318" i="6"/>
  <c r="K321" i="6"/>
  <c r="K323" i="6"/>
  <c r="K325" i="6"/>
  <c r="K328" i="6"/>
  <c r="K330" i="6"/>
  <c r="K333" i="6"/>
  <c r="K335" i="6"/>
  <c r="K336" i="6"/>
  <c r="K337" i="6"/>
  <c r="K340" i="6"/>
  <c r="K341" i="6"/>
  <c r="K342" i="6"/>
  <c r="K343" i="6"/>
  <c r="K344" i="6"/>
  <c r="K345" i="6"/>
  <c r="K347" i="6"/>
  <c r="K348" i="6"/>
  <c r="K349" i="6"/>
  <c r="K350" i="6"/>
  <c r="K351" i="6"/>
  <c r="K358" i="6"/>
  <c r="K359" i="6"/>
  <c r="K371" i="6"/>
  <c r="K372" i="6"/>
  <c r="K375" i="6"/>
  <c r="K382" i="6"/>
  <c r="K383" i="6"/>
  <c r="K384" i="6"/>
  <c r="K387" i="6"/>
  <c r="K388" i="6"/>
  <c r="K391" i="6"/>
  <c r="K392" i="6"/>
  <c r="K393" i="6"/>
  <c r="K394" i="6"/>
  <c r="K395" i="6"/>
  <c r="K396" i="6"/>
  <c r="K397" i="6"/>
  <c r="K398" i="6"/>
  <c r="K400" i="6"/>
  <c r="K416" i="6"/>
  <c r="K419" i="6"/>
  <c r="K421" i="6"/>
  <c r="K422" i="6"/>
  <c r="K423" i="6"/>
  <c r="K428" i="6"/>
  <c r="K430" i="6"/>
  <c r="K433" i="6"/>
  <c r="K437" i="6"/>
  <c r="K439" i="6"/>
  <c r="K441" i="6"/>
  <c r="K444" i="6"/>
  <c r="K446" i="6"/>
  <c r="K447" i="6"/>
  <c r="K451" i="6"/>
  <c r="K452" i="6"/>
  <c r="K454" i="6"/>
  <c r="K457" i="6"/>
  <c r="K458" i="6"/>
  <c r="K459" i="6"/>
  <c r="K461" i="6"/>
  <c r="K462" i="6"/>
  <c r="K464" i="6"/>
  <c r="K465" i="6"/>
  <c r="K466" i="6"/>
  <c r="K467" i="6"/>
  <c r="K468" i="6"/>
  <c r="K469" i="6"/>
  <c r="K470" i="6"/>
  <c r="K471" i="6"/>
  <c r="K472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8" i="6"/>
  <c r="K489" i="6"/>
  <c r="K490" i="6"/>
  <c r="K491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4" i="6"/>
  <c r="K515" i="6"/>
  <c r="K516" i="6"/>
  <c r="K519" i="6"/>
  <c r="K521" i="6"/>
  <c r="K531" i="6"/>
  <c r="K537" i="6"/>
  <c r="K538" i="6"/>
  <c r="K539" i="6"/>
  <c r="K543" i="6"/>
  <c r="K544" i="6"/>
  <c r="K554" i="6"/>
  <c r="K562" i="6"/>
  <c r="K566" i="6"/>
  <c r="K567" i="6"/>
  <c r="K568" i="6"/>
  <c r="K574" i="6"/>
  <c r="K575" i="6"/>
  <c r="K579" i="6"/>
  <c r="K581" i="6"/>
  <c r="K586" i="6"/>
  <c r="K591" i="6"/>
  <c r="K592" i="6"/>
  <c r="K608" i="6"/>
  <c r="K622" i="6"/>
  <c r="K623" i="6"/>
  <c r="K627" i="6"/>
  <c r="K630" i="6"/>
  <c r="K632" i="6"/>
  <c r="K633" i="6"/>
  <c r="K635" i="6"/>
  <c r="K636" i="6"/>
  <c r="K637" i="6"/>
  <c r="K638" i="6"/>
  <c r="K640" i="6"/>
  <c r="K643" i="6"/>
  <c r="K644" i="6"/>
  <c r="K647" i="6"/>
  <c r="K649" i="6"/>
  <c r="K650" i="6"/>
  <c r="K652" i="6"/>
  <c r="K656" i="6"/>
  <c r="K658" i="6"/>
  <c r="K659" i="6"/>
  <c r="K660" i="6"/>
  <c r="K663" i="6"/>
  <c r="K664" i="6"/>
  <c r="K665" i="6"/>
  <c r="K668" i="6"/>
  <c r="K669" i="6"/>
  <c r="K673" i="6"/>
  <c r="K675" i="6"/>
  <c r="K680" i="6"/>
  <c r="K682" i="6"/>
  <c r="K689" i="6"/>
  <c r="K690" i="6"/>
  <c r="K692" i="6"/>
  <c r="K693" i="6"/>
  <c r="K694" i="6"/>
  <c r="K699" i="6"/>
  <c r="K700" i="6"/>
  <c r="K701" i="6"/>
  <c r="K702" i="6"/>
  <c r="K703" i="6"/>
  <c r="K708" i="6"/>
  <c r="K709" i="6"/>
  <c r="K710" i="6"/>
  <c r="K711" i="6"/>
  <c r="K712" i="6"/>
  <c r="K720" i="6"/>
  <c r="K723" i="6"/>
  <c r="K724" i="6"/>
  <c r="K727" i="6"/>
  <c r="K728" i="6"/>
  <c r="K729" i="6"/>
  <c r="K730" i="6"/>
  <c r="K732" i="6"/>
  <c r="K733" i="6"/>
  <c r="K734" i="6"/>
  <c r="K738" i="6"/>
  <c r="K742" i="6"/>
  <c r="K743" i="6"/>
  <c r="K746" i="6"/>
  <c r="K747" i="6"/>
  <c r="K752" i="6"/>
  <c r="K753" i="6"/>
  <c r="K757" i="6"/>
  <c r="K759" i="6"/>
  <c r="K760" i="6"/>
  <c r="K761" i="6"/>
  <c r="K762" i="6"/>
  <c r="K765" i="6"/>
  <c r="K777" i="6"/>
  <c r="K782" i="6"/>
  <c r="K794" i="6"/>
  <c r="K795" i="6"/>
  <c r="K798" i="6"/>
  <c r="K806" i="6"/>
  <c r="K809" i="6"/>
  <c r="K814" i="6"/>
  <c r="K815" i="6"/>
  <c r="K819" i="6"/>
  <c r="K823" i="6"/>
  <c r="K825" i="6"/>
  <c r="K828" i="6"/>
  <c r="K829" i="6"/>
  <c r="K836" i="6"/>
  <c r="K838" i="6"/>
  <c r="K839" i="6"/>
  <c r="K844" i="6"/>
  <c r="K846" i="6"/>
  <c r="K847" i="6"/>
  <c r="K848" i="6"/>
  <c r="K850" i="6"/>
  <c r="K852" i="6"/>
  <c r="K853" i="6"/>
  <c r="K861" i="6"/>
  <c r="K866" i="6"/>
  <c r="K868" i="6"/>
  <c r="K870" i="6"/>
  <c r="K871" i="6"/>
  <c r="K875" i="6"/>
  <c r="K876" i="6"/>
  <c r="K877" i="6"/>
  <c r="K882" i="6"/>
  <c r="K883" i="6"/>
  <c r="K890" i="6"/>
  <c r="K892" i="6"/>
  <c r="K894" i="6"/>
  <c r="K897" i="6"/>
  <c r="K899" i="6"/>
  <c r="K905" i="6"/>
  <c r="K906" i="6"/>
  <c r="K908" i="6"/>
  <c r="K909" i="6"/>
  <c r="K910" i="6"/>
  <c r="K913" i="6"/>
  <c r="K915" i="6"/>
  <c r="K919" i="6"/>
  <c r="K922" i="6"/>
  <c r="K924" i="6"/>
  <c r="K926" i="6"/>
  <c r="K929" i="6"/>
  <c r="K932" i="6"/>
  <c r="K933" i="6"/>
  <c r="K936" i="6"/>
  <c r="K937" i="6"/>
  <c r="K938" i="6"/>
  <c r="K940" i="6"/>
  <c r="K941" i="6"/>
  <c r="K944" i="6"/>
  <c r="K945" i="6"/>
  <c r="K946" i="6"/>
  <c r="K948" i="6"/>
  <c r="K949" i="6"/>
  <c r="K953" i="6"/>
  <c r="K956" i="6"/>
  <c r="K958" i="6"/>
  <c r="K959" i="6"/>
  <c r="K962" i="6"/>
  <c r="K963" i="6"/>
  <c r="K965" i="6"/>
  <c r="K966" i="6"/>
  <c r="K969" i="6"/>
  <c r="K970" i="6"/>
  <c r="K971" i="6"/>
  <c r="K985" i="6"/>
  <c r="K1001" i="6"/>
  <c r="K1010" i="6"/>
  <c r="K1013" i="6"/>
  <c r="K1014" i="6"/>
  <c r="K1021" i="6"/>
  <c r="K1022" i="6"/>
  <c r="K1024" i="6"/>
  <c r="K1029" i="6"/>
  <c r="K1032" i="6"/>
  <c r="K1036" i="6"/>
  <c r="K1041" i="6"/>
  <c r="K1045" i="6"/>
  <c r="K1049" i="6"/>
  <c r="K1051" i="6"/>
  <c r="K1053" i="6"/>
  <c r="K1055" i="6"/>
  <c r="K1057" i="6"/>
  <c r="K1059" i="6"/>
  <c r="K1061" i="6"/>
  <c r="K1063" i="6"/>
  <c r="K1065" i="6"/>
  <c r="K1068" i="6"/>
  <c r="K1069" i="6"/>
  <c r="K1071" i="6"/>
  <c r="K1072" i="6"/>
  <c r="K1077" i="6"/>
  <c r="K1078" i="6"/>
  <c r="K1079" i="6"/>
  <c r="K1085" i="6"/>
  <c r="J955" i="6"/>
  <c r="J749" i="6"/>
  <c r="J748" i="6"/>
  <c r="J747" i="6"/>
  <c r="J746" i="6"/>
  <c r="J745" i="6"/>
  <c r="K745" i="6" s="1"/>
  <c r="J568" i="6"/>
  <c r="J565" i="6"/>
  <c r="J563" i="6"/>
  <c r="J492" i="6"/>
  <c r="J487" i="6"/>
  <c r="J473" i="6"/>
  <c r="J3" i="6"/>
  <c r="L553" i="6" s="1"/>
  <c r="J4" i="6"/>
  <c r="J5" i="6"/>
  <c r="J6" i="6"/>
  <c r="J7" i="6"/>
  <c r="J8" i="6"/>
  <c r="J9" i="6"/>
  <c r="J10" i="6"/>
  <c r="J11" i="6"/>
  <c r="J12" i="6"/>
  <c r="J13" i="6"/>
  <c r="K13" i="6" s="1"/>
  <c r="J14" i="6"/>
  <c r="J15" i="6"/>
  <c r="J16" i="6"/>
  <c r="J17" i="6"/>
  <c r="J18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K64" i="6" s="1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9" i="6"/>
  <c r="J80" i="6"/>
  <c r="J82" i="6"/>
  <c r="J84" i="6"/>
  <c r="J85" i="6"/>
  <c r="J87" i="6"/>
  <c r="J88" i="6"/>
  <c r="J89" i="6"/>
  <c r="K89" i="6" s="1"/>
  <c r="J90" i="6"/>
  <c r="J91" i="6"/>
  <c r="J92" i="6"/>
  <c r="J93" i="6"/>
  <c r="J94" i="6"/>
  <c r="J95" i="6"/>
  <c r="J97" i="6"/>
  <c r="J98" i="6"/>
  <c r="J99" i="6"/>
  <c r="J101" i="6"/>
  <c r="J102" i="6"/>
  <c r="J103" i="6"/>
  <c r="J106" i="6"/>
  <c r="J108" i="6"/>
  <c r="J109" i="6"/>
  <c r="J110" i="6"/>
  <c r="J111" i="6"/>
  <c r="J112" i="6"/>
  <c r="J113" i="6"/>
  <c r="J114" i="6"/>
  <c r="J115" i="6"/>
  <c r="J117" i="6"/>
  <c r="J119" i="6"/>
  <c r="J122" i="6"/>
  <c r="K122" i="6" s="1"/>
  <c r="J127" i="6"/>
  <c r="J129" i="6"/>
  <c r="J135" i="6"/>
  <c r="J137" i="6"/>
  <c r="J139" i="6"/>
  <c r="J170" i="6"/>
  <c r="J171" i="6"/>
  <c r="J172" i="6"/>
  <c r="J297" i="6"/>
  <c r="J298" i="6"/>
  <c r="J299" i="6"/>
  <c r="J300" i="6"/>
  <c r="J301" i="6"/>
  <c r="J353" i="6"/>
  <c r="J354" i="6"/>
  <c r="J355" i="6"/>
  <c r="J356" i="6"/>
  <c r="J357" i="6"/>
  <c r="J358" i="6"/>
  <c r="J360" i="6"/>
  <c r="J361" i="6"/>
  <c r="J362" i="6"/>
  <c r="J363" i="6"/>
  <c r="J364" i="6"/>
  <c r="J365" i="6"/>
  <c r="J366" i="6"/>
  <c r="J367" i="6"/>
  <c r="J368" i="6"/>
  <c r="J369" i="6"/>
  <c r="J370" i="6"/>
  <c r="L370" i="6" s="1"/>
  <c r="J373" i="6"/>
  <c r="J374" i="6"/>
  <c r="K374" i="6" s="1"/>
  <c r="J376" i="6"/>
  <c r="J377" i="6"/>
  <c r="J378" i="6"/>
  <c r="J379" i="6"/>
  <c r="J380" i="6"/>
  <c r="J381" i="6"/>
  <c r="J385" i="6"/>
  <c r="J386" i="6"/>
  <c r="J389" i="6"/>
  <c r="J390" i="6"/>
  <c r="L390" i="6" s="1"/>
  <c r="J399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K412" i="6" s="1"/>
  <c r="J413" i="6"/>
  <c r="J414" i="6"/>
  <c r="J415" i="6"/>
  <c r="J417" i="6"/>
  <c r="J418" i="6"/>
  <c r="J420" i="6"/>
  <c r="J424" i="6"/>
  <c r="J425" i="6"/>
  <c r="J426" i="6"/>
  <c r="J427" i="6"/>
  <c r="J429" i="6"/>
  <c r="J431" i="6"/>
  <c r="J432" i="6"/>
  <c r="J435" i="6"/>
  <c r="J436" i="6"/>
  <c r="J438" i="6"/>
  <c r="J440" i="6"/>
  <c r="J442" i="6"/>
  <c r="J460" i="6"/>
  <c r="J463" i="6"/>
  <c r="J513" i="6"/>
  <c r="J514" i="6"/>
  <c r="J517" i="6"/>
  <c r="J518" i="6"/>
  <c r="K518" i="6" s="1"/>
  <c r="J520" i="6"/>
  <c r="J522" i="6"/>
  <c r="J523" i="6"/>
  <c r="J524" i="6"/>
  <c r="J525" i="6"/>
  <c r="J526" i="6"/>
  <c r="J529" i="6"/>
  <c r="J530" i="6"/>
  <c r="J532" i="6"/>
  <c r="K532" i="6" s="1"/>
  <c r="J533" i="6"/>
  <c r="J534" i="6"/>
  <c r="J535" i="6"/>
  <c r="J536" i="6"/>
  <c r="J538" i="6"/>
  <c r="J540" i="6"/>
  <c r="J541" i="6"/>
  <c r="J542" i="6"/>
  <c r="J561" i="6"/>
  <c r="J564" i="6"/>
  <c r="J573" i="6"/>
  <c r="J576" i="6"/>
  <c r="J577" i="6"/>
  <c r="J578" i="6"/>
  <c r="J580" i="6"/>
  <c r="J582" i="6"/>
  <c r="J583" i="6"/>
  <c r="J584" i="6"/>
  <c r="J585" i="6"/>
  <c r="K585" i="6" s="1"/>
  <c r="J592" i="6"/>
  <c r="J593" i="6"/>
  <c r="J594" i="6"/>
  <c r="J595" i="6"/>
  <c r="K595" i="6" s="1"/>
  <c r="J596" i="6"/>
  <c r="K596" i="6" s="1"/>
  <c r="J597" i="6"/>
  <c r="J598" i="6"/>
  <c r="L598" i="6" s="1"/>
  <c r="J599" i="6"/>
  <c r="J600" i="6"/>
  <c r="J601" i="6"/>
  <c r="J602" i="6"/>
  <c r="J603" i="6"/>
  <c r="J604" i="6"/>
  <c r="J605" i="6"/>
  <c r="J606" i="6"/>
  <c r="J607" i="6"/>
  <c r="K607" i="6" s="1"/>
  <c r="J608" i="6"/>
  <c r="J609" i="6"/>
  <c r="J610" i="6"/>
  <c r="J611" i="6"/>
  <c r="K611" i="6" s="1"/>
  <c r="J612" i="6"/>
  <c r="K612" i="6" s="1"/>
  <c r="J613" i="6"/>
  <c r="J614" i="6"/>
  <c r="L614" i="6" s="1"/>
  <c r="J625" i="6"/>
  <c r="J626" i="6"/>
  <c r="J627" i="6"/>
  <c r="J628" i="6"/>
  <c r="J629" i="6"/>
  <c r="J630" i="6"/>
  <c r="J631" i="6"/>
  <c r="J634" i="6"/>
  <c r="L634" i="6" s="1"/>
  <c r="J638" i="6"/>
  <c r="J639" i="6"/>
  <c r="J640" i="6"/>
  <c r="J641" i="6"/>
  <c r="J642" i="6"/>
  <c r="K642" i="6" s="1"/>
  <c r="J643" i="6"/>
  <c r="J645" i="6"/>
  <c r="J646" i="6"/>
  <c r="J662" i="6"/>
  <c r="K662" i="6" s="1"/>
  <c r="J663" i="6"/>
  <c r="J666" i="6"/>
  <c r="J667" i="6"/>
  <c r="L667" i="6" s="1"/>
  <c r="J672" i="6"/>
  <c r="J674" i="6"/>
  <c r="K674" i="6" s="1"/>
  <c r="J675" i="6"/>
  <c r="J676" i="6"/>
  <c r="J677" i="6"/>
  <c r="J678" i="6"/>
  <c r="J679" i="6"/>
  <c r="J680" i="6"/>
  <c r="L680" i="6" s="1"/>
  <c r="J681" i="6"/>
  <c r="K681" i="6" s="1"/>
  <c r="J683" i="6"/>
  <c r="J684" i="6"/>
  <c r="J685" i="6"/>
  <c r="J687" i="6"/>
  <c r="J688" i="6"/>
  <c r="J695" i="6"/>
  <c r="J696" i="6"/>
  <c r="J697" i="6"/>
  <c r="J698" i="6"/>
  <c r="K698" i="6" s="1"/>
  <c r="J699" i="6"/>
  <c r="J704" i="6"/>
  <c r="J706" i="6"/>
  <c r="K706" i="6" s="1"/>
  <c r="J707" i="6"/>
  <c r="K707" i="6" s="1"/>
  <c r="J712" i="6"/>
  <c r="J713" i="6"/>
  <c r="J716" i="6"/>
  <c r="K716" i="6" s="1"/>
  <c r="J717" i="6"/>
  <c r="K717" i="6" s="1"/>
  <c r="J718" i="6"/>
  <c r="J719" i="6"/>
  <c r="L719" i="6" s="1"/>
  <c r="J724" i="6"/>
  <c r="J725" i="6"/>
  <c r="J726" i="6"/>
  <c r="J731" i="6"/>
  <c r="J733" i="6"/>
  <c r="J735" i="6"/>
  <c r="J736" i="6"/>
  <c r="J737" i="6"/>
  <c r="J738" i="6"/>
  <c r="J739" i="6"/>
  <c r="J744" i="6"/>
  <c r="J750" i="6"/>
  <c r="J752" i="6"/>
  <c r="J755" i="6"/>
  <c r="J766" i="6"/>
  <c r="K766" i="6" s="1"/>
  <c r="J767" i="6"/>
  <c r="L767" i="6" s="1"/>
  <c r="J768" i="6"/>
  <c r="J769" i="6"/>
  <c r="J770" i="6"/>
  <c r="J771" i="6"/>
  <c r="L771" i="6" s="1"/>
  <c r="J772" i="6"/>
  <c r="J773" i="6"/>
  <c r="J774" i="6"/>
  <c r="J775" i="6"/>
  <c r="J776" i="6"/>
  <c r="J777" i="6"/>
  <c r="J778" i="6"/>
  <c r="J779" i="6"/>
  <c r="J780" i="6"/>
  <c r="J781" i="6"/>
  <c r="K781" i="6" s="1"/>
  <c r="J782" i="6"/>
  <c r="J783" i="6"/>
  <c r="J784" i="6"/>
  <c r="J785" i="6"/>
  <c r="J786" i="6"/>
  <c r="J787" i="6"/>
  <c r="L787" i="6" s="1"/>
  <c r="J788" i="6"/>
  <c r="K788" i="6" s="1"/>
  <c r="J789" i="6"/>
  <c r="J790" i="6"/>
  <c r="J791" i="6"/>
  <c r="J792" i="6"/>
  <c r="J793" i="6"/>
  <c r="J796" i="6"/>
  <c r="K796" i="6" s="1"/>
  <c r="J797" i="6"/>
  <c r="J798" i="6"/>
  <c r="J799" i="6"/>
  <c r="J800" i="6"/>
  <c r="J801" i="6"/>
  <c r="J802" i="6"/>
  <c r="K802" i="6" s="1"/>
  <c r="J803" i="6"/>
  <c r="J804" i="6"/>
  <c r="J805" i="6"/>
  <c r="J807" i="6"/>
  <c r="J808" i="6"/>
  <c r="J810" i="6"/>
  <c r="J811" i="6"/>
  <c r="J812" i="6"/>
  <c r="J813" i="6"/>
  <c r="J814" i="6"/>
  <c r="J816" i="6"/>
  <c r="J817" i="6"/>
  <c r="K817" i="6" s="1"/>
  <c r="J818" i="6"/>
  <c r="J819" i="6"/>
  <c r="J820" i="6"/>
  <c r="J822" i="6"/>
  <c r="J824" i="6"/>
  <c r="J825" i="6"/>
  <c r="J826" i="6"/>
  <c r="J827" i="6"/>
  <c r="J830" i="6"/>
  <c r="J831" i="6"/>
  <c r="J832" i="6"/>
  <c r="J833" i="6"/>
  <c r="K833" i="6" s="1"/>
  <c r="J834" i="6"/>
  <c r="J835" i="6"/>
  <c r="J837" i="6"/>
  <c r="J838" i="6"/>
  <c r="J840" i="6"/>
  <c r="J842" i="6"/>
  <c r="J843" i="6"/>
  <c r="L843" i="6" s="1"/>
  <c r="J845" i="6"/>
  <c r="K845" i="6" s="1"/>
  <c r="J847" i="6"/>
  <c r="J849" i="6"/>
  <c r="J851" i="6"/>
  <c r="L851" i="6" s="1"/>
  <c r="J854" i="6"/>
  <c r="K854" i="6" s="1"/>
  <c r="J855" i="6"/>
  <c r="J856" i="6"/>
  <c r="J857" i="6"/>
  <c r="J858" i="6"/>
  <c r="K858" i="6" s="1"/>
  <c r="J859" i="6"/>
  <c r="J860" i="6"/>
  <c r="K860" i="6" s="1"/>
  <c r="J862" i="6"/>
  <c r="J863" i="6"/>
  <c r="K863" i="6" s="1"/>
  <c r="J864" i="6"/>
  <c r="J865" i="6"/>
  <c r="J866" i="6"/>
  <c r="L866" i="6" s="1"/>
  <c r="J867" i="6"/>
  <c r="J869" i="6"/>
  <c r="J870" i="6"/>
  <c r="J872" i="6"/>
  <c r="J873" i="6"/>
  <c r="J874" i="6"/>
  <c r="J878" i="6"/>
  <c r="L878" i="6" s="1"/>
  <c r="J879" i="6"/>
  <c r="L879" i="6" s="1"/>
  <c r="J880" i="6"/>
  <c r="J881" i="6"/>
  <c r="J884" i="6"/>
  <c r="K884" i="6" s="1"/>
  <c r="J885" i="6"/>
  <c r="L885" i="6" s="1"/>
  <c r="J886" i="6"/>
  <c r="J887" i="6"/>
  <c r="J888" i="6"/>
  <c r="J889" i="6"/>
  <c r="K889" i="6" s="1"/>
  <c r="J891" i="6"/>
  <c r="J893" i="6"/>
  <c r="J894" i="6"/>
  <c r="L894" i="6" s="1"/>
  <c r="J895" i="6"/>
  <c r="J896" i="6"/>
  <c r="J898" i="6"/>
  <c r="J899" i="6"/>
  <c r="J900" i="6"/>
  <c r="J901" i="6"/>
  <c r="J902" i="6"/>
  <c r="J903" i="6"/>
  <c r="J904" i="6"/>
  <c r="J905" i="6"/>
  <c r="J911" i="6"/>
  <c r="J912" i="6"/>
  <c r="J914" i="6"/>
  <c r="L914" i="6" s="1"/>
  <c r="J916" i="6"/>
  <c r="K916" i="6" s="1"/>
  <c r="J917" i="6"/>
  <c r="J918" i="6"/>
  <c r="J919" i="6"/>
  <c r="L919" i="6" s="1"/>
  <c r="J920" i="6"/>
  <c r="J921" i="6"/>
  <c r="J923" i="6"/>
  <c r="J925" i="6"/>
  <c r="J927" i="6"/>
  <c r="K927" i="6" s="1"/>
  <c r="J928" i="6"/>
  <c r="J929" i="6"/>
  <c r="J930" i="6"/>
  <c r="J931" i="6"/>
  <c r="K931" i="6" s="1"/>
  <c r="J934" i="6"/>
  <c r="J937" i="6"/>
  <c r="L937" i="6" s="1"/>
  <c r="J939" i="6"/>
  <c r="J942" i="6"/>
  <c r="K942" i="6" s="1"/>
  <c r="J943" i="6"/>
  <c r="J945" i="6"/>
  <c r="J947" i="6"/>
  <c r="J949" i="6"/>
  <c r="J950" i="6"/>
  <c r="J952" i="6"/>
  <c r="J954" i="6"/>
  <c r="L954" i="6" s="1"/>
  <c r="J957" i="6"/>
  <c r="K957" i="6" s="1"/>
  <c r="J958" i="6"/>
  <c r="J960" i="6"/>
  <c r="J961" i="6"/>
  <c r="J967" i="6"/>
  <c r="J968" i="6"/>
  <c r="J969" i="6"/>
  <c r="L969" i="6" s="1"/>
  <c r="J1086" i="6"/>
  <c r="J2" i="6"/>
  <c r="F572" i="6"/>
  <c r="K572" i="6" s="1"/>
  <c r="F571" i="6"/>
  <c r="K571" i="6" s="1"/>
  <c r="F569" i="6"/>
  <c r="K569" i="6" s="1"/>
  <c r="F564" i="6"/>
  <c r="F4" i="6"/>
  <c r="F5" i="6"/>
  <c r="F6" i="6"/>
  <c r="F7" i="6"/>
  <c r="F8" i="6"/>
  <c r="F10" i="6"/>
  <c r="F14" i="6"/>
  <c r="F17" i="6"/>
  <c r="F18" i="6"/>
  <c r="K18" i="6" s="1"/>
  <c r="F21" i="6"/>
  <c r="F23" i="6"/>
  <c r="F24" i="6"/>
  <c r="F25" i="6"/>
  <c r="F27" i="6"/>
  <c r="F28" i="6"/>
  <c r="F34" i="6"/>
  <c r="F44" i="6"/>
  <c r="K44" i="6" s="1"/>
  <c r="F48" i="6"/>
  <c r="K48" i="6" s="1"/>
  <c r="F51" i="6"/>
  <c r="F55" i="6"/>
  <c r="F58" i="6"/>
  <c r="K58" i="6" s="1"/>
  <c r="F60" i="6"/>
  <c r="F66" i="6"/>
  <c r="F67" i="6"/>
  <c r="F73" i="6"/>
  <c r="F76" i="6"/>
  <c r="F78" i="6"/>
  <c r="K78" i="6" s="1"/>
  <c r="F79" i="6"/>
  <c r="F80" i="6"/>
  <c r="F93" i="6"/>
  <c r="F94" i="6"/>
  <c r="K94" i="6" s="1"/>
  <c r="F99" i="6"/>
  <c r="F102" i="6"/>
  <c r="K102" i="6" s="1"/>
  <c r="F106" i="6"/>
  <c r="F111" i="6"/>
  <c r="F113" i="6"/>
  <c r="F118" i="6"/>
  <c r="K118" i="6" s="1"/>
  <c r="F124" i="6"/>
  <c r="K124" i="6" s="1"/>
  <c r="F141" i="6"/>
  <c r="K141" i="6" s="1"/>
  <c r="F142" i="6"/>
  <c r="K142" i="6" s="1"/>
  <c r="F143" i="6"/>
  <c r="K143" i="6" s="1"/>
  <c r="F144" i="6"/>
  <c r="K144" i="6" s="1"/>
  <c r="F148" i="6"/>
  <c r="K148" i="6" s="1"/>
  <c r="F150" i="6"/>
  <c r="K150" i="6" s="1"/>
  <c r="F151" i="6"/>
  <c r="K151" i="6" s="1"/>
  <c r="F152" i="6"/>
  <c r="K152" i="6" s="1"/>
  <c r="F155" i="6"/>
  <c r="K155" i="6" s="1"/>
  <c r="F156" i="6"/>
  <c r="K156" i="6" s="1"/>
  <c r="F157" i="6"/>
  <c r="K157" i="6" s="1"/>
  <c r="F158" i="6"/>
  <c r="F159" i="6"/>
  <c r="K159" i="6" s="1"/>
  <c r="F160" i="6"/>
  <c r="K160" i="6" s="1"/>
  <c r="F164" i="6"/>
  <c r="K164" i="6" s="1"/>
  <c r="F169" i="6"/>
  <c r="K169" i="6" s="1"/>
  <c r="F170" i="6"/>
  <c r="F171" i="6"/>
  <c r="F172" i="6"/>
  <c r="F173" i="6"/>
  <c r="K173" i="6" s="1"/>
  <c r="F174" i="6"/>
  <c r="K174" i="6" s="1"/>
  <c r="F175" i="6"/>
  <c r="K175" i="6" s="1"/>
  <c r="F176" i="6"/>
  <c r="K176" i="6" s="1"/>
  <c r="F177" i="6"/>
  <c r="K177" i="6" s="1"/>
  <c r="F178" i="6"/>
  <c r="K178" i="6" s="1"/>
  <c r="F179" i="6"/>
  <c r="K179" i="6" s="1"/>
  <c r="F180" i="6"/>
  <c r="K180" i="6" s="1"/>
  <c r="F181" i="6"/>
  <c r="K181" i="6" s="1"/>
  <c r="F182" i="6"/>
  <c r="K182" i="6" s="1"/>
  <c r="F183" i="6"/>
  <c r="K183" i="6" s="1"/>
  <c r="F184" i="6"/>
  <c r="K184" i="6" s="1"/>
  <c r="F185" i="6"/>
  <c r="K185" i="6" s="1"/>
  <c r="F186" i="6"/>
  <c r="K186" i="6" s="1"/>
  <c r="F187" i="6"/>
  <c r="K187" i="6" s="1"/>
  <c r="F188" i="6"/>
  <c r="K188" i="6" s="1"/>
  <c r="F189" i="6"/>
  <c r="K189" i="6" s="1"/>
  <c r="F190" i="6"/>
  <c r="K190" i="6" s="1"/>
  <c r="F191" i="6"/>
  <c r="K191" i="6" s="1"/>
  <c r="F192" i="6"/>
  <c r="K192" i="6" s="1"/>
  <c r="F193" i="6"/>
  <c r="K193" i="6" s="1"/>
  <c r="F194" i="6"/>
  <c r="K194" i="6" s="1"/>
  <c r="F195" i="6"/>
  <c r="K195" i="6" s="1"/>
  <c r="F196" i="6"/>
  <c r="K196" i="6" s="1"/>
  <c r="F197" i="6"/>
  <c r="K197" i="6" s="1"/>
  <c r="F198" i="6"/>
  <c r="K198" i="6" s="1"/>
  <c r="F199" i="6"/>
  <c r="K199" i="6" s="1"/>
  <c r="F200" i="6"/>
  <c r="K200" i="6" s="1"/>
  <c r="F201" i="6"/>
  <c r="K201" i="6" s="1"/>
  <c r="F202" i="6"/>
  <c r="K202" i="6" s="1"/>
  <c r="F203" i="6"/>
  <c r="K203" i="6" s="1"/>
  <c r="F204" i="6"/>
  <c r="K204" i="6" s="1"/>
  <c r="F205" i="6"/>
  <c r="K205" i="6" s="1"/>
  <c r="F206" i="6"/>
  <c r="K206" i="6" s="1"/>
  <c r="F207" i="6"/>
  <c r="K207" i="6" s="1"/>
  <c r="F208" i="6"/>
  <c r="K208" i="6" s="1"/>
  <c r="F209" i="6"/>
  <c r="K209" i="6" s="1"/>
  <c r="F210" i="6"/>
  <c r="K210" i="6" s="1"/>
  <c r="F212" i="6"/>
  <c r="K212" i="6" s="1"/>
  <c r="F213" i="6"/>
  <c r="K213" i="6" s="1"/>
  <c r="F214" i="6"/>
  <c r="F215" i="6"/>
  <c r="K215" i="6" s="1"/>
  <c r="F216" i="6"/>
  <c r="K216" i="6" s="1"/>
  <c r="F217" i="6"/>
  <c r="K217" i="6" s="1"/>
  <c r="F218" i="6"/>
  <c r="K218" i="6" s="1"/>
  <c r="F219" i="6"/>
  <c r="K219" i="6" s="1"/>
  <c r="F220" i="6"/>
  <c r="K220" i="6" s="1"/>
  <c r="F221" i="6"/>
  <c r="K221" i="6" s="1"/>
  <c r="F222" i="6"/>
  <c r="K222" i="6" s="1"/>
  <c r="F223" i="6"/>
  <c r="K223" i="6" s="1"/>
  <c r="F224" i="6"/>
  <c r="K224" i="6" s="1"/>
  <c r="F225" i="6"/>
  <c r="K225" i="6" s="1"/>
  <c r="F226" i="6"/>
  <c r="K226" i="6" s="1"/>
  <c r="F229" i="6"/>
  <c r="K229" i="6" s="1"/>
  <c r="F231" i="6"/>
  <c r="K231" i="6" s="1"/>
  <c r="F233" i="6"/>
  <c r="K233" i="6" s="1"/>
  <c r="F234" i="6"/>
  <c r="K234" i="6" s="1"/>
  <c r="F235" i="6"/>
  <c r="K235" i="6" s="1"/>
  <c r="F236" i="6"/>
  <c r="K236" i="6" s="1"/>
  <c r="F237" i="6"/>
  <c r="K237" i="6" s="1"/>
  <c r="F238" i="6"/>
  <c r="K238" i="6" s="1"/>
  <c r="F239" i="6"/>
  <c r="K239" i="6" s="1"/>
  <c r="F240" i="6"/>
  <c r="K240" i="6" s="1"/>
  <c r="F242" i="6"/>
  <c r="K242" i="6" s="1"/>
  <c r="F244" i="6"/>
  <c r="K244" i="6" s="1"/>
  <c r="F246" i="6"/>
  <c r="K246" i="6" s="1"/>
  <c r="F247" i="6"/>
  <c r="K247" i="6" s="1"/>
  <c r="F248" i="6"/>
  <c r="K248" i="6" s="1"/>
  <c r="F249" i="6"/>
  <c r="K249" i="6" s="1"/>
  <c r="F250" i="6"/>
  <c r="K250" i="6" s="1"/>
  <c r="F251" i="6"/>
  <c r="K251" i="6" s="1"/>
  <c r="F253" i="6"/>
  <c r="K253" i="6" s="1"/>
  <c r="F258" i="6"/>
  <c r="K258" i="6" s="1"/>
  <c r="F259" i="6"/>
  <c r="K259" i="6" s="1"/>
  <c r="F261" i="6"/>
  <c r="K261" i="6" s="1"/>
  <c r="F262" i="6"/>
  <c r="K262" i="6" s="1"/>
  <c r="F263" i="6"/>
  <c r="K263" i="6" s="1"/>
  <c r="F267" i="6"/>
  <c r="K267" i="6" s="1"/>
  <c r="F269" i="6"/>
  <c r="K269" i="6" s="1"/>
  <c r="F270" i="6"/>
  <c r="K270" i="6" s="1"/>
  <c r="F272" i="6"/>
  <c r="K272" i="6" s="1"/>
  <c r="F275" i="6"/>
  <c r="K275" i="6" s="1"/>
  <c r="F279" i="6"/>
  <c r="K279" i="6" s="1"/>
  <c r="F281" i="6"/>
  <c r="K281" i="6" s="1"/>
  <c r="F282" i="6"/>
  <c r="K282" i="6" s="1"/>
  <c r="F285" i="6"/>
  <c r="K285" i="6" s="1"/>
  <c r="F286" i="6"/>
  <c r="K286" i="6" s="1"/>
  <c r="F287" i="6"/>
  <c r="K287" i="6" s="1"/>
  <c r="F288" i="6"/>
  <c r="K288" i="6" s="1"/>
  <c r="F292" i="6"/>
  <c r="K292" i="6" s="1"/>
  <c r="F293" i="6"/>
  <c r="K293" i="6" s="1"/>
  <c r="F294" i="6"/>
  <c r="K294" i="6" s="1"/>
  <c r="F300" i="6"/>
  <c r="F302" i="6"/>
  <c r="K302" i="6" s="1"/>
  <c r="F303" i="6"/>
  <c r="K303" i="6" s="1"/>
  <c r="F304" i="6"/>
  <c r="K304" i="6" s="1"/>
  <c r="F305" i="6"/>
  <c r="K305" i="6" s="1"/>
  <c r="F306" i="6"/>
  <c r="K306" i="6" s="1"/>
  <c r="F307" i="6"/>
  <c r="K307" i="6" s="1"/>
  <c r="F308" i="6"/>
  <c r="K308" i="6" s="1"/>
  <c r="F309" i="6"/>
  <c r="K309" i="6" s="1"/>
  <c r="F310" i="6"/>
  <c r="K310" i="6" s="1"/>
  <c r="F311" i="6"/>
  <c r="K311" i="6" s="1"/>
  <c r="F312" i="6"/>
  <c r="K312" i="6" s="1"/>
  <c r="F313" i="6"/>
  <c r="K313" i="6" s="1"/>
  <c r="F315" i="6"/>
  <c r="K315" i="6" s="1"/>
  <c r="F319" i="6"/>
  <c r="K319" i="6" s="1"/>
  <c r="F320" i="6"/>
  <c r="K320" i="6" s="1"/>
  <c r="F322" i="6"/>
  <c r="K322" i="6" s="1"/>
  <c r="F324" i="6"/>
  <c r="K324" i="6" s="1"/>
  <c r="F326" i="6"/>
  <c r="K326" i="6" s="1"/>
  <c r="F327" i="6"/>
  <c r="K327" i="6" s="1"/>
  <c r="F329" i="6"/>
  <c r="K329" i="6" s="1"/>
  <c r="F330" i="6"/>
  <c r="F331" i="6"/>
  <c r="K331" i="6" s="1"/>
  <c r="F332" i="6"/>
  <c r="K332" i="6" s="1"/>
  <c r="F334" i="6"/>
  <c r="K334" i="6" s="1"/>
  <c r="F338" i="6"/>
  <c r="K338" i="6" s="1"/>
  <c r="F339" i="6"/>
  <c r="K339" i="6" s="1"/>
  <c r="F346" i="6"/>
  <c r="K346" i="6" s="1"/>
  <c r="F352" i="6"/>
  <c r="K352" i="6" s="1"/>
  <c r="F353" i="6"/>
  <c r="F354" i="6"/>
  <c r="F355" i="6"/>
  <c r="F357" i="6"/>
  <c r="F399" i="6"/>
  <c r="F401" i="6"/>
  <c r="F402" i="6"/>
  <c r="K402" i="6" s="1"/>
  <c r="F403" i="6"/>
  <c r="F405" i="6"/>
  <c r="F406" i="6"/>
  <c r="F407" i="6"/>
  <c r="F408" i="6"/>
  <c r="F410" i="6"/>
  <c r="K410" i="6" s="1"/>
  <c r="F411" i="6"/>
  <c r="F415" i="6"/>
  <c r="F418" i="6"/>
  <c r="F424" i="6"/>
  <c r="F425" i="6"/>
  <c r="F426" i="6"/>
  <c r="K426" i="6" s="1"/>
  <c r="F427" i="6"/>
  <c r="F431" i="6"/>
  <c r="F434" i="6"/>
  <c r="K434" i="6" s="1"/>
  <c r="F438" i="6"/>
  <c r="F440" i="6"/>
  <c r="F443" i="6"/>
  <c r="K443" i="6" s="1"/>
  <c r="F445" i="6"/>
  <c r="K445" i="6" s="1"/>
  <c r="F448" i="6"/>
  <c r="K448" i="6" s="1"/>
  <c r="F449" i="6"/>
  <c r="K449" i="6" s="1"/>
  <c r="F450" i="6"/>
  <c r="K450" i="6" s="1"/>
  <c r="F453" i="6"/>
  <c r="K453" i="6" s="1"/>
  <c r="F454" i="6"/>
  <c r="F455" i="6"/>
  <c r="K455" i="6" s="1"/>
  <c r="F456" i="6"/>
  <c r="K456" i="6" s="1"/>
  <c r="F522" i="6"/>
  <c r="F527" i="6"/>
  <c r="K527" i="6" s="1"/>
  <c r="F528" i="6"/>
  <c r="K528" i="6" s="1"/>
  <c r="F529" i="6"/>
  <c r="F530" i="6"/>
  <c r="K530" i="6" s="1"/>
  <c r="F534" i="6"/>
  <c r="F536" i="6"/>
  <c r="F538" i="6"/>
  <c r="F542" i="6"/>
  <c r="F545" i="6"/>
  <c r="K545" i="6" s="1"/>
  <c r="F546" i="6"/>
  <c r="K546" i="6" s="1"/>
  <c r="F547" i="6"/>
  <c r="K547" i="6" s="1"/>
  <c r="F548" i="6"/>
  <c r="K548" i="6" s="1"/>
  <c r="F549" i="6"/>
  <c r="K549" i="6" s="1"/>
  <c r="F550" i="6"/>
  <c r="K550" i="6" s="1"/>
  <c r="F551" i="6"/>
  <c r="K551" i="6" s="1"/>
  <c r="F552" i="6"/>
  <c r="K552" i="6" s="1"/>
  <c r="F553" i="6"/>
  <c r="K553" i="6" s="1"/>
  <c r="F555" i="6"/>
  <c r="K555" i="6" s="1"/>
  <c r="F556" i="6"/>
  <c r="K556" i="6" s="1"/>
  <c r="F557" i="6"/>
  <c r="K557" i="6" s="1"/>
  <c r="F558" i="6"/>
  <c r="K558" i="6" s="1"/>
  <c r="F559" i="6"/>
  <c r="K559" i="6" s="1"/>
  <c r="F560" i="6"/>
  <c r="K560" i="6" s="1"/>
  <c r="F570" i="6"/>
  <c r="K570" i="6" s="1"/>
  <c r="F576" i="6"/>
  <c r="F577" i="6"/>
  <c r="F580" i="6"/>
  <c r="K580" i="6" s="1"/>
  <c r="F582" i="6"/>
  <c r="F587" i="6"/>
  <c r="K587" i="6" s="1"/>
  <c r="F588" i="6"/>
  <c r="K588" i="6" s="1"/>
  <c r="F589" i="6"/>
  <c r="K589" i="6" s="1"/>
  <c r="F590" i="6"/>
  <c r="K590" i="6" s="1"/>
  <c r="F602" i="6"/>
  <c r="F603" i="6"/>
  <c r="K603" i="6" s="1"/>
  <c r="F604" i="6"/>
  <c r="F605" i="6"/>
  <c r="F606" i="6"/>
  <c r="F613" i="6"/>
  <c r="F615" i="6"/>
  <c r="K615" i="6" s="1"/>
  <c r="F616" i="6"/>
  <c r="K616" i="6" s="1"/>
  <c r="F617" i="6"/>
  <c r="K617" i="6" s="1"/>
  <c r="F618" i="6"/>
  <c r="K618" i="6" s="1"/>
  <c r="F619" i="6"/>
  <c r="K619" i="6" s="1"/>
  <c r="F620" i="6"/>
  <c r="K620" i="6" s="1"/>
  <c r="F621" i="6"/>
  <c r="K621" i="6" s="1"/>
  <c r="F624" i="6"/>
  <c r="K624" i="6" s="1"/>
  <c r="F625" i="6"/>
  <c r="F628" i="6"/>
  <c r="F634" i="6"/>
  <c r="F641" i="6"/>
  <c r="F648" i="6"/>
  <c r="K648" i="6" s="1"/>
  <c r="F651" i="6"/>
  <c r="K651" i="6" s="1"/>
  <c r="F653" i="6"/>
  <c r="K653" i="6" s="1"/>
  <c r="F654" i="6"/>
  <c r="K654" i="6" s="1"/>
  <c r="F655" i="6"/>
  <c r="K655" i="6" s="1"/>
  <c r="F657" i="6"/>
  <c r="K657" i="6" s="1"/>
  <c r="F661" i="6"/>
  <c r="K661" i="6" s="1"/>
  <c r="F670" i="6"/>
  <c r="K670" i="6" s="1"/>
  <c r="F671" i="6"/>
  <c r="K671" i="6" s="1"/>
  <c r="F678" i="6"/>
  <c r="F679" i="6"/>
  <c r="F685" i="6"/>
  <c r="F686" i="6"/>
  <c r="K686" i="6" s="1"/>
  <c r="F687" i="6"/>
  <c r="F688" i="6"/>
  <c r="F691" i="6"/>
  <c r="K691" i="6" s="1"/>
  <c r="F705" i="6"/>
  <c r="K705" i="6" s="1"/>
  <c r="F714" i="6"/>
  <c r="K714" i="6" s="1"/>
  <c r="F715" i="6"/>
  <c r="K715" i="6" s="1"/>
  <c r="F721" i="6"/>
  <c r="K721" i="6" s="1"/>
  <c r="F722" i="6"/>
  <c r="K722" i="6" s="1"/>
  <c r="F740" i="6"/>
  <c r="K740" i="6" s="1"/>
  <c r="F741" i="6"/>
  <c r="K741" i="6" s="1"/>
  <c r="F751" i="6"/>
  <c r="K751" i="6" s="1"/>
  <c r="F754" i="6"/>
  <c r="K754" i="6" s="1"/>
  <c r="F756" i="6"/>
  <c r="K756" i="6" s="1"/>
  <c r="F758" i="6"/>
  <c r="K758" i="6" s="1"/>
  <c r="F763" i="6"/>
  <c r="K763" i="6" s="1"/>
  <c r="F764" i="6"/>
  <c r="K764" i="6" s="1"/>
  <c r="F767" i="6"/>
  <c r="K767" i="6" s="1"/>
  <c r="F768" i="6"/>
  <c r="K768" i="6" s="1"/>
  <c r="F769" i="6"/>
  <c r="K769" i="6" s="1"/>
  <c r="F770" i="6"/>
  <c r="F772" i="6"/>
  <c r="F774" i="6"/>
  <c r="F775" i="6"/>
  <c r="F776" i="6"/>
  <c r="F778" i="6"/>
  <c r="F779" i="6"/>
  <c r="F780" i="6"/>
  <c r="F783" i="6"/>
  <c r="F784" i="6"/>
  <c r="F790" i="6"/>
  <c r="F791" i="6"/>
  <c r="F792" i="6"/>
  <c r="F793" i="6"/>
  <c r="F797" i="6"/>
  <c r="F801" i="6"/>
  <c r="F803" i="6"/>
  <c r="F804" i="6"/>
  <c r="F807" i="6"/>
  <c r="F810" i="6"/>
  <c r="F812" i="6"/>
  <c r="F816" i="6"/>
  <c r="F821" i="6"/>
  <c r="K821" i="6" s="1"/>
  <c r="F822" i="6"/>
  <c r="F827" i="6"/>
  <c r="F832" i="6"/>
  <c r="F840" i="6"/>
  <c r="F841" i="6"/>
  <c r="K841" i="6" s="1"/>
  <c r="F849" i="6"/>
  <c r="F856" i="6"/>
  <c r="F873" i="6"/>
  <c r="F878" i="6"/>
  <c r="F880" i="6"/>
  <c r="F888" i="6"/>
  <c r="F901" i="6"/>
  <c r="F907" i="6"/>
  <c r="K907" i="6" s="1"/>
  <c r="F911" i="6"/>
  <c r="F918" i="6"/>
  <c r="F935" i="6"/>
  <c r="K935" i="6" s="1"/>
  <c r="F937" i="6"/>
  <c r="F939" i="6"/>
  <c r="F950" i="6"/>
  <c r="F951" i="6"/>
  <c r="K951" i="6" s="1"/>
  <c r="F960" i="6"/>
  <c r="F964" i="6"/>
  <c r="K964" i="6" s="1"/>
  <c r="F967" i="6"/>
  <c r="F972" i="6"/>
  <c r="K972" i="6" s="1"/>
  <c r="F973" i="6"/>
  <c r="K973" i="6" s="1"/>
  <c r="F974" i="6"/>
  <c r="K974" i="6" s="1"/>
  <c r="F975" i="6"/>
  <c r="K975" i="6" s="1"/>
  <c r="F976" i="6"/>
  <c r="K976" i="6" s="1"/>
  <c r="F977" i="6"/>
  <c r="K977" i="6" s="1"/>
  <c r="F978" i="6"/>
  <c r="K978" i="6" s="1"/>
  <c r="F979" i="6"/>
  <c r="K979" i="6" s="1"/>
  <c r="F980" i="6"/>
  <c r="K980" i="6" s="1"/>
  <c r="F981" i="6"/>
  <c r="K981" i="6" s="1"/>
  <c r="F982" i="6"/>
  <c r="K982" i="6" s="1"/>
  <c r="F983" i="6"/>
  <c r="K983" i="6" s="1"/>
  <c r="F984" i="6"/>
  <c r="K984" i="6" s="1"/>
  <c r="F985" i="6"/>
  <c r="F986" i="6"/>
  <c r="K986" i="6" s="1"/>
  <c r="F987" i="6"/>
  <c r="K987" i="6" s="1"/>
  <c r="F988" i="6"/>
  <c r="K988" i="6" s="1"/>
  <c r="F989" i="6"/>
  <c r="K989" i="6" s="1"/>
  <c r="F990" i="6"/>
  <c r="K990" i="6" s="1"/>
  <c r="F991" i="6"/>
  <c r="K991" i="6" s="1"/>
  <c r="F992" i="6"/>
  <c r="K992" i="6" s="1"/>
  <c r="F993" i="6"/>
  <c r="K993" i="6" s="1"/>
  <c r="F994" i="6"/>
  <c r="K994" i="6" s="1"/>
  <c r="F995" i="6"/>
  <c r="K995" i="6" s="1"/>
  <c r="F996" i="6"/>
  <c r="K996" i="6" s="1"/>
  <c r="F997" i="6"/>
  <c r="K997" i="6" s="1"/>
  <c r="F998" i="6"/>
  <c r="K998" i="6" s="1"/>
  <c r="F999" i="6"/>
  <c r="K999" i="6" s="1"/>
  <c r="F1000" i="6"/>
  <c r="K1000" i="6" s="1"/>
  <c r="F1001" i="6"/>
  <c r="F1002" i="6"/>
  <c r="K1002" i="6" s="1"/>
  <c r="F1003" i="6"/>
  <c r="K1003" i="6" s="1"/>
  <c r="F1004" i="6"/>
  <c r="K1004" i="6" s="1"/>
  <c r="F1005" i="6"/>
  <c r="K1005" i="6" s="1"/>
  <c r="F1006" i="6"/>
  <c r="K1006" i="6" s="1"/>
  <c r="F1007" i="6"/>
  <c r="K1007" i="6" s="1"/>
  <c r="F1008" i="6"/>
  <c r="K1008" i="6" s="1"/>
  <c r="F1009" i="6"/>
  <c r="K1009" i="6" s="1"/>
  <c r="F1011" i="6"/>
  <c r="K1011" i="6" s="1"/>
  <c r="F1012" i="6"/>
  <c r="K1012" i="6" s="1"/>
  <c r="F1015" i="6"/>
  <c r="K1015" i="6" s="1"/>
  <c r="F1016" i="6"/>
  <c r="K1016" i="6" s="1"/>
  <c r="F1017" i="6"/>
  <c r="K1017" i="6" s="1"/>
  <c r="F1018" i="6"/>
  <c r="K1018" i="6" s="1"/>
  <c r="F1019" i="6"/>
  <c r="K1019" i="6" s="1"/>
  <c r="F1020" i="6"/>
  <c r="K1020" i="6" s="1"/>
  <c r="F1023" i="6"/>
  <c r="K1023" i="6" s="1"/>
  <c r="F1025" i="6"/>
  <c r="K1025" i="6" s="1"/>
  <c r="F1026" i="6"/>
  <c r="K1026" i="6" s="1"/>
  <c r="F1027" i="6"/>
  <c r="K1027" i="6" s="1"/>
  <c r="F1028" i="6"/>
  <c r="K1028" i="6" s="1"/>
  <c r="F1030" i="6"/>
  <c r="K1030" i="6" s="1"/>
  <c r="F1031" i="6"/>
  <c r="K1031" i="6" s="1"/>
  <c r="F1033" i="6"/>
  <c r="K1033" i="6" s="1"/>
  <c r="F1034" i="6"/>
  <c r="K1034" i="6" s="1"/>
  <c r="F1035" i="6"/>
  <c r="K1035" i="6" s="1"/>
  <c r="F1037" i="6"/>
  <c r="K1037" i="6" s="1"/>
  <c r="F1038" i="6"/>
  <c r="K1038" i="6" s="1"/>
  <c r="F1039" i="6"/>
  <c r="K1039" i="6" s="1"/>
  <c r="F1040" i="6"/>
  <c r="K1040" i="6" s="1"/>
  <c r="F1042" i="6"/>
  <c r="K1042" i="6" s="1"/>
  <c r="F1043" i="6"/>
  <c r="K1043" i="6" s="1"/>
  <c r="F1044" i="6"/>
  <c r="K1044" i="6" s="1"/>
  <c r="F1046" i="6"/>
  <c r="K1046" i="6" s="1"/>
  <c r="F1047" i="6"/>
  <c r="K1047" i="6" s="1"/>
  <c r="F1048" i="6"/>
  <c r="K1048" i="6" s="1"/>
  <c r="F1050" i="6"/>
  <c r="K1050" i="6" s="1"/>
  <c r="F1052" i="6"/>
  <c r="K1052" i="6" s="1"/>
  <c r="F1053" i="6"/>
  <c r="F1054" i="6"/>
  <c r="K1054" i="6" s="1"/>
  <c r="F1056" i="6"/>
  <c r="K1056" i="6" s="1"/>
  <c r="F1058" i="6"/>
  <c r="K1058" i="6" s="1"/>
  <c r="F1060" i="6"/>
  <c r="K1060" i="6" s="1"/>
  <c r="F1062" i="6"/>
  <c r="K1062" i="6" s="1"/>
  <c r="F1064" i="6"/>
  <c r="K1064" i="6" s="1"/>
  <c r="F1066" i="6"/>
  <c r="K1066" i="6" s="1"/>
  <c r="F1067" i="6"/>
  <c r="K1067" i="6" s="1"/>
  <c r="F1069" i="6"/>
  <c r="F1070" i="6"/>
  <c r="K1070" i="6" s="1"/>
  <c r="F1073" i="6"/>
  <c r="K1073" i="6" s="1"/>
  <c r="F1074" i="6"/>
  <c r="K1074" i="6" s="1"/>
  <c r="F1075" i="6"/>
  <c r="K1075" i="6" s="1"/>
  <c r="F1076" i="6"/>
  <c r="K1076" i="6" s="1"/>
  <c r="F1080" i="6"/>
  <c r="K1080" i="6" s="1"/>
  <c r="F1081" i="6"/>
  <c r="K1081" i="6" s="1"/>
  <c r="F1082" i="6"/>
  <c r="K1082" i="6" s="1"/>
  <c r="F1083" i="6"/>
  <c r="K1083" i="6" s="1"/>
  <c r="F1084" i="6"/>
  <c r="K1084" i="6" s="1"/>
  <c r="F1085" i="6"/>
  <c r="F3" i="6"/>
  <c r="C1087" i="6"/>
  <c r="D1087" i="6"/>
  <c r="E1087" i="6"/>
  <c r="H1087" i="6"/>
  <c r="L968" i="6" l="1"/>
  <c r="K968" i="6"/>
  <c r="L958" i="6"/>
  <c r="L950" i="6"/>
  <c r="K950" i="6"/>
  <c r="L943" i="6"/>
  <c r="K943" i="6"/>
  <c r="L934" i="6"/>
  <c r="K934" i="6"/>
  <c r="L928" i="6"/>
  <c r="K928" i="6"/>
  <c r="K921" i="6"/>
  <c r="L921" i="6"/>
  <c r="L917" i="6"/>
  <c r="K917" i="6"/>
  <c r="L911" i="6"/>
  <c r="K911" i="6"/>
  <c r="L902" i="6"/>
  <c r="K902" i="6"/>
  <c r="L898" i="6"/>
  <c r="K898" i="6"/>
  <c r="L893" i="6"/>
  <c r="K893" i="6"/>
  <c r="L887" i="6"/>
  <c r="K887" i="6"/>
  <c r="L881" i="6"/>
  <c r="K881" i="6"/>
  <c r="L874" i="6"/>
  <c r="K874" i="6"/>
  <c r="L869" i="6"/>
  <c r="K869" i="6"/>
  <c r="L864" i="6"/>
  <c r="K864" i="6"/>
  <c r="L859" i="6"/>
  <c r="K859" i="6"/>
  <c r="L855" i="6"/>
  <c r="L847" i="6"/>
  <c r="L840" i="6"/>
  <c r="K840" i="6"/>
  <c r="L834" i="6"/>
  <c r="L830" i="6"/>
  <c r="K830" i="6"/>
  <c r="L824" i="6"/>
  <c r="K824" i="6"/>
  <c r="L818" i="6"/>
  <c r="K818" i="6"/>
  <c r="L813" i="6"/>
  <c r="K813" i="6"/>
  <c r="L808" i="6"/>
  <c r="K808" i="6"/>
  <c r="L803" i="6"/>
  <c r="L799" i="6"/>
  <c r="K799" i="6"/>
  <c r="L793" i="6"/>
  <c r="L789" i="6"/>
  <c r="K789" i="6"/>
  <c r="L785" i="6"/>
  <c r="K785" i="6"/>
  <c r="L777" i="6"/>
  <c r="K418" i="6"/>
  <c r="K879" i="6"/>
  <c r="K851" i="6"/>
  <c r="K803" i="6"/>
  <c r="K793" i="6"/>
  <c r="K771" i="6"/>
  <c r="K390" i="6"/>
  <c r="L1060" i="6"/>
  <c r="L974" i="6"/>
  <c r="L889" i="6"/>
  <c r="L766" i="6"/>
  <c r="L596" i="6"/>
  <c r="L264" i="6"/>
  <c r="K967" i="6"/>
  <c r="L905" i="6"/>
  <c r="L873" i="6"/>
  <c r="K827" i="6"/>
  <c r="K822" i="6"/>
  <c r="K807" i="6"/>
  <c r="K438" i="6"/>
  <c r="K354" i="6"/>
  <c r="K8" i="6"/>
  <c r="K954" i="6"/>
  <c r="K914" i="6"/>
  <c r="K885" i="6"/>
  <c r="K855" i="6"/>
  <c r="K787" i="6"/>
  <c r="K719" i="6"/>
  <c r="K667" i="6"/>
  <c r="K634" i="6"/>
  <c r="K598" i="6"/>
  <c r="K370" i="6"/>
  <c r="L1038" i="6"/>
  <c r="L953" i="6"/>
  <c r="L868" i="6"/>
  <c r="L724" i="6"/>
  <c r="L1086" i="6"/>
  <c r="K1086" i="6"/>
  <c r="L961" i="6"/>
  <c r="K961" i="6"/>
  <c r="L947" i="6"/>
  <c r="K947" i="6"/>
  <c r="L939" i="6"/>
  <c r="K939" i="6"/>
  <c r="L930" i="6"/>
  <c r="K930" i="6"/>
  <c r="L925" i="6"/>
  <c r="K925" i="6"/>
  <c r="L904" i="6"/>
  <c r="K904" i="6"/>
  <c r="K900" i="6"/>
  <c r="L900" i="6"/>
  <c r="L895" i="6"/>
  <c r="K895" i="6"/>
  <c r="L872" i="6"/>
  <c r="K872" i="6"/>
  <c r="L862" i="6"/>
  <c r="K862" i="6"/>
  <c r="L857" i="6"/>
  <c r="K857" i="6"/>
  <c r="L837" i="6"/>
  <c r="K837" i="6"/>
  <c r="L832" i="6"/>
  <c r="K832" i="6"/>
  <c r="L826" i="6"/>
  <c r="K826" i="6"/>
  <c r="K820" i="6"/>
  <c r="L820" i="6"/>
  <c r="L816" i="6"/>
  <c r="K816" i="6"/>
  <c r="L811" i="6"/>
  <c r="K811" i="6"/>
  <c r="L805" i="6"/>
  <c r="K805" i="6"/>
  <c r="L801" i="6"/>
  <c r="K801" i="6"/>
  <c r="L797" i="6"/>
  <c r="K797" i="6"/>
  <c r="L791" i="6"/>
  <c r="K791" i="6"/>
  <c r="L783" i="6"/>
  <c r="K783" i="6"/>
  <c r="L779" i="6"/>
  <c r="K779" i="6"/>
  <c r="L775" i="6"/>
  <c r="K775" i="6"/>
  <c r="L750" i="6"/>
  <c r="K750" i="6"/>
  <c r="L737" i="6"/>
  <c r="K737" i="6"/>
  <c r="L731" i="6"/>
  <c r="K731" i="6"/>
  <c r="K713" i="6"/>
  <c r="L713" i="6"/>
  <c r="L704" i="6"/>
  <c r="K704" i="6"/>
  <c r="L696" i="6"/>
  <c r="K696" i="6"/>
  <c r="L685" i="6"/>
  <c r="K685" i="6"/>
  <c r="L676" i="6"/>
  <c r="K676" i="6"/>
  <c r="L646" i="6"/>
  <c r="K646" i="6"/>
  <c r="L641" i="6"/>
  <c r="K641" i="6"/>
  <c r="L628" i="6"/>
  <c r="K628" i="6"/>
  <c r="L610" i="6"/>
  <c r="K610" i="6"/>
  <c r="L606" i="6"/>
  <c r="K606" i="6"/>
  <c r="L602" i="6"/>
  <c r="K602" i="6"/>
  <c r="L594" i="6"/>
  <c r="K594" i="6"/>
  <c r="L584" i="6"/>
  <c r="K584" i="6"/>
  <c r="L578" i="6"/>
  <c r="K578" i="6"/>
  <c r="K564" i="6"/>
  <c r="L564" i="6"/>
  <c r="L540" i="6"/>
  <c r="K540" i="6"/>
  <c r="L534" i="6"/>
  <c r="K534" i="6"/>
  <c r="L529" i="6"/>
  <c r="K529" i="6"/>
  <c r="L523" i="6"/>
  <c r="K523" i="6"/>
  <c r="L517" i="6"/>
  <c r="K517" i="6"/>
  <c r="K460" i="6"/>
  <c r="L460" i="6"/>
  <c r="L436" i="6"/>
  <c r="K436" i="6"/>
  <c r="L429" i="6"/>
  <c r="K429" i="6"/>
  <c r="L424" i="6"/>
  <c r="K424" i="6"/>
  <c r="L415" i="6"/>
  <c r="K415" i="6"/>
  <c r="L411" i="6"/>
  <c r="K411" i="6"/>
  <c r="L407" i="6"/>
  <c r="K407" i="6"/>
  <c r="L403" i="6"/>
  <c r="K403" i="6"/>
  <c r="L381" i="6"/>
  <c r="K381" i="6"/>
  <c r="L377" i="6"/>
  <c r="K377" i="6"/>
  <c r="L366" i="6"/>
  <c r="K366" i="6"/>
  <c r="L362" i="6"/>
  <c r="K362" i="6"/>
  <c r="L357" i="6"/>
  <c r="K357" i="6"/>
  <c r="L353" i="6"/>
  <c r="K353" i="6"/>
  <c r="L298" i="6"/>
  <c r="K298" i="6"/>
  <c r="L170" i="6"/>
  <c r="L129" i="6"/>
  <c r="K129" i="6"/>
  <c r="L117" i="6"/>
  <c r="K117" i="6"/>
  <c r="L112" i="6"/>
  <c r="K112" i="6"/>
  <c r="L108" i="6"/>
  <c r="K108" i="6"/>
  <c r="L101" i="6"/>
  <c r="K101" i="6"/>
  <c r="L95" i="6"/>
  <c r="K95" i="6"/>
  <c r="L91" i="6"/>
  <c r="K91" i="6"/>
  <c r="L87" i="6"/>
  <c r="K87" i="6"/>
  <c r="L80" i="6"/>
  <c r="K80" i="6"/>
  <c r="L75" i="6"/>
  <c r="K75" i="6"/>
  <c r="L71" i="6"/>
  <c r="K71" i="6"/>
  <c r="L67" i="6"/>
  <c r="K67" i="6"/>
  <c r="L63" i="6"/>
  <c r="K63" i="6"/>
  <c r="L59" i="6"/>
  <c r="K59" i="6"/>
  <c r="L55" i="6"/>
  <c r="K55" i="6"/>
  <c r="L51" i="6"/>
  <c r="K51" i="6"/>
  <c r="L45" i="6"/>
  <c r="K45" i="6"/>
  <c r="L41" i="6"/>
  <c r="K41" i="6"/>
  <c r="L37" i="6"/>
  <c r="K37" i="6"/>
  <c r="L32" i="6"/>
  <c r="K32" i="6"/>
  <c r="L28" i="6"/>
  <c r="K28" i="6"/>
  <c r="L24" i="6"/>
  <c r="K24" i="6"/>
  <c r="L20" i="6"/>
  <c r="K20" i="6"/>
  <c r="L15" i="6"/>
  <c r="K15" i="6"/>
  <c r="L11" i="6"/>
  <c r="K11" i="6"/>
  <c r="L7" i="6"/>
  <c r="K7" i="6"/>
  <c r="L3" i="6"/>
  <c r="K3" i="6"/>
  <c r="L563" i="6"/>
  <c r="K563" i="6"/>
  <c r="L746" i="6"/>
  <c r="L955" i="6"/>
  <c r="K955" i="6"/>
  <c r="K843" i="6"/>
  <c r="K834" i="6"/>
  <c r="K614" i="6"/>
  <c r="L1017" i="6"/>
  <c r="L932" i="6"/>
  <c r="L836" i="6"/>
  <c r="L681" i="6"/>
  <c r="L412" i="6"/>
  <c r="L960" i="6"/>
  <c r="K960" i="6"/>
  <c r="L952" i="6"/>
  <c r="K952" i="6"/>
  <c r="L945" i="6"/>
  <c r="L929" i="6"/>
  <c r="L923" i="6"/>
  <c r="L918" i="6"/>
  <c r="L912" i="6"/>
  <c r="K912" i="6"/>
  <c r="L903" i="6"/>
  <c r="L899" i="6"/>
  <c r="L888" i="6"/>
  <c r="K888" i="6"/>
  <c r="L870" i="6"/>
  <c r="L865" i="6"/>
  <c r="L856" i="6"/>
  <c r="K856" i="6"/>
  <c r="L849" i="6"/>
  <c r="L842" i="6"/>
  <c r="L835" i="6"/>
  <c r="L831" i="6"/>
  <c r="L825" i="6"/>
  <c r="L819" i="6"/>
  <c r="L814" i="6"/>
  <c r="L810" i="6"/>
  <c r="K804" i="6"/>
  <c r="L800" i="6"/>
  <c r="K800" i="6"/>
  <c r="L790" i="6"/>
  <c r="L786" i="6"/>
  <c r="L782" i="6"/>
  <c r="L778" i="6"/>
  <c r="L774" i="6"/>
  <c r="L770" i="6"/>
  <c r="L744" i="6"/>
  <c r="L736" i="6"/>
  <c r="L726" i="6"/>
  <c r="L718" i="6"/>
  <c r="K718" i="6"/>
  <c r="L712" i="6"/>
  <c r="L699" i="6"/>
  <c r="L695" i="6"/>
  <c r="L684" i="6"/>
  <c r="L679" i="6"/>
  <c r="L675" i="6"/>
  <c r="L666" i="6"/>
  <c r="L645" i="6"/>
  <c r="K645" i="6"/>
  <c r="L640" i="6"/>
  <c r="L631" i="6"/>
  <c r="L627" i="6"/>
  <c r="L613" i="6"/>
  <c r="K613" i="6"/>
  <c r="L609" i="6"/>
  <c r="K609" i="6"/>
  <c r="L605" i="6"/>
  <c r="K605" i="6"/>
  <c r="L601" i="6"/>
  <c r="K601" i="6"/>
  <c r="L597" i="6"/>
  <c r="K597" i="6"/>
  <c r="L593" i="6"/>
  <c r="K593" i="6"/>
  <c r="L583" i="6"/>
  <c r="K583" i="6"/>
  <c r="L577" i="6"/>
  <c r="K577" i="6"/>
  <c r="L561" i="6"/>
  <c r="K561" i="6"/>
  <c r="L538" i="6"/>
  <c r="L533" i="6"/>
  <c r="K533" i="6"/>
  <c r="L526" i="6"/>
  <c r="L522" i="6"/>
  <c r="L514" i="6"/>
  <c r="L442" i="6"/>
  <c r="L435" i="6"/>
  <c r="K435" i="6"/>
  <c r="L427" i="6"/>
  <c r="K427" i="6"/>
  <c r="L420" i="6"/>
  <c r="K420" i="6"/>
  <c r="L414" i="6"/>
  <c r="L410" i="6"/>
  <c r="L406" i="6"/>
  <c r="L402" i="6"/>
  <c r="L389" i="6"/>
  <c r="K389" i="6"/>
  <c r="L380" i="6"/>
  <c r="K380" i="6"/>
  <c r="L376" i="6"/>
  <c r="K376" i="6"/>
  <c r="L369" i="6"/>
  <c r="K369" i="6"/>
  <c r="L365" i="6"/>
  <c r="K365" i="6"/>
  <c r="L361" i="6"/>
  <c r="K361" i="6"/>
  <c r="L356" i="6"/>
  <c r="K356" i="6"/>
  <c r="L301" i="6"/>
  <c r="K301" i="6"/>
  <c r="L297" i="6"/>
  <c r="K297" i="6"/>
  <c r="L139" i="6"/>
  <c r="K139" i="6"/>
  <c r="L127" i="6"/>
  <c r="K127" i="6"/>
  <c r="L115" i="6"/>
  <c r="K115" i="6"/>
  <c r="L111" i="6"/>
  <c r="K111" i="6"/>
  <c r="L106" i="6"/>
  <c r="L99" i="6"/>
  <c r="K99" i="6"/>
  <c r="L94" i="6"/>
  <c r="L90" i="6"/>
  <c r="K90" i="6"/>
  <c r="L85" i="6"/>
  <c r="K85" i="6"/>
  <c r="L79" i="6"/>
  <c r="K79" i="6"/>
  <c r="L74" i="6"/>
  <c r="L70" i="6"/>
  <c r="K70" i="6"/>
  <c r="L66" i="6"/>
  <c r="K66" i="6"/>
  <c r="L62" i="6"/>
  <c r="K62" i="6"/>
  <c r="L58" i="6"/>
  <c r="L54" i="6"/>
  <c r="K54" i="6"/>
  <c r="L50" i="6"/>
  <c r="K50" i="6"/>
  <c r="L44" i="6"/>
  <c r="L40" i="6"/>
  <c r="K40" i="6"/>
  <c r="L36" i="6"/>
  <c r="K36" i="6"/>
  <c r="L31" i="6"/>
  <c r="K31" i="6"/>
  <c r="L27" i="6"/>
  <c r="K27" i="6"/>
  <c r="L23" i="6"/>
  <c r="K23" i="6"/>
  <c r="L18" i="6"/>
  <c r="L14" i="6"/>
  <c r="K14" i="6"/>
  <c r="L10" i="6"/>
  <c r="K10" i="6"/>
  <c r="L6" i="6"/>
  <c r="K6" i="6"/>
  <c r="L473" i="6"/>
  <c r="K473" i="6"/>
  <c r="L565" i="6"/>
  <c r="K565" i="6"/>
  <c r="L747" i="6"/>
  <c r="K2" i="6"/>
  <c r="K923" i="6"/>
  <c r="K918" i="6"/>
  <c r="K903" i="6"/>
  <c r="K878" i="6"/>
  <c r="K865" i="6"/>
  <c r="K842" i="6"/>
  <c r="K786" i="6"/>
  <c r="K770" i="6"/>
  <c r="K744" i="6"/>
  <c r="K684" i="6"/>
  <c r="K679" i="6"/>
  <c r="K666" i="6"/>
  <c r="K526" i="6"/>
  <c r="K406" i="6"/>
  <c r="K106" i="6"/>
  <c r="L1076" i="6"/>
  <c r="L1054" i="6"/>
  <c r="L1033" i="6"/>
  <c r="L1012" i="6"/>
  <c r="L990" i="6"/>
  <c r="L948" i="6"/>
  <c r="L926" i="6"/>
  <c r="L884" i="6"/>
  <c r="L860" i="6"/>
  <c r="L828" i="6"/>
  <c r="L796" i="6"/>
  <c r="L756" i="6"/>
  <c r="L670" i="6"/>
  <c r="L585" i="6"/>
  <c r="L532" i="6"/>
  <c r="L348" i="6"/>
  <c r="L781" i="6"/>
  <c r="L773" i="6"/>
  <c r="L769" i="6"/>
  <c r="L755" i="6"/>
  <c r="L739" i="6"/>
  <c r="K739" i="6"/>
  <c r="L735" i="6"/>
  <c r="K735" i="6"/>
  <c r="L725" i="6"/>
  <c r="L717" i="6"/>
  <c r="L707" i="6"/>
  <c r="L698" i="6"/>
  <c r="L688" i="6"/>
  <c r="L683" i="6"/>
  <c r="L678" i="6"/>
  <c r="L674" i="6"/>
  <c r="L663" i="6"/>
  <c r="L643" i="6"/>
  <c r="L639" i="6"/>
  <c r="L630" i="6"/>
  <c r="L626" i="6"/>
  <c r="L612" i="6"/>
  <c r="L608" i="6"/>
  <c r="L604" i="6"/>
  <c r="L600" i="6"/>
  <c r="L592" i="6"/>
  <c r="L582" i="6"/>
  <c r="L576" i="6"/>
  <c r="L542" i="6"/>
  <c r="L536" i="6"/>
  <c r="K536" i="6"/>
  <c r="L525" i="6"/>
  <c r="K525" i="6"/>
  <c r="L520" i="6"/>
  <c r="K520" i="6"/>
  <c r="L513" i="6"/>
  <c r="K513" i="6"/>
  <c r="L440" i="6"/>
  <c r="K440" i="6"/>
  <c r="L432" i="6"/>
  <c r="K432" i="6"/>
  <c r="L426" i="6"/>
  <c r="L418" i="6"/>
  <c r="L413" i="6"/>
  <c r="K413" i="6"/>
  <c r="L409" i="6"/>
  <c r="K409" i="6"/>
  <c r="L405" i="6"/>
  <c r="K405" i="6"/>
  <c r="L401" i="6"/>
  <c r="K401" i="6"/>
  <c r="L386" i="6"/>
  <c r="L379" i="6"/>
  <c r="K379" i="6"/>
  <c r="L374" i="6"/>
  <c r="L368" i="6"/>
  <c r="K368" i="6"/>
  <c r="L364" i="6"/>
  <c r="K364" i="6"/>
  <c r="L360" i="6"/>
  <c r="K360" i="6"/>
  <c r="L355" i="6"/>
  <c r="K355" i="6"/>
  <c r="L300" i="6"/>
  <c r="K300" i="6"/>
  <c r="L172" i="6"/>
  <c r="K172" i="6"/>
  <c r="L137" i="6"/>
  <c r="K137" i="6"/>
  <c r="L122" i="6"/>
  <c r="L114" i="6"/>
  <c r="L110" i="6"/>
  <c r="L103" i="6"/>
  <c r="K103" i="6"/>
  <c r="L98" i="6"/>
  <c r="L93" i="6"/>
  <c r="K93" i="6"/>
  <c r="L89" i="6"/>
  <c r="L84" i="6"/>
  <c r="L77" i="6"/>
  <c r="K77" i="6"/>
  <c r="L73" i="6"/>
  <c r="K73" i="6"/>
  <c r="L69" i="6"/>
  <c r="L65" i="6"/>
  <c r="K65" i="6"/>
  <c r="L61" i="6"/>
  <c r="K61" i="6"/>
  <c r="L57" i="6"/>
  <c r="K57" i="6"/>
  <c r="L53" i="6"/>
  <c r="L49" i="6"/>
  <c r="K49" i="6"/>
  <c r="L43" i="6"/>
  <c r="K43" i="6"/>
  <c r="L39" i="6"/>
  <c r="K39" i="6"/>
  <c r="L35" i="6"/>
  <c r="K35" i="6"/>
  <c r="L30" i="6"/>
  <c r="K30" i="6"/>
  <c r="L26" i="6"/>
  <c r="K26" i="6"/>
  <c r="L22" i="6"/>
  <c r="L17" i="6"/>
  <c r="K17" i="6"/>
  <c r="L13" i="6"/>
  <c r="L9" i="6"/>
  <c r="K9" i="6"/>
  <c r="L5" i="6"/>
  <c r="K5" i="6"/>
  <c r="L487" i="6"/>
  <c r="K487" i="6"/>
  <c r="L568" i="6"/>
  <c r="L748" i="6"/>
  <c r="L2" i="6"/>
  <c r="K873" i="6"/>
  <c r="K849" i="6"/>
  <c r="K831" i="6"/>
  <c r="K790" i="6"/>
  <c r="K774" i="6"/>
  <c r="K755" i="6"/>
  <c r="K748" i="6"/>
  <c r="K736" i="6"/>
  <c r="K726" i="6"/>
  <c r="K688" i="6"/>
  <c r="K683" i="6"/>
  <c r="K678" i="6"/>
  <c r="K600" i="6"/>
  <c r="K582" i="6"/>
  <c r="K542" i="6"/>
  <c r="K522" i="6"/>
  <c r="K114" i="6"/>
  <c r="K98" i="6"/>
  <c r="K22" i="6"/>
  <c r="L1070" i="6"/>
  <c r="L1049" i="6"/>
  <c r="L1028" i="6"/>
  <c r="L1006" i="6"/>
  <c r="L985" i="6"/>
  <c r="L964" i="6"/>
  <c r="L942" i="6"/>
  <c r="L852" i="6"/>
  <c r="L788" i="6"/>
  <c r="L745" i="6"/>
  <c r="L702" i="6"/>
  <c r="L660" i="6"/>
  <c r="L617" i="6"/>
  <c r="L574" i="6"/>
  <c r="L510" i="6"/>
  <c r="L19" i="6"/>
  <c r="L47" i="6"/>
  <c r="L83" i="6"/>
  <c r="L107" i="6"/>
  <c r="L123" i="6"/>
  <c r="L131" i="6"/>
  <c r="L48" i="6"/>
  <c r="L96" i="6"/>
  <c r="L100" i="6"/>
  <c r="L104" i="6"/>
  <c r="L116" i="6"/>
  <c r="L120" i="6"/>
  <c r="L124" i="6"/>
  <c r="L128" i="6"/>
  <c r="L132" i="6"/>
  <c r="L136" i="6"/>
  <c r="L33" i="6"/>
  <c r="L81" i="6"/>
  <c r="L105" i="6"/>
  <c r="L121" i="6"/>
  <c r="L125" i="6"/>
  <c r="L133" i="6"/>
  <c r="L141" i="6"/>
  <c r="L145" i="6"/>
  <c r="L149" i="6"/>
  <c r="L153" i="6"/>
  <c r="L157" i="6"/>
  <c r="L161" i="6"/>
  <c r="L165" i="6"/>
  <c r="L169" i="6"/>
  <c r="L173" i="6"/>
  <c r="L177" i="6"/>
  <c r="L181" i="6"/>
  <c r="L185" i="6"/>
  <c r="L189" i="6"/>
  <c r="L193" i="6"/>
  <c r="L197" i="6"/>
  <c r="L201" i="6"/>
  <c r="L205" i="6"/>
  <c r="L209" i="6"/>
  <c r="L213" i="6"/>
  <c r="L217" i="6"/>
  <c r="L221" i="6"/>
  <c r="L225" i="6"/>
  <c r="L229" i="6"/>
  <c r="L233" i="6"/>
  <c r="L237" i="6"/>
  <c r="L241" i="6"/>
  <c r="L245" i="6"/>
  <c r="L249" i="6"/>
  <c r="L253" i="6"/>
  <c r="L257" i="6"/>
  <c r="L261" i="6"/>
  <c r="L265" i="6"/>
  <c r="L269" i="6"/>
  <c r="L273" i="6"/>
  <c r="L277" i="6"/>
  <c r="L281" i="6"/>
  <c r="L285" i="6"/>
  <c r="L289" i="6"/>
  <c r="L293" i="6"/>
  <c r="L305" i="6"/>
  <c r="L309" i="6"/>
  <c r="L313" i="6"/>
  <c r="L317" i="6"/>
  <c r="L321" i="6"/>
  <c r="L325" i="6"/>
  <c r="L329" i="6"/>
  <c r="L333" i="6"/>
  <c r="L337" i="6"/>
  <c r="L341" i="6"/>
  <c r="L86" i="6"/>
  <c r="L118" i="6"/>
  <c r="L134" i="6"/>
  <c r="L143" i="6"/>
  <c r="L148" i="6"/>
  <c r="L154" i="6"/>
  <c r="L159" i="6"/>
  <c r="L164" i="6"/>
  <c r="L175" i="6"/>
  <c r="L180" i="6"/>
  <c r="L186" i="6"/>
  <c r="L191" i="6"/>
  <c r="L196" i="6"/>
  <c r="L202" i="6"/>
  <c r="L207" i="6"/>
  <c r="L212" i="6"/>
  <c r="L218" i="6"/>
  <c r="L223" i="6"/>
  <c r="L228" i="6"/>
  <c r="L234" i="6"/>
  <c r="L239" i="6"/>
  <c r="L244" i="6"/>
  <c r="L250" i="6"/>
  <c r="L255" i="6"/>
  <c r="L260" i="6"/>
  <c r="L266" i="6"/>
  <c r="L271" i="6"/>
  <c r="L276" i="6"/>
  <c r="L282" i="6"/>
  <c r="L287" i="6"/>
  <c r="L292" i="6"/>
  <c r="L303" i="6"/>
  <c r="L308" i="6"/>
  <c r="L314" i="6"/>
  <c r="L319" i="6"/>
  <c r="L324" i="6"/>
  <c r="L330" i="6"/>
  <c r="L335" i="6"/>
  <c r="L340" i="6"/>
  <c r="L345" i="6"/>
  <c r="L349" i="6"/>
  <c r="L393" i="6"/>
  <c r="L397" i="6"/>
  <c r="L421" i="6"/>
  <c r="L433" i="6"/>
  <c r="L437" i="6"/>
  <c r="L441" i="6"/>
  <c r="L445" i="6"/>
  <c r="L449" i="6"/>
  <c r="L453" i="6"/>
  <c r="L457" i="6"/>
  <c r="L461" i="6"/>
  <c r="L465" i="6"/>
  <c r="L469" i="6"/>
  <c r="L477" i="6"/>
  <c r="L481" i="6"/>
  <c r="L485" i="6"/>
  <c r="L489" i="6"/>
  <c r="L493" i="6"/>
  <c r="L138" i="6"/>
  <c r="L144" i="6"/>
  <c r="L150" i="6"/>
  <c r="L155" i="6"/>
  <c r="L160" i="6"/>
  <c r="L166" i="6"/>
  <c r="L176" i="6"/>
  <c r="L182" i="6"/>
  <c r="L187" i="6"/>
  <c r="L192" i="6"/>
  <c r="L198" i="6"/>
  <c r="L203" i="6"/>
  <c r="L208" i="6"/>
  <c r="L214" i="6"/>
  <c r="L219" i="6"/>
  <c r="L224" i="6"/>
  <c r="L230" i="6"/>
  <c r="L235" i="6"/>
  <c r="L240" i="6"/>
  <c r="L246" i="6"/>
  <c r="L251" i="6"/>
  <c r="L256" i="6"/>
  <c r="L262" i="6"/>
  <c r="L267" i="6"/>
  <c r="L272" i="6"/>
  <c r="L278" i="6"/>
  <c r="L283" i="6"/>
  <c r="L288" i="6"/>
  <c r="L294" i="6"/>
  <c r="L304" i="6"/>
  <c r="L310" i="6"/>
  <c r="L315" i="6"/>
  <c r="L320" i="6"/>
  <c r="L326" i="6"/>
  <c r="L331" i="6"/>
  <c r="L336" i="6"/>
  <c r="L342" i="6"/>
  <c r="L346" i="6"/>
  <c r="L350" i="6"/>
  <c r="L382" i="6"/>
  <c r="L394" i="6"/>
  <c r="L398" i="6"/>
  <c r="L422" i="6"/>
  <c r="L430" i="6"/>
  <c r="L434" i="6"/>
  <c r="L446" i="6"/>
  <c r="L450" i="6"/>
  <c r="L454" i="6"/>
  <c r="L458" i="6"/>
  <c r="L462" i="6"/>
  <c r="L466" i="6"/>
  <c r="L470" i="6"/>
  <c r="L474" i="6"/>
  <c r="L478" i="6"/>
  <c r="L482" i="6"/>
  <c r="L486" i="6"/>
  <c r="L490" i="6"/>
  <c r="L494" i="6"/>
  <c r="L78" i="6"/>
  <c r="L126" i="6"/>
  <c r="L140" i="6"/>
  <c r="L146" i="6"/>
  <c r="L151" i="6"/>
  <c r="L156" i="6"/>
  <c r="L162" i="6"/>
  <c r="L167" i="6"/>
  <c r="L178" i="6"/>
  <c r="L183" i="6"/>
  <c r="L188" i="6"/>
  <c r="L194" i="6"/>
  <c r="L199" i="6"/>
  <c r="L204" i="6"/>
  <c r="L210" i="6"/>
  <c r="L215" i="6"/>
  <c r="L220" i="6"/>
  <c r="L226" i="6"/>
  <c r="L231" i="6"/>
  <c r="L236" i="6"/>
  <c r="L242" i="6"/>
  <c r="L247" i="6"/>
  <c r="L252" i="6"/>
  <c r="L258" i="6"/>
  <c r="L263" i="6"/>
  <c r="L268" i="6"/>
  <c r="L274" i="6"/>
  <c r="L279" i="6"/>
  <c r="L284" i="6"/>
  <c r="L290" i="6"/>
  <c r="L295" i="6"/>
  <c r="L306" i="6"/>
  <c r="L311" i="6"/>
  <c r="L316" i="6"/>
  <c r="L322" i="6"/>
  <c r="L327" i="6"/>
  <c r="L332" i="6"/>
  <c r="L338" i="6"/>
  <c r="L343" i="6"/>
  <c r="L347" i="6"/>
  <c r="L351" i="6"/>
  <c r="L359" i="6"/>
  <c r="L371" i="6"/>
  <c r="L375" i="6"/>
  <c r="L383" i="6"/>
  <c r="L387" i="6"/>
  <c r="L391" i="6"/>
  <c r="L395" i="6"/>
  <c r="L419" i="6"/>
  <c r="L423" i="6"/>
  <c r="L439" i="6"/>
  <c r="L443" i="6"/>
  <c r="L447" i="6"/>
  <c r="L451" i="6"/>
  <c r="L455" i="6"/>
  <c r="L459" i="6"/>
  <c r="L467" i="6"/>
  <c r="L471" i="6"/>
  <c r="L475" i="6"/>
  <c r="L479" i="6"/>
  <c r="L483" i="6"/>
  <c r="L491" i="6"/>
  <c r="L495" i="6"/>
  <c r="L499" i="6"/>
  <c r="L503" i="6"/>
  <c r="L507" i="6"/>
  <c r="L511" i="6"/>
  <c r="L515" i="6"/>
  <c r="L519" i="6"/>
  <c r="L527" i="6"/>
  <c r="L531" i="6"/>
  <c r="L539" i="6"/>
  <c r="L543" i="6"/>
  <c r="L547" i="6"/>
  <c r="L551" i="6"/>
  <c r="L555" i="6"/>
  <c r="L559" i="6"/>
  <c r="L567" i="6"/>
  <c r="L571" i="6"/>
  <c r="L575" i="6"/>
  <c r="L579" i="6"/>
  <c r="L587" i="6"/>
  <c r="L591" i="6"/>
  <c r="L615" i="6"/>
  <c r="L619" i="6"/>
  <c r="L623" i="6"/>
  <c r="L635" i="6"/>
  <c r="L647" i="6"/>
  <c r="L651" i="6"/>
  <c r="L655" i="6"/>
  <c r="L659" i="6"/>
  <c r="L671" i="6"/>
  <c r="L691" i="6"/>
  <c r="L703" i="6"/>
  <c r="L711" i="6"/>
  <c r="L715" i="6"/>
  <c r="L723" i="6"/>
  <c r="L727" i="6"/>
  <c r="L743" i="6"/>
  <c r="L751" i="6"/>
  <c r="L759" i="6"/>
  <c r="L763" i="6"/>
  <c r="L142" i="6"/>
  <c r="L163" i="6"/>
  <c r="L184" i="6"/>
  <c r="L206" i="6"/>
  <c r="L227" i="6"/>
  <c r="L248" i="6"/>
  <c r="L270" i="6"/>
  <c r="L291" i="6"/>
  <c r="L312" i="6"/>
  <c r="L334" i="6"/>
  <c r="L352" i="6"/>
  <c r="L384" i="6"/>
  <c r="L400" i="6"/>
  <c r="L416" i="6"/>
  <c r="L448" i="6"/>
  <c r="L464" i="6"/>
  <c r="L480" i="6"/>
  <c r="L496" i="6"/>
  <c r="L501" i="6"/>
  <c r="L506" i="6"/>
  <c r="L512" i="6"/>
  <c r="L528" i="6"/>
  <c r="L544" i="6"/>
  <c r="L549" i="6"/>
  <c r="L554" i="6"/>
  <c r="L560" i="6"/>
  <c r="L570" i="6"/>
  <c r="L581" i="6"/>
  <c r="L586" i="6"/>
  <c r="L618" i="6"/>
  <c r="L624" i="6"/>
  <c r="L650" i="6"/>
  <c r="L656" i="6"/>
  <c r="L661" i="6"/>
  <c r="L682" i="6"/>
  <c r="L693" i="6"/>
  <c r="L709" i="6"/>
  <c r="L714" i="6"/>
  <c r="L720" i="6"/>
  <c r="L730" i="6"/>
  <c r="L741" i="6"/>
  <c r="L757" i="6"/>
  <c r="L762" i="6"/>
  <c r="L809" i="6"/>
  <c r="L821" i="6"/>
  <c r="L829" i="6"/>
  <c r="L841" i="6"/>
  <c r="L853" i="6"/>
  <c r="L861" i="6"/>
  <c r="L147" i="6"/>
  <c r="L168" i="6"/>
  <c r="L190" i="6"/>
  <c r="L211" i="6"/>
  <c r="L232" i="6"/>
  <c r="L254" i="6"/>
  <c r="L275" i="6"/>
  <c r="L296" i="6"/>
  <c r="L318" i="6"/>
  <c r="L339" i="6"/>
  <c r="L372" i="6"/>
  <c r="L388" i="6"/>
  <c r="L452" i="6"/>
  <c r="L468" i="6"/>
  <c r="L484" i="6"/>
  <c r="L497" i="6"/>
  <c r="L502" i="6"/>
  <c r="L508" i="6"/>
  <c r="L545" i="6"/>
  <c r="L550" i="6"/>
  <c r="L152" i="6"/>
  <c r="L174" i="6"/>
  <c r="L195" i="6"/>
  <c r="L216" i="6"/>
  <c r="L238" i="6"/>
  <c r="L259" i="6"/>
  <c r="L280" i="6"/>
  <c r="L302" i="6"/>
  <c r="L323" i="6"/>
  <c r="L344" i="6"/>
  <c r="L392" i="6"/>
  <c r="L456" i="6"/>
  <c r="L472" i="6"/>
  <c r="L488" i="6"/>
  <c r="L498" i="6"/>
  <c r="L504" i="6"/>
  <c r="L509" i="6"/>
  <c r="L546" i="6"/>
  <c r="L552" i="6"/>
  <c r="L557" i="6"/>
  <c r="L562" i="6"/>
  <c r="L589" i="6"/>
  <c r="L616" i="6"/>
  <c r="L621" i="6"/>
  <c r="L632" i="6"/>
  <c r="L637" i="6"/>
  <c r="L648" i="6"/>
  <c r="L653" i="6"/>
  <c r="L658" i="6"/>
  <c r="L664" i="6"/>
  <c r="L669" i="6"/>
  <c r="L690" i="6"/>
  <c r="L701" i="6"/>
  <c r="L722" i="6"/>
  <c r="L728" i="6"/>
  <c r="L754" i="6"/>
  <c r="L760" i="6"/>
  <c r="L765" i="6"/>
  <c r="L795" i="6"/>
  <c r="L815" i="6"/>
  <c r="L823" i="6"/>
  <c r="L839" i="6"/>
  <c r="L871" i="6"/>
  <c r="L875" i="6"/>
  <c r="L883" i="6"/>
  <c r="L907" i="6"/>
  <c r="L915" i="6"/>
  <c r="L935" i="6"/>
  <c r="L951" i="6"/>
  <c r="L959" i="6"/>
  <c r="L963" i="6"/>
  <c r="L971" i="6"/>
  <c r="L975" i="6"/>
  <c r="L979" i="6"/>
  <c r="L983" i="6"/>
  <c r="L987" i="6"/>
  <c r="L991" i="6"/>
  <c r="L995" i="6"/>
  <c r="L999" i="6"/>
  <c r="L1003" i="6"/>
  <c r="L1007" i="6"/>
  <c r="L1011" i="6"/>
  <c r="L1015" i="6"/>
  <c r="L1019" i="6"/>
  <c r="L1023" i="6"/>
  <c r="L1027" i="6"/>
  <c r="L1031" i="6"/>
  <c r="L1035" i="6"/>
  <c r="L1039" i="6"/>
  <c r="L1043" i="6"/>
  <c r="L1047" i="6"/>
  <c r="L1051" i="6"/>
  <c r="L1055" i="6"/>
  <c r="L1059" i="6"/>
  <c r="L1063" i="6"/>
  <c r="L1067" i="6"/>
  <c r="L1071" i="6"/>
  <c r="L1075" i="6"/>
  <c r="L1079" i="6"/>
  <c r="L1083" i="6"/>
  <c r="L200" i="6"/>
  <c r="L286" i="6"/>
  <c r="L428" i="6"/>
  <c r="L516" i="6"/>
  <c r="L537" i="6"/>
  <c r="L556" i="6"/>
  <c r="L566" i="6"/>
  <c r="L588" i="6"/>
  <c r="L620" i="6"/>
  <c r="L652" i="6"/>
  <c r="L673" i="6"/>
  <c r="L694" i="6"/>
  <c r="L705" i="6"/>
  <c r="L758" i="6"/>
  <c r="L806" i="6"/>
  <c r="L846" i="6"/>
  <c r="L890" i="6"/>
  <c r="L906" i="6"/>
  <c r="L922" i="6"/>
  <c r="L933" i="6"/>
  <c r="L938" i="6"/>
  <c r="L944" i="6"/>
  <c r="L965" i="6"/>
  <c r="L970" i="6"/>
  <c r="L976" i="6"/>
  <c r="L981" i="6"/>
  <c r="L986" i="6"/>
  <c r="L992" i="6"/>
  <c r="L997" i="6"/>
  <c r="L1002" i="6"/>
  <c r="L1008" i="6"/>
  <c r="L1013" i="6"/>
  <c r="L1018" i="6"/>
  <c r="L1024" i="6"/>
  <c r="L1029" i="6"/>
  <c r="L1034" i="6"/>
  <c r="L1040" i="6"/>
  <c r="L1045" i="6"/>
  <c r="L1050" i="6"/>
  <c r="L1056" i="6"/>
  <c r="L1061" i="6"/>
  <c r="L1066" i="6"/>
  <c r="L1072" i="6"/>
  <c r="L1077" i="6"/>
  <c r="L1082" i="6"/>
  <c r="L130" i="6"/>
  <c r="L222" i="6"/>
  <c r="L307" i="6"/>
  <c r="L444" i="6"/>
  <c r="L500" i="6"/>
  <c r="L521" i="6"/>
  <c r="L558" i="6"/>
  <c r="L569" i="6"/>
  <c r="L590" i="6"/>
  <c r="L622" i="6"/>
  <c r="L633" i="6"/>
  <c r="L644" i="6"/>
  <c r="L654" i="6"/>
  <c r="L665" i="6"/>
  <c r="L686" i="6"/>
  <c r="L708" i="6"/>
  <c r="L729" i="6"/>
  <c r="L740" i="6"/>
  <c r="L761" i="6"/>
  <c r="L848" i="6"/>
  <c r="L876" i="6"/>
  <c r="L892" i="6"/>
  <c r="L897" i="6"/>
  <c r="L908" i="6"/>
  <c r="L913" i="6"/>
  <c r="L924" i="6"/>
  <c r="L940" i="6"/>
  <c r="L956" i="6"/>
  <c r="L966" i="6"/>
  <c r="L972" i="6"/>
  <c r="L977" i="6"/>
  <c r="L982" i="6"/>
  <c r="L988" i="6"/>
  <c r="L993" i="6"/>
  <c r="L998" i="6"/>
  <c r="L1004" i="6"/>
  <c r="L1009" i="6"/>
  <c r="L1014" i="6"/>
  <c r="L1020" i="6"/>
  <c r="L1025" i="6"/>
  <c r="L1030" i="6"/>
  <c r="L1036" i="6"/>
  <c r="L1041" i="6"/>
  <c r="L1046" i="6"/>
  <c r="L1052" i="6"/>
  <c r="L1057" i="6"/>
  <c r="L1062" i="6"/>
  <c r="L1068" i="6"/>
  <c r="L1073" i="6"/>
  <c r="L1078" i="6"/>
  <c r="L1084" i="6"/>
  <c r="L158" i="6"/>
  <c r="L243" i="6"/>
  <c r="L328" i="6"/>
  <c r="L396" i="6"/>
  <c r="L505" i="6"/>
  <c r="L548" i="6"/>
  <c r="L572" i="6"/>
  <c r="L636" i="6"/>
  <c r="L657" i="6"/>
  <c r="L668" i="6"/>
  <c r="L689" i="6"/>
  <c r="L700" i="6"/>
  <c r="L710" i="6"/>
  <c r="L721" i="6"/>
  <c r="L732" i="6"/>
  <c r="L742" i="6"/>
  <c r="L753" i="6"/>
  <c r="L764" i="6"/>
  <c r="L794" i="6"/>
  <c r="L850" i="6"/>
  <c r="L877" i="6"/>
  <c r="L882" i="6"/>
  <c r="L909" i="6"/>
  <c r="L936" i="6"/>
  <c r="L941" i="6"/>
  <c r="L946" i="6"/>
  <c r="L962" i="6"/>
  <c r="L973" i="6"/>
  <c r="L978" i="6"/>
  <c r="L984" i="6"/>
  <c r="L989" i="6"/>
  <c r="L994" i="6"/>
  <c r="L1000" i="6"/>
  <c r="L1005" i="6"/>
  <c r="L1010" i="6"/>
  <c r="L1016" i="6"/>
  <c r="L1021" i="6"/>
  <c r="L1026" i="6"/>
  <c r="L1032" i="6"/>
  <c r="L1037" i="6"/>
  <c r="L1042" i="6"/>
  <c r="L1048" i="6"/>
  <c r="L1053" i="6"/>
  <c r="L1058" i="6"/>
  <c r="L1064" i="6"/>
  <c r="L1069" i="6"/>
  <c r="L1074" i="6"/>
  <c r="L1080" i="6"/>
  <c r="L1085" i="6"/>
  <c r="L967" i="6"/>
  <c r="L957" i="6"/>
  <c r="L949" i="6"/>
  <c r="L931" i="6"/>
  <c r="L927" i="6"/>
  <c r="L920" i="6"/>
  <c r="K920" i="6"/>
  <c r="L901" i="6"/>
  <c r="L896" i="6"/>
  <c r="K896" i="6"/>
  <c r="L891" i="6"/>
  <c r="L886" i="6"/>
  <c r="L880" i="6"/>
  <c r="K880" i="6"/>
  <c r="L867" i="6"/>
  <c r="L863" i="6"/>
  <c r="L858" i="6"/>
  <c r="L854" i="6"/>
  <c r="L845" i="6"/>
  <c r="L838" i="6"/>
  <c r="L833" i="6"/>
  <c r="L827" i="6"/>
  <c r="L822" i="6"/>
  <c r="L817" i="6"/>
  <c r="K812" i="6"/>
  <c r="L807" i="6"/>
  <c r="L802" i="6"/>
  <c r="L798" i="6"/>
  <c r="L792" i="6"/>
  <c r="K792" i="6"/>
  <c r="L784" i="6"/>
  <c r="K784" i="6"/>
  <c r="L780" i="6"/>
  <c r="K780" i="6"/>
  <c r="L776" i="6"/>
  <c r="K776" i="6"/>
  <c r="L772" i="6"/>
  <c r="K772" i="6"/>
  <c r="L768" i="6"/>
  <c r="L752" i="6"/>
  <c r="L738" i="6"/>
  <c r="L733" i="6"/>
  <c r="L716" i="6"/>
  <c r="L706" i="6"/>
  <c r="L697" i="6"/>
  <c r="K697" i="6"/>
  <c r="L687" i="6"/>
  <c r="L677" i="6"/>
  <c r="K677" i="6"/>
  <c r="L672" i="6"/>
  <c r="L662" i="6"/>
  <c r="L642" i="6"/>
  <c r="L629" i="6"/>
  <c r="K629" i="6"/>
  <c r="L625" i="6"/>
  <c r="K625" i="6"/>
  <c r="L611" i="6"/>
  <c r="L607" i="6"/>
  <c r="L603" i="6"/>
  <c r="L599" i="6"/>
  <c r="L595" i="6"/>
  <c r="L580" i="6"/>
  <c r="L573" i="6"/>
  <c r="K573" i="6"/>
  <c r="L541" i="6"/>
  <c r="K541" i="6"/>
  <c r="L535" i="6"/>
  <c r="K535" i="6"/>
  <c r="L530" i="6"/>
  <c r="L524" i="6"/>
  <c r="K524" i="6"/>
  <c r="L518" i="6"/>
  <c r="L463" i="6"/>
  <c r="K463" i="6"/>
  <c r="L438" i="6"/>
  <c r="L431" i="6"/>
  <c r="K431" i="6"/>
  <c r="L425" i="6"/>
  <c r="K425" i="6"/>
  <c r="L417" i="6"/>
  <c r="K417" i="6"/>
  <c r="L408" i="6"/>
  <c r="K408" i="6"/>
  <c r="L404" i="6"/>
  <c r="K404" i="6"/>
  <c r="L399" i="6"/>
  <c r="K399" i="6"/>
  <c r="L385" i="6"/>
  <c r="K385" i="6"/>
  <c r="L378" i="6"/>
  <c r="L373" i="6"/>
  <c r="K373" i="6"/>
  <c r="L367" i="6"/>
  <c r="K367" i="6"/>
  <c r="L363" i="6"/>
  <c r="K363" i="6"/>
  <c r="L358" i="6"/>
  <c r="L354" i="6"/>
  <c r="L299" i="6"/>
  <c r="K299" i="6"/>
  <c r="L171" i="6"/>
  <c r="K171" i="6"/>
  <c r="L135" i="6"/>
  <c r="K135" i="6"/>
  <c r="L119" i="6"/>
  <c r="K119" i="6"/>
  <c r="L113" i="6"/>
  <c r="K113" i="6"/>
  <c r="L109" i="6"/>
  <c r="K109" i="6"/>
  <c r="L102" i="6"/>
  <c r="L97" i="6"/>
  <c r="K97" i="6"/>
  <c r="L92" i="6"/>
  <c r="K92" i="6"/>
  <c r="L88" i="6"/>
  <c r="K88" i="6"/>
  <c r="L82" i="6"/>
  <c r="K82" i="6"/>
  <c r="L76" i="6"/>
  <c r="K76" i="6"/>
  <c r="L72" i="6"/>
  <c r="K72" i="6"/>
  <c r="L68" i="6"/>
  <c r="K68" i="6"/>
  <c r="L64" i="6"/>
  <c r="L60" i="6"/>
  <c r="K60" i="6"/>
  <c r="L56" i="6"/>
  <c r="K56" i="6"/>
  <c r="L52" i="6"/>
  <c r="K52" i="6"/>
  <c r="L46" i="6"/>
  <c r="K46" i="6"/>
  <c r="L42" i="6"/>
  <c r="K42" i="6"/>
  <c r="L38" i="6"/>
  <c r="L34" i="6"/>
  <c r="K34" i="6"/>
  <c r="L29" i="6"/>
  <c r="K29" i="6"/>
  <c r="L25" i="6"/>
  <c r="K25" i="6"/>
  <c r="L21" i="6"/>
  <c r="K21" i="6"/>
  <c r="L16" i="6"/>
  <c r="K16" i="6"/>
  <c r="L12" i="6"/>
  <c r="K12" i="6"/>
  <c r="L8" i="6"/>
  <c r="L4" i="6"/>
  <c r="K4" i="6"/>
  <c r="L492" i="6"/>
  <c r="K492" i="6"/>
  <c r="L749" i="6"/>
  <c r="K749" i="6"/>
  <c r="K901" i="6"/>
  <c r="K891" i="6"/>
  <c r="K886" i="6"/>
  <c r="K867" i="6"/>
  <c r="K835" i="6"/>
  <c r="K810" i="6"/>
  <c r="K778" i="6"/>
  <c r="K773" i="6"/>
  <c r="K725" i="6"/>
  <c r="K695" i="6"/>
  <c r="K687" i="6"/>
  <c r="K672" i="6"/>
  <c r="K639" i="6"/>
  <c r="K631" i="6"/>
  <c r="K626" i="6"/>
  <c r="K604" i="6"/>
  <c r="K599" i="6"/>
  <c r="K576" i="6"/>
  <c r="K442" i="6"/>
  <c r="K414" i="6"/>
  <c r="K386" i="6"/>
  <c r="K378" i="6"/>
  <c r="K110" i="6"/>
  <c r="K84" i="6"/>
  <c r="K74" i="6"/>
  <c r="K53" i="6"/>
  <c r="K38" i="6"/>
  <c r="L1065" i="6"/>
  <c r="L1044" i="6"/>
  <c r="L1022" i="6"/>
  <c r="L1001" i="6"/>
  <c r="L980" i="6"/>
  <c r="L916" i="6"/>
  <c r="L844" i="6"/>
  <c r="L812" i="6"/>
  <c r="L734" i="6"/>
  <c r="L692" i="6"/>
  <c r="L649" i="6"/>
  <c r="L476" i="6"/>
  <c r="L179" i="6"/>
  <c r="J1087" i="6"/>
  <c r="F1087" i="6"/>
  <c r="K1087" i="6" s="1"/>
</calcChain>
</file>

<file path=xl/sharedStrings.xml><?xml version="1.0" encoding="utf-8"?>
<sst xmlns="http://schemas.openxmlformats.org/spreadsheetml/2006/main" count="29044" uniqueCount="3059">
  <si>
    <t>바이어명</t>
    <phoneticPr fontId="2" type="noConversion"/>
  </si>
  <si>
    <t>업체명</t>
    <phoneticPr fontId="2" type="noConversion"/>
  </si>
  <si>
    <t>1월</t>
    <phoneticPr fontId="2" type="noConversion"/>
  </si>
  <si>
    <t>2월</t>
    <phoneticPr fontId="2" type="noConversion"/>
  </si>
  <si>
    <t>POLO RALPH LAUREN</t>
  </si>
  <si>
    <t>HOISHUN KNITTING FACTORY LTD</t>
  </si>
  <si>
    <t>PT GOLDEN TEKSTIL INDONESIA</t>
  </si>
  <si>
    <t>EVEREST TEXTILE CO., LTD.</t>
  </si>
  <si>
    <t>FAR EASTERN NEW CENTURY CORPORATION</t>
  </si>
  <si>
    <t>Tung Ga Linen &amp; Cotton Mills Ltd</t>
  </si>
  <si>
    <t>Ruentex industries limited</t>
  </si>
  <si>
    <t>Skytrend Co.Ltd</t>
  </si>
  <si>
    <t>BONDEX TEXTILES LIMITED</t>
  </si>
  <si>
    <t>HIGH HOPE AGLORY LTD</t>
  </si>
  <si>
    <t>KA TSUN INDUSTRIAL (INTERNATIONAL)COMPANY LTD</t>
  </si>
  <si>
    <t>ZHANGJIAGANG JINLING TEXTILES CO</t>
  </si>
  <si>
    <t>Tin Fook Knitting Accessories Limited</t>
  </si>
  <si>
    <t>CHI HING ELASTIC WEAVING FTY LTD</t>
  </si>
  <si>
    <t>Bigger Textile Holdings Limited</t>
  </si>
  <si>
    <t>TAKIHYO Co.,Ltd.</t>
  </si>
  <si>
    <t>COPEN UNITED LIMITED</t>
  </si>
  <si>
    <t>Unifield Textiles Limited</t>
  </si>
  <si>
    <t>Dongguan Yitao Textile Co Ltd</t>
  </si>
  <si>
    <t>KWAN TAT INDUSTRIAL LTD</t>
  </si>
  <si>
    <t>PONIE SG PTE LTD.</t>
  </si>
  <si>
    <t>Highfashion(China) Co., Ltd</t>
  </si>
  <si>
    <t>TOB TEXTILE LIMITED</t>
  </si>
  <si>
    <t>Jasmine Industrial Ltd</t>
  </si>
  <si>
    <t>De Lenis Limited</t>
  </si>
  <si>
    <t>Jiaxing Wanhong Textile CO.LTD</t>
  </si>
  <si>
    <t>TAT FUNG TEXTILE COMPANY LIMITED</t>
  </si>
  <si>
    <t>NANTONG FOREMOST GARMENT &amp; ACCESSORIES CO LTD</t>
  </si>
  <si>
    <t>MORITO SCOVILL HK CO. LTD</t>
  </si>
  <si>
    <t>0 Mile Corp</t>
  </si>
  <si>
    <t>LMH FASHION LIMITED</t>
  </si>
  <si>
    <t>Sunline Sankei Yokohama (H.K) Co, Ltd</t>
  </si>
  <si>
    <t>suzhou unitedtex enterprise ltd</t>
  </si>
  <si>
    <t>Shimada Shoji (H.K.) Limited</t>
  </si>
  <si>
    <t>BESTLINING LIMITED</t>
  </si>
  <si>
    <t>Win Square International Ltd.</t>
  </si>
  <si>
    <t>changzhou richland international trade co.,ltd</t>
  </si>
  <si>
    <t>MEN-CHUEN FIBRE INDUSTRY CO.,LTD.</t>
  </si>
  <si>
    <t>Huizhou Yide Textile Technology Co.,Ltd</t>
  </si>
  <si>
    <t>KEN YUAN KNITTING FACTORY LTD</t>
  </si>
  <si>
    <t>PLUS 39 LIMITED</t>
  </si>
  <si>
    <t>Ningbo Shenzhou Knitting Co Ltd</t>
  </si>
  <si>
    <t>suzhou jintong textile co., ltd.</t>
  </si>
  <si>
    <t>Joinfair International Ltd</t>
  </si>
  <si>
    <t>G.CLO INC.</t>
  </si>
  <si>
    <t>United Berry</t>
  </si>
  <si>
    <t>HER MIN TEXTILE CO.LTD</t>
  </si>
  <si>
    <t>SBR WOVENS LLC</t>
  </si>
  <si>
    <t>WUXI MUNENO GARMENT CO.,LTD</t>
  </si>
  <si>
    <t>WOODLAND TEXTILES LIMITED</t>
  </si>
  <si>
    <t>JECA LIMITED</t>
  </si>
  <si>
    <t>PT Popular Daenong Indonesia</t>
  </si>
  <si>
    <t>MEGA (HONG KONG) LIMITED</t>
  </si>
  <si>
    <t>LAI TAK ENTERPRISES LTD</t>
  </si>
  <si>
    <t>WINCYC GROUP LTD</t>
  </si>
  <si>
    <t>CHH AMERICA, INC.</t>
  </si>
  <si>
    <t>POLO RALPH LAUREN CORPORATION</t>
  </si>
  <si>
    <t>CHINATEXTILES(SHENZHEN)CO.,LTD</t>
  </si>
  <si>
    <t>Changzhou Mido Textile Co.Ltd.</t>
  </si>
  <si>
    <t>YOUNGONE CORPORATION</t>
  </si>
  <si>
    <t>MILLIONFULL COMPANY LIMITED</t>
  </si>
  <si>
    <t>TESSILECHITI S.R.L.</t>
  </si>
  <si>
    <t>ARCH TEXTILES MANUFACTURE CORP</t>
  </si>
  <si>
    <t>LUCENT TEXTILE CO LTD</t>
  </si>
  <si>
    <t>CHING FUNG APPAREL ACCESSORIES CO LTD</t>
  </si>
  <si>
    <t>THE ECHO DESIGN GROUP INC</t>
  </si>
  <si>
    <t>DIVONU INT.LTD</t>
  </si>
  <si>
    <t>FORMOSA TAFFETA CO., LTD</t>
  </si>
  <si>
    <t>SINGTEX INDUSTRIAL CO LTD</t>
  </si>
  <si>
    <t>Medike Landes HK Ltd</t>
  </si>
  <si>
    <t>Hong Kong Rise Sun(Vietnam)Textile Co.Ltd</t>
  </si>
  <si>
    <t>UNITO INTERNATIONAL CO LTD</t>
  </si>
  <si>
    <t>Wellknit Trading Limited</t>
  </si>
  <si>
    <t>United Weavers SL</t>
  </si>
  <si>
    <t xml:space="preserve">BRIGHT CONCEPT ENTERPRISES LTD </t>
  </si>
  <si>
    <t>Jiangsu Pinytex Textile Dyeing &amp;</t>
  </si>
  <si>
    <t>Avery Dennison HongKong B.V</t>
  </si>
  <si>
    <t>WHL Sourcing &amp; Manufacturing Ltd</t>
  </si>
  <si>
    <t>Shengzhou Jialan Garments And Apparel Co .,LTD</t>
  </si>
  <si>
    <t>NEW FOCUS TEXTILES LIMITED</t>
  </si>
  <si>
    <t>FUKUDA GLOVES CO., LTD</t>
  </si>
  <si>
    <t>Nanjing Hg Nice Gain Fabric Co Ltd</t>
  </si>
  <si>
    <t>Jiangmen Weimei Elastic Fabric Co Ltd</t>
  </si>
  <si>
    <t>SPRINGTEX LIMITED</t>
  </si>
  <si>
    <t>KA WAH COMPANY</t>
  </si>
  <si>
    <t>Novel Dyeing &amp; Printing Limited</t>
  </si>
  <si>
    <t>JIANGSU SUNSHINE CO LTD</t>
  </si>
  <si>
    <t>Zhejiang Saintyear Textile Co.,Ltd.</t>
  </si>
  <si>
    <t>SHAOXING MING-HEE EMBROIDERY CO LTD</t>
  </si>
  <si>
    <t>Suzhou Wangu Silk Co., Ltd</t>
  </si>
  <si>
    <t>ATLANTIC TRIM ACCESSORIES, LLC</t>
  </si>
  <si>
    <t>SHENZHEN FAME HONEST TEXTILE CO LTD</t>
  </si>
  <si>
    <t>MEI ZHOU WING CI PRODUCTS CO LTD</t>
  </si>
  <si>
    <t>Next fabric 21,st</t>
  </si>
  <si>
    <t>SUZHOU ZHONGTIAN FASHION TEXTILES CO LTD</t>
  </si>
  <si>
    <t>Venda Enterprise Co., Ltd.</t>
  </si>
  <si>
    <t>YANGZHOU DONGSHENG TEXTILE CO LTD</t>
  </si>
  <si>
    <t>SHANGHAI AUDE INTERNATIONAL CO.,LTD</t>
  </si>
  <si>
    <t>NEW-TECH TEXTILE INTERNATIONAL TRADING CO., LTD</t>
  </si>
  <si>
    <t>Frontex Fashion Co.,Ltd</t>
  </si>
  <si>
    <t>ABLE LEADER CO. LTD.</t>
  </si>
  <si>
    <t>UNITED INFINITE CORP. TAIWAN BRANCH</t>
  </si>
  <si>
    <t>Cervotessile Textile (Suzhou) Co., Ltd</t>
  </si>
  <si>
    <t>SAB</t>
  </si>
  <si>
    <t>CHAINTEX LIMITED</t>
  </si>
  <si>
    <t>SHAOXING YOUYING TRADING CO.,LTD</t>
  </si>
  <si>
    <t>Gallop International Co., Ltd</t>
  </si>
  <si>
    <t>ESP Enterprise Co.,Ltd</t>
  </si>
  <si>
    <t>FAR EAST TEXTILE GROUP(HOLDING)CO LTD</t>
  </si>
  <si>
    <t>GRAND JONE(HONG KONG)Ltd</t>
  </si>
  <si>
    <t>Shanghai Ratone International Ltd</t>
  </si>
  <si>
    <t xml:space="preserve">EU DESIGN, HK LTD. </t>
  </si>
  <si>
    <t>Fu Son Garment Factory</t>
  </si>
  <si>
    <t>HILLWEALTH MULTINATIONAL PTE.LTD.</t>
  </si>
  <si>
    <t>SHAOXING SHUAINUO TEXTILE CO.,LTD</t>
  </si>
  <si>
    <t>FAR AHEAD DEVELOP CO.,LTD</t>
  </si>
  <si>
    <t>Beste Spa</t>
  </si>
  <si>
    <t>QIDONG JINBAO GARMENT CO. LIMITED</t>
  </si>
  <si>
    <t>SML (HK) LIMITED</t>
  </si>
  <si>
    <t>PT CITRA ABADI SEJATI (BOGOR UNIT)</t>
  </si>
  <si>
    <t>Haama Group</t>
  </si>
  <si>
    <t>Karnaphuli Sportswear Ind. Ltd</t>
  </si>
  <si>
    <t>YAGI TSUSHO HONG KONG LIMITED</t>
  </si>
  <si>
    <t>D.J. Fabric Mill Inc.</t>
  </si>
  <si>
    <t>SHAOXING TOPU TEXTILE CO.,LTD</t>
  </si>
  <si>
    <t>Huaren Linen(HK)Co.,LTD</t>
  </si>
  <si>
    <t>Jiangsu Ouqiao Worsted Co Ltd</t>
  </si>
  <si>
    <t>CINTELLI &amp; GALLUZZO S.R.L.</t>
  </si>
  <si>
    <t>KOWA Company, Ltd.</t>
  </si>
  <si>
    <t>KONG FONG TEXTILE GROUP CO LTD</t>
  </si>
  <si>
    <t>Jiangsu Hualu Textile Co.,Ltd.</t>
  </si>
  <si>
    <t>Cotswold Industries, Inc.</t>
  </si>
  <si>
    <t>Topgain Textiles Ltd</t>
  </si>
  <si>
    <t>SHAOXING KEQIAO DONGJIN TEXTILE CO.,LTD</t>
  </si>
  <si>
    <t>Zhejiang Yicai Printing and Dyeing Co.,Ltd</t>
  </si>
  <si>
    <t>Rico China Limited</t>
  </si>
  <si>
    <t>Hong Jin International Co., Ltd.</t>
  </si>
  <si>
    <t>Kaihara Corporation</t>
  </si>
  <si>
    <t>MILAGROS NAN QIAO LIMITED</t>
  </si>
  <si>
    <t>LAKEWILL SILK AND GARMENT LTD</t>
  </si>
  <si>
    <t>Global Headwear Limited</t>
  </si>
  <si>
    <t>SHINKONG TEXTILE CO.,LTD</t>
  </si>
  <si>
    <t>WUJIANG ZHONGCHENG WEAVING FACTORY</t>
  </si>
  <si>
    <t>jiangsu soho international gropup corp.</t>
  </si>
  <si>
    <t>High fashion garments international company limited</t>
  </si>
  <si>
    <t>AMP TEXTILE INC</t>
  </si>
  <si>
    <t>NEW STYLE VIET NAM TEXTILE LTD</t>
  </si>
  <si>
    <t>TWIN DRAGON MARKETING INC</t>
  </si>
  <si>
    <t>Casestudy</t>
  </si>
  <si>
    <t>LIANSHUI SHAYINTEXTILE CO., LTD</t>
  </si>
  <si>
    <t>Beijiang Vietnam Textile Company Limited</t>
  </si>
  <si>
    <t>Wah Sing Labels Limited</t>
  </si>
  <si>
    <t>Hong Tai Chang Export&amp;Manufacturer Company.</t>
  </si>
  <si>
    <t>QMI Industrial Co., Ltd</t>
  </si>
  <si>
    <t>TIEN TIEN GARMENT JOINT STOCK COMPANY</t>
  </si>
  <si>
    <t>NATco Shanghai Packaging and Trim Co.,Ltd</t>
  </si>
  <si>
    <t>PT HAKATEX</t>
  </si>
  <si>
    <t>CHI LAK INDUSTRIAL COMPANY</t>
  </si>
  <si>
    <t>SHANGHAI YKK TRADING CO.,LTD</t>
  </si>
  <si>
    <t>New Richly Enterprises Ltd</t>
  </si>
  <si>
    <t>Ersin Knitting &amp; Dyeing CO.,LTD</t>
  </si>
  <si>
    <t>T&amp;S BUTTONS CO., LTD.</t>
  </si>
  <si>
    <t>FULL BLOSSOM</t>
  </si>
  <si>
    <t>Colorich Enterprise Ltd.</t>
  </si>
  <si>
    <t>Maxim Smart Manufacturing Co.,Ltd</t>
  </si>
  <si>
    <t>Wah King Drapery Limited</t>
  </si>
  <si>
    <t>Dong Guan Yong Da Li Textiles Ltd.</t>
  </si>
  <si>
    <t>JIANGSU LIANFA TEXTILE CO LTD</t>
  </si>
  <si>
    <t>PONIE GARMENTS &amp; EMBROIDERY LTD</t>
  </si>
  <si>
    <t>WINNITEX LIMITED</t>
  </si>
  <si>
    <t>PT.POPULAR DAENONG INDONESIA</t>
  </si>
  <si>
    <t>JingJiang YuTong Garment CO.,LTD</t>
  </si>
  <si>
    <t>L&amp;T INTERNATIONAL GROUP PHILS INC</t>
  </si>
  <si>
    <t>Limonta SPA</t>
  </si>
  <si>
    <t>H wear Limited</t>
  </si>
  <si>
    <t>Shaoxing Hanya Textile Co.,ltd</t>
  </si>
  <si>
    <t>Sunrise Textile(Group)Co.,Ltd</t>
  </si>
  <si>
    <t>Zhejiang Weixing Industrial Development Co., Ltd.Linhai Zip FiliaIe</t>
  </si>
  <si>
    <t>Verte HK Limited</t>
  </si>
  <si>
    <t>Shanghai Lianyong International Ltd</t>
  </si>
  <si>
    <t>Ningbo Seduno Import &amp; Export Co., Ltd</t>
  </si>
  <si>
    <t>JIANGSU DONGZHOU GARMENT CO LTD</t>
  </si>
  <si>
    <t>LNT INTERNATIONAL GROUP PHILIPPINES</t>
  </si>
  <si>
    <t>VITZRO HK LIMITED</t>
  </si>
  <si>
    <t>Able Fashion Inc</t>
  </si>
  <si>
    <t>KONG YOU INDUSTRIAL CO., LTD.</t>
  </si>
  <si>
    <t>carreman</t>
  </si>
  <si>
    <t>Wellen International Textile Ltd</t>
  </si>
  <si>
    <t>Wai Sun Asia Ltd.</t>
  </si>
  <si>
    <t>manifattura big</t>
  </si>
  <si>
    <t>TDI textile Co Ltd</t>
  </si>
  <si>
    <t>FRANKOTEX TRADING CO.,LTD</t>
  </si>
  <si>
    <t>HANGZHOU TIANRUI P&amp;D CO.,LTD.</t>
  </si>
  <si>
    <t>SHAOXING JUNWONG TEXTILE CO LTD</t>
  </si>
  <si>
    <t>VISIONLAND CHINA CO., LTD</t>
  </si>
  <si>
    <t>SILKWAY(INTL)TRADING CO LTD</t>
  </si>
  <si>
    <t>Yip Tai Investment Limited</t>
  </si>
  <si>
    <t>KARNAPHULI SHOES INDUSTRIES LTD</t>
  </si>
  <si>
    <t>WAN FUNG GARMENT FACTORY LIMITED</t>
  </si>
  <si>
    <t>Charming Textile Group Co Ltd</t>
  </si>
  <si>
    <t>TIEN-HU TRADING (HK) LTD</t>
  </si>
  <si>
    <t>Jiangsu Hualu Textile Co Ltd</t>
  </si>
  <si>
    <t>CADICA TRIMS(HUIZHOU) CO.LTD</t>
  </si>
  <si>
    <t>TRY EARN ENTERPRISES LTD.</t>
  </si>
  <si>
    <t>CHANGSHU ILSHIN TEXTILES MANUFACTURING LIMITED</t>
  </si>
  <si>
    <t>Klauber Borthers Inc</t>
  </si>
  <si>
    <t>ZHEJIANG JIAYE P&amp;D CO.,LTD</t>
  </si>
  <si>
    <t>South Glamour Fashions Garment Ltd.</t>
  </si>
  <si>
    <t>CHI LAK EMBROIDERY FACTORY</t>
  </si>
  <si>
    <t>zhong shan new wah long elastic fabric company ltd</t>
  </si>
  <si>
    <t>PINE FABRIC LIMITED</t>
  </si>
  <si>
    <t>Everest Textile (Shanghai).,Ltd</t>
  </si>
  <si>
    <t>WAH FUNG LABEL CO LTD</t>
  </si>
  <si>
    <t>suzhou ljc textile co.,ltd</t>
  </si>
  <si>
    <t>Product City Co., Ltd</t>
  </si>
  <si>
    <t>PROSPERITY TEXTILE HK LIMITED</t>
  </si>
  <si>
    <t>TAVEX</t>
  </si>
  <si>
    <t>JSOTEX &amp; CO.,LTD.</t>
  </si>
  <si>
    <t>Excellent Jade Ltd</t>
  </si>
  <si>
    <t>Stella Blu Textile Limited</t>
  </si>
  <si>
    <t>SHANGHAI UEYAMA CO.,LTD</t>
  </si>
  <si>
    <t>Shanghai Hongen Woolen Textile Co.,Ltd</t>
  </si>
  <si>
    <t>Far East Network (HK) Ltd.</t>
  </si>
  <si>
    <t>SUZHOU NEAR ME TEXTILE TECHNOLOGY CO.,LTD</t>
  </si>
  <si>
    <t>shanghai each industrial co.,ltd</t>
  </si>
  <si>
    <t>TOP TEXTILE (SUZOU)CO.,LTD</t>
  </si>
  <si>
    <t>FORMOSA TAFFETA CO LTD FTC AMERICA CORP</t>
  </si>
  <si>
    <t>CLUB MONACO</t>
  </si>
  <si>
    <t>Foshan Nan Qiao Trading Company Limited</t>
  </si>
  <si>
    <t>China Ting Garment Mfg(Group)Ltd</t>
  </si>
  <si>
    <t>HIGH FASHION(CHINA) CO.,LTD</t>
  </si>
  <si>
    <t>FASHCORP CORPORATION LTD</t>
  </si>
  <si>
    <t>SUZHOU UNIVERSAL SILK CO LTD</t>
  </si>
  <si>
    <t>FORTEX INTERNATIONAL(CHINA)LIMITED</t>
  </si>
  <si>
    <t>SHANGHAI SANBU TEXTILE CO.,LTD</t>
  </si>
  <si>
    <t>ITOCHU CORPORATION</t>
  </si>
  <si>
    <t>NST Apparel (SG) PTE, Ltd.</t>
  </si>
  <si>
    <t>UNITEDTEX GARMENT (VIETNAM) CO LTD</t>
  </si>
  <si>
    <t>Hope Star Overseas Limited</t>
  </si>
  <si>
    <t>Yangzhou Anborn International Enterprises Limited</t>
  </si>
  <si>
    <t>HIGH FASHION SILK(ZHEJIANG) CO.,LTD</t>
  </si>
  <si>
    <t>INTEX SUZHOU CO., LTD</t>
  </si>
  <si>
    <t>KGS Lace INC</t>
  </si>
  <si>
    <t>MOZARTEX CO.,LTD</t>
  </si>
  <si>
    <t>ANITA'S TEXTILES LTD</t>
  </si>
  <si>
    <t>HANGZHOU XINSHENG PRINTING &amp; DYEING</t>
  </si>
  <si>
    <t>합 계</t>
    <phoneticPr fontId="2" type="noConversion"/>
  </si>
  <si>
    <t/>
  </si>
  <si>
    <t>SHENZHEN FAR EAST TEXTILE CO LTD</t>
  </si>
  <si>
    <t>GUESS</t>
  </si>
  <si>
    <t>GREENWEAR LIMITED</t>
  </si>
  <si>
    <t>SHANGHAI WESTLAN INTERNATIONAL TRADING CO.,LTD</t>
  </si>
  <si>
    <t xml:space="preserve">HRJ Fashion &amp; Accessories Corp. Ltd. </t>
  </si>
  <si>
    <t>Jiaxing Buford Trading Co.,Ltd</t>
  </si>
  <si>
    <t>Kunshan Huayue Textile&amp;Garment Co.Ltd</t>
  </si>
  <si>
    <t>NINGBO LONGFEI IMP&amp;EXP CO.LTD</t>
  </si>
  <si>
    <t>shaoxing yongyao textile co.,ltd</t>
  </si>
  <si>
    <t>SHAOXING EXCELLENT TEXTILE CO.LTD</t>
  </si>
  <si>
    <t>Indochine International Ltd</t>
  </si>
  <si>
    <t xml:space="preserve">HUALEY KNITWEARS LTD. </t>
  </si>
  <si>
    <t>C.H.A DESIGN EXPORT (H.Z) LTD</t>
  </si>
  <si>
    <t>JULIA</t>
  </si>
  <si>
    <t>Shaoxing Metop Textile Technology Co.,Ltd</t>
  </si>
  <si>
    <t>JIANGSU FENGYIN TEXTILE INDUSTRIAL CO LTD</t>
  </si>
  <si>
    <t>CIXI HAITENG PLUSH PRODUCT CO.,LTD</t>
  </si>
  <si>
    <t>jiangsu vango fashion co.,ltd</t>
  </si>
  <si>
    <t>ZHEJIANG CHARMING DYEING AND FINISHING CO.,LTD</t>
  </si>
  <si>
    <t>GOOD RICH TEXTILE LIMITED</t>
  </si>
  <si>
    <t>ZHEJIANG XUSHENG TEXTILE CO., LTD</t>
  </si>
  <si>
    <t>LABELTEX(SHANGHAI) CO.,LTD</t>
  </si>
  <si>
    <t>SUZHOU COBEST TEXTILES CO.,LTD</t>
  </si>
  <si>
    <t>GUANGZHOU MEIYINGDA TEXTILE CO.LTD</t>
  </si>
  <si>
    <t>Changzhou Mengda Textile Co., Ltd.</t>
  </si>
  <si>
    <t>BRIGHTEX SHANGHAI LIMITED</t>
  </si>
  <si>
    <t>Shanghai Haomaier Clothing &amp;Textile Co.Ltd</t>
  </si>
  <si>
    <t>SHAOXING KEQIAO SPLEND TEXTILE CO., LTD</t>
  </si>
  <si>
    <t>PingHu Top Circle Knitting Co.,Ltd</t>
  </si>
  <si>
    <t>SUZHOU JCTEX CO LTD</t>
  </si>
  <si>
    <t>ZHANGJIAGANG FULAIHANG TEXTILE.,LTD</t>
  </si>
  <si>
    <t>SHANGHAI SAITE SILK I&amp;E CO.,LTD</t>
  </si>
  <si>
    <t>HuaJin Textile Printing &amp; Dyeing Co.,Ltd.</t>
  </si>
  <si>
    <t>Zhangjiagang Heydaytex Co., Ltd</t>
  </si>
  <si>
    <t>Fujian Hanggang Textile Co.,Ltd</t>
  </si>
  <si>
    <t>zhejiang huiming jacquard weaving co.ltd</t>
  </si>
  <si>
    <t>Wuxi Hanron Textile Co.,Ltd</t>
  </si>
  <si>
    <t>SHAOXING DINGZHENG TEXTILE CO.,LTD</t>
  </si>
  <si>
    <t>EBTEX IMP.&amp;EXP. CO. LTDORATION</t>
  </si>
  <si>
    <t>Shanghai Jionghan Garment accessories Co.Ltd</t>
  </si>
  <si>
    <t>Tongling Xinhe Printing and Dyeing Textile Co., Ltd</t>
  </si>
  <si>
    <t>JINJI TEXTILE CO.,ITD</t>
  </si>
  <si>
    <t>Suzhou Oracle Textile Technology Co.LTD</t>
  </si>
  <si>
    <t>Ningbo Bridge Power Imo&amp;Exp Co.,Ltd</t>
  </si>
  <si>
    <t>shaoxing bele textile co.,ltd</t>
  </si>
  <si>
    <t>suzhou suojin textile &amp; garment, co, ltd</t>
  </si>
  <si>
    <t>Tianhai Lace Co.,Ltd</t>
  </si>
  <si>
    <t>SUZHOU WENCHEN TEXTILE CO.,LTD</t>
  </si>
  <si>
    <t>F21 OpCo, LLC</t>
    <phoneticPr fontId="2" type="noConversion"/>
  </si>
  <si>
    <t>SHANGHAI FEICHUAN IMP&amp;EXP CORP</t>
  </si>
  <si>
    <t>Yashun garment co.,ltd</t>
  </si>
  <si>
    <t>F21 OpCo, LLC</t>
  </si>
  <si>
    <t>Shaoxing New Life Textile&amp;Garment Co.,Ltd</t>
  </si>
  <si>
    <t>Shanghai Toex International Trading Co., Ltd</t>
  </si>
  <si>
    <t>ZHENGXIN FASHION(SHENZHEN)CO.,LTD</t>
  </si>
  <si>
    <t>MANREN (H.K.) ENTERPRISE LIMITED</t>
  </si>
  <si>
    <t>INTEC LTD</t>
  </si>
  <si>
    <t>DONGGUAN YONGDIAN CLOTHING CO.,LTD</t>
  </si>
  <si>
    <t>SHAOXING XINCHENG FUSHI CO.,LTD</t>
  </si>
  <si>
    <t>Shanghai Sunbrilliant Trading LTD</t>
  </si>
  <si>
    <t>SUZHOU HUA JIN KNITTING CO.,LTD</t>
  </si>
  <si>
    <t>GuangZhou Olssen Garment Co.,Ltd</t>
  </si>
  <si>
    <t>Fashion Accents LLC</t>
  </si>
  <si>
    <t>Grand Apparel Designs</t>
  </si>
  <si>
    <t>SHAOXING LADIES TEXTILE&amp;GARMENT CO .,LTD</t>
  </si>
  <si>
    <t>J&amp;G INTERNATIONAL</t>
  </si>
  <si>
    <t>UNITED RULES GARMENT CO.,LTD</t>
  </si>
  <si>
    <t>Suzhou Jstart Silk Fashion Co.,LTD</t>
  </si>
  <si>
    <t>COCOLOVE APPAREL INC</t>
  </si>
  <si>
    <t>ILLUMA FASHION INC</t>
  </si>
  <si>
    <t>Fanchang Qiuhan Garments Co.,LTD</t>
  </si>
  <si>
    <t>YIWU RUISHENG IMPORT&amp;EXPORT CO.,LTD</t>
  </si>
  <si>
    <t>MENGLUFUSHI</t>
  </si>
  <si>
    <t>ShaoXing Bateng Clothing Co.,Ltd</t>
  </si>
  <si>
    <t>SHANGHAI NIANCHANG TEXTILE CO.,LTD</t>
  </si>
  <si>
    <t>HuanCui District LingWei Garment Processing Factory</t>
  </si>
  <si>
    <t>NEW FACE TEXTILE CO.LTD</t>
  </si>
  <si>
    <t>KYUNG KWANG COMMERCIAL CO.,LTD</t>
  </si>
  <si>
    <t>Jiangxi Long An Cheng Clothing Co.,Ltd</t>
  </si>
  <si>
    <t>WEIHAI STRONG IMPORT AND EXPORT CO.,LTD</t>
  </si>
  <si>
    <t>ONLYSTAR TRADING(NINGBO)CO.,LTD</t>
  </si>
  <si>
    <t>DONGSUH INTERNATIONAL CO,LTD</t>
  </si>
  <si>
    <t>YANTAI  BLOOM  INTERNATIONAL CORP.,LTD</t>
  </si>
  <si>
    <t>NANCHANG LEXIN GARMENTS CO LTD</t>
  </si>
  <si>
    <t>Dongtai Yimeige Fashion Garment co.,ltd</t>
  </si>
  <si>
    <t>JIANGXI YONGXU CO.,LTD</t>
  </si>
  <si>
    <t>JIANGXI GUOYA ZHIYI CO.,LTD</t>
  </si>
  <si>
    <t>COLOSSEUM</t>
  </si>
  <si>
    <t>JIANGYIN QIHONG TEXTILE CO., LTD</t>
  </si>
  <si>
    <t>Zhangjiagang Bocheng Garment Co.LTD</t>
  </si>
  <si>
    <t>JiangYin C&amp;C Garment CO,LTD</t>
  </si>
  <si>
    <t>Jiangyin WeiHao Garment Co.,LTD.</t>
  </si>
  <si>
    <t>Jiangyin Hongyu Textile Co., Ltd.</t>
  </si>
  <si>
    <t>jiangyin huabinfushiyouxiangongsi</t>
  </si>
  <si>
    <t>Jiangyin Yijia Garment Co.Ltd</t>
  </si>
  <si>
    <t>Shaoxing Tiyu Fangzhipin Youxiangongsi</t>
  </si>
  <si>
    <t>Jiangyin Tebang Fuzhuang Youxian gongsi</t>
  </si>
  <si>
    <t>Xinghua Jintuo Maoye</t>
  </si>
  <si>
    <t>JIANGYIN BEIMEI FUSHI CO.,LTD</t>
  </si>
  <si>
    <t>Jiangsu ShuntianShengTaiGongMao</t>
  </si>
  <si>
    <t>colosseum shanghai</t>
  </si>
  <si>
    <t>JIANGSU TOPPYMORE INTERNATIONAL CO.,LTD</t>
  </si>
  <si>
    <t>Yuchang maoyi (Changshu) youxiangongsi</t>
  </si>
  <si>
    <t>Easy Fashion Co.,Ltd</t>
  </si>
  <si>
    <t>Xinghua Kingtop Headwear co.,ltd</t>
  </si>
  <si>
    <t>HaiNing DongYun Knitting&amp;Textile Co.,Ltd</t>
  </si>
  <si>
    <t>기타(AATCC)</t>
  </si>
  <si>
    <t>guangzhou xingsheng fuzhuang</t>
  </si>
  <si>
    <t xml:space="preserve">XIJIA CLOTHING LIMITED </t>
  </si>
  <si>
    <t>CFH FASHION INC</t>
  </si>
  <si>
    <t>SUZHOUSHI YUCHANG TEZHONGXIANWEI</t>
  </si>
  <si>
    <t>GUANGZHOU XIBINAI FUZHUANG YOUXIANGONGSI</t>
  </si>
  <si>
    <t>WU JIANG LANFEI TEXTILE CO.,LTD.</t>
  </si>
  <si>
    <t>TOOLS LAB</t>
  </si>
  <si>
    <t>nanchang yuhanfuzhuang youxiangongsi</t>
  </si>
  <si>
    <t>GRUNER &amp; CO., INC.</t>
  </si>
  <si>
    <t>LIU JIU Textile</t>
  </si>
  <si>
    <t>SHANGHAI SUN BRILLIANT TRADING LTD</t>
  </si>
  <si>
    <t>GUANGZHOU HAESUNG IMPORT AND EXPORT</t>
  </si>
  <si>
    <t>Shaoxing LeihanTextile Co.,Ltd.</t>
  </si>
  <si>
    <t>WENZHOU XINGYI C &amp; T CO.,LTD.</t>
  </si>
  <si>
    <t>Fuh cherng Ent.,Ltd</t>
  </si>
  <si>
    <t>SUNTEK INDUSTRY CO.,LTD</t>
  </si>
  <si>
    <t>SHANGHAI MASTER TRADING CO.LTD</t>
  </si>
  <si>
    <t>Aiyujia Accessories (Hangzhou) Co.,Ltd</t>
  </si>
  <si>
    <t>성무현백성방직유한회사</t>
  </si>
  <si>
    <t>JIA-U INC</t>
  </si>
  <si>
    <t>Global Charming Times Co., Ltd</t>
  </si>
  <si>
    <t>BASIC HOUSE (YIXINGDA  FABRIC CO.,LTD)</t>
  </si>
  <si>
    <t>CHANGSHU HAOTONG GARMENTS CO.,LTD</t>
  </si>
  <si>
    <t>YIWU JINGLI APPAREL CO.,LTD</t>
  </si>
  <si>
    <t>Guangzhou Line Import&amp;Export Co.,LTD</t>
  </si>
  <si>
    <t>Shaoxing zhizhong textile co. LTD</t>
  </si>
  <si>
    <t>SHANGHAI DAXUAN INTERNATIONAL CO.,LTD.</t>
  </si>
  <si>
    <t>MAGIC TRIMS(SHANGHAI) INC.</t>
  </si>
  <si>
    <t>Zhejiang Newtrends Textile Co.,Ltd</t>
  </si>
  <si>
    <t>NINGBO ZEFU IMPORT &amp; EXPORT CO., LTD</t>
  </si>
  <si>
    <t>DONGGUAN HUMEN LISHUIHAN FUZHUANGCHANG</t>
  </si>
  <si>
    <t>Han Na Fashion(Shang Hai)</t>
  </si>
  <si>
    <t>DOUBLE J USA INC</t>
  </si>
  <si>
    <t>SHAOXING GUYE TEXTILE CO.,LTD</t>
  </si>
  <si>
    <t>Feu Jerng Enterprise Co.,Ltd</t>
  </si>
  <si>
    <t>WUXI YINGPEI MAOYI YOUXIANGONGSI</t>
  </si>
  <si>
    <t>FLEXKNIT FACTORIES INC</t>
  </si>
  <si>
    <t>suzhou hengruida home textile</t>
  </si>
  <si>
    <t>SHAOXING SHANGYU YUANWEI HOME TEXTILE CO., LTD</t>
  </si>
  <si>
    <t>HAOBANG TEXTILE</t>
  </si>
  <si>
    <t>GNJ TEXTILES CO.,LTD</t>
  </si>
  <si>
    <t>SHAOXING TAIYAN FANGZHI</t>
  </si>
  <si>
    <t>GUANGZHOU XIUKU GARMENT ACCESSORIES CO.</t>
  </si>
  <si>
    <t>E.Z. TEXTILE</t>
  </si>
  <si>
    <t>AMERICAN FABRIC</t>
  </si>
  <si>
    <t>SG CENTURY(SHANGHAI) CO.,LTD</t>
  </si>
  <si>
    <t xml:space="preserve">서주삼성방직품유한회사 </t>
  </si>
  <si>
    <t>KISOO K TRADING.LTD</t>
  </si>
  <si>
    <t>FASHION NOVA</t>
  </si>
  <si>
    <t>Huai An Winus garment &amp; Headwear Mfg. Co., Ltd.</t>
  </si>
  <si>
    <t>CFS TRADING COMPANY LIMITED</t>
  </si>
  <si>
    <t>jiangsu Talen Clothes Co.,Ltd</t>
  </si>
  <si>
    <t>DONGXIN CLOTHING</t>
  </si>
  <si>
    <t>CHANTEX INTERNATIONAL LIMITED</t>
  </si>
  <si>
    <t>ZHUJI GUOWEI CLOTHING CO.,LTD</t>
  </si>
  <si>
    <t>STABLEWAY</t>
  </si>
  <si>
    <t>SHENZHEN SANBAI INTERNATIONAL TRADE CO.,LTD</t>
  </si>
  <si>
    <t>TIANJIN DETAITENGDA JINCHUKOUYOUXIANGONGSI</t>
  </si>
  <si>
    <t>Shaoxing Hui Bang Clothing Co.,Ltd</t>
  </si>
  <si>
    <t>Weihai Yujia Textile Co., Ltd.</t>
  </si>
  <si>
    <t>PRETTY COLOUR INDUSTRY LIMITED</t>
  </si>
  <si>
    <t>Nanchang Dongshen Knitted Garment Co.,Ltd.</t>
  </si>
  <si>
    <t>simply clothing</t>
  </si>
  <si>
    <t>Nanchang Biaoshang Garment Co.,Ltd</t>
  </si>
  <si>
    <t>Ningbo Yinzhou JOY-YARN Clothing Co.,Ltd</t>
  </si>
  <si>
    <t>Ethik Brands.,llc</t>
  </si>
  <si>
    <t>BETTER BE</t>
  </si>
  <si>
    <t>YST HOLDING CO.,LIMITED</t>
  </si>
  <si>
    <t>shunxin imp &amp; emp co.,ltd</t>
  </si>
  <si>
    <t>Ningbo Yhui Apparel Co.,Ltd</t>
  </si>
  <si>
    <t>Dongguan Shengzhu Clothing Co.,Ltd</t>
  </si>
  <si>
    <t>JIANGXING WANMO IMP&amp;EXP CO.,LTD</t>
  </si>
  <si>
    <t>Jia Xing HK</t>
  </si>
  <si>
    <t>ANFIELD APPAREL GROUP, INC</t>
  </si>
  <si>
    <t>Nanjing Ever-Spring Enterprises.Co.Ltd</t>
  </si>
  <si>
    <t>ZHANGJIAGANG MINGKAI CLOTHING CO,LTD</t>
  </si>
  <si>
    <t>JOY SIGNATURE INC</t>
  </si>
  <si>
    <t>HYUN MODE</t>
  </si>
  <si>
    <t>HYUN MODE(SWEATER WINFINE)</t>
  </si>
  <si>
    <t>ONIN GLOBAL</t>
  </si>
  <si>
    <t>기타(ISO)</t>
  </si>
  <si>
    <t>SUZHOU FEIMOSI TEXTILE TECHNOLOGY CO.,LTD</t>
  </si>
  <si>
    <t>guangzhou xinjin maoyi youxiangongsi</t>
  </si>
  <si>
    <t>SHAOXING SHENGSHUN PIGE YOUXIANGONGSI</t>
  </si>
  <si>
    <t>Fleur The Label</t>
  </si>
  <si>
    <t>ZL INTERNATIONAL LTD</t>
  </si>
  <si>
    <t>HAIYANGSHI JINDELIMAOSHANZERENYOUXIANGONGSI</t>
  </si>
  <si>
    <t>SHANGHAI ZHONGLI FANGZHI</t>
  </si>
  <si>
    <t>HONGHU</t>
  </si>
  <si>
    <t>ZHEJIANG SANJIAZHIYI YOUXIANGONGSI</t>
  </si>
  <si>
    <t>TAIXINGSHI SHUJINFANGZHIGUFEN CO.,LTD</t>
  </si>
  <si>
    <t>SHANGHAI ZHONGTAO  APPAREL CO., LTD.</t>
  </si>
  <si>
    <t>SAEBANTEX</t>
  </si>
  <si>
    <t>SUZHOU LONGHE TEXTILE TECHNOLOGY CO.,LTD</t>
  </si>
  <si>
    <t>BEIHAISHI HAISHENG FANGZHIPIN YOUXIANGONGSI</t>
  </si>
  <si>
    <t>ZHEJIANG DEJIA NEW MATERIAL CO.,LTD</t>
  </si>
  <si>
    <t>Ratti International Trading(Shanghai)Co.Ltd.</t>
  </si>
  <si>
    <t>ZHEJIANG YUBO GARMENTS  CO.,LTD</t>
  </si>
  <si>
    <t>Zhejiang Shalei Fushi Youxiangongsi</t>
  </si>
  <si>
    <t>SHANGRAO YONGDING TEXTILE CO.,LTD</t>
  </si>
  <si>
    <t>WUJIANGSHI CANGHAIFANGZHI YOUXIANGONGSI</t>
  </si>
  <si>
    <t>ShangHai MoSha MaoYiYouXianGongSi</t>
  </si>
  <si>
    <t>NEWELL</t>
  </si>
  <si>
    <t>Wisher Industrial Co.,ltd</t>
  </si>
  <si>
    <t>TOYOSHIMA INTERNATIONAL(SHANGHAI)CO.,LTD</t>
  </si>
  <si>
    <t>Chia Her Industrial co. ltd</t>
  </si>
  <si>
    <t>Hung's Fortune Int'l Co., Ltd.</t>
  </si>
  <si>
    <t>ECLAT TEXTILE CO., LTD.</t>
  </si>
  <si>
    <t>FLYING TEXTILE</t>
  </si>
  <si>
    <t>CAROL TEXTILE CO,LTD</t>
  </si>
  <si>
    <t>INTRADECO APPAREL INC</t>
  </si>
  <si>
    <t>Shanghai Jiuyu Textile Technology Co., Ltd.</t>
  </si>
  <si>
    <t>TAH TONG TEXTILE CO., LTD.</t>
  </si>
  <si>
    <t>New Wide Enterprise Co Ltd</t>
  </si>
  <si>
    <t>Hemp Fortex Industries LTD</t>
  </si>
  <si>
    <t>Yuantex CO.,LTD</t>
  </si>
  <si>
    <t>Changshu Huakun Knitting Co. Ltd</t>
  </si>
  <si>
    <t xml:space="preserve">LAB TEX CO., LTD. </t>
  </si>
  <si>
    <t>Zhucheng Garment &amp; Knitting Imp/Exp Co., Ltd.</t>
  </si>
  <si>
    <t>TEX-RAY INDUSTRIAL CO.,LTD.</t>
  </si>
  <si>
    <t>Shanghai Lingkai textileTechnology Co.,ltd</t>
  </si>
  <si>
    <t>Qingdao Jointwell caps co.,Ltd.</t>
  </si>
  <si>
    <t>NEW WIDE ENTERPRISE CO., LTD</t>
  </si>
  <si>
    <t>KAN CAN USA Inc.</t>
  </si>
  <si>
    <t>Hez Ventures Apparel Co.,LTD</t>
  </si>
  <si>
    <t>NANJING GLORY&amp;HARMONY CO.,LTD</t>
  </si>
  <si>
    <t>DongGuan Leading Garments Ltd</t>
  </si>
  <si>
    <t>Shandong Luyi Garment Co.,Ltd</t>
  </si>
  <si>
    <t>RAINBOW(ZIBO) TEXTILE&amp;GARMENT CO.,LTD</t>
  </si>
  <si>
    <t>WEIFANG LANTIAN TEXTILE CO.,LTD</t>
  </si>
  <si>
    <t>조좡보이</t>
  </si>
  <si>
    <t>Zaozhuang haiyang zhongtai clothing co.,ltd</t>
  </si>
  <si>
    <t>BUCKLE</t>
  </si>
  <si>
    <t>PRECIOUS M,INC</t>
  </si>
  <si>
    <t>G MINI</t>
  </si>
  <si>
    <t>GMINI INC, DBA VINTAGE POINT</t>
  </si>
  <si>
    <t>J&amp;S</t>
  </si>
  <si>
    <t>GUANGZHOU JUHAI FUSHI YOUXIANGONGSI</t>
  </si>
  <si>
    <t>MARMOT</t>
  </si>
  <si>
    <t>TEMU</t>
  </si>
  <si>
    <t>Shanghai Yucan Information Technology Co.,Ltd.</t>
  </si>
  <si>
    <t>Kasper (구.JONES APPAREL GROUP)</t>
  </si>
  <si>
    <t>universal express ltd.</t>
  </si>
  <si>
    <t xml:space="preserve">Byer California </t>
  </si>
  <si>
    <t>YORKWELL ASIA COMPANY LIMITED</t>
  </si>
  <si>
    <t>Chongqing Zhongcheng Garment Co.Ltd</t>
  </si>
  <si>
    <t>PT SANSAN SAUDARATEX JAYA</t>
  </si>
  <si>
    <t>Nantong Pomp Clothing Co.Ltd</t>
  </si>
  <si>
    <t>Nanchang Yiqian Garment Co.Ltd</t>
  </si>
  <si>
    <t>shaoxing hanhan import&amp;export co.,ltd</t>
  </si>
  <si>
    <t>QINGDAO YRJ TEXTILE DEVELOPMENT CO.,LTD</t>
    <phoneticPr fontId="2" type="noConversion"/>
  </si>
  <si>
    <t>wanxinda(guangzhou) technology product co.,ltd</t>
    <phoneticPr fontId="2" type="noConversion"/>
  </si>
  <si>
    <t>BRISTAR(H.K.) INTERNATIONAL TRADING LIMITED</t>
    <phoneticPr fontId="2" type="noConversion"/>
  </si>
  <si>
    <t xml:space="preserve">SHANGHAIXINNUO </t>
    <phoneticPr fontId="2" type="noConversion"/>
  </si>
  <si>
    <t xml:space="preserve">Ideal Fastener(Guangdong) Industries Ltd.  </t>
    <phoneticPr fontId="2" type="noConversion"/>
  </si>
  <si>
    <t>Fung Fat Knitting  Mfy. Ltd.</t>
    <phoneticPr fontId="2" type="noConversion"/>
  </si>
  <si>
    <t>증감율</t>
    <phoneticPr fontId="2" type="noConversion"/>
  </si>
  <si>
    <t>업체
순위</t>
    <phoneticPr fontId="2" type="noConversion"/>
  </si>
  <si>
    <t>ILSHIN INTERNATIONAL CO LTD</t>
  </si>
  <si>
    <t>Yunting International Co., Ltd</t>
  </si>
  <si>
    <t>SHANGHAI SWANY TEXTILE INC</t>
  </si>
  <si>
    <t>NIFCO TAIWAN CORPORATION</t>
  </si>
  <si>
    <t>NEWTECH TEXTILE(SINGAPORE)PTE.LTD.</t>
  </si>
  <si>
    <t>EVERSUN GLOVE INTERNATIONAL LTD</t>
  </si>
  <si>
    <t xml:space="preserve">KAIPING PANTHER TEXTILES CO LTD </t>
  </si>
  <si>
    <t>TRI-TOP APPAREL MANUFACTURING LTD</t>
  </si>
  <si>
    <t>Win &amp; Win Trading Company Limited</t>
  </si>
  <si>
    <t>NINGBO SHUNGUANG ART&amp;CRAFTS CO.LTD</t>
  </si>
  <si>
    <t>Pinytex international limited</t>
  </si>
  <si>
    <t>JOC GREAT WALL CORP.</t>
  </si>
  <si>
    <t>ANY BAND CORP.</t>
  </si>
  <si>
    <t>ALEX BEGG &amp; CO</t>
  </si>
  <si>
    <t>SUNG IL INTERNATIONAL CO LIMITED</t>
  </si>
  <si>
    <t>Shanghai Huahui Silk Apparel Co.,Ltd</t>
  </si>
  <si>
    <t>WUJIANG YUANFANG TEXTILE CO LTD</t>
  </si>
  <si>
    <t>R&amp;Q TEXTILE</t>
  </si>
  <si>
    <t>Head Crown Trading Ltd</t>
  </si>
  <si>
    <t>LOTUS GARMENTS CO</t>
  </si>
  <si>
    <t xml:space="preserve">KUNSHAN ZHENGWEN PAPER PRODUCTS CO.,LTD  </t>
  </si>
  <si>
    <t>Paxar packaging guangzhou limited</t>
  </si>
  <si>
    <t>TYH ULUSLARARASI TEKSTIL PAZVE SAN</t>
  </si>
  <si>
    <t>TEXTIL DEL VALLE SA</t>
  </si>
  <si>
    <t>EARTHSEA TRADING COMPANY BARRY POLLACK</t>
  </si>
  <si>
    <t>Visionworld</t>
  </si>
  <si>
    <t>Savi Global Fashion private limited</t>
  </si>
  <si>
    <t>PBMS GUATEMALA/RAPHA GLOBAL</t>
  </si>
  <si>
    <t>Ecopel(HX) Company Limited</t>
  </si>
  <si>
    <t>Joinfari Lnt'l Ltd</t>
  </si>
  <si>
    <t>KNITSTORY INC</t>
  </si>
  <si>
    <t>RELIANCE PRODUCERS COOPERATIVE (CARMONA)</t>
  </si>
  <si>
    <t>ROSE KNITTING ASIA LTD</t>
  </si>
  <si>
    <t>STAR GARMENTS GROUP PVT LTD(Venture NY INC)</t>
  </si>
  <si>
    <t>Tien Hu trading(HK) LTD</t>
  </si>
  <si>
    <t>HMS International Fabrics</t>
  </si>
  <si>
    <t>RIOPELE TEXTEIS SA</t>
  </si>
  <si>
    <t>ZHANGJIAGANG JINLING TEXTILES CO LTD</t>
    <phoneticPr fontId="2" type="noConversion"/>
  </si>
  <si>
    <t>DEQING CHINA-AFRICA FOREIGN TRADE PORT CO.,LTD</t>
    <phoneticPr fontId="2" type="noConversion"/>
  </si>
  <si>
    <t>TONGXIANG EASUN FOREIGN TRADE CO.,LTD</t>
    <phoneticPr fontId="2" type="noConversion"/>
  </si>
  <si>
    <t>Joy fashion co.,ltd.</t>
    <phoneticPr fontId="2" type="noConversion"/>
  </si>
  <si>
    <t>SHAOXING DARIN TEXTILE CO., LTD</t>
    <phoneticPr fontId="2" type="noConversion"/>
  </si>
  <si>
    <t>Changzhou ShengLai garments co.,ltd.</t>
    <phoneticPr fontId="2" type="noConversion"/>
  </si>
  <si>
    <t>NINGBO LONGFEI IMP&amp;EXP CO.LTD</t>
    <phoneticPr fontId="2" type="noConversion"/>
  </si>
  <si>
    <t>JIN HONG INTERNATIONAL TRADING(SHANGHAI) CO.LTD</t>
    <phoneticPr fontId="2" type="noConversion"/>
  </si>
  <si>
    <t>Suzhou D&amp;C Manufacture Group</t>
    <phoneticPr fontId="2" type="noConversion"/>
  </si>
  <si>
    <t>JIANGSU FENGYIN TEXTILE INDUSTRIAL CO LTD</t>
    <phoneticPr fontId="2" type="noConversion"/>
  </si>
  <si>
    <t>ARCH TEXTILES MANUFACTURE CORP</t>
    <phoneticPr fontId="2" type="noConversion"/>
  </si>
  <si>
    <t>Teebur Textile(Shanghai)Co.Ltd</t>
    <phoneticPr fontId="2" type="noConversion"/>
  </si>
  <si>
    <t>NANTONG ZHONGDA TEXTILE CO.LTD</t>
    <phoneticPr fontId="2" type="noConversion"/>
  </si>
  <si>
    <t>YOUNG PLUS TRADING HK CO., LTD</t>
    <phoneticPr fontId="2" type="noConversion"/>
  </si>
  <si>
    <t>BONA INDUSTRIAL CO.,LIMITED</t>
    <phoneticPr fontId="2" type="noConversion"/>
  </si>
  <si>
    <t>NARA INTERNATIONAL TRADING LIMITED</t>
    <phoneticPr fontId="2" type="noConversion"/>
  </si>
  <si>
    <t>C&amp;C NANTONG CATHAY CLOTHING CO.,LTD</t>
    <phoneticPr fontId="2" type="noConversion"/>
  </si>
  <si>
    <t>SuZhou TJ Sportswear Co., Ltd.</t>
    <phoneticPr fontId="2" type="noConversion"/>
  </si>
  <si>
    <t>REGENTEX LTD</t>
    <phoneticPr fontId="2" type="noConversion"/>
  </si>
  <si>
    <t>Bristar Int'l Co. Ltd</t>
    <phoneticPr fontId="2" type="noConversion"/>
  </si>
  <si>
    <t>Suzhou Gleao Co., Ltd</t>
    <phoneticPr fontId="2" type="noConversion"/>
  </si>
  <si>
    <t>Shanghai Zhaoyan Industrial Co., Ltd</t>
    <phoneticPr fontId="2" type="noConversion"/>
  </si>
  <si>
    <t>SBR WOVENS LLC</t>
    <phoneticPr fontId="2" type="noConversion"/>
  </si>
  <si>
    <t>RENNAN J INC DBA INA</t>
    <phoneticPr fontId="2" type="noConversion"/>
  </si>
  <si>
    <t>guangzhou fengen fuzhuang</t>
    <phoneticPr fontId="2" type="noConversion"/>
  </si>
  <si>
    <t>SHANGHAI AYN APPAREL CO., LTD.</t>
    <phoneticPr fontId="2" type="noConversion"/>
  </si>
  <si>
    <t>CHUZHOU G AND J TEXTILES CO., LTD</t>
    <phoneticPr fontId="2" type="noConversion"/>
  </si>
  <si>
    <t xml:space="preserve">HONG TU </t>
    <phoneticPr fontId="2" type="noConversion"/>
  </si>
  <si>
    <t>WENZHOU XINGYI C &amp; T CO.,LTD.</t>
    <phoneticPr fontId="2" type="noConversion"/>
  </si>
  <si>
    <t>Weihai Happy International Trade Co.,Ltd</t>
    <phoneticPr fontId="2" type="noConversion"/>
  </si>
  <si>
    <t>MOCA USA, INC</t>
    <phoneticPr fontId="2" type="noConversion"/>
  </si>
  <si>
    <t>평산기업</t>
    <phoneticPr fontId="2" type="noConversion"/>
  </si>
  <si>
    <t>Guangzhou For.M Trading Co.,Ltd</t>
    <phoneticPr fontId="2" type="noConversion"/>
  </si>
  <si>
    <t>JYD INTERNATIONAL CO.,LTD</t>
    <phoneticPr fontId="2" type="noConversion"/>
  </si>
  <si>
    <t>YNBE</t>
    <phoneticPr fontId="2" type="noConversion"/>
  </si>
  <si>
    <t>HUE STYLE INC</t>
    <phoneticPr fontId="2" type="noConversion"/>
  </si>
  <si>
    <t>Changshu Xinmeisheng  Textile Co.,Ltd</t>
    <phoneticPr fontId="2" type="noConversion"/>
  </si>
  <si>
    <t>Nanchang Yiqin Garment Co.Ltd</t>
    <phoneticPr fontId="2" type="noConversion"/>
  </si>
  <si>
    <t>Wuyuan Yuhao Clothing Co.,Ltd</t>
    <phoneticPr fontId="2" type="noConversion"/>
  </si>
  <si>
    <t>Hangzhou Chenyuan import co.,ltd</t>
    <phoneticPr fontId="2" type="noConversion"/>
  </si>
  <si>
    <t>WEIHAI GREND LEGEND GARMENT CO..LTD</t>
    <phoneticPr fontId="2" type="noConversion"/>
  </si>
  <si>
    <t>METALLO COMANY</t>
    <phoneticPr fontId="2" type="noConversion"/>
  </si>
  <si>
    <t>SINOBASE INTERNATIONALHONGKONG LIMITED</t>
    <phoneticPr fontId="2" type="noConversion"/>
  </si>
  <si>
    <t>Ruentex industries limited</t>
    <phoneticPr fontId="2" type="noConversion"/>
  </si>
  <si>
    <t>ZHANGJIAGANG JINLING TEXTILES CO</t>
    <phoneticPr fontId="2" type="noConversion"/>
  </si>
  <si>
    <t>Highfashion(China) Co., Ltd</t>
    <phoneticPr fontId="2" type="noConversion"/>
  </si>
  <si>
    <t>TAT FUNG TEXTILE COMPANY LIMITED</t>
    <phoneticPr fontId="2" type="noConversion"/>
  </si>
  <si>
    <t>0 Mile Corp</t>
    <phoneticPr fontId="2" type="noConversion"/>
  </si>
  <si>
    <t>suzhou unitedtex enterprise ltd</t>
    <phoneticPr fontId="2" type="noConversion"/>
  </si>
  <si>
    <t>PLUS 39 LIMITED</t>
    <phoneticPr fontId="2" type="noConversion"/>
  </si>
  <si>
    <t>MEGA (HONG KONG) LIMITED</t>
    <phoneticPr fontId="2" type="noConversion"/>
  </si>
  <si>
    <t>NEW FOCUS TEXTILES LIMITED</t>
    <phoneticPr fontId="2" type="noConversion"/>
  </si>
  <si>
    <t>YANGZHOU DONGSHENG TEXTILE CO LTD</t>
    <phoneticPr fontId="2" type="noConversion"/>
  </si>
  <si>
    <t>FAR EAST TEXTILE GROUP(HOLDING)CO LTD</t>
    <phoneticPr fontId="2" type="noConversion"/>
  </si>
  <si>
    <t>YAGI TSUSHO HONG KONG LIMITED</t>
    <phoneticPr fontId="2" type="noConversion"/>
  </si>
  <si>
    <t>Huaren Linen(HK)Co.,LTD</t>
    <phoneticPr fontId="2" type="noConversion"/>
  </si>
  <si>
    <t>MILAGROS NAN QIAO LIMITED</t>
    <phoneticPr fontId="2" type="noConversion"/>
  </si>
  <si>
    <t>LAKEWILL SILK AND GARMENT LTD</t>
    <phoneticPr fontId="2" type="noConversion"/>
  </si>
  <si>
    <t>Beijiang Vietnam Textile Company Limited</t>
    <phoneticPr fontId="2" type="noConversion"/>
  </si>
  <si>
    <t>WINNITEX LIMITED</t>
    <phoneticPr fontId="2" type="noConversion"/>
  </si>
  <si>
    <t>JingJiang YuTong Garment CO.,LTD</t>
    <phoneticPr fontId="2" type="noConversion"/>
  </si>
  <si>
    <t>Sunrise Textile(Group)Co.,Ltd</t>
    <phoneticPr fontId="2" type="noConversion"/>
  </si>
  <si>
    <t>carreman</t>
    <phoneticPr fontId="2" type="noConversion"/>
  </si>
  <si>
    <t>VISIONLAND CHINA CO., LTD</t>
    <phoneticPr fontId="2" type="noConversion"/>
  </si>
  <si>
    <t>(주)에프앤에프_MLB</t>
  </si>
  <si>
    <t>Guangdong Apex Essence Textile Technology Limited</t>
  </si>
  <si>
    <t>TAIHUA HIGH-TECH DYEING &amp; FINISHING (JIAXING) CO.,LTD.</t>
  </si>
  <si>
    <t>SHANGHAI FUHUI TEXTILE TRADING CO.,LTD</t>
  </si>
  <si>
    <t>ZHEJIANG JIANANDA TEXTILE TECHNOLOGY CO.,LTD</t>
  </si>
  <si>
    <t>ITOCHU TEXTILE(CHINA)CO., LTD</t>
  </si>
  <si>
    <t xml:space="preserve">청도미준니트유한회사  </t>
  </si>
  <si>
    <t>DONGGUAN TONGFA KNITWEARS CO., LTD.</t>
  </si>
  <si>
    <t>(주)노브랜드</t>
  </si>
  <si>
    <t>SHANGHAI HEYUN CO., LTD</t>
  </si>
  <si>
    <t>KUNSHAN DOONLY INTERNATIONAL.CO.LTD</t>
  </si>
  <si>
    <t>FOSHANSHI SHUNDEQU HONGYING ZHIYIYOUXIANGONGSI</t>
  </si>
  <si>
    <t>Zhejiang Mizuda Printing And Dyeing Group</t>
  </si>
  <si>
    <t>Dongguan Knitwear Manufacturers Co.,Ltd</t>
  </si>
  <si>
    <t>SHANGHAI DONGDI TEXTILE</t>
  </si>
  <si>
    <t>TAIAN LUYI KINTTED FABRIC PRINTING AND DYING CO.LTD</t>
  </si>
  <si>
    <t>LIANSHENG(FUJIAN)FANGZHI</t>
  </si>
  <si>
    <t>TAICANG YOULIN KNITTING CO., LTD</t>
  </si>
  <si>
    <t>ZHONGSHANSHI BLUE-FOREST FUZHUANG YOUXIANGONGSI</t>
  </si>
  <si>
    <t>(주)기도산업</t>
  </si>
  <si>
    <t>SHANGHAI DINGHAO FUSHI YOUXIANGONGSI</t>
  </si>
  <si>
    <t>YANCHENG DAFENG MINQI KNITTED &amp; FLOCKED FABRIC CO., LTD</t>
  </si>
  <si>
    <t>ADVANCE DENIM CO.LTD</t>
  </si>
  <si>
    <t>Jiafu (Fujian) Dyeing and Finishing  Co.,Ltd.</t>
  </si>
  <si>
    <t>ANHUI HUAYINGXINTANG</t>
  </si>
  <si>
    <t>Fujian Honggang Textile Technology Co., LTD</t>
  </si>
  <si>
    <t>ZHEJIANG BABEI TEXTILE CO., LTD.</t>
  </si>
  <si>
    <t>Toray Sakai Weaving &amp; Dyeing (Nantong)Co.,Ltd</t>
  </si>
  <si>
    <t>Dongguan Texwinca Textile and Garment Ltd</t>
  </si>
  <si>
    <t>주식회사 디원티엔씨</t>
  </si>
  <si>
    <t>NINGBO TONGYI FUZHUANG</t>
  </si>
  <si>
    <t>SHANGHAI SKYTEX INCORPORATED COMPANY</t>
  </si>
  <si>
    <t>YOURUN TEXTILE CO.,LTD</t>
  </si>
  <si>
    <t xml:space="preserve">가흥 이조화섬 </t>
  </si>
  <si>
    <t>(주)팬코</t>
  </si>
  <si>
    <t>NATURE OUTDOOR (JIANGSU) NEW MATERIALS CO.,LTD</t>
  </si>
  <si>
    <t>ZHANGJIANGANG NUOLE FABRIC LTD</t>
  </si>
  <si>
    <t>JIANGSU DONGFANG TEXTILE TECHNOLOGY CO.,LTD</t>
  </si>
  <si>
    <t>FUJIAN XIANJINFANGZHIPIN CO., LTD</t>
  </si>
  <si>
    <t>티피나디아(주)</t>
  </si>
  <si>
    <t>WECAN(ZIBO)TEXTILE AND GARMENT CO.,LTD</t>
  </si>
  <si>
    <t>CHANGZHOU YUYUANG TEXTILE LTD.</t>
  </si>
  <si>
    <t>SUZHOU TOP-TEXTILE CO., LTD</t>
  </si>
  <si>
    <t>SHAOXING SHANGJIE TEXTILES CO.,LTD</t>
  </si>
  <si>
    <t>NUOBO TEXTILE</t>
  </si>
  <si>
    <t xml:space="preserve">NANTONG DIREN </t>
  </si>
  <si>
    <t>Nice Dyeing Factory Ltd.</t>
  </si>
  <si>
    <t>JIANGSU GOLDEN MORNING KNITTING COMPANY</t>
  </si>
  <si>
    <t>TESSELLATION DONG NAI COMPANY LIMITED</t>
  </si>
  <si>
    <t>CONVERSTER.,LTD</t>
  </si>
  <si>
    <t>TOPSON TEXTILE CO.,LTD</t>
  </si>
  <si>
    <t>HANGZHOU XIANSHENG FANGZHI</t>
  </si>
  <si>
    <t>ZHEJIANG SHAOXING YOURUI TEXTILE CO.,LTD</t>
  </si>
  <si>
    <t>SHANGHAI JUNRONG FUSHI</t>
  </si>
  <si>
    <t>쯔보위켄방직복장유한공사</t>
  </si>
  <si>
    <t>GUANG ZHOU SHENDA METAL &amp; PLASTIC PRODUCTS CO., LTD.</t>
  </si>
  <si>
    <t>엘림인터내셔날</t>
  </si>
  <si>
    <t>주식회사 무신사</t>
  </si>
  <si>
    <t>(주)위즈아이엔씨</t>
  </si>
  <si>
    <t>비기닝리테일 주식회사</t>
  </si>
  <si>
    <t>주식회사 피앤디코리아아이앤씨</t>
  </si>
  <si>
    <t>(주)서경어패럴</t>
  </si>
  <si>
    <t>더블유캔버스</t>
  </si>
  <si>
    <t>주식회사 위클리플랜</t>
  </si>
  <si>
    <t xml:space="preserve">주식회사 코앤컴 </t>
  </si>
  <si>
    <t>(주)더블유엔디</t>
  </si>
  <si>
    <t>주식회사 위캔드기어컴퍼니</t>
  </si>
  <si>
    <t>주식회사 인스턴트펑크인터내셔널</t>
  </si>
  <si>
    <t xml:space="preserve">(주)에스앤씨인터내셔날 </t>
  </si>
  <si>
    <t>(주)티앤씨텍스타일</t>
  </si>
  <si>
    <t>(주)에프앤에프_디스커버리</t>
  </si>
  <si>
    <t>WINSUN TEXTILE(JIANG SU)CO.,LTD</t>
  </si>
  <si>
    <t>JIANGSU GUOTAI HUASHENG INDUSTRIAL CO.,LTD</t>
  </si>
  <si>
    <t>(주)에프앤에프</t>
  </si>
  <si>
    <t>Guangdong Tessellation Technology Limited</t>
  </si>
  <si>
    <t>스튜어트 주식회사</t>
  </si>
  <si>
    <t xml:space="preserve">주식회사 엠엠엠디 </t>
  </si>
  <si>
    <t>이랜드GB</t>
  </si>
  <si>
    <t>이낸(상해)복장무역유한공사</t>
  </si>
  <si>
    <t>(주)두림이멕스상사</t>
  </si>
  <si>
    <t>천지</t>
  </si>
  <si>
    <t>제이엠텍스타일(주)</t>
  </si>
  <si>
    <t>(주)필코상사</t>
  </si>
  <si>
    <t>NINGBO TONGFU FANGZHI</t>
  </si>
  <si>
    <t>주식회사 한세에프엘</t>
  </si>
  <si>
    <t>스타이렘코리아 주식회사</t>
  </si>
  <si>
    <t>WUJIANG CHUTIAN TEXTILE</t>
  </si>
  <si>
    <t>HANGZHOU LIJIN</t>
  </si>
  <si>
    <t>SHANGHAI YIJIE</t>
  </si>
  <si>
    <t>(주)동방패브릭</t>
  </si>
  <si>
    <t>WUJIANG YIHUA SILK CO.,LTD</t>
  </si>
  <si>
    <t>WUJIANG FUHUA TEXTILE CO., LTD.</t>
  </si>
  <si>
    <t>SHAOXING XIEYI</t>
  </si>
  <si>
    <t>주식회사 라온텍스</t>
  </si>
  <si>
    <t>아이엘상사</t>
  </si>
  <si>
    <t>원일섬유</t>
  </si>
  <si>
    <t>(주)이랜드월드</t>
  </si>
  <si>
    <t>NINGBO DONGCHEN</t>
  </si>
  <si>
    <t>정원위너무역</t>
  </si>
  <si>
    <t>(주)스카이텍스타일</t>
  </si>
  <si>
    <t>SHANGHAI MINGSHANG</t>
  </si>
  <si>
    <t>WISH TRADING(SHANGHAI) CO., LTD.</t>
  </si>
  <si>
    <t>GUANGZHOU WANGFENG</t>
  </si>
  <si>
    <t>(주)영우</t>
  </si>
  <si>
    <t>(주)이랜드월드패션사업부</t>
  </si>
  <si>
    <t>(주)텍스씨앤제이</t>
  </si>
  <si>
    <t>NANTONG FOREMOST HEADWEARS CO.,LTD</t>
  </si>
  <si>
    <t>WUJIANG SANDING FABRIC CO., LTD.</t>
  </si>
  <si>
    <t>모스아이앤씨</t>
  </si>
  <si>
    <t>BBC INTERNATIONAL LLC</t>
  </si>
  <si>
    <t>DINGXIANG FOOTWEAR CO.,LTD</t>
  </si>
  <si>
    <t>CHANGZHOU XINGPENG FOOTWEAR CO.LTD</t>
  </si>
  <si>
    <t>JIAOZUO LONGHE FOOTWEAR CO.,LTD</t>
  </si>
  <si>
    <t>FUQING CITY FUXING SHOES CO.,LTD</t>
  </si>
  <si>
    <t>SUN LIK SHOES&amp;METAL CO.,LTD</t>
  </si>
  <si>
    <t>(주)브랜드엑스코퍼레이션</t>
  </si>
  <si>
    <t>엠에스텍스</t>
  </si>
  <si>
    <t>주식회사 핏트레이딩</t>
  </si>
  <si>
    <t>젠텍스(THE JENTEX)</t>
  </si>
  <si>
    <t>C.N PRINTEX</t>
  </si>
  <si>
    <t>(주)폴리티피에스</t>
  </si>
  <si>
    <t>Hangzhou Yihua Textile &amp; Silk Co.,Ltd</t>
  </si>
  <si>
    <t>Sino textile</t>
  </si>
  <si>
    <t>CHANGZHOU  SANBANG</t>
  </si>
  <si>
    <t xml:space="preserve">산동신천지복장유한회사 </t>
  </si>
  <si>
    <t>제일모직 GB</t>
  </si>
  <si>
    <t>DALIAN LONGZHIHUAFUZHUANGYOUXIANGONGSI</t>
  </si>
  <si>
    <t>QINGDAO HANJOO GARMENTS CO.,LTD</t>
  </si>
  <si>
    <t>XIESHENG</t>
  </si>
  <si>
    <t>JIANGSU HUAYI GARMENT.,LTD</t>
  </si>
  <si>
    <t>엠디글로벌(주)</t>
  </si>
  <si>
    <t>DALIAN ZHONGYUANFUZHUANGYOUXIANGONGSI</t>
  </si>
  <si>
    <t>삼성물산(주) 패션부문</t>
  </si>
  <si>
    <t>SHANGHAI BOHOME TEXTILE CO.,LTD</t>
  </si>
  <si>
    <t>제일모직(주)패션부문</t>
  </si>
  <si>
    <t>Zhejiang Steady Textile&amp;Clothing Co.,Ltd</t>
  </si>
  <si>
    <t>삼성물산(주) 패션부문 GB</t>
  </si>
  <si>
    <t>HANGZHOU JIUQI FANGZHIPINYOUXIANGONGSI</t>
  </si>
  <si>
    <t>ZHEJIANG YIMEIJI FUSHI</t>
  </si>
  <si>
    <t>NEWWIDE</t>
  </si>
  <si>
    <t>(주)에프앤에프_수프라</t>
  </si>
  <si>
    <t>-</t>
  </si>
  <si>
    <t>연대비식우의국제무역유한공사</t>
  </si>
  <si>
    <t>서진텍스타일(주)</t>
  </si>
  <si>
    <t>DEHEPU</t>
  </si>
  <si>
    <t>YANTAI YIFEIXINBEI DRESS CO.,LTD</t>
  </si>
  <si>
    <t>Beijing Off road Jianghu Culture Communication Co., Ltd</t>
  </si>
  <si>
    <t>DONG GUAN NANJIA FUSHI</t>
  </si>
  <si>
    <t>DANDONG YOUKAI</t>
  </si>
  <si>
    <t>SUIZHOU JIAN KNITTING CO.,LTD</t>
  </si>
  <si>
    <t xml:space="preserve">YONGYICHANG </t>
  </si>
  <si>
    <t>ZIBO SHIDA GARMENT CO.,LTD</t>
  </si>
  <si>
    <t>S&amp;J INTERNATIONAL CORP.</t>
  </si>
  <si>
    <t>DONGAO HONGTE YINRAN</t>
  </si>
  <si>
    <t xml:space="preserve">LUAN CITY RUISIJIE FEATHER DOWN PRODUCTS CO.,LTD </t>
  </si>
  <si>
    <t xml:space="preserve">청도두커국제무역유한회사 </t>
  </si>
  <si>
    <t>SUZHOU HENGRUN IMPORT&amp; EXPORT CORP.,LTD</t>
  </si>
  <si>
    <t>JIANGYINSHI TIANHONG FANGZHIYOUXIANGONGSI</t>
  </si>
  <si>
    <t>청도성작기웨빙유한회사</t>
  </si>
  <si>
    <t xml:space="preserve">허북성진대캐시미어제품유한회사 </t>
  </si>
  <si>
    <t>청도웅원방직유한공사</t>
  </si>
  <si>
    <t>Pujiang Qianfeng Import&amp;Export Co,ltd</t>
  </si>
  <si>
    <t>3월</t>
    <phoneticPr fontId="2" type="noConversion"/>
  </si>
  <si>
    <t>2024년 합계</t>
    <phoneticPr fontId="2" type="noConversion"/>
  </si>
  <si>
    <t>2025년 합계</t>
    <phoneticPr fontId="2" type="noConversion"/>
  </si>
  <si>
    <t>총합계</t>
  </si>
  <si>
    <t>증감수수료</t>
    <phoneticPr fontId="2" type="noConversion"/>
  </si>
  <si>
    <t>신성통상(주)</t>
  </si>
  <si>
    <t>QINGDAO GAOLIYA TRADING CO.,LTD</t>
  </si>
  <si>
    <t>SHAOXING WUCAIBINFEN</t>
  </si>
  <si>
    <t>SHAOXING GUIRONG TRADING CO.,LIMITED</t>
  </si>
  <si>
    <t>SHAOXING KEQIAO SHOUZHUO</t>
  </si>
  <si>
    <t>SHAOXING JIAYI IMPORT AND EXPORT CO.,LTD</t>
  </si>
  <si>
    <t>SUZHOU SHENGXIANFANGZHKEJI YOUXIANGONGSI</t>
  </si>
  <si>
    <t xml:space="preserve">주식회사 조은모방 </t>
  </si>
  <si>
    <t>SUZHOU CHENQI TEXTILE CO.,LTD</t>
  </si>
  <si>
    <t>JIAXINGSHI HUAYAZHIDAOGUFEN YOUXIANGONGSI</t>
  </si>
  <si>
    <t>MONOTEX SHANGHAI CO.,LTD</t>
  </si>
  <si>
    <t>SHAOXING ZHENLU FANGZHIPIN YOUXIANGONGSI</t>
  </si>
  <si>
    <t>Hangzhou Sanjin Textile Development Co.,Mltd</t>
  </si>
  <si>
    <t>JIANGSU GUOTAI INT'L GROUP GUOHUA CROP.,LTD.</t>
  </si>
  <si>
    <t>MAILONG TEXTILE</t>
  </si>
  <si>
    <t>(주)엠앤제이플래닝</t>
  </si>
  <si>
    <t>SHANGHAI YUNXUAN</t>
  </si>
  <si>
    <t>SHAOXING XIAOXIAO IMP&amp;EXP CO., LTD</t>
  </si>
  <si>
    <t>SUZHOU BOTIAN TEXTILE COMPANY LIMITED</t>
  </si>
  <si>
    <t>(주)이랜드</t>
  </si>
  <si>
    <t>ZHEJIANG ZHUOHEFANGZHI</t>
  </si>
  <si>
    <t>ZHANGJIAGANGBAOSHUIQU HENGCHUANG FANGZHI</t>
  </si>
  <si>
    <t>SHAOXINGSHI JINLONG FANGZHIYOUXIANGONGSI</t>
  </si>
  <si>
    <t>SUZHOU QUANWEI</t>
  </si>
  <si>
    <t>ZHEJIANG BINKANG QINGFANGKEJIYOUXIANGONGSI</t>
  </si>
  <si>
    <t>CHONGSHANGSHIDAI(JIANGSU)FANGZHIKEJI YOUXIANGONGSI</t>
  </si>
  <si>
    <t>JIANGYINSHI HUAJIANGSEZHI YOUIXIANGONGSI</t>
  </si>
  <si>
    <t>JIANGYINSHI SHENGSHANG FANGZHI</t>
  </si>
  <si>
    <t>WUJIANG YIYING TEXTILE CO.,LTD</t>
  </si>
  <si>
    <t>HANGZHOU YAZHENG</t>
  </si>
  <si>
    <t>JIANGSU SHENGHUANG</t>
  </si>
  <si>
    <t>NANTONG DISEN</t>
  </si>
  <si>
    <t>QIYANFANGZHI</t>
  </si>
  <si>
    <t>SHAOXING KEQIAO YINENG FANGZHI</t>
  </si>
  <si>
    <t>SUZHOU KANSHANG</t>
  </si>
  <si>
    <t>JIANGYIN DIKELONG</t>
  </si>
  <si>
    <t>JIANGYINSHI YINGKANGFANGZHIYOUXIANGONGSI</t>
  </si>
  <si>
    <t>KEQIAOSHI SUOYIFANGZHIKEJI YOUXIANGONGSI</t>
  </si>
  <si>
    <t>KUNSHAN SHENGBO</t>
  </si>
  <si>
    <t>SHANDONG MEIYUANFANGZHI YOUXIANGONGSI</t>
  </si>
  <si>
    <t>SHANGHAI HONGRUN TEXTILE CO.LTD</t>
  </si>
  <si>
    <t>SHANGHAI YAOMA TEXTILE</t>
  </si>
  <si>
    <t>shaoxing chuhui</t>
  </si>
  <si>
    <t>SUZHOU HERUI</t>
  </si>
  <si>
    <t xml:space="preserve">WUJIANG JINQU </t>
  </si>
  <si>
    <t xml:space="preserve">ZHEJIANG XINLE </t>
  </si>
  <si>
    <t>ZHEJIANG XUSHENG FANGZHIPIN YOUXIANGONGSI</t>
  </si>
  <si>
    <t>CHANGSHU DUSHANG</t>
  </si>
  <si>
    <t>CHANGZHOU YANYANG FANGZHIPINYOUXIANGONGSI</t>
  </si>
  <si>
    <t>DAOGE</t>
  </si>
  <si>
    <t>HANGZHOU WEIYE FANGZHI KEJIYOUXIANGONGSI</t>
  </si>
  <si>
    <t>JIANGYIN BOTONG</t>
  </si>
  <si>
    <t>JIANGYIN HENGLIANG TEXTILE CO.,LTD</t>
  </si>
  <si>
    <t>JIANGYIN XINGWU NIRONG KEJIYOUXIANGONGSI</t>
  </si>
  <si>
    <t>JIANGYINSHI HENGCHANG KNITTING CO.,LTD</t>
  </si>
  <si>
    <t>JIASHAN ZHENGSHANG TEXTILE CO.,LTD</t>
  </si>
  <si>
    <t>JINGYINSHI  DARUN FANGZHI YOUXIANGONGSI</t>
  </si>
  <si>
    <t>KUNSHAN DONGLI XINCAILIAO</t>
  </si>
  <si>
    <t>SHANGHAI LINZHUO TEXTILE CO.,LTD</t>
  </si>
  <si>
    <t>SHANGHAI TIANTANGNIAO TEXTILE</t>
  </si>
  <si>
    <t>SHAOXIN CHENGHAN</t>
  </si>
  <si>
    <t>SHAOXING ENXIN</t>
  </si>
  <si>
    <t>SHAOXING HANXIONG FANGZHI</t>
  </si>
  <si>
    <t>SHAOXING QIKALE FANGZHIYOUXIANGONGSI</t>
  </si>
  <si>
    <t>SHAOXING TAOYONG</t>
  </si>
  <si>
    <t>SHAOXING ZHAODE TEXTILE CO; LTD</t>
  </si>
  <si>
    <t>SHAOXING ZHENSHILI</t>
  </si>
  <si>
    <t>SUZHOU SHENGYUAN</t>
  </si>
  <si>
    <t>SUZHOU WEIHONG FANGZHI</t>
  </si>
  <si>
    <t>TAIHUA GAOXINRANZHENG(JIAXING)</t>
  </si>
  <si>
    <t>TIANHAO GUOJI</t>
  </si>
  <si>
    <t>WUJIANGSHI HENGXIN</t>
  </si>
  <si>
    <t>WuXi DaYang</t>
  </si>
  <si>
    <t xml:space="preserve">YADONG(CHANGZHOU) KEJI </t>
  </si>
  <si>
    <t>ZHANGJIAGANG AOYANG TEXTILE CO.,LTD</t>
  </si>
  <si>
    <t>ZHENGKAI FANGZHIYOUXIANGONGSI</t>
  </si>
  <si>
    <t>SEJUNG</t>
  </si>
  <si>
    <t>HAI AN JIANTAI</t>
  </si>
  <si>
    <t>CHANGZHOU JiaQi Textile</t>
  </si>
  <si>
    <t>RUIRUI</t>
  </si>
  <si>
    <t>TY-TEX(XINTIANYUAN)</t>
  </si>
  <si>
    <t>DONG DI</t>
  </si>
  <si>
    <t>SHAOXING ANYUE</t>
  </si>
  <si>
    <t>WUJIANGSHI LIANGHUA ZHIZAOYOUXIANGONGSI</t>
  </si>
  <si>
    <t xml:space="preserve">CHANGZHOUSHI XINDONGYUAN </t>
  </si>
  <si>
    <t>HANGZHOU SIXUAN TEXTILE</t>
  </si>
  <si>
    <t>JIAGUWEN</t>
  </si>
  <si>
    <t>LIMO</t>
  </si>
  <si>
    <t>SHANGHAI TIANMING MAOYI YOUXIANGONGSI</t>
  </si>
  <si>
    <t>SHAOXING HONGRUI</t>
  </si>
  <si>
    <t>SHAOXING KETAO FANGZHIPIN YOUXIANGOGNSI</t>
  </si>
  <si>
    <t>SHAOXING SESHANGFANG MAOYIYOUXIANGONGSI</t>
  </si>
  <si>
    <t>SUZHOUSHI YURIFANGZHIYOUXIANGOGNSI</t>
  </si>
  <si>
    <t>ZHEJIANG FULIDA FASHION TECHNOLOGY CO.,  LTD</t>
  </si>
  <si>
    <t>zhejiang yaozhiguang</t>
  </si>
  <si>
    <t>SUZHOU YUNZHONGFANGZHI KEJIYOUXIANGONGSI</t>
  </si>
  <si>
    <t>ZHANGJIAGANG DESHANG TEXTILE CO.,LTD</t>
  </si>
  <si>
    <t>ZHEJIANG MIDI TEXTILES CO., LTD</t>
  </si>
  <si>
    <t>상해 영민무역</t>
  </si>
  <si>
    <t xml:space="preserve">SHANGHAI RONGMIN MAOYI </t>
  </si>
  <si>
    <t>zhangjiagang fuqian</t>
  </si>
  <si>
    <t>Dain Inc.</t>
  </si>
  <si>
    <t>SHANGHAI MINYINGMAOYI</t>
  </si>
  <si>
    <t>SHANGHAI YANFENG TEXTILE CO.,LTD</t>
  </si>
  <si>
    <t>SUZHOU ZHONGYUAN</t>
  </si>
  <si>
    <t>CHANGZHOU XURONG</t>
  </si>
  <si>
    <t>NINGBO GUANNAN TEXTILE TECHNOLOGY CO.,LTD</t>
  </si>
  <si>
    <t>SUZHOU LONGDEXIANG</t>
  </si>
  <si>
    <t>WUJIAGNSHI TUTAIKE</t>
  </si>
  <si>
    <t>SUZHOU XIANSHUO FANGZHIYOUXIANGONGSI</t>
  </si>
  <si>
    <t>SHINSUNG TONGSHANG CHINA JIAXING BRANCH</t>
    <phoneticPr fontId="2" type="noConversion"/>
  </si>
  <si>
    <t>baoyou fangzhi (POWERTEX)</t>
    <phoneticPr fontId="2" type="noConversion"/>
  </si>
  <si>
    <t>JIANGYIN SHENGZHU FANGZHI</t>
    <phoneticPr fontId="2" type="noConversion"/>
  </si>
  <si>
    <t>xuzhou sansheng fangzhi youxiangongsi</t>
    <phoneticPr fontId="2" type="noConversion"/>
  </si>
  <si>
    <t>SUZHOU BOTIAN TEXTILE COMPANY LIMITED</t>
    <phoneticPr fontId="2" type="noConversion"/>
  </si>
  <si>
    <t>ZHANGJIAGANGBAOSHUIQU HENGCHUANG FANGZHI</t>
    <phoneticPr fontId="2" type="noConversion"/>
  </si>
  <si>
    <t>CHANGZHOUSHI KELAODEBUYE YOUXIANGONGSI</t>
    <phoneticPr fontId="2" type="noConversion"/>
  </si>
  <si>
    <t>OUBAO</t>
    <phoneticPr fontId="2" type="noConversion"/>
  </si>
  <si>
    <t>chengshangcheng</t>
    <phoneticPr fontId="2" type="noConversion"/>
  </si>
  <si>
    <t>HAINING LANHONGFANGZHIKEJI YOUXIANGONGSI</t>
    <phoneticPr fontId="2" type="noConversion"/>
  </si>
  <si>
    <t>SHAOXING KEQIAOHONGSEN FANGZHIYOUXIANGONGSI</t>
    <phoneticPr fontId="2" type="noConversion"/>
  </si>
  <si>
    <t xml:space="preserve">SHANGHAI RONGMIN MAOYI </t>
    <phoneticPr fontId="2" type="noConversion"/>
  </si>
  <si>
    <t>이랜드(검품)</t>
    <phoneticPr fontId="2" type="noConversion"/>
  </si>
  <si>
    <t>JINGYINSHI  DARUN FANGZHI YOUXIANGONGSI</t>
    <phoneticPr fontId="2" type="noConversion"/>
  </si>
  <si>
    <t>SHANGHAI HONGRUN TRADING CO.,LTD</t>
    <phoneticPr fontId="2" type="noConversion"/>
  </si>
  <si>
    <t>(주)LF</t>
  </si>
  <si>
    <t>DRAPER COMPANY LIMITED</t>
  </si>
  <si>
    <t>주식회사 포이에마</t>
  </si>
  <si>
    <t xml:space="preserve">(주)맥몰리앤드컴퍼니 </t>
  </si>
  <si>
    <t>DA LIAN XIN CHEN MAO YI</t>
  </si>
  <si>
    <t>ZHONGSHAN MINGGUAN</t>
  </si>
  <si>
    <t>(주)다다아트알루팝</t>
  </si>
  <si>
    <t>포이에마</t>
  </si>
  <si>
    <t>주식회사 아미고스</t>
  </si>
  <si>
    <t>wu dian hua</t>
  </si>
  <si>
    <t>신진무역</t>
  </si>
  <si>
    <t>그랜드플랜</t>
  </si>
  <si>
    <t>한미에프엔(주)</t>
  </si>
  <si>
    <t>(주)뉴엘</t>
  </si>
  <si>
    <t>(주)정경HLP</t>
  </si>
  <si>
    <t>1ST PENGUIN</t>
  </si>
  <si>
    <t>DONGGUAN WEIZI</t>
  </si>
  <si>
    <t>맥몰리앤드컴퍼니</t>
  </si>
  <si>
    <t>서동기획</t>
  </si>
  <si>
    <t>(주)제시앤코</t>
  </si>
  <si>
    <t>(주)제이앤제이닷컴</t>
  </si>
  <si>
    <t>휠라코리아(주)</t>
  </si>
  <si>
    <t>NINGBO HESHI MAOYI</t>
  </si>
  <si>
    <t>Ningbo Orient-Hongye Imp &amp; Exp Co.,Ltd</t>
  </si>
  <si>
    <t>YANTAI MINGDE FUSHI YOUXIANGONGSI</t>
  </si>
  <si>
    <t>글로벌세인트(주)</t>
  </si>
  <si>
    <t xml:space="preserve">xia men hong ting zhi yi </t>
  </si>
  <si>
    <t>(주)한승패션</t>
  </si>
  <si>
    <t xml:space="preserve">ZHONGSHAN ZHIZHIDAO FUZHUANG </t>
  </si>
  <si>
    <t>(주)대원트레이딩</t>
  </si>
  <si>
    <t>(주)엠씨즌</t>
  </si>
  <si>
    <t>HE FEI XING JI</t>
  </si>
  <si>
    <t>HEFEI XINGJI GARMENT CO.,LTD</t>
  </si>
  <si>
    <t>jiangsu guotai guomao</t>
  </si>
  <si>
    <t>JIANGYINSHI JIUDINGKEJI MAOYI YOUXIANGONGSI</t>
  </si>
  <si>
    <t>JINJIANG WANCHENG</t>
  </si>
  <si>
    <t>SHANG HAI YI SHEN</t>
  </si>
  <si>
    <t>XIAMEN FENGZHU TRADING CO.,LTD</t>
  </si>
  <si>
    <t>(주)엠티콜렉션(디에스피홀딩스)</t>
  </si>
  <si>
    <t>한가람(HAN JIA LAN)</t>
  </si>
  <si>
    <t>마하니트(mnk/mh코퍼레이션)</t>
  </si>
  <si>
    <t>(주)엠에이치코퍼레이션</t>
  </si>
  <si>
    <t>(주)엠앤케이코퍼레이션</t>
  </si>
  <si>
    <t>(주)마하니트</t>
  </si>
  <si>
    <t>(주)아가방앤컴퍼니</t>
  </si>
  <si>
    <t xml:space="preserve">상해청다 </t>
  </si>
  <si>
    <t>GUANGYAN</t>
  </si>
  <si>
    <t>보광무역</t>
  </si>
  <si>
    <t>(주)수성아이엔티</t>
  </si>
  <si>
    <t>(주)이너즈코리아</t>
  </si>
  <si>
    <t>주식회사 와이씨트레이딩코리아</t>
  </si>
  <si>
    <t>코오롱인더스트리(주)FNC부문</t>
  </si>
  <si>
    <t>(주)에이로나</t>
  </si>
  <si>
    <t>(주)한영</t>
  </si>
  <si>
    <t>(주)어필코리아</t>
  </si>
  <si>
    <t>SHANGHAI WUDIANHUAFUSHIYOUXIANGONGSI</t>
  </si>
  <si>
    <t>LANGPAI(RUNTEX)</t>
  </si>
  <si>
    <t>HAN JI YA</t>
  </si>
  <si>
    <t>(주)코스</t>
  </si>
  <si>
    <t>GUANG ZHOU SNC</t>
  </si>
  <si>
    <t>(주)현대홈쇼핑</t>
  </si>
  <si>
    <t>(주)플리츠미</t>
  </si>
  <si>
    <t>(주)베네트홀딩스</t>
  </si>
  <si>
    <t>SAN MEI JIA YI</t>
  </si>
  <si>
    <t>(주)씨제이이엔엠 오쇼핑부문</t>
  </si>
  <si>
    <t>(주)정선물산</t>
  </si>
  <si>
    <t>(주)신세계인터내셔날</t>
  </si>
  <si>
    <t>에스앤제이코(주)</t>
  </si>
  <si>
    <t>(주)플러스팩토리</t>
  </si>
  <si>
    <t>비앤엠셀렉티드</t>
  </si>
  <si>
    <t>(주)아진</t>
  </si>
  <si>
    <t>주식회사 씨티닷츠</t>
  </si>
  <si>
    <t>위저드컴퍼니(주)</t>
  </si>
  <si>
    <t>(주)아즈텍더블유비이</t>
  </si>
  <si>
    <t>JIANG YIN AI JU TU</t>
  </si>
  <si>
    <t>JIANG SU QIAN RUI</t>
  </si>
  <si>
    <t>JIANG XI SHI WO</t>
  </si>
  <si>
    <t>SHANG HAI RUI FU DE XIN FU SHI</t>
  </si>
  <si>
    <t>NAN TONG TAI YA TE</t>
  </si>
  <si>
    <t>JIANG YIN HUA XIE ZHI YI</t>
  </si>
  <si>
    <t>주식회사 지오송지오인터내셔널</t>
  </si>
  <si>
    <t>(주)씨앤제이무역</t>
  </si>
  <si>
    <t>(주)우인어패럴</t>
  </si>
  <si>
    <t>WEIHAI TO-WINS IMP AND EXP CO.,LTD</t>
  </si>
  <si>
    <t>WEIHAI YONGAI FUZHUANG YOUXIANGONGSI</t>
  </si>
  <si>
    <t>SU ZHOU YONG LI HAO</t>
  </si>
  <si>
    <t>원풍물산(주)</t>
  </si>
  <si>
    <t>(주)형지I&amp;C</t>
  </si>
  <si>
    <t>(주)에이디소씽</t>
  </si>
  <si>
    <t>(주)나인디자인컴퍼니</t>
  </si>
  <si>
    <t>(주)동잠</t>
  </si>
  <si>
    <t>(주)희원기획</t>
  </si>
  <si>
    <t>(주)이누</t>
  </si>
  <si>
    <t>da lian hua rui zhi yi</t>
  </si>
  <si>
    <t>(주)더캐리</t>
  </si>
  <si>
    <t>플리츠미</t>
  </si>
  <si>
    <t>SHANGHAI YINGDI</t>
  </si>
  <si>
    <t>jiaxingshi xinfang jinchukouyouxiangongsi</t>
  </si>
  <si>
    <t>주식회사 에스엠패션</t>
  </si>
  <si>
    <t>DALIAN DUOYUAN FUZHUANG</t>
  </si>
  <si>
    <t>SUZHOU JUNSHEN INPORT&amp;EXPORT CO.,LTD</t>
  </si>
  <si>
    <t>SUZHOU JUNSHEN</t>
  </si>
  <si>
    <t>SHAO XING ER TIAN FANGZHIPIN</t>
  </si>
  <si>
    <t>WEIHAI BAIXIAN TRADINGCO.,LTD</t>
  </si>
  <si>
    <t>주식회사 아스프로</t>
  </si>
  <si>
    <t>(주)보나어패럴</t>
  </si>
  <si>
    <t>(주)엔제이</t>
  </si>
  <si>
    <t>블룸아떼</t>
  </si>
  <si>
    <t>shun tian</t>
  </si>
  <si>
    <t>(주)유엠디자인</t>
  </si>
  <si>
    <t>(주)슬리인터내셔널</t>
  </si>
  <si>
    <t>주식회사 플랜하츠</t>
  </si>
  <si>
    <t>(주)오크라투비즈</t>
  </si>
  <si>
    <t>DA LIAN DUO YUAN</t>
  </si>
  <si>
    <t>에스지에프(SGF)</t>
  </si>
  <si>
    <t>SHANG HAI MA YA</t>
  </si>
  <si>
    <t>(주)앤써에프디</t>
  </si>
  <si>
    <t>WEIHAI HONGCHENG FUSHI CO.,LTD</t>
  </si>
  <si>
    <t>(주)코드에이전시</t>
  </si>
  <si>
    <t>(주)펄텍스코리아</t>
  </si>
  <si>
    <t>주식회사 토모</t>
  </si>
  <si>
    <t>에스무드</t>
  </si>
  <si>
    <t>(주)인티모</t>
  </si>
  <si>
    <t>주식회사 스타일위즈</t>
  </si>
  <si>
    <t>주식회사 제이플로어</t>
  </si>
  <si>
    <t>클로머스(CLOMERCE)</t>
  </si>
  <si>
    <t>QUAN DA</t>
  </si>
  <si>
    <t>로파니트</t>
  </si>
  <si>
    <t>보빈</t>
  </si>
  <si>
    <t>(주)에스윈코리아</t>
  </si>
  <si>
    <t>yantaishi lanjianguojimaoyi</t>
  </si>
  <si>
    <t>(주)돈디코리아</t>
  </si>
  <si>
    <t>(주)올리비에홀딩스</t>
  </si>
  <si>
    <t>(주)정우코리아</t>
  </si>
  <si>
    <t>(주)케이엔코리아</t>
  </si>
  <si>
    <t>(주)티나에스</t>
  </si>
  <si>
    <t>JBEE SC CORPORATION</t>
  </si>
  <si>
    <t>JBEE SE CO.,LTD</t>
  </si>
  <si>
    <t>NH기획</t>
  </si>
  <si>
    <t>PU JIANG RONG XIN GONG YI YOUXIANGONSI</t>
  </si>
  <si>
    <t>shang hai san qi fu shi</t>
  </si>
  <si>
    <t xml:space="preserve">wei hai song hua fu zhuang </t>
  </si>
  <si>
    <t xml:space="preserve">ZHIMAN MAOYI </t>
  </si>
  <si>
    <t>대상인터내셔날</t>
  </si>
  <si>
    <t>선데이퍼즈</t>
  </si>
  <si>
    <t>신화 티알에스</t>
  </si>
  <si>
    <t>에스제이 인터내셔널</t>
  </si>
  <si>
    <t>제이케이티(주)</t>
  </si>
  <si>
    <t>주식회사 넥시스코어</t>
  </si>
  <si>
    <t>주식회사 마렐</t>
  </si>
  <si>
    <t>주식회사 씨엘넷</t>
  </si>
  <si>
    <t>ANNA</t>
  </si>
  <si>
    <t>훙레이</t>
  </si>
  <si>
    <t>MIDDM  GUOJIMAOYI</t>
  </si>
  <si>
    <t>DONGGUAN TIANLAN</t>
  </si>
  <si>
    <t>NANTONG YIYUAN</t>
  </si>
  <si>
    <t>JNT INDUSTRIAL CO.,LTD</t>
  </si>
  <si>
    <t xml:space="preserve">NINGBO MUHE </t>
  </si>
  <si>
    <t>NINGBOBOLANDIAO</t>
  </si>
  <si>
    <t>WENZHOU SANTEGA TRADE CO.,LTD</t>
  </si>
  <si>
    <t>GUANGZHOUSHI YASITING FANGZHISHIYEYOUXIANGONGSI</t>
  </si>
  <si>
    <t>YONGDA FANGZHI</t>
  </si>
  <si>
    <t>LEQI GUOJIMAOYI YOUXIANGONGSI</t>
  </si>
  <si>
    <t xml:space="preserve">ZHONGSHANSHI XIYI </t>
  </si>
  <si>
    <t>ERFENG</t>
  </si>
  <si>
    <t>NINGBO IVY DRESS CO., LTD.</t>
  </si>
  <si>
    <t>YIRONG FASHION(SHANGHAI)CO.,LTD</t>
  </si>
  <si>
    <t>HANGZHOU BUILD-J TRADING CO.,LTD</t>
  </si>
  <si>
    <t>BAZIO LIMITED</t>
  </si>
  <si>
    <t>SHANGHAI ZHANYI FUSHI YOUXIANGONGSI</t>
  </si>
  <si>
    <t>FUJIAN RUNBANG</t>
  </si>
  <si>
    <t>DASUNG TRADING CO.,LIMITED</t>
  </si>
  <si>
    <t>HANGZHOU ZILLION I/E CO.,LTD</t>
  </si>
  <si>
    <t xml:space="preserve">NINGBO HONGHUA </t>
  </si>
  <si>
    <t>PUTIAN HENGWEI OUTDOOR CO.,LTD</t>
  </si>
  <si>
    <t>GUANGZHOU DAEYOO LEATHER GOODS CO LTD</t>
  </si>
  <si>
    <t>WUXI XINXIANGHONG FANGZHIPINYOUXIANGONGSI</t>
  </si>
  <si>
    <t>WILL WEI INTERNATIONAL TARDE CO.LIMITED</t>
  </si>
  <si>
    <t>QUANZHOU SENIOR TRADING CO.,LTD</t>
  </si>
  <si>
    <t>XIAMEN JIAXING IMPORT&amp;EXPORT CO.,LTD.</t>
  </si>
  <si>
    <t>GUOWOO INTERNATION</t>
  </si>
  <si>
    <t>NINGBO YINZHOU SIDIKE JIAFANGYOUXIANGONGSI</t>
  </si>
  <si>
    <t>SHANGHAI JIJIAGUOJIMAOYI</t>
  </si>
  <si>
    <t>CHAOZHOU XIDALI SHOES MANUFACTURING CO.,LTD</t>
  </si>
  <si>
    <t>DONGGUAN BROTHER IMPORT AND EXPORT CO.,LTD</t>
  </si>
  <si>
    <t>QINGDAO JIAHUICHENG INTERNATIONAL TRADE CO.,LTD</t>
  </si>
  <si>
    <t>MISO (HK) LIMITED</t>
  </si>
  <si>
    <t>NINGBO QIFA</t>
  </si>
  <si>
    <t>ANHUI LIGHT INDUSTRIES INTERNATIONAL CO., LTD.</t>
  </si>
  <si>
    <t>ZHUJI MENGZI KNITTING CO.,LTD</t>
  </si>
  <si>
    <t>CHAOZHOUSHI JINXI SHOE CO., LTD.</t>
  </si>
  <si>
    <t>FEILU</t>
  </si>
  <si>
    <t>HUIDONG HUANGBU ZHONGZHENG SHOES CO.,LTD</t>
  </si>
  <si>
    <t>ANHUI RUNTEX KNITTING FASHION CO.,LTD</t>
  </si>
  <si>
    <t>TAMO SHOES INDUSTRIAL(JINJIANG)CO.,LTD</t>
  </si>
  <si>
    <t>SHANGHAI XIJIN</t>
  </si>
  <si>
    <t>JIEYANG QITAI TRADE CO.,LTD</t>
  </si>
  <si>
    <t>GUANGZHOU LEKE</t>
  </si>
  <si>
    <t>HANGZHOU TUOFENG</t>
  </si>
  <si>
    <t>JINPAI JINGBIAN KEJIYOUXIANGONGSI</t>
  </si>
  <si>
    <t>DONGGUAN JINZHI FUSHI</t>
  </si>
  <si>
    <t>YANTAI ZHOUXU TRADING CO.,LTD</t>
  </si>
  <si>
    <t>주식회사 미라이인터내셔널</t>
  </si>
  <si>
    <t>SHAOXING XIARI</t>
  </si>
  <si>
    <t>WENZHOU ALFA TRADING CO.,LTD</t>
  </si>
  <si>
    <t>RONLUO(TAIZHOU)INTERNATIONAL TRADING CO.,LTD</t>
  </si>
  <si>
    <t xml:space="preserve">GOLDEN RICH </t>
  </si>
  <si>
    <t>SHAOXING TAIXU IMPORT AND EXPORT CO..LTD</t>
  </si>
  <si>
    <t>LEA INTERNATIONAL GROUP LIMITED</t>
  </si>
  <si>
    <t>SHANTOU GG FOOTWEAR CO., LTD.</t>
  </si>
  <si>
    <t>WEIHAI XINRI INTERNATION TRADE CO.,LTD</t>
  </si>
  <si>
    <t>HUAXIN FUSHI</t>
  </si>
  <si>
    <t>Tongxiang Hengqi Textile Co., Ltd</t>
  </si>
  <si>
    <t>Guangzhou Hong Cheng Leather Goods Co., Ltd</t>
  </si>
  <si>
    <t>YANTAI MINGZHEN FUZHUANG</t>
  </si>
  <si>
    <t>(주)이랜드글로벌</t>
  </si>
  <si>
    <t>DONGGUANSHI LINLISENFUSHIYOUXIANGONGSI</t>
  </si>
  <si>
    <t>HANGZHOU WARMING TREND TRADING CO.,LTD</t>
  </si>
  <si>
    <t>SHANTOU SINOTIME INT'L TRADE LTD</t>
  </si>
  <si>
    <t>SHENYANG SJ SHOES CO.,LTD</t>
  </si>
  <si>
    <t>XIANGXING(ZHONGGUO)</t>
  </si>
  <si>
    <t>B L K</t>
  </si>
  <si>
    <t>GUANGZHOU MEIQI</t>
  </si>
  <si>
    <t>XIA MEN SAINT SUN UMBRELLA CO.,LTD</t>
  </si>
  <si>
    <t>DONGGUAN YINGJI</t>
  </si>
  <si>
    <t>WENZHOU JIEFENG IMPORT &amp; EXPORT CO.,LTD</t>
  </si>
  <si>
    <t>JIANGYIN SHENGZHU FANGZHI</t>
  </si>
  <si>
    <t>WENZHOU LIWEI INTERNATIONAL TRADING CO.,LTD</t>
  </si>
  <si>
    <t>위해방직집단진출구유한책임회사</t>
  </si>
  <si>
    <t>LUCIA(루시아)</t>
  </si>
  <si>
    <t>CHANGZHOU HENGLUN FANGZHI</t>
  </si>
  <si>
    <t>HANGZHOU XIAOSHANZHONGFANG FANGZHIYOUXIANGONGSI</t>
  </si>
  <si>
    <t>XINYUAN SHOES CO.,LIMITED</t>
  </si>
  <si>
    <t>baoyou fangzhi (POWERTEX)</t>
  </si>
  <si>
    <t>Haining Fucheng Textile co. ltd</t>
  </si>
  <si>
    <t>LIHUI</t>
  </si>
  <si>
    <t>SHANGHAI FUYING TRADING CO.,LTD</t>
  </si>
  <si>
    <t>HAOHUIFUSHI</t>
  </si>
  <si>
    <t>JIAXINGSHI XIUZHOUQU HONGHEYADALI YANGMAOSHANCHANG</t>
  </si>
  <si>
    <t>ZHEJIANG WANLIAN</t>
  </si>
  <si>
    <t>SHANGHAI YINGGE</t>
  </si>
  <si>
    <t>SHENGTAIZHIZAO</t>
  </si>
  <si>
    <t>ZHEJIANG JOYOU SHOES CO.,LIMITED</t>
  </si>
  <si>
    <t>WUXI HEWEI MAOYI YOUXIANGONGSI</t>
  </si>
  <si>
    <t>JIANGYIN KEXILUFUSHI</t>
  </si>
  <si>
    <t>LIDAIER LUGGAGE(HEZE)CO.,LTD</t>
  </si>
  <si>
    <t>JIANGYINSHI TAIRENGUOJIMAOYI</t>
  </si>
  <si>
    <t>FU WEI</t>
  </si>
  <si>
    <t>YAHAOGARMENT TRADE CO.,LIMITED</t>
  </si>
  <si>
    <t>LI FUNG</t>
  </si>
  <si>
    <t>SUIZHOU GUANGHUI ZHENZHI</t>
  </si>
  <si>
    <t>SHAOXING PAIXUAN</t>
  </si>
  <si>
    <t>ANHUI TUOCHIXIEYE</t>
  </si>
  <si>
    <t>SHAOXING XIAOSHAO</t>
  </si>
  <si>
    <t>ZHENGTAI FANGZHI YOUXIANGONGSI</t>
  </si>
  <si>
    <t>JIANGYIN MINGMAO</t>
  </si>
  <si>
    <t>DALIAN LIRENSMILE</t>
  </si>
  <si>
    <t>GUANGDE ZHENGXIN</t>
  </si>
  <si>
    <t>ZHEJIANG SANYUAN</t>
  </si>
  <si>
    <t>JENORANGE SOURCING TRADE CO.,LTD</t>
  </si>
  <si>
    <t xml:space="preserve">LUTAI FANGZHI </t>
  </si>
  <si>
    <t>CHANGZHOU CHUANGHUI FANGZHI</t>
  </si>
  <si>
    <t>ZIBO LONGFENGFANGZHIFUZHUANG YOUXIANGONGSI</t>
  </si>
  <si>
    <t>WEIHAI MEIYUAN TEXTILE&amp;GARMENT CO.,LTD</t>
  </si>
  <si>
    <t>NINGBO WEITAI ZHENZHI</t>
  </si>
  <si>
    <t>SHANGHAI FANGSHENGFANGZHI</t>
  </si>
  <si>
    <t>DONGGUAN QINGSHENG FUSHI</t>
  </si>
  <si>
    <t>(주)건종</t>
  </si>
  <si>
    <t>건종혁업(해문)유한공사</t>
  </si>
  <si>
    <t>(주)명신에프엔에스</t>
  </si>
  <si>
    <t>해문시건종무역유한공사</t>
  </si>
  <si>
    <t>(주)건종-해문</t>
  </si>
  <si>
    <t>KAY JAY CO.,LTD</t>
  </si>
  <si>
    <t xml:space="preserve">진강건종무역유한공사 </t>
  </si>
  <si>
    <t>(주)티비에이치글로벌</t>
  </si>
  <si>
    <t>KAIJIESIFUZHUANG</t>
  </si>
  <si>
    <t>YOUYINAI ZHIYIYOUXIANGONGSI</t>
  </si>
  <si>
    <t>DONGGUAN QICHEN CLOTHING TECHUNOLOGY CO.,LTD</t>
  </si>
  <si>
    <t>Zhongshan Binhua Garment CO.,LTD</t>
  </si>
  <si>
    <t>ZHONGSHAN JINBOCHENGFUZHUANGYOUXIANGONGSI</t>
  </si>
  <si>
    <t>GUANGZHOU LAIZIFUSHIYOUXIANGONGSI</t>
  </si>
  <si>
    <t>QINGDAO YIMINGDA GARMENT CO.,LTD</t>
  </si>
  <si>
    <t>DONGGUANSHI QINGYUFUZHUANGYOUXIANGONGSI</t>
  </si>
  <si>
    <t>SHANGHAI XIZHENMAOYIYOUXIANGONGSI</t>
  </si>
  <si>
    <t>DongGuan Manni fashion co., ltd</t>
  </si>
  <si>
    <t>DONGGUAN SHULANG CLOTHING CO,. LTD</t>
  </si>
  <si>
    <t>Duobao Garment Co.,ltd.</t>
  </si>
  <si>
    <t>Dongguan Zhanya GARMENT CO.,LIMITED</t>
  </si>
  <si>
    <t>YOUAN FANGZHI</t>
  </si>
  <si>
    <t>YIWU LANGBAGN TRADING CO., LTD</t>
  </si>
  <si>
    <t>SHANGHAI BEIXI ZHENZHIPIN YOUXIANGONGSI</t>
  </si>
  <si>
    <t>ZHONGSHAN ANYI TEXTILES CO.,LTD</t>
  </si>
  <si>
    <t>JIUHE CLOTHING CO,.LTD</t>
  </si>
  <si>
    <t>DONGGUANSHI LESENFUSHIYOUXIANGONGSI</t>
  </si>
  <si>
    <t>Zhuhai Wiseman Co., Ltd.</t>
  </si>
  <si>
    <t>ZHONGSHAN UGEMAN CLOTHING CO.,LTD</t>
  </si>
  <si>
    <t>CHUANMEI</t>
  </si>
  <si>
    <t>ZHONGSHAN FEIXUN CLOTHING CO</t>
  </si>
  <si>
    <t>TONGXIANG GUANSEN</t>
  </si>
  <si>
    <t>NANTONG MINGGUAN YOUPIN GARMENT</t>
  </si>
  <si>
    <t>ZHUJI QINYUAN KNITTING CO.,LTD</t>
  </si>
  <si>
    <t>YICHEN GONGMAO</t>
  </si>
  <si>
    <t>SHAOXING KEQIAO SHUANGMING TRADE CO.,LTD.</t>
  </si>
  <si>
    <t>TONGXIANG MIGE CLOTHUNG CO.,LTD</t>
  </si>
  <si>
    <t>EH</t>
  </si>
  <si>
    <t>GUANGZHOU ZHEHANFUZHUANGYOUXIANGONGSI</t>
  </si>
  <si>
    <t xml:space="preserve">MAXALL TEXTILE </t>
  </si>
  <si>
    <t>Guangzhou Lionet Clothing Co.,Ltd</t>
  </si>
  <si>
    <t>TONGXIANG DEWANGSHANGMAOYOUXIANGONGSI</t>
  </si>
  <si>
    <t>GUANGZHOU LONGCHAN TEXTILE AND CLOTHING CO.,LTD</t>
  </si>
  <si>
    <t>Foshan Shunde Xiangshunyuan Garment Co.,Ltd</t>
  </si>
  <si>
    <t>PUIL</t>
  </si>
  <si>
    <t>주식회사 아성다이소</t>
    <phoneticPr fontId="2" type="noConversion"/>
  </si>
  <si>
    <t>(주)아성에이치엠피</t>
  </si>
  <si>
    <t>ZHEJIANG TOPLINE IMP AND EXP CO.,LTD</t>
  </si>
  <si>
    <t>ZHEJIANG HUILINGDUIWAIMAOYIYOUXIANZERENGONGSI</t>
  </si>
  <si>
    <t>주식회사 아성다이소</t>
  </si>
  <si>
    <t xml:space="preserve">ANHUI FEIFEI HOUSEHOLD PRODUCTS CO., LTD     </t>
  </si>
  <si>
    <t>JIANGSU YIZHEN TEXTILE TECHNOLOGY CO.,LTD.</t>
  </si>
  <si>
    <t>GAOYANG COUNTY OUCHANG TEXTILES MANUFACTURE CO.,TED</t>
  </si>
  <si>
    <t xml:space="preserve">YIWU XFG TRADING CO.,LTD </t>
  </si>
  <si>
    <t>주식회사 소마리빙</t>
  </si>
  <si>
    <t>HIGH HOPE ZHONGDING CORPORATION</t>
  </si>
  <si>
    <t>SHANTOU ZHENYAO GARMENTS CO.,LTD</t>
  </si>
  <si>
    <t>DAYUL INTERNATIONAL HK LIMITED</t>
  </si>
  <si>
    <t>YIWU SAVE A LOT IMPORT&amp;EXPORT CO., LTD</t>
  </si>
  <si>
    <t>HANGZHOU HENGXINJINCHUKOU</t>
  </si>
  <si>
    <t>SHANGHAI DYLAN HOUSE TEXTILE</t>
  </si>
  <si>
    <t xml:space="preserve">연대신중복장유한공사  </t>
  </si>
  <si>
    <t xml:space="preserve">와이티 인터내셔널 </t>
  </si>
  <si>
    <t>SUZHOU HENGCHUANG SHOES CO.,LTD</t>
  </si>
  <si>
    <t>HANGZHOU BEIBEIJIAKEJI</t>
  </si>
  <si>
    <t>Pujiang Uran Textile Co., Ltd</t>
  </si>
  <si>
    <t>zhejiang daxiaojie home textile co., ltd.</t>
  </si>
  <si>
    <t>YangZhou Reiter-Step Shoe Factory</t>
  </si>
  <si>
    <t>HANGZHOU TRUSTEX TRADING CO.,LTD</t>
  </si>
  <si>
    <t>Hefei Light Industrial Products，Arts &amp; Crafts Imp. &amp; Exp. Co . , Ltd.</t>
  </si>
  <si>
    <t>Shanghai Gengyang Industry and Trade Co., Ltd</t>
  </si>
  <si>
    <t>Fuyang Le wash Light lndustry Co.,Ltd</t>
  </si>
  <si>
    <t>WUHAN PAKCARE BIO-TECHNOLOGY CO.,LTD.</t>
  </si>
  <si>
    <t>NINGBO YOUNGFINE INT'L TRADE</t>
  </si>
  <si>
    <t>SHISHI CHALLENGE WOLVES SPORTS.CO.,LTD</t>
  </si>
  <si>
    <t>Ningbo Huiduo Weaving CO,LTD</t>
  </si>
  <si>
    <t xml:space="preserve">YIWU CITY MECHANGE IMP&amp;EXP CO.,LTD </t>
  </si>
  <si>
    <t>NINGBO DOLLAR WORLD IMPORT&amp;EXPORT CO.,LTD</t>
  </si>
  <si>
    <t>JIANGSU SOHO SILK&amp;TEXTILE CO., LTD</t>
  </si>
  <si>
    <t>NINGBO HAPTON HOUSEWARE CO.,LTD</t>
  </si>
  <si>
    <t>JINJIANG JIANMINGFUSHIYOUXIANGONGSI</t>
  </si>
  <si>
    <t>NINGBO SENYAO IMP&amp;EXP CO.,LTD</t>
  </si>
  <si>
    <t>NINGBO SUNTHING TRADING CO.,LTD</t>
  </si>
  <si>
    <t>CHANGSHU BESTEN INTERNATIONAL TRADING CO.,LTD</t>
  </si>
  <si>
    <t>JINGJIANG YONGLI TEXTILE CO.,LTD.</t>
  </si>
  <si>
    <t>Yiwu Bewalker Commodity Co.,Ltd</t>
  </si>
  <si>
    <t>YANCHENG SENFU DECORATIVE CARPET CO.,LTD</t>
  </si>
  <si>
    <t>JINHUA MEIJU FAMILY-USE INDUSTRY PRODUCT CO.,LTD</t>
  </si>
  <si>
    <t>ZheJiang Qianfeng Import&amp;Export Co.,ltd</t>
  </si>
  <si>
    <t>NANTONG SHUNQIAN IMPORT AND EXPORT TRADING CO.,LTD</t>
  </si>
  <si>
    <t>Hangzhou ziele trading co., ltd</t>
  </si>
  <si>
    <t>ZHEJIANG GOLDEN SUN DRESS GIFTS CO.,LTD</t>
  </si>
  <si>
    <t>HANGZHOU AIWEITE JIAJUYONGPIN</t>
  </si>
  <si>
    <t>RUDONG JINWEI SHOES</t>
  </si>
  <si>
    <t>HANGZHOU HOME FASHION TEXTILE CO.,LTD</t>
  </si>
  <si>
    <t>YIWU ZHIKU DAILY NECESSITIES CO.,LTD</t>
  </si>
  <si>
    <t>LONGFEI TEXTILE TRADING CO.,LTD</t>
  </si>
  <si>
    <t>YIWU GUANGTONG TRADING CO.,LTD</t>
  </si>
  <si>
    <t>ZHEJIANG YIDE HOME TEXTILE CO.,LTD</t>
  </si>
  <si>
    <t>QUANZHOUSHI JINHENGFUZHUANG</t>
  </si>
  <si>
    <t>kunshan Bilbo trading Co.,Ltd</t>
  </si>
  <si>
    <t>(주)케이브랜즈</t>
  </si>
  <si>
    <t>쯔버평캉방직복장유한회사</t>
  </si>
  <si>
    <t>QINGDAO MAYINDE COMMERCE AND TRADE CO.,LTD</t>
  </si>
  <si>
    <t>WEIHAI YANGLIMU FUZHUANG YOUXIANGONGSI</t>
  </si>
  <si>
    <t>YINGKOU XUANYU  CLOTHING CO.,LID</t>
  </si>
  <si>
    <t>GAIZHOUSHI JINXINZHIYIYOUXIANGONGSI</t>
  </si>
  <si>
    <t>DOOSOUN COMTECH CO.LTD</t>
  </si>
  <si>
    <t>(주)블랙야크</t>
  </si>
  <si>
    <t>SUZHOU YOUNGHUA TEXTILE  CO .,LTD</t>
  </si>
  <si>
    <t>KB-21</t>
  </si>
  <si>
    <t>HANGZHOU CHYS IMPORT&amp;EXPORT CO.,LTD</t>
  </si>
  <si>
    <t>㈜동아컬렉션</t>
  </si>
  <si>
    <t>(주)에스제이갤러리</t>
  </si>
  <si>
    <t>(주)인덱스에프앤씨</t>
  </si>
  <si>
    <t>대련 민싱국제무역회사</t>
  </si>
  <si>
    <t>우욱무역(상해)유한회사</t>
  </si>
  <si>
    <t>SG CENTURY CO., LTD.</t>
  </si>
  <si>
    <t>용상무역</t>
  </si>
  <si>
    <t>(주)에이프로시스템</t>
  </si>
  <si>
    <t>HANGZHOU JISHENG</t>
  </si>
  <si>
    <t>SHENZHEN BAOZE CO.,LTD</t>
  </si>
  <si>
    <t>주식회사 에스피트레이딩</t>
  </si>
  <si>
    <t>삼미가이(대련)국제무역회사</t>
  </si>
  <si>
    <t>SHANGHAI KEMEI MAOYI YOUXIANGONGSI</t>
  </si>
  <si>
    <t>SHAOXING DEYOUZHEN</t>
  </si>
  <si>
    <t>SUZHOU HUIBIN GUOJIMAOYIYOUXIANGONGSI</t>
  </si>
  <si>
    <t>아리스</t>
  </si>
  <si>
    <t>L&amp;S TEXTILE CO.,LTD</t>
  </si>
  <si>
    <t xml:space="preserve">SHANGHAI XINGYUNHUA </t>
  </si>
  <si>
    <t xml:space="preserve">양주저양방직유한공사 </t>
  </si>
  <si>
    <t>DALIAN SHIYI GARMENT COMPANY LIMITED</t>
  </si>
  <si>
    <t>JCON CORPORATION</t>
  </si>
  <si>
    <t>Ningbo Orient Hongye Yunke Imp &amp; Exp Co.,Ltd</t>
  </si>
  <si>
    <t>NANTONG YINGLIDUO TRADING CO.,LTD.</t>
  </si>
  <si>
    <t>GIOSSARDI HANDBAG CO</t>
  </si>
  <si>
    <t>HANGZHOU YUNHONG</t>
  </si>
  <si>
    <t>롯데홈쇼핑</t>
  </si>
  <si>
    <t>(주)패셔너리</t>
  </si>
  <si>
    <t>엠피오글로벌</t>
  </si>
  <si>
    <t>DALIAN E.T.D.Z BANDO GARMENT CO.,LTD</t>
  </si>
  <si>
    <t>SHAOXING JINCONG TRADING CO.,LTD</t>
  </si>
  <si>
    <t>SHAOXING ZHUIYUE</t>
  </si>
  <si>
    <t>JIANGYIN JIALEI</t>
  </si>
  <si>
    <t>Shaoxing Enjiali Textile Technology Co.,Ltd</t>
  </si>
  <si>
    <t>SHANGHAI MST TRADING CO.,LTD</t>
  </si>
  <si>
    <t>ZHENJIANG TIANYUE INTERNATIONAL TRADING CO.,LTD</t>
  </si>
  <si>
    <t>SUNRITEX(SHANGHAI) INTERNATIONAL CO.,LTD</t>
  </si>
  <si>
    <t>Shanghai Fandu Industrial Co.,Ltd.</t>
  </si>
  <si>
    <t>PINGHUSHI JIAYE FUZHUANG</t>
  </si>
  <si>
    <t>지에스리테일 홈쇼핑</t>
  </si>
  <si>
    <t>YINGKOU SHANGRAN</t>
  </si>
  <si>
    <t>SHANGHAI QIHAO</t>
  </si>
  <si>
    <t>SHAOXING KEQIAO DONGXUE TEXTILE CO.,LTD</t>
  </si>
  <si>
    <t>(주)누컴퍼니</t>
  </si>
  <si>
    <t>(주)에이디엘코리아</t>
  </si>
  <si>
    <t>CHANGZHOU MINGSHAN TEXTILE CO.,LTD</t>
  </si>
  <si>
    <t>에프엔지코리아 FNG KOREA</t>
  </si>
  <si>
    <t>SHAOXING YIDIAN TEXTILE CO.,LTD.</t>
  </si>
  <si>
    <t>Shaoxing Chao Lian Textile Co., Ltd.</t>
  </si>
  <si>
    <t>HANGZHOU JUYUANZHENFANG</t>
  </si>
  <si>
    <t>TIANJINSHI SHANFA GONGMAO</t>
  </si>
  <si>
    <t>(주)경림아이앤씨</t>
  </si>
  <si>
    <t>SHANGHAI DIENFU MAOYIYOUXIANGONGSI</t>
  </si>
  <si>
    <t>Guangzhou SNC Trading Co.,Ltd</t>
  </si>
  <si>
    <t>SUZHOU WINSHINE TEXTEILTECHNOLOGY CO., LTD</t>
  </si>
  <si>
    <t>XUTONG TEXTILE CO.,LTD</t>
  </si>
  <si>
    <t>주식회사 더캐리</t>
  </si>
  <si>
    <t>Dongguan Jinhong Clothing Co.,Ltd</t>
  </si>
  <si>
    <t>위해용진수출입유한회사</t>
  </si>
  <si>
    <t>코웰패션 주식회사</t>
  </si>
  <si>
    <t>린이칭싱복장유한회사</t>
  </si>
  <si>
    <t xml:space="preserve">SHAOXING JIMIN IMPORT&amp;EXPORT CO.,LTD  </t>
  </si>
  <si>
    <t>DONGGUANSHI GUANGHUI</t>
  </si>
  <si>
    <t>서주시강영복장유한회사</t>
  </si>
  <si>
    <t>Sinoweave International,CO.,Ltd</t>
  </si>
  <si>
    <t>ANSHAN SONGHAI CLOTHING CO.,LTD</t>
  </si>
  <si>
    <t>QINGDAO ZERO TOP TRADING CO.,LTD</t>
  </si>
  <si>
    <t>(주)홈앤쇼핑</t>
  </si>
  <si>
    <t>(주)베크인터네셔널</t>
  </si>
  <si>
    <t>SHANGHAI HAOLONG GUOJIMAOYI</t>
  </si>
  <si>
    <t>(주)인동에프엔</t>
  </si>
  <si>
    <t>ZHANGJIAGANG HANJU REBIRTH CO.,LTD</t>
  </si>
  <si>
    <t>게스홀딩스코리아유한회사</t>
  </si>
  <si>
    <t>(주)미도컴퍼니</t>
  </si>
  <si>
    <t>GUANGZHOU TONGHE CLOTHING CO.,LTD</t>
  </si>
  <si>
    <t xml:space="preserve">SHAOXING XUANHAI FANGZHI </t>
  </si>
  <si>
    <t>KC 안전품질표시=본원</t>
  </si>
  <si>
    <t>JINHUA WANFENG TEXTILE PRODUCT MANUFACTURING CO.,LTD</t>
  </si>
  <si>
    <t>아쿠쉬네트코리아</t>
  </si>
  <si>
    <t xml:space="preserve">ASI GLOBAL LIMITED   </t>
  </si>
  <si>
    <t>던필드 그룹(던필드알파/던필드플러스)</t>
  </si>
  <si>
    <t>SHANGHAI LINGAN FUSHI</t>
  </si>
  <si>
    <t>Changzhou tijie textile co.,ltd</t>
  </si>
  <si>
    <t xml:space="preserve">WUJIANG YUYUE FANGZHIYOUXIANGONGSI </t>
  </si>
  <si>
    <t>SHAOXING KEQIAO WUTUOLI FANGZHI</t>
  </si>
  <si>
    <t xml:space="preserve">Suzhou Dongyi International Trade Co.,Ltd. </t>
  </si>
  <si>
    <t>최신물산(주)</t>
  </si>
  <si>
    <t>(주)당당</t>
  </si>
  <si>
    <t>(주)케비이십일</t>
  </si>
  <si>
    <t>FOSHAN WEICAI TEXTILE</t>
  </si>
  <si>
    <t>Zhejiang C-form Industrial Co., Ltd</t>
  </si>
  <si>
    <t>GUANGDONG FOREIGN TRADE IMPORT &amp; EXPORT CO.,LTD.</t>
  </si>
  <si>
    <t>에스케이스토아(주)</t>
  </si>
  <si>
    <t>(주)스타일파인더스</t>
  </si>
  <si>
    <t>SHANGHAI TANXIANGSHIYE CO.,LTD</t>
  </si>
  <si>
    <t>(주)신세계인터내셔날_JAJU</t>
  </si>
  <si>
    <t>NANTONG TOPS SHOES COMPANY</t>
  </si>
  <si>
    <t>TONGXIANGSHI YUHAOFANGZHIYOUXIANGONGSI</t>
  </si>
  <si>
    <t>Nanjing Heniemo Home Textiles Co. Ltd</t>
  </si>
  <si>
    <t>Tongxiang yimeng bedding co.,Ltd.</t>
  </si>
  <si>
    <t>(주)바디프랜드</t>
  </si>
  <si>
    <t>Shanghai Xieshitong New Materials Co., Ltd</t>
  </si>
  <si>
    <t>FUJIAN WELIKE ELECTRONICS CO.,LTD</t>
  </si>
  <si>
    <t>SHANGHAI WANGGEFANGZHIPIN</t>
  </si>
  <si>
    <t>신세계티비쇼핑</t>
  </si>
  <si>
    <t>(주)SG세계물산</t>
  </si>
  <si>
    <t>(주)더네이쳐홀딩스</t>
  </si>
  <si>
    <t>주식회사 더가온컴퍼니</t>
  </si>
  <si>
    <t>(주)아은</t>
  </si>
  <si>
    <t>푸마코리아 유한회사</t>
  </si>
  <si>
    <t>(주)라우물산</t>
  </si>
  <si>
    <t>쿠팡_CPLB</t>
  </si>
  <si>
    <t>Nantong Ironman Sporting Industrial Co. Ltd.,</t>
  </si>
  <si>
    <t>Ningbo Xinke Industrial &amp; Trading Co.,Ltd.</t>
  </si>
  <si>
    <t>NINGBO YIHONG MAOYIGONGSI</t>
  </si>
  <si>
    <t>(주)콘크리트웍스</t>
  </si>
  <si>
    <t>(주)폰드그룹_어패럴사업부</t>
  </si>
  <si>
    <t>SHANGHAI EAST BEST INTERNATIONAL BUSINESS DEVELOPMENT CO.,LTD(ONRUSH)</t>
  </si>
  <si>
    <t>(주)바바패션</t>
  </si>
  <si>
    <t>(주)제이피대흥</t>
  </si>
  <si>
    <t>원륜INC</t>
  </si>
  <si>
    <t>COSMIC TRADING</t>
  </si>
  <si>
    <t xml:space="preserve">DALIAN SIDATE MAOYI </t>
  </si>
  <si>
    <t>이랜드그룹</t>
  </si>
  <si>
    <t>RONGXU INTERNATIONAL LIMITED</t>
  </si>
  <si>
    <t>CHAOZHOU JINXI SHOE CO., LTD.</t>
  </si>
  <si>
    <t>TAIZHOU GLOBAL TRADING CO.,LTD</t>
  </si>
  <si>
    <t>TAIZHOU LANBOMAOYI</t>
  </si>
  <si>
    <t>(주)에스씨인터내셔널</t>
  </si>
  <si>
    <t>YIWUSHI HANGHONGFUSHIYOUXIANGONGSI</t>
  </si>
  <si>
    <t>JIEYANG JIAYI PLASTIC PRODUCTS CO.,LTD</t>
  </si>
  <si>
    <t>FOSHAN FEIYUE</t>
  </si>
  <si>
    <t>ZIBO XINHAO CLOTHING CO,.LTD</t>
  </si>
  <si>
    <t>GUANGDONGSHENG QIZHANSHIYE</t>
  </si>
  <si>
    <t>FUZHOU DEYI</t>
  </si>
  <si>
    <t>XIAMEN J-WIN IMP AND EXP CO.,LTD</t>
  </si>
  <si>
    <t>ZHANGJIAGANG HAIFANG</t>
  </si>
  <si>
    <t>Fujian Time Trading Co.,Ltd</t>
  </si>
  <si>
    <t>GRAND TIDE GROUP CO.,LTD</t>
  </si>
  <si>
    <t>서주시흠성복장유한회사</t>
  </si>
  <si>
    <t>ZHANGJIAGANG BAOSHUIQU AINIOUFANGZHIYOUXIANGONGSI</t>
  </si>
  <si>
    <t xml:space="preserve">FOSHAN CITY LONGZHUO TRADE CO.,LTD </t>
  </si>
  <si>
    <t>TAIZHOU ZHENUOER</t>
  </si>
  <si>
    <t>GUANGZHOU HUAYI LEATHER INDUSTRY CO.,LTD</t>
  </si>
  <si>
    <t>Shinegarden Trading Limited</t>
  </si>
  <si>
    <t>YADALI</t>
  </si>
  <si>
    <t>XIAMEN HEXINTONGJINSHU CO.,LTD</t>
  </si>
  <si>
    <t>JIEYANG JIAYI PLASTIC PRODUSTS CO.,LTD</t>
  </si>
  <si>
    <t xml:space="preserve">EL COMPANY </t>
  </si>
  <si>
    <t>WENZHOU GUANBU INTERNATIONAL TRADE CO.,LTD</t>
  </si>
  <si>
    <t>FULIDA GROUP HANGZHOU IMP.&amp; EXP. CO.,LTD</t>
  </si>
  <si>
    <t>GUANGZHOU DECHO TRADING CO.,LTD</t>
  </si>
  <si>
    <t>Yangzhou Runtong International trading Co.,Ltd</t>
  </si>
  <si>
    <t>HANGZHOU AOKA I/E CO.,LTD</t>
  </si>
  <si>
    <t xml:space="preserve">SHANGHAI JUYOU FUZHUANGMAOYI </t>
  </si>
  <si>
    <t>SHANGHAI CHAOYI GARMENT ACCESSORIES CO., LTD.</t>
  </si>
  <si>
    <t>롯데쇼핑(주)</t>
  </si>
  <si>
    <t>(주)패션테인먼트</t>
  </si>
  <si>
    <t>(주)한길</t>
  </si>
  <si>
    <t>(주)우리엔우리데코</t>
  </si>
  <si>
    <t>한세엠케이(주)</t>
  </si>
  <si>
    <t>DONGGUAN CITY MADU GARMENTS.CO.,LTD</t>
  </si>
  <si>
    <t>ZIBOHAIYUAN CLOTHING CO.,LTD</t>
  </si>
  <si>
    <t>(주)이랜드 월드 통합 메뉴</t>
  </si>
  <si>
    <t>SHAOXING HEZHIYANFUSHI YOUXIANGONGSI</t>
  </si>
  <si>
    <t>wuxishi honghu (wuxishi dayang fangzhi)</t>
  </si>
  <si>
    <t>Jiangyin Guancheng</t>
  </si>
  <si>
    <t>ZHEJIANG SHENDUN FANGZHIYOUXIANGONGSI</t>
  </si>
  <si>
    <t>DONGGUANSHI SHUNFANEIYI</t>
  </si>
  <si>
    <t>(주)뱅뱅어패럴</t>
  </si>
  <si>
    <t xml:space="preserve">료닝샹홍방직유한회사 </t>
  </si>
  <si>
    <t>(주)이마트</t>
  </si>
  <si>
    <t>KC 안전품질표시</t>
  </si>
  <si>
    <t>(주)배럴</t>
  </si>
  <si>
    <t xml:space="preserve">SUZHOU TAIXI TEXTILE CO.,LTD </t>
  </si>
  <si>
    <t>KC 공급자적합성확인</t>
  </si>
  <si>
    <t>SUZHOU PACIFIC LEO WOOLLEN KNITTING CO.,LTD.</t>
  </si>
  <si>
    <t>DALIAN IE-HYUN APPAREL CO., LTD</t>
  </si>
  <si>
    <t>주식회사 하고하우스</t>
  </si>
  <si>
    <t>케이투코리아(주)</t>
  </si>
  <si>
    <t>청도성길영무역유한회사</t>
  </si>
  <si>
    <t>(주)토마스힐</t>
  </si>
  <si>
    <t>QINGDAO LEXINTONG</t>
  </si>
  <si>
    <t>바이와이제이</t>
  </si>
  <si>
    <t>JIANGXI OUZHIXUANGUOJIMAOYIYOUXIANGONGSI</t>
  </si>
  <si>
    <t>YANTAI JUNNI IMPORT AND EXPORT CO.,LTD</t>
  </si>
  <si>
    <t>DONGGUANSHI YASHIMEIFUSHIYOUXIANGONGSI</t>
  </si>
  <si>
    <t>HONG KONG LIGHT DOWN</t>
  </si>
  <si>
    <t>KHIC CO.,LIMITED</t>
  </si>
  <si>
    <t xml:space="preserve">SHANGHAI XINWO MAOYI </t>
  </si>
  <si>
    <t>조장복서덕제의유한회사</t>
  </si>
  <si>
    <t>Azurewind Cleantec(S.I.P)Co.,Ltd</t>
  </si>
  <si>
    <t>KCL (Qingdao)Testing Service Co., Ltd</t>
  </si>
  <si>
    <t>NANTONG YINGLIDUO TRADING CO.,LTD</t>
  </si>
  <si>
    <t>YANTAI WOMJUYN GARMENTS CO.,LTD</t>
  </si>
  <si>
    <t>주식회사 다름코리아</t>
  </si>
  <si>
    <t>YINGKOU JUSHENG MAKING CLOTHES CO.,LTD</t>
  </si>
  <si>
    <t>주식회사 글로리</t>
  </si>
  <si>
    <t xml:space="preserve">청도빙모복장 </t>
  </si>
  <si>
    <t>(주)대경에프앤씨</t>
  </si>
  <si>
    <t>PACIFIC FEATHER CO.LTD</t>
  </si>
  <si>
    <t>JIANGYIN DONGJIN QINZHUANG YOUXIAN GONGSI</t>
  </si>
  <si>
    <t xml:space="preserve">웨이팡 타이얼 홈텍스타일 유한공사 </t>
  </si>
  <si>
    <t>TEX PRIME HOLDINGS LIMITED</t>
  </si>
  <si>
    <t>ANHUI HUISHANG INTERNATIONAL DEVELOPMENT CO., LTD</t>
  </si>
  <si>
    <t>YANTAI FURAN</t>
  </si>
  <si>
    <t>주식회사 리엔컴퍼니</t>
  </si>
  <si>
    <t>주식회사 와캔</t>
  </si>
  <si>
    <t>HIGH CARE CO.,LTD</t>
  </si>
  <si>
    <t>YANTAI YANGFAN GARMENTS CO.LTD</t>
  </si>
  <si>
    <t>SHANGHAI YIYU TRADE CO.,LTD</t>
  </si>
  <si>
    <t>청도경현복장유한회사</t>
  </si>
  <si>
    <t>(주)신원</t>
  </si>
  <si>
    <t>(주)플래시드웨이브코리아</t>
  </si>
  <si>
    <t>YANTAI HUINUO</t>
  </si>
  <si>
    <t>SUNMYONG APPAREL INC</t>
  </si>
  <si>
    <t>ZHEJIANG JUMIAO LAMINATED FABRIC CO.,LTD</t>
  </si>
  <si>
    <t>FUSHUN NUOJIA MEIHUI BEAUTY PRODUCTS CO.,LTD</t>
  </si>
  <si>
    <t>MAANSHAN GUANGQIAN FEATHER PRODUCTS CO.,LTD</t>
  </si>
  <si>
    <t>SHAOXING HONGTONGTONG</t>
  </si>
  <si>
    <t>(주)제이비SC코퍼레이션</t>
  </si>
  <si>
    <t>TIANJIN GOODWIN TRADING CO.,LTD</t>
  </si>
  <si>
    <t xml:space="preserve">HANGZHOU DONGHE DOWN PRODUCTS CO., LTD. </t>
  </si>
  <si>
    <t>(주)에스텍</t>
  </si>
  <si>
    <t>SHANGHAI XRD TEXTILE</t>
  </si>
  <si>
    <t>주식회사 엘앤제이다운</t>
  </si>
  <si>
    <t>WEIHAI BAOLIYAJINCHUKOU YOUXIANGONGSI</t>
  </si>
  <si>
    <t>SHANDONG FRIEND CLOTHING CO.,LTD</t>
  </si>
  <si>
    <t>청도홍사복장유한회사</t>
  </si>
  <si>
    <t>WEIHAI SHUNKAI TRADING.CO.,LTD</t>
  </si>
  <si>
    <t>청도복신림무역유한회사</t>
  </si>
  <si>
    <t>SUZHOU NANDO TEXTILE</t>
  </si>
  <si>
    <t>케이엔씨 인터내셔널</t>
  </si>
  <si>
    <t>GUIGANGSHI HENGLILAI</t>
  </si>
  <si>
    <t>YANTAI JICHAOFUZHUANGYOUXIANGONGSI</t>
  </si>
  <si>
    <t>ZHANGJIAGANG NEXGEN CO.,LTD</t>
  </si>
  <si>
    <t>Qingdao Wacan International Trade Co.,Ltd</t>
  </si>
  <si>
    <t>WuXi SaiRui Metal Powder Manufacturing Co., Ltd.</t>
  </si>
  <si>
    <t>JIAXING KANAAN BAG R&amp;D CO.,LTD</t>
  </si>
  <si>
    <t>고마걸이</t>
  </si>
  <si>
    <t>HAINING DINGMING TEXTILE MATERIAL CO.,LTD</t>
  </si>
  <si>
    <t>SHANGRAOSHI KAIXUAN MAFANGPIN</t>
  </si>
  <si>
    <t>Hangzhou Yishang Textile Co.,Ltd.</t>
  </si>
  <si>
    <t>SUZHOU LEYOU TEXTILE CO.,LTD</t>
  </si>
  <si>
    <t>Weihai Textile Group Import and Export CO.,LTD.</t>
  </si>
  <si>
    <t>SHINHAN TRADE</t>
  </si>
  <si>
    <t>SHANGRAOSHI ZHONGXING MAFANGZHIPIN</t>
  </si>
  <si>
    <t>TONGXIANG KANGYUE FASHION&amp;BEDDING CO.,LTD</t>
  </si>
  <si>
    <t>SANBANG</t>
  </si>
  <si>
    <t>Shaoxing Enofi hometextile Co.Ltd.</t>
  </si>
  <si>
    <t>G&amp;S TEXTILES (HONGKONG) LIMITED</t>
  </si>
  <si>
    <t>강소텅비방직품유한공사</t>
  </si>
  <si>
    <t>WEIHAI JINRIDING TRADE CO.,LTD</t>
  </si>
  <si>
    <t xml:space="preserve">GUANGZHOU XIUHAO MAOYI </t>
  </si>
  <si>
    <t xml:space="preserve">ZHANGJIAGANG BAOSHUIQU ZAOEN MAOYI </t>
  </si>
  <si>
    <t>CHANGXING HANDINGFANGZHIYOUXIANGONGSI</t>
  </si>
  <si>
    <t>TAIQI GARMENTS(DALIAN)CO.,LTD</t>
  </si>
  <si>
    <t>YANTAI LINHAOYUAN CLOTHING CO.,LTD</t>
  </si>
  <si>
    <t>상주시무화방직품유한회사</t>
  </si>
  <si>
    <t>YANTAI.H.M.Y.L.CLOTHES.CO.,LTD</t>
  </si>
  <si>
    <t xml:space="preserve">주식회사 소나무인더스트리  </t>
  </si>
  <si>
    <t>연대승현복장유한공사</t>
  </si>
  <si>
    <t>QINGDAO CHENGENJIA MAOYIYOUXIANGONGSI</t>
  </si>
  <si>
    <t>위해동원공예품유한공사</t>
  </si>
  <si>
    <t>SHANGHAI NYLTEX IMP&amp;EXP CO.,LTD</t>
  </si>
  <si>
    <t>SUZHOU AHUAFANGZHIYOUXIANGONGSI</t>
  </si>
  <si>
    <t>J.N</t>
  </si>
  <si>
    <t>WEIHAI JIABO FUZHUANG</t>
  </si>
  <si>
    <t>G&amp;J</t>
  </si>
  <si>
    <t>DONGMAOYUAN</t>
  </si>
  <si>
    <t xml:space="preserve">청도흠서수원복장유한회사 </t>
  </si>
  <si>
    <t>YINGKOU DONGHENG INTERNATIONAL TRADE CO., LTD</t>
  </si>
  <si>
    <t>YIWUXIEDAGONGYINGLIANGUANLIYOUXIANGONGSI</t>
  </si>
  <si>
    <t xml:space="preserve">쯔보혜희방직복장유한회사 </t>
  </si>
  <si>
    <t xml:space="preserve">청도 명해 복장 </t>
  </si>
  <si>
    <t>SWEET NIGHT(HONGKONG) TECHNOLOGY COMPANY LIMITED</t>
  </si>
  <si>
    <t>HAN-TEX</t>
  </si>
  <si>
    <t>JNA LIMITED</t>
  </si>
  <si>
    <t>JOWTEX</t>
  </si>
  <si>
    <t>BRIO TRADING CO.,LTD</t>
  </si>
  <si>
    <t>산동캐신달공업무역유한회사</t>
  </si>
  <si>
    <t>Shijiazhuang Rongbang Metal Co., Ltd.</t>
  </si>
  <si>
    <t>SHAOXING OUYINGFANGZHIPINYOUXIANGONGSI</t>
  </si>
  <si>
    <t>WEIHAI A.YOUNG TRADING CO.,LTD</t>
  </si>
  <si>
    <t xml:space="preserve">공주(청도)무역유한공사 </t>
  </si>
  <si>
    <t>Hangzhou Dingjia Textile Co.,Ltd</t>
  </si>
  <si>
    <t>Hangzhou Rongda Feather and Down Bedding Co.,Ltd.</t>
  </si>
  <si>
    <t>청도연우복장유한회사</t>
  </si>
  <si>
    <t>QINGDAO YINGTAIHE INDUSTRY AND TRADE CO.,LTD</t>
  </si>
  <si>
    <t>WEIHAI HIGHWIN GARMENT CO.LTD</t>
  </si>
  <si>
    <t>SHAOXING TAOCHENGFANGZHIPINYOUXIANGONGSI</t>
  </si>
  <si>
    <t>HUZHOU XINGXUAN IMPORT AND EXPORT CO.,LTD.</t>
  </si>
  <si>
    <t>NINGBO UNITY INT'L TRANDING COMPANY LIMITED</t>
  </si>
  <si>
    <t>GUANGDONG FOMIAN TEXTILE TECHNOLOGY CO.,LTD</t>
  </si>
  <si>
    <t>SUZHOU RED COLOR INTERNATIONAL TRADING</t>
  </si>
  <si>
    <t>ZHANGJIAGANG BAIPINHUI KNITTING &amp; TEXTILE PRODUCTS CO.,LTD</t>
  </si>
  <si>
    <t>SUZHOU SHIBEI</t>
  </si>
  <si>
    <t>Chang Zhou YuXuan Textile</t>
  </si>
  <si>
    <t>ZHEJIANG YIYUN HOMETEX TECH CO.,LTD</t>
  </si>
  <si>
    <t>주식회사 월드모어</t>
  </si>
  <si>
    <t>Changshu Ausson Knitting Co., Ltd.</t>
  </si>
  <si>
    <t>JIANGXI SHENGGUO TEXTILE</t>
  </si>
  <si>
    <t>NINGBO MEILIAN WAIMAO</t>
  </si>
  <si>
    <t>QINGDAO BAISIYI APPAREL CO.LTD</t>
  </si>
  <si>
    <t>SHANGRAOSHI SHENGZEFANGZHIYOUXIANGONGSI</t>
  </si>
  <si>
    <t>Shaoxing shoufa textile Co. LTD</t>
  </si>
  <si>
    <t>WUXISHI NACHENG GUOJIMAOYI</t>
  </si>
  <si>
    <t>쯔보융봉방직복장유한회사</t>
  </si>
  <si>
    <t>(주)밀레니엄통상</t>
  </si>
  <si>
    <t>에이피어패럴</t>
  </si>
  <si>
    <t>QINGDAO YILAI PIGE</t>
  </si>
  <si>
    <t>JYD INTERNATIONAL CO.,LTD</t>
  </si>
  <si>
    <t>UNI EUN INTERNATIONAL TRADE CO.,LTD</t>
  </si>
  <si>
    <t>Dragon Rain Hat Industry Co., Ltd.</t>
  </si>
  <si>
    <t>SHANGHAI GAOJIEFANGZHIYOUXIANGONGSI</t>
  </si>
  <si>
    <t xml:space="preserve">청도영순휘편직유한공사 </t>
  </si>
  <si>
    <t>(주)에스에이엠지엔터테인먼트</t>
  </si>
  <si>
    <t>SONGXIN FUSHI</t>
  </si>
  <si>
    <t>YINGKOU XINTAI</t>
  </si>
  <si>
    <t xml:space="preserve">HEFEI FULEIDE FUZHUANGMAOYI </t>
  </si>
  <si>
    <t xml:space="preserve">대련친친복장 </t>
  </si>
  <si>
    <t>QINGDAO ZHANHEMAOYI</t>
  </si>
  <si>
    <t>주식회사 인투잇</t>
  </si>
  <si>
    <t>SHANGHAI XIANYUGUOJIMAOYI</t>
  </si>
  <si>
    <t>청도해성진복식유한회사</t>
  </si>
  <si>
    <t>YIWU XINJI TRADE CO.,LTD</t>
  </si>
  <si>
    <t xml:space="preserve">중산시홍림수출입무역유한회사 </t>
  </si>
  <si>
    <t>GUANGZHOU JUNFEI</t>
  </si>
  <si>
    <t>덕혜어패럴</t>
  </si>
  <si>
    <t>CAMPREBORN</t>
  </si>
  <si>
    <t>Shanghai Tianzi Clothing Accessories Sales Center</t>
  </si>
  <si>
    <t>QINGDAO SHENGFEIJIAYE</t>
  </si>
  <si>
    <t>(주)에이포스타일</t>
  </si>
  <si>
    <t>WEIHAI JIUHANG GARMENT CO.,LTD</t>
  </si>
  <si>
    <t>SJ TRADING</t>
  </si>
  <si>
    <t>CHANGZHOU WANGDA TEXTILES TRADING CO.,LTD</t>
  </si>
  <si>
    <t>WENDENG XINMING CLOTHING CO.,LTD</t>
  </si>
  <si>
    <t>제녕웰등복장주식회사</t>
  </si>
  <si>
    <t>청도신원가화선유한회</t>
  </si>
  <si>
    <t xml:space="preserve">월드아이템즈 </t>
  </si>
  <si>
    <t>ZHEJIANG HONGYI TEXTILE CO..LTD</t>
  </si>
  <si>
    <t>(주)영우이노베이션</t>
  </si>
  <si>
    <t>조장영잉니트유한회사</t>
  </si>
  <si>
    <t>주식회사 유유</t>
  </si>
  <si>
    <t>Changzhou City Sankeyou Trading Co.,Ltd.</t>
  </si>
  <si>
    <t>RUSHAN TIGER FASHION CO.,LTD</t>
  </si>
  <si>
    <t>민경섬유(주)</t>
  </si>
  <si>
    <t>주식회사 체리홈</t>
  </si>
  <si>
    <t>SHAOXING PUBANG FANGZHIPINYOUXIANGONGSI</t>
  </si>
  <si>
    <t>YANTAI ZEKAIGUOJIMAOYI</t>
  </si>
  <si>
    <t>다환무역</t>
  </si>
  <si>
    <t>(주)효다섬유</t>
  </si>
  <si>
    <t>HANGZHOU LANAN TEXTILE</t>
  </si>
  <si>
    <t>NANJING MAIWEI FUSHI</t>
  </si>
  <si>
    <t>SHANGHAI YIHAO JINCHUKOUYOUXIANGONGSI</t>
  </si>
  <si>
    <t xml:space="preserve">XIAOCAN TEXTILE </t>
  </si>
  <si>
    <t>연태희준복식유한회사</t>
  </si>
  <si>
    <t>YANTAI WANHUI</t>
  </si>
  <si>
    <t>GUANGZHOU ZILING FUZHUANG</t>
  </si>
  <si>
    <t>쯔보명상복장유한회사</t>
  </si>
  <si>
    <t>SUZHOU DINGYAN FANGZHI</t>
  </si>
  <si>
    <t>SH INTERNATIONAL</t>
  </si>
  <si>
    <t>SHAOXING JINJINGFANGZHIPIN YOUXIANGONGSI</t>
  </si>
  <si>
    <t>SUZHOU HONGLVHUANG BUYE</t>
  </si>
  <si>
    <t>SUZHOUSHI SHUNYUAN TEXTILE</t>
  </si>
  <si>
    <t>쯔보익진복장유한회사</t>
  </si>
  <si>
    <t>상주시무진신우색방직유한회사</t>
  </si>
  <si>
    <t>SHIN-A(HK)CO.,LTD</t>
  </si>
  <si>
    <t>WENZHOU CHANGCHENGLALIAN</t>
  </si>
  <si>
    <t>모이다패션</t>
  </si>
  <si>
    <t>WUJIANGSHI PEIFENG TEXTILE CO.,LTD</t>
  </si>
  <si>
    <t>SHAOXING DAIFU TEXTILE</t>
  </si>
  <si>
    <t>YANTAI FUXING</t>
  </si>
  <si>
    <t xml:space="preserve">연태주즈국제무역 </t>
  </si>
  <si>
    <t>SHAOXINGKEQIAO RONGYOUFANGZHIYOUXIANGONGSI</t>
  </si>
  <si>
    <t>HANGZHOU DONGHE DOWN PRODUCTS CO.,LTD</t>
  </si>
  <si>
    <t>SHAOXINGSHI ZHUOWEN FANGZHI</t>
  </si>
  <si>
    <t>WUJIAGSHI KANGRUI</t>
  </si>
  <si>
    <t>XIAMEN ZOYYA TRADING CO., LTD</t>
  </si>
  <si>
    <t>ZHEJIANG DONGXING DOWN PRODUCTS CO.,LTD</t>
  </si>
  <si>
    <t>WEIHAI SONGHUA FUZHUANG YOUXIANGONGSI</t>
  </si>
  <si>
    <t>주식회사 엠에스케이인터내셔널</t>
  </si>
  <si>
    <t>SHANGHAI BUSHANG TRADING CO.,LTD</t>
  </si>
  <si>
    <t>HANGZHOU BESSER APPAREL CO.,LTD.</t>
  </si>
  <si>
    <t>SUZHOU TAIYONG FANGZHI</t>
  </si>
  <si>
    <t>(주)태라</t>
  </si>
  <si>
    <t>SHAOXING MEIZILAN JINCHUKOUYOUXIANGONGSI</t>
  </si>
  <si>
    <t>JINJIANGSHI FANMI GUOJIMAOYI YOUXIANGONGSI</t>
  </si>
  <si>
    <t>QUANZHOU  TOPWAY IMPORT AND EXPORT CO.,</t>
  </si>
  <si>
    <t>YANTAI HENGHUA FUZHUANG</t>
  </si>
  <si>
    <t>KUNSHAN YUEZHONG FANGZHI</t>
  </si>
  <si>
    <t>WEIHAI ZHIYUAN TRADING CO.,LTD</t>
  </si>
  <si>
    <t>주식회사 동영상사</t>
  </si>
  <si>
    <t>(주)이랜드글로벌(★사용금지★)</t>
    <phoneticPr fontId="2" type="noConversion"/>
  </si>
  <si>
    <t>HANGIL CO;LTD</t>
    <phoneticPr fontId="2" type="noConversion"/>
  </si>
  <si>
    <t>NINGBOBOLANDIAO</t>
    <phoneticPr fontId="2" type="noConversion"/>
  </si>
  <si>
    <t xml:space="preserve">SAITEX FABRICS VIET NAM CO., LTD </t>
  </si>
  <si>
    <t>DRY-TEX</t>
  </si>
  <si>
    <t>Oceanic Fabric Mill Sdn Bhd</t>
  </si>
  <si>
    <t>Global Hantex Co., Ltd</t>
  </si>
  <si>
    <t>GAIN LUCKY VIETNAM LTD</t>
  </si>
  <si>
    <t>Dongguan Shatin Lake Side Textile Printing&amp;Dyeing Co.,Ltd</t>
  </si>
  <si>
    <t>Master Limited</t>
  </si>
  <si>
    <t>ZHEJIANG WEIXING IMP AND EXP CO LTD</t>
  </si>
  <si>
    <t>Cervotessile s.p.a</t>
  </si>
  <si>
    <t>PT CITRA ABADI SEJATI (CILEUNGSI UNIT)</t>
  </si>
  <si>
    <t>Jiaxing City Xinyuan Textile Co., Ltd.</t>
  </si>
  <si>
    <t>PCC ASIA LLC</t>
  </si>
  <si>
    <t>Foshan Shunde Manyaohe Knitting Ltd</t>
  </si>
  <si>
    <t>SHANGHAI HYX TEXTILE CO.,LTD</t>
  </si>
  <si>
    <t>PT. Sport Glove Indonesia</t>
  </si>
  <si>
    <t>RALPH LAUREN ASIA PACIFIC LTD</t>
  </si>
  <si>
    <t xml:space="preserve">TAIZHOU VIYA HAT.CO.LTD   </t>
  </si>
  <si>
    <t>TAIWAN PAIHO LIMITED</t>
  </si>
  <si>
    <t>Tung Ga Linen &amp; Cotton (Changzhou) Co.,Ltd</t>
  </si>
  <si>
    <t>MCB FASHION KNIT ACCESSORIES INC</t>
  </si>
  <si>
    <t xml:space="preserve">WILFORD KNITWEAR FASHION LTD </t>
  </si>
  <si>
    <t>GRAND TWINS INTERNATIONAL (CAMBODIA) PLC</t>
  </si>
  <si>
    <t>Changzhou Hongweida Textile Co., Ltd</t>
  </si>
  <si>
    <t>Edicate Button &amp; Garment Accessories Mfy Ltd</t>
  </si>
  <si>
    <t>Leading Star(Cambodia) Garment co ltd</t>
  </si>
  <si>
    <t>Ora Suzhou</t>
  </si>
  <si>
    <t>Suzhou Xiyu Textile Technology Co.,Ltd</t>
  </si>
  <si>
    <t>RETURN TO VENDOR CO</t>
  </si>
  <si>
    <t>Weimei Elastic Fabric Co Ltd</t>
  </si>
  <si>
    <t>WUXI SUNSHINE TEXTILE SCIENCE AND TECHNOLOGY CO.LTD</t>
  </si>
  <si>
    <t>GSI CREOS Corporation</t>
  </si>
  <si>
    <t>LEADING SUCCESS PHILS GARMENTS INC</t>
  </si>
  <si>
    <t>Envoy Textiles Ltd</t>
  </si>
  <si>
    <t>EPYLLION STYLE LIMITED</t>
  </si>
  <si>
    <t>GTG INTERNATIONAL</t>
  </si>
  <si>
    <t>Shanghai PTS Textile</t>
  </si>
  <si>
    <t>KNIT ASIA LIMITED UNIT 02 (RMG)</t>
  </si>
  <si>
    <t>De Licacy Industrial Co.,Ltd.</t>
  </si>
  <si>
    <t>DREAMTEXTILE</t>
  </si>
  <si>
    <t>Kingwhale Corporation</t>
  </si>
  <si>
    <t>WFL PACKAGING</t>
  </si>
  <si>
    <t>ZHEJIANG JIAXIN SILK CORP.,LTD</t>
  </si>
  <si>
    <t>Hangzhou BestImage Fashion Co.,Ltd</t>
  </si>
  <si>
    <t xml:space="preserve">HONG KONG RIFENG FASHION COMPANY LIMITED </t>
  </si>
  <si>
    <t>JIN YUNJIN CAMBODIA GARMENT CO LTD</t>
  </si>
  <si>
    <t>POLESTAR(COMBODIA)GARMENT CO LTD</t>
  </si>
  <si>
    <t>Nantong Honghui Garment Co Ltd</t>
  </si>
  <si>
    <t>DALIAN GLORY GARMENTS CORP. LTD</t>
  </si>
  <si>
    <t>Santos(Guangdong) Apparel Company Limited</t>
  </si>
  <si>
    <t>AIMTRON CO.,LTD</t>
  </si>
  <si>
    <t>ShengZhou YiXuan Clothing Co.,Ltd</t>
  </si>
  <si>
    <t>HISTORIC FASHION</t>
  </si>
  <si>
    <t>(주)준앤연텍스</t>
  </si>
  <si>
    <t>SHAOXING COUNTY LEISHI TEXTILE CO.,LTD</t>
  </si>
  <si>
    <t>suzhou hengfu clean technology co.,ltd</t>
  </si>
  <si>
    <t>Hongtu Clothing Factory</t>
  </si>
  <si>
    <t>WUXIBAILI CLOTHING CO.LTD</t>
  </si>
  <si>
    <t>C&amp;C NANTONG CATHAY CLOTHING CO.,LTD</t>
  </si>
  <si>
    <t xml:space="preserve">SHAWN &amp;ELLIOT DBA SESI JEWELRY USA </t>
  </si>
  <si>
    <t>GUANGZHOU ZEFANG FUZHUANG YOUXIANGONGSI</t>
  </si>
  <si>
    <t>Shaoxing Ladise Textile Garment Co.Ltd</t>
  </si>
  <si>
    <t>Icer Brands</t>
  </si>
  <si>
    <t>AnHui HuiTing GuoJiMaoYiYouXianGongSi</t>
  </si>
  <si>
    <t>ELITE RIVER INDUSTRIAL LTD.</t>
  </si>
  <si>
    <t>guangzhou rui rong clothing co.,ltd</t>
  </si>
  <si>
    <t>NINGBO SAFEWELL IMP &amp; EXP CO.,LTD.</t>
  </si>
  <si>
    <t>Globalone Trading Company</t>
  </si>
  <si>
    <t>AnHui YinYiFeng JingChuKouYouXianGongSII</t>
  </si>
  <si>
    <t>NINGBO KEHONGMAOYIYOUXIANGONGSI</t>
  </si>
  <si>
    <t>Shanghai Qijin Fangzhi</t>
  </si>
  <si>
    <t>SHAOXING TONGBANG TEXTILE CO.,LTD</t>
  </si>
  <si>
    <t>CHISAGE APPAREL GROUP.,LTD</t>
  </si>
  <si>
    <t>Shanghai Mingyang Industrial Development Cn.,Ltd</t>
  </si>
  <si>
    <t>KNF INTERNATIONAL CO.,LTD</t>
  </si>
  <si>
    <t>Shanghai SACO Knitting Co.,Ltd</t>
  </si>
  <si>
    <t>Dongguan Guluoli Clothing Co.,Ltd</t>
  </si>
  <si>
    <t>SuZhou JunXian FangZhiPinYouXianGongSi</t>
  </si>
  <si>
    <t>SHAOXING LANKOU TRADING CO.,LTD</t>
  </si>
  <si>
    <t>GUANGDONG COMPASS GREENTECH LIMITED</t>
  </si>
  <si>
    <t>REGENTEX LTD</t>
  </si>
  <si>
    <t>SHAOXING XINJINGXIANG FANGZHIYOUXIAN GONGSI</t>
  </si>
  <si>
    <t>Hunchun Sunny Group Co.,Ltd</t>
  </si>
  <si>
    <t>SHAOXING ANCHORE TEXTILE CO., LTD</t>
  </si>
  <si>
    <t>Suzhou Dragonfly Textile Co.,Ltd</t>
  </si>
  <si>
    <t xml:space="preserve">VAARITEX INTERNATIONAL LTD. </t>
  </si>
  <si>
    <t>몬테벨루나유한회사(Montebelluna Limited)(영업소)</t>
  </si>
  <si>
    <t>JBM TEXTILE CO.,LTD</t>
  </si>
  <si>
    <t xml:space="preserve">Shanghai Mintex Limited </t>
  </si>
  <si>
    <t>청도우성가방유한회사</t>
  </si>
  <si>
    <t>NANTONG LONGDINGBANG CLOTHING CO.,LTD</t>
  </si>
  <si>
    <t>SHAOXING DACANG TEXTILE CO.,LTD</t>
  </si>
  <si>
    <t>HUAREN LINEN CO.LTD</t>
  </si>
  <si>
    <t>Otti(suzhou)clothing Fitting Co.,Ltd</t>
  </si>
  <si>
    <t>Montebelluna(HK)Ltd.</t>
  </si>
  <si>
    <t>zhejiang huayanzhenzhi youxiangongsi</t>
  </si>
  <si>
    <t>SHAOXING XIAOSHUO TEXTILE CO.,LTD</t>
  </si>
  <si>
    <t>Changshu Xinmeisheng  Textile Co.,Ltd</t>
  </si>
  <si>
    <t>청도가윤재포장유한회사</t>
  </si>
  <si>
    <t>Dongguanshi huaxuan knit garment Co Ltd</t>
  </si>
  <si>
    <t>FABTRENDS USA CORP.</t>
  </si>
  <si>
    <t>주식회사 준텍스(JUNETEX INC.)</t>
  </si>
  <si>
    <t>Dongguan Yuda Garment Co.,Ltd</t>
  </si>
  <si>
    <t>Wangu Silk Suzhou  Co., Ltd</t>
  </si>
  <si>
    <t>Feel Blue SRL Unipersonale</t>
  </si>
  <si>
    <t>Changzhou Wensheng Textile Co. Ltd</t>
  </si>
  <si>
    <t>ZHEJIANG SEAKI TECHNOLOGY CO LTD</t>
  </si>
  <si>
    <t>DBL GROUP</t>
  </si>
  <si>
    <t>YKK Hong Kong LTD</t>
  </si>
  <si>
    <t>YOUNG TEXTILE</t>
  </si>
  <si>
    <t>현우모피</t>
  </si>
  <si>
    <t>sanxing fashen</t>
  </si>
  <si>
    <t xml:space="preserve">GENMEI JITUAN </t>
  </si>
  <si>
    <t>YINGBO FUSHI</t>
  </si>
  <si>
    <t>도남에프앤에프(주)</t>
  </si>
  <si>
    <t>에이치아이티(HIT)</t>
  </si>
  <si>
    <t>(주)비케이티엔씨</t>
  </si>
  <si>
    <t>Stylist Fashion China Inc</t>
  </si>
  <si>
    <t>YIXING MAGNOLIA GARMENT CO.,LTD.</t>
  </si>
  <si>
    <t>Jiangsu Zobo Clothing Co., Ltd</t>
  </si>
  <si>
    <t>Tessellation Group</t>
  </si>
  <si>
    <t>(주)트릴리온</t>
  </si>
  <si>
    <t>예진</t>
  </si>
  <si>
    <t>ZHANGJIAGANGSHI DELIN FANGZHIPIN</t>
  </si>
  <si>
    <t>TONGCHENG OUHE GARMENTS CO., LTD</t>
  </si>
  <si>
    <t>SUZHOU HAEN FANGZHI</t>
  </si>
  <si>
    <t>WEIHAI SHUANGRUI</t>
  </si>
  <si>
    <t>SHENZHEN FUBO WANGLUO</t>
  </si>
  <si>
    <t>소흥 커쵸오 준레이 방직 유한회사</t>
  </si>
  <si>
    <t>(주)하해</t>
  </si>
  <si>
    <t>(주)동원씨엠</t>
  </si>
  <si>
    <t>(주)지케미</t>
  </si>
  <si>
    <t>다온컴퍼니</t>
  </si>
  <si>
    <t>QINGDAO FORE-RUN WEAVING CO.,LTD</t>
  </si>
  <si>
    <t>주식회사 어니스트컴퍼니</t>
  </si>
  <si>
    <t>영보직물(주)</t>
  </si>
  <si>
    <t xml:space="preserve">청도미준니트유한회사  </t>
    <phoneticPr fontId="2" type="noConversion"/>
  </si>
  <si>
    <t xml:space="preserve">주식회사 트리밍버드홀딩스 </t>
  </si>
  <si>
    <t>주식회사 리아드</t>
  </si>
  <si>
    <t>주식회사 플라워웍스</t>
  </si>
  <si>
    <t>주식회사 앰비언트</t>
  </si>
  <si>
    <t>하이어그라운드</t>
  </si>
  <si>
    <t>어널로이드</t>
  </si>
  <si>
    <t>주식회사 룩캐스트</t>
  </si>
  <si>
    <t>주식회사 기준</t>
  </si>
  <si>
    <t>에스에이치어패럴(주)</t>
  </si>
  <si>
    <t>(주)나인글로벌소싱</t>
  </si>
  <si>
    <t>(주)신즈디자인하우스</t>
  </si>
  <si>
    <t>제이케이앤디 주식회사</t>
  </si>
  <si>
    <t>친다운</t>
  </si>
  <si>
    <t>주식회사 슈퍼텍스앤컴퍼니</t>
  </si>
  <si>
    <t>(주)제이랜드코리아</t>
  </si>
  <si>
    <t>(주)비저너리</t>
  </si>
  <si>
    <t>(주)제이플러스</t>
  </si>
  <si>
    <t>(주)씨앤씨인터내셔널</t>
  </si>
  <si>
    <t>텍스타일Jay</t>
  </si>
  <si>
    <t>주식회사 플로우텍스</t>
  </si>
  <si>
    <t>대원에프앤드씨(주)</t>
  </si>
  <si>
    <t>주식회사 이터널그룹</t>
  </si>
  <si>
    <t>(주)에이엠지엠브이</t>
  </si>
  <si>
    <t>(주)리브어레가시</t>
  </si>
  <si>
    <t>(주)우주글로벌</t>
  </si>
  <si>
    <t>QINGDAO SANDSILVER CLOTHING CO.,LTD</t>
  </si>
  <si>
    <t>PINKBLUE(SHANGHAI)TRADING CO.,LTD</t>
  </si>
  <si>
    <t>WONIL TEXTILE</t>
  </si>
  <si>
    <t>(주)소노팩토리</t>
  </si>
  <si>
    <t>WUXI PACIFIC KNITTING CO.,LTD</t>
  </si>
  <si>
    <t>(주)두림</t>
  </si>
  <si>
    <t>(주)한올비연</t>
  </si>
  <si>
    <t>슈프림텍스타일(주)</t>
  </si>
  <si>
    <t>Suzhou Hongyue Textile Co., Ltd</t>
  </si>
  <si>
    <t>DALIAN LONGSHAN MAKE CLOTH CO.,LTD</t>
  </si>
  <si>
    <t>예진에프앤지(주)</t>
  </si>
  <si>
    <t>주식회사 워즈코퍼레이션</t>
  </si>
  <si>
    <t>주식회사 루츠코퍼레이션</t>
  </si>
  <si>
    <t>(주)유진에스</t>
  </si>
  <si>
    <t>(주)세븐트리</t>
  </si>
  <si>
    <t>주식회사 엑스오엑스오굿보이</t>
  </si>
  <si>
    <t>(주)건화코포레이션</t>
  </si>
  <si>
    <t>주식회사 다한코퍼레이션</t>
  </si>
  <si>
    <t>HAINING TANGLONG SHENGSHI TRADING CO.,LTD</t>
  </si>
  <si>
    <t>(주)루이승어패럴</t>
  </si>
  <si>
    <t>(주)자오프로젝트</t>
  </si>
  <si>
    <t>주식회사 노앙</t>
  </si>
  <si>
    <t>(주)한남아이엔씨</t>
  </si>
  <si>
    <t>(주)삼원무역</t>
  </si>
  <si>
    <t>제이에이치에이</t>
  </si>
  <si>
    <t>(주)에스에프티</t>
  </si>
  <si>
    <t>(주)한솔셔츠</t>
  </si>
  <si>
    <t>Jiangyin Mingle Textile Co., Ltd.</t>
  </si>
  <si>
    <t>(주)에프앤에프_MLB KIDS</t>
  </si>
  <si>
    <t>주식회사 스튜디오에이엠티</t>
  </si>
  <si>
    <t>주식회사 웨어</t>
  </si>
  <si>
    <t>(주)르바</t>
  </si>
  <si>
    <t>주식회사 무신사_차이나</t>
  </si>
  <si>
    <t>주식회사 파사드패턴</t>
  </si>
  <si>
    <t>(주)씨앤에이원</t>
  </si>
  <si>
    <t xml:space="preserve">주식회사 프리모 </t>
  </si>
  <si>
    <t>디오플래닝</t>
  </si>
  <si>
    <t>(주)씨. 에스. 텍스</t>
  </si>
  <si>
    <t>(주)지영섬유</t>
  </si>
  <si>
    <t>GREEN THREADS TEXTILE CO., LIMITED</t>
  </si>
  <si>
    <t>TAK SANG COMPANY LTD</t>
  </si>
  <si>
    <t>NANTONG FUMEI FUSHI CO.,LTD</t>
  </si>
  <si>
    <t>FINE무역</t>
  </si>
  <si>
    <t>(주)다올인터내셔널</t>
  </si>
  <si>
    <t>주식회사 비타플랜트</t>
  </si>
  <si>
    <t xml:space="preserve">SHANGHAI GUOFENG FUSHI CO.,LTD </t>
  </si>
  <si>
    <t>에뜨아르</t>
  </si>
  <si>
    <t>화니상사 주식회사</t>
    <phoneticPr fontId="2" type="noConversion"/>
  </si>
  <si>
    <t>제이스튜디오</t>
  </si>
  <si>
    <t>조장덕보제의유한회사</t>
  </si>
  <si>
    <t>청도룽호연복장유한회사</t>
  </si>
  <si>
    <t>JILINSHENG YIDAZHIYI CO.,LTD</t>
  </si>
  <si>
    <t>SHEN ZHEN DUMEI GARMENT COMPANY</t>
  </si>
  <si>
    <t>SHANGHAI ZEXIAN FUSHI</t>
  </si>
  <si>
    <t>SHANGHAI JIANGMENG GARMENT REPAIR CO.,LTD</t>
  </si>
  <si>
    <t>HENAN SHENGTAI KNIT CO;LTD</t>
  </si>
  <si>
    <t>이케이상사(주)</t>
  </si>
  <si>
    <t>SUZHOU GLOBAL TEXTILE. CO., LTD</t>
  </si>
  <si>
    <t>QINGDAO OATMEAL CLOTHING CO.,LTD</t>
  </si>
  <si>
    <t>YOUNG TEXTILE CO.,LTD</t>
  </si>
  <si>
    <t>(주)에스엠소싱닷비즈</t>
  </si>
  <si>
    <t>(주)패브릭솔루션</t>
  </si>
  <si>
    <t>SHAOXING YASHEN FANGZHIPIN YOUXIANGONGSI</t>
  </si>
  <si>
    <t>텍스피아</t>
  </si>
  <si>
    <t>(주)더와이인터내셔널</t>
  </si>
  <si>
    <t>QINGDAO XINGSENDA FUZHUANG</t>
  </si>
  <si>
    <t>(주)한울플래닝</t>
  </si>
  <si>
    <t>제이에이치 텍스타일</t>
  </si>
  <si>
    <t xml:space="preserve">주식회사 엠앤에이치패션컴퍼니 </t>
  </si>
  <si>
    <t>누리모드(주)</t>
  </si>
  <si>
    <t>ZHEJIANG JIANANDA TEXTILE TECHNOLOGY CO.,LTD</t>
    <phoneticPr fontId="2" type="noConversion"/>
  </si>
  <si>
    <t>(주)지앤비어패럴(G AND B APPAREL CO.,LTD)</t>
  </si>
  <si>
    <t>SHANGHAI KAIGE TRADING CO.,LTD</t>
  </si>
  <si>
    <t xml:space="preserve">QINGDAO HAOXUAN </t>
  </si>
  <si>
    <t>위즈아이엔씨</t>
  </si>
  <si>
    <t>Nangtong Pacific Leo Woonllen Knitting Co.,Ltd</t>
  </si>
  <si>
    <t>(주)다산인더스트리</t>
  </si>
  <si>
    <t>와이케이스튜디오</t>
  </si>
  <si>
    <t>카인드 임펙트</t>
  </si>
  <si>
    <t>(주)조은텍스</t>
  </si>
  <si>
    <t>삼강통산(주)</t>
  </si>
  <si>
    <t>(주)인텍스코포레이션</t>
  </si>
  <si>
    <t>주식회사 엘리펀트텍스타일</t>
  </si>
  <si>
    <t>세원텍스타일</t>
  </si>
  <si>
    <t>아트솔컴퍼니</t>
  </si>
  <si>
    <t>Hangzhou Luoshake Brand Management Co., Ltd</t>
  </si>
  <si>
    <t>SHAOXING HANLIN IMPORT AND EXPORT CO.,LTD</t>
  </si>
  <si>
    <t>KOMATSU MATERE (SUZHOU) TRADING Co., Ltd.</t>
  </si>
  <si>
    <t>(주)영텍스타일</t>
  </si>
  <si>
    <t>주식회사 영광의</t>
  </si>
  <si>
    <t>SHENZHEN TEXTILES CO., LTD</t>
  </si>
  <si>
    <t>TEXPIA</t>
  </si>
  <si>
    <t>(주)레토트레이딩</t>
  </si>
  <si>
    <t>(주)이데아스토리</t>
  </si>
  <si>
    <t>(주)디자인바오</t>
  </si>
  <si>
    <t>(주)라인엠에프씨</t>
  </si>
  <si>
    <t>(주)아인컴퍼니</t>
  </si>
  <si>
    <t>SHANGHAI GRANDTHRIVE TEXTILES CO., LTD.</t>
  </si>
  <si>
    <t>KEQIAO LIANQUAN</t>
  </si>
  <si>
    <t>SHAOXING YULIN FANGZHI MAOYI</t>
  </si>
  <si>
    <t>SHANGHAI JINFENG</t>
  </si>
  <si>
    <t>(주)은성 T.F.I</t>
  </si>
  <si>
    <t>FU YUEN KNITTING CO., LTD</t>
  </si>
  <si>
    <t>Jiangmen Gao Jun Plastic Manufacturing Co., Ltd</t>
  </si>
  <si>
    <t>ACH Weaving(Vietnam) Company Ltd.</t>
  </si>
  <si>
    <t>Dongguan K and K Garment Accessories Co. Ltd.</t>
  </si>
  <si>
    <t>Huizhou Hesheng Metal Products Co., Ltd</t>
  </si>
  <si>
    <t>BANSWARA SYNTEX LTD</t>
  </si>
  <si>
    <t>Group Dragon Industrial Limited</t>
  </si>
  <si>
    <t>SUZHOU YUNCHU JINCHUKOU</t>
  </si>
  <si>
    <t>Wuxi Shixun Textile Ltd</t>
  </si>
  <si>
    <t>바이 제인(BY JANE)</t>
  </si>
  <si>
    <t>NINGBO AIRRY GARMENTS CO., LTD.,</t>
  </si>
  <si>
    <t>주식회사 하이드어웨이</t>
  </si>
  <si>
    <t>(주)호성비엔티</t>
  </si>
  <si>
    <t>피에스제이큐레이션(PSJcuration)</t>
  </si>
  <si>
    <t>아인텍스</t>
  </si>
  <si>
    <t>자모무역주식회사</t>
  </si>
  <si>
    <t>노바비젼코리아(주)</t>
  </si>
  <si>
    <t xml:space="preserve">Ningbo Dongchen Garments Co.,Ltd </t>
  </si>
  <si>
    <t>주식회사 무신사_스탠다드</t>
  </si>
  <si>
    <t>(주)리라이코리아</t>
  </si>
  <si>
    <t>기어텍스타일</t>
  </si>
  <si>
    <t>(주)알피티트레이딩</t>
  </si>
  <si>
    <t>(주)동일섬유</t>
  </si>
  <si>
    <t>(주)티플로(T-flo co.,Ltd)</t>
  </si>
  <si>
    <t>(주)유크</t>
  </si>
  <si>
    <t>(주)이랜드</t>
    <phoneticPr fontId="2" type="noConversion"/>
  </si>
  <si>
    <t>NANTONG FOREMOST HEADWEARS CO.,LTD</t>
    <phoneticPr fontId="2" type="noConversion"/>
  </si>
  <si>
    <t>훙레이</t>
    <phoneticPr fontId="2" type="noConversion"/>
  </si>
  <si>
    <t>SUIZHOU JIAN KNITTING CO.,LTD</t>
    <phoneticPr fontId="2" type="noConversion"/>
  </si>
  <si>
    <t>NINGBO DONGCHEN</t>
    <phoneticPr fontId="2" type="noConversion"/>
  </si>
  <si>
    <t>NANTONG YIYUAN</t>
    <phoneticPr fontId="2" type="noConversion"/>
  </si>
  <si>
    <t xml:space="preserve">NINGBO MUHE </t>
    <phoneticPr fontId="2" type="noConversion"/>
  </si>
  <si>
    <t>YANTAI MINGZHEN FUZHUANG</t>
    <phoneticPr fontId="2" type="noConversion"/>
  </si>
  <si>
    <t>ZHEJIANG NEWFINE INDUSTRY CO.,LTD</t>
  </si>
  <si>
    <t>ZHENJIANG COSMO IMP.&amp;EXP.CO.,LTD</t>
  </si>
  <si>
    <t xml:space="preserve">SHANGHAI HANSEN </t>
  </si>
  <si>
    <t>HANGZHOU JIMEI</t>
  </si>
  <si>
    <t>SHAOXING KEQIAO QICENG TEXTILES CO,LTD</t>
  </si>
  <si>
    <t>CHANGZHOUSHI XINHAOYINRAN</t>
  </si>
  <si>
    <t>HANGZHOU YISHUOFANGZHI</t>
  </si>
  <si>
    <t xml:space="preserve">SHANGHAI YONGDE </t>
  </si>
  <si>
    <t>VISIONLAND CO.,LTD</t>
  </si>
  <si>
    <t>YANCHENG YUJIE FOREIGN TRADE CORP.LTD</t>
  </si>
  <si>
    <t>FINE RHYME GARMENT CO.,LTD</t>
  </si>
  <si>
    <t>SHANGHAI HUANAN GARMENT ACCESSORIES CO.,LTD</t>
  </si>
  <si>
    <t>LIAN QUAN TEXTILE CO.,LTD</t>
  </si>
  <si>
    <t>ZHEJIANG BAFAN I/E INDUSTRIAL CO.,LTD</t>
  </si>
  <si>
    <t>Well's Clothing Company Limited</t>
  </si>
  <si>
    <t>Wan-Hawk.</t>
  </si>
  <si>
    <t>JIAXING ANYI FUSHI</t>
  </si>
  <si>
    <t>ZHONGSHAN GUANGQIN TRADE CO.,LTD</t>
  </si>
  <si>
    <t>Guangdong Yujia Supply Chain Management Co., Ltd.</t>
  </si>
  <si>
    <t xml:space="preserve">SOUTHERN OUTDOORS LIMITED </t>
  </si>
  <si>
    <t>GUANGZHOU FOWIN IMPORT EXPORT CO.,LTD</t>
  </si>
  <si>
    <t>주식회사 이래컴퍼니</t>
  </si>
  <si>
    <t>ZHONGSHENG</t>
  </si>
  <si>
    <t>POWER</t>
  </si>
  <si>
    <t>GUANGZHOU MINMIN LEATHER CO.,LTD</t>
  </si>
  <si>
    <t>씨앰 컴퍼니 주식회사</t>
  </si>
  <si>
    <t>WENZHOU LOOSTAR LEATHER PRODUCT CO.,LTD</t>
  </si>
  <si>
    <t>OUBAO</t>
  </si>
  <si>
    <t>WENZHOU RONGSHI TRADE.,LTD</t>
  </si>
  <si>
    <t>JIANGXI HAOCHI INDUSTRIAL CO LTD</t>
  </si>
  <si>
    <t>QINGDAO CUTE ARTS AND CRAFTS CO., LTD.</t>
  </si>
  <si>
    <t>WENZHOU KAMBLE SHOES CO.,LTD</t>
  </si>
  <si>
    <t>HAIANYEZHOU</t>
  </si>
  <si>
    <t>TIANJIN ZHONGSHENG INTERNATIONAL TRADE CO.,LTD</t>
  </si>
  <si>
    <t>주식회사 디에스팀</t>
  </si>
  <si>
    <t>CHENG JUN TRADING.LTD</t>
  </si>
  <si>
    <t>SHANGHAI AVENUES INDUSTRY CO.LTD.,</t>
  </si>
  <si>
    <t>WENZHOUSHI GUANGRUIXIEYE</t>
  </si>
  <si>
    <t>Guangzhou Vlead Bags Factory</t>
  </si>
  <si>
    <t>쯔보흠정복장유한회사</t>
  </si>
  <si>
    <t>NANTONG ZHENJIN</t>
  </si>
  <si>
    <t>jiangyin mingsheng</t>
  </si>
  <si>
    <t>QINGDAO CUTE ARTS AND CRAFTS CO.,LTD</t>
  </si>
  <si>
    <t xml:space="preserve">SHISHI HAOBAO RANZHI </t>
  </si>
  <si>
    <t>ZHEJIANG JIASHAN SHUANGMA FUSHIFULIAOCHANG</t>
  </si>
  <si>
    <t>HANGZHOU XINYUAN</t>
  </si>
  <si>
    <t>JIANGSU XINFANG</t>
  </si>
  <si>
    <t>SHANGHAI HONGRUN TRADING CO.,LTD</t>
  </si>
  <si>
    <t>HANSEN</t>
  </si>
  <si>
    <t>JIANGYINSHI YAZE MAOFANGZHIYOUXIANGONGSI</t>
  </si>
  <si>
    <t>SHAOXING WANSHAN TEXILE CO.,LTD.</t>
  </si>
  <si>
    <t>Xiamen Echo Imp. &amp; Exp. Co., Ltd.</t>
  </si>
  <si>
    <t>SHANGHAI LINFA FUSHI</t>
  </si>
  <si>
    <t>NINGBO YINZHOU YIGE</t>
  </si>
  <si>
    <t>HEYUAN</t>
  </si>
  <si>
    <t>SUZHOU ZHENGEXINCAILIAOKEJIYOUXIANGONGSI</t>
  </si>
  <si>
    <t>Fuzhou Heva Shoes Co.,Ltd</t>
  </si>
  <si>
    <t>FEIKESI CHENBU</t>
  </si>
  <si>
    <t>GANZHOU YIYI FUSHIYOUXIANGONGSI</t>
  </si>
  <si>
    <t>Xiamen Welch Imp&amp;Exp Co.,Ltd</t>
  </si>
  <si>
    <t>GUANGZHOU YAQITE INDUSTRIAL CO.,LTD</t>
  </si>
  <si>
    <t>SHANTOUSHI HONGYUAN TEXTILE</t>
  </si>
  <si>
    <t>Zhongshan City Jinqi Garment Co.,Ltd</t>
  </si>
  <si>
    <t>Yangzhou Fortune Link Co.,Ltd</t>
  </si>
  <si>
    <t>SHAOXING WEIJIA TEXTILE CO.,LTD</t>
  </si>
  <si>
    <t>GENMEI JITUAN</t>
    <phoneticPr fontId="2" type="noConversion"/>
  </si>
  <si>
    <t>GUANGZHOU ENHUIFUSHI YOUXIANGONGSI</t>
  </si>
  <si>
    <t>WEIHAI WEICHUANGFANGZHIFUZHUANGYOUXIANGONGSI</t>
  </si>
  <si>
    <t>SUZHOU FENGRUIDEFANGZHIKEJIYOUXIANGONGSI</t>
  </si>
  <si>
    <t>DONGGUANSHI LANLANFUSHIYOUXIANGONGSI</t>
  </si>
  <si>
    <t>JIAXINGSHI MEIYINGSHIZHUANGYOUXIANGONGSI</t>
  </si>
  <si>
    <t>Dongguan Humen Yifei Clothing</t>
  </si>
  <si>
    <t>Suzhou Hejing Garment Co., Ltd</t>
  </si>
  <si>
    <t>ZHONGSHAN SIYANGFUSHIYOUXIANGONGSI</t>
  </si>
  <si>
    <t>SXPIN</t>
  </si>
  <si>
    <t>JIAXING QINGMEIFUSHIYOUXIANGONGSI</t>
  </si>
  <si>
    <t>DONGGUAN MUXIYIN GARMENT CO., LTD.</t>
  </si>
  <si>
    <t>Guangzhou Hanchen Garment Co., Ltd</t>
  </si>
  <si>
    <t>Jiaxing Jianyi Clothing Co., Ltd.</t>
  </si>
  <si>
    <t>TONGXIANG HE DIAN CLOTHES CO.,LTD.</t>
  </si>
  <si>
    <t>Tongxiang SHANWAISHAN Clothing Co., Ltd</t>
  </si>
  <si>
    <t>GARAM TEX</t>
  </si>
  <si>
    <t>Wyermey</t>
  </si>
  <si>
    <t>Dongguan Yuhe Import and Export Trading Co., Ltd.</t>
  </si>
  <si>
    <t>(주)아성</t>
  </si>
  <si>
    <t>QINGDAO HUAYISHI FANGZHI</t>
  </si>
  <si>
    <t>Rainbow Classic Textile Co.,Ltd.</t>
  </si>
  <si>
    <t>Seek Tops International Co.,Ltd</t>
  </si>
  <si>
    <t>ZIBO HENGYECHANG TEXTILE CO.,LTD</t>
  </si>
  <si>
    <t>GUANGXI FEIBAI FUSHI</t>
  </si>
  <si>
    <t>YIWU BAILI IMPORT AND EXPORT CO.,LIMITED</t>
  </si>
  <si>
    <t>ZHEJIANG WILLING FOREIGN TRADING CO.,LTD</t>
  </si>
  <si>
    <t>YANGZHOU XIANGLONG IMP.&amp;EXP. CORP LTD.</t>
  </si>
  <si>
    <t>DongguanDongsen industry and Trade Co.,Ltd</t>
  </si>
  <si>
    <t>SHAOXING CITY SHANGYU ZUSHANG KITTING CO.,LTD</t>
  </si>
  <si>
    <t>FUZHOU YOUKANGLI IMPORT AND EXPORT CO.,LTD</t>
  </si>
  <si>
    <t>NINGBO HOME SOLUTION CORP., LTD</t>
  </si>
  <si>
    <t>YIWU KITION IMPORT AND EXPORT CO.,LTD</t>
  </si>
  <si>
    <t>JIANDE HONGDA HOME TEXTILE PRODUCTION CO.,LTD</t>
  </si>
  <si>
    <t>QINGDAO ETERNAL WEALTH TEXTILE AND GARMENTS CO.,LTD.</t>
  </si>
  <si>
    <t>NINGBO SENLY HOUSEHOLD PRODUCTS CO.,LTD</t>
  </si>
  <si>
    <t>HAINING MINGMAO TEXTILE CO.,LTD</t>
  </si>
  <si>
    <t>Pujiang Jiarou Garment Co.,Ltd.</t>
  </si>
  <si>
    <t>GUANGZHOU DREAM MAKER ART TOY ANIMATION CO.,LTD</t>
  </si>
  <si>
    <t>JINHUA HONGFANG ARTS &amp; CRAFTS CO.,LTD.</t>
  </si>
  <si>
    <t>SHAOXING DYED DREAM BLANKETCO.,LTD</t>
  </si>
  <si>
    <t>SHANGHAI EASTERN TEXTILES IMP.&amp; EXP.CO.,LTD</t>
  </si>
  <si>
    <t>ZHEJIANG SHOWFOOT IMPORT&amp;EXPORT CO.,LTD</t>
  </si>
  <si>
    <t>HANGZHOU JUNCUN IMPORT AND EXPORT CO.,LTD</t>
  </si>
  <si>
    <t>CIXI XINPU TOWN SOLASO PRODUCTS FACTORY</t>
  </si>
  <si>
    <t>Dongyang Xinheng Textile Co., Ltd.</t>
  </si>
  <si>
    <t>LUOYANG MINGCHEN GONGMAO</t>
  </si>
  <si>
    <t xml:space="preserve">JIANGSU QIUGUOGU INTERNATIONAL TRADIGN CO.,LTD </t>
  </si>
  <si>
    <t>Shaoxing Xunchi Textiles CO.,LTD.</t>
  </si>
  <si>
    <t>Yichun Enbin Industrial Co., Ltd.</t>
  </si>
  <si>
    <t>SUCCESS INTERNATIONAL TRADING LIMITED</t>
  </si>
  <si>
    <t>GUANGZHOU EIFFEL TEXTILE CO.,LTD</t>
  </si>
  <si>
    <t>NINGBO PERFECT TEXTILE CO.,LTD</t>
  </si>
  <si>
    <t>NANCHANG NOVAEINDUSTRIAL CO.,LTD</t>
  </si>
  <si>
    <t>QUANZHOU YUYING GARMENT CO.,LTD</t>
  </si>
  <si>
    <t>JINHUA KAIDUN TRADE CO.,LTD</t>
  </si>
  <si>
    <t>Dongyang Enshang commodity Co.,Ltd</t>
  </si>
  <si>
    <t xml:space="preserve">SHANGHAI SANJIN IMPORT AND EXPORT CO., LTD. </t>
  </si>
  <si>
    <t>TAIZHOU YEETO DECORATIVE MATERIAL CO.,LTD.</t>
  </si>
  <si>
    <t>ZHEJIANG WUYI NATURAL HOME DECO CO.,LTD</t>
  </si>
  <si>
    <t>FANTA GLOVE CO.,LIMITED</t>
  </si>
  <si>
    <t>TAIZHOU CHUANGYI HOUSEHOLD CO.,LTD</t>
  </si>
  <si>
    <t>Dongyang Xinyuan Household Articles Co., Ltd</t>
  </si>
  <si>
    <t>JILIN JIULI HOUSEHOLD PRODUCTS CO.,LTD</t>
  </si>
  <si>
    <t>JIAXING TUOSHANG FUSHI YOUXIANGONGSI</t>
  </si>
  <si>
    <t>주식회사 딥다이브</t>
  </si>
  <si>
    <t>Weihai Changrong Garment Co.,Ltd</t>
  </si>
  <si>
    <t>코오롱인더스트리(주)FNC부문_코오롱스포츠</t>
  </si>
  <si>
    <t>SHANGHAI NATURAL TRADING CO.,LTD.</t>
  </si>
  <si>
    <t>TAK SANG</t>
  </si>
  <si>
    <t xml:space="preserve">로엔에스티엘 </t>
  </si>
  <si>
    <t>Dalian Jinshang Helian Export Trading Co.,Ltd.</t>
  </si>
  <si>
    <t>료녕성대국제무역유한회사</t>
  </si>
  <si>
    <t>QINGDAO HH BIOTECHNOLOGY CO.,LTD</t>
  </si>
  <si>
    <t xml:space="preserve">SUZHOU JIUYIHENG </t>
  </si>
  <si>
    <t>주식회사 세사미패션</t>
  </si>
  <si>
    <t>(주)에이치엘에프(HLF)</t>
  </si>
  <si>
    <t xml:space="preserve">주식회사 제이프로젝트 </t>
  </si>
  <si>
    <t>(주)제이콘 코퍼레이션</t>
  </si>
  <si>
    <t>r주식회사 더원트레이딩</t>
  </si>
  <si>
    <t>SHAOXING LONGMING FANGZHI</t>
  </si>
  <si>
    <t>(주)엠프로미스</t>
  </si>
  <si>
    <t>SHAOXING FAYAFANGZHIPINYOUXIANGONGSI</t>
  </si>
  <si>
    <t>JUNG MYUNG TEXTILE(SHAOWU) CO.,LTD</t>
  </si>
  <si>
    <t>주식회사 다원엘엔씨</t>
  </si>
  <si>
    <t>주식회사 아리스패션</t>
  </si>
  <si>
    <t>(주)제이앤제이글로벌</t>
  </si>
  <si>
    <t>(주)선명어패럴</t>
  </si>
  <si>
    <t>I-TEX(SHANGHAI)CO.,LTD</t>
  </si>
  <si>
    <t>(주)이도</t>
  </si>
  <si>
    <t>(주)지에스리테일 홈쇼핑</t>
  </si>
  <si>
    <t>(주)지오방직</t>
  </si>
  <si>
    <t>용상무역</t>
    <phoneticPr fontId="2" type="noConversion"/>
  </si>
  <si>
    <t>SHANGHAI DONGLONG FEATHER MANUFACTURE CO.,LTD</t>
  </si>
  <si>
    <t>JIANGSU AOYANG FANGZHISHIYE YOUXIANGONGSI</t>
  </si>
  <si>
    <t>주식회사 아이텍스인터내셔널</t>
  </si>
  <si>
    <t>JIANGYIN GUANYUNMAOFANGYOUXIANGONGSI</t>
  </si>
  <si>
    <t>SHAOXING TRI-CONCORD TEXTILE&amp;TECHNOLOGY CO.,LTD.</t>
  </si>
  <si>
    <t>JIANGXI REURO BAST TEXTILES CO.,LTD</t>
  </si>
  <si>
    <t>주식회사 서이</t>
  </si>
  <si>
    <t>소싱개명방직품유한회사</t>
  </si>
  <si>
    <t>주식회사 다인인터내셔날</t>
  </si>
  <si>
    <t>WON KWANG TRADING CO.,LTD</t>
  </si>
  <si>
    <t xml:space="preserve">린이신수가복장유한공사  </t>
  </si>
  <si>
    <t>DAE HWI TEXTILE CO.,LIMITED</t>
  </si>
  <si>
    <t xml:space="preserve">위방루진방직유한회사 </t>
  </si>
  <si>
    <t>씨앤피</t>
  </si>
  <si>
    <t xml:space="preserve">엔엔케이리미티드 주식회사 </t>
  </si>
  <si>
    <t>로지트코리아 유한회사</t>
  </si>
  <si>
    <t>(주)노바모드</t>
  </si>
  <si>
    <t>ARGUS(SHANGHAI) TEXTILE&amp;GARMENT CO.,LTD</t>
  </si>
  <si>
    <t>두진양행(주)</t>
  </si>
  <si>
    <t>ZHANGJIAGANGSHI AOCHENG FANGZHIKEJIYOUXIANGONGSI</t>
  </si>
  <si>
    <t>KC 안전기준준수=반사안전조끼</t>
  </si>
  <si>
    <t>WUJIANG JINHAO TEXTILE CO.,LTD</t>
  </si>
  <si>
    <t>USP TEXTILE CO., LTD</t>
  </si>
  <si>
    <t>TONGXIANG HUANGMAFUSHIYOUXIANGONGSI</t>
  </si>
  <si>
    <t>아이캔</t>
  </si>
  <si>
    <t>(주)위비스</t>
  </si>
  <si>
    <t>ZHEJIANG HEXIN NEW MATERIAL CO.,LTD</t>
  </si>
  <si>
    <t>Leshan Giantstar Farming&amp;Husbandry Corporation Limited</t>
  </si>
  <si>
    <t>XIAMENCITY WOFFSEA NEEDLE LEXTILE CO.,LTD?</t>
  </si>
  <si>
    <t>신펑</t>
  </si>
  <si>
    <t>주식회사 차일디</t>
  </si>
  <si>
    <t>GUANGZHOU LEQI E - COMMERCE CO., LTD. CHINA</t>
  </si>
  <si>
    <t xml:space="preserve">MK </t>
  </si>
  <si>
    <t>(주)마선</t>
  </si>
  <si>
    <t>HN트레이딩</t>
  </si>
  <si>
    <t xml:space="preserve">유한회사 슬림소녀무역 </t>
  </si>
  <si>
    <t>(주)시선인터내셔널</t>
  </si>
  <si>
    <t xml:space="preserve">히트 </t>
  </si>
  <si>
    <t>NINGBO TONGLING TRADING CO.,LTD</t>
  </si>
  <si>
    <t>ZIBO ZHANCHENG GARMENT TRADING CO.,LTD</t>
  </si>
  <si>
    <t>(주)폰드그룹</t>
  </si>
  <si>
    <t xml:space="preserve">소싱시통홍니트방직유한공사  </t>
  </si>
  <si>
    <t>SUZHOU REMEX TEX CO.,LTD</t>
  </si>
  <si>
    <t>주식회사 디오콜렉션</t>
  </si>
  <si>
    <t>(주)지티에스글로벌</t>
  </si>
  <si>
    <t>아토디</t>
  </si>
  <si>
    <t>WEIHAI KENCHUANG JINCHUKYOUXIANGONGSI</t>
  </si>
  <si>
    <t>JIANGYIN DAYING</t>
  </si>
  <si>
    <t>주식회사 디자인리프</t>
  </si>
  <si>
    <t>JIAXING LIFANNUOSI MAOYI</t>
  </si>
  <si>
    <t>Shandong Huiquan Industry Co.,Ltd</t>
  </si>
  <si>
    <t>WEIHAI SHENJING  CLOTHING CO.,LTD</t>
  </si>
  <si>
    <t>YANTAI XIANBIN GARMENT CO.,LTD</t>
  </si>
  <si>
    <t>CHUZHOU G AND J TEXTILES CO., LTD</t>
  </si>
  <si>
    <t>YANTAI JINDIAN</t>
  </si>
  <si>
    <t>(주)비앤에스 컴퍼니</t>
  </si>
  <si>
    <t>SUZHOU CTIY YIMAN TEXTILE CO.,LTD</t>
  </si>
  <si>
    <t>WEIHAI BAOLITONG</t>
  </si>
  <si>
    <t>(주)제이에스케이아이엔지</t>
  </si>
  <si>
    <t>DALIAN BAIDE TRADING CO.,LTD</t>
  </si>
  <si>
    <t>SHANGHAI ZAIYING</t>
  </si>
  <si>
    <t>DONGTAILIWENSEZHIYOUXIANGONGSI</t>
  </si>
  <si>
    <t>Wuxi Hongjinyuan Metal Products</t>
  </si>
  <si>
    <t xml:space="preserve">JIANGSU GTIG ESEN   CO., LTD </t>
  </si>
  <si>
    <t>JIANGSU GUOTAIYISHENG SHIYE</t>
  </si>
  <si>
    <t>JIAXING RIVANOS TEX-TECH CO.,LTD</t>
  </si>
  <si>
    <t>SHANGRAO HONGSHENG TEXILES CO.,LTD</t>
  </si>
  <si>
    <t>주식회사 티마이스</t>
  </si>
  <si>
    <t>주식회사 엘씨에이치</t>
  </si>
  <si>
    <t>KAIMENG(ZHANG JIA GANG) FANGZHI</t>
  </si>
  <si>
    <t>SHAOXING MIZHUOFANGZHIPINYOUXIANGONGSI</t>
  </si>
  <si>
    <t>SHAOXING ZHIXUFANGZHIPINYOUXIANGONGSI</t>
  </si>
  <si>
    <t xml:space="preserve">Taicang Tengxiang Textile co.,ltd </t>
  </si>
  <si>
    <t>(주)티더블유제이코퍼레이션</t>
  </si>
  <si>
    <t>Textum GmbH</t>
  </si>
  <si>
    <t xml:space="preserve">쯔보중림방직유한공사  </t>
  </si>
  <si>
    <t>TONGXIANG HONGCHENG FUSHI</t>
  </si>
  <si>
    <t>BENGBU CHANGGE</t>
  </si>
  <si>
    <t>QINGDAO DEYUE</t>
  </si>
  <si>
    <t>Zhongshan Honglin Import and Export Trade Co.,Ltd</t>
  </si>
  <si>
    <t>ZHEJIANG JIAYUN XINCAILIAO GUFENYOUXIANGONGSI</t>
  </si>
  <si>
    <t>QINGDAO MINXIAOXIN INDUSTRY AND TRADE CO.,LTD.</t>
  </si>
  <si>
    <t>청도리만다복식유한회사</t>
  </si>
  <si>
    <t xml:space="preserve">Weihai Linshuo Textile Technology Co., Ltd.      </t>
  </si>
  <si>
    <t>GNF</t>
  </si>
  <si>
    <t>HUIZHOU NEW DEXIN SMART HOME TECHNOLOGY CO.,LTD</t>
  </si>
  <si>
    <t xml:space="preserve">JIANGSU SIDEFU TEXTILE CO.,LTD </t>
  </si>
  <si>
    <t>GOOD GIFTS(HONGKONG)CO.,LIMITED</t>
  </si>
  <si>
    <t>주식회사 더케이앤케이인터내셔널</t>
  </si>
  <si>
    <t>WEIHAI MEILIHUAFUSHI YOUXIANGONGSI</t>
  </si>
  <si>
    <t>DALIAN ZHENGNANFUZHUANGYOUXIANGONGSI</t>
  </si>
  <si>
    <t>쌤소나이트</t>
  </si>
  <si>
    <t>SHANGHAI JOYKEY INTERNATIONAL TRADING CO.,LTD</t>
  </si>
  <si>
    <t>주식회사 대건엠에스</t>
  </si>
  <si>
    <t>(주)제이오코퍼레이션</t>
  </si>
  <si>
    <t xml:space="preserve">QINGDAO BAPUYANG </t>
  </si>
  <si>
    <t>GONGYISHI MEIQIGONGMAOYOUXIANGONGSI</t>
  </si>
  <si>
    <t>WOOLIN</t>
  </si>
  <si>
    <t xml:space="preserve">청도일특육국제무역유한회사 </t>
  </si>
  <si>
    <t>소싱조욱방직품유한회사</t>
  </si>
  <si>
    <t>Zibo Shengfeng Textile and Garment Co.,Ltd</t>
  </si>
  <si>
    <t>위해용애복장유한회사</t>
  </si>
  <si>
    <t>c</t>
  </si>
  <si>
    <t>(주)용연텍스타일</t>
  </si>
  <si>
    <t>원전교역(주)</t>
  </si>
  <si>
    <t xml:space="preserve">티엔피인터내셔날 주식회사 </t>
  </si>
  <si>
    <t>SHANGHAI KAIRUNYUETAIXINCAILIAOYOUXIANGONGSI</t>
  </si>
  <si>
    <t>(주)스포츠톡스</t>
  </si>
  <si>
    <t>주식회사 컨트롤케이앤제이</t>
  </si>
  <si>
    <t>WEIHAI SHUIJING FUZHUANG YOUXIANGONGSI</t>
  </si>
  <si>
    <t>스튜디오베어</t>
  </si>
  <si>
    <t>WEIHAI ZHUHUI TRADING CO.,LTD</t>
  </si>
  <si>
    <t>주식회사 우리앤우리데코</t>
  </si>
  <si>
    <t>KUNSHAN HUAYUXUAN CLOTHING FABRIC CO.,LTD</t>
  </si>
  <si>
    <t>(주)제이티케이코퍼레이션（JTK CORPORATION)</t>
  </si>
  <si>
    <t>얼더스재팬</t>
  </si>
  <si>
    <t>YANTAI XIZHIQI INDUSTRIAL TRADE CO.,LTD</t>
  </si>
  <si>
    <t>SHAOXING MIRUIKE TEXTILE CO.,LTD</t>
  </si>
  <si>
    <t>Changzhou Qiongju Textile S&amp;T CO.,LTD</t>
  </si>
  <si>
    <t>CHERRY(ZIBO) GARMENT CO., LTD.</t>
  </si>
  <si>
    <t>청도특비커국제무역유한회사</t>
  </si>
  <si>
    <t>HANGZHOU RONGNUO TEXTILE CO.,LTD</t>
  </si>
  <si>
    <t>주식회사 플러스에프엔씨</t>
  </si>
  <si>
    <t>SHANGHAI EYANMAOYIYOUXIANGONGSI</t>
  </si>
  <si>
    <t>데시그나레</t>
  </si>
  <si>
    <t>WEIHAI LONGYI IMPORT AND EXPORT CO.,LTD</t>
  </si>
  <si>
    <t>TEX-PRIME CO.,LTD</t>
  </si>
  <si>
    <t>YANTAI PACIFIC TRADING COMPANY LIMITED</t>
  </si>
  <si>
    <t xml:space="preserve">QINGDAOSHI JIZHOU </t>
  </si>
  <si>
    <t>(주)야드엘파이낸스 여주지점</t>
  </si>
  <si>
    <t>DORIS TEXTILE CO.,LTD</t>
  </si>
  <si>
    <t>Yantai shengyue garment co.lte</t>
  </si>
  <si>
    <t>(주)굿피플홀딩스</t>
  </si>
  <si>
    <t>보경F&amp;G</t>
  </si>
  <si>
    <t>Hubei Gold Dragon Non-woven Fabrics Co.,Ltd</t>
  </si>
  <si>
    <t>(주)경풍</t>
  </si>
  <si>
    <t>토파즈</t>
  </si>
  <si>
    <t>NINGBO MATCHING TRADING CO.,LTD</t>
  </si>
  <si>
    <t>주식회사 테일러타운</t>
  </si>
  <si>
    <t>(주)대승무역</t>
  </si>
  <si>
    <t>LONGCHANG JUNYUAN COTTON TEXTILE CO.,LTD</t>
  </si>
  <si>
    <t>SHANGHAI SUN SHINE APPAREL CO., LTD</t>
  </si>
  <si>
    <t>SINUIE TRADING CO.,LTD</t>
  </si>
  <si>
    <t>SHANDONG DANOVI IT CO.,LTD</t>
  </si>
  <si>
    <t>SUZHOUSHI TENGFENG TEXTILE</t>
  </si>
  <si>
    <t>청도이래가죽제품유한회사</t>
  </si>
  <si>
    <t>(주)샘컬렉션</t>
  </si>
  <si>
    <t>ANHUI LONGYEYURONGZHIPINYOUXIANGONGSI</t>
  </si>
  <si>
    <t>SHANGHAI EAST WAVE FASHION CO..LTD</t>
  </si>
  <si>
    <t>주식회사 알레르망</t>
  </si>
  <si>
    <t>티에프코리아 주식회사</t>
  </si>
  <si>
    <t>SUZHOU HAOXIN TEXTILE CO.,LTD</t>
  </si>
  <si>
    <t>Changzhou Lvton Polymer Technology Co., Ltd</t>
  </si>
  <si>
    <t>Guangzhou Hadisi Apparel Co., Ltd.</t>
  </si>
  <si>
    <t>(주)닉스아이</t>
  </si>
  <si>
    <t>(주)더코지네스트컴퍼니</t>
  </si>
  <si>
    <t>(주)데코원</t>
  </si>
  <si>
    <t>WEIHAI HONGCHENG APPAREL CO.,LTD</t>
  </si>
  <si>
    <t>Zhejiang Goldensea Hi-Tech Co.,Ltd</t>
  </si>
  <si>
    <t>Zhejiang Yuhao Technology Textile Co., Ltd</t>
  </si>
  <si>
    <t>청도도림원국제무역유한회사</t>
  </si>
  <si>
    <t>BAODING YICHENG XIEYE</t>
  </si>
  <si>
    <t>DALIAN LESHENGFUZHUANGFULIAOYOUXIANGONGSI</t>
  </si>
  <si>
    <t>DaLian MingHui Fur Co.,Ltd</t>
  </si>
  <si>
    <t>DALIAN PEIFENG COMMERCIAL TRADE CO,LTD</t>
  </si>
  <si>
    <t>FAR EASTERN POLYTEX(VETNAM) LIMITED</t>
  </si>
  <si>
    <t>QIUHUI</t>
  </si>
  <si>
    <t>SUZHOU ZHICHOU FANGZHI</t>
  </si>
  <si>
    <t>WEIHAI RUNHAO GARMENT CO.,LTD</t>
  </si>
  <si>
    <t>미쓰고</t>
  </si>
  <si>
    <t>주식회사 국화</t>
  </si>
  <si>
    <t>주식회사 지디코퍼레이션</t>
  </si>
  <si>
    <t>청도썬플렉스</t>
  </si>
  <si>
    <t>(주)동주스포츠</t>
  </si>
  <si>
    <t>(주)서진산업</t>
  </si>
  <si>
    <t xml:space="preserve">TUV SUD Certification and Testing (China) Co., Ltd. Ningbo Branch  </t>
  </si>
  <si>
    <t>파이어니어 스포츠</t>
  </si>
  <si>
    <t>SUZHOU ANFEI TEXTILE CO.,LTD</t>
  </si>
  <si>
    <t>Qingdao Taitian lntelligent Technology Co.,Ltd</t>
  </si>
  <si>
    <t>Suzhou Green Tex Textile &amp;Garments Co.,Ltd.</t>
  </si>
  <si>
    <t>WUJIANG HONGCHENG TEXTILES FINISHING CO.,LTD</t>
  </si>
  <si>
    <t>HANGZHOUHENGZHUO FANGZHIPINYOUXIANGONGSI</t>
  </si>
  <si>
    <t>SHAOXING ZHITONG TRADE CO. ,LTD</t>
  </si>
  <si>
    <t>NANTONG SAIANGFUSHI</t>
  </si>
  <si>
    <t>SHAOXING KEQIAO XUANYANG JINCHUKOU CO.,LTD</t>
  </si>
  <si>
    <t>위해선재향국제무역유한공사</t>
  </si>
  <si>
    <t>비에이치컴퍼니 주식회사</t>
  </si>
  <si>
    <t>YANTAI PEARLTEX GLOBAL CO.,LTD</t>
  </si>
  <si>
    <t>에스피엘글로벌</t>
  </si>
  <si>
    <t>SUZHOU TAILANXIN TECHNOLOGY CO.,LTD</t>
  </si>
  <si>
    <t>RAM COMMERCE CO.,LTD</t>
  </si>
  <si>
    <t xml:space="preserve">WEIHAI BETTEX INTERNATIONAL TRADING CO.,LTD
</t>
  </si>
  <si>
    <t>GUANGZHOU YITIANMAOYIYOUXIANGONGSI</t>
  </si>
  <si>
    <t>연대양판복장유한회사</t>
  </si>
  <si>
    <t>IL WON GLOBAL</t>
  </si>
  <si>
    <t>SHINHWA EXIM LTD.</t>
  </si>
  <si>
    <t>(주)아이아이씨에이</t>
  </si>
  <si>
    <t xml:space="preserve">청도천지원복장유한회사 </t>
  </si>
  <si>
    <t>주식회사 레이블닷</t>
  </si>
  <si>
    <t>Qingdao Jiashengxin Trading co.,Ltd</t>
  </si>
  <si>
    <t>JIANGSU HUAYIFUSHIYOUXIANGONGSI</t>
  </si>
  <si>
    <t>HANGZHOU SHIZHANFANGZHIYOUXIANGONGSI</t>
  </si>
  <si>
    <t>HYERA</t>
  </si>
  <si>
    <t xml:space="preserve">WEIHAI JIXIXI </t>
  </si>
  <si>
    <t>Suzhou Jinshine Textile Import &amp; Export Co., Ltd.</t>
  </si>
  <si>
    <t>SUZHOU SUNSHINE TEXTILE TECHNOLOGY CO.,LTD</t>
  </si>
  <si>
    <t>WEIHAI XUEYOU OUTDOOR SPORTS PRODUCTS CO.,LTD</t>
  </si>
  <si>
    <t>연대왕홍복직유한공사</t>
  </si>
  <si>
    <t>주식회사 엔씨에프앤씨</t>
  </si>
  <si>
    <t>(주)모로컴퍼니</t>
  </si>
  <si>
    <t>(주)파로만코퍼레이션</t>
  </si>
  <si>
    <t>LANLNG YUANDONG INTERNATIONAL TRADE CO.. LTD.</t>
  </si>
  <si>
    <t>Dandong Kaixiang Garment Co., Ltd.</t>
  </si>
  <si>
    <t>NANTONG ANYI YARNDYED CO.LTD</t>
  </si>
  <si>
    <t>WUJIANG KC TEXTILE CO.,LTD</t>
  </si>
  <si>
    <t>INSIGHT</t>
  </si>
  <si>
    <t>주식회사 뉴브릿지(NEW BRIDGE)</t>
  </si>
  <si>
    <t>주식회사 메디쿼터스</t>
  </si>
  <si>
    <t>HEBEI FANXI FANGZHI</t>
  </si>
  <si>
    <t>SHANGHAI ZENITH INTERNATIONAL CO., LTD</t>
  </si>
  <si>
    <t>Ningbo Indeednice Imp.&amp; Exp.Corp</t>
  </si>
  <si>
    <t>CHUYUN</t>
  </si>
  <si>
    <t>FOSHAN CITY SHUNDE MAIYIYANG GARMENT CO., LTD</t>
  </si>
  <si>
    <t>HANGZHOU ZHENYANG FASHION CO., LTD</t>
  </si>
  <si>
    <t>NINGBO YONGNAN TIMES GARMENT CO.,LTD</t>
  </si>
  <si>
    <t>SHANGHAI MAN LIANG Industrial Co., Ltd</t>
  </si>
  <si>
    <t>CHINA TEXTILES</t>
  </si>
  <si>
    <t>FOSHAN SHUNDE NEW STYLE KNITTING&amp;GARMENT CO.,LTD</t>
  </si>
  <si>
    <t>25년 1월</t>
    <phoneticPr fontId="2" type="noConversion"/>
  </si>
  <si>
    <t>25년 2월</t>
  </si>
  <si>
    <t>25년 3월</t>
  </si>
  <si>
    <t>25년 4월</t>
  </si>
  <si>
    <t>25년 5월</t>
  </si>
  <si>
    <t>25년 6월</t>
  </si>
  <si>
    <t>25년 7월</t>
  </si>
  <si>
    <t>25년 8월</t>
  </si>
  <si>
    <t>25년 9월</t>
  </si>
  <si>
    <t>25년 10월</t>
  </si>
  <si>
    <t>25년 11월</t>
  </si>
  <si>
    <t>25년 12월</t>
  </si>
  <si>
    <t>25년 합계</t>
    <phoneticPr fontId="2" type="noConversion"/>
  </si>
  <si>
    <t>TOTAL</t>
    <phoneticPr fontId="2" type="noConversion"/>
  </si>
  <si>
    <t>ZHEJIANG DONGJIN NEW MATERIAL CO.,LTD</t>
  </si>
  <si>
    <t>MANTEL TEXTILE LONG AN VIETNAM CO., LTD_x000D_</t>
  </si>
  <si>
    <t>Haining City Ruizhong Textile Co., Ltd.</t>
  </si>
  <si>
    <t>LABTEX CO.,LTD</t>
  </si>
  <si>
    <t>(주)신한산업</t>
  </si>
  <si>
    <t>(주)카넬리온</t>
  </si>
  <si>
    <t>로운텍스</t>
  </si>
  <si>
    <t>주식회사 티제이컴퍼니</t>
  </si>
  <si>
    <t>WUYI YOLE HOUSEHOLD PRODUCTS CO.,LTD</t>
  </si>
  <si>
    <t>Ningbo Haishu Youdi Houseware Co., Ltd.</t>
  </si>
  <si>
    <t>JINHUA ANIMATE IMP AND EXP CO.,LTD</t>
  </si>
  <si>
    <t>HANGZHOU HISAZUMI HOLDINGS CO.,LTD</t>
  </si>
  <si>
    <t>TIANJIN EVERFLY HOMEDECO CO.,LTD</t>
  </si>
  <si>
    <t>YIWU JINGXIN TRADE CO., LTD</t>
  </si>
  <si>
    <t>SHANGHAI BOYANG TEXTILE CO., LTD</t>
  </si>
  <si>
    <t>TUBANG</t>
  </si>
  <si>
    <t>FASHION-FLYING OUTDOOR GARMENTS CO.,LTD</t>
  </si>
  <si>
    <t>Dongguan Hengduo Clothing Co.,Ltd</t>
  </si>
  <si>
    <t>SHAOXING KEQIAO WANGZI TEXTILE CO.,LTD</t>
  </si>
  <si>
    <t>WUJIANG FLYING TEXTILE CO.,LTD</t>
  </si>
  <si>
    <t xml:space="preserve">주식회사 제이제이커머스 </t>
  </si>
  <si>
    <t>Zhejiang Aumerry Textile Technology Co.,Ltd</t>
  </si>
  <si>
    <t>SUTAN(SHANGHAI)INDUSTRIAL CO., LTD</t>
  </si>
  <si>
    <t>WEIHAI XINGHUI GARMENTS CO.,LTD</t>
  </si>
  <si>
    <t>GUANZGHOU TAIYANG FUZHUANG</t>
  </si>
  <si>
    <t>ACTIVE USA, INC.</t>
  </si>
  <si>
    <t>POLO RALPH LAUREN</t>
    <phoneticPr fontId="2" type="noConversion"/>
  </si>
  <si>
    <t>26년 9월</t>
  </si>
  <si>
    <t>26년 10월</t>
  </si>
  <si>
    <t>26년 11월</t>
  </si>
  <si>
    <t>26년 12월</t>
  </si>
  <si>
    <t>26년 합계</t>
    <phoneticPr fontId="2" type="noConversion"/>
  </si>
  <si>
    <t>Ningbo Orient Hongye Yunke Imp &amp; Exp Co.,Ltd</t>
    <phoneticPr fontId="2" type="noConversion"/>
  </si>
  <si>
    <t>SHANGHAI ETRADE BUSINESS SERVICE CO.,LTD</t>
  </si>
  <si>
    <t>증감율</t>
  </si>
  <si>
    <t>CHANGZHOUSHI KELAODEBUYE YOUXIANGONGSI</t>
  </si>
  <si>
    <t>CHANGZHOUSHI DAHANGFANGZHIPIN YOUXIANGONGSI</t>
  </si>
  <si>
    <t>SHANGHAI FANYU INDUSTRY &amp; TRADE CO.,LTD</t>
  </si>
  <si>
    <t>shaoxing shengwang</t>
  </si>
  <si>
    <t>SHAOXING XUBO</t>
  </si>
  <si>
    <t>SHAOXING DUOLAI</t>
  </si>
  <si>
    <t>SHAOXING HANMO</t>
  </si>
  <si>
    <t>NANTONG DESHENG</t>
  </si>
  <si>
    <t>HANGZHOU FANBO</t>
  </si>
  <si>
    <t>JIAXINGSHI ZHONGFANG FANGZHI</t>
  </si>
  <si>
    <t>shanghai peisong shiyeyouxiangongsi</t>
  </si>
  <si>
    <t xml:space="preserve">HANGZHOU LONGBO </t>
  </si>
  <si>
    <t>SUZHOU CHANGJIANGFANGZHI</t>
  </si>
  <si>
    <t>jiaxing shibofangzhiyouxiangongsi</t>
  </si>
  <si>
    <t>SHAOXING GONGCHUANG</t>
  </si>
  <si>
    <t>주식회사 아이엠케이글로벌</t>
  </si>
  <si>
    <t>SHINSUNG TONGSHANG CHINA JIAXING BRANCH</t>
  </si>
  <si>
    <t>enshuo suzhou fangzhi youxiangongsi</t>
  </si>
  <si>
    <t>SUZHOU SIMEIYUE</t>
  </si>
  <si>
    <t>JIANGSU RONGXU FANGZHIYOUXIANGONGSI</t>
  </si>
  <si>
    <t>ZHEJIANG KAMO</t>
  </si>
  <si>
    <t>CIXISHI HENGMEIFUZHUANGYOUXIANGONGSI</t>
  </si>
  <si>
    <t>NANYANGMAOYI</t>
  </si>
  <si>
    <t>TONGXIANG JIEKAFANGZHIKEJI YOUXIANGONGSI</t>
  </si>
  <si>
    <t>휠라코리아(주)</t>
    <phoneticPr fontId="2" type="noConversion"/>
  </si>
  <si>
    <t>NINGBO HESHI MAOYI FAZHANYOUXIANGONGSI</t>
  </si>
  <si>
    <t>GUANGZHOU HANJIALAN SHANGMAO YOUXIANGONGSI</t>
  </si>
  <si>
    <t>DONGGUANSHI QUANDA FUSHI YOUXIANGONGSI</t>
  </si>
  <si>
    <t>ANHUISHENG LANGPAI SHIZHUANG YOUXIANGONGSI</t>
  </si>
  <si>
    <t>SUZHOUSHI YONGLIHAO MAOSHANZHIZAO YOUXIANGONGSI</t>
  </si>
  <si>
    <t>NING BO ZHE SI</t>
  </si>
  <si>
    <t>WANG FAT HONG</t>
  </si>
  <si>
    <t>(주)유영어페럴</t>
  </si>
  <si>
    <t xml:space="preserve">HANSAEDREAMS JAPAN CO.,LTD </t>
  </si>
  <si>
    <t>f</t>
    <phoneticPr fontId="2" type="noConversion"/>
  </si>
  <si>
    <t>(주)조단코퍼레이션</t>
  </si>
  <si>
    <t>HAOZHIYUAN</t>
  </si>
  <si>
    <t>수이수</t>
  </si>
  <si>
    <t>K&amp;M inter-fashion Co.,Ltd</t>
  </si>
  <si>
    <t>TINA BELLA</t>
  </si>
  <si>
    <t>JIESOUXING</t>
  </si>
  <si>
    <t>(주)다운기획</t>
  </si>
  <si>
    <t>주식회사 이엠에프앤씨</t>
  </si>
  <si>
    <t>(주)맥산홀딩스</t>
  </si>
  <si>
    <t>(주)픽스쳐패브리케이션</t>
  </si>
  <si>
    <t>(주)지엘유니온</t>
  </si>
  <si>
    <t xml:space="preserve">Ming Shang </t>
  </si>
  <si>
    <t>(주)류콘</t>
  </si>
  <si>
    <t>(주)제이에스티나</t>
  </si>
  <si>
    <t>(주)와이엠어패럴</t>
  </si>
  <si>
    <t>(주)안인클리네이션</t>
  </si>
  <si>
    <t>(주)세르주드</t>
  </si>
  <si>
    <t>JBEE SC CO.,LTD</t>
  </si>
  <si>
    <t>(재)FITI시험연구원</t>
  </si>
  <si>
    <t>SHANGHAI YINGDI FUSHI YOUXIANGONGSI</t>
  </si>
  <si>
    <t>주식회사 제우인터내셔날</t>
  </si>
  <si>
    <t>ZHONGSHAN SIYANG FUSHI YOUXIANGONGSI</t>
  </si>
  <si>
    <t xml:space="preserve">큐티엘 </t>
  </si>
  <si>
    <t>DALIAN MINXING GUOJIMAOYI YOUXIANGONGSI</t>
  </si>
  <si>
    <t>SUZHOU DATALL INPORT AND EXPORT CO.,LTD</t>
  </si>
  <si>
    <t>JIAXINGSHI HUAYAZHIZAOGUFEN YOUXIANGONGSI</t>
  </si>
  <si>
    <t>wujiang yongda</t>
  </si>
  <si>
    <t>행 레이블</t>
  </si>
  <si>
    <t>이랜드(검품)</t>
  </si>
  <si>
    <t>합계 : 25년 합계</t>
  </si>
  <si>
    <t>합계 : 26년 합계</t>
  </si>
  <si>
    <t>HORNG BO KNITTING CO., LTD.</t>
  </si>
  <si>
    <t>Shanghai Ecopel Industrial Co. Ltd</t>
  </si>
  <si>
    <t>JIANGSU DONGTU TEXTILE CO., LTD</t>
  </si>
  <si>
    <t>Hangzhou Rongnuo Textiles Co. Ltd.</t>
  </si>
  <si>
    <t>RELIANCE PRODUCERS COOPERATIVE</t>
  </si>
  <si>
    <t>Shanghai Jingmao Textile Technology Co., Ltd.</t>
  </si>
  <si>
    <t>QUANZHOU YUMO IMPORT AND EXPORT TRADE CO.,LTD</t>
  </si>
  <si>
    <t>(주)에스더블유아이이노베이션</t>
  </si>
  <si>
    <t>채운인터내셔날</t>
  </si>
  <si>
    <t>WEIHAI DUANSHI FUZHUANG YOUXIANGONGSI</t>
  </si>
  <si>
    <t>(주)범창모산</t>
  </si>
  <si>
    <t>주식회사 아라움</t>
  </si>
  <si>
    <t>주식회사 에이치에스소싱</t>
  </si>
  <si>
    <t>SUZHOU AHUA TEXTILE CO.,LTD</t>
  </si>
  <si>
    <t>PINGHU YOUGUO FUSHIDIAN</t>
  </si>
  <si>
    <t>Wenzhou Toho Trading Co.,Ltd</t>
  </si>
  <si>
    <t>SUMEIDAGUOJIGONGYINGLIANGUANLI(NANJING)YOUXIANGONGSI</t>
  </si>
  <si>
    <t>주식회사 로엔에스티엘</t>
  </si>
  <si>
    <t>Suzhou Hana Textile Co., Ltd</t>
  </si>
  <si>
    <t>대련만향복장회사</t>
  </si>
  <si>
    <t>FCL HK CO,. LIMITED</t>
  </si>
  <si>
    <t>SHAOXING CHENG XUAN TEXTILES&amp;APPAREL CO., LTD</t>
  </si>
  <si>
    <t>Suzhou Horay Textile Co.,Ltd</t>
  </si>
  <si>
    <t xml:space="preserve">피디스페이스 주식회사 </t>
  </si>
  <si>
    <t>ZHEJIANG SAILANMINGDAOJINCHUKOU YOUXIANGONGSI</t>
  </si>
  <si>
    <t>YIWUSHI YOUMIMAOYI YOUXIANGONGSI</t>
  </si>
  <si>
    <t>Guangzjou Xingxue Clothing trading Co.,Ltd</t>
  </si>
  <si>
    <t>QINGDAO SOOKA IMPORT EXPORT CO.,LTD</t>
  </si>
  <si>
    <t>SUZHOU CHANGJUCHENG FANGZHIYOUXIANGONGSI</t>
  </si>
  <si>
    <t>에프앤에프_듀베티카</t>
  </si>
  <si>
    <t>광림통상_서양네트웍스</t>
  </si>
  <si>
    <t>에스케이패션주식회사</t>
  </si>
  <si>
    <t>HEHAN</t>
  </si>
  <si>
    <t>동관시화샹실리콘선물유한회사</t>
  </si>
  <si>
    <t>SHANGHAI DIENFU MAOYIYOUXIANGONGSI</t>
    <phoneticPr fontId="2" type="noConversion"/>
  </si>
  <si>
    <t>상해지사 사업코드</t>
    <phoneticPr fontId="2" type="noConversion"/>
  </si>
  <si>
    <t>GB</t>
    <phoneticPr fontId="2" type="noConversion"/>
  </si>
  <si>
    <t>글로벌바이어</t>
    <phoneticPr fontId="2" type="noConversion"/>
  </si>
  <si>
    <t>제품평가</t>
    <phoneticPr fontId="2" type="noConversion"/>
  </si>
  <si>
    <t>패션잡화</t>
    <phoneticPr fontId="2" type="noConversion"/>
  </si>
  <si>
    <t>part1</t>
  </si>
  <si>
    <t>part2</t>
    <phoneticPr fontId="2" type="noConversion"/>
  </si>
  <si>
    <t>원단</t>
    <phoneticPr fontId="2" type="noConversion"/>
  </si>
  <si>
    <t>가먼트</t>
    <phoneticPr fontId="2" type="noConversion"/>
  </si>
  <si>
    <t>구분</t>
    <phoneticPr fontId="2" type="noConversion"/>
  </si>
  <si>
    <t>SUB TOTAL</t>
    <phoneticPr fontId="2" type="noConversion"/>
  </si>
  <si>
    <t>26년 1월</t>
    <phoneticPr fontId="2" type="noConversion"/>
  </si>
  <si>
    <t>SUZHOU FUFUZHIZAO YOUXIANGONGSI</t>
  </si>
  <si>
    <t>Shenzhen Lianxing Clothing Accessories Co., Ltd.</t>
  </si>
  <si>
    <t>Yixing Elastic Fabric Co Ltd</t>
  </si>
  <si>
    <t>HMA</t>
  </si>
  <si>
    <t xml:space="preserve">올리브인터내셔널 </t>
  </si>
  <si>
    <t>(주)씨앤에프</t>
  </si>
  <si>
    <t xml:space="preserve">(주)인앤코 </t>
  </si>
  <si>
    <t>DONGGUANSHI JIACHEN SHOUDAI YOUXIANGONGSI</t>
  </si>
  <si>
    <t>SHANGHAI MAYA GUOJIMAOYI YOUXIANGONGS</t>
  </si>
  <si>
    <t>행 레이블</t>
    <phoneticPr fontId="2" type="noConversion"/>
  </si>
  <si>
    <t>합계: 25년 합계</t>
    <phoneticPr fontId="2" type="noConversion"/>
  </si>
  <si>
    <t>합계: 26년 합계</t>
    <phoneticPr fontId="2" type="noConversion"/>
  </si>
  <si>
    <t>LEVAN CORPORATION</t>
  </si>
  <si>
    <t>JIANGSU HUAYUEMAOFANGYOUXIANGONGSI</t>
  </si>
  <si>
    <t xml:space="preserve">주식회사 아성다이소 </t>
  </si>
  <si>
    <t>JIANGSU FSD KNITTING CO.,LTD.</t>
  </si>
  <si>
    <t>JIANGSU SOHO TECHNOLOGY TRADING CO.LTD.</t>
  </si>
  <si>
    <t>SANTIC GROUP LIMITED</t>
  </si>
  <si>
    <t>XIAMEN CIS INDUSTRIAL CO.,LTD</t>
  </si>
  <si>
    <t>주식회사 티비에이치코리아</t>
  </si>
  <si>
    <t>(주)신세계까사_JAJU</t>
  </si>
  <si>
    <t>SHAOXING YOUCHENGFANGZHIPINYOUXIANGONGSI</t>
  </si>
  <si>
    <t>(주)상봉코포레이션</t>
  </si>
  <si>
    <t>ZHANGJIAGANG HULI GUOJIMAOYI YOUXIANGONGSI</t>
  </si>
  <si>
    <t>HANGZHOU LINGRAN TEXTILE CO., LTD</t>
  </si>
  <si>
    <t>(주)세정</t>
  </si>
  <si>
    <t>(주)재린</t>
  </si>
  <si>
    <t>TEKSIM GIYIM SANAYI VE TICARET ANONIM SIRKETI</t>
  </si>
  <si>
    <t>haussen company pte.ltd.</t>
  </si>
  <si>
    <t>RELIANCE PRODUCERS COOPERATIVE-ROSARIO</t>
  </si>
  <si>
    <t>XIANGSHAN HONGSHENG FUSHI YOUXIANGONGSI</t>
  </si>
  <si>
    <t>HUZHOU LIANGXU FANGZHI</t>
  </si>
  <si>
    <t>wangchunhua</t>
  </si>
  <si>
    <t>ZHEJIANG YAOGUANG TEXTILE CO.,LTD</t>
  </si>
  <si>
    <t>MIANZHEN</t>
  </si>
  <si>
    <t>FUZHOU UKL IMP. &amp; EXP. CO., LTD</t>
  </si>
  <si>
    <t>SURE FASHION PRODUCTS CO., LTD.</t>
  </si>
  <si>
    <t>ZIBO YINGYANG TEXTILES CO.,LTD</t>
  </si>
  <si>
    <t>GUANGZHOU LUX IMPORT AND EXPORT TRADING CO.,LTD.</t>
  </si>
  <si>
    <t>COWIN</t>
  </si>
  <si>
    <t>TEIJIN FRONTIER(SHANGHAI)COL.,LTD QINGDAO BRANCH OFFICE</t>
  </si>
  <si>
    <t xml:space="preserve">주식회사 지아스카라 </t>
  </si>
  <si>
    <t>HUAREN LINEN (HK) CO., LTD，</t>
  </si>
  <si>
    <t>DISHANG GROUP WEIHAI IMPORT AND EXPORT CO.,LTD</t>
  </si>
  <si>
    <t>LT Text Co.,Ltd Luke</t>
  </si>
  <si>
    <t>Zhejiang Hongxiang Textile Technology Co.,Ltd</t>
  </si>
  <si>
    <t>Xiamen Wintex Textile Co., Ltd.</t>
  </si>
  <si>
    <t>SHANGHAI MANLIANG INDUSTRIAL CO.,LTD</t>
  </si>
  <si>
    <t xml:space="preserve">합계 : 25년 합계 </t>
    <phoneticPr fontId="2" type="noConversion"/>
  </si>
  <si>
    <t>26년 2월</t>
    <phoneticPr fontId="2" type="noConversion"/>
  </si>
  <si>
    <t>Weifang Baifei Textile Co., Ltd</t>
  </si>
  <si>
    <t>Yantai Youtong Jingmao Co., Ltd</t>
  </si>
  <si>
    <t>FUZHOU HOMEASY FURNISHINGS CO.,LTD</t>
  </si>
  <si>
    <t>(주)지엠인터내셔널</t>
  </si>
  <si>
    <t xml:space="preserve">테일러컴퍼니 </t>
  </si>
  <si>
    <t>HANGZHOU BANFF DOWN-FEATHER PRODUCTS CO.,LTD.</t>
  </si>
  <si>
    <t>ARANKNIT SRL</t>
  </si>
  <si>
    <t>ARANKNIT SRL</t>
    <phoneticPr fontId="2" type="noConversion"/>
  </si>
  <si>
    <t xml:space="preserve">Hung Tat Hong Co., Ltd. </t>
  </si>
  <si>
    <t>Formosa Taffeta Co.,Ltd</t>
  </si>
  <si>
    <t>shanghai zhuozhi maoyi youxiangongsi</t>
  </si>
  <si>
    <t>Guangzhou Yan Cai Clothing Co.,Ltd</t>
  </si>
  <si>
    <t>Joy fashion co.,ltd.</t>
  </si>
  <si>
    <t>Suzhou Enxun Fangzhi Co.,Ltd</t>
  </si>
  <si>
    <t>BRIGHT WISOOM ENTETPRISE CO.' LTD.</t>
  </si>
  <si>
    <t>Changshu City New Time Garment Co.,Ltd</t>
  </si>
  <si>
    <t>주식회사 알쉬</t>
  </si>
  <si>
    <t>주식회사 씨에스에프디자인</t>
  </si>
  <si>
    <t>주식회사 아워띵즈컴퍼니</t>
  </si>
  <si>
    <t>QUANZHOU HUANSHI TRADING CO.LTD</t>
  </si>
  <si>
    <t>주식회사 에이치제이코프</t>
  </si>
  <si>
    <t>씨씨씨스튜디오</t>
  </si>
  <si>
    <t>한성모직(주)</t>
  </si>
  <si>
    <t>주식회사 나인글로벌</t>
  </si>
  <si>
    <t xml:space="preserve">피오(PIO)글로벌 </t>
  </si>
  <si>
    <t>Ningbo Better Textile &amp; Garments Co., Ltd</t>
  </si>
  <si>
    <t>Jiaxing Banglin Textile Co.,Ltd</t>
  </si>
  <si>
    <t>STYLEM TAKISADA-OSAKA CO.,LTD.</t>
  </si>
  <si>
    <t xml:space="preserve">Aolongma Garment Co.,LTD </t>
  </si>
  <si>
    <t>weihaisupuruifuzhuang co.,ltd</t>
  </si>
  <si>
    <t>SUZHOU TULIYA</t>
  </si>
  <si>
    <t>ZHEJIANG MEIXINDA FANGZHIYINRANKEJIYOUXIANGOGNSI</t>
  </si>
  <si>
    <t xml:space="preserve">JIANGYINSHI YIYUANFANGZHIJISHU YOUIXIANGONGSI </t>
  </si>
  <si>
    <t>주식회사 젝시믹스(XEXYMIX Corporation)</t>
  </si>
  <si>
    <t>(주)브랜드엑스코퍼레이션</t>
    <phoneticPr fontId="2" type="noConversion"/>
  </si>
  <si>
    <t>주식회사 크리스틴컴퍼니</t>
  </si>
  <si>
    <t>NINGBO JINJIN TEXTILE</t>
  </si>
  <si>
    <t>SOLE</t>
  </si>
  <si>
    <t>YIWU RUN QING IMPORT AND EXPORT CO., LTD</t>
  </si>
  <si>
    <t>에스앤씨 인터내셔널</t>
  </si>
  <si>
    <t xml:space="preserve">YIWU WARHORSE GARMENT CO.,LTD </t>
  </si>
  <si>
    <t>Taian  Xinyi Garment Co., Ltd</t>
  </si>
  <si>
    <t>Jiangsu Huayuan High-tech Co., Ltd.</t>
  </si>
  <si>
    <t>(주)후앤아이</t>
  </si>
  <si>
    <t>Anhui Wenxiang Down Products Co.,Ltd</t>
  </si>
  <si>
    <t>(주)대경이노베이션</t>
  </si>
  <si>
    <t>맨드리</t>
  </si>
  <si>
    <t>Qingdao Aixinze International Trade Co., LTD</t>
  </si>
  <si>
    <t>주식회사 브래니티</t>
  </si>
  <si>
    <t>미세스문 주식회사</t>
  </si>
  <si>
    <t>NINGBO DROPSHIP INTERNATIONAL CO.,LTD.</t>
  </si>
  <si>
    <t>FUJIAN JINKAI WARP KNITTING CO.,LTD</t>
  </si>
  <si>
    <t>JINJIANG XINHONGTEX IMPORT &amp; EXPORT CO., LTD.</t>
  </si>
  <si>
    <t>EGO INTERNATIONAL CO.,LIMITED</t>
  </si>
  <si>
    <t>신세계까사_JAJU</t>
  </si>
  <si>
    <t>펨어메리카한국지점</t>
  </si>
  <si>
    <t>26년 3월</t>
    <phoneticPr fontId="2" type="noConversion"/>
  </si>
  <si>
    <t>LMH FASHION HK LIMITED</t>
  </si>
  <si>
    <t>Tex Corp Private Limited</t>
  </si>
  <si>
    <t>Shaoxing Lenore Textile co.,ltd</t>
  </si>
  <si>
    <t>Knit Asia Ltd</t>
  </si>
  <si>
    <t>ZAOZHUANG CHENGCHENG ZHENZHIYOUXIANGONGSI</t>
  </si>
  <si>
    <t>(주)베로나</t>
  </si>
  <si>
    <t>SUZHOU DIREN PENZHI CHANG</t>
  </si>
  <si>
    <t>Ruian Guangchen Garments Co.,Ltd</t>
  </si>
  <si>
    <t>JINHUASHI RONGTONGJINCHUKOUYOUXIANGONGSI</t>
  </si>
  <si>
    <t>CQC SUPPLY CHAIN MANAGEMENT CO., LTD.</t>
  </si>
  <si>
    <t>주식회사 홍카이</t>
  </si>
  <si>
    <t>지에스리테일 홈쇼핑</t>
    <phoneticPr fontId="2" type="noConversion"/>
  </si>
  <si>
    <t>HANGZHOU CHENGXING SPORTS CO.,LTD</t>
  </si>
  <si>
    <t>CHANGZHOU CITY XINQIU TEXTILE CO.,LTD</t>
  </si>
  <si>
    <t>늘품</t>
  </si>
  <si>
    <t>SUZHOU TAIXUAN IMPORT AND EXPORT CO.,LTD</t>
  </si>
  <si>
    <t>ZHEJIANG SHINDAI HEFENG TRADING CO.,LTD</t>
  </si>
  <si>
    <t>SOOY</t>
  </si>
  <si>
    <t>JIANGYINSHI XUANMEIFANGZHIPINYOUXIANGONGSI</t>
  </si>
  <si>
    <t>윈터(WINTER)</t>
  </si>
  <si>
    <t>(주)제이스타일코리아</t>
  </si>
  <si>
    <t>YF TEX</t>
  </si>
  <si>
    <t>(주)디비제이알(DBJR)</t>
  </si>
  <si>
    <t xml:space="preserve">QUANZHOU FIREFOX NEW MATERIAL CO.,LTD </t>
  </si>
  <si>
    <t>티에이케이텍스타일(주)</t>
  </si>
  <si>
    <t>(주)마린패브론</t>
  </si>
  <si>
    <t>Shengtaihong shizhuangyouxiangongsi</t>
  </si>
  <si>
    <t>상해FITI</t>
  </si>
  <si>
    <t>주식회사 로우클래식</t>
  </si>
  <si>
    <t>JASMINE INDUSTRIAL LIMITED</t>
  </si>
  <si>
    <t>WEIHAIXINFU ORNAMENT CO., LTD</t>
  </si>
  <si>
    <t>SHAOXING YUYIN IMPORT AND EXPORT CO.LTD.</t>
  </si>
  <si>
    <t>Tex Fasteners Private Limited</t>
  </si>
  <si>
    <t xml:space="preserve">Dongguan Jasmine Garment Accessories Co Ltd_x000D_
</t>
  </si>
  <si>
    <t>Hangzhou Huibang Textile Co., Ltd.</t>
  </si>
  <si>
    <t>THANH CONG TEXTILE GARMENT INVESTMENT TRADING JS</t>
  </si>
  <si>
    <t>WHITE HOUSE</t>
  </si>
  <si>
    <t>AARTI INTERNATIONAL LTD</t>
  </si>
  <si>
    <t>SWEATERS INDIA PRIVATE LIMITED</t>
  </si>
  <si>
    <t>PARAMOUNT TEXTILE LTD</t>
  </si>
  <si>
    <t>BRILLIANCE APPAREL SINGAPORE PTE. LTD.</t>
  </si>
  <si>
    <t>CHANGZHOU ZHIYU GARMENTS CO.,LTD</t>
  </si>
  <si>
    <t>Shaoxing Keqiao Yingma Textile Co.,Ltd</t>
  </si>
  <si>
    <t>WENZHOU TENGGAN TRADING CO.,LTD</t>
  </si>
  <si>
    <t>ZHEJIANG TEXANDA TEXTILE TECHNOLOGY CO.,LTD.</t>
  </si>
  <si>
    <t>라임스포츠</t>
  </si>
  <si>
    <t>TAIHUA DYEING&amp;FINISHING (JIANGSU) CO., LTD.</t>
  </si>
  <si>
    <t>NINGBO BERREX TEXTILE CO.,LTD.</t>
  </si>
  <si>
    <t>LINYI MEISHENG ARTS&amp;CRAFTS CO., LTD</t>
  </si>
  <si>
    <t>SUZHOU OKTEX CO.,LTD</t>
  </si>
  <si>
    <t xml:space="preserve">RUIJINSHI WEIBIN WENTIYONGPIN </t>
  </si>
  <si>
    <t>(주)아성에프엔티</t>
  </si>
  <si>
    <t>carreman(Zhangjiagang) Fabric Co.,Ltd</t>
  </si>
  <si>
    <t>SHAOXING HAIYA IMP.&amp;EXP.CO.,LTD</t>
  </si>
  <si>
    <t>WEIHAI KUNJIN GARMENT CO.,LTD</t>
  </si>
  <si>
    <t>ARS Footwear Limited</t>
  </si>
  <si>
    <t>SUZHOU YINBAI GUOJIMAOYI</t>
  </si>
  <si>
    <t>주연에프앤씨(주)</t>
  </si>
  <si>
    <t xml:space="preserve">SHANGHAI SHANXIA FUSHI </t>
  </si>
  <si>
    <t>서주시삼성복장유한회사</t>
  </si>
  <si>
    <t>SHAOXING SHIJIE FANGZHI</t>
  </si>
  <si>
    <t>티제이텍스타일(TJTEXTILE)</t>
  </si>
  <si>
    <t>주식회사 원일솔루션</t>
  </si>
  <si>
    <t xml:space="preserve">FOSHAN SHUNDE JINBAI FASHION DESIGN STUDIO </t>
  </si>
  <si>
    <t>QINGDAO JU YOUNG INDUSTRY AND TRADE CO.,LTD</t>
  </si>
  <si>
    <t xml:space="preserve">청도개승우품제조유한회사 </t>
  </si>
  <si>
    <t>DANDONG YOUCAN TRADING CO.,LTD</t>
  </si>
  <si>
    <t>TEXHONG</t>
  </si>
  <si>
    <t>JIANGSU Guomao Industrial and Commercial Co.,Ltd</t>
  </si>
  <si>
    <t>Wujjang Yuli Textile Co，Ltd</t>
  </si>
  <si>
    <t>네파(주)</t>
  </si>
  <si>
    <t>(주)대현</t>
  </si>
  <si>
    <t>TBH GLOBAL CO., LTD</t>
  </si>
  <si>
    <t>위해세련중수출입유한회사</t>
  </si>
  <si>
    <t xml:space="preserve">(주)티시 </t>
  </si>
  <si>
    <t>주식회사 제이엔케이코퍼레이션</t>
  </si>
  <si>
    <t>주식회사 인듀스프로젝트</t>
  </si>
  <si>
    <t>Kunshan Huarong Textile Co.,Ltd</t>
  </si>
  <si>
    <t>비엠 텍스타일(BM TEXTILE)</t>
  </si>
  <si>
    <t>(주)지비글로벌아이엔씨</t>
  </si>
  <si>
    <t>리버텍스타일즈</t>
  </si>
  <si>
    <t>한국바이린주식회사</t>
  </si>
  <si>
    <t>F-LEAD</t>
  </si>
  <si>
    <t>SHANGHAI JINGTAI</t>
  </si>
  <si>
    <t>HANGZHOU XINYUAN PRINTING&amp;DYEING CO;LTD</t>
  </si>
  <si>
    <t>jiafang guojifangzhipin</t>
  </si>
  <si>
    <t>SHANGHAI MIANZHEN</t>
  </si>
  <si>
    <t>주식회사 잉크</t>
  </si>
  <si>
    <t>세르주드님</t>
  </si>
  <si>
    <t>(주)씨제이이엔엠</t>
  </si>
  <si>
    <t>SHANGHAI MINGSHANG MAOYIYOUXIANGONGSI</t>
  </si>
  <si>
    <t>DONGGUANSHI YUSHENG FUSHI YOUXIANGONGSI</t>
  </si>
  <si>
    <t>26년 4월</t>
    <phoneticPr fontId="2" type="noConversion"/>
  </si>
  <si>
    <t>CHANGZHOU LANNIU TEXTILE CO.,LTD</t>
  </si>
  <si>
    <t>Hangzhou Jinfeng Textile Co., Ltd</t>
  </si>
  <si>
    <t>Weifang Huayue Textile Co., Ltd</t>
  </si>
  <si>
    <t>Jiangsu Suhao Yiyao Co.,Ltd</t>
  </si>
  <si>
    <t>HONG SING CO (PTE) LTD.</t>
  </si>
  <si>
    <t>청도애성청결용품유한회사</t>
  </si>
  <si>
    <t>Rushan Huiquan Garment Co.,Ltd</t>
  </si>
  <si>
    <t>Zhongshan Lexon Garment Co.,Ltd</t>
  </si>
  <si>
    <t>CIXI ZHONGDING IMPORT AND EXPORT CORPORATION</t>
  </si>
  <si>
    <t>YIWU MASTER TRADE CO., LTD</t>
  </si>
  <si>
    <t>HANGZHOU WINDOW EASE DECO CO., LTD</t>
  </si>
  <si>
    <t>(주)코아텍스타일</t>
  </si>
  <si>
    <t>ANHUI GARMENTS IMP.&amp;EXP.CO.,LTD</t>
  </si>
  <si>
    <t>NINGBOYONGNANSHIDAI</t>
  </si>
  <si>
    <t>대상 인터내셔날</t>
  </si>
  <si>
    <t>SG CENTURY(SHANGHAI)CO.,LTD</t>
  </si>
  <si>
    <t>(주)도비즈</t>
  </si>
  <si>
    <t xml:space="preserve">QINGDAO HAOYU TEXTILE CO.,LTD </t>
  </si>
  <si>
    <t xml:space="preserve">칭다오유니국제무역유한회사 </t>
  </si>
  <si>
    <t>JINAN JINHUA GARMENT CO.,LTD</t>
  </si>
  <si>
    <t>RUDONG KNITIT FASHION ACCESSORISE CO., LTD</t>
  </si>
  <si>
    <t xml:space="preserve">HONGQI SHISHANGKEJI(DONGGUANSHI) </t>
  </si>
  <si>
    <t>ZHEJIANGDONGMUFANGZHIYOUXIANGONGSI</t>
  </si>
  <si>
    <t>주식회사 신세계라이브쇼핑</t>
  </si>
  <si>
    <t>NINGBO LATTIS COMMODITY CO, LTD</t>
  </si>
  <si>
    <t>(주)더뮤지엄비지터(The Museum Visitor)</t>
  </si>
  <si>
    <t>주식회사 제이에이치텍스컴퍼니</t>
  </si>
  <si>
    <t>JIANGYIN GUANGWUNIRONGKEJI YOUXIANGONGSI</t>
  </si>
  <si>
    <t>원창머티리얼(주)</t>
  </si>
  <si>
    <t>SUZHOU SHUANGKUN FANGZHIYOUXIANGONGSI</t>
  </si>
  <si>
    <t>뮤즈샵</t>
  </si>
  <si>
    <t xml:space="preserve">SHANGHAI YUNXUAN GUOJI MAOYI </t>
  </si>
  <si>
    <t>shaoxing tuoxiang</t>
  </si>
  <si>
    <t>CHANGZHOUSHI ANPU FANGZHIYOUXIANGONGSI</t>
  </si>
  <si>
    <t>DONGGUAN JIUZE KEJI YOUXIAN GONGSI</t>
  </si>
  <si>
    <t>Shanghai Broadway Int'l Trading Corp</t>
  </si>
  <si>
    <t>SHANGHAI YKK ZIPPER CO., LTD</t>
  </si>
  <si>
    <t>JIANGSU RONGXU TEXTILE CO., LTD.</t>
  </si>
  <si>
    <t>Each Weaving (Vietnam) Company Ltd.</t>
  </si>
  <si>
    <t>MERCURY FABRICS PVT LTD (MILL)</t>
  </si>
  <si>
    <t>Radnik Exports</t>
  </si>
  <si>
    <t xml:space="preserve">Vardhman Textiles Limited   </t>
  </si>
  <si>
    <t>R&amp;D Textile Co., Ltd.</t>
  </si>
  <si>
    <t>2.7 AUGUST APPAREL, INC. DBA ENGLISH ROSE</t>
  </si>
  <si>
    <t>Jaylon Industries Pty Ltd</t>
  </si>
  <si>
    <t>SUN TEX CO., LTD</t>
  </si>
  <si>
    <t>Chengda International Shanghai Inc.</t>
  </si>
  <si>
    <t xml:space="preserve">SUZHOU XINJIAWEI KNITTING CO., LTD._x000D_
</t>
  </si>
  <si>
    <t>WUXI HONGHAOFANGZHI</t>
  </si>
  <si>
    <t>DONGGUAN OUTIN TRADE Co., LTD</t>
  </si>
  <si>
    <t>Zhongshan Jinchao Garment Manufacturing Co., Ltd</t>
  </si>
  <si>
    <t>Fujian Unitex Technology Co.,Ltd.</t>
  </si>
  <si>
    <t>ZHEJIANG TALENT SOCKS CO.,LTD</t>
  </si>
  <si>
    <t>NINGBO YINZHOU WALLSON GRAND IMPORT AND EXPORT COMPANY LIMITED</t>
  </si>
  <si>
    <t>Zibo Weixiu Textile Co., Ltd.</t>
  </si>
  <si>
    <t>ZHEJIANG DANDAN GARMENT FACTORY</t>
  </si>
  <si>
    <t>(주)메이텍스타일</t>
  </si>
  <si>
    <t>QINGDAO MEILISI APPAREL CO.,LTD</t>
  </si>
  <si>
    <t>주식회사 디프랩</t>
  </si>
  <si>
    <t>MINYING TEXTILE CO., LIMITED</t>
  </si>
  <si>
    <t>Anhui Huajun Feather &amp;Down Products Co Ltd</t>
  </si>
  <si>
    <t>SHANGHAI LFC TRADING CO.,LTD</t>
  </si>
  <si>
    <t>WEIHAI CECHIC TEXTILES AND GARMENTS CO., LTD.</t>
  </si>
  <si>
    <t>CHANGZHOUSHI WANGMENGFANGZHIPINYOUXIANGONGSI</t>
  </si>
  <si>
    <t xml:space="preserve">SHANGHAI TIQIAO TEXTILE YARN DYEING CO.,LTD </t>
  </si>
  <si>
    <t>두올텍디자인</t>
  </si>
  <si>
    <t>(주)부원텍스타일</t>
  </si>
  <si>
    <t xml:space="preserve">J-LAND KOREA CO.,TLD </t>
  </si>
  <si>
    <t>써니 텍스뷰</t>
  </si>
  <si>
    <t>SHANGHAI MINYING MAOYIYOUXIANGONGSI</t>
  </si>
  <si>
    <t>DONGGUAN KUNCHENG GUOJIMAOYI</t>
  </si>
  <si>
    <t>Beijing Lichengke shangmao youxian gongsi</t>
  </si>
  <si>
    <t>SKY TEX</t>
  </si>
  <si>
    <t>MONOTEX CHINA</t>
  </si>
  <si>
    <t xml:space="preserve">주식회사 투모로우 </t>
  </si>
  <si>
    <t>대상인터내셔널</t>
  </si>
  <si>
    <t>SHANGHAI SHENGCHEN SHIYE YOUXIAN GONGSI</t>
  </si>
  <si>
    <t>26년 5월</t>
    <phoneticPr fontId="2" type="noConversion"/>
  </si>
  <si>
    <t>Korea Silkroad Co., Ltd.</t>
  </si>
  <si>
    <t>SR CORP.</t>
  </si>
  <si>
    <t>JH STYLIST INTERNATIONAL LIMITED</t>
  </si>
  <si>
    <t>HENGSHAN JINGWANG GARMENTS CO., LTD.</t>
  </si>
  <si>
    <t>HANGZHOU HENGXIN IMP. &amp; EXP. CO.,LTD.</t>
  </si>
  <si>
    <t>HUANGSHAN RAINBOW COMMODITY Co.,Ltd</t>
  </si>
  <si>
    <t>RAW STONE IMPORT EXPORT CO LTD</t>
  </si>
  <si>
    <t>Hangzhou K&amp;M Textile Co.,Ltd</t>
  </si>
  <si>
    <t>주식회사 라온드림즈</t>
  </si>
  <si>
    <t>(주)유니코티티</t>
  </si>
  <si>
    <t>블랙시나몬</t>
  </si>
  <si>
    <t>(주)신세계까사</t>
  </si>
  <si>
    <t>Zhejiang Dingcheng International Trade Co.LTD</t>
  </si>
  <si>
    <t>WEIHAI SOOSUNG KNIT CO.,LTD</t>
  </si>
  <si>
    <t>(주)경원</t>
  </si>
  <si>
    <t>모희컴퍼니(MOHEE COMPANY)</t>
  </si>
  <si>
    <t>(주)디앤아이아이엔씨</t>
  </si>
  <si>
    <t xml:space="preserve">청도만화리더체육용품유한회사 </t>
  </si>
  <si>
    <t>청양구우림가전자상행</t>
  </si>
  <si>
    <t>호박디자인컴퍼니</t>
  </si>
  <si>
    <t>HANGZHOU QIXI TEXTILE CO., LTD.</t>
  </si>
  <si>
    <t>Dalian Changrui Shijia Garment Interlining Co.,Ltd</t>
  </si>
  <si>
    <t>JIANGYINSHI SHENGZHU FANGZHI YOUXIAN GONGSI</t>
  </si>
  <si>
    <t>SHAOXING CHAOLING JINCHUKOU YOUXIAN GONGSI</t>
  </si>
  <si>
    <t>HANGZHOU HUIWEISHI YONGSHENG RANZHENG YOUXIAN GONGSI</t>
  </si>
  <si>
    <t>Nantong Desheng Textile Co.Ltd</t>
  </si>
  <si>
    <t>CHANGZHOU CHENYING</t>
  </si>
  <si>
    <t>SUZHOU FUBAO FANGZHI JINCHUUKOU YOUXIAN GONGSI</t>
  </si>
  <si>
    <t>그랑블루</t>
  </si>
  <si>
    <t>THE BRING</t>
  </si>
  <si>
    <t>합계 : 25년 합계</t>
    <phoneticPr fontId="2" type="noConversion"/>
  </si>
  <si>
    <t>합계 : 26년 합계</t>
    <phoneticPr fontId="2" type="noConversion"/>
  </si>
  <si>
    <t>Xiamen Haoxinrui Textile Co., Ltd.</t>
  </si>
  <si>
    <t>GRUPPO BISENTINO SPA</t>
  </si>
  <si>
    <t>JECATEX TONGXIANG LIMITED</t>
  </si>
  <si>
    <t>Shaoxing Keqiao Hengyuan Textile Co.Ltd</t>
  </si>
  <si>
    <t>JIANGSU NICE GAIN TEXTILE CO., LTD.</t>
  </si>
  <si>
    <t>MAX ZIPPER(CHINA) CO.,LTD</t>
  </si>
  <si>
    <t>Morito (Shen Zhen) Co., Ltd.</t>
  </si>
  <si>
    <t xml:space="preserve">Square Apparels Ltd </t>
  </si>
  <si>
    <t xml:space="preserve">JINGJIANG ZHISHANG GARMENTS CO.,LTD. </t>
  </si>
  <si>
    <t>weihai textile group Imp&amp;Exp Co.,LTD</t>
  </si>
  <si>
    <t>JILIXIN (Khori) Clothing</t>
  </si>
  <si>
    <t>ZHANGJIAGANG BAOSHUIQU HENGCHUANG FANGZHI</t>
  </si>
  <si>
    <t>Qingdao Qianlin Textile co.Ltd</t>
  </si>
  <si>
    <t>소요</t>
  </si>
  <si>
    <t>SHAOXING  KEQIAO ZHIHAO TEXTILE CO.,LTD.</t>
  </si>
  <si>
    <t>SHANGHAI EASTERN TEXTILES IMP&amp;EXP CO LTD</t>
  </si>
  <si>
    <t>Zhangjiagang JCD Houseware Co., Ltd.</t>
  </si>
  <si>
    <t>HAINING YARUN SOCKS CO., LTD.</t>
  </si>
  <si>
    <t>JINHUA JENNY DAILY COMMODITY CO.,LTD</t>
  </si>
  <si>
    <t>FUZHOU RAYHARBOR  TRADING CO.,LTD</t>
  </si>
  <si>
    <t>ZIBO WAYLAND HOMETEX CO.,LTD</t>
  </si>
  <si>
    <t>CHANGZHOU NEWWIDE KNITTING&amp;DYEING</t>
  </si>
  <si>
    <t>썬텍 코리아</t>
  </si>
  <si>
    <t>주식회사 에스제이앤더블유</t>
  </si>
  <si>
    <t>HAIYAN XINGYUAN GARMENT CO.,LTD</t>
  </si>
  <si>
    <t xml:space="preserve">위해백현무역유한회사 </t>
  </si>
  <si>
    <t>(주)세정티티</t>
  </si>
  <si>
    <t>TNALA CO.,LTD</t>
  </si>
  <si>
    <t>Shaoxing HuiYi Textile Co.,Ltd.</t>
  </si>
  <si>
    <t>SHANGHAI DUOXINMEI TECHNOLOGY CO., LTD</t>
  </si>
  <si>
    <t>제이원인터내셔널</t>
  </si>
  <si>
    <t>HANGZHOU YONGFENG DOWN PRODUCTS CO.,LTD</t>
  </si>
  <si>
    <t>guangzhou E-leader garments co.，ltd</t>
  </si>
  <si>
    <t>SHAOXING COUNTY YELIN TEXTILE CO., LTD</t>
  </si>
  <si>
    <t>IAM TECHNOLOGY (SHENYANG)Co., Ltd.</t>
  </si>
  <si>
    <t>(주)금담</t>
  </si>
  <si>
    <t>JUYE MINGHAI CLOTHING CO.,LTD</t>
  </si>
  <si>
    <t>QINGDAO SUNFLEX CO.,LTD</t>
  </si>
  <si>
    <t>Shanghai Xihong Trading Co., Ltd.</t>
  </si>
  <si>
    <t>SHAOXING JIAOLAN TEXTILE CO.,LTD</t>
  </si>
  <si>
    <t>더토어</t>
  </si>
  <si>
    <t>주식회사 플랫폼</t>
  </si>
  <si>
    <t>(주)지나텍스타일</t>
  </si>
  <si>
    <t>(주)에스피엠글로벌</t>
  </si>
  <si>
    <t>세양물산(주)</t>
  </si>
  <si>
    <t>비제이패션</t>
  </si>
  <si>
    <t>BUSAN TEXTILE (SHANGHAI) CO.,LTD</t>
  </si>
  <si>
    <t>JIANGYIN GUANGMING</t>
  </si>
  <si>
    <t>JIANGYINSHI HUAHONGSEZHI YOUXIANGONGSI</t>
  </si>
  <si>
    <t>SHAOXING RUIRUI</t>
  </si>
  <si>
    <t>JIANGYINSHI SHENGXIA FANGZHIPIN YOUXIAN GONGSI</t>
  </si>
  <si>
    <t>SHANGHAI RONGMIN MAOYI YOUXIAN GONGSI</t>
  </si>
  <si>
    <t>주식회사 자이코리아</t>
  </si>
  <si>
    <t>26년 6월</t>
    <phoneticPr fontId="2" type="noConversion"/>
  </si>
  <si>
    <t>JAIN CORD INDUSTRIES PVT LTD</t>
  </si>
  <si>
    <t>Thule Outdoor (Shanghai) Co.,Ltd-Shenzhen Branch</t>
  </si>
  <si>
    <t>Star Fabric Inc</t>
  </si>
  <si>
    <t xml:space="preserve">엔유컴퍼니(NU COMPANY) </t>
  </si>
  <si>
    <t>Quanzhou Nanxin Textile Technology Co., Ltd.</t>
  </si>
  <si>
    <t>JINGJIANG  NEW  WORLD  CO., LTD</t>
  </si>
  <si>
    <t>Ningbo Vosan Sports Co., Ltd</t>
  </si>
  <si>
    <t>JIANGSU ANIMAL BY-PRODUCTS IMP&amp;EXP.GROUP.CROP</t>
  </si>
  <si>
    <t>NINGBO QUICKWAY IMP.&amp;EXP.CO.,LTD</t>
  </si>
  <si>
    <t>QUANZHOU CENTURY LONGCHENG GARMENT CO.,LTD</t>
  </si>
  <si>
    <t>주식회사오엔엘(ONL)</t>
  </si>
  <si>
    <t>(주)지수플래닝</t>
  </si>
  <si>
    <t>huangshan spring home textile co.,ltd</t>
  </si>
  <si>
    <t>SHANDONG XUFENG TEXTILE CO.,LTD</t>
  </si>
  <si>
    <t xml:space="preserve">HK KOMAYA TRADING CO., LTD </t>
  </si>
  <si>
    <t>YANGZHOU HEHAN CLOTHING CO.,LTD</t>
  </si>
  <si>
    <t>YanTai XiaYi Clothing Co.,Ltd</t>
  </si>
  <si>
    <t>CHINATEXTILES</t>
  </si>
  <si>
    <t>(주)인성코리아아이엔씨</t>
  </si>
  <si>
    <t>주식회사 유티상사</t>
  </si>
  <si>
    <t>(주)봅텍스타일</t>
  </si>
  <si>
    <t>APPAREL TECH</t>
  </si>
  <si>
    <t>HANGZHOU HANGMIN MEISHIDA YINRAN YOUXIAN GONGSI</t>
  </si>
  <si>
    <t>GUANGZHOUSHI HONGDA JINCHUKOU MAOYI YOUXIANGONGSI</t>
  </si>
  <si>
    <t>더브링</t>
  </si>
  <si>
    <t>NINGBOSHI ZHESI MAOYI YOUXIANGONGSI</t>
  </si>
  <si>
    <t>Dongguan Jasmine Garment Accessories Co Ltd</t>
  </si>
  <si>
    <t>LAI TAK TEXTILE CORPORATION LIMITED(SHANTOU, CHINA)</t>
  </si>
  <si>
    <t>ZHEJIANG HUAQI KNITTING LIMITED</t>
  </si>
  <si>
    <t>FAR EAST TEXTILE GROUP (HOLDING) CO LTD</t>
  </si>
  <si>
    <t>FUJIAN WANJIAMEI TEXTILE CLOTHING CO.,LTD</t>
  </si>
  <si>
    <t>Unitika Trading Co Ltd</t>
  </si>
  <si>
    <t>Freudenberg &amp; Vilene International Ltd</t>
  </si>
  <si>
    <t>컬러풀텍스타일 유한회사</t>
  </si>
  <si>
    <t>TESSELLATION BINH DUONG COMPANY LIMITED</t>
  </si>
  <si>
    <t>JIANGSU XINKAISHENG ENTERPRISE DEVELOPMENT CO., LTD</t>
  </si>
  <si>
    <t>(주)신원아이앤씨</t>
  </si>
  <si>
    <t>(주)펜웨이</t>
  </si>
  <si>
    <t xml:space="preserve">주식회사 모모텍스 </t>
  </si>
  <si>
    <t>(주)지에스컴퍼니</t>
  </si>
  <si>
    <t>피스피스스튜디오 주식회사</t>
  </si>
  <si>
    <t>(주)이원텍스</t>
  </si>
  <si>
    <t>유티상사</t>
  </si>
  <si>
    <t>Zhangjiagang Kingtop Headwear co.,ltd</t>
  </si>
  <si>
    <t>YOUNG PLUS TRADING HK CO., LTD</t>
  </si>
  <si>
    <t>Shanghai Bozhan Supply Chain Management Co.,Ltd</t>
  </si>
  <si>
    <t>Nantong E-Fine Fashion Garment Co.,Ltd</t>
  </si>
  <si>
    <t>FROG CO., LTD.</t>
  </si>
  <si>
    <t>AN HUI BRIC TECHNOLOGY CO.,LTD</t>
  </si>
  <si>
    <t>Zhejiang Aiyimei Imp&amp;Emp Co.,Ltd</t>
  </si>
  <si>
    <t>DICHUN CLOTHING CO.,LTD</t>
  </si>
  <si>
    <t>YUHAN (NANCHANG) APPAREL CO.,LTD</t>
  </si>
  <si>
    <t>DONGGUANSHI NADA GARMENT CO.,LTD</t>
  </si>
  <si>
    <t>Hangzhou MGS Accessories  Co., Ltd</t>
  </si>
  <si>
    <t>NO VACANCY</t>
  </si>
  <si>
    <t>TAIZHOU MISSLEY GARMENTS CO.,LTD</t>
  </si>
  <si>
    <t xml:space="preserve">MARMOT MOUNTAIN </t>
  </si>
  <si>
    <t>SHAOXING CITY LEISHI TEXTILE CO., LTD.</t>
  </si>
  <si>
    <t>TAIZHOU BRILLIANT IMPORT AND EXPORT CO.,LTD</t>
  </si>
  <si>
    <t>suzhou runsheng jinchukou youxiangongsi</t>
  </si>
  <si>
    <t>VEN BRIDGE CO.LTD</t>
  </si>
  <si>
    <t>FUZHOU TOPSAM IMPORT AND EXPORT CO.,LTD.</t>
  </si>
  <si>
    <t>CHANGZHOU JUSTIN CRAFTS CO.,LTD</t>
  </si>
  <si>
    <t>NINGBO RAFFINI INTERNATIONAL ENTERPRISE LIMITED</t>
  </si>
  <si>
    <t>ZHEJIANG MIXISHI CLOTHES CO.,LTD</t>
  </si>
  <si>
    <t>아이지씨녹색상품거래소 아이오더블유지씨에이 주식회사</t>
  </si>
  <si>
    <t>(주)씨앤에이컴바인</t>
  </si>
  <si>
    <t>SHANGHAI MAYA GUOJIMAOYI YOUXIANGONGSI</t>
  </si>
  <si>
    <t>Taian Xinyi Garment Co., Ltd</t>
  </si>
  <si>
    <t xml:space="preserve">SHAOXING KEQIAO ZHENSHAN TEXTILE CO.,LTD._x000D_
</t>
  </si>
  <si>
    <t>Ningbo Behealthy Technology Group CO.,Ltd</t>
  </si>
  <si>
    <t>Huangshan star hometextile co.,ltd</t>
  </si>
  <si>
    <t>QINGDAO SHENGJISI  APPAREL CO.,LTD</t>
  </si>
  <si>
    <t>FIF TRADING COMPANY</t>
  </si>
  <si>
    <t>(주)대동에프앤디</t>
  </si>
  <si>
    <t>QINGDAO FUXINLIN GARMENT CO.,LTD</t>
  </si>
  <si>
    <t xml:space="preserve">BIAOPU INT'L TRADE(SHANGHAI) CO LTD </t>
  </si>
  <si>
    <t>ZHANGJIAGANG YANNING JINCHUKOU YOUXIANGONGSI</t>
  </si>
  <si>
    <t xml:space="preserve">청도비리보복장유한공사 </t>
  </si>
  <si>
    <t>JIAXINGSHI HUAYA ZHIZAO GUFEN YOUXIAN GONGSI</t>
  </si>
  <si>
    <t>JIANGSU JINCHENZHENZHI</t>
  </si>
  <si>
    <t>Jiangsu guotai guohua corp.,ltd</t>
  </si>
  <si>
    <t>SHAOXING GAOSHIYUAN GONGMAO YOUXIAN GONGSI</t>
  </si>
  <si>
    <t>미스토어패럴 유한회사</t>
  </si>
  <si>
    <t>SHANGHAI XINKE JINCHUKOUYOUXIANGONGSI</t>
  </si>
  <si>
    <t>HANGIL CO;LTD</t>
  </si>
  <si>
    <t>한세엠케이(주)_컬리수&amp;모이몰론</t>
  </si>
  <si>
    <t>26년 7월</t>
    <phoneticPr fontId="2" type="noConversion"/>
  </si>
  <si>
    <t>DongGuan YuanYou Clothing Co.,Ltd</t>
  </si>
  <si>
    <t>YANGZHOU DARUN WOOL CO.,LTD</t>
  </si>
  <si>
    <t>DONGGUANSHI MANLING GARMENT CO.,LTD</t>
  </si>
  <si>
    <t>TAIZHOU LONGRUN SHOES CO.,LTD</t>
  </si>
  <si>
    <t>QUANZHOU YUXIANGBAN UMBRELLA TECHNOLOGY CO., LTD</t>
  </si>
  <si>
    <t>Jiangsu Yulong Medical Technology Co.,LTD</t>
  </si>
  <si>
    <t>NINGBO LONGWIN IMP. &amp;EXP. CO., LTD</t>
  </si>
  <si>
    <t>CIXIYINGHUANZHANGBUHANG</t>
  </si>
  <si>
    <t>호전실업(주)</t>
  </si>
  <si>
    <t>HANGZHOU SINOSKY APPLY CHAIN MANAGEMENT CO,LTD</t>
  </si>
  <si>
    <t>주식회사 스파이럴컴퍼니</t>
  </si>
  <si>
    <t>DONGGUAN CHUANGDIAN GARMENT CO.,LTD.</t>
  </si>
  <si>
    <t>(주)퓨처플러스인터내셔널</t>
  </si>
  <si>
    <t>태경컴퍼니</t>
  </si>
  <si>
    <t>QINGDAO LIANYOU KNIT GARMENTS CO.,LTD</t>
  </si>
  <si>
    <t>SHANGHAI PAISEN TRADING</t>
  </si>
  <si>
    <t>(주)에치에스텍스타일</t>
  </si>
  <si>
    <t>Dalian Jia bo Internatlonal Trade Co.,Ltd</t>
  </si>
  <si>
    <t>Nanjing Hanyuan Garment Co.Ltd</t>
  </si>
  <si>
    <t>주식회사 에프아이에프</t>
  </si>
  <si>
    <t>(주)항성트레이딩</t>
  </si>
  <si>
    <t>위해성명복장유한회사</t>
  </si>
  <si>
    <t>CHANGXINGXIAN DUJIAOSHOUMAOYIYOUXIANGONGSI</t>
  </si>
  <si>
    <t>ZHUCHENG YAXING KNITTING GARMENT</t>
  </si>
  <si>
    <t>(주)수빈인터내셔널</t>
  </si>
  <si>
    <t>JIANGSU GUOTAI GUOHUA</t>
  </si>
  <si>
    <t>CHANGZHOU HENGLUN TEXTILE CO., LTD.</t>
  </si>
  <si>
    <t>SHANGHAI FANGZHI JINCHUKOU YOUXIAN GONGSI</t>
  </si>
  <si>
    <t>늘품</t>
    <phoneticPr fontId="2" type="noConversion"/>
  </si>
  <si>
    <t>Suzhou Sowin Textile Co., Ltd</t>
  </si>
  <si>
    <t xml:space="preserve">Bailong Dongfang Gufen Youxiangongsi </t>
  </si>
  <si>
    <t>Lai Tak Textile Corporation Limited (Guangdong, China)</t>
  </si>
  <si>
    <t>Jiangyin Sendi Garment Co.,Ltd</t>
  </si>
  <si>
    <t>MOS</t>
  </si>
  <si>
    <t>SHAOXING QUNWO TEXTILE CO.,LTD</t>
  </si>
  <si>
    <t>NOW AND EVERCO.,LTD</t>
  </si>
  <si>
    <t>SHANGHAI DONGLONG HOME TEXTILE PRODUCTS CO.,LTD.</t>
  </si>
  <si>
    <t>SHENZHENSHI MOERA TECHNOLOGY CO.,LTD</t>
  </si>
  <si>
    <t>QINGDAO H&amp;D TECHNOLOGY CO.,LTD</t>
  </si>
  <si>
    <t>UNIQUE GUANGZHOU</t>
  </si>
  <si>
    <t>Funtech</t>
  </si>
  <si>
    <t>SHAOXING QUNYA</t>
  </si>
  <si>
    <t>FUZHOU Michael Garment CO.,LTD</t>
  </si>
  <si>
    <t>WENZHOU N.&amp;A. FROEIGN TRADE CO., LTD</t>
  </si>
  <si>
    <t>Taihe County Xinhe Home Products Co., Ltd</t>
  </si>
  <si>
    <t>NINGBO KING WAY IMP.&amp; EXP. CO.,LTD</t>
  </si>
  <si>
    <t>YIXING MUYIERSHAN HOUSEHOLD PRODUCTS CO.,LTD</t>
  </si>
  <si>
    <t>YINGKOU XINLIAN FUZHUANG YOUXIANGONGSHI</t>
  </si>
  <si>
    <t>르몽텍스타일</t>
  </si>
  <si>
    <t>Anhui Feifei Daily Necessities Co., Ltd</t>
  </si>
  <si>
    <t>청도후라푸라국제무역유한공</t>
  </si>
  <si>
    <t xml:space="preserve">주식회사 웅진프리드라이프 </t>
  </si>
  <si>
    <t>WUXI ENSHENGMAOYIYOUXIANGONGSI</t>
  </si>
  <si>
    <t>SHANGHAI LK</t>
  </si>
  <si>
    <t>WUJIANGSHIHANYUFANGZHI CO.,LTD</t>
  </si>
  <si>
    <t>25년 8월
(~25일)</t>
    <phoneticPr fontId="2" type="noConversion"/>
  </si>
  <si>
    <t>HENAN SHENGTAI KNIT CO;LTD</t>
    <phoneticPr fontId="2" type="noConversion"/>
  </si>
  <si>
    <t>25년 합계
(~8월 25일)</t>
    <phoneticPr fontId="2" type="noConversion"/>
  </si>
  <si>
    <t>26년 8월
(~25일)</t>
    <phoneticPr fontId="2" type="noConversion"/>
  </si>
  <si>
    <t>Jinling Textile New York Co., Ltd</t>
  </si>
  <si>
    <t>Conquest Fashions Manufacturing Ltd</t>
  </si>
  <si>
    <t>TAPELINE INC.</t>
  </si>
  <si>
    <t xml:space="preserve">YAMIAN AMERICA CO. LTD_x000D_
</t>
  </si>
  <si>
    <t>GUANGZHOU GUANGTEX TRADE CO.,LTD</t>
  </si>
  <si>
    <t>하이포인트</t>
  </si>
  <si>
    <t xml:space="preserve">쯔보덕앙복장유한회사 </t>
  </si>
  <si>
    <t>주식회사 엠케이에프앤지(MK F&amp;G CO.,LTD)</t>
  </si>
  <si>
    <t>(주)재원컴퍼니</t>
  </si>
  <si>
    <t>주식회사 더한콥스</t>
  </si>
  <si>
    <t>코코텍스타일</t>
  </si>
  <si>
    <t>주식회사 호다컴퍼니</t>
  </si>
  <si>
    <t>GUANGDONGFUFENGFANGZHI CO.,LTD</t>
  </si>
  <si>
    <t>(주)어패럴테크</t>
  </si>
  <si>
    <t>SUZHOU SANHAN FANGZHI</t>
  </si>
  <si>
    <t>에스제이인터내셔널(주)</t>
  </si>
  <si>
    <t>주식회사 비에스통상</t>
  </si>
  <si>
    <t>WUXI WINFINE TRADING CO.,LTD</t>
  </si>
  <si>
    <t>폰드에프엔 주식회사</t>
  </si>
  <si>
    <t xml:space="preserve">EBEST KNITTERS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</si>
</sst>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.0%\ ;[Red]\ \ \-#,##0.0%\ ;\ #,##0.0%"/>
    <numFmt numFmtId="177" formatCode="#,##0_ ;[Red]\-#,##0\ "/>
    <numFmt numFmtId="178" formatCode="#,##0;\-#,##0;;"/>
    <numFmt numFmtId="179" formatCode="0_);[Red]\(0\)"/>
    <numFmt numFmtId="180" formatCode="0.0%"/>
    <numFmt numFmtId="181" formatCode="#,##0;\-#,##0;\-;@"/>
  </numFmts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1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E5F0F7"/>
        <bgColor indexed="64"/>
      </patternFill>
    </fill>
    <fill>
      <patternFill patternType="solid">
        <fgColor rgb="FFF1FCE0"/>
        <bgColor indexed="64"/>
      </patternFill>
    </fill>
    <fill>
      <patternFill patternType="solid">
        <fgColor rgb="FFFFECD9"/>
        <bgColor indexed="64"/>
      </patternFill>
    </fill>
    <fill>
      <patternFill patternType="solid">
        <fgColor rgb="FFC1E9E7"/>
        <bgColor indexed="64"/>
      </patternFill>
    </fill>
    <fill>
      <patternFill patternType="solid">
        <fgColor rgb="FFFCFEE2"/>
        <bgColor indexed="64"/>
      </patternFill>
    </fill>
    <fill>
      <patternFill patternType="solid">
        <fgColor rgb="FFE6EBF6"/>
        <bgColor indexed="64"/>
      </patternFill>
    </fill>
    <fill>
      <patternFill patternType="solid">
        <fgColor rgb="FFFDE9F6"/>
        <bgColor indexed="64"/>
      </patternFill>
    </fill>
    <fill>
      <patternFill patternType="solid">
        <fgColor rgb="FFFDEEC7"/>
        <bgColor indexed="64"/>
      </patternFill>
    </fill>
    <fill>
      <patternFill patternType="solid">
        <fgColor rgb="FFFCE2FE"/>
        <bgColor indexed="64"/>
      </patternFill>
    </fill>
    <fill>
      <patternFill patternType="solid">
        <fgColor rgb="FFE7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EBF1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rgb="FFFCFCD4"/>
        <bgColor indexed="64"/>
      </patternFill>
    </fill>
    <fill>
      <patternFill patternType="solid">
        <fgColor rgb="FFCBEBE9"/>
        <bgColor indexed="64"/>
      </patternFill>
    </fill>
    <fill>
      <patternFill patternType="solid">
        <fgColor rgb="FFD6BBEB"/>
        <bgColor indexed="64"/>
      </patternFill>
    </fill>
    <fill>
      <patternFill patternType="solid">
        <fgColor rgb="FFFCE9D0"/>
        <bgColor indexed="64"/>
      </patternFill>
    </fill>
    <fill>
      <patternFill patternType="solid">
        <fgColor rgb="FFC1F3FF"/>
        <bgColor indexed="64"/>
      </patternFill>
    </fill>
    <fill>
      <patternFill patternType="solid">
        <fgColor rgb="FFFDDFF4"/>
        <bgColor indexed="64"/>
      </patternFill>
    </fill>
    <fill>
      <patternFill patternType="solid">
        <fgColor rgb="FFEDF1C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ECE"/>
        <bgColor indexed="64"/>
      </patternFill>
    </fill>
    <fill>
      <patternFill patternType="solid">
        <fgColor rgb="FFF5D9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5FFEE"/>
        <bgColor indexed="64"/>
      </patternFill>
    </fill>
    <fill>
      <patternFill patternType="solid">
        <fgColor rgb="FFFBF9D5"/>
        <bgColor indexed="64"/>
      </patternFill>
    </fill>
    <fill>
      <patternFill patternType="solid">
        <fgColor rgb="FFFBE9F8"/>
        <bgColor indexed="64"/>
      </patternFill>
    </fill>
    <fill>
      <patternFill patternType="solid">
        <fgColor rgb="FFFFCB9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DFFD"/>
        <bgColor indexed="64"/>
      </patternFill>
    </fill>
    <fill>
      <patternFill patternType="solid">
        <fgColor rgb="FFDEFAE3"/>
        <bgColor indexed="64"/>
      </patternFill>
    </fill>
    <fill>
      <patternFill patternType="solid">
        <fgColor rgb="FFC5F2F7"/>
        <bgColor indexed="64"/>
      </patternFill>
    </fill>
    <fill>
      <patternFill patternType="solid">
        <fgColor rgb="FFE2EBAF"/>
        <bgColor indexed="64"/>
      </patternFill>
    </fill>
    <fill>
      <patternFill patternType="solid">
        <fgColor rgb="FFD2FAF8"/>
        <bgColor indexed="64"/>
      </patternFill>
    </fill>
    <fill>
      <patternFill patternType="solid">
        <fgColor rgb="FFFDD3F1"/>
        <bgColor indexed="64"/>
      </patternFill>
    </fill>
    <fill>
      <patternFill patternType="solid">
        <fgColor rgb="FFF6E9B0"/>
        <bgColor indexed="64"/>
      </patternFill>
    </fill>
    <fill>
      <patternFill patternType="solid">
        <fgColor rgb="FFF2D7D6"/>
        <bgColor indexed="64"/>
      </patternFill>
    </fill>
    <fill>
      <patternFill patternType="solid">
        <fgColor rgb="FFBDE9FF"/>
        <bgColor indexed="64"/>
      </patternFill>
    </fill>
    <fill>
      <patternFill patternType="solid">
        <fgColor rgb="FFECEEF4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7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8C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0BED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F2F0"/>
        <bgColor indexed="64"/>
      </patternFill>
    </fill>
    <fill>
      <patternFill patternType="solid">
        <fgColor rgb="FFB8D3EF"/>
        <bgColor indexed="64"/>
      </patternFill>
    </fill>
    <fill>
      <patternFill patternType="solid">
        <fgColor rgb="FF61CBF3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rgb="FFFAFAEA"/>
        <bgColor indexed="64"/>
      </patternFill>
    </fill>
    <fill>
      <patternFill patternType="solid">
        <fgColor rgb="FFD5EAFF"/>
        <bgColor indexed="64"/>
      </patternFill>
    </fill>
    <fill>
      <patternFill patternType="solid">
        <fgColor rgb="FFEAFAF2"/>
        <bgColor indexed="64"/>
      </patternFill>
    </fill>
    <fill>
      <patternFill patternType="solid">
        <fgColor rgb="FFFCE3B6"/>
        <bgColor indexed="64"/>
      </patternFill>
    </fill>
    <fill>
      <patternFill patternType="solid">
        <fgColor rgb="FFE5EBFF"/>
        <bgColor indexed="64"/>
      </patternFill>
    </fill>
    <fill>
      <patternFill patternType="solid">
        <fgColor rgb="FFE0D2D2"/>
        <bgColor indexed="64"/>
      </patternFill>
    </fill>
    <fill>
      <patternFill patternType="solid">
        <fgColor rgb="FFFFE5F2"/>
        <bgColor indexed="64"/>
      </patternFill>
    </fill>
    <fill>
      <patternFill patternType="solid">
        <fgColor rgb="FFD9F3D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FFFC1"/>
        <bgColor indexed="64"/>
      </patternFill>
    </fill>
    <fill>
      <patternFill patternType="solid">
        <fgColor rgb="FFC59EE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CDCFC"/>
        <bgColor indexed="64"/>
      </patternFill>
    </fill>
    <fill>
      <patternFill patternType="solid">
        <fgColor rgb="FFD4E0FC"/>
        <bgColor indexed="64"/>
      </patternFill>
    </fill>
    <fill>
      <patternFill patternType="solid">
        <fgColor rgb="FFFDEACF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rgb="FFF0F7ED"/>
        <bgColor indexed="64"/>
      </patternFill>
    </fill>
    <fill>
      <patternFill patternType="solid">
        <fgColor rgb="FFFDE3EF"/>
        <bgColor indexed="64"/>
      </patternFill>
    </fill>
    <fill>
      <patternFill patternType="solid">
        <fgColor rgb="FFB6F4CE"/>
        <bgColor indexed="64"/>
      </patternFill>
    </fill>
    <fill>
      <patternFill patternType="solid">
        <fgColor rgb="FFECEC8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3E5FD"/>
        <bgColor indexed="64"/>
      </patternFill>
    </fill>
    <fill>
      <patternFill patternType="solid">
        <fgColor rgb="FFE4FCE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2E7D6"/>
        <bgColor indexed="64"/>
      </patternFill>
    </fill>
    <fill>
      <patternFill patternType="solid">
        <fgColor rgb="FFFBE2FE"/>
        <bgColor indexed="64"/>
      </patternFill>
    </fill>
    <fill>
      <patternFill patternType="solid">
        <fgColor rgb="FFCAFA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FB7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rgb="FFE7ECC6"/>
        <bgColor indexed="64"/>
      </patternFill>
    </fill>
    <fill>
      <patternFill patternType="solid">
        <fgColor rgb="FFEDD3EA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B5E6F7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D9EC"/>
        <bgColor indexed="64"/>
      </patternFill>
    </fill>
    <fill>
      <patternFill patternType="solid">
        <fgColor rgb="FFC5FFFF"/>
        <bgColor indexed="64"/>
      </patternFill>
    </fill>
    <fill>
      <patternFill patternType="solid">
        <fgColor rgb="FF94F0B9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1A98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D3D3D3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theme="3" tint="0.749992370372631"/>
        <bgColor indexed="64"/>
      </patternFill>
    </fill>
  </fills>
  <borders count="44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133" borderId="0" applyNumberFormat="0" applyBorder="0" applyAlignment="0" applyProtection="0">
      <alignment vertical="center"/>
    </xf>
  </cellStyleXfs>
  <cellXfs count="1556">
    <xf numFmtId="0" fontId="0" fillId="0" borderId="0" xfId="0">
      <alignment vertical="center"/>
    </xf>
    <xf numFmtId="3" fontId="0" fillId="0" borderId="0" xfId="0" applyNumberFormat="1">
      <alignment vertical="center"/>
    </xf>
    <xf numFmtId="3" fontId="3" fillId="0" borderId="0" xfId="0" applyNumberFormat="1" applyFont="1">
      <alignment vertical="center"/>
    </xf>
    <xf numFmtId="38" fontId="0" fillId="0" borderId="3" xfId="0" applyNumberFormat="1" applyBorder="1">
      <alignment vertical="center"/>
    </xf>
    <xf numFmtId="49" fontId="0" fillId="5" borderId="5" xfId="0" applyNumberFormat="1" applyFill="1" applyBorder="1">
      <alignment vertical="center"/>
    </xf>
    <xf numFmtId="49" fontId="0" fillId="6" borderId="5" xfId="0" applyNumberFormat="1" applyFill="1" applyBorder="1">
      <alignment vertical="center"/>
    </xf>
    <xf numFmtId="49" fontId="0" fillId="7" borderId="5" xfId="0" applyNumberFormat="1" applyFill="1" applyBorder="1">
      <alignment vertical="center"/>
    </xf>
    <xf numFmtId="49" fontId="0" fillId="8" borderId="5" xfId="0" applyNumberFormat="1" applyFill="1" applyBorder="1">
      <alignment vertical="center"/>
    </xf>
    <xf numFmtId="49" fontId="0" fillId="9" borderId="5" xfId="0" applyNumberFormat="1" applyFill="1" applyBorder="1">
      <alignment vertical="center"/>
    </xf>
    <xf numFmtId="49" fontId="0" fillId="9" borderId="6" xfId="0" applyNumberFormat="1" applyFill="1" applyBorder="1">
      <alignment vertical="center"/>
    </xf>
    <xf numFmtId="49" fontId="0" fillId="3" borderId="5" xfId="0" applyNumberFormat="1" applyFill="1" applyBorder="1">
      <alignment vertical="center"/>
    </xf>
    <xf numFmtId="49" fontId="0" fillId="3" borderId="6" xfId="0" applyNumberFormat="1" applyFill="1" applyBorder="1">
      <alignment vertical="center"/>
    </xf>
    <xf numFmtId="49" fontId="0" fillId="4" borderId="5" xfId="0" applyNumberFormat="1" applyFill="1" applyBorder="1">
      <alignment vertical="center"/>
    </xf>
    <xf numFmtId="49" fontId="0" fillId="4" borderId="6" xfId="0" applyNumberFormat="1" applyFill="1" applyBorder="1">
      <alignment vertical="center"/>
    </xf>
    <xf numFmtId="49" fontId="0" fillId="10" borderId="5" xfId="0" applyNumberFormat="1" applyFill="1" applyBorder="1">
      <alignment vertical="center"/>
    </xf>
    <xf numFmtId="49" fontId="0" fillId="11" borderId="5" xfId="0" applyNumberFormat="1" applyFill="1" applyBorder="1">
      <alignment vertical="center"/>
    </xf>
    <xf numFmtId="49" fontId="0" fillId="12" borderId="5" xfId="0" applyNumberFormat="1" applyFill="1" applyBorder="1">
      <alignment vertical="center"/>
    </xf>
    <xf numFmtId="49" fontId="0" fillId="12" borderId="6" xfId="0" applyNumberFormat="1" applyFill="1" applyBorder="1">
      <alignment vertical="center"/>
    </xf>
    <xf numFmtId="49" fontId="0" fillId="13" borderId="5" xfId="0" applyNumberFormat="1" applyFill="1" applyBorder="1">
      <alignment vertical="center"/>
    </xf>
    <xf numFmtId="49" fontId="0" fillId="13" borderId="6" xfId="0" applyNumberFormat="1" applyFill="1" applyBorder="1">
      <alignment vertical="center"/>
    </xf>
    <xf numFmtId="49" fontId="0" fillId="14" borderId="5" xfId="0" applyNumberFormat="1" applyFill="1" applyBorder="1">
      <alignment vertical="center"/>
    </xf>
    <xf numFmtId="49" fontId="0" fillId="15" borderId="5" xfId="0" applyNumberFormat="1" applyFill="1" applyBorder="1">
      <alignment vertical="center"/>
    </xf>
    <xf numFmtId="3" fontId="1" fillId="2" borderId="7" xfId="0" applyNumberFormat="1" applyFont="1" applyFill="1" applyBorder="1" applyAlignment="1">
      <alignment vertical="center" wrapText="1"/>
    </xf>
    <xf numFmtId="176" fontId="0" fillId="9" borderId="2" xfId="0" applyNumberFormat="1" applyFill="1" applyBorder="1">
      <alignment vertical="center"/>
    </xf>
    <xf numFmtId="176" fontId="0" fillId="12" borderId="2" xfId="0" applyNumberFormat="1" applyFill="1" applyBorder="1">
      <alignment vertical="center"/>
    </xf>
    <xf numFmtId="176" fontId="0" fillId="13" borderId="2" xfId="0" applyNumberFormat="1" applyFill="1" applyBorder="1">
      <alignment vertical="center"/>
    </xf>
    <xf numFmtId="176" fontId="0" fillId="31" borderId="2" xfId="0" applyNumberFormat="1" applyFill="1" applyBorder="1">
      <alignment vertical="center"/>
    </xf>
    <xf numFmtId="176" fontId="0" fillId="32" borderId="2" xfId="0" applyNumberFormat="1" applyFill="1" applyBorder="1">
      <alignment vertical="center"/>
    </xf>
    <xf numFmtId="176" fontId="0" fillId="33" borderId="2" xfId="0" applyNumberFormat="1" applyFill="1" applyBorder="1">
      <alignment vertical="center"/>
    </xf>
    <xf numFmtId="176" fontId="0" fillId="34" borderId="2" xfId="0" applyNumberFormat="1" applyFill="1" applyBorder="1">
      <alignment vertical="center"/>
    </xf>
    <xf numFmtId="41" fontId="0" fillId="0" borderId="0" xfId="1" applyFont="1">
      <alignment vertical="center"/>
    </xf>
    <xf numFmtId="41" fontId="0" fillId="33" borderId="3" xfId="1" applyFont="1" applyFill="1" applyBorder="1">
      <alignment vertical="center"/>
    </xf>
    <xf numFmtId="3" fontId="0" fillId="33" borderId="3" xfId="0" applyNumberFormat="1" applyFill="1" applyBorder="1" applyAlignment="1">
      <alignment horizontal="center" vertical="center"/>
    </xf>
    <xf numFmtId="3" fontId="0" fillId="37" borderId="3" xfId="0" applyNumberFormat="1" applyFill="1" applyBorder="1" applyAlignment="1">
      <alignment horizontal="center" vertical="center"/>
    </xf>
    <xf numFmtId="3" fontId="0" fillId="39" borderId="3" xfId="0" applyNumberFormat="1" applyFill="1" applyBorder="1" applyAlignment="1">
      <alignment horizontal="center" vertical="center"/>
    </xf>
    <xf numFmtId="3" fontId="1" fillId="2" borderId="8" xfId="0" applyNumberFormat="1" applyFont="1" applyFill="1" applyBorder="1">
      <alignment vertical="center"/>
    </xf>
    <xf numFmtId="3" fontId="1" fillId="2" borderId="9" xfId="0" applyNumberFormat="1" applyFont="1" applyFill="1" applyBorder="1">
      <alignment vertical="center"/>
    </xf>
    <xf numFmtId="49" fontId="0" fillId="35" borderId="5" xfId="0" applyNumberFormat="1" applyFill="1" applyBorder="1">
      <alignment vertical="center"/>
    </xf>
    <xf numFmtId="49" fontId="0" fillId="36" borderId="5" xfId="0" applyNumberFormat="1" applyFill="1" applyBorder="1">
      <alignment vertical="center"/>
    </xf>
    <xf numFmtId="49" fontId="0" fillId="33" borderId="5" xfId="0" applyNumberFormat="1" applyFill="1" applyBorder="1">
      <alignment vertical="center"/>
    </xf>
    <xf numFmtId="49" fontId="0" fillId="33" borderId="6" xfId="0" applyNumberFormat="1" applyFill="1" applyBorder="1">
      <alignment vertical="center"/>
    </xf>
    <xf numFmtId="49" fontId="0" fillId="37" borderId="5" xfId="0" applyNumberFormat="1" applyFill="1" applyBorder="1">
      <alignment vertical="center"/>
    </xf>
    <xf numFmtId="49" fontId="0" fillId="38" borderId="5" xfId="0" applyNumberFormat="1" applyFill="1" applyBorder="1">
      <alignment vertical="center"/>
    </xf>
    <xf numFmtId="49" fontId="7" fillId="30" borderId="5" xfId="0" applyNumberFormat="1" applyFont="1" applyFill="1" applyBorder="1">
      <alignment vertical="center"/>
    </xf>
    <xf numFmtId="41" fontId="1" fillId="2" borderId="8" xfId="1" applyFont="1" applyFill="1" applyBorder="1" applyAlignment="1">
      <alignment horizontal="center" vertical="center"/>
    </xf>
    <xf numFmtId="41" fontId="1" fillId="2" borderId="11" xfId="1" applyFont="1" applyFill="1" applyBorder="1" applyAlignment="1">
      <alignment horizontal="center" vertical="center"/>
    </xf>
    <xf numFmtId="41" fontId="1" fillId="2" borderId="9" xfId="1" applyFont="1" applyFill="1" applyBorder="1" applyAlignment="1">
      <alignment horizontal="center" vertical="center"/>
    </xf>
    <xf numFmtId="41" fontId="0" fillId="33" borderId="5" xfId="1" applyFont="1" applyFill="1" applyBorder="1">
      <alignment vertical="center"/>
    </xf>
    <xf numFmtId="41" fontId="0" fillId="33" borderId="6" xfId="1" applyFont="1" applyFill="1" applyBorder="1">
      <alignment vertical="center"/>
    </xf>
    <xf numFmtId="176" fontId="1" fillId="2" borderId="1" xfId="0" applyNumberFormat="1" applyFont="1" applyFill="1" applyBorder="1">
      <alignment vertical="center"/>
    </xf>
    <xf numFmtId="176" fontId="0" fillId="37" borderId="2" xfId="0" applyNumberFormat="1" applyFill="1" applyBorder="1">
      <alignment vertical="center"/>
    </xf>
    <xf numFmtId="176" fontId="0" fillId="39" borderId="2" xfId="0" applyNumberFormat="1" applyFill="1" applyBorder="1">
      <alignment vertical="center"/>
    </xf>
    <xf numFmtId="0" fontId="4" fillId="37" borderId="5" xfId="0" applyFont="1" applyFill="1" applyBorder="1">
      <alignment vertical="center"/>
    </xf>
    <xf numFmtId="0" fontId="0" fillId="37" borderId="5" xfId="0" applyFill="1" applyBorder="1">
      <alignment vertical="center"/>
    </xf>
    <xf numFmtId="0" fontId="4" fillId="41" borderId="5" xfId="0" applyFont="1" applyFill="1" applyBorder="1">
      <alignment vertical="center"/>
    </xf>
    <xf numFmtId="0" fontId="0" fillId="41" borderId="5" xfId="0" applyFill="1" applyBorder="1">
      <alignment vertical="center"/>
    </xf>
    <xf numFmtId="0" fontId="0" fillId="42" borderId="5" xfId="0" applyFill="1" applyBorder="1">
      <alignment vertical="center"/>
    </xf>
    <xf numFmtId="0" fontId="4" fillId="42" borderId="5" xfId="0" applyFont="1" applyFill="1" applyBorder="1">
      <alignment vertical="center"/>
    </xf>
    <xf numFmtId="0" fontId="4" fillId="25" borderId="5" xfId="0" applyFont="1" applyFill="1" applyBorder="1">
      <alignment vertical="center"/>
    </xf>
    <xf numFmtId="0" fontId="4" fillId="43" borderId="5" xfId="0" applyFont="1" applyFill="1" applyBorder="1">
      <alignment vertical="center"/>
    </xf>
    <xf numFmtId="0" fontId="4" fillId="44" borderId="5" xfId="0" applyFont="1" applyFill="1" applyBorder="1">
      <alignment vertical="center"/>
    </xf>
    <xf numFmtId="0" fontId="0" fillId="44" borderId="5" xfId="0" applyFill="1" applyBorder="1">
      <alignment vertical="center"/>
    </xf>
    <xf numFmtId="0" fontId="0" fillId="26" borderId="5" xfId="0" applyFill="1" applyBorder="1">
      <alignment vertical="center"/>
    </xf>
    <xf numFmtId="0" fontId="0" fillId="45" borderId="5" xfId="0" applyFill="1" applyBorder="1">
      <alignment vertical="center"/>
    </xf>
    <xf numFmtId="0" fontId="4" fillId="45" borderId="5" xfId="0" applyFont="1" applyFill="1" applyBorder="1">
      <alignment vertical="center"/>
    </xf>
    <xf numFmtId="0" fontId="0" fillId="46" borderId="5" xfId="0" applyFill="1" applyBorder="1">
      <alignment vertical="center"/>
    </xf>
    <xf numFmtId="0" fontId="0" fillId="47" borderId="5" xfId="0" applyFill="1" applyBorder="1">
      <alignment vertical="center"/>
    </xf>
    <xf numFmtId="0" fontId="4" fillId="47" borderId="5" xfId="0" applyFont="1" applyFill="1" applyBorder="1">
      <alignment vertical="center"/>
    </xf>
    <xf numFmtId="0" fontId="0" fillId="48" borderId="5" xfId="0" applyFill="1" applyBorder="1">
      <alignment vertical="center"/>
    </xf>
    <xf numFmtId="0" fontId="4" fillId="48" borderId="5" xfId="0" applyFont="1" applyFill="1" applyBorder="1">
      <alignment vertical="center"/>
    </xf>
    <xf numFmtId="0" fontId="4" fillId="49" borderId="5" xfId="0" applyFont="1" applyFill="1" applyBorder="1">
      <alignment vertical="center"/>
    </xf>
    <xf numFmtId="0" fontId="0" fillId="49" borderId="5" xfId="0" applyFill="1" applyBorder="1">
      <alignment vertical="center"/>
    </xf>
    <xf numFmtId="0" fontId="4" fillId="50" borderId="5" xfId="0" applyFont="1" applyFill="1" applyBorder="1">
      <alignment vertical="center"/>
    </xf>
    <xf numFmtId="0" fontId="0" fillId="50" borderId="5" xfId="0" applyFill="1" applyBorder="1">
      <alignment vertical="center"/>
    </xf>
    <xf numFmtId="0" fontId="4" fillId="51" borderId="5" xfId="0" applyFont="1" applyFill="1" applyBorder="1">
      <alignment vertical="center"/>
    </xf>
    <xf numFmtId="0" fontId="0" fillId="51" borderId="5" xfId="0" applyFill="1" applyBorder="1">
      <alignment vertical="center"/>
    </xf>
    <xf numFmtId="0" fontId="0" fillId="52" borderId="5" xfId="0" applyFill="1" applyBorder="1">
      <alignment vertical="center"/>
    </xf>
    <xf numFmtId="0" fontId="0" fillId="53" borderId="5" xfId="0" applyFill="1" applyBorder="1">
      <alignment vertical="center"/>
    </xf>
    <xf numFmtId="0" fontId="0" fillId="54" borderId="5" xfId="0" applyFill="1" applyBorder="1">
      <alignment vertical="center"/>
    </xf>
    <xf numFmtId="0" fontId="4" fillId="55" borderId="5" xfId="0" applyFont="1" applyFill="1" applyBorder="1">
      <alignment vertical="center"/>
    </xf>
    <xf numFmtId="0" fontId="0" fillId="57" borderId="5" xfId="0" applyFill="1" applyBorder="1">
      <alignment vertical="center"/>
    </xf>
    <xf numFmtId="0" fontId="4" fillId="58" borderId="5" xfId="0" applyFont="1" applyFill="1" applyBorder="1">
      <alignment vertical="center"/>
    </xf>
    <xf numFmtId="0" fontId="4" fillId="59" borderId="5" xfId="0" applyFont="1" applyFill="1" applyBorder="1">
      <alignment vertical="center"/>
    </xf>
    <xf numFmtId="0" fontId="4" fillId="60" borderId="5" xfId="0" applyFont="1" applyFill="1" applyBorder="1">
      <alignment vertical="center"/>
    </xf>
    <xf numFmtId="176" fontId="0" fillId="41" borderId="2" xfId="0" applyNumberFormat="1" applyFill="1" applyBorder="1">
      <alignment vertical="center"/>
    </xf>
    <xf numFmtId="3" fontId="0" fillId="41" borderId="3" xfId="0" applyNumberFormat="1" applyFill="1" applyBorder="1" applyAlignment="1">
      <alignment horizontal="center" vertical="center"/>
    </xf>
    <xf numFmtId="176" fontId="0" fillId="42" borderId="2" xfId="0" applyNumberFormat="1" applyFill="1" applyBorder="1">
      <alignment vertical="center"/>
    </xf>
    <xf numFmtId="3" fontId="0" fillId="42" borderId="3" xfId="0" applyNumberFormat="1" applyFill="1" applyBorder="1" applyAlignment="1">
      <alignment horizontal="center" vertical="center"/>
    </xf>
    <xf numFmtId="3" fontId="0" fillId="31" borderId="3" xfId="0" applyNumberFormat="1" applyFill="1" applyBorder="1" applyAlignment="1">
      <alignment horizontal="center" vertical="center"/>
    </xf>
    <xf numFmtId="176" fontId="0" fillId="43" borderId="2" xfId="0" applyNumberFormat="1" applyFill="1" applyBorder="1">
      <alignment vertical="center"/>
    </xf>
    <xf numFmtId="3" fontId="0" fillId="43" borderId="3" xfId="0" applyNumberFormat="1" applyFill="1" applyBorder="1" applyAlignment="1">
      <alignment horizontal="center" vertical="center"/>
    </xf>
    <xf numFmtId="176" fontId="0" fillId="44" borderId="2" xfId="0" applyNumberFormat="1" applyFill="1" applyBorder="1">
      <alignment vertical="center"/>
    </xf>
    <xf numFmtId="3" fontId="0" fillId="44" borderId="3" xfId="0" applyNumberFormat="1" applyFill="1" applyBorder="1" applyAlignment="1">
      <alignment horizontal="center" vertical="center"/>
    </xf>
    <xf numFmtId="3" fontId="0" fillId="32" borderId="3" xfId="0" applyNumberFormat="1" applyFill="1" applyBorder="1" applyAlignment="1">
      <alignment horizontal="center" vertical="center"/>
    </xf>
    <xf numFmtId="176" fontId="0" fillId="45" borderId="2" xfId="0" applyNumberFormat="1" applyFill="1" applyBorder="1">
      <alignment vertical="center"/>
    </xf>
    <xf numFmtId="3" fontId="0" fillId="45" borderId="3" xfId="0" applyNumberFormat="1" applyFill="1" applyBorder="1" applyAlignment="1">
      <alignment horizontal="center" vertical="center"/>
    </xf>
    <xf numFmtId="176" fontId="0" fillId="46" borderId="2" xfId="0" applyNumberFormat="1" applyFill="1" applyBorder="1">
      <alignment vertical="center"/>
    </xf>
    <xf numFmtId="3" fontId="0" fillId="46" borderId="3" xfId="0" applyNumberFormat="1" applyFill="1" applyBorder="1" applyAlignment="1">
      <alignment horizontal="center" vertical="center"/>
    </xf>
    <xf numFmtId="176" fontId="0" fillId="48" borderId="2" xfId="0" applyNumberFormat="1" applyFill="1" applyBorder="1">
      <alignment vertical="center"/>
    </xf>
    <xf numFmtId="3" fontId="0" fillId="48" borderId="3" xfId="0" applyNumberFormat="1" applyFill="1" applyBorder="1" applyAlignment="1">
      <alignment horizontal="center" vertical="center"/>
    </xf>
    <xf numFmtId="176" fontId="0" fillId="47" borderId="2" xfId="0" applyNumberFormat="1" applyFill="1" applyBorder="1">
      <alignment vertical="center"/>
    </xf>
    <xf numFmtId="3" fontId="0" fillId="47" borderId="3" xfId="0" applyNumberFormat="1" applyFill="1" applyBorder="1" applyAlignment="1">
      <alignment horizontal="center" vertical="center"/>
    </xf>
    <xf numFmtId="176" fontId="0" fillId="49" borderId="2" xfId="0" applyNumberFormat="1" applyFill="1" applyBorder="1">
      <alignment vertical="center"/>
    </xf>
    <xf numFmtId="3" fontId="0" fillId="49" borderId="3" xfId="0" applyNumberFormat="1" applyFill="1" applyBorder="1" applyAlignment="1">
      <alignment horizontal="center" vertical="center"/>
    </xf>
    <xf numFmtId="176" fontId="0" fillId="50" borderId="2" xfId="0" applyNumberFormat="1" applyFill="1" applyBorder="1">
      <alignment vertical="center"/>
    </xf>
    <xf numFmtId="3" fontId="0" fillId="50" borderId="3" xfId="0" applyNumberFormat="1" applyFill="1" applyBorder="1" applyAlignment="1">
      <alignment horizontal="center" vertical="center"/>
    </xf>
    <xf numFmtId="176" fontId="0" fillId="51" borderId="2" xfId="0" applyNumberFormat="1" applyFill="1" applyBorder="1">
      <alignment vertical="center"/>
    </xf>
    <xf numFmtId="3" fontId="0" fillId="51" borderId="3" xfId="0" applyNumberFormat="1" applyFill="1" applyBorder="1" applyAlignment="1">
      <alignment horizontal="center" vertical="center"/>
    </xf>
    <xf numFmtId="41" fontId="0" fillId="61" borderId="5" xfId="1" applyFont="1" applyFill="1" applyBorder="1">
      <alignment vertical="center"/>
    </xf>
    <xf numFmtId="41" fontId="0" fillId="61" borderId="3" xfId="1" applyFont="1" applyFill="1" applyBorder="1">
      <alignment vertical="center"/>
    </xf>
    <xf numFmtId="41" fontId="0" fillId="61" borderId="6" xfId="1" applyFont="1" applyFill="1" applyBorder="1">
      <alignment vertical="center"/>
    </xf>
    <xf numFmtId="176" fontId="0" fillId="61" borderId="2" xfId="0" applyNumberFormat="1" applyFill="1" applyBorder="1">
      <alignment vertical="center"/>
    </xf>
    <xf numFmtId="3" fontId="0" fillId="61" borderId="3" xfId="0" applyNumberFormat="1" applyFill="1" applyBorder="1" applyAlignment="1">
      <alignment horizontal="center" vertical="center"/>
    </xf>
    <xf numFmtId="176" fontId="0" fillId="53" borderId="2" xfId="0" applyNumberFormat="1" applyFill="1" applyBorder="1">
      <alignment vertical="center"/>
    </xf>
    <xf numFmtId="3" fontId="0" fillId="53" borderId="3" xfId="0" applyNumberFormat="1" applyFill="1" applyBorder="1" applyAlignment="1">
      <alignment horizontal="center" vertical="center"/>
    </xf>
    <xf numFmtId="41" fontId="0" fillId="62" borderId="5" xfId="1" applyFont="1" applyFill="1" applyBorder="1">
      <alignment vertical="center"/>
    </xf>
    <xf numFmtId="41" fontId="0" fillId="62" borderId="3" xfId="1" applyFont="1" applyFill="1" applyBorder="1">
      <alignment vertical="center"/>
    </xf>
    <xf numFmtId="41" fontId="0" fillId="62" borderId="6" xfId="1" applyFont="1" applyFill="1" applyBorder="1">
      <alignment vertical="center"/>
    </xf>
    <xf numFmtId="176" fontId="0" fillId="62" borderId="2" xfId="0" applyNumberFormat="1" applyFill="1" applyBorder="1">
      <alignment vertical="center"/>
    </xf>
    <xf numFmtId="3" fontId="0" fillId="62" borderId="3" xfId="0" applyNumberFormat="1" applyFill="1" applyBorder="1" applyAlignment="1">
      <alignment horizontal="center" vertical="center"/>
    </xf>
    <xf numFmtId="176" fontId="0" fillId="55" borderId="2" xfId="0" applyNumberFormat="1" applyFill="1" applyBorder="1">
      <alignment vertical="center"/>
    </xf>
    <xf numFmtId="3" fontId="0" fillId="55" borderId="3" xfId="0" applyNumberFormat="1" applyFill="1" applyBorder="1" applyAlignment="1">
      <alignment horizontal="center" vertical="center"/>
    </xf>
    <xf numFmtId="41" fontId="0" fillId="63" borderId="5" xfId="1" applyFont="1" applyFill="1" applyBorder="1">
      <alignment vertical="center"/>
    </xf>
    <xf numFmtId="41" fontId="0" fillId="63" borderId="3" xfId="1" applyFont="1" applyFill="1" applyBorder="1">
      <alignment vertical="center"/>
    </xf>
    <xf numFmtId="41" fontId="0" fillId="63" borderId="6" xfId="1" applyFont="1" applyFill="1" applyBorder="1">
      <alignment vertical="center"/>
    </xf>
    <xf numFmtId="176" fontId="0" fillId="63" borderId="2" xfId="0" applyNumberFormat="1" applyFill="1" applyBorder="1">
      <alignment vertical="center"/>
    </xf>
    <xf numFmtId="3" fontId="0" fillId="63" borderId="3" xfId="0" applyNumberFormat="1" applyFill="1" applyBorder="1" applyAlignment="1">
      <alignment horizontal="center" vertical="center"/>
    </xf>
    <xf numFmtId="176" fontId="0" fillId="64" borderId="2" xfId="0" applyNumberFormat="1" applyFill="1" applyBorder="1">
      <alignment vertical="center"/>
    </xf>
    <xf numFmtId="3" fontId="0" fillId="64" borderId="3" xfId="0" applyNumberFormat="1" applyFill="1" applyBorder="1" applyAlignment="1">
      <alignment horizontal="center" vertical="center"/>
    </xf>
    <xf numFmtId="176" fontId="0" fillId="58" borderId="2" xfId="0" applyNumberFormat="1" applyFill="1" applyBorder="1">
      <alignment vertical="center"/>
    </xf>
    <xf numFmtId="3" fontId="0" fillId="58" borderId="3" xfId="0" applyNumberFormat="1" applyFill="1" applyBorder="1" applyAlignment="1">
      <alignment horizontal="center" vertical="center"/>
    </xf>
    <xf numFmtId="176" fontId="0" fillId="65" borderId="2" xfId="0" applyNumberFormat="1" applyFill="1" applyBorder="1">
      <alignment vertical="center"/>
    </xf>
    <xf numFmtId="3" fontId="0" fillId="65" borderId="3" xfId="0" applyNumberFormat="1" applyFill="1" applyBorder="1" applyAlignment="1">
      <alignment horizontal="center" vertical="center"/>
    </xf>
    <xf numFmtId="0" fontId="0" fillId="39" borderId="5" xfId="0" applyFill="1" applyBorder="1">
      <alignment vertical="center"/>
    </xf>
    <xf numFmtId="0" fontId="4" fillId="39" borderId="5" xfId="0" applyFont="1" applyFill="1" applyBorder="1">
      <alignment vertical="center"/>
    </xf>
    <xf numFmtId="176" fontId="0" fillId="60" borderId="2" xfId="0" applyNumberFormat="1" applyFill="1" applyBorder="1">
      <alignment vertical="center"/>
    </xf>
    <xf numFmtId="3" fontId="0" fillId="60" borderId="3" xfId="0" applyNumberFormat="1" applyFill="1" applyBorder="1" applyAlignment="1">
      <alignment horizontal="center" vertical="center"/>
    </xf>
    <xf numFmtId="41" fontId="1" fillId="2" borderId="12" xfId="1" applyFont="1" applyFill="1" applyBorder="1">
      <alignment vertical="center"/>
    </xf>
    <xf numFmtId="41" fontId="1" fillId="2" borderId="14" xfId="1" applyFont="1" applyFill="1" applyBorder="1">
      <alignment vertical="center"/>
    </xf>
    <xf numFmtId="41" fontId="1" fillId="2" borderId="13" xfId="1" applyFont="1" applyFill="1" applyBorder="1">
      <alignment vertical="center"/>
    </xf>
    <xf numFmtId="176" fontId="0" fillId="66" borderId="2" xfId="0" applyNumberFormat="1" applyFill="1" applyBorder="1">
      <alignment vertical="center"/>
    </xf>
    <xf numFmtId="176" fontId="0" fillId="98" borderId="2" xfId="0" applyNumberFormat="1" applyFill="1" applyBorder="1">
      <alignment vertical="center"/>
    </xf>
    <xf numFmtId="176" fontId="0" fillId="100" borderId="2" xfId="0" applyNumberFormat="1" applyFill="1" applyBorder="1">
      <alignment vertical="center"/>
    </xf>
    <xf numFmtId="176" fontId="0" fillId="67" borderId="2" xfId="0" applyNumberFormat="1" applyFill="1" applyBorder="1">
      <alignment vertical="center"/>
    </xf>
    <xf numFmtId="176" fontId="0" fillId="68" borderId="2" xfId="0" applyNumberFormat="1" applyFill="1" applyBorder="1">
      <alignment vertical="center"/>
    </xf>
    <xf numFmtId="176" fontId="0" fillId="69" borderId="2" xfId="0" applyNumberFormat="1" applyFill="1" applyBorder="1">
      <alignment vertical="center"/>
    </xf>
    <xf numFmtId="38" fontId="0" fillId="69" borderId="3" xfId="0" applyNumberFormat="1" applyFill="1" applyBorder="1">
      <alignment vertical="center"/>
    </xf>
    <xf numFmtId="176" fontId="0" fillId="70" borderId="2" xfId="0" applyNumberFormat="1" applyFill="1" applyBorder="1">
      <alignment vertical="center"/>
    </xf>
    <xf numFmtId="176" fontId="0" fillId="71" borderId="2" xfId="0" applyNumberFormat="1" applyFill="1" applyBorder="1">
      <alignment vertical="center"/>
    </xf>
    <xf numFmtId="176" fontId="0" fillId="72" borderId="2" xfId="0" applyNumberFormat="1" applyFill="1" applyBorder="1">
      <alignment vertical="center"/>
    </xf>
    <xf numFmtId="38" fontId="0" fillId="72" borderId="3" xfId="0" applyNumberFormat="1" applyFill="1" applyBorder="1">
      <alignment vertical="center"/>
    </xf>
    <xf numFmtId="176" fontId="0" fillId="73" borderId="2" xfId="0" applyNumberFormat="1" applyFill="1" applyBorder="1">
      <alignment vertical="center"/>
    </xf>
    <xf numFmtId="38" fontId="0" fillId="73" borderId="3" xfId="0" applyNumberFormat="1" applyFill="1" applyBorder="1">
      <alignment vertical="center"/>
    </xf>
    <xf numFmtId="176" fontId="0" fillId="74" borderId="2" xfId="0" applyNumberFormat="1" applyFill="1" applyBorder="1">
      <alignment vertical="center"/>
    </xf>
    <xf numFmtId="176" fontId="0" fillId="109" borderId="2" xfId="0" applyNumberFormat="1" applyFill="1" applyBorder="1">
      <alignment vertical="center"/>
    </xf>
    <xf numFmtId="176" fontId="0" fillId="76" borderId="2" xfId="0" applyNumberFormat="1" applyFill="1" applyBorder="1">
      <alignment vertical="center"/>
    </xf>
    <xf numFmtId="176" fontId="0" fillId="77" borderId="2" xfId="0" applyNumberFormat="1" applyFill="1" applyBorder="1">
      <alignment vertical="center"/>
    </xf>
    <xf numFmtId="176" fontId="0" fillId="78" borderId="2" xfId="0" applyNumberFormat="1" applyFill="1" applyBorder="1">
      <alignment vertical="center"/>
    </xf>
    <xf numFmtId="176" fontId="0" fillId="79" borderId="2" xfId="0" applyNumberFormat="1" applyFill="1" applyBorder="1">
      <alignment vertical="center"/>
    </xf>
    <xf numFmtId="176" fontId="0" fillId="80" borderId="2" xfId="0" applyNumberFormat="1" applyFill="1" applyBorder="1">
      <alignment vertical="center"/>
    </xf>
    <xf numFmtId="176" fontId="0" fillId="81" borderId="2" xfId="0" applyNumberFormat="1" applyFill="1" applyBorder="1">
      <alignment vertical="center"/>
    </xf>
    <xf numFmtId="176" fontId="0" fillId="82" borderId="2" xfId="0" applyNumberFormat="1" applyFill="1" applyBorder="1">
      <alignment vertical="center"/>
    </xf>
    <xf numFmtId="176" fontId="0" fillId="83" borderId="2" xfId="0" applyNumberFormat="1" applyFill="1" applyBorder="1">
      <alignment vertical="center"/>
    </xf>
    <xf numFmtId="176" fontId="0" fillId="84" borderId="2" xfId="0" applyNumberFormat="1" applyFill="1" applyBorder="1">
      <alignment vertical="center"/>
    </xf>
    <xf numFmtId="176" fontId="0" fillId="85" borderId="2" xfId="0" applyNumberFormat="1" applyFill="1" applyBorder="1">
      <alignment vertical="center"/>
    </xf>
    <xf numFmtId="176" fontId="0" fillId="86" borderId="2" xfId="0" applyNumberFormat="1" applyFill="1" applyBorder="1">
      <alignment vertical="center"/>
    </xf>
    <xf numFmtId="176" fontId="0" fillId="87" borderId="2" xfId="0" applyNumberFormat="1" applyFill="1" applyBorder="1">
      <alignment vertical="center"/>
    </xf>
    <xf numFmtId="176" fontId="0" fillId="88" borderId="2" xfId="0" applyNumberFormat="1" applyFill="1" applyBorder="1">
      <alignment vertical="center"/>
    </xf>
    <xf numFmtId="176" fontId="0" fillId="89" borderId="2" xfId="0" applyNumberFormat="1" applyFill="1" applyBorder="1">
      <alignment vertical="center"/>
    </xf>
    <xf numFmtId="176" fontId="0" fillId="110" borderId="2" xfId="0" applyNumberFormat="1" applyFill="1" applyBorder="1">
      <alignment vertical="center"/>
    </xf>
    <xf numFmtId="176" fontId="0" fillId="91" borderId="2" xfId="0" applyNumberFormat="1" applyFill="1" applyBorder="1">
      <alignment vertical="center"/>
    </xf>
    <xf numFmtId="176" fontId="0" fillId="92" borderId="2" xfId="0" applyNumberFormat="1" applyFill="1" applyBorder="1">
      <alignment vertical="center"/>
    </xf>
    <xf numFmtId="176" fontId="0" fillId="93" borderId="2" xfId="0" applyNumberFormat="1" applyFill="1" applyBorder="1">
      <alignment vertical="center"/>
    </xf>
    <xf numFmtId="176" fontId="0" fillId="94" borderId="2" xfId="0" applyNumberFormat="1" applyFill="1" applyBorder="1">
      <alignment vertical="center"/>
    </xf>
    <xf numFmtId="176" fontId="0" fillId="95" borderId="2" xfId="0" applyNumberFormat="1" applyFill="1" applyBorder="1">
      <alignment vertical="center"/>
    </xf>
    <xf numFmtId="176" fontId="0" fillId="96" borderId="2" xfId="0" applyNumberFormat="1" applyFill="1" applyBorder="1">
      <alignment vertical="center"/>
    </xf>
    <xf numFmtId="176" fontId="0" fillId="97" borderId="2" xfId="0" applyNumberFormat="1" applyFill="1" applyBorder="1">
      <alignment vertical="center"/>
    </xf>
    <xf numFmtId="176" fontId="0" fillId="99" borderId="2" xfId="0" applyNumberFormat="1" applyFill="1" applyBorder="1">
      <alignment vertical="center"/>
    </xf>
    <xf numFmtId="176" fontId="7" fillId="92" borderId="2" xfId="0" applyNumberFormat="1" applyFont="1" applyFill="1" applyBorder="1">
      <alignment vertical="center"/>
    </xf>
    <xf numFmtId="176" fontId="0" fillId="101" borderId="2" xfId="0" applyNumberFormat="1" applyFill="1" applyBorder="1">
      <alignment vertical="center"/>
    </xf>
    <xf numFmtId="38" fontId="0" fillId="102" borderId="3" xfId="0" applyNumberFormat="1" applyFill="1" applyBorder="1">
      <alignment vertical="center"/>
    </xf>
    <xf numFmtId="176" fontId="0" fillId="102" borderId="2" xfId="0" applyNumberFormat="1" applyFill="1" applyBorder="1">
      <alignment vertical="center"/>
    </xf>
    <xf numFmtId="176" fontId="0" fillId="111" borderId="2" xfId="0" applyNumberFormat="1" applyFill="1" applyBorder="1">
      <alignment vertical="center"/>
    </xf>
    <xf numFmtId="176" fontId="0" fillId="112" borderId="2" xfId="0" applyNumberFormat="1" applyFill="1" applyBorder="1">
      <alignment vertical="center"/>
    </xf>
    <xf numFmtId="176" fontId="0" fillId="113" borderId="2" xfId="0" applyNumberFormat="1" applyFill="1" applyBorder="1">
      <alignment vertical="center"/>
    </xf>
    <xf numFmtId="176" fontId="0" fillId="106" borderId="2" xfId="0" applyNumberFormat="1" applyFill="1" applyBorder="1">
      <alignment vertical="center"/>
    </xf>
    <xf numFmtId="176" fontId="0" fillId="107" borderId="2" xfId="0" applyNumberFormat="1" applyFill="1" applyBorder="1">
      <alignment vertical="center"/>
    </xf>
    <xf numFmtId="176" fontId="0" fillId="108" borderId="2" xfId="0" applyNumberFormat="1" applyFill="1" applyBorder="1">
      <alignment vertical="center"/>
    </xf>
    <xf numFmtId="41" fontId="0" fillId="66" borderId="3" xfId="1" applyFont="1" applyFill="1" applyBorder="1">
      <alignment vertical="center"/>
    </xf>
    <xf numFmtId="3" fontId="0" fillId="66" borderId="3" xfId="0" applyNumberFormat="1" applyFill="1" applyBorder="1" applyAlignment="1">
      <alignment horizontal="center" vertical="center"/>
    </xf>
    <xf numFmtId="41" fontId="0" fillId="98" borderId="3" xfId="1" applyFont="1" applyFill="1" applyBorder="1">
      <alignment vertical="center"/>
    </xf>
    <xf numFmtId="3" fontId="0" fillId="98" borderId="3" xfId="0" applyNumberFormat="1" applyFill="1" applyBorder="1" applyAlignment="1">
      <alignment horizontal="center" vertical="center"/>
    </xf>
    <xf numFmtId="41" fontId="0" fillId="100" borderId="3" xfId="1" applyFont="1" applyFill="1" applyBorder="1">
      <alignment vertical="center"/>
    </xf>
    <xf numFmtId="3" fontId="0" fillId="100" borderId="3" xfId="0" applyNumberFormat="1" applyFill="1" applyBorder="1" applyAlignment="1">
      <alignment horizontal="center" vertical="center"/>
    </xf>
    <xf numFmtId="41" fontId="0" fillId="67" borderId="3" xfId="1" applyFont="1" applyFill="1" applyBorder="1">
      <alignment vertical="center"/>
    </xf>
    <xf numFmtId="3" fontId="0" fillId="67" borderId="3" xfId="0" applyNumberFormat="1" applyFill="1" applyBorder="1" applyAlignment="1">
      <alignment horizontal="center" vertical="center"/>
    </xf>
    <xf numFmtId="41" fontId="0" fillId="9" borderId="3" xfId="1" applyFont="1" applyFill="1" applyBorder="1">
      <alignment vertical="center"/>
    </xf>
    <xf numFmtId="3" fontId="0" fillId="9" borderId="3" xfId="0" applyNumberFormat="1" applyFill="1" applyBorder="1" applyAlignment="1">
      <alignment horizontal="center" vertical="center"/>
    </xf>
    <xf numFmtId="41" fontId="0" fillId="68" borderId="3" xfId="1" applyFont="1" applyFill="1" applyBorder="1">
      <alignment vertical="center"/>
    </xf>
    <xf numFmtId="3" fontId="0" fillId="68" borderId="3" xfId="0" applyNumberFormat="1" applyFill="1" applyBorder="1" applyAlignment="1">
      <alignment horizontal="center" vertical="center"/>
    </xf>
    <xf numFmtId="41" fontId="0" fillId="69" borderId="3" xfId="1" applyFont="1" applyFill="1" applyBorder="1">
      <alignment vertical="center"/>
    </xf>
    <xf numFmtId="3" fontId="0" fillId="69" borderId="3" xfId="0" applyNumberFormat="1" applyFill="1" applyBorder="1" applyAlignment="1">
      <alignment horizontal="center" vertical="center"/>
    </xf>
    <xf numFmtId="41" fontId="0" fillId="70" borderId="3" xfId="1" applyFont="1" applyFill="1" applyBorder="1">
      <alignment vertical="center"/>
    </xf>
    <xf numFmtId="3" fontId="0" fillId="70" borderId="3" xfId="0" applyNumberFormat="1" applyFill="1" applyBorder="1" applyAlignment="1">
      <alignment horizontal="center" vertical="center"/>
    </xf>
    <xf numFmtId="41" fontId="0" fillId="12" borderId="3" xfId="1" applyFont="1" applyFill="1" applyBorder="1">
      <alignment vertical="center"/>
    </xf>
    <xf numFmtId="3" fontId="0" fillId="12" borderId="3" xfId="0" applyNumberFormat="1" applyFill="1" applyBorder="1" applyAlignment="1">
      <alignment horizontal="center" vertical="center"/>
    </xf>
    <xf numFmtId="41" fontId="0" fillId="71" borderId="3" xfId="1" applyFont="1" applyFill="1" applyBorder="1">
      <alignment vertical="center"/>
    </xf>
    <xf numFmtId="3" fontId="0" fillId="71" borderId="3" xfId="0" applyNumberFormat="1" applyFill="1" applyBorder="1" applyAlignment="1">
      <alignment horizontal="center" vertical="center"/>
    </xf>
    <xf numFmtId="41" fontId="0" fillId="72" borderId="3" xfId="1" applyFont="1" applyFill="1" applyBorder="1">
      <alignment vertical="center"/>
    </xf>
    <xf numFmtId="3" fontId="0" fillId="72" borderId="3" xfId="0" applyNumberFormat="1" applyFill="1" applyBorder="1" applyAlignment="1">
      <alignment horizontal="center" vertical="center"/>
    </xf>
    <xf numFmtId="41" fontId="0" fillId="73" borderId="3" xfId="1" applyFont="1" applyFill="1" applyBorder="1">
      <alignment vertical="center"/>
    </xf>
    <xf numFmtId="3" fontId="0" fillId="73" borderId="3" xfId="0" applyNumberFormat="1" applyFill="1" applyBorder="1" applyAlignment="1">
      <alignment horizontal="center" vertical="center"/>
    </xf>
    <xf numFmtId="41" fontId="0" fillId="74" borderId="3" xfId="1" applyFont="1" applyFill="1" applyBorder="1">
      <alignment vertical="center"/>
    </xf>
    <xf numFmtId="3" fontId="0" fillId="74" borderId="3" xfId="0" applyNumberFormat="1" applyFill="1" applyBorder="1" applyAlignment="1">
      <alignment horizontal="center" vertical="center"/>
    </xf>
    <xf numFmtId="41" fontId="0" fillId="13" borderId="3" xfId="1" applyFont="1" applyFill="1" applyBorder="1">
      <alignment vertical="center"/>
    </xf>
    <xf numFmtId="3" fontId="0" fillId="13" borderId="3" xfId="0" applyNumberFormat="1" applyFill="1" applyBorder="1" applyAlignment="1">
      <alignment horizontal="center" vertical="center"/>
    </xf>
    <xf numFmtId="41" fontId="0" fillId="109" borderId="3" xfId="1" applyFont="1" applyFill="1" applyBorder="1">
      <alignment vertical="center"/>
    </xf>
    <xf numFmtId="3" fontId="0" fillId="109" borderId="3" xfId="0" applyNumberFormat="1" applyFill="1" applyBorder="1" applyAlignment="1">
      <alignment horizontal="center" vertical="center"/>
    </xf>
    <xf numFmtId="41" fontId="0" fillId="76" borderId="3" xfId="1" applyFont="1" applyFill="1" applyBorder="1">
      <alignment vertical="center"/>
    </xf>
    <xf numFmtId="3" fontId="0" fillId="76" borderId="3" xfId="0" applyNumberFormat="1" applyFill="1" applyBorder="1" applyAlignment="1">
      <alignment horizontal="center" vertical="center"/>
    </xf>
    <xf numFmtId="41" fontId="0" fillId="77" borderId="3" xfId="1" applyFont="1" applyFill="1" applyBorder="1">
      <alignment vertical="center"/>
    </xf>
    <xf numFmtId="3" fontId="0" fillId="77" borderId="3" xfId="0" applyNumberFormat="1" applyFill="1" applyBorder="1" applyAlignment="1">
      <alignment horizontal="center" vertical="center"/>
    </xf>
    <xf numFmtId="41" fontId="0" fillId="78" borderId="3" xfId="1" applyFont="1" applyFill="1" applyBorder="1">
      <alignment vertical="center"/>
    </xf>
    <xf numFmtId="3" fontId="0" fillId="78" borderId="3" xfId="0" applyNumberFormat="1" applyFill="1" applyBorder="1" applyAlignment="1">
      <alignment horizontal="center" vertical="center"/>
    </xf>
    <xf numFmtId="41" fontId="0" fillId="79" borderId="3" xfId="1" applyFont="1" applyFill="1" applyBorder="1">
      <alignment vertical="center"/>
    </xf>
    <xf numFmtId="3" fontId="0" fillId="79" borderId="3" xfId="0" applyNumberFormat="1" applyFill="1" applyBorder="1" applyAlignment="1">
      <alignment horizontal="center" vertical="center"/>
    </xf>
    <xf numFmtId="41" fontId="0" fillId="80" borderId="3" xfId="1" applyFont="1" applyFill="1" applyBorder="1">
      <alignment vertical="center"/>
    </xf>
    <xf numFmtId="3" fontId="0" fillId="80" borderId="3" xfId="0" applyNumberFormat="1" applyFill="1" applyBorder="1" applyAlignment="1">
      <alignment horizontal="center" vertical="center"/>
    </xf>
    <xf numFmtId="41" fontId="0" fillId="81" borderId="3" xfId="1" applyFont="1" applyFill="1" applyBorder="1">
      <alignment vertical="center"/>
    </xf>
    <xf numFmtId="3" fontId="0" fillId="81" borderId="3" xfId="0" applyNumberFormat="1" applyFill="1" applyBorder="1" applyAlignment="1">
      <alignment horizontal="center" vertical="center"/>
    </xf>
    <xf numFmtId="41" fontId="0" fillId="82" borderId="3" xfId="1" applyFont="1" applyFill="1" applyBorder="1">
      <alignment vertical="center"/>
    </xf>
    <xf numFmtId="3" fontId="0" fillId="82" borderId="3" xfId="0" applyNumberFormat="1" applyFill="1" applyBorder="1" applyAlignment="1">
      <alignment horizontal="center" vertical="center"/>
    </xf>
    <xf numFmtId="41" fontId="0" fillId="83" borderId="3" xfId="1" applyFont="1" applyFill="1" applyBorder="1">
      <alignment vertical="center"/>
    </xf>
    <xf numFmtId="3" fontId="0" fillId="83" borderId="3" xfId="0" applyNumberFormat="1" applyFill="1" applyBorder="1" applyAlignment="1">
      <alignment horizontal="center" vertical="center"/>
    </xf>
    <xf numFmtId="41" fontId="0" fillId="84" borderId="3" xfId="1" applyFont="1" applyFill="1" applyBorder="1">
      <alignment vertical="center"/>
    </xf>
    <xf numFmtId="3" fontId="0" fillId="84" borderId="3" xfId="0" applyNumberFormat="1" applyFill="1" applyBorder="1" applyAlignment="1">
      <alignment horizontal="center" vertical="center"/>
    </xf>
    <xf numFmtId="41" fontId="0" fillId="85" borderId="3" xfId="1" applyFont="1" applyFill="1" applyBorder="1">
      <alignment vertical="center"/>
    </xf>
    <xf numFmtId="3" fontId="0" fillId="85" borderId="3" xfId="0" applyNumberFormat="1" applyFill="1" applyBorder="1" applyAlignment="1">
      <alignment horizontal="center" vertical="center"/>
    </xf>
    <xf numFmtId="41" fontId="0" fillId="86" borderId="3" xfId="1" applyFont="1" applyFill="1" applyBorder="1">
      <alignment vertical="center"/>
    </xf>
    <xf numFmtId="3" fontId="0" fillId="86" borderId="3" xfId="0" applyNumberFormat="1" applyFill="1" applyBorder="1" applyAlignment="1">
      <alignment horizontal="center" vertical="center"/>
    </xf>
    <xf numFmtId="41" fontId="0" fillId="87" borderId="3" xfId="1" applyFont="1" applyFill="1" applyBorder="1">
      <alignment vertical="center"/>
    </xf>
    <xf numFmtId="3" fontId="0" fillId="87" borderId="3" xfId="0" applyNumberFormat="1" applyFill="1" applyBorder="1" applyAlignment="1">
      <alignment horizontal="center" vertical="center"/>
    </xf>
    <xf numFmtId="41" fontId="0" fillId="88" borderId="3" xfId="1" applyFont="1" applyFill="1" applyBorder="1">
      <alignment vertical="center"/>
    </xf>
    <xf numFmtId="3" fontId="0" fillId="88" borderId="3" xfId="0" applyNumberFormat="1" applyFill="1" applyBorder="1" applyAlignment="1">
      <alignment horizontal="center" vertical="center"/>
    </xf>
    <xf numFmtId="41" fontId="0" fillId="89" borderId="3" xfId="1" applyFont="1" applyFill="1" applyBorder="1">
      <alignment vertical="center"/>
    </xf>
    <xf numFmtId="3" fontId="0" fillId="89" borderId="3" xfId="0" applyNumberFormat="1" applyFill="1" applyBorder="1" applyAlignment="1">
      <alignment horizontal="center" vertical="center"/>
    </xf>
    <xf numFmtId="41" fontId="0" fillId="110" borderId="3" xfId="1" applyFont="1" applyFill="1" applyBorder="1">
      <alignment vertical="center"/>
    </xf>
    <xf numFmtId="3" fontId="0" fillId="110" borderId="3" xfId="0" applyNumberFormat="1" applyFill="1" applyBorder="1" applyAlignment="1">
      <alignment horizontal="center" vertical="center"/>
    </xf>
    <xf numFmtId="41" fontId="0" fillId="91" borderId="3" xfId="1" applyFont="1" applyFill="1" applyBorder="1">
      <alignment vertical="center"/>
    </xf>
    <xf numFmtId="3" fontId="0" fillId="91" borderId="3" xfId="0" applyNumberFormat="1" applyFill="1" applyBorder="1" applyAlignment="1">
      <alignment horizontal="center" vertical="center"/>
    </xf>
    <xf numFmtId="41" fontId="0" fillId="92" borderId="3" xfId="1" applyFont="1" applyFill="1" applyBorder="1">
      <alignment vertical="center"/>
    </xf>
    <xf numFmtId="3" fontId="0" fillId="92" borderId="3" xfId="0" applyNumberFormat="1" applyFill="1" applyBorder="1" applyAlignment="1">
      <alignment horizontal="center" vertical="center"/>
    </xf>
    <xf numFmtId="41" fontId="0" fillId="93" borderId="3" xfId="1" applyFont="1" applyFill="1" applyBorder="1">
      <alignment vertical="center"/>
    </xf>
    <xf numFmtId="3" fontId="0" fillId="93" borderId="3" xfId="0" applyNumberFormat="1" applyFill="1" applyBorder="1" applyAlignment="1">
      <alignment horizontal="center" vertical="center"/>
    </xf>
    <xf numFmtId="41" fontId="0" fillId="94" borderId="3" xfId="1" applyFont="1" applyFill="1" applyBorder="1">
      <alignment vertical="center"/>
    </xf>
    <xf numFmtId="3" fontId="0" fillId="94" borderId="3" xfId="0" applyNumberFormat="1" applyFill="1" applyBorder="1" applyAlignment="1">
      <alignment horizontal="center" vertical="center"/>
    </xf>
    <xf numFmtId="41" fontId="0" fillId="95" borderId="3" xfId="1" applyFont="1" applyFill="1" applyBorder="1">
      <alignment vertical="center"/>
    </xf>
    <xf numFmtId="3" fontId="0" fillId="95" borderId="3" xfId="0" applyNumberFormat="1" applyFill="1" applyBorder="1" applyAlignment="1">
      <alignment horizontal="center" vertical="center"/>
    </xf>
    <xf numFmtId="41" fontId="0" fillId="96" borderId="3" xfId="1" applyFont="1" applyFill="1" applyBorder="1">
      <alignment vertical="center"/>
    </xf>
    <xf numFmtId="3" fontId="0" fillId="96" borderId="3" xfId="0" applyNumberFormat="1" applyFill="1" applyBorder="1" applyAlignment="1">
      <alignment horizontal="center" vertical="center"/>
    </xf>
    <xf numFmtId="41" fontId="0" fillId="97" borderId="3" xfId="1" applyFont="1" applyFill="1" applyBorder="1">
      <alignment vertical="center"/>
    </xf>
    <xf numFmtId="3" fontId="0" fillId="97" borderId="3" xfId="0" applyNumberFormat="1" applyFill="1" applyBorder="1" applyAlignment="1">
      <alignment horizontal="center" vertical="center"/>
    </xf>
    <xf numFmtId="41" fontId="0" fillId="99" borderId="3" xfId="1" applyFont="1" applyFill="1" applyBorder="1">
      <alignment vertical="center"/>
    </xf>
    <xf numFmtId="3" fontId="0" fillId="99" borderId="3" xfId="0" applyNumberFormat="1" applyFill="1" applyBorder="1" applyAlignment="1">
      <alignment horizontal="center" vertical="center"/>
    </xf>
    <xf numFmtId="41" fontId="7" fillId="92" borderId="3" xfId="1" applyFont="1" applyFill="1" applyBorder="1">
      <alignment vertical="center"/>
    </xf>
    <xf numFmtId="3" fontId="7" fillId="92" borderId="3" xfId="0" applyNumberFormat="1" applyFont="1" applyFill="1" applyBorder="1" applyAlignment="1">
      <alignment horizontal="center" vertical="center"/>
    </xf>
    <xf numFmtId="41" fontId="0" fillId="101" borderId="3" xfId="1" applyFont="1" applyFill="1" applyBorder="1">
      <alignment vertical="center"/>
    </xf>
    <xf numFmtId="3" fontId="0" fillId="101" borderId="3" xfId="0" applyNumberFormat="1" applyFill="1" applyBorder="1" applyAlignment="1">
      <alignment horizontal="center" vertical="center"/>
    </xf>
    <xf numFmtId="41" fontId="0" fillId="102" borderId="3" xfId="1" applyFont="1" applyFill="1" applyBorder="1">
      <alignment vertical="center"/>
    </xf>
    <xf numFmtId="3" fontId="0" fillId="102" borderId="3" xfId="0" applyNumberFormat="1" applyFill="1" applyBorder="1" applyAlignment="1">
      <alignment horizontal="center" vertical="center"/>
    </xf>
    <xf numFmtId="41" fontId="0" fillId="111" borderId="3" xfId="1" applyFont="1" applyFill="1" applyBorder="1">
      <alignment vertical="center"/>
    </xf>
    <xf numFmtId="3" fontId="0" fillId="111" borderId="3" xfId="0" applyNumberFormat="1" applyFill="1" applyBorder="1" applyAlignment="1">
      <alignment horizontal="center" vertical="center"/>
    </xf>
    <xf numFmtId="41" fontId="0" fillId="112" borderId="3" xfId="1" applyFont="1" applyFill="1" applyBorder="1">
      <alignment vertical="center"/>
    </xf>
    <xf numFmtId="3" fontId="0" fillId="112" borderId="3" xfId="0" applyNumberFormat="1" applyFill="1" applyBorder="1" applyAlignment="1">
      <alignment horizontal="center" vertical="center"/>
    </xf>
    <xf numFmtId="41" fontId="0" fillId="113" borderId="3" xfId="1" applyFont="1" applyFill="1" applyBorder="1">
      <alignment vertical="center"/>
    </xf>
    <xf numFmtId="3" fontId="0" fillId="113" borderId="3" xfId="0" applyNumberFormat="1" applyFill="1" applyBorder="1" applyAlignment="1">
      <alignment horizontal="center" vertical="center"/>
    </xf>
    <xf numFmtId="41" fontId="0" fillId="106" borderId="3" xfId="1" applyFont="1" applyFill="1" applyBorder="1">
      <alignment vertical="center"/>
    </xf>
    <xf numFmtId="3" fontId="0" fillId="106" borderId="3" xfId="0" applyNumberFormat="1" applyFill="1" applyBorder="1" applyAlignment="1">
      <alignment horizontal="center" vertical="center"/>
    </xf>
    <xf numFmtId="41" fontId="0" fillId="107" borderId="3" xfId="1" applyFont="1" applyFill="1" applyBorder="1">
      <alignment vertical="center"/>
    </xf>
    <xf numFmtId="3" fontId="0" fillId="107" borderId="3" xfId="0" applyNumberFormat="1" applyFill="1" applyBorder="1" applyAlignment="1">
      <alignment horizontal="center" vertical="center"/>
    </xf>
    <xf numFmtId="41" fontId="0" fillId="108" borderId="3" xfId="1" applyFont="1" applyFill="1" applyBorder="1">
      <alignment vertical="center"/>
    </xf>
    <xf numFmtId="3" fontId="0" fillId="108" borderId="3" xfId="0" applyNumberFormat="1" applyFill="1" applyBorder="1" applyAlignment="1">
      <alignment horizontal="center" vertical="center"/>
    </xf>
    <xf numFmtId="41" fontId="0" fillId="34" borderId="3" xfId="1" applyFont="1" applyFill="1" applyBorder="1">
      <alignment vertical="center"/>
    </xf>
    <xf numFmtId="3" fontId="0" fillId="34" borderId="3" xfId="0" applyNumberFormat="1" applyFill="1" applyBorder="1" applyAlignment="1">
      <alignment horizontal="center" vertical="center"/>
    </xf>
    <xf numFmtId="3" fontId="1" fillId="40" borderId="3" xfId="0" applyNumberFormat="1" applyFont="1" applyFill="1" applyBorder="1" applyAlignment="1">
      <alignment horizontal="center" vertical="center"/>
    </xf>
    <xf numFmtId="49" fontId="0" fillId="66" borderId="5" xfId="0" applyNumberFormat="1" applyFill="1" applyBorder="1">
      <alignment vertical="center"/>
    </xf>
    <xf numFmtId="49" fontId="0" fillId="66" borderId="6" xfId="0" applyNumberFormat="1" applyFill="1" applyBorder="1">
      <alignment vertical="center"/>
    </xf>
    <xf numFmtId="49" fontId="0" fillId="98" borderId="5" xfId="0" applyNumberFormat="1" applyFill="1" applyBorder="1">
      <alignment vertical="center"/>
    </xf>
    <xf numFmtId="49" fontId="0" fillId="98" borderId="6" xfId="0" applyNumberFormat="1" applyFill="1" applyBorder="1">
      <alignment vertical="center"/>
    </xf>
    <xf numFmtId="49" fontId="0" fillId="100" borderId="5" xfId="0" applyNumberFormat="1" applyFill="1" applyBorder="1">
      <alignment vertical="center"/>
    </xf>
    <xf numFmtId="49" fontId="0" fillId="100" borderId="6" xfId="0" applyNumberFormat="1" applyFill="1" applyBorder="1">
      <alignment vertical="center"/>
    </xf>
    <xf numFmtId="49" fontId="0" fillId="67" borderId="5" xfId="0" applyNumberFormat="1" applyFill="1" applyBorder="1">
      <alignment vertical="center"/>
    </xf>
    <xf numFmtId="49" fontId="0" fillId="67" borderId="6" xfId="0" applyNumberFormat="1" applyFill="1" applyBorder="1">
      <alignment vertical="center"/>
    </xf>
    <xf numFmtId="49" fontId="0" fillId="68" borderId="5" xfId="0" applyNumberFormat="1" applyFill="1" applyBorder="1">
      <alignment vertical="center"/>
    </xf>
    <xf numFmtId="49" fontId="0" fillId="68" borderId="6" xfId="0" applyNumberFormat="1" applyFill="1" applyBorder="1">
      <alignment vertical="center"/>
    </xf>
    <xf numFmtId="49" fontId="0" fillId="69" borderId="5" xfId="0" applyNumberFormat="1" applyFill="1" applyBorder="1">
      <alignment vertical="center"/>
    </xf>
    <xf numFmtId="49" fontId="0" fillId="69" borderId="6" xfId="0" applyNumberFormat="1" applyFill="1" applyBorder="1">
      <alignment vertical="center"/>
    </xf>
    <xf numFmtId="49" fontId="0" fillId="70" borderId="5" xfId="0" applyNumberFormat="1" applyFill="1" applyBorder="1">
      <alignment vertical="center"/>
    </xf>
    <xf numFmtId="49" fontId="0" fillId="70" borderId="6" xfId="0" applyNumberFormat="1" applyFill="1" applyBorder="1">
      <alignment vertical="center"/>
    </xf>
    <xf numFmtId="49" fontId="0" fillId="71" borderId="5" xfId="0" applyNumberFormat="1" applyFill="1" applyBorder="1">
      <alignment vertical="center"/>
    </xf>
    <xf numFmtId="49" fontId="0" fillId="71" borderId="6" xfId="0" applyNumberFormat="1" applyFill="1" applyBorder="1">
      <alignment vertical="center"/>
    </xf>
    <xf numFmtId="49" fontId="0" fillId="72" borderId="5" xfId="0" applyNumberFormat="1" applyFill="1" applyBorder="1">
      <alignment vertical="center"/>
    </xf>
    <xf numFmtId="49" fontId="0" fillId="72" borderId="6" xfId="0" applyNumberFormat="1" applyFill="1" applyBorder="1">
      <alignment vertical="center"/>
    </xf>
    <xf numFmtId="49" fontId="0" fillId="73" borderId="5" xfId="0" applyNumberFormat="1" applyFill="1" applyBorder="1">
      <alignment vertical="center"/>
    </xf>
    <xf numFmtId="49" fontId="0" fillId="73" borderId="6" xfId="0" applyNumberFormat="1" applyFill="1" applyBorder="1">
      <alignment vertical="center"/>
    </xf>
    <xf numFmtId="49" fontId="0" fillId="74" borderId="5" xfId="0" applyNumberFormat="1" applyFill="1" applyBorder="1">
      <alignment vertical="center"/>
    </xf>
    <xf numFmtId="49" fontId="0" fillId="74" borderId="6" xfId="0" applyNumberFormat="1" applyFill="1" applyBorder="1">
      <alignment vertical="center"/>
    </xf>
    <xf numFmtId="49" fontId="0" fillId="75" borderId="5" xfId="0" applyNumberFormat="1" applyFill="1" applyBorder="1">
      <alignment vertical="center"/>
    </xf>
    <xf numFmtId="49" fontId="0" fillId="109" borderId="6" xfId="0" applyNumberFormat="1" applyFill="1" applyBorder="1">
      <alignment vertical="center"/>
    </xf>
    <xf numFmtId="49" fontId="0" fillId="76" borderId="5" xfId="0" applyNumberFormat="1" applyFill="1" applyBorder="1">
      <alignment vertical="center"/>
    </xf>
    <xf numFmtId="49" fontId="0" fillId="76" borderId="6" xfId="0" applyNumberFormat="1" applyFill="1" applyBorder="1">
      <alignment vertical="center"/>
    </xf>
    <xf numFmtId="49" fontId="0" fillId="77" borderId="5" xfId="0" applyNumberFormat="1" applyFill="1" applyBorder="1">
      <alignment vertical="center"/>
    </xf>
    <xf numFmtId="49" fontId="0" fillId="77" borderId="6" xfId="0" applyNumberFormat="1" applyFill="1" applyBorder="1">
      <alignment vertical="center"/>
    </xf>
    <xf numFmtId="49" fontId="0" fillId="78" borderId="5" xfId="0" applyNumberFormat="1" applyFill="1" applyBorder="1">
      <alignment vertical="center"/>
    </xf>
    <xf numFmtId="49" fontId="0" fillId="78" borderId="6" xfId="0" applyNumberFormat="1" applyFill="1" applyBorder="1">
      <alignment vertical="center"/>
    </xf>
    <xf numFmtId="49" fontId="0" fillId="79" borderId="5" xfId="0" applyNumberFormat="1" applyFill="1" applyBorder="1">
      <alignment vertical="center"/>
    </xf>
    <xf numFmtId="49" fontId="0" fillId="79" borderId="6" xfId="0" applyNumberFormat="1" applyFill="1" applyBorder="1">
      <alignment vertical="center"/>
    </xf>
    <xf numFmtId="49" fontId="0" fillId="80" borderId="5" xfId="0" applyNumberFormat="1" applyFill="1" applyBorder="1">
      <alignment vertical="center"/>
    </xf>
    <xf numFmtId="49" fontId="0" fillId="80" borderId="6" xfId="0" applyNumberFormat="1" applyFill="1" applyBorder="1">
      <alignment vertical="center"/>
    </xf>
    <xf numFmtId="49" fontId="0" fillId="81" borderId="5" xfId="0" applyNumberFormat="1" applyFill="1" applyBorder="1">
      <alignment vertical="center"/>
    </xf>
    <xf numFmtId="49" fontId="0" fillId="81" borderId="6" xfId="0" applyNumberFormat="1" applyFill="1" applyBorder="1">
      <alignment vertical="center"/>
    </xf>
    <xf numFmtId="49" fontId="0" fillId="82" borderId="5" xfId="0" applyNumberFormat="1" applyFill="1" applyBorder="1">
      <alignment vertical="center"/>
    </xf>
    <xf numFmtId="49" fontId="0" fillId="82" borderId="6" xfId="0" applyNumberFormat="1" applyFill="1" applyBorder="1">
      <alignment vertical="center"/>
    </xf>
    <xf numFmtId="49" fontId="0" fillId="83" borderId="5" xfId="0" applyNumberFormat="1" applyFill="1" applyBorder="1">
      <alignment vertical="center"/>
    </xf>
    <xf numFmtId="49" fontId="0" fillId="83" borderId="6" xfId="0" applyNumberFormat="1" applyFill="1" applyBorder="1">
      <alignment vertical="center"/>
    </xf>
    <xf numFmtId="49" fontId="0" fillId="84" borderId="5" xfId="0" applyNumberFormat="1" applyFill="1" applyBorder="1">
      <alignment vertical="center"/>
    </xf>
    <xf numFmtId="49" fontId="0" fillId="84" borderId="6" xfId="0" applyNumberFormat="1" applyFill="1" applyBorder="1">
      <alignment vertical="center"/>
    </xf>
    <xf numFmtId="49" fontId="0" fillId="85" borderId="5" xfId="0" applyNumberFormat="1" applyFill="1" applyBorder="1">
      <alignment vertical="center"/>
    </xf>
    <xf numFmtId="49" fontId="0" fillId="85" borderId="6" xfId="0" applyNumberFormat="1" applyFill="1" applyBorder="1">
      <alignment vertical="center"/>
    </xf>
    <xf numFmtId="49" fontId="0" fillId="86" borderId="5" xfId="0" applyNumberFormat="1" applyFill="1" applyBorder="1">
      <alignment vertical="center"/>
    </xf>
    <xf numFmtId="49" fontId="0" fillId="86" borderId="6" xfId="0" applyNumberFormat="1" applyFill="1" applyBorder="1">
      <alignment vertical="center"/>
    </xf>
    <xf numFmtId="49" fontId="0" fillId="87" borderId="5" xfId="0" applyNumberFormat="1" applyFill="1" applyBorder="1">
      <alignment vertical="center"/>
    </xf>
    <xf numFmtId="49" fontId="0" fillId="87" borderId="6" xfId="0" applyNumberFormat="1" applyFill="1" applyBorder="1">
      <alignment vertical="center"/>
    </xf>
    <xf numFmtId="49" fontId="0" fillId="88" borderId="5" xfId="0" applyNumberFormat="1" applyFill="1" applyBorder="1">
      <alignment vertical="center"/>
    </xf>
    <xf numFmtId="49" fontId="0" fillId="88" borderId="6" xfId="0" applyNumberFormat="1" applyFill="1" applyBorder="1">
      <alignment vertical="center"/>
    </xf>
    <xf numFmtId="49" fontId="0" fillId="89" borderId="5" xfId="0" applyNumberFormat="1" applyFill="1" applyBorder="1">
      <alignment vertical="center"/>
    </xf>
    <xf numFmtId="49" fontId="0" fillId="89" borderId="6" xfId="0" applyNumberFormat="1" applyFill="1" applyBorder="1">
      <alignment vertical="center"/>
    </xf>
    <xf numFmtId="49" fontId="0" fillId="90" borderId="5" xfId="0" applyNumberFormat="1" applyFill="1" applyBorder="1">
      <alignment vertical="center"/>
    </xf>
    <xf numFmtId="49" fontId="0" fillId="110" borderId="6" xfId="0" applyNumberFormat="1" applyFill="1" applyBorder="1">
      <alignment vertical="center"/>
    </xf>
    <xf numFmtId="49" fontId="0" fillId="91" borderId="5" xfId="0" applyNumberFormat="1" applyFill="1" applyBorder="1">
      <alignment vertical="center"/>
    </xf>
    <xf numFmtId="49" fontId="0" fillId="91" borderId="6" xfId="0" applyNumberFormat="1" applyFill="1" applyBorder="1">
      <alignment vertical="center"/>
    </xf>
    <xf numFmtId="49" fontId="0" fillId="92" borderId="5" xfId="0" applyNumberFormat="1" applyFill="1" applyBorder="1">
      <alignment vertical="center"/>
    </xf>
    <xf numFmtId="49" fontId="0" fillId="92" borderId="6" xfId="0" applyNumberFormat="1" applyFill="1" applyBorder="1">
      <alignment vertical="center"/>
    </xf>
    <xf numFmtId="49" fontId="0" fillId="93" borderId="5" xfId="0" applyNumberFormat="1" applyFill="1" applyBorder="1">
      <alignment vertical="center"/>
    </xf>
    <xf numFmtId="49" fontId="0" fillId="93" borderId="6" xfId="0" applyNumberFormat="1" applyFill="1" applyBorder="1">
      <alignment vertical="center"/>
    </xf>
    <xf numFmtId="49" fontId="0" fillId="94" borderId="5" xfId="0" applyNumberFormat="1" applyFill="1" applyBorder="1">
      <alignment vertical="center"/>
    </xf>
    <xf numFmtId="49" fontId="0" fillId="94" borderId="6" xfId="0" applyNumberFormat="1" applyFill="1" applyBorder="1">
      <alignment vertical="center"/>
    </xf>
    <xf numFmtId="49" fontId="7" fillId="91" borderId="5" xfId="0" applyNumberFormat="1" applyFont="1" applyFill="1" applyBorder="1">
      <alignment vertical="center"/>
    </xf>
    <xf numFmtId="49" fontId="7" fillId="91" borderId="6" xfId="0" applyNumberFormat="1" applyFont="1" applyFill="1" applyBorder="1">
      <alignment vertical="center"/>
    </xf>
    <xf numFmtId="49" fontId="0" fillId="95" borderId="5" xfId="0" applyNumberFormat="1" applyFill="1" applyBorder="1">
      <alignment vertical="center"/>
    </xf>
    <xf numFmtId="49" fontId="0" fillId="95" borderId="6" xfId="0" applyNumberFormat="1" applyFill="1" applyBorder="1">
      <alignment vertical="center"/>
    </xf>
    <xf numFmtId="49" fontId="0" fillId="52" borderId="5" xfId="0" applyNumberFormat="1" applyFill="1" applyBorder="1">
      <alignment vertical="center"/>
    </xf>
    <xf numFmtId="49" fontId="0" fillId="52" borderId="6" xfId="0" applyNumberFormat="1" applyFill="1" applyBorder="1">
      <alignment vertical="center"/>
    </xf>
    <xf numFmtId="49" fontId="0" fillId="96" borderId="5" xfId="0" applyNumberFormat="1" applyFill="1" applyBorder="1">
      <alignment vertical="center"/>
    </xf>
    <xf numFmtId="49" fontId="0" fillId="96" borderId="6" xfId="0" applyNumberFormat="1" applyFill="1" applyBorder="1">
      <alignment vertical="center"/>
    </xf>
    <xf numFmtId="49" fontId="0" fillId="97" borderId="5" xfId="0" applyNumberFormat="1" applyFill="1" applyBorder="1">
      <alignment vertical="center"/>
    </xf>
    <xf numFmtId="49" fontId="0" fillId="97" borderId="6" xfId="0" applyNumberFormat="1" applyFill="1" applyBorder="1">
      <alignment vertical="center"/>
    </xf>
    <xf numFmtId="49" fontId="0" fillId="54" borderId="5" xfId="0" applyNumberFormat="1" applyFill="1" applyBorder="1">
      <alignment vertical="center"/>
    </xf>
    <xf numFmtId="49" fontId="0" fillId="62" borderId="6" xfId="0" applyNumberFormat="1" applyFill="1" applyBorder="1">
      <alignment vertical="center"/>
    </xf>
    <xf numFmtId="49" fontId="0" fillId="99" borderId="5" xfId="0" applyNumberFormat="1" applyFill="1" applyBorder="1">
      <alignment vertical="center"/>
    </xf>
    <xf numFmtId="49" fontId="0" fillId="99" borderId="6" xfId="0" applyNumberFormat="1" applyFill="1" applyBorder="1">
      <alignment vertical="center"/>
    </xf>
    <xf numFmtId="49" fontId="7" fillId="92" borderId="6" xfId="0" applyNumberFormat="1" applyFont="1" applyFill="1" applyBorder="1">
      <alignment vertical="center"/>
    </xf>
    <xf numFmtId="49" fontId="0" fillId="101" borderId="5" xfId="0" applyNumberFormat="1" applyFill="1" applyBorder="1">
      <alignment vertical="center"/>
    </xf>
    <xf numFmtId="49" fontId="0" fillId="101" borderId="6" xfId="0" applyNumberFormat="1" applyFill="1" applyBorder="1">
      <alignment vertical="center"/>
    </xf>
    <xf numFmtId="49" fontId="0" fillId="102" borderId="5" xfId="0" applyNumberFormat="1" applyFill="1" applyBorder="1">
      <alignment vertical="center"/>
    </xf>
    <xf numFmtId="49" fontId="0" fillId="102" borderId="6" xfId="0" applyNumberFormat="1" applyFill="1" applyBorder="1">
      <alignment vertical="center"/>
    </xf>
    <xf numFmtId="49" fontId="0" fillId="103" borderId="5" xfId="0" applyNumberFormat="1" applyFill="1" applyBorder="1">
      <alignment vertical="center"/>
    </xf>
    <xf numFmtId="49" fontId="0" fillId="111" borderId="6" xfId="0" applyNumberFormat="1" applyFill="1" applyBorder="1">
      <alignment vertical="center"/>
    </xf>
    <xf numFmtId="49" fontId="0" fillId="104" borderId="5" xfId="0" applyNumberFormat="1" applyFill="1" applyBorder="1">
      <alignment vertical="center"/>
    </xf>
    <xf numFmtId="49" fontId="0" fillId="112" borderId="6" xfId="0" applyNumberFormat="1" applyFill="1" applyBorder="1">
      <alignment vertical="center"/>
    </xf>
    <xf numFmtId="49" fontId="0" fillId="56" borderId="5" xfId="0" applyNumberFormat="1" applyFill="1" applyBorder="1">
      <alignment vertical="center"/>
    </xf>
    <xf numFmtId="49" fontId="0" fillId="63" borderId="6" xfId="0" applyNumberFormat="1" applyFill="1" applyBorder="1">
      <alignment vertical="center"/>
    </xf>
    <xf numFmtId="49" fontId="0" fillId="29" borderId="5" xfId="0" applyNumberFormat="1" applyFill="1" applyBorder="1">
      <alignment vertical="center"/>
    </xf>
    <xf numFmtId="49" fontId="0" fillId="105" borderId="5" xfId="0" applyNumberFormat="1" applyFill="1" applyBorder="1">
      <alignment vertical="center"/>
    </xf>
    <xf numFmtId="49" fontId="0" fillId="113" borderId="6" xfId="0" applyNumberFormat="1" applyFill="1" applyBorder="1">
      <alignment vertical="center"/>
    </xf>
    <xf numFmtId="49" fontId="0" fillId="106" borderId="5" xfId="0" applyNumberFormat="1" applyFill="1" applyBorder="1">
      <alignment vertical="center"/>
    </xf>
    <xf numFmtId="49" fontId="0" fillId="106" borderId="6" xfId="0" applyNumberFormat="1" applyFill="1" applyBorder="1">
      <alignment vertical="center"/>
    </xf>
    <xf numFmtId="49" fontId="0" fillId="107" borderId="5" xfId="0" applyNumberFormat="1" applyFill="1" applyBorder="1">
      <alignment vertical="center"/>
    </xf>
    <xf numFmtId="49" fontId="0" fillId="107" borderId="6" xfId="0" applyNumberFormat="1" applyFill="1" applyBorder="1">
      <alignment vertical="center"/>
    </xf>
    <xf numFmtId="49" fontId="0" fillId="108" borderId="5" xfId="0" applyNumberFormat="1" applyFill="1" applyBorder="1">
      <alignment vertical="center"/>
    </xf>
    <xf numFmtId="49" fontId="0" fillId="108" borderId="6" xfId="0" applyNumberFormat="1" applyFill="1" applyBorder="1">
      <alignment vertical="center"/>
    </xf>
    <xf numFmtId="49" fontId="0" fillId="34" borderId="5" xfId="0" applyNumberFormat="1" applyFill="1" applyBorder="1">
      <alignment vertical="center"/>
    </xf>
    <xf numFmtId="49" fontId="0" fillId="34" borderId="6" xfId="0" applyNumberFormat="1" applyFill="1" applyBorder="1">
      <alignment vertical="center"/>
    </xf>
    <xf numFmtId="41" fontId="0" fillId="66" borderId="5" xfId="1" applyFont="1" applyFill="1" applyBorder="1">
      <alignment vertical="center"/>
    </xf>
    <xf numFmtId="41" fontId="0" fillId="66" borderId="6" xfId="1" applyFont="1" applyFill="1" applyBorder="1">
      <alignment vertical="center"/>
    </xf>
    <xf numFmtId="38" fontId="0" fillId="66" borderId="5" xfId="0" applyNumberFormat="1" applyFill="1" applyBorder="1">
      <alignment vertical="center"/>
    </xf>
    <xf numFmtId="41" fontId="0" fillId="98" borderId="5" xfId="1" applyFont="1" applyFill="1" applyBorder="1">
      <alignment vertical="center"/>
    </xf>
    <xf numFmtId="41" fontId="0" fillId="98" borderId="6" xfId="1" applyFont="1" applyFill="1" applyBorder="1">
      <alignment vertical="center"/>
    </xf>
    <xf numFmtId="41" fontId="0" fillId="100" borderId="5" xfId="1" applyFont="1" applyFill="1" applyBorder="1">
      <alignment vertical="center"/>
    </xf>
    <xf numFmtId="41" fontId="0" fillId="100" borderId="6" xfId="1" applyFont="1" applyFill="1" applyBorder="1">
      <alignment vertical="center"/>
    </xf>
    <xf numFmtId="41" fontId="0" fillId="67" borderId="5" xfId="1" applyFont="1" applyFill="1" applyBorder="1">
      <alignment vertical="center"/>
    </xf>
    <xf numFmtId="41" fontId="0" fillId="67" borderId="6" xfId="1" applyFont="1" applyFill="1" applyBorder="1">
      <alignment vertical="center"/>
    </xf>
    <xf numFmtId="41" fontId="0" fillId="9" borderId="5" xfId="1" applyFont="1" applyFill="1" applyBorder="1">
      <alignment vertical="center"/>
    </xf>
    <xf numFmtId="41" fontId="0" fillId="9" borderId="6" xfId="1" applyFont="1" applyFill="1" applyBorder="1">
      <alignment vertical="center"/>
    </xf>
    <xf numFmtId="41" fontId="0" fillId="68" borderId="5" xfId="1" applyFont="1" applyFill="1" applyBorder="1">
      <alignment vertical="center"/>
    </xf>
    <xf numFmtId="41" fontId="0" fillId="68" borderId="6" xfId="1" applyFont="1" applyFill="1" applyBorder="1">
      <alignment vertical="center"/>
    </xf>
    <xf numFmtId="41" fontId="0" fillId="69" borderId="5" xfId="1" applyFont="1" applyFill="1" applyBorder="1">
      <alignment vertical="center"/>
    </xf>
    <xf numFmtId="41" fontId="0" fillId="69" borderId="6" xfId="1" applyFont="1" applyFill="1" applyBorder="1">
      <alignment vertical="center"/>
    </xf>
    <xf numFmtId="38" fontId="0" fillId="69" borderId="5" xfId="0" applyNumberFormat="1" applyFill="1" applyBorder="1">
      <alignment vertical="center"/>
    </xf>
    <xf numFmtId="41" fontId="0" fillId="70" borderId="5" xfId="1" applyFont="1" applyFill="1" applyBorder="1">
      <alignment vertical="center"/>
    </xf>
    <xf numFmtId="41" fontId="0" fillId="70" borderId="6" xfId="1" applyFont="1" applyFill="1" applyBorder="1">
      <alignment vertical="center"/>
    </xf>
    <xf numFmtId="41" fontId="0" fillId="12" borderId="5" xfId="1" applyFont="1" applyFill="1" applyBorder="1">
      <alignment vertical="center"/>
    </xf>
    <xf numFmtId="41" fontId="0" fillId="12" borderId="6" xfId="1" applyFont="1" applyFill="1" applyBorder="1">
      <alignment vertical="center"/>
    </xf>
    <xf numFmtId="41" fontId="0" fillId="71" borderId="5" xfId="1" applyFont="1" applyFill="1" applyBorder="1">
      <alignment vertical="center"/>
    </xf>
    <xf numFmtId="41" fontId="0" fillId="71" borderId="6" xfId="1" applyFont="1" applyFill="1" applyBorder="1">
      <alignment vertical="center"/>
    </xf>
    <xf numFmtId="41" fontId="0" fillId="72" borderId="5" xfId="1" applyFont="1" applyFill="1" applyBorder="1">
      <alignment vertical="center"/>
    </xf>
    <xf numFmtId="41" fontId="0" fillId="72" borderId="6" xfId="1" applyFont="1" applyFill="1" applyBorder="1">
      <alignment vertical="center"/>
    </xf>
    <xf numFmtId="41" fontId="0" fillId="73" borderId="5" xfId="1" applyFont="1" applyFill="1" applyBorder="1">
      <alignment vertical="center"/>
    </xf>
    <xf numFmtId="41" fontId="0" fillId="73" borderId="6" xfId="1" applyFont="1" applyFill="1" applyBorder="1">
      <alignment vertical="center"/>
    </xf>
    <xf numFmtId="38" fontId="0" fillId="73" borderId="5" xfId="0" applyNumberFormat="1" applyFill="1" applyBorder="1">
      <alignment vertical="center"/>
    </xf>
    <xf numFmtId="41" fontId="0" fillId="74" borderId="5" xfId="1" applyFont="1" applyFill="1" applyBorder="1">
      <alignment vertical="center"/>
    </xf>
    <xf numFmtId="41" fontId="0" fillId="74" borderId="6" xfId="1" applyFont="1" applyFill="1" applyBorder="1">
      <alignment vertical="center"/>
    </xf>
    <xf numFmtId="41" fontId="0" fillId="13" borderId="5" xfId="1" applyFont="1" applyFill="1" applyBorder="1">
      <alignment vertical="center"/>
    </xf>
    <xf numFmtId="41" fontId="0" fillId="13" borderId="6" xfId="1" applyFont="1" applyFill="1" applyBorder="1">
      <alignment vertical="center"/>
    </xf>
    <xf numFmtId="41" fontId="0" fillId="109" borderId="5" xfId="1" applyFont="1" applyFill="1" applyBorder="1">
      <alignment vertical="center"/>
    </xf>
    <xf numFmtId="41" fontId="0" fillId="109" borderId="6" xfId="1" applyFont="1" applyFill="1" applyBorder="1">
      <alignment vertical="center"/>
    </xf>
    <xf numFmtId="41" fontId="0" fillId="76" borderId="5" xfId="1" applyFont="1" applyFill="1" applyBorder="1">
      <alignment vertical="center"/>
    </xf>
    <xf numFmtId="41" fontId="0" fillId="76" borderId="6" xfId="1" applyFont="1" applyFill="1" applyBorder="1">
      <alignment vertical="center"/>
    </xf>
    <xf numFmtId="41" fontId="0" fillId="77" borderId="5" xfId="1" applyFont="1" applyFill="1" applyBorder="1">
      <alignment vertical="center"/>
    </xf>
    <xf numFmtId="41" fontId="0" fillId="77" borderId="6" xfId="1" applyFont="1" applyFill="1" applyBorder="1">
      <alignment vertical="center"/>
    </xf>
    <xf numFmtId="41" fontId="0" fillId="78" borderId="5" xfId="1" applyFont="1" applyFill="1" applyBorder="1">
      <alignment vertical="center"/>
    </xf>
    <xf numFmtId="41" fontId="0" fillId="78" borderId="6" xfId="1" applyFont="1" applyFill="1" applyBorder="1">
      <alignment vertical="center"/>
    </xf>
    <xf numFmtId="41" fontId="0" fillId="79" borderId="5" xfId="1" applyFont="1" applyFill="1" applyBorder="1">
      <alignment vertical="center"/>
    </xf>
    <xf numFmtId="41" fontId="0" fillId="79" borderId="6" xfId="1" applyFont="1" applyFill="1" applyBorder="1">
      <alignment vertical="center"/>
    </xf>
    <xf numFmtId="41" fontId="0" fillId="80" borderId="5" xfId="1" applyFont="1" applyFill="1" applyBorder="1">
      <alignment vertical="center"/>
    </xf>
    <xf numFmtId="41" fontId="0" fillId="80" borderId="6" xfId="1" applyFont="1" applyFill="1" applyBorder="1">
      <alignment vertical="center"/>
    </xf>
    <xf numFmtId="41" fontId="0" fillId="81" borderId="5" xfId="1" applyFont="1" applyFill="1" applyBorder="1">
      <alignment vertical="center"/>
    </xf>
    <xf numFmtId="41" fontId="0" fillId="81" borderId="6" xfId="1" applyFont="1" applyFill="1" applyBorder="1">
      <alignment vertical="center"/>
    </xf>
    <xf numFmtId="41" fontId="0" fillId="82" borderId="5" xfId="1" applyFont="1" applyFill="1" applyBorder="1">
      <alignment vertical="center"/>
    </xf>
    <xf numFmtId="41" fontId="0" fillId="82" borderId="6" xfId="1" applyFont="1" applyFill="1" applyBorder="1">
      <alignment vertical="center"/>
    </xf>
    <xf numFmtId="41" fontId="0" fillId="83" borderId="5" xfId="1" applyFont="1" applyFill="1" applyBorder="1">
      <alignment vertical="center"/>
    </xf>
    <xf numFmtId="41" fontId="0" fillId="83" borderId="6" xfId="1" applyFont="1" applyFill="1" applyBorder="1">
      <alignment vertical="center"/>
    </xf>
    <xf numFmtId="41" fontId="0" fillId="84" borderId="5" xfId="1" applyFont="1" applyFill="1" applyBorder="1">
      <alignment vertical="center"/>
    </xf>
    <xf numFmtId="41" fontId="0" fillId="84" borderId="6" xfId="1" applyFont="1" applyFill="1" applyBorder="1">
      <alignment vertical="center"/>
    </xf>
    <xf numFmtId="41" fontId="0" fillId="85" borderId="5" xfId="1" applyFont="1" applyFill="1" applyBorder="1">
      <alignment vertical="center"/>
    </xf>
    <xf numFmtId="41" fontId="0" fillId="85" borderId="6" xfId="1" applyFont="1" applyFill="1" applyBorder="1">
      <alignment vertical="center"/>
    </xf>
    <xf numFmtId="41" fontId="0" fillId="86" borderId="5" xfId="1" applyFont="1" applyFill="1" applyBorder="1">
      <alignment vertical="center"/>
    </xf>
    <xf numFmtId="41" fontId="0" fillId="86" borderId="6" xfId="1" applyFont="1" applyFill="1" applyBorder="1">
      <alignment vertical="center"/>
    </xf>
    <xf numFmtId="41" fontId="0" fillId="87" borderId="5" xfId="1" applyFont="1" applyFill="1" applyBorder="1">
      <alignment vertical="center"/>
    </xf>
    <xf numFmtId="41" fontId="0" fillId="87" borderId="6" xfId="1" applyFont="1" applyFill="1" applyBorder="1">
      <alignment vertical="center"/>
    </xf>
    <xf numFmtId="41" fontId="0" fillId="88" borderId="5" xfId="1" applyFont="1" applyFill="1" applyBorder="1">
      <alignment vertical="center"/>
    </xf>
    <xf numFmtId="41" fontId="0" fillId="88" borderId="6" xfId="1" applyFont="1" applyFill="1" applyBorder="1">
      <alignment vertical="center"/>
    </xf>
    <xf numFmtId="41" fontId="0" fillId="89" borderId="5" xfId="1" applyFont="1" applyFill="1" applyBorder="1">
      <alignment vertical="center"/>
    </xf>
    <xf numFmtId="41" fontId="0" fillId="89" borderId="6" xfId="1" applyFont="1" applyFill="1" applyBorder="1">
      <alignment vertical="center"/>
    </xf>
    <xf numFmtId="41" fontId="0" fillId="110" borderId="5" xfId="1" applyFont="1" applyFill="1" applyBorder="1">
      <alignment vertical="center"/>
    </xf>
    <xf numFmtId="41" fontId="0" fillId="110" borderId="6" xfId="1" applyFont="1" applyFill="1" applyBorder="1">
      <alignment vertical="center"/>
    </xf>
    <xf numFmtId="41" fontId="0" fillId="91" borderId="5" xfId="1" applyFont="1" applyFill="1" applyBorder="1">
      <alignment vertical="center"/>
    </xf>
    <xf numFmtId="41" fontId="0" fillId="91" borderId="6" xfId="1" applyFont="1" applyFill="1" applyBorder="1">
      <alignment vertical="center"/>
    </xf>
    <xf numFmtId="41" fontId="0" fillId="92" borderId="5" xfId="1" applyFont="1" applyFill="1" applyBorder="1">
      <alignment vertical="center"/>
    </xf>
    <xf numFmtId="41" fontId="0" fillId="92" borderId="6" xfId="1" applyFont="1" applyFill="1" applyBorder="1">
      <alignment vertical="center"/>
    </xf>
    <xf numFmtId="41" fontId="0" fillId="93" borderId="5" xfId="1" applyFont="1" applyFill="1" applyBorder="1">
      <alignment vertical="center"/>
    </xf>
    <xf numFmtId="41" fontId="0" fillId="93" borderId="6" xfId="1" applyFont="1" applyFill="1" applyBorder="1">
      <alignment vertical="center"/>
    </xf>
    <xf numFmtId="41" fontId="0" fillId="94" borderId="5" xfId="1" applyFont="1" applyFill="1" applyBorder="1">
      <alignment vertical="center"/>
    </xf>
    <xf numFmtId="41" fontId="0" fillId="94" borderId="6" xfId="1" applyFont="1" applyFill="1" applyBorder="1">
      <alignment vertical="center"/>
    </xf>
    <xf numFmtId="41" fontId="0" fillId="95" borderId="5" xfId="1" applyFont="1" applyFill="1" applyBorder="1">
      <alignment vertical="center"/>
    </xf>
    <xf numFmtId="41" fontId="0" fillId="95" borderId="6" xfId="1" applyFont="1" applyFill="1" applyBorder="1">
      <alignment vertical="center"/>
    </xf>
    <xf numFmtId="41" fontId="0" fillId="96" borderId="5" xfId="1" applyFont="1" applyFill="1" applyBorder="1">
      <alignment vertical="center"/>
    </xf>
    <xf numFmtId="41" fontId="0" fillId="96" borderId="6" xfId="1" applyFont="1" applyFill="1" applyBorder="1">
      <alignment vertical="center"/>
    </xf>
    <xf numFmtId="41" fontId="0" fillId="97" borderId="5" xfId="1" applyFont="1" applyFill="1" applyBorder="1">
      <alignment vertical="center"/>
    </xf>
    <xf numFmtId="41" fontId="0" fillId="97" borderId="6" xfId="1" applyFont="1" applyFill="1" applyBorder="1">
      <alignment vertical="center"/>
    </xf>
    <xf numFmtId="41" fontId="0" fillId="99" borderId="5" xfId="1" applyFont="1" applyFill="1" applyBorder="1">
      <alignment vertical="center"/>
    </xf>
    <xf numFmtId="41" fontId="0" fillId="99" borderId="6" xfId="1" applyFont="1" applyFill="1" applyBorder="1">
      <alignment vertical="center"/>
    </xf>
    <xf numFmtId="41" fontId="7" fillId="92" borderId="5" xfId="1" applyFont="1" applyFill="1" applyBorder="1">
      <alignment vertical="center"/>
    </xf>
    <xf numFmtId="41" fontId="7" fillId="92" borderId="6" xfId="1" applyFont="1" applyFill="1" applyBorder="1">
      <alignment vertical="center"/>
    </xf>
    <xf numFmtId="41" fontId="0" fillId="101" borderId="5" xfId="1" applyFont="1" applyFill="1" applyBorder="1">
      <alignment vertical="center"/>
    </xf>
    <xf numFmtId="41" fontId="0" fillId="101" borderId="6" xfId="1" applyFont="1" applyFill="1" applyBorder="1">
      <alignment vertical="center"/>
    </xf>
    <xf numFmtId="41" fontId="0" fillId="102" borderId="5" xfId="1" applyFont="1" applyFill="1" applyBorder="1">
      <alignment vertical="center"/>
    </xf>
    <xf numFmtId="41" fontId="0" fillId="102" borderId="6" xfId="1" applyFont="1" applyFill="1" applyBorder="1">
      <alignment vertical="center"/>
    </xf>
    <xf numFmtId="41" fontId="0" fillId="111" borderId="5" xfId="1" applyFont="1" applyFill="1" applyBorder="1">
      <alignment vertical="center"/>
    </xf>
    <xf numFmtId="41" fontId="0" fillId="111" borderId="6" xfId="1" applyFont="1" applyFill="1" applyBorder="1">
      <alignment vertical="center"/>
    </xf>
    <xf numFmtId="41" fontId="0" fillId="112" borderId="5" xfId="1" applyFont="1" applyFill="1" applyBorder="1">
      <alignment vertical="center"/>
    </xf>
    <xf numFmtId="41" fontId="0" fillId="112" borderId="6" xfId="1" applyFont="1" applyFill="1" applyBorder="1">
      <alignment vertical="center"/>
    </xf>
    <xf numFmtId="41" fontId="0" fillId="113" borderId="5" xfId="1" applyFont="1" applyFill="1" applyBorder="1">
      <alignment vertical="center"/>
    </xf>
    <xf numFmtId="41" fontId="0" fillId="113" borderId="6" xfId="1" applyFont="1" applyFill="1" applyBorder="1">
      <alignment vertical="center"/>
    </xf>
    <xf numFmtId="41" fontId="0" fillId="106" borderId="5" xfId="1" applyFont="1" applyFill="1" applyBorder="1">
      <alignment vertical="center"/>
    </xf>
    <xf numFmtId="41" fontId="0" fillId="106" borderId="6" xfId="1" applyFont="1" applyFill="1" applyBorder="1">
      <alignment vertical="center"/>
    </xf>
    <xf numFmtId="41" fontId="0" fillId="107" borderId="5" xfId="1" applyFont="1" applyFill="1" applyBorder="1">
      <alignment vertical="center"/>
    </xf>
    <xf numFmtId="41" fontId="0" fillId="107" borderId="6" xfId="1" applyFont="1" applyFill="1" applyBorder="1">
      <alignment vertical="center"/>
    </xf>
    <xf numFmtId="41" fontId="0" fillId="108" borderId="5" xfId="1" applyFont="1" applyFill="1" applyBorder="1">
      <alignment vertical="center"/>
    </xf>
    <xf numFmtId="41" fontId="0" fillId="108" borderId="6" xfId="1" applyFont="1" applyFill="1" applyBorder="1">
      <alignment vertical="center"/>
    </xf>
    <xf numFmtId="41" fontId="0" fillId="34" borderId="5" xfId="1" applyFont="1" applyFill="1" applyBorder="1">
      <alignment vertical="center"/>
    </xf>
    <xf numFmtId="41" fontId="0" fillId="34" borderId="6" xfId="1" applyFont="1" applyFill="1" applyBorder="1">
      <alignment vertical="center"/>
    </xf>
    <xf numFmtId="176" fontId="1" fillId="2" borderId="2" xfId="0" applyNumberFormat="1" applyFont="1" applyFill="1" applyBorder="1">
      <alignment vertical="center"/>
    </xf>
    <xf numFmtId="38" fontId="0" fillId="102" borderId="5" xfId="0" applyNumberFormat="1" applyFill="1" applyBorder="1">
      <alignment vertical="center"/>
    </xf>
    <xf numFmtId="38" fontId="0" fillId="34" borderId="5" xfId="0" applyNumberFormat="1" applyFill="1" applyBorder="1">
      <alignment vertical="center"/>
    </xf>
    <xf numFmtId="178" fontId="0" fillId="3" borderId="5" xfId="0" applyNumberFormat="1" applyFill="1" applyBorder="1">
      <alignment vertical="center"/>
    </xf>
    <xf numFmtId="178" fontId="0" fillId="4" borderId="5" xfId="0" applyNumberFormat="1" applyFill="1" applyBorder="1">
      <alignment vertical="center"/>
    </xf>
    <xf numFmtId="178" fontId="0" fillId="4" borderId="3" xfId="0" applyNumberFormat="1" applyFill="1" applyBorder="1">
      <alignment vertical="center"/>
    </xf>
    <xf numFmtId="178" fontId="3" fillId="3" borderId="6" xfId="0" applyNumberFormat="1" applyFont="1" applyFill="1" applyBorder="1">
      <alignment vertical="center"/>
    </xf>
    <xf numFmtId="178" fontId="0" fillId="3" borderId="3" xfId="0" applyNumberFormat="1" applyFill="1" applyBorder="1">
      <alignment vertical="center"/>
    </xf>
    <xf numFmtId="178" fontId="3" fillId="4" borderId="6" xfId="0" applyNumberFormat="1" applyFont="1" applyFill="1" applyBorder="1">
      <alignment vertical="center"/>
    </xf>
    <xf numFmtId="178" fontId="0" fillId="5" borderId="5" xfId="0" applyNumberFormat="1" applyFill="1" applyBorder="1">
      <alignment vertical="center"/>
    </xf>
    <xf numFmtId="178" fontId="0" fillId="6" borderId="5" xfId="0" applyNumberFormat="1" applyFill="1" applyBorder="1">
      <alignment vertical="center"/>
    </xf>
    <xf numFmtId="178" fontId="0" fillId="7" borderId="5" xfId="0" applyNumberFormat="1" applyFill="1" applyBorder="1">
      <alignment vertical="center"/>
    </xf>
    <xf numFmtId="178" fontId="0" fillId="8" borderId="5" xfId="0" applyNumberFormat="1" applyFill="1" applyBorder="1">
      <alignment vertical="center"/>
    </xf>
    <xf numFmtId="178" fontId="0" fillId="9" borderId="5" xfId="0" applyNumberFormat="1" applyFill="1" applyBorder="1">
      <alignment vertical="center"/>
    </xf>
    <xf numFmtId="178" fontId="0" fillId="10" borderId="5" xfId="0" applyNumberFormat="1" applyFill="1" applyBorder="1">
      <alignment vertical="center"/>
    </xf>
    <xf numFmtId="178" fontId="0" fillId="11" borderId="5" xfId="0" applyNumberFormat="1" applyFill="1" applyBorder="1">
      <alignment vertical="center"/>
    </xf>
    <xf numFmtId="178" fontId="0" fillId="12" borderId="5" xfId="0" applyNumberFormat="1" applyFill="1" applyBorder="1">
      <alignment vertical="center"/>
    </xf>
    <xf numFmtId="178" fontId="0" fillId="13" borderId="5" xfId="0" applyNumberFormat="1" applyFill="1" applyBorder="1">
      <alignment vertical="center"/>
    </xf>
    <xf numFmtId="178" fontId="0" fillId="16" borderId="5" xfId="0" applyNumberFormat="1" applyFill="1" applyBorder="1">
      <alignment vertical="center"/>
    </xf>
    <xf numFmtId="178" fontId="0" fillId="15" borderId="5" xfId="0" applyNumberFormat="1" applyFill="1" applyBorder="1">
      <alignment vertical="center"/>
    </xf>
    <xf numFmtId="178" fontId="0" fillId="15" borderId="3" xfId="0" applyNumberFormat="1" applyFill="1" applyBorder="1">
      <alignment vertical="center"/>
    </xf>
    <xf numFmtId="178" fontId="0" fillId="17" borderId="5" xfId="0" applyNumberFormat="1" applyFill="1" applyBorder="1">
      <alignment vertical="center"/>
    </xf>
    <xf numFmtId="178" fontId="0" fillId="17" borderId="3" xfId="0" applyNumberFormat="1" applyFill="1" applyBorder="1">
      <alignment vertical="center"/>
    </xf>
    <xf numFmtId="178" fontId="0" fillId="18" borderId="5" xfId="0" applyNumberFormat="1" applyFill="1" applyBorder="1">
      <alignment vertical="center"/>
    </xf>
    <xf numFmtId="178" fontId="0" fillId="18" borderId="3" xfId="0" applyNumberFormat="1" applyFill="1" applyBorder="1">
      <alignment vertical="center"/>
    </xf>
    <xf numFmtId="178" fontId="0" fillId="19" borderId="5" xfId="0" applyNumberFormat="1" applyFill="1" applyBorder="1">
      <alignment vertical="center"/>
    </xf>
    <xf numFmtId="178" fontId="0" fillId="19" borderId="3" xfId="0" applyNumberFormat="1" applyFill="1" applyBorder="1">
      <alignment vertical="center"/>
    </xf>
    <xf numFmtId="178" fontId="0" fillId="20" borderId="5" xfId="0" applyNumberFormat="1" applyFill="1" applyBorder="1">
      <alignment vertical="center"/>
    </xf>
    <xf numFmtId="178" fontId="0" fillId="20" borderId="3" xfId="0" applyNumberFormat="1" applyFill="1" applyBorder="1">
      <alignment vertical="center"/>
    </xf>
    <xf numFmtId="178" fontId="0" fillId="21" borderId="5" xfId="0" applyNumberFormat="1" applyFill="1" applyBorder="1">
      <alignment vertical="center"/>
    </xf>
    <xf numFmtId="178" fontId="0" fillId="21" borderId="3" xfId="0" applyNumberFormat="1" applyFill="1" applyBorder="1">
      <alignment vertical="center"/>
    </xf>
    <xf numFmtId="178" fontId="0" fillId="22" borderId="5" xfId="0" applyNumberFormat="1" applyFill="1" applyBorder="1">
      <alignment vertical="center"/>
    </xf>
    <xf numFmtId="178" fontId="0" fillId="22" borderId="3" xfId="0" applyNumberFormat="1" applyFill="1" applyBorder="1">
      <alignment vertical="center"/>
    </xf>
    <xf numFmtId="178" fontId="0" fillId="23" borderId="5" xfId="0" applyNumberFormat="1" applyFill="1" applyBorder="1">
      <alignment vertical="center"/>
    </xf>
    <xf numFmtId="178" fontId="0" fillId="23" borderId="3" xfId="0" applyNumberFormat="1" applyFill="1" applyBorder="1">
      <alignment vertical="center"/>
    </xf>
    <xf numFmtId="178" fontId="0" fillId="24" borderId="5" xfId="0" applyNumberFormat="1" applyFill="1" applyBorder="1">
      <alignment vertical="center"/>
    </xf>
    <xf numFmtId="178" fontId="0" fillId="24" borderId="3" xfId="0" applyNumberFormat="1" applyFill="1" applyBorder="1">
      <alignment vertical="center"/>
    </xf>
    <xf numFmtId="178" fontId="0" fillId="31" borderId="5" xfId="0" applyNumberFormat="1" applyFill="1" applyBorder="1">
      <alignment vertical="center"/>
    </xf>
    <xf numFmtId="178" fontId="0" fillId="31" borderId="3" xfId="0" applyNumberFormat="1" applyFill="1" applyBorder="1">
      <alignment vertical="center"/>
    </xf>
    <xf numFmtId="178" fontId="0" fillId="32" borderId="3" xfId="0" applyNumberFormat="1" applyFill="1" applyBorder="1">
      <alignment vertical="center"/>
    </xf>
    <xf numFmtId="178" fontId="0" fillId="32" borderId="5" xfId="0" applyNumberFormat="1" applyFill="1" applyBorder="1">
      <alignment vertical="center"/>
    </xf>
    <xf numFmtId="178" fontId="0" fillId="27" borderId="5" xfId="0" applyNumberFormat="1" applyFill="1" applyBorder="1">
      <alignment vertical="center"/>
    </xf>
    <xf numFmtId="178" fontId="0" fillId="27" borderId="3" xfId="0" applyNumberFormat="1" applyFill="1" applyBorder="1">
      <alignment vertical="center"/>
    </xf>
    <xf numFmtId="178" fontId="0" fillId="28" borderId="5" xfId="0" applyNumberFormat="1" applyFill="1" applyBorder="1">
      <alignment vertical="center"/>
    </xf>
    <xf numFmtId="178" fontId="0" fillId="28" borderId="3" xfId="0" applyNumberFormat="1" applyFill="1" applyBorder="1">
      <alignment vertical="center"/>
    </xf>
    <xf numFmtId="178" fontId="0" fillId="33" borderId="3" xfId="0" applyNumberFormat="1" applyFill="1" applyBorder="1">
      <alignment vertical="center"/>
    </xf>
    <xf numFmtId="178" fontId="0" fillId="33" borderId="5" xfId="0" applyNumberFormat="1" applyFill="1" applyBorder="1">
      <alignment vertical="center"/>
    </xf>
    <xf numFmtId="178" fontId="0" fillId="34" borderId="3" xfId="0" applyNumberFormat="1" applyFill="1" applyBorder="1">
      <alignment vertical="center"/>
    </xf>
    <xf numFmtId="178" fontId="0" fillId="34" borderId="5" xfId="0" applyNumberFormat="1" applyFill="1" applyBorder="1">
      <alignment vertical="center"/>
    </xf>
    <xf numFmtId="3" fontId="1" fillId="2" borderId="12" xfId="0" applyNumberFormat="1" applyFont="1" applyFill="1" applyBorder="1">
      <alignment vertical="center"/>
    </xf>
    <xf numFmtId="3" fontId="1" fillId="2" borderId="3" xfId="0" applyNumberFormat="1" applyFont="1" applyFill="1" applyBorder="1" applyAlignment="1">
      <alignment vertical="center" wrapText="1"/>
    </xf>
    <xf numFmtId="178" fontId="0" fillId="5" borderId="3" xfId="0" applyNumberFormat="1" applyFill="1" applyBorder="1">
      <alignment vertical="center"/>
    </xf>
    <xf numFmtId="178" fontId="0" fillId="6" borderId="3" xfId="0" applyNumberFormat="1" applyFill="1" applyBorder="1">
      <alignment vertical="center"/>
    </xf>
    <xf numFmtId="178" fontId="0" fillId="7" borderId="3" xfId="0" applyNumberFormat="1" applyFill="1" applyBorder="1">
      <alignment vertical="center"/>
    </xf>
    <xf numFmtId="178" fontId="0" fillId="8" borderId="3" xfId="0" applyNumberFormat="1" applyFill="1" applyBorder="1">
      <alignment vertical="center"/>
    </xf>
    <xf numFmtId="178" fontId="0" fillId="9" borderId="3" xfId="0" applyNumberFormat="1" applyFill="1" applyBorder="1">
      <alignment vertical="center"/>
    </xf>
    <xf numFmtId="178" fontId="0" fillId="10" borderId="3" xfId="0" applyNumberFormat="1" applyFill="1" applyBorder="1">
      <alignment vertical="center"/>
    </xf>
    <xf numFmtId="178" fontId="0" fillId="11" borderId="3" xfId="0" applyNumberFormat="1" applyFill="1" applyBorder="1">
      <alignment vertical="center"/>
    </xf>
    <xf numFmtId="178" fontId="0" fillId="12" borderId="3" xfId="0" applyNumberFormat="1" applyFill="1" applyBorder="1">
      <alignment vertical="center"/>
    </xf>
    <xf numFmtId="178" fontId="0" fillId="13" borderId="3" xfId="0" applyNumberFormat="1" applyFill="1" applyBorder="1">
      <alignment vertical="center"/>
    </xf>
    <xf numFmtId="178" fontId="0" fillId="16" borderId="3" xfId="0" applyNumberFormat="1" applyFill="1" applyBorder="1">
      <alignment vertical="center"/>
    </xf>
    <xf numFmtId="49" fontId="0" fillId="17" borderId="5" xfId="0" applyNumberFormat="1" applyFill="1" applyBorder="1">
      <alignment vertical="center"/>
    </xf>
    <xf numFmtId="49" fontId="0" fillId="18" borderId="5" xfId="0" applyNumberFormat="1" applyFill="1" applyBorder="1">
      <alignment vertical="center"/>
    </xf>
    <xf numFmtId="49" fontId="0" fillId="19" borderId="5" xfId="0" applyNumberFormat="1" applyFill="1" applyBorder="1">
      <alignment vertical="center"/>
    </xf>
    <xf numFmtId="49" fontId="0" fillId="20" borderId="5" xfId="0" applyNumberFormat="1" applyFill="1" applyBorder="1">
      <alignment vertical="center"/>
    </xf>
    <xf numFmtId="49" fontId="0" fillId="21" borderId="5" xfId="0" applyNumberFormat="1" applyFill="1" applyBorder="1">
      <alignment vertical="center"/>
    </xf>
    <xf numFmtId="49" fontId="0" fillId="22" borderId="5" xfId="0" applyNumberFormat="1" applyFill="1" applyBorder="1">
      <alignment vertical="center"/>
    </xf>
    <xf numFmtId="49" fontId="0" fillId="23" borderId="5" xfId="0" applyNumberFormat="1" applyFill="1" applyBorder="1">
      <alignment vertical="center"/>
    </xf>
    <xf numFmtId="49" fontId="0" fillId="24" borderId="5" xfId="0" applyNumberFormat="1" applyFill="1" applyBorder="1">
      <alignment vertical="center"/>
    </xf>
    <xf numFmtId="49" fontId="0" fillId="25" borderId="5" xfId="0" applyNumberFormat="1" applyFill="1" applyBorder="1">
      <alignment vertical="center"/>
    </xf>
    <xf numFmtId="49" fontId="0" fillId="26" borderId="5" xfId="0" applyNumberFormat="1" applyFill="1" applyBorder="1">
      <alignment vertical="center"/>
    </xf>
    <xf numFmtId="49" fontId="0" fillId="27" borderId="5" xfId="0" applyNumberFormat="1" applyFill="1" applyBorder="1">
      <alignment vertical="center"/>
    </xf>
    <xf numFmtId="49" fontId="0" fillId="28" borderId="5" xfId="0" applyNumberFormat="1" applyFill="1" applyBorder="1">
      <alignment vertical="center"/>
    </xf>
    <xf numFmtId="49" fontId="0" fillId="30" borderId="5" xfId="0" applyNumberFormat="1" applyFill="1" applyBorder="1">
      <alignment vertical="center"/>
    </xf>
    <xf numFmtId="176" fontId="1" fillId="40" borderId="2" xfId="0" applyNumberFormat="1" applyFont="1" applyFill="1" applyBorder="1">
      <alignment vertical="center"/>
    </xf>
    <xf numFmtId="3" fontId="1" fillId="2" borderId="13" xfId="0" applyNumberFormat="1" applyFont="1" applyFill="1" applyBorder="1" applyAlignment="1">
      <alignment horizontal="center" vertical="center"/>
    </xf>
    <xf numFmtId="178" fontId="4" fillId="4" borderId="5" xfId="0" applyNumberFormat="1" applyFont="1" applyFill="1" applyBorder="1">
      <alignment vertical="center"/>
    </xf>
    <xf numFmtId="178" fontId="3" fillId="4" borderId="5" xfId="0" applyNumberFormat="1" applyFont="1" applyFill="1" applyBorder="1">
      <alignment vertical="center"/>
    </xf>
    <xf numFmtId="178" fontId="4" fillId="4" borderId="3" xfId="0" applyNumberFormat="1" applyFont="1" applyFill="1" applyBorder="1">
      <alignment vertical="center"/>
    </xf>
    <xf numFmtId="178" fontId="3" fillId="4" borderId="3" xfId="0" applyNumberFormat="1" applyFont="1" applyFill="1" applyBorder="1">
      <alignment vertical="center"/>
    </xf>
    <xf numFmtId="49" fontId="0" fillId="3" borderId="6" xfId="0" applyNumberFormat="1" applyFill="1" applyBorder="1" applyAlignment="1">
      <alignment horizontal="left" vertical="center"/>
    </xf>
    <xf numFmtId="176" fontId="1" fillId="2" borderId="8" xfId="0" applyNumberFormat="1" applyFont="1" applyFill="1" applyBorder="1">
      <alignment vertical="center"/>
    </xf>
    <xf numFmtId="3" fontId="1" fillId="2" borderId="9" xfId="0" applyNumberFormat="1" applyFont="1" applyFill="1" applyBorder="1" applyAlignment="1">
      <alignment vertical="center" wrapText="1"/>
    </xf>
    <xf numFmtId="176" fontId="0" fillId="3" borderId="5" xfId="0" applyNumberFormat="1" applyFill="1" applyBorder="1">
      <alignment vertical="center"/>
    </xf>
    <xf numFmtId="3" fontId="0" fillId="3" borderId="6" xfId="0" applyNumberFormat="1" applyFill="1" applyBorder="1" applyAlignment="1">
      <alignment horizontal="center" vertical="center"/>
    </xf>
    <xf numFmtId="176" fontId="1" fillId="2" borderId="12" xfId="0" applyNumberFormat="1" applyFont="1" applyFill="1" applyBorder="1">
      <alignment vertical="center"/>
    </xf>
    <xf numFmtId="176" fontId="0" fillId="4" borderId="5" xfId="0" applyNumberFormat="1" applyFill="1" applyBorder="1">
      <alignment vertical="center"/>
    </xf>
    <xf numFmtId="3" fontId="0" fillId="4" borderId="6" xfId="0" applyNumberFormat="1" applyFill="1" applyBorder="1" applyAlignment="1">
      <alignment horizontal="center" vertical="center"/>
    </xf>
    <xf numFmtId="176" fontId="0" fillId="5" borderId="5" xfId="0" applyNumberFormat="1" applyFill="1" applyBorder="1">
      <alignment vertical="center"/>
    </xf>
    <xf numFmtId="3" fontId="0" fillId="5" borderId="6" xfId="0" applyNumberFormat="1" applyFill="1" applyBorder="1" applyAlignment="1">
      <alignment horizontal="center" vertical="center"/>
    </xf>
    <xf numFmtId="176" fontId="0" fillId="6" borderId="5" xfId="0" applyNumberFormat="1" applyFill="1" applyBorder="1">
      <alignment vertical="center"/>
    </xf>
    <xf numFmtId="3" fontId="0" fillId="6" borderId="6" xfId="0" applyNumberFormat="1" applyFill="1" applyBorder="1" applyAlignment="1">
      <alignment horizontal="center" vertical="center"/>
    </xf>
    <xf numFmtId="176" fontId="0" fillId="7" borderId="5" xfId="0" applyNumberFormat="1" applyFill="1" applyBorder="1">
      <alignment vertical="center"/>
    </xf>
    <xf numFmtId="3" fontId="0" fillId="7" borderId="6" xfId="0" applyNumberFormat="1" applyFill="1" applyBorder="1" applyAlignment="1">
      <alignment horizontal="center" vertical="center"/>
    </xf>
    <xf numFmtId="176" fontId="0" fillId="8" borderId="5" xfId="0" applyNumberFormat="1" applyFill="1" applyBorder="1">
      <alignment vertical="center"/>
    </xf>
    <xf numFmtId="3" fontId="0" fillId="8" borderId="6" xfId="0" applyNumberFormat="1" applyFill="1" applyBorder="1" applyAlignment="1">
      <alignment horizontal="center" vertical="center"/>
    </xf>
    <xf numFmtId="176" fontId="0" fillId="9" borderId="5" xfId="0" applyNumberFormat="1" applyFill="1" applyBorder="1">
      <alignment vertical="center"/>
    </xf>
    <xf numFmtId="3" fontId="0" fillId="9" borderId="6" xfId="0" applyNumberFormat="1" applyFill="1" applyBorder="1" applyAlignment="1">
      <alignment horizontal="center" vertical="center"/>
    </xf>
    <xf numFmtId="176" fontId="0" fillId="10" borderId="5" xfId="0" applyNumberFormat="1" applyFill="1" applyBorder="1">
      <alignment vertical="center"/>
    </xf>
    <xf numFmtId="3" fontId="0" fillId="10" borderId="6" xfId="0" applyNumberFormat="1" applyFill="1" applyBorder="1" applyAlignment="1">
      <alignment horizontal="center" vertical="center"/>
    </xf>
    <xf numFmtId="176" fontId="0" fillId="11" borderId="5" xfId="0" applyNumberFormat="1" applyFill="1" applyBorder="1">
      <alignment vertical="center"/>
    </xf>
    <xf numFmtId="3" fontId="0" fillId="11" borderId="6" xfId="0" applyNumberFormat="1" applyFill="1" applyBorder="1" applyAlignment="1">
      <alignment horizontal="center" vertical="center"/>
    </xf>
    <xf numFmtId="176" fontId="0" fillId="12" borderId="5" xfId="0" applyNumberFormat="1" applyFill="1" applyBorder="1">
      <alignment vertical="center"/>
    </xf>
    <xf numFmtId="3" fontId="0" fillId="12" borderId="6" xfId="0" applyNumberFormat="1" applyFill="1" applyBorder="1" applyAlignment="1">
      <alignment horizontal="center" vertical="center"/>
    </xf>
    <xf numFmtId="176" fontId="0" fillId="13" borderId="5" xfId="0" applyNumberFormat="1" applyFill="1" applyBorder="1">
      <alignment vertical="center"/>
    </xf>
    <xf numFmtId="3" fontId="0" fillId="13" borderId="6" xfId="0" applyNumberFormat="1" applyFill="1" applyBorder="1" applyAlignment="1">
      <alignment horizontal="center" vertical="center"/>
    </xf>
    <xf numFmtId="176" fontId="0" fillId="16" borderId="5" xfId="0" applyNumberFormat="1" applyFill="1" applyBorder="1">
      <alignment vertical="center"/>
    </xf>
    <xf numFmtId="3" fontId="0" fillId="16" borderId="6" xfId="0" applyNumberFormat="1" applyFill="1" applyBorder="1" applyAlignment="1">
      <alignment horizontal="center" vertical="center"/>
    </xf>
    <xf numFmtId="176" fontId="0" fillId="15" borderId="5" xfId="0" applyNumberFormat="1" applyFill="1" applyBorder="1">
      <alignment vertical="center"/>
    </xf>
    <xf numFmtId="3" fontId="0" fillId="15" borderId="6" xfId="0" applyNumberFormat="1" applyFill="1" applyBorder="1" applyAlignment="1">
      <alignment horizontal="center" vertical="center"/>
    </xf>
    <xf numFmtId="176" fontId="0" fillId="33" borderId="5" xfId="0" applyNumberFormat="1" applyFill="1" applyBorder="1">
      <alignment vertical="center"/>
    </xf>
    <xf numFmtId="3" fontId="0" fillId="33" borderId="6" xfId="0" applyNumberFormat="1" applyFill="1" applyBorder="1" applyAlignment="1">
      <alignment horizontal="center" vertical="center"/>
    </xf>
    <xf numFmtId="49" fontId="0" fillId="114" borderId="5" xfId="0" applyNumberFormat="1" applyFill="1" applyBorder="1">
      <alignment vertical="center"/>
    </xf>
    <xf numFmtId="49" fontId="0" fillId="115" borderId="5" xfId="0" applyNumberFormat="1" applyFill="1" applyBorder="1">
      <alignment vertical="center"/>
    </xf>
    <xf numFmtId="178" fontId="0" fillId="55" borderId="5" xfId="0" applyNumberFormat="1" applyFill="1" applyBorder="1">
      <alignment vertical="center"/>
    </xf>
    <xf numFmtId="178" fontId="0" fillId="55" borderId="3" xfId="0" applyNumberFormat="1" applyFill="1" applyBorder="1">
      <alignment vertical="center"/>
    </xf>
    <xf numFmtId="178" fontId="0" fillId="116" borderId="5" xfId="0" applyNumberFormat="1" applyFill="1" applyBorder="1">
      <alignment vertical="center"/>
    </xf>
    <xf numFmtId="178" fontId="0" fillId="116" borderId="3" xfId="0" applyNumberFormat="1" applyFill="1" applyBorder="1">
      <alignment vertical="center"/>
    </xf>
    <xf numFmtId="178" fontId="0" fillId="117" borderId="5" xfId="0" applyNumberFormat="1" applyFill="1" applyBorder="1">
      <alignment vertical="center"/>
    </xf>
    <xf numFmtId="178" fontId="0" fillId="117" borderId="3" xfId="0" applyNumberFormat="1" applyFill="1" applyBorder="1">
      <alignment vertical="center"/>
    </xf>
    <xf numFmtId="178" fontId="0" fillId="110" borderId="5" xfId="0" applyNumberFormat="1" applyFill="1" applyBorder="1">
      <alignment vertical="center"/>
    </xf>
    <xf numFmtId="178" fontId="0" fillId="110" borderId="3" xfId="0" applyNumberFormat="1" applyFill="1" applyBorder="1">
      <alignment vertical="center"/>
    </xf>
    <xf numFmtId="49" fontId="0" fillId="55" borderId="5" xfId="0" applyNumberFormat="1" applyFill="1" applyBorder="1">
      <alignment vertical="center"/>
    </xf>
    <xf numFmtId="176" fontId="0" fillId="17" borderId="5" xfId="0" applyNumberFormat="1" applyFill="1" applyBorder="1">
      <alignment vertical="center"/>
    </xf>
    <xf numFmtId="3" fontId="0" fillId="17" borderId="6" xfId="0" applyNumberFormat="1" applyFill="1" applyBorder="1" applyAlignment="1">
      <alignment horizontal="center" vertical="center"/>
    </xf>
    <xf numFmtId="176" fontId="0" fillId="55" borderId="5" xfId="0" applyNumberFormat="1" applyFill="1" applyBorder="1">
      <alignment vertical="center"/>
    </xf>
    <xf numFmtId="3" fontId="0" fillId="55" borderId="6" xfId="0" applyNumberFormat="1" applyFill="1" applyBorder="1" applyAlignment="1">
      <alignment horizontal="center" vertical="center"/>
    </xf>
    <xf numFmtId="176" fontId="0" fillId="18" borderId="5" xfId="0" applyNumberFormat="1" applyFill="1" applyBorder="1">
      <alignment vertical="center"/>
    </xf>
    <xf numFmtId="3" fontId="0" fillId="18" borderId="6" xfId="0" applyNumberFormat="1" applyFill="1" applyBorder="1" applyAlignment="1">
      <alignment horizontal="center" vertical="center"/>
    </xf>
    <xf numFmtId="176" fontId="0" fillId="19" borderId="5" xfId="0" applyNumberFormat="1" applyFill="1" applyBorder="1">
      <alignment vertical="center"/>
    </xf>
    <xf numFmtId="3" fontId="0" fillId="19" borderId="6" xfId="0" applyNumberFormat="1" applyFill="1" applyBorder="1" applyAlignment="1">
      <alignment horizontal="center" vertical="center"/>
    </xf>
    <xf numFmtId="176" fontId="0" fillId="20" borderId="5" xfId="0" applyNumberFormat="1" applyFill="1" applyBorder="1">
      <alignment vertical="center"/>
    </xf>
    <xf numFmtId="3" fontId="0" fillId="20" borderId="6" xfId="0" applyNumberFormat="1" applyFill="1" applyBorder="1" applyAlignment="1">
      <alignment horizontal="center" vertical="center"/>
    </xf>
    <xf numFmtId="176" fontId="0" fillId="21" borderId="5" xfId="0" applyNumberFormat="1" applyFill="1" applyBorder="1">
      <alignment vertical="center"/>
    </xf>
    <xf numFmtId="3" fontId="0" fillId="21" borderId="6" xfId="0" applyNumberFormat="1" applyFill="1" applyBorder="1" applyAlignment="1">
      <alignment horizontal="center" vertical="center"/>
    </xf>
    <xf numFmtId="176" fontId="0" fillId="22" borderId="5" xfId="0" applyNumberFormat="1" applyFill="1" applyBorder="1">
      <alignment vertical="center"/>
    </xf>
    <xf numFmtId="3" fontId="0" fillId="22" borderId="6" xfId="0" applyNumberFormat="1" applyFill="1" applyBorder="1" applyAlignment="1">
      <alignment horizontal="center" vertical="center"/>
    </xf>
    <xf numFmtId="176" fontId="0" fillId="23" borderId="5" xfId="0" applyNumberFormat="1" applyFill="1" applyBorder="1">
      <alignment vertical="center"/>
    </xf>
    <xf numFmtId="3" fontId="0" fillId="23" borderId="6" xfId="0" applyNumberFormat="1" applyFill="1" applyBorder="1" applyAlignment="1">
      <alignment horizontal="center" vertical="center"/>
    </xf>
    <xf numFmtId="176" fontId="0" fillId="24" borderId="5" xfId="0" applyNumberFormat="1" applyFill="1" applyBorder="1">
      <alignment vertical="center"/>
    </xf>
    <xf numFmtId="3" fontId="0" fillId="24" borderId="6" xfId="0" applyNumberFormat="1" applyFill="1" applyBorder="1" applyAlignment="1">
      <alignment horizontal="center" vertical="center"/>
    </xf>
    <xf numFmtId="176" fontId="0" fillId="31" borderId="5" xfId="0" applyNumberFormat="1" applyFill="1" applyBorder="1">
      <alignment vertical="center"/>
    </xf>
    <xf numFmtId="3" fontId="0" fillId="31" borderId="6" xfId="0" applyNumberFormat="1" applyFill="1" applyBorder="1" applyAlignment="1">
      <alignment horizontal="center" vertical="center"/>
    </xf>
    <xf numFmtId="176" fontId="0" fillId="32" borderId="5" xfId="0" applyNumberFormat="1" applyFill="1" applyBorder="1">
      <alignment vertical="center"/>
    </xf>
    <xf numFmtId="3" fontId="0" fillId="32" borderId="6" xfId="0" applyNumberFormat="1" applyFill="1" applyBorder="1" applyAlignment="1">
      <alignment horizontal="center" vertical="center"/>
    </xf>
    <xf numFmtId="176" fontId="0" fillId="27" borderId="5" xfId="0" applyNumberFormat="1" applyFill="1" applyBorder="1">
      <alignment vertical="center"/>
    </xf>
    <xf numFmtId="3" fontId="0" fillId="27" borderId="6" xfId="0" applyNumberFormat="1" applyFill="1" applyBorder="1" applyAlignment="1">
      <alignment horizontal="center" vertical="center"/>
    </xf>
    <xf numFmtId="176" fontId="0" fillId="116" borderId="5" xfId="0" applyNumberFormat="1" applyFill="1" applyBorder="1">
      <alignment vertical="center"/>
    </xf>
    <xf numFmtId="3" fontId="0" fillId="116" borderId="6" xfId="0" applyNumberFormat="1" applyFill="1" applyBorder="1" applyAlignment="1">
      <alignment horizontal="center" vertical="center"/>
    </xf>
    <xf numFmtId="176" fontId="0" fillId="117" borderId="5" xfId="0" applyNumberFormat="1" applyFill="1" applyBorder="1">
      <alignment vertical="center"/>
    </xf>
    <xf numFmtId="3" fontId="0" fillId="117" borderId="6" xfId="0" applyNumberFormat="1" applyFill="1" applyBorder="1" applyAlignment="1">
      <alignment horizontal="center" vertical="center"/>
    </xf>
    <xf numFmtId="176" fontId="0" fillId="110" borderId="5" xfId="0" applyNumberFormat="1" applyFill="1" applyBorder="1">
      <alignment vertical="center"/>
    </xf>
    <xf numFmtId="3" fontId="0" fillId="110" borderId="6" xfId="0" applyNumberFormat="1" applyFill="1" applyBorder="1" applyAlignment="1">
      <alignment horizontal="center" vertical="center"/>
    </xf>
    <xf numFmtId="176" fontId="0" fillId="28" borderId="5" xfId="0" applyNumberFormat="1" applyFill="1" applyBorder="1">
      <alignment vertical="center"/>
    </xf>
    <xf numFmtId="3" fontId="0" fillId="28" borderId="6" xfId="0" applyNumberFormat="1" applyFill="1" applyBorder="1" applyAlignment="1">
      <alignment horizontal="center" vertical="center"/>
    </xf>
    <xf numFmtId="176" fontId="0" fillId="34" borderId="5" xfId="0" applyNumberFormat="1" applyFill="1" applyBorder="1">
      <alignment vertical="center"/>
    </xf>
    <xf numFmtId="3" fontId="0" fillId="34" borderId="6" xfId="0" applyNumberFormat="1" applyFill="1" applyBorder="1" applyAlignment="1">
      <alignment horizontal="center" vertical="center"/>
    </xf>
    <xf numFmtId="9" fontId="0" fillId="0" borderId="0" xfId="2" applyFont="1">
      <alignment vertical="center"/>
    </xf>
    <xf numFmtId="178" fontId="3" fillId="4" borderId="4" xfId="0" applyNumberFormat="1" applyFont="1" applyFill="1" applyBorder="1">
      <alignment vertical="center"/>
    </xf>
    <xf numFmtId="3" fontId="1" fillId="2" borderId="16" xfId="0" applyNumberFormat="1" applyFont="1" applyFill="1" applyBorder="1">
      <alignment vertical="center"/>
    </xf>
    <xf numFmtId="49" fontId="0" fillId="118" borderId="5" xfId="0" applyNumberFormat="1" applyFill="1" applyBorder="1">
      <alignment vertical="center"/>
    </xf>
    <xf numFmtId="178" fontId="0" fillId="118" borderId="5" xfId="0" applyNumberFormat="1" applyFill="1" applyBorder="1">
      <alignment vertical="center"/>
    </xf>
    <xf numFmtId="178" fontId="0" fillId="118" borderId="3" xfId="0" applyNumberFormat="1" applyFill="1" applyBorder="1">
      <alignment vertical="center"/>
    </xf>
    <xf numFmtId="176" fontId="0" fillId="118" borderId="5" xfId="0" applyNumberFormat="1" applyFill="1" applyBorder="1">
      <alignment vertical="center"/>
    </xf>
    <xf numFmtId="3" fontId="0" fillId="118" borderId="6" xfId="0" applyNumberFormat="1" applyFill="1" applyBorder="1" applyAlignment="1">
      <alignment horizontal="center" vertical="center"/>
    </xf>
    <xf numFmtId="3" fontId="1" fillId="2" borderId="15" xfId="0" applyNumberFormat="1" applyFont="1" applyFill="1" applyBorder="1">
      <alignment vertical="center"/>
    </xf>
    <xf numFmtId="49" fontId="0" fillId="5" borderId="4" xfId="0" applyNumberFormat="1" applyFill="1" applyBorder="1">
      <alignment vertical="center"/>
    </xf>
    <xf numFmtId="49" fontId="5" fillId="5" borderId="4" xfId="0" applyNumberFormat="1" applyFont="1" applyFill="1" applyBorder="1">
      <alignment vertical="center"/>
    </xf>
    <xf numFmtId="49" fontId="0" fillId="6" borderId="4" xfId="0" applyNumberFormat="1" applyFill="1" applyBorder="1">
      <alignment vertical="center"/>
    </xf>
    <xf numFmtId="49" fontId="0" fillId="7" borderId="4" xfId="0" applyNumberFormat="1" applyFill="1" applyBorder="1">
      <alignment vertical="center"/>
    </xf>
    <xf numFmtId="49" fontId="0" fillId="8" borderId="4" xfId="0" applyNumberFormat="1" applyFill="1" applyBorder="1">
      <alignment vertical="center"/>
    </xf>
    <xf numFmtId="49" fontId="0" fillId="9" borderId="4" xfId="0" applyNumberFormat="1" applyFill="1" applyBorder="1">
      <alignment vertical="center"/>
    </xf>
    <xf numFmtId="49" fontId="0" fillId="3" borderId="4" xfId="0" applyNumberFormat="1" applyFill="1" applyBorder="1">
      <alignment vertical="center"/>
    </xf>
    <xf numFmtId="49" fontId="0" fillId="4" borderId="4" xfId="0" applyNumberFormat="1" applyFill="1" applyBorder="1">
      <alignment vertical="center"/>
    </xf>
    <xf numFmtId="49" fontId="0" fillId="10" borderId="4" xfId="0" applyNumberFormat="1" applyFill="1" applyBorder="1">
      <alignment vertical="center"/>
    </xf>
    <xf numFmtId="49" fontId="0" fillId="11" borderId="4" xfId="0" applyNumberFormat="1" applyFill="1" applyBorder="1">
      <alignment vertical="center"/>
    </xf>
    <xf numFmtId="49" fontId="0" fillId="12" borderId="4" xfId="0" applyNumberFormat="1" applyFill="1" applyBorder="1">
      <alignment vertical="center"/>
    </xf>
    <xf numFmtId="49" fontId="0" fillId="13" borderId="4" xfId="0" applyNumberFormat="1" applyFill="1" applyBorder="1">
      <alignment vertical="center"/>
    </xf>
    <xf numFmtId="49" fontId="0" fillId="16" borderId="4" xfId="0" applyNumberFormat="1" applyFill="1" applyBorder="1">
      <alignment vertical="center"/>
    </xf>
    <xf numFmtId="49" fontId="0" fillId="29" borderId="4" xfId="0" applyNumberFormat="1" applyFill="1" applyBorder="1">
      <alignment vertical="center"/>
    </xf>
    <xf numFmtId="49" fontId="0" fillId="15" borderId="4" xfId="0" applyNumberFormat="1" applyFill="1" applyBorder="1">
      <alignment vertical="center"/>
    </xf>
    <xf numFmtId="178" fontId="3" fillId="5" borderId="4" xfId="0" applyNumberFormat="1" applyFont="1" applyFill="1" applyBorder="1">
      <alignment vertical="center"/>
    </xf>
    <xf numFmtId="178" fontId="3" fillId="6" borderId="4" xfId="0" applyNumberFormat="1" applyFont="1" applyFill="1" applyBorder="1">
      <alignment vertical="center"/>
    </xf>
    <xf numFmtId="178" fontId="3" fillId="7" borderId="4" xfId="0" applyNumberFormat="1" applyFont="1" applyFill="1" applyBorder="1">
      <alignment vertical="center"/>
    </xf>
    <xf numFmtId="178" fontId="3" fillId="8" borderId="4" xfId="0" applyNumberFormat="1" applyFont="1" applyFill="1" applyBorder="1">
      <alignment vertical="center"/>
    </xf>
    <xf numFmtId="178" fontId="3" fillId="9" borderId="4" xfId="0" applyNumberFormat="1" applyFont="1" applyFill="1" applyBorder="1">
      <alignment vertical="center"/>
    </xf>
    <xf numFmtId="178" fontId="3" fillId="3" borderId="4" xfId="0" applyNumberFormat="1" applyFont="1" applyFill="1" applyBorder="1">
      <alignment vertical="center"/>
    </xf>
    <xf numFmtId="178" fontId="3" fillId="10" borderId="4" xfId="0" applyNumberFormat="1" applyFont="1" applyFill="1" applyBorder="1">
      <alignment vertical="center"/>
    </xf>
    <xf numFmtId="178" fontId="3" fillId="11" borderId="4" xfId="0" applyNumberFormat="1" applyFont="1" applyFill="1" applyBorder="1">
      <alignment vertical="center"/>
    </xf>
    <xf numFmtId="178" fontId="3" fillId="12" borderId="4" xfId="0" applyNumberFormat="1" applyFont="1" applyFill="1" applyBorder="1">
      <alignment vertical="center"/>
    </xf>
    <xf numFmtId="178" fontId="3" fillId="13" borderId="4" xfId="0" applyNumberFormat="1" applyFont="1" applyFill="1" applyBorder="1">
      <alignment vertical="center"/>
    </xf>
    <xf numFmtId="178" fontId="3" fillId="16" borderId="4" xfId="0" applyNumberFormat="1" applyFont="1" applyFill="1" applyBorder="1">
      <alignment vertical="center"/>
    </xf>
    <xf numFmtId="178" fontId="3" fillId="33" borderId="4" xfId="0" applyNumberFormat="1" applyFont="1" applyFill="1" applyBorder="1">
      <alignment vertical="center"/>
    </xf>
    <xf numFmtId="178" fontId="3" fillId="15" borderId="4" xfId="0" applyNumberFormat="1" applyFont="1" applyFill="1" applyBorder="1">
      <alignment vertical="center"/>
    </xf>
    <xf numFmtId="49" fontId="0" fillId="17" borderId="4" xfId="0" applyNumberFormat="1" applyFill="1" applyBorder="1">
      <alignment vertical="center"/>
    </xf>
    <xf numFmtId="49" fontId="0" fillId="55" borderId="4" xfId="0" applyNumberFormat="1" applyFill="1" applyBorder="1">
      <alignment vertical="center"/>
    </xf>
    <xf numFmtId="49" fontId="0" fillId="18" borderId="4" xfId="0" applyNumberFormat="1" applyFill="1" applyBorder="1">
      <alignment vertical="center"/>
    </xf>
    <xf numFmtId="49" fontId="0" fillId="19" borderId="4" xfId="0" applyNumberFormat="1" applyFill="1" applyBorder="1">
      <alignment vertical="center"/>
    </xf>
    <xf numFmtId="49" fontId="0" fillId="20" borderId="4" xfId="0" applyNumberFormat="1" applyFill="1" applyBorder="1">
      <alignment vertical="center"/>
    </xf>
    <xf numFmtId="49" fontId="0" fillId="21" borderId="4" xfId="0" applyNumberFormat="1" applyFill="1" applyBorder="1">
      <alignment vertical="center"/>
    </xf>
    <xf numFmtId="49" fontId="0" fillId="22" borderId="4" xfId="0" applyNumberFormat="1" applyFill="1" applyBorder="1">
      <alignment vertical="center"/>
    </xf>
    <xf numFmtId="49" fontId="0" fillId="23" borderId="4" xfId="0" applyNumberFormat="1" applyFill="1" applyBorder="1">
      <alignment vertical="center"/>
    </xf>
    <xf numFmtId="49" fontId="0" fillId="24" borderId="4" xfId="0" applyNumberFormat="1" applyFill="1" applyBorder="1">
      <alignment vertical="center"/>
    </xf>
    <xf numFmtId="49" fontId="0" fillId="25" borderId="4" xfId="0" applyNumberFormat="1" applyFill="1" applyBorder="1">
      <alignment vertical="center"/>
    </xf>
    <xf numFmtId="49" fontId="0" fillId="26" borderId="4" xfId="0" applyNumberFormat="1" applyFill="1" applyBorder="1">
      <alignment vertical="center"/>
    </xf>
    <xf numFmtId="49" fontId="0" fillId="27" borderId="4" xfId="0" applyNumberFormat="1" applyFill="1" applyBorder="1">
      <alignment vertical="center"/>
    </xf>
    <xf numFmtId="49" fontId="0" fillId="114" borderId="4" xfId="0" applyNumberFormat="1" applyFill="1" applyBorder="1">
      <alignment vertical="center"/>
    </xf>
    <xf numFmtId="49" fontId="0" fillId="115" borderId="4" xfId="0" applyNumberFormat="1" applyFill="1" applyBorder="1">
      <alignment vertical="center"/>
    </xf>
    <xf numFmtId="49" fontId="0" fillId="90" borderId="4" xfId="0" applyNumberFormat="1" applyFill="1" applyBorder="1">
      <alignment vertical="center"/>
    </xf>
    <xf numFmtId="49" fontId="0" fillId="28" borderId="4" xfId="0" applyNumberFormat="1" applyFill="1" applyBorder="1">
      <alignment vertical="center"/>
    </xf>
    <xf numFmtId="49" fontId="0" fillId="118" borderId="4" xfId="0" applyNumberFormat="1" applyFill="1" applyBorder="1">
      <alignment vertical="center"/>
    </xf>
    <xf numFmtId="49" fontId="0" fillId="30" borderId="4" xfId="0" applyNumberFormat="1" applyFill="1" applyBorder="1">
      <alignment vertical="center"/>
    </xf>
    <xf numFmtId="178" fontId="3" fillId="17" borderId="4" xfId="0" applyNumberFormat="1" applyFont="1" applyFill="1" applyBorder="1">
      <alignment vertical="center"/>
    </xf>
    <xf numFmtId="178" fontId="3" fillId="55" borderId="4" xfId="0" applyNumberFormat="1" applyFont="1" applyFill="1" applyBorder="1">
      <alignment vertical="center"/>
    </xf>
    <xf numFmtId="178" fontId="3" fillId="18" borderId="4" xfId="0" applyNumberFormat="1" applyFont="1" applyFill="1" applyBorder="1">
      <alignment vertical="center"/>
    </xf>
    <xf numFmtId="178" fontId="3" fillId="19" borderId="4" xfId="0" applyNumberFormat="1" applyFont="1" applyFill="1" applyBorder="1">
      <alignment vertical="center"/>
    </xf>
    <xf numFmtId="178" fontId="3" fillId="20" borderId="4" xfId="0" applyNumberFormat="1" applyFont="1" applyFill="1" applyBorder="1">
      <alignment vertical="center"/>
    </xf>
    <xf numFmtId="178" fontId="3" fillId="21" borderId="4" xfId="0" applyNumberFormat="1" applyFont="1" applyFill="1" applyBorder="1">
      <alignment vertical="center"/>
    </xf>
    <xf numFmtId="178" fontId="3" fillId="22" borderId="4" xfId="0" applyNumberFormat="1" applyFont="1" applyFill="1" applyBorder="1">
      <alignment vertical="center"/>
    </xf>
    <xf numFmtId="178" fontId="3" fillId="23" borderId="4" xfId="0" applyNumberFormat="1" applyFont="1" applyFill="1" applyBorder="1">
      <alignment vertical="center"/>
    </xf>
    <xf numFmtId="178" fontId="3" fillId="24" borderId="4" xfId="0" applyNumberFormat="1" applyFont="1" applyFill="1" applyBorder="1">
      <alignment vertical="center"/>
    </xf>
    <xf numFmtId="178" fontId="3" fillId="31" borderId="4" xfId="0" applyNumberFormat="1" applyFont="1" applyFill="1" applyBorder="1">
      <alignment vertical="center"/>
    </xf>
    <xf numFmtId="178" fontId="3" fillId="32" borderId="4" xfId="0" applyNumberFormat="1" applyFont="1" applyFill="1" applyBorder="1">
      <alignment vertical="center"/>
    </xf>
    <xf numFmtId="178" fontId="3" fillId="27" borderId="4" xfId="0" applyNumberFormat="1" applyFont="1" applyFill="1" applyBorder="1">
      <alignment vertical="center"/>
    </xf>
    <xf numFmtId="178" fontId="3" fillId="116" borderId="4" xfId="0" applyNumberFormat="1" applyFont="1" applyFill="1" applyBorder="1">
      <alignment vertical="center"/>
    </xf>
    <xf numFmtId="178" fontId="3" fillId="117" borderId="4" xfId="0" applyNumberFormat="1" applyFont="1" applyFill="1" applyBorder="1">
      <alignment vertical="center"/>
    </xf>
    <xf numFmtId="178" fontId="3" fillId="110" borderId="4" xfId="0" applyNumberFormat="1" applyFont="1" applyFill="1" applyBorder="1">
      <alignment vertical="center"/>
    </xf>
    <xf numFmtId="178" fontId="3" fillId="28" borderId="4" xfId="0" applyNumberFormat="1" applyFont="1" applyFill="1" applyBorder="1">
      <alignment vertical="center"/>
    </xf>
    <xf numFmtId="178" fontId="3" fillId="118" borderId="4" xfId="0" applyNumberFormat="1" applyFont="1" applyFill="1" applyBorder="1">
      <alignment vertical="center"/>
    </xf>
    <xf numFmtId="178" fontId="3" fillId="34" borderId="4" xfId="0" applyNumberFormat="1" applyFont="1" applyFill="1" applyBorder="1">
      <alignment vertical="center"/>
    </xf>
    <xf numFmtId="178" fontId="1" fillId="2" borderId="12" xfId="0" applyNumberFormat="1" applyFont="1" applyFill="1" applyBorder="1">
      <alignment vertical="center"/>
    </xf>
    <xf numFmtId="176" fontId="1" fillId="2" borderId="8" xfId="0" applyNumberFormat="1" applyFont="1" applyFill="1" applyBorder="1" applyAlignment="1">
      <alignment horizontal="center" vertical="center"/>
    </xf>
    <xf numFmtId="3" fontId="1" fillId="2" borderId="9" xfId="0" applyNumberFormat="1" applyFont="1" applyFill="1" applyBorder="1" applyAlignment="1">
      <alignment horizontal="center" vertical="center" wrapText="1"/>
    </xf>
    <xf numFmtId="179" fontId="1" fillId="2" borderId="8" xfId="1" applyNumberFormat="1" applyFont="1" applyFill="1" applyBorder="1" applyAlignment="1">
      <alignment horizontal="center" vertical="center"/>
    </xf>
    <xf numFmtId="179" fontId="1" fillId="2" borderId="15" xfId="1" applyNumberFormat="1" applyFont="1" applyFill="1" applyBorder="1" applyAlignment="1">
      <alignment horizontal="center" vertical="center"/>
    </xf>
    <xf numFmtId="178" fontId="0" fillId="98" borderId="5" xfId="1" applyNumberFormat="1" applyFont="1" applyFill="1" applyBorder="1">
      <alignment vertical="center"/>
    </xf>
    <xf numFmtId="178" fontId="0" fillId="98" borderId="3" xfId="1" applyNumberFormat="1" applyFont="1" applyFill="1" applyBorder="1">
      <alignment vertical="center"/>
    </xf>
    <xf numFmtId="178" fontId="0" fillId="67" borderId="5" xfId="1" applyNumberFormat="1" applyFont="1" applyFill="1" applyBorder="1">
      <alignment vertical="center"/>
    </xf>
    <xf numFmtId="178" fontId="0" fillId="67" borderId="3" xfId="1" applyNumberFormat="1" applyFont="1" applyFill="1" applyBorder="1">
      <alignment vertical="center"/>
    </xf>
    <xf numFmtId="178" fontId="0" fillId="9" borderId="5" xfId="1" applyNumberFormat="1" applyFont="1" applyFill="1" applyBorder="1">
      <alignment vertical="center"/>
    </xf>
    <xf numFmtId="178" fontId="0" fillId="9" borderId="3" xfId="1" applyNumberFormat="1" applyFont="1" applyFill="1" applyBorder="1">
      <alignment vertical="center"/>
    </xf>
    <xf numFmtId="178" fontId="0" fillId="68" borderId="5" xfId="1" applyNumberFormat="1" applyFont="1" applyFill="1" applyBorder="1">
      <alignment vertical="center"/>
    </xf>
    <xf numFmtId="178" fontId="0" fillId="68" borderId="3" xfId="1" applyNumberFormat="1" applyFont="1" applyFill="1" applyBorder="1">
      <alignment vertical="center"/>
    </xf>
    <xf numFmtId="178" fontId="0" fillId="29" borderId="3" xfId="1" applyNumberFormat="1" applyFont="1" applyFill="1" applyBorder="1">
      <alignment vertical="center"/>
    </xf>
    <xf numFmtId="178" fontId="0" fillId="69" borderId="5" xfId="1" applyNumberFormat="1" applyFont="1" applyFill="1" applyBorder="1">
      <alignment vertical="center"/>
    </xf>
    <xf numFmtId="178" fontId="0" fillId="69" borderId="3" xfId="1" applyNumberFormat="1" applyFont="1" applyFill="1" applyBorder="1">
      <alignment vertical="center"/>
    </xf>
    <xf numFmtId="178" fontId="0" fillId="70" borderId="5" xfId="1" applyNumberFormat="1" applyFont="1" applyFill="1" applyBorder="1">
      <alignment vertical="center"/>
    </xf>
    <xf numFmtId="178" fontId="0" fillId="70" borderId="3" xfId="1" applyNumberFormat="1" applyFont="1" applyFill="1" applyBorder="1">
      <alignment vertical="center"/>
    </xf>
    <xf numFmtId="178" fontId="0" fillId="114" borderId="5" xfId="1" applyNumberFormat="1" applyFont="1" applyFill="1" applyBorder="1">
      <alignment vertical="center"/>
    </xf>
    <xf numFmtId="178" fontId="0" fillId="114" borderId="3" xfId="1" applyNumberFormat="1" applyFont="1" applyFill="1" applyBorder="1">
      <alignment vertical="center"/>
    </xf>
    <xf numFmtId="178" fontId="0" fillId="118" borderId="5" xfId="1" applyNumberFormat="1" applyFont="1" applyFill="1" applyBorder="1">
      <alignment vertical="center"/>
    </xf>
    <xf numFmtId="178" fontId="0" fillId="118" borderId="3" xfId="1" applyNumberFormat="1" applyFont="1" applyFill="1" applyBorder="1">
      <alignment vertical="center"/>
    </xf>
    <xf numFmtId="178" fontId="0" fillId="119" borderId="5" xfId="1" applyNumberFormat="1" applyFont="1" applyFill="1" applyBorder="1">
      <alignment vertical="center"/>
    </xf>
    <xf numFmtId="178" fontId="0" fillId="119" borderId="3" xfId="1" applyNumberFormat="1" applyFont="1" applyFill="1" applyBorder="1">
      <alignment vertical="center"/>
    </xf>
    <xf numFmtId="178" fontId="0" fillId="57" borderId="5" xfId="1" applyNumberFormat="1" applyFont="1" applyFill="1" applyBorder="1">
      <alignment vertical="center"/>
    </xf>
    <xf numFmtId="178" fontId="0" fillId="57" borderId="3" xfId="1" applyNumberFormat="1" applyFont="1" applyFill="1" applyBorder="1">
      <alignment vertical="center"/>
    </xf>
    <xf numFmtId="178" fontId="0" fillId="12" borderId="5" xfId="1" applyNumberFormat="1" applyFont="1" applyFill="1" applyBorder="1">
      <alignment vertical="center"/>
    </xf>
    <xf numFmtId="178" fontId="0" fillId="12" borderId="3" xfId="1" applyNumberFormat="1" applyFont="1" applyFill="1" applyBorder="1">
      <alignment vertical="center"/>
    </xf>
    <xf numFmtId="178" fontId="0" fillId="71" borderId="5" xfId="1" applyNumberFormat="1" applyFont="1" applyFill="1" applyBorder="1">
      <alignment vertical="center"/>
    </xf>
    <xf numFmtId="178" fontId="0" fillId="71" borderId="3" xfId="1" applyNumberFormat="1" applyFont="1" applyFill="1" applyBorder="1">
      <alignment vertical="center"/>
    </xf>
    <xf numFmtId="178" fontId="0" fillId="104" borderId="5" xfId="1" applyNumberFormat="1" applyFont="1" applyFill="1" applyBorder="1">
      <alignment vertical="center"/>
    </xf>
    <xf numFmtId="178" fontId="0" fillId="104" borderId="3" xfId="1" applyNumberFormat="1" applyFont="1" applyFill="1" applyBorder="1">
      <alignment vertical="center"/>
    </xf>
    <xf numFmtId="178" fontId="0" fillId="72" borderId="5" xfId="1" applyNumberFormat="1" applyFont="1" applyFill="1" applyBorder="1">
      <alignment vertical="center"/>
    </xf>
    <xf numFmtId="178" fontId="0" fillId="72" borderId="3" xfId="1" applyNumberFormat="1" applyFont="1" applyFill="1" applyBorder="1">
      <alignment vertical="center"/>
    </xf>
    <xf numFmtId="178" fontId="0" fillId="73" borderId="5" xfId="1" applyNumberFormat="1" applyFont="1" applyFill="1" applyBorder="1">
      <alignment vertical="center"/>
    </xf>
    <xf numFmtId="178" fontId="0" fillId="73" borderId="3" xfId="1" applyNumberFormat="1" applyFont="1" applyFill="1" applyBorder="1">
      <alignment vertical="center"/>
    </xf>
    <xf numFmtId="178" fontId="0" fillId="74" borderId="5" xfId="1" applyNumberFormat="1" applyFont="1" applyFill="1" applyBorder="1">
      <alignment vertical="center"/>
    </xf>
    <xf numFmtId="178" fontId="0" fillId="74" borderId="3" xfId="1" applyNumberFormat="1" applyFont="1" applyFill="1" applyBorder="1">
      <alignment vertical="center"/>
    </xf>
    <xf numFmtId="178" fontId="0" fillId="13" borderId="5" xfId="1" applyNumberFormat="1" applyFont="1" applyFill="1" applyBorder="1">
      <alignment vertical="center"/>
    </xf>
    <xf numFmtId="178" fontId="0" fillId="13" borderId="3" xfId="1" applyNumberFormat="1" applyFont="1" applyFill="1" applyBorder="1">
      <alignment vertical="center"/>
    </xf>
    <xf numFmtId="178" fontId="0" fillId="109" borderId="5" xfId="1" applyNumberFormat="1" applyFont="1" applyFill="1" applyBorder="1">
      <alignment vertical="center"/>
    </xf>
    <xf numFmtId="178" fontId="0" fillId="109" borderId="3" xfId="1" applyNumberFormat="1" applyFont="1" applyFill="1" applyBorder="1">
      <alignment vertical="center"/>
    </xf>
    <xf numFmtId="178" fontId="0" fillId="76" borderId="5" xfId="1" applyNumberFormat="1" applyFont="1" applyFill="1" applyBorder="1">
      <alignment vertical="center"/>
    </xf>
    <xf numFmtId="178" fontId="0" fillId="76" borderId="3" xfId="1" applyNumberFormat="1" applyFont="1" applyFill="1" applyBorder="1">
      <alignment vertical="center"/>
    </xf>
    <xf numFmtId="178" fontId="0" fillId="77" borderId="5" xfId="1" applyNumberFormat="1" applyFont="1" applyFill="1" applyBorder="1">
      <alignment vertical="center"/>
    </xf>
    <xf numFmtId="178" fontId="0" fillId="77" borderId="3" xfId="1" applyNumberFormat="1" applyFont="1" applyFill="1" applyBorder="1">
      <alignment vertical="center"/>
    </xf>
    <xf numFmtId="178" fontId="0" fillId="78" borderId="5" xfId="1" applyNumberFormat="1" applyFont="1" applyFill="1" applyBorder="1">
      <alignment vertical="center"/>
    </xf>
    <xf numFmtId="178" fontId="0" fillId="78" borderId="3" xfId="1" applyNumberFormat="1" applyFont="1" applyFill="1" applyBorder="1">
      <alignment vertical="center"/>
    </xf>
    <xf numFmtId="178" fontId="0" fillId="79" borderId="5" xfId="1" applyNumberFormat="1" applyFont="1" applyFill="1" applyBorder="1">
      <alignment vertical="center"/>
    </xf>
    <xf numFmtId="178" fontId="0" fillId="79" borderId="3" xfId="1" applyNumberFormat="1" applyFont="1" applyFill="1" applyBorder="1">
      <alignment vertical="center"/>
    </xf>
    <xf numFmtId="178" fontId="0" fillId="80" borderId="5" xfId="1" applyNumberFormat="1" applyFont="1" applyFill="1" applyBorder="1">
      <alignment vertical="center"/>
    </xf>
    <xf numFmtId="178" fontId="0" fillId="80" borderId="3" xfId="1" applyNumberFormat="1" applyFont="1" applyFill="1" applyBorder="1">
      <alignment vertical="center"/>
    </xf>
    <xf numFmtId="178" fontId="0" fillId="81" borderId="5" xfId="1" applyNumberFormat="1" applyFont="1" applyFill="1" applyBorder="1">
      <alignment vertical="center"/>
    </xf>
    <xf numFmtId="178" fontId="0" fillId="81" borderId="3" xfId="1" applyNumberFormat="1" applyFont="1" applyFill="1" applyBorder="1">
      <alignment vertical="center"/>
    </xf>
    <xf numFmtId="178" fontId="0" fillId="82" borderId="5" xfId="1" applyNumberFormat="1" applyFont="1" applyFill="1" applyBorder="1">
      <alignment vertical="center"/>
    </xf>
    <xf numFmtId="178" fontId="0" fillId="82" borderId="3" xfId="1" applyNumberFormat="1" applyFont="1" applyFill="1" applyBorder="1">
      <alignment vertical="center"/>
    </xf>
    <xf numFmtId="178" fontId="0" fillId="115" borderId="5" xfId="1" applyNumberFormat="1" applyFont="1" applyFill="1" applyBorder="1">
      <alignment vertical="center"/>
    </xf>
    <xf numFmtId="178" fontId="0" fillId="115" borderId="3" xfId="1" applyNumberFormat="1" applyFont="1" applyFill="1" applyBorder="1">
      <alignment vertical="center"/>
    </xf>
    <xf numFmtId="178" fontId="0" fillId="83" borderId="5" xfId="1" applyNumberFormat="1" applyFont="1" applyFill="1" applyBorder="1">
      <alignment vertical="center"/>
    </xf>
    <xf numFmtId="178" fontId="0" fillId="83" borderId="3" xfId="1" applyNumberFormat="1" applyFont="1" applyFill="1" applyBorder="1">
      <alignment vertical="center"/>
    </xf>
    <xf numFmtId="178" fontId="0" fillId="84" borderId="5" xfId="1" applyNumberFormat="1" applyFont="1" applyFill="1" applyBorder="1">
      <alignment vertical="center"/>
    </xf>
    <xf numFmtId="178" fontId="0" fillId="84" borderId="3" xfId="1" applyNumberFormat="1" applyFont="1" applyFill="1" applyBorder="1">
      <alignment vertical="center"/>
    </xf>
    <xf numFmtId="9" fontId="0" fillId="120" borderId="5" xfId="2" applyFont="1" applyFill="1" applyBorder="1">
      <alignment vertical="center"/>
    </xf>
    <xf numFmtId="178" fontId="0" fillId="120" borderId="5" xfId="1" applyNumberFormat="1" applyFont="1" applyFill="1" applyBorder="1">
      <alignment vertical="center"/>
    </xf>
    <xf numFmtId="178" fontId="0" fillId="120" borderId="3" xfId="1" applyNumberFormat="1" applyFont="1" applyFill="1" applyBorder="1">
      <alignment vertical="center"/>
    </xf>
    <xf numFmtId="178" fontId="0" fillId="85" borderId="5" xfId="1" applyNumberFormat="1" applyFont="1" applyFill="1" applyBorder="1">
      <alignment vertical="center"/>
    </xf>
    <xf numFmtId="178" fontId="0" fillId="85" borderId="3" xfId="1" applyNumberFormat="1" applyFont="1" applyFill="1" applyBorder="1">
      <alignment vertical="center"/>
    </xf>
    <xf numFmtId="178" fontId="0" fillId="86" borderId="5" xfId="1" applyNumberFormat="1" applyFont="1" applyFill="1" applyBorder="1">
      <alignment vertical="center"/>
    </xf>
    <xf numFmtId="178" fontId="0" fillId="86" borderId="3" xfId="1" applyNumberFormat="1" applyFont="1" applyFill="1" applyBorder="1">
      <alignment vertical="center"/>
    </xf>
    <xf numFmtId="178" fontId="0" fillId="87" borderId="5" xfId="1" applyNumberFormat="1" applyFont="1" applyFill="1" applyBorder="1">
      <alignment vertical="center"/>
    </xf>
    <xf numFmtId="178" fontId="0" fillId="87" borderId="3" xfId="1" applyNumberFormat="1" applyFont="1" applyFill="1" applyBorder="1">
      <alignment vertical="center"/>
    </xf>
    <xf numFmtId="178" fontId="0" fillId="88" borderId="5" xfId="1" applyNumberFormat="1" applyFont="1" applyFill="1" applyBorder="1">
      <alignment vertical="center"/>
    </xf>
    <xf numFmtId="178" fontId="0" fillId="88" borderId="3" xfId="1" applyNumberFormat="1" applyFont="1" applyFill="1" applyBorder="1">
      <alignment vertical="center"/>
    </xf>
    <xf numFmtId="178" fontId="0" fillId="121" borderId="5" xfId="1" applyNumberFormat="1" applyFont="1" applyFill="1" applyBorder="1">
      <alignment vertical="center"/>
    </xf>
    <xf numFmtId="178" fontId="0" fillId="121" borderId="3" xfId="1" applyNumberFormat="1" applyFont="1" applyFill="1" applyBorder="1">
      <alignment vertical="center"/>
    </xf>
    <xf numFmtId="178" fontId="0" fillId="89" borderId="5" xfId="1" applyNumberFormat="1" applyFont="1" applyFill="1" applyBorder="1">
      <alignment vertical="center"/>
    </xf>
    <xf numFmtId="178" fontId="0" fillId="89" borderId="3" xfId="1" applyNumberFormat="1" applyFont="1" applyFill="1" applyBorder="1">
      <alignment vertical="center"/>
    </xf>
    <xf numFmtId="178" fontId="0" fillId="110" borderId="5" xfId="1" applyNumberFormat="1" applyFont="1" applyFill="1" applyBorder="1">
      <alignment vertical="center"/>
    </xf>
    <xf numFmtId="178" fontId="0" fillId="110" borderId="3" xfId="1" applyNumberFormat="1" applyFont="1" applyFill="1" applyBorder="1">
      <alignment vertical="center"/>
    </xf>
    <xf numFmtId="178" fontId="0" fillId="91" borderId="5" xfId="1" applyNumberFormat="1" applyFont="1" applyFill="1" applyBorder="1">
      <alignment vertical="center"/>
    </xf>
    <xf numFmtId="178" fontId="0" fillId="91" borderId="3" xfId="1" applyNumberFormat="1" applyFont="1" applyFill="1" applyBorder="1">
      <alignment vertical="center"/>
    </xf>
    <xf numFmtId="178" fontId="0" fillId="92" borderId="5" xfId="1" applyNumberFormat="1" applyFont="1" applyFill="1" applyBorder="1">
      <alignment vertical="center"/>
    </xf>
    <xf numFmtId="178" fontId="0" fillId="92" borderId="3" xfId="1" applyNumberFormat="1" applyFont="1" applyFill="1" applyBorder="1">
      <alignment vertical="center"/>
    </xf>
    <xf numFmtId="178" fontId="0" fillId="93" borderId="5" xfId="1" applyNumberFormat="1" applyFont="1" applyFill="1" applyBorder="1">
      <alignment vertical="center"/>
    </xf>
    <xf numFmtId="178" fontId="0" fillId="93" borderId="3" xfId="1" applyNumberFormat="1" applyFont="1" applyFill="1" applyBorder="1">
      <alignment vertical="center"/>
    </xf>
    <xf numFmtId="178" fontId="0" fillId="94" borderId="5" xfId="1" applyNumberFormat="1" applyFont="1" applyFill="1" applyBorder="1">
      <alignment vertical="center"/>
    </xf>
    <xf numFmtId="178" fontId="0" fillId="94" borderId="3" xfId="1" applyNumberFormat="1" applyFont="1" applyFill="1" applyBorder="1">
      <alignment vertical="center"/>
    </xf>
    <xf numFmtId="178" fontId="0" fillId="95" borderId="5" xfId="1" applyNumberFormat="1" applyFont="1" applyFill="1" applyBorder="1">
      <alignment vertical="center"/>
    </xf>
    <xf numFmtId="178" fontId="0" fillId="95" borderId="3" xfId="1" applyNumberFormat="1" applyFont="1" applyFill="1" applyBorder="1">
      <alignment vertical="center"/>
    </xf>
    <xf numFmtId="178" fontId="0" fillId="122" borderId="5" xfId="1" applyNumberFormat="1" applyFont="1" applyFill="1" applyBorder="1">
      <alignment vertical="center"/>
    </xf>
    <xf numFmtId="178" fontId="0" fillId="122" borderId="3" xfId="1" applyNumberFormat="1" applyFont="1" applyFill="1" applyBorder="1">
      <alignment vertical="center"/>
    </xf>
    <xf numFmtId="178" fontId="0" fillId="61" borderId="5" xfId="1" applyNumberFormat="1" applyFont="1" applyFill="1" applyBorder="1">
      <alignment vertical="center"/>
    </xf>
    <xf numFmtId="178" fontId="0" fillId="61" borderId="3" xfId="1" applyNumberFormat="1" applyFont="1" applyFill="1" applyBorder="1">
      <alignment vertical="center"/>
    </xf>
    <xf numFmtId="178" fontId="0" fillId="96" borderId="5" xfId="1" applyNumberFormat="1" applyFont="1" applyFill="1" applyBorder="1">
      <alignment vertical="center"/>
    </xf>
    <xf numFmtId="178" fontId="0" fillId="96" borderId="3" xfId="1" applyNumberFormat="1" applyFont="1" applyFill="1" applyBorder="1">
      <alignment vertical="center"/>
    </xf>
    <xf numFmtId="178" fontId="0" fillId="97" borderId="5" xfId="1" applyNumberFormat="1" applyFont="1" applyFill="1" applyBorder="1">
      <alignment vertical="center"/>
    </xf>
    <xf numFmtId="178" fontId="0" fillId="97" borderId="3" xfId="1" applyNumberFormat="1" applyFont="1" applyFill="1" applyBorder="1">
      <alignment vertical="center"/>
    </xf>
    <xf numFmtId="178" fontId="0" fillId="62" borderId="5" xfId="1" applyNumberFormat="1" applyFont="1" applyFill="1" applyBorder="1">
      <alignment vertical="center"/>
    </xf>
    <xf numFmtId="178" fontId="0" fillId="62" borderId="3" xfId="1" applyNumberFormat="1" applyFont="1" applyFill="1" applyBorder="1">
      <alignment vertical="center"/>
    </xf>
    <xf numFmtId="178" fontId="0" fillId="99" borderId="5" xfId="1" applyNumberFormat="1" applyFont="1" applyFill="1" applyBorder="1">
      <alignment vertical="center"/>
    </xf>
    <xf numFmtId="178" fontId="0" fillId="99" borderId="3" xfId="1" applyNumberFormat="1" applyFont="1" applyFill="1" applyBorder="1">
      <alignment vertical="center"/>
    </xf>
    <xf numFmtId="178" fontId="7" fillId="92" borderId="5" xfId="1" applyNumberFormat="1" applyFont="1" applyFill="1" applyBorder="1">
      <alignment vertical="center"/>
    </xf>
    <xf numFmtId="178" fontId="7" fillId="92" borderId="3" xfId="1" applyNumberFormat="1" applyFont="1" applyFill="1" applyBorder="1">
      <alignment vertical="center"/>
    </xf>
    <xf numFmtId="178" fontId="0" fillId="101" borderId="5" xfId="1" applyNumberFormat="1" applyFont="1" applyFill="1" applyBorder="1">
      <alignment vertical="center"/>
    </xf>
    <xf numFmtId="178" fontId="0" fillId="101" borderId="3" xfId="1" applyNumberFormat="1" applyFont="1" applyFill="1" applyBorder="1">
      <alignment vertical="center"/>
    </xf>
    <xf numFmtId="178" fontId="0" fillId="102" borderId="5" xfId="1" applyNumberFormat="1" applyFont="1" applyFill="1" applyBorder="1">
      <alignment vertical="center"/>
    </xf>
    <xf numFmtId="178" fontId="0" fillId="102" borderId="3" xfId="1" applyNumberFormat="1" applyFont="1" applyFill="1" applyBorder="1">
      <alignment vertical="center"/>
    </xf>
    <xf numFmtId="178" fontId="0" fillId="111" borderId="5" xfId="1" applyNumberFormat="1" applyFont="1" applyFill="1" applyBorder="1">
      <alignment vertical="center"/>
    </xf>
    <xf numFmtId="178" fontId="0" fillId="111" borderId="3" xfId="1" applyNumberFormat="1" applyFont="1" applyFill="1" applyBorder="1">
      <alignment vertical="center"/>
    </xf>
    <xf numFmtId="178" fontId="0" fillId="112" borderId="5" xfId="1" applyNumberFormat="1" applyFont="1" applyFill="1" applyBorder="1">
      <alignment vertical="center"/>
    </xf>
    <xf numFmtId="178" fontId="0" fillId="112" borderId="3" xfId="1" applyNumberFormat="1" applyFont="1" applyFill="1" applyBorder="1">
      <alignment vertical="center"/>
    </xf>
    <xf numFmtId="178" fontId="0" fillId="63" borderId="5" xfId="1" applyNumberFormat="1" applyFont="1" applyFill="1" applyBorder="1">
      <alignment vertical="center"/>
    </xf>
    <xf numFmtId="178" fontId="0" fillId="63" borderId="3" xfId="1" applyNumberFormat="1" applyFont="1" applyFill="1" applyBorder="1">
      <alignment vertical="center"/>
    </xf>
    <xf numFmtId="178" fontId="0" fillId="33" borderId="5" xfId="1" applyNumberFormat="1" applyFont="1" applyFill="1" applyBorder="1">
      <alignment vertical="center"/>
    </xf>
    <xf numFmtId="178" fontId="0" fillId="33" borderId="3" xfId="1" applyNumberFormat="1" applyFont="1" applyFill="1" applyBorder="1">
      <alignment vertical="center"/>
    </xf>
    <xf numFmtId="178" fontId="0" fillId="113" borderId="5" xfId="1" applyNumberFormat="1" applyFont="1" applyFill="1" applyBorder="1">
      <alignment vertical="center"/>
    </xf>
    <xf numFmtId="178" fontId="0" fillId="113" borderId="3" xfId="1" applyNumberFormat="1" applyFont="1" applyFill="1" applyBorder="1">
      <alignment vertical="center"/>
    </xf>
    <xf numFmtId="178" fontId="0" fillId="106" borderId="5" xfId="1" applyNumberFormat="1" applyFont="1" applyFill="1" applyBorder="1">
      <alignment vertical="center"/>
    </xf>
    <xf numFmtId="178" fontId="0" fillId="106" borderId="3" xfId="1" applyNumberFormat="1" applyFont="1" applyFill="1" applyBorder="1">
      <alignment vertical="center"/>
    </xf>
    <xf numFmtId="178" fontId="0" fillId="107" borderId="5" xfId="1" applyNumberFormat="1" applyFont="1" applyFill="1" applyBorder="1">
      <alignment vertical="center"/>
    </xf>
    <xf numFmtId="178" fontId="0" fillId="107" borderId="3" xfId="1" applyNumberFormat="1" applyFont="1" applyFill="1" applyBorder="1">
      <alignment vertical="center"/>
    </xf>
    <xf numFmtId="178" fontId="0" fillId="108" borderId="5" xfId="1" applyNumberFormat="1" applyFont="1" applyFill="1" applyBorder="1">
      <alignment vertical="center"/>
    </xf>
    <xf numFmtId="178" fontId="0" fillId="108" borderId="3" xfId="1" applyNumberFormat="1" applyFont="1" applyFill="1" applyBorder="1">
      <alignment vertical="center"/>
    </xf>
    <xf numFmtId="178" fontId="0" fillId="34" borderId="5" xfId="1" applyNumberFormat="1" applyFont="1" applyFill="1" applyBorder="1">
      <alignment vertical="center"/>
    </xf>
    <xf numFmtId="178" fontId="0" fillId="34" borderId="3" xfId="1" applyNumberFormat="1" applyFont="1" applyFill="1" applyBorder="1">
      <alignment vertical="center"/>
    </xf>
    <xf numFmtId="179" fontId="0" fillId="0" borderId="0" xfId="1" applyNumberFormat="1" applyFont="1">
      <alignment vertical="center"/>
    </xf>
    <xf numFmtId="49" fontId="7" fillId="91" borderId="4" xfId="0" applyNumberFormat="1" applyFont="1" applyFill="1" applyBorder="1">
      <alignment vertical="center"/>
    </xf>
    <xf numFmtId="49" fontId="7" fillId="92" borderId="4" xfId="0" applyNumberFormat="1" applyFont="1" applyFill="1" applyBorder="1">
      <alignment vertical="center"/>
    </xf>
    <xf numFmtId="178" fontId="0" fillId="29" borderId="5" xfId="1" applyNumberFormat="1" applyFont="1" applyFill="1" applyBorder="1">
      <alignment vertical="center"/>
    </xf>
    <xf numFmtId="176" fontId="7" fillId="92" borderId="5" xfId="0" applyNumberFormat="1" applyFont="1" applyFill="1" applyBorder="1">
      <alignment vertical="center"/>
    </xf>
    <xf numFmtId="3" fontId="7" fillId="92" borderId="6" xfId="0" applyNumberFormat="1" applyFont="1" applyFill="1" applyBorder="1" applyAlignment="1">
      <alignment horizontal="center" vertical="center"/>
    </xf>
    <xf numFmtId="178" fontId="0" fillId="14" borderId="5" xfId="1" applyNumberFormat="1" applyFont="1" applyFill="1" applyBorder="1">
      <alignment vertical="center"/>
    </xf>
    <xf numFmtId="178" fontId="0" fillId="14" borderId="3" xfId="1" applyNumberFormat="1" applyFont="1" applyFill="1" applyBorder="1">
      <alignment vertical="center"/>
    </xf>
    <xf numFmtId="49" fontId="7" fillId="114" borderId="5" xfId="0" applyNumberFormat="1" applyFont="1" applyFill="1" applyBorder="1">
      <alignment vertical="center"/>
    </xf>
    <xf numFmtId="49" fontId="7" fillId="114" borderId="4" xfId="0" applyNumberFormat="1" applyFont="1" applyFill="1" applyBorder="1">
      <alignment vertical="center"/>
    </xf>
    <xf numFmtId="178" fontId="7" fillId="114" borderId="5" xfId="1" applyNumberFormat="1" applyFont="1" applyFill="1" applyBorder="1">
      <alignment vertical="center"/>
    </xf>
    <xf numFmtId="178" fontId="7" fillId="114" borderId="3" xfId="1" applyNumberFormat="1" applyFont="1" applyFill="1" applyBorder="1">
      <alignment vertical="center"/>
    </xf>
    <xf numFmtId="176" fontId="7" fillId="114" borderId="5" xfId="0" applyNumberFormat="1" applyFont="1" applyFill="1" applyBorder="1">
      <alignment vertical="center"/>
    </xf>
    <xf numFmtId="3" fontId="7" fillId="114" borderId="6" xfId="0" applyNumberFormat="1" applyFont="1" applyFill="1" applyBorder="1" applyAlignment="1">
      <alignment horizontal="center" vertical="center"/>
    </xf>
    <xf numFmtId="49" fontId="0" fillId="98" borderId="4" xfId="0" applyNumberFormat="1" applyFill="1" applyBorder="1">
      <alignment vertical="center"/>
    </xf>
    <xf numFmtId="176" fontId="0" fillId="98" borderId="5" xfId="0" applyNumberFormat="1" applyFill="1" applyBorder="1">
      <alignment vertical="center"/>
    </xf>
    <xf numFmtId="3" fontId="0" fillId="98" borderId="6" xfId="0" applyNumberFormat="1" applyFill="1" applyBorder="1" applyAlignment="1">
      <alignment horizontal="center" vertical="center"/>
    </xf>
    <xf numFmtId="49" fontId="0" fillId="67" borderId="4" xfId="0" applyNumberFormat="1" applyFill="1" applyBorder="1">
      <alignment vertical="center"/>
    </xf>
    <xf numFmtId="176" fontId="0" fillId="67" borderId="5" xfId="0" applyNumberFormat="1" applyFill="1" applyBorder="1">
      <alignment vertical="center"/>
    </xf>
    <xf numFmtId="3" fontId="0" fillId="67" borderId="6" xfId="0" applyNumberFormat="1" applyFill="1" applyBorder="1" applyAlignment="1">
      <alignment horizontal="center" vertical="center"/>
    </xf>
    <xf numFmtId="49" fontId="0" fillId="68" borderId="4" xfId="0" applyNumberFormat="1" applyFill="1" applyBorder="1">
      <alignment vertical="center"/>
    </xf>
    <xf numFmtId="176" fontId="0" fillId="68" borderId="5" xfId="0" applyNumberFormat="1" applyFill="1" applyBorder="1">
      <alignment vertical="center"/>
    </xf>
    <xf numFmtId="3" fontId="0" fillId="68" borderId="6" xfId="0" applyNumberFormat="1" applyFill="1" applyBorder="1" applyAlignment="1">
      <alignment horizontal="center" vertical="center"/>
    </xf>
    <xf numFmtId="176" fontId="0" fillId="29" borderId="5" xfId="0" applyNumberFormat="1" applyFill="1" applyBorder="1">
      <alignment vertical="center"/>
    </xf>
    <xf numFmtId="3" fontId="0" fillId="29" borderId="6" xfId="0" applyNumberFormat="1" applyFill="1" applyBorder="1" applyAlignment="1">
      <alignment horizontal="center" vertical="center"/>
    </xf>
    <xf numFmtId="49" fontId="0" fillId="69" borderId="4" xfId="0" applyNumberFormat="1" applyFill="1" applyBorder="1">
      <alignment vertical="center"/>
    </xf>
    <xf numFmtId="178" fontId="0" fillId="69" borderId="5" xfId="0" applyNumberFormat="1" applyFill="1" applyBorder="1">
      <alignment vertical="center"/>
    </xf>
    <xf numFmtId="178" fontId="0" fillId="69" borderId="3" xfId="0" applyNumberFormat="1" applyFill="1" applyBorder="1">
      <alignment vertical="center"/>
    </xf>
    <xf numFmtId="176" fontId="0" fillId="69" borderId="5" xfId="0" applyNumberFormat="1" applyFill="1" applyBorder="1">
      <alignment vertical="center"/>
    </xf>
    <xf numFmtId="3" fontId="0" fillId="69" borderId="6" xfId="0" applyNumberFormat="1" applyFill="1" applyBorder="1" applyAlignment="1">
      <alignment horizontal="center" vertical="center"/>
    </xf>
    <xf numFmtId="49" fontId="0" fillId="70" borderId="4" xfId="0" applyNumberFormat="1" applyFill="1" applyBorder="1">
      <alignment vertical="center"/>
    </xf>
    <xf numFmtId="176" fontId="0" fillId="70" borderId="5" xfId="0" applyNumberFormat="1" applyFill="1" applyBorder="1">
      <alignment vertical="center"/>
    </xf>
    <xf numFmtId="3" fontId="0" fillId="70" borderId="6" xfId="0" applyNumberFormat="1" applyFill="1" applyBorder="1" applyAlignment="1">
      <alignment horizontal="center" vertical="center"/>
    </xf>
    <xf numFmtId="176" fontId="0" fillId="114" borderId="5" xfId="0" applyNumberFormat="1" applyFill="1" applyBorder="1">
      <alignment vertical="center"/>
    </xf>
    <xf numFmtId="3" fontId="0" fillId="114" borderId="6" xfId="0" applyNumberFormat="1" applyFill="1" applyBorder="1" applyAlignment="1">
      <alignment horizontal="center" vertical="center"/>
    </xf>
    <xf numFmtId="49" fontId="0" fillId="119" borderId="5" xfId="0" applyNumberFormat="1" applyFill="1" applyBorder="1">
      <alignment vertical="center"/>
    </xf>
    <xf numFmtId="49" fontId="0" fillId="119" borderId="4" xfId="0" applyNumberFormat="1" applyFill="1" applyBorder="1">
      <alignment vertical="center"/>
    </xf>
    <xf numFmtId="176" fontId="0" fillId="119" borderId="5" xfId="0" applyNumberFormat="1" applyFill="1" applyBorder="1">
      <alignment vertical="center"/>
    </xf>
    <xf numFmtId="3" fontId="0" fillId="119" borderId="6" xfId="0" applyNumberFormat="1" applyFill="1" applyBorder="1" applyAlignment="1">
      <alignment horizontal="center" vertical="center"/>
    </xf>
    <xf numFmtId="49" fontId="0" fillId="57" borderId="5" xfId="0" applyNumberFormat="1" applyFill="1" applyBorder="1">
      <alignment vertical="center"/>
    </xf>
    <xf numFmtId="49" fontId="0" fillId="57" borderId="4" xfId="0" applyNumberFormat="1" applyFill="1" applyBorder="1">
      <alignment vertical="center"/>
    </xf>
    <xf numFmtId="176" fontId="0" fillId="57" borderId="5" xfId="0" applyNumberFormat="1" applyFill="1" applyBorder="1">
      <alignment vertical="center"/>
    </xf>
    <xf numFmtId="3" fontId="0" fillId="57" borderId="6" xfId="0" applyNumberFormat="1" applyFill="1" applyBorder="1" applyAlignment="1">
      <alignment horizontal="center" vertical="center"/>
    </xf>
    <xf numFmtId="49" fontId="0" fillId="71" borderId="4" xfId="0" applyNumberFormat="1" applyFill="1" applyBorder="1">
      <alignment vertical="center"/>
    </xf>
    <xf numFmtId="176" fontId="0" fillId="71" borderId="5" xfId="0" applyNumberFormat="1" applyFill="1" applyBorder="1">
      <alignment vertical="center"/>
    </xf>
    <xf numFmtId="3" fontId="0" fillId="71" borderId="6" xfId="0" applyNumberFormat="1" applyFill="1" applyBorder="1" applyAlignment="1">
      <alignment horizontal="center" vertical="center"/>
    </xf>
    <xf numFmtId="49" fontId="0" fillId="104" borderId="4" xfId="0" applyNumberFormat="1" applyFill="1" applyBorder="1">
      <alignment vertical="center"/>
    </xf>
    <xf numFmtId="176" fontId="0" fillId="104" borderId="5" xfId="0" applyNumberFormat="1" applyFill="1" applyBorder="1">
      <alignment vertical="center"/>
    </xf>
    <xf numFmtId="3" fontId="0" fillId="104" borderId="6" xfId="0" applyNumberFormat="1" applyFill="1" applyBorder="1" applyAlignment="1">
      <alignment horizontal="center" vertical="center"/>
    </xf>
    <xf numFmtId="49" fontId="0" fillId="72" borderId="4" xfId="0" applyNumberFormat="1" applyFill="1" applyBorder="1">
      <alignment vertical="center"/>
    </xf>
    <xf numFmtId="176" fontId="0" fillId="72" borderId="5" xfId="0" applyNumberFormat="1" applyFill="1" applyBorder="1">
      <alignment vertical="center"/>
    </xf>
    <xf numFmtId="3" fontId="0" fillId="72" borderId="6" xfId="0" applyNumberFormat="1" applyFill="1" applyBorder="1" applyAlignment="1">
      <alignment horizontal="center" vertical="center"/>
    </xf>
    <xf numFmtId="178" fontId="0" fillId="72" borderId="3" xfId="0" applyNumberFormat="1" applyFill="1" applyBorder="1">
      <alignment vertical="center"/>
    </xf>
    <xf numFmtId="49" fontId="0" fillId="73" borderId="4" xfId="0" applyNumberFormat="1" applyFill="1" applyBorder="1">
      <alignment vertical="center"/>
    </xf>
    <xf numFmtId="176" fontId="0" fillId="73" borderId="5" xfId="0" applyNumberFormat="1" applyFill="1" applyBorder="1">
      <alignment vertical="center"/>
    </xf>
    <xf numFmtId="3" fontId="0" fillId="73" borderId="6" xfId="0" applyNumberFormat="1" applyFill="1" applyBorder="1" applyAlignment="1">
      <alignment horizontal="center" vertical="center"/>
    </xf>
    <xf numFmtId="178" fontId="0" fillId="73" borderId="5" xfId="0" applyNumberFormat="1" applyFill="1" applyBorder="1">
      <alignment vertical="center"/>
    </xf>
    <xf numFmtId="178" fontId="0" fillId="73" borderId="3" xfId="0" applyNumberFormat="1" applyFill="1" applyBorder="1">
      <alignment vertical="center"/>
    </xf>
    <xf numFmtId="49" fontId="0" fillId="74" borderId="4" xfId="0" applyNumberFormat="1" applyFill="1" applyBorder="1">
      <alignment vertical="center"/>
    </xf>
    <xf numFmtId="176" fontId="0" fillId="74" borderId="5" xfId="0" applyNumberFormat="1" applyFill="1" applyBorder="1">
      <alignment vertical="center"/>
    </xf>
    <xf numFmtId="3" fontId="0" fillId="74" borderId="6" xfId="0" applyNumberFormat="1" applyFill="1" applyBorder="1" applyAlignment="1">
      <alignment horizontal="center" vertical="center"/>
    </xf>
    <xf numFmtId="49" fontId="0" fillId="109" borderId="4" xfId="0" applyNumberFormat="1" applyFill="1" applyBorder="1">
      <alignment vertical="center"/>
    </xf>
    <xf numFmtId="176" fontId="0" fillId="109" borderId="5" xfId="0" applyNumberFormat="1" applyFill="1" applyBorder="1">
      <alignment vertical="center"/>
    </xf>
    <xf numFmtId="3" fontId="0" fillId="109" borderId="6" xfId="0" applyNumberFormat="1" applyFill="1" applyBorder="1" applyAlignment="1">
      <alignment horizontal="center" vertical="center"/>
    </xf>
    <xf numFmtId="49" fontId="0" fillId="76" borderId="4" xfId="0" applyNumberFormat="1" applyFill="1" applyBorder="1">
      <alignment vertical="center"/>
    </xf>
    <xf numFmtId="176" fontId="0" fillId="76" borderId="5" xfId="0" applyNumberFormat="1" applyFill="1" applyBorder="1">
      <alignment vertical="center"/>
    </xf>
    <xf numFmtId="3" fontId="0" fillId="76" borderId="6" xfId="0" applyNumberFormat="1" applyFill="1" applyBorder="1" applyAlignment="1">
      <alignment horizontal="center" vertical="center"/>
    </xf>
    <xf numFmtId="49" fontId="0" fillId="77" borderId="4" xfId="0" applyNumberFormat="1" applyFill="1" applyBorder="1">
      <alignment vertical="center"/>
    </xf>
    <xf numFmtId="176" fontId="0" fillId="77" borderId="5" xfId="0" applyNumberFormat="1" applyFill="1" applyBorder="1">
      <alignment vertical="center"/>
    </xf>
    <xf numFmtId="3" fontId="0" fillId="77" borderId="6" xfId="0" applyNumberFormat="1" applyFill="1" applyBorder="1" applyAlignment="1">
      <alignment horizontal="center" vertical="center"/>
    </xf>
    <xf numFmtId="49" fontId="0" fillId="78" borderId="4" xfId="0" applyNumberFormat="1" applyFill="1" applyBorder="1">
      <alignment vertical="center"/>
    </xf>
    <xf numFmtId="176" fontId="0" fillId="78" borderId="5" xfId="0" applyNumberFormat="1" applyFill="1" applyBorder="1">
      <alignment vertical="center"/>
    </xf>
    <xf numFmtId="3" fontId="0" fillId="78" borderId="6" xfId="0" applyNumberFormat="1" applyFill="1" applyBorder="1" applyAlignment="1">
      <alignment horizontal="center" vertical="center"/>
    </xf>
    <xf numFmtId="49" fontId="0" fillId="79" borderId="4" xfId="0" applyNumberFormat="1" applyFill="1" applyBorder="1">
      <alignment vertical="center"/>
    </xf>
    <xf numFmtId="176" fontId="0" fillId="79" borderId="5" xfId="0" applyNumberFormat="1" applyFill="1" applyBorder="1">
      <alignment vertical="center"/>
    </xf>
    <xf numFmtId="3" fontId="0" fillId="79" borderId="6" xfId="0" applyNumberFormat="1" applyFill="1" applyBorder="1" applyAlignment="1">
      <alignment horizontal="center" vertical="center"/>
    </xf>
    <xf numFmtId="49" fontId="0" fillId="80" borderId="4" xfId="0" applyNumberFormat="1" applyFill="1" applyBorder="1">
      <alignment vertical="center"/>
    </xf>
    <xf numFmtId="176" fontId="0" fillId="80" borderId="5" xfId="0" applyNumberFormat="1" applyFill="1" applyBorder="1">
      <alignment vertical="center"/>
    </xf>
    <xf numFmtId="3" fontId="0" fillId="80" borderId="6" xfId="0" applyNumberFormat="1" applyFill="1" applyBorder="1" applyAlignment="1">
      <alignment horizontal="center" vertical="center"/>
    </xf>
    <xf numFmtId="49" fontId="0" fillId="81" borderId="4" xfId="0" applyNumberFormat="1" applyFill="1" applyBorder="1">
      <alignment vertical="center"/>
    </xf>
    <xf numFmtId="176" fontId="0" fillId="81" borderId="5" xfId="0" applyNumberFormat="1" applyFill="1" applyBorder="1">
      <alignment vertical="center"/>
    </xf>
    <xf numFmtId="3" fontId="0" fillId="81" borderId="6" xfId="0" applyNumberFormat="1" applyFill="1" applyBorder="1" applyAlignment="1">
      <alignment horizontal="center" vertical="center"/>
    </xf>
    <xf numFmtId="49" fontId="0" fillId="82" borderId="4" xfId="0" applyNumberFormat="1" applyFill="1" applyBorder="1">
      <alignment vertical="center"/>
    </xf>
    <xf numFmtId="176" fontId="0" fillId="82" borderId="5" xfId="0" applyNumberFormat="1" applyFill="1" applyBorder="1">
      <alignment vertical="center"/>
    </xf>
    <xf numFmtId="3" fontId="0" fillId="82" borderId="6" xfId="0" applyNumberFormat="1" applyFill="1" applyBorder="1" applyAlignment="1">
      <alignment horizontal="center" vertical="center"/>
    </xf>
    <xf numFmtId="176" fontId="0" fillId="115" borderId="5" xfId="0" applyNumberFormat="1" applyFill="1" applyBorder="1">
      <alignment vertical="center"/>
    </xf>
    <xf numFmtId="3" fontId="0" fillId="115" borderId="6" xfId="0" applyNumberFormat="1" applyFill="1" applyBorder="1" applyAlignment="1">
      <alignment horizontal="center" vertical="center"/>
    </xf>
    <xf numFmtId="49" fontId="0" fillId="83" borderId="4" xfId="0" applyNumberFormat="1" applyFill="1" applyBorder="1">
      <alignment vertical="center"/>
    </xf>
    <xf numFmtId="176" fontId="0" fillId="83" borderId="5" xfId="0" applyNumberFormat="1" applyFill="1" applyBorder="1">
      <alignment vertical="center"/>
    </xf>
    <xf numFmtId="3" fontId="0" fillId="83" borderId="6" xfId="0" applyNumberFormat="1" applyFill="1" applyBorder="1" applyAlignment="1">
      <alignment horizontal="center" vertical="center"/>
    </xf>
    <xf numFmtId="49" fontId="0" fillId="84" borderId="4" xfId="0" applyNumberFormat="1" applyFill="1" applyBorder="1">
      <alignment vertical="center"/>
    </xf>
    <xf numFmtId="176" fontId="0" fillId="84" borderId="5" xfId="0" applyNumberFormat="1" applyFill="1" applyBorder="1">
      <alignment vertical="center"/>
    </xf>
    <xf numFmtId="3" fontId="0" fillId="84" borderId="6" xfId="0" applyNumberFormat="1" applyFill="1" applyBorder="1" applyAlignment="1">
      <alignment horizontal="center" vertical="center"/>
    </xf>
    <xf numFmtId="49" fontId="0" fillId="120" borderId="4" xfId="0" applyNumberFormat="1" applyFill="1" applyBorder="1">
      <alignment vertical="center"/>
    </xf>
    <xf numFmtId="176" fontId="0" fillId="120" borderId="5" xfId="0" applyNumberFormat="1" applyFill="1" applyBorder="1">
      <alignment vertical="center"/>
    </xf>
    <xf numFmtId="3" fontId="0" fillId="120" borderId="6" xfId="0" applyNumberFormat="1" applyFill="1" applyBorder="1" applyAlignment="1">
      <alignment horizontal="center" vertical="center"/>
    </xf>
    <xf numFmtId="49" fontId="0" fillId="85" borderId="4" xfId="0" applyNumberFormat="1" applyFill="1" applyBorder="1">
      <alignment vertical="center"/>
    </xf>
    <xf numFmtId="176" fontId="0" fillId="85" borderId="5" xfId="0" applyNumberFormat="1" applyFill="1" applyBorder="1">
      <alignment vertical="center"/>
    </xf>
    <xf numFmtId="3" fontId="0" fillId="85" borderId="6" xfId="0" applyNumberFormat="1" applyFill="1" applyBorder="1" applyAlignment="1">
      <alignment horizontal="center" vertical="center"/>
    </xf>
    <xf numFmtId="49" fontId="0" fillId="86" borderId="4" xfId="0" applyNumberFormat="1" applyFill="1" applyBorder="1">
      <alignment vertical="center"/>
    </xf>
    <xf numFmtId="176" fontId="0" fillId="86" borderId="5" xfId="0" applyNumberFormat="1" applyFill="1" applyBorder="1">
      <alignment vertical="center"/>
    </xf>
    <xf numFmtId="3" fontId="0" fillId="86" borderId="6" xfId="0" applyNumberFormat="1" applyFill="1" applyBorder="1" applyAlignment="1">
      <alignment horizontal="center" vertical="center"/>
    </xf>
    <xf numFmtId="49" fontId="0" fillId="87" borderId="4" xfId="0" applyNumberFormat="1" applyFill="1" applyBorder="1">
      <alignment vertical="center"/>
    </xf>
    <xf numFmtId="176" fontId="0" fillId="87" borderId="5" xfId="0" applyNumberFormat="1" applyFill="1" applyBorder="1">
      <alignment vertical="center"/>
    </xf>
    <xf numFmtId="3" fontId="0" fillId="87" borderId="6" xfId="0" applyNumberFormat="1" applyFill="1" applyBorder="1" applyAlignment="1">
      <alignment horizontal="center" vertical="center"/>
    </xf>
    <xf numFmtId="49" fontId="0" fillId="88" borderId="4" xfId="0" applyNumberFormat="1" applyFill="1" applyBorder="1">
      <alignment vertical="center"/>
    </xf>
    <xf numFmtId="176" fontId="0" fillId="88" borderId="5" xfId="0" applyNumberFormat="1" applyFill="1" applyBorder="1">
      <alignment vertical="center"/>
    </xf>
    <xf numFmtId="3" fontId="0" fillId="88" borderId="6" xfId="0" applyNumberFormat="1" applyFill="1" applyBorder="1" applyAlignment="1">
      <alignment horizontal="center" vertical="center"/>
    </xf>
    <xf numFmtId="49" fontId="0" fillId="121" borderId="5" xfId="0" applyNumberFormat="1" applyFill="1" applyBorder="1">
      <alignment vertical="center"/>
    </xf>
    <xf numFmtId="49" fontId="0" fillId="121" borderId="4" xfId="0" applyNumberFormat="1" applyFill="1" applyBorder="1">
      <alignment vertical="center"/>
    </xf>
    <xf numFmtId="176" fontId="0" fillId="121" borderId="5" xfId="0" applyNumberFormat="1" applyFill="1" applyBorder="1">
      <alignment vertical="center"/>
    </xf>
    <xf numFmtId="3" fontId="0" fillId="121" borderId="6" xfId="0" applyNumberFormat="1" applyFill="1" applyBorder="1" applyAlignment="1">
      <alignment horizontal="center" vertical="center"/>
    </xf>
    <xf numFmtId="49" fontId="0" fillId="89" borderId="4" xfId="0" applyNumberFormat="1" applyFill="1" applyBorder="1">
      <alignment vertical="center"/>
    </xf>
    <xf numFmtId="176" fontId="0" fillId="89" borderId="5" xfId="0" applyNumberFormat="1" applyFill="1" applyBorder="1">
      <alignment vertical="center"/>
    </xf>
    <xf numFmtId="3" fontId="0" fillId="89" borderId="6" xfId="0" applyNumberFormat="1" applyFill="1" applyBorder="1" applyAlignment="1">
      <alignment horizontal="center" vertical="center"/>
    </xf>
    <xf numFmtId="49" fontId="0" fillId="110" borderId="4" xfId="0" applyNumberFormat="1" applyFill="1" applyBorder="1">
      <alignment vertical="center"/>
    </xf>
    <xf numFmtId="49" fontId="0" fillId="91" borderId="4" xfId="0" applyNumberFormat="1" applyFill="1" applyBorder="1">
      <alignment vertical="center"/>
    </xf>
    <xf numFmtId="176" fontId="0" fillId="91" borderId="5" xfId="0" applyNumberFormat="1" applyFill="1" applyBorder="1">
      <alignment vertical="center"/>
    </xf>
    <xf numFmtId="3" fontId="0" fillId="91" borderId="6" xfId="0" applyNumberFormat="1" applyFill="1" applyBorder="1" applyAlignment="1">
      <alignment horizontal="center" vertical="center"/>
    </xf>
    <xf numFmtId="49" fontId="0" fillId="92" borderId="4" xfId="0" applyNumberFormat="1" applyFill="1" applyBorder="1">
      <alignment vertical="center"/>
    </xf>
    <xf numFmtId="176" fontId="0" fillId="92" borderId="5" xfId="0" applyNumberFormat="1" applyFill="1" applyBorder="1">
      <alignment vertical="center"/>
    </xf>
    <xf numFmtId="3" fontId="0" fillId="92" borderId="6" xfId="0" applyNumberFormat="1" applyFill="1" applyBorder="1" applyAlignment="1">
      <alignment horizontal="center" vertical="center"/>
    </xf>
    <xf numFmtId="49" fontId="0" fillId="14" borderId="4" xfId="0" applyNumberFormat="1" applyFill="1" applyBorder="1">
      <alignment vertical="center"/>
    </xf>
    <xf numFmtId="176" fontId="0" fillId="14" borderId="5" xfId="0" applyNumberFormat="1" applyFill="1" applyBorder="1">
      <alignment vertical="center"/>
    </xf>
    <xf numFmtId="3" fontId="0" fillId="14" borderId="6" xfId="0" applyNumberFormat="1" applyFill="1" applyBorder="1" applyAlignment="1">
      <alignment horizontal="center" vertical="center"/>
    </xf>
    <xf numFmtId="49" fontId="0" fillId="93" borderId="4" xfId="0" applyNumberFormat="1" applyFill="1" applyBorder="1">
      <alignment vertical="center"/>
    </xf>
    <xf numFmtId="176" fontId="0" fillId="93" borderId="5" xfId="0" applyNumberFormat="1" applyFill="1" applyBorder="1">
      <alignment vertical="center"/>
    </xf>
    <xf numFmtId="3" fontId="0" fillId="93" borderId="6" xfId="0" applyNumberFormat="1" applyFill="1" applyBorder="1" applyAlignment="1">
      <alignment horizontal="center" vertical="center"/>
    </xf>
    <xf numFmtId="49" fontId="0" fillId="94" borderId="4" xfId="0" applyNumberFormat="1" applyFill="1" applyBorder="1">
      <alignment vertical="center"/>
    </xf>
    <xf numFmtId="176" fontId="0" fillId="94" borderId="5" xfId="0" applyNumberFormat="1" applyFill="1" applyBorder="1">
      <alignment vertical="center"/>
    </xf>
    <xf numFmtId="3" fontId="0" fillId="94" borderId="6" xfId="0" applyNumberFormat="1" applyFill="1" applyBorder="1" applyAlignment="1">
      <alignment horizontal="center" vertical="center"/>
    </xf>
    <xf numFmtId="49" fontId="0" fillId="95" borderId="4" xfId="0" applyNumberFormat="1" applyFill="1" applyBorder="1">
      <alignment vertical="center"/>
    </xf>
    <xf numFmtId="176" fontId="0" fillId="95" borderId="5" xfId="0" applyNumberFormat="1" applyFill="1" applyBorder="1">
      <alignment vertical="center"/>
    </xf>
    <xf numFmtId="3" fontId="0" fillId="95" borderId="6" xfId="0" applyNumberFormat="1" applyFill="1" applyBorder="1" applyAlignment="1">
      <alignment horizontal="center" vertical="center"/>
    </xf>
    <xf numFmtId="49" fontId="0" fillId="120" borderId="5" xfId="0" applyNumberFormat="1" applyFill="1" applyBorder="1">
      <alignment vertical="center"/>
    </xf>
    <xf numFmtId="49" fontId="0" fillId="122" borderId="5" xfId="0" applyNumberFormat="1" applyFill="1" applyBorder="1">
      <alignment vertical="center"/>
    </xf>
    <xf numFmtId="49" fontId="0" fillId="122" borderId="4" xfId="0" applyNumberFormat="1" applyFill="1" applyBorder="1">
      <alignment vertical="center"/>
    </xf>
    <xf numFmtId="176" fontId="0" fillId="122" borderId="5" xfId="0" applyNumberFormat="1" applyFill="1" applyBorder="1">
      <alignment vertical="center"/>
    </xf>
    <xf numFmtId="3" fontId="0" fillId="122" borderId="6" xfId="0" applyNumberFormat="1" applyFill="1" applyBorder="1" applyAlignment="1">
      <alignment horizontal="center" vertical="center"/>
    </xf>
    <xf numFmtId="49" fontId="0" fillId="52" borderId="4" xfId="0" applyNumberFormat="1" applyFill="1" applyBorder="1">
      <alignment vertical="center"/>
    </xf>
    <xf numFmtId="176" fontId="0" fillId="61" borderId="5" xfId="0" applyNumberFormat="1" applyFill="1" applyBorder="1">
      <alignment vertical="center"/>
    </xf>
    <xf numFmtId="3" fontId="0" fillId="61" borderId="6" xfId="0" applyNumberFormat="1" applyFill="1" applyBorder="1" applyAlignment="1">
      <alignment horizontal="center" vertical="center"/>
    </xf>
    <xf numFmtId="49" fontId="0" fillId="96" borderId="4" xfId="0" applyNumberFormat="1" applyFill="1" applyBorder="1">
      <alignment vertical="center"/>
    </xf>
    <xf numFmtId="176" fontId="0" fillId="96" borderId="5" xfId="0" applyNumberFormat="1" applyFill="1" applyBorder="1">
      <alignment vertical="center"/>
    </xf>
    <xf numFmtId="3" fontId="0" fillId="96" borderId="6" xfId="0" applyNumberFormat="1" applyFill="1" applyBorder="1" applyAlignment="1">
      <alignment horizontal="center" vertical="center"/>
    </xf>
    <xf numFmtId="49" fontId="0" fillId="97" borderId="4" xfId="0" applyNumberFormat="1" applyFill="1" applyBorder="1">
      <alignment vertical="center"/>
    </xf>
    <xf numFmtId="176" fontId="0" fillId="97" borderId="5" xfId="0" applyNumberFormat="1" applyFill="1" applyBorder="1">
      <alignment vertical="center"/>
    </xf>
    <xf numFmtId="3" fontId="0" fillId="97" borderId="6" xfId="0" applyNumberFormat="1" applyFill="1" applyBorder="1" applyAlignment="1">
      <alignment horizontal="center" vertical="center"/>
    </xf>
    <xf numFmtId="49" fontId="0" fillId="62" borderId="4" xfId="0" applyNumberFormat="1" applyFill="1" applyBorder="1">
      <alignment vertical="center"/>
    </xf>
    <xf numFmtId="176" fontId="0" fillId="62" borderId="5" xfId="0" applyNumberFormat="1" applyFill="1" applyBorder="1">
      <alignment vertical="center"/>
    </xf>
    <xf numFmtId="3" fontId="0" fillId="62" borderId="6" xfId="0" applyNumberFormat="1" applyFill="1" applyBorder="1" applyAlignment="1">
      <alignment horizontal="center" vertical="center"/>
    </xf>
    <xf numFmtId="49" fontId="0" fillId="99" borderId="4" xfId="0" applyNumberFormat="1" applyFill="1" applyBorder="1">
      <alignment vertical="center"/>
    </xf>
    <xf numFmtId="176" fontId="0" fillId="99" borderId="5" xfId="0" applyNumberFormat="1" applyFill="1" applyBorder="1">
      <alignment vertical="center"/>
    </xf>
    <xf numFmtId="3" fontId="0" fillId="99" borderId="6" xfId="0" applyNumberFormat="1" applyFill="1" applyBorder="1" applyAlignment="1">
      <alignment horizontal="center" vertical="center"/>
    </xf>
    <xf numFmtId="49" fontId="0" fillId="101" borderId="4" xfId="0" applyNumberFormat="1" applyFill="1" applyBorder="1">
      <alignment vertical="center"/>
    </xf>
    <xf numFmtId="176" fontId="0" fillId="101" borderId="5" xfId="0" applyNumberFormat="1" applyFill="1" applyBorder="1">
      <alignment vertical="center"/>
    </xf>
    <xf numFmtId="3" fontId="0" fillId="101" borderId="6" xfId="0" applyNumberFormat="1" applyFill="1" applyBorder="1" applyAlignment="1">
      <alignment horizontal="center" vertical="center"/>
    </xf>
    <xf numFmtId="49" fontId="0" fillId="102" borderId="4" xfId="0" applyNumberFormat="1" applyFill="1" applyBorder="1">
      <alignment vertical="center"/>
    </xf>
    <xf numFmtId="178" fontId="0" fillId="102" borderId="5" xfId="0" applyNumberFormat="1" applyFill="1" applyBorder="1">
      <alignment vertical="center"/>
    </xf>
    <xf numFmtId="178" fontId="0" fillId="102" borderId="3" xfId="0" applyNumberFormat="1" applyFill="1" applyBorder="1">
      <alignment vertical="center"/>
    </xf>
    <xf numFmtId="176" fontId="0" fillId="102" borderId="5" xfId="0" applyNumberFormat="1" applyFill="1" applyBorder="1">
      <alignment vertical="center"/>
    </xf>
    <xf numFmtId="3" fontId="0" fillId="102" borderId="6" xfId="0" applyNumberFormat="1" applyFill="1" applyBorder="1" applyAlignment="1">
      <alignment horizontal="center" vertical="center"/>
    </xf>
    <xf numFmtId="49" fontId="0" fillId="111" borderId="4" xfId="0" applyNumberFormat="1" applyFill="1" applyBorder="1">
      <alignment vertical="center"/>
    </xf>
    <xf numFmtId="176" fontId="0" fillId="111" borderId="5" xfId="0" applyNumberFormat="1" applyFill="1" applyBorder="1">
      <alignment vertical="center"/>
    </xf>
    <xf numFmtId="3" fontId="0" fillId="111" borderId="6" xfId="0" applyNumberFormat="1" applyFill="1" applyBorder="1" applyAlignment="1">
      <alignment horizontal="center" vertical="center"/>
    </xf>
    <xf numFmtId="49" fontId="0" fillId="112" borderId="4" xfId="0" applyNumberFormat="1" applyFill="1" applyBorder="1">
      <alignment vertical="center"/>
    </xf>
    <xf numFmtId="176" fontId="0" fillId="112" borderId="5" xfId="0" applyNumberFormat="1" applyFill="1" applyBorder="1">
      <alignment vertical="center"/>
    </xf>
    <xf numFmtId="3" fontId="0" fillId="112" borderId="6" xfId="0" applyNumberFormat="1" applyFill="1" applyBorder="1" applyAlignment="1">
      <alignment horizontal="center" vertical="center"/>
    </xf>
    <xf numFmtId="49" fontId="0" fillId="63" borderId="4" xfId="0" applyNumberFormat="1" applyFill="1" applyBorder="1">
      <alignment vertical="center"/>
    </xf>
    <xf numFmtId="176" fontId="0" fillId="63" borderId="5" xfId="0" applyNumberFormat="1" applyFill="1" applyBorder="1">
      <alignment vertical="center"/>
    </xf>
    <xf numFmtId="3" fontId="0" fillId="63" borderId="6" xfId="0" applyNumberFormat="1" applyFill="1" applyBorder="1" applyAlignment="1">
      <alignment horizontal="center" vertical="center"/>
    </xf>
    <xf numFmtId="49" fontId="0" fillId="33" borderId="4" xfId="0" applyNumberFormat="1" applyFill="1" applyBorder="1">
      <alignment vertical="center"/>
    </xf>
    <xf numFmtId="49" fontId="0" fillId="113" borderId="4" xfId="0" applyNumberFormat="1" applyFill="1" applyBorder="1">
      <alignment vertical="center"/>
    </xf>
    <xf numFmtId="176" fontId="0" fillId="113" borderId="5" xfId="0" applyNumberFormat="1" applyFill="1" applyBorder="1">
      <alignment vertical="center"/>
    </xf>
    <xf numFmtId="3" fontId="0" fillId="113" borderId="6" xfId="0" applyNumberFormat="1" applyFill="1" applyBorder="1" applyAlignment="1">
      <alignment horizontal="center" vertical="center"/>
    </xf>
    <xf numFmtId="49" fontId="0" fillId="106" borderId="4" xfId="0" applyNumberFormat="1" applyFill="1" applyBorder="1">
      <alignment vertical="center"/>
    </xf>
    <xf numFmtId="176" fontId="0" fillId="106" borderId="5" xfId="0" applyNumberFormat="1" applyFill="1" applyBorder="1">
      <alignment vertical="center"/>
    </xf>
    <xf numFmtId="3" fontId="0" fillId="106" borderId="6" xfId="0" applyNumberFormat="1" applyFill="1" applyBorder="1" applyAlignment="1">
      <alignment horizontal="center" vertical="center"/>
    </xf>
    <xf numFmtId="49" fontId="0" fillId="107" borderId="4" xfId="0" applyNumberFormat="1" applyFill="1" applyBorder="1">
      <alignment vertical="center"/>
    </xf>
    <xf numFmtId="176" fontId="0" fillId="107" borderId="5" xfId="0" applyNumberFormat="1" applyFill="1" applyBorder="1">
      <alignment vertical="center"/>
    </xf>
    <xf numFmtId="3" fontId="0" fillId="107" borderId="6" xfId="0" applyNumberFormat="1" applyFill="1" applyBorder="1" applyAlignment="1">
      <alignment horizontal="center" vertical="center"/>
    </xf>
    <xf numFmtId="49" fontId="0" fillId="108" borderId="4" xfId="0" applyNumberFormat="1" applyFill="1" applyBorder="1">
      <alignment vertical="center"/>
    </xf>
    <xf numFmtId="176" fontId="0" fillId="108" borderId="5" xfId="0" applyNumberFormat="1" applyFill="1" applyBorder="1">
      <alignment vertical="center"/>
    </xf>
    <xf numFmtId="3" fontId="0" fillId="108" borderId="6" xfId="0" applyNumberFormat="1" applyFill="1" applyBorder="1" applyAlignment="1">
      <alignment horizontal="center" vertical="center"/>
    </xf>
    <xf numFmtId="49" fontId="0" fillId="34" borderId="4" xfId="0" applyNumberFormat="1" applyFill="1" applyBorder="1">
      <alignment vertical="center"/>
    </xf>
    <xf numFmtId="176" fontId="1" fillId="2" borderId="13" xfId="0" applyNumberFormat="1" applyFont="1" applyFill="1" applyBorder="1">
      <alignment vertical="center"/>
    </xf>
    <xf numFmtId="178" fontId="9" fillId="3" borderId="3" xfId="0" applyNumberFormat="1" applyFont="1" applyFill="1" applyBorder="1">
      <alignment vertical="center"/>
    </xf>
    <xf numFmtId="179" fontId="0" fillId="0" borderId="0" xfId="1" applyNumberFormat="1" applyFont="1" applyFill="1">
      <alignment vertical="center"/>
    </xf>
    <xf numFmtId="3" fontId="1" fillId="2" borderId="13" xfId="0" applyNumberFormat="1" applyFont="1" applyFill="1" applyBorder="1">
      <alignment vertical="center"/>
    </xf>
    <xf numFmtId="49" fontId="0" fillId="30" borderId="20" xfId="0" applyNumberFormat="1" applyFill="1" applyBorder="1">
      <alignment vertical="center"/>
    </xf>
    <xf numFmtId="178" fontId="0" fillId="34" borderId="21" xfId="0" applyNumberFormat="1" applyFill="1" applyBorder="1">
      <alignment vertical="center"/>
    </xf>
    <xf numFmtId="178" fontId="0" fillId="34" borderId="19" xfId="0" applyNumberFormat="1" applyFill="1" applyBorder="1">
      <alignment vertical="center"/>
    </xf>
    <xf numFmtId="0" fontId="0" fillId="0" borderId="0" xfId="0" applyAlignment="1"/>
    <xf numFmtId="176" fontId="0" fillId="0" borderId="26" xfId="0" applyNumberFormat="1" applyBorder="1" applyAlignment="1">
      <alignment horizontal="right" vertical="center"/>
    </xf>
    <xf numFmtId="179" fontId="1" fillId="2" borderId="30" xfId="1" applyNumberFormat="1" applyFont="1" applyFill="1" applyBorder="1" applyAlignment="1">
      <alignment horizontal="center" vertical="center"/>
    </xf>
    <xf numFmtId="178" fontId="3" fillId="3" borderId="5" xfId="0" applyNumberFormat="1" applyFont="1" applyFill="1" applyBorder="1">
      <alignment vertical="center"/>
    </xf>
    <xf numFmtId="178" fontId="3" fillId="3" borderId="3" xfId="0" applyNumberFormat="1" applyFont="1" applyFill="1" applyBorder="1">
      <alignment vertical="center"/>
    </xf>
    <xf numFmtId="176" fontId="1" fillId="2" borderId="17" xfId="0" applyNumberFormat="1" applyFont="1" applyFill="1" applyBorder="1">
      <alignment vertical="center"/>
    </xf>
    <xf numFmtId="3" fontId="1" fillId="2" borderId="18" xfId="0" applyNumberFormat="1" applyFont="1" applyFill="1" applyBorder="1" applyAlignment="1">
      <alignment horizontal="center" vertical="center"/>
    </xf>
    <xf numFmtId="179" fontId="1" fillId="2" borderId="32" xfId="1" applyNumberFormat="1" applyFont="1" applyFill="1" applyBorder="1" applyAlignment="1">
      <alignment horizontal="center" vertical="center"/>
    </xf>
    <xf numFmtId="178" fontId="3" fillId="5" borderId="8" xfId="0" applyNumberFormat="1" applyFont="1" applyFill="1" applyBorder="1">
      <alignment vertical="center"/>
    </xf>
    <xf numFmtId="178" fontId="3" fillId="5" borderId="11" xfId="0" applyNumberFormat="1" applyFont="1" applyFill="1" applyBorder="1">
      <alignment vertical="center"/>
    </xf>
    <xf numFmtId="178" fontId="3" fillId="5" borderId="15" xfId="0" applyNumberFormat="1" applyFont="1" applyFill="1" applyBorder="1">
      <alignment vertical="center"/>
    </xf>
    <xf numFmtId="178" fontId="3" fillId="5" borderId="5" xfId="0" applyNumberFormat="1" applyFont="1" applyFill="1" applyBorder="1">
      <alignment vertical="center"/>
    </xf>
    <xf numFmtId="178" fontId="3" fillId="5" borderId="3" xfId="0" applyNumberFormat="1" applyFont="1" applyFill="1" applyBorder="1">
      <alignment vertical="center"/>
    </xf>
    <xf numFmtId="178" fontId="3" fillId="6" borderId="5" xfId="0" applyNumberFormat="1" applyFont="1" applyFill="1" applyBorder="1">
      <alignment vertical="center"/>
    </xf>
    <xf numFmtId="178" fontId="3" fillId="6" borderId="3" xfId="0" applyNumberFormat="1" applyFont="1" applyFill="1" applyBorder="1">
      <alignment vertical="center"/>
    </xf>
    <xf numFmtId="178" fontId="3" fillId="7" borderId="5" xfId="0" applyNumberFormat="1" applyFont="1" applyFill="1" applyBorder="1">
      <alignment vertical="center"/>
    </xf>
    <xf numFmtId="178" fontId="3" fillId="7" borderId="3" xfId="0" applyNumberFormat="1" applyFont="1" applyFill="1" applyBorder="1">
      <alignment vertical="center"/>
    </xf>
    <xf numFmtId="178" fontId="3" fillId="8" borderId="5" xfId="0" applyNumberFormat="1" applyFont="1" applyFill="1" applyBorder="1">
      <alignment vertical="center"/>
    </xf>
    <xf numFmtId="178" fontId="3" fillId="8" borderId="3" xfId="0" applyNumberFormat="1" applyFont="1" applyFill="1" applyBorder="1">
      <alignment vertical="center"/>
    </xf>
    <xf numFmtId="178" fontId="3" fillId="9" borderId="5" xfId="0" applyNumberFormat="1" applyFont="1" applyFill="1" applyBorder="1">
      <alignment vertical="center"/>
    </xf>
    <xf numFmtId="178" fontId="3" fillId="9" borderId="3" xfId="0" applyNumberFormat="1" applyFont="1" applyFill="1" applyBorder="1">
      <alignment vertical="center"/>
    </xf>
    <xf numFmtId="178" fontId="3" fillId="10" borderId="5" xfId="0" applyNumberFormat="1" applyFont="1" applyFill="1" applyBorder="1">
      <alignment vertical="center"/>
    </xf>
    <xf numFmtId="178" fontId="3" fillId="10" borderId="3" xfId="0" applyNumberFormat="1" applyFont="1" applyFill="1" applyBorder="1">
      <alignment vertical="center"/>
    </xf>
    <xf numFmtId="178" fontId="3" fillId="11" borderId="5" xfId="0" applyNumberFormat="1" applyFont="1" applyFill="1" applyBorder="1">
      <alignment vertical="center"/>
    </xf>
    <xf numFmtId="178" fontId="3" fillId="11" borderId="3" xfId="0" applyNumberFormat="1" applyFont="1" applyFill="1" applyBorder="1">
      <alignment vertical="center"/>
    </xf>
    <xf numFmtId="178" fontId="3" fillId="12" borderId="5" xfId="0" applyNumberFormat="1" applyFont="1" applyFill="1" applyBorder="1">
      <alignment vertical="center"/>
    </xf>
    <xf numFmtId="178" fontId="3" fillId="12" borderId="3" xfId="0" applyNumberFormat="1" applyFont="1" applyFill="1" applyBorder="1">
      <alignment vertical="center"/>
    </xf>
    <xf numFmtId="178" fontId="3" fillId="13" borderId="5" xfId="0" applyNumberFormat="1" applyFont="1" applyFill="1" applyBorder="1">
      <alignment vertical="center"/>
    </xf>
    <xf numFmtId="178" fontId="3" fillId="13" borderId="3" xfId="0" applyNumberFormat="1" applyFont="1" applyFill="1" applyBorder="1">
      <alignment vertical="center"/>
    </xf>
    <xf numFmtId="178" fontId="3" fillId="16" borderId="5" xfId="0" applyNumberFormat="1" applyFont="1" applyFill="1" applyBorder="1">
      <alignment vertical="center"/>
    </xf>
    <xf numFmtId="178" fontId="3" fillId="16" borderId="3" xfId="0" applyNumberFormat="1" applyFont="1" applyFill="1" applyBorder="1">
      <alignment vertical="center"/>
    </xf>
    <xf numFmtId="178" fontId="3" fillId="33" borderId="5" xfId="0" applyNumberFormat="1" applyFont="1" applyFill="1" applyBorder="1">
      <alignment vertical="center"/>
    </xf>
    <xf numFmtId="178" fontId="3" fillId="33" borderId="3" xfId="0" applyNumberFormat="1" applyFont="1" applyFill="1" applyBorder="1">
      <alignment vertical="center"/>
    </xf>
    <xf numFmtId="178" fontId="3" fillId="15" borderId="5" xfId="0" applyNumberFormat="1" applyFont="1" applyFill="1" applyBorder="1">
      <alignment vertical="center"/>
    </xf>
    <xf numFmtId="178" fontId="3" fillId="15" borderId="3" xfId="0" applyNumberFormat="1" applyFont="1" applyFill="1" applyBorder="1">
      <alignment vertical="center"/>
    </xf>
    <xf numFmtId="176" fontId="0" fillId="5" borderId="8" xfId="0" applyNumberFormat="1" applyFill="1" applyBorder="1">
      <alignment vertical="center"/>
    </xf>
    <xf numFmtId="3" fontId="0" fillId="5" borderId="9" xfId="0" applyNumberFormat="1" applyFill="1" applyBorder="1" applyAlignment="1">
      <alignment horizontal="center" vertical="center"/>
    </xf>
    <xf numFmtId="178" fontId="3" fillId="17" borderId="8" xfId="0" applyNumberFormat="1" applyFont="1" applyFill="1" applyBorder="1">
      <alignment vertical="center"/>
    </xf>
    <xf numFmtId="178" fontId="3" fillId="17" borderId="11" xfId="0" applyNumberFormat="1" applyFont="1" applyFill="1" applyBorder="1">
      <alignment vertical="center"/>
    </xf>
    <xf numFmtId="178" fontId="3" fillId="17" borderId="9" xfId="0" applyNumberFormat="1" applyFont="1" applyFill="1" applyBorder="1">
      <alignment vertical="center"/>
    </xf>
    <xf numFmtId="178" fontId="3" fillId="17" borderId="5" xfId="0" applyNumberFormat="1" applyFont="1" applyFill="1" applyBorder="1">
      <alignment vertical="center"/>
    </xf>
    <xf numFmtId="178" fontId="3" fillId="17" borderId="3" xfId="0" applyNumberFormat="1" applyFont="1" applyFill="1" applyBorder="1">
      <alignment vertical="center"/>
    </xf>
    <xf numFmtId="178" fontId="3" fillId="17" borderId="6" xfId="0" applyNumberFormat="1" applyFont="1" applyFill="1" applyBorder="1">
      <alignment vertical="center"/>
    </xf>
    <xf numFmtId="178" fontId="3" fillId="55" borderId="5" xfId="0" applyNumberFormat="1" applyFont="1" applyFill="1" applyBorder="1">
      <alignment vertical="center"/>
    </xf>
    <xf numFmtId="178" fontId="3" fillId="55" borderId="3" xfId="0" applyNumberFormat="1" applyFont="1" applyFill="1" applyBorder="1">
      <alignment vertical="center"/>
    </xf>
    <xf numFmtId="178" fontId="3" fillId="55" borderId="6" xfId="0" applyNumberFormat="1" applyFont="1" applyFill="1" applyBorder="1">
      <alignment vertical="center"/>
    </xf>
    <xf numFmtId="178" fontId="3" fillId="18" borderId="5" xfId="0" applyNumberFormat="1" applyFont="1" applyFill="1" applyBorder="1">
      <alignment vertical="center"/>
    </xf>
    <xf numFmtId="178" fontId="3" fillId="18" borderId="3" xfId="0" applyNumberFormat="1" applyFont="1" applyFill="1" applyBorder="1">
      <alignment vertical="center"/>
    </xf>
    <xf numFmtId="178" fontId="3" fillId="18" borderId="6" xfId="0" applyNumberFormat="1" applyFont="1" applyFill="1" applyBorder="1">
      <alignment vertical="center"/>
    </xf>
    <xf numFmtId="178" fontId="3" fillId="19" borderId="5" xfId="0" applyNumberFormat="1" applyFont="1" applyFill="1" applyBorder="1">
      <alignment vertical="center"/>
    </xf>
    <xf numFmtId="178" fontId="3" fillId="19" borderId="3" xfId="0" applyNumberFormat="1" applyFont="1" applyFill="1" applyBorder="1">
      <alignment vertical="center"/>
    </xf>
    <xf numFmtId="178" fontId="3" fillId="19" borderId="6" xfId="0" applyNumberFormat="1" applyFont="1" applyFill="1" applyBorder="1">
      <alignment vertical="center"/>
    </xf>
    <xf numFmtId="178" fontId="3" fillId="20" borderId="5" xfId="0" applyNumberFormat="1" applyFont="1" applyFill="1" applyBorder="1">
      <alignment vertical="center"/>
    </xf>
    <xf numFmtId="178" fontId="3" fillId="20" borderId="3" xfId="0" applyNumberFormat="1" applyFont="1" applyFill="1" applyBorder="1">
      <alignment vertical="center"/>
    </xf>
    <xf numFmtId="178" fontId="3" fillId="20" borderId="6" xfId="0" applyNumberFormat="1" applyFont="1" applyFill="1" applyBorder="1">
      <alignment vertical="center"/>
    </xf>
    <xf numFmtId="178" fontId="3" fillId="21" borderId="5" xfId="0" applyNumberFormat="1" applyFont="1" applyFill="1" applyBorder="1">
      <alignment vertical="center"/>
    </xf>
    <xf numFmtId="178" fontId="3" fillId="21" borderId="3" xfId="0" applyNumberFormat="1" applyFont="1" applyFill="1" applyBorder="1">
      <alignment vertical="center"/>
    </xf>
    <xf numFmtId="178" fontId="3" fillId="21" borderId="6" xfId="0" applyNumberFormat="1" applyFont="1" applyFill="1" applyBorder="1">
      <alignment vertical="center"/>
    </xf>
    <xf numFmtId="178" fontId="3" fillId="22" borderId="5" xfId="0" applyNumberFormat="1" applyFont="1" applyFill="1" applyBorder="1">
      <alignment vertical="center"/>
    </xf>
    <xf numFmtId="178" fontId="3" fillId="22" borderId="3" xfId="0" applyNumberFormat="1" applyFont="1" applyFill="1" applyBorder="1">
      <alignment vertical="center"/>
    </xf>
    <xf numFmtId="178" fontId="3" fillId="22" borderId="6" xfId="0" applyNumberFormat="1" applyFont="1" applyFill="1" applyBorder="1">
      <alignment vertical="center"/>
    </xf>
    <xf numFmtId="178" fontId="3" fillId="23" borderId="5" xfId="0" applyNumberFormat="1" applyFont="1" applyFill="1" applyBorder="1">
      <alignment vertical="center"/>
    </xf>
    <xf numFmtId="178" fontId="3" fillId="23" borderId="3" xfId="0" applyNumberFormat="1" applyFont="1" applyFill="1" applyBorder="1">
      <alignment vertical="center"/>
    </xf>
    <xf numFmtId="178" fontId="3" fillId="23" borderId="6" xfId="0" applyNumberFormat="1" applyFont="1" applyFill="1" applyBorder="1">
      <alignment vertical="center"/>
    </xf>
    <xf numFmtId="178" fontId="3" fillId="24" borderId="5" xfId="0" applyNumberFormat="1" applyFont="1" applyFill="1" applyBorder="1">
      <alignment vertical="center"/>
    </xf>
    <xf numFmtId="178" fontId="3" fillId="24" borderId="3" xfId="0" applyNumberFormat="1" applyFont="1" applyFill="1" applyBorder="1">
      <alignment vertical="center"/>
    </xf>
    <xf numFmtId="178" fontId="3" fillId="24" borderId="6" xfId="0" applyNumberFormat="1" applyFont="1" applyFill="1" applyBorder="1">
      <alignment vertical="center"/>
    </xf>
    <xf numFmtId="178" fontId="3" fillId="31" borderId="5" xfId="0" applyNumberFormat="1" applyFont="1" applyFill="1" applyBorder="1">
      <alignment vertical="center"/>
    </xf>
    <xf numFmtId="178" fontId="3" fillId="31" borderId="3" xfId="0" applyNumberFormat="1" applyFont="1" applyFill="1" applyBorder="1">
      <alignment vertical="center"/>
    </xf>
    <xf numFmtId="178" fontId="3" fillId="31" borderId="6" xfId="0" applyNumberFormat="1" applyFont="1" applyFill="1" applyBorder="1">
      <alignment vertical="center"/>
    </xf>
    <xf numFmtId="178" fontId="3" fillId="32" borderId="5" xfId="0" applyNumberFormat="1" applyFont="1" applyFill="1" applyBorder="1">
      <alignment vertical="center"/>
    </xf>
    <xf numFmtId="178" fontId="3" fillId="32" borderId="3" xfId="0" applyNumberFormat="1" applyFont="1" applyFill="1" applyBorder="1">
      <alignment vertical="center"/>
    </xf>
    <xf numFmtId="178" fontId="3" fillId="32" borderId="6" xfId="0" applyNumberFormat="1" applyFont="1" applyFill="1" applyBorder="1">
      <alignment vertical="center"/>
    </xf>
    <xf numFmtId="178" fontId="3" fillId="27" borderId="5" xfId="0" applyNumberFormat="1" applyFont="1" applyFill="1" applyBorder="1">
      <alignment vertical="center"/>
    </xf>
    <xf numFmtId="178" fontId="3" fillId="27" borderId="3" xfId="0" applyNumberFormat="1" applyFont="1" applyFill="1" applyBorder="1">
      <alignment vertical="center"/>
    </xf>
    <xf numFmtId="178" fontId="3" fillId="27" borderId="6" xfId="0" applyNumberFormat="1" applyFont="1" applyFill="1" applyBorder="1">
      <alignment vertical="center"/>
    </xf>
    <xf numFmtId="178" fontId="3" fillId="116" borderId="5" xfId="0" applyNumberFormat="1" applyFont="1" applyFill="1" applyBorder="1">
      <alignment vertical="center"/>
    </xf>
    <xf numFmtId="178" fontId="3" fillId="116" borderId="3" xfId="0" applyNumberFormat="1" applyFont="1" applyFill="1" applyBorder="1">
      <alignment vertical="center"/>
    </xf>
    <xf numFmtId="178" fontId="3" fillId="116" borderId="6" xfId="0" applyNumberFormat="1" applyFont="1" applyFill="1" applyBorder="1">
      <alignment vertical="center"/>
    </xf>
    <xf numFmtId="178" fontId="3" fillId="117" borderId="5" xfId="0" applyNumberFormat="1" applyFont="1" applyFill="1" applyBorder="1">
      <alignment vertical="center"/>
    </xf>
    <xf numFmtId="178" fontId="3" fillId="117" borderId="3" xfId="0" applyNumberFormat="1" applyFont="1" applyFill="1" applyBorder="1">
      <alignment vertical="center"/>
    </xf>
    <xf numFmtId="178" fontId="3" fillId="117" borderId="6" xfId="0" applyNumberFormat="1" applyFont="1" applyFill="1" applyBorder="1">
      <alignment vertical="center"/>
    </xf>
    <xf numFmtId="178" fontId="3" fillId="110" borderId="5" xfId="0" applyNumberFormat="1" applyFont="1" applyFill="1" applyBorder="1">
      <alignment vertical="center"/>
    </xf>
    <xf numFmtId="178" fontId="3" fillId="110" borderId="3" xfId="0" applyNumberFormat="1" applyFont="1" applyFill="1" applyBorder="1">
      <alignment vertical="center"/>
    </xf>
    <xf numFmtId="178" fontId="3" fillId="110" borderId="6" xfId="0" applyNumberFormat="1" applyFont="1" applyFill="1" applyBorder="1">
      <alignment vertical="center"/>
    </xf>
    <xf numFmtId="178" fontId="3" fillId="28" borderId="5" xfId="0" applyNumberFormat="1" applyFont="1" applyFill="1" applyBorder="1">
      <alignment vertical="center"/>
    </xf>
    <xf numFmtId="178" fontId="3" fillId="28" borderId="3" xfId="0" applyNumberFormat="1" applyFont="1" applyFill="1" applyBorder="1">
      <alignment vertical="center"/>
    </xf>
    <xf numFmtId="178" fontId="3" fillId="28" borderId="6" xfId="0" applyNumberFormat="1" applyFont="1" applyFill="1" applyBorder="1">
      <alignment vertical="center"/>
    </xf>
    <xf numFmtId="178" fontId="3" fillId="33" borderId="6" xfId="0" applyNumberFormat="1" applyFont="1" applyFill="1" applyBorder="1">
      <alignment vertical="center"/>
    </xf>
    <xf numFmtId="178" fontId="3" fillId="118" borderId="5" xfId="0" applyNumberFormat="1" applyFont="1" applyFill="1" applyBorder="1">
      <alignment vertical="center"/>
    </xf>
    <xf numFmtId="178" fontId="3" fillId="118" borderId="3" xfId="0" applyNumberFormat="1" applyFont="1" applyFill="1" applyBorder="1">
      <alignment vertical="center"/>
    </xf>
    <xf numFmtId="178" fontId="3" fillId="118" borderId="6" xfId="0" applyNumberFormat="1" applyFont="1" applyFill="1" applyBorder="1">
      <alignment vertical="center"/>
    </xf>
    <xf numFmtId="178" fontId="3" fillId="34" borderId="5" xfId="0" applyNumberFormat="1" applyFont="1" applyFill="1" applyBorder="1">
      <alignment vertical="center"/>
    </xf>
    <xf numFmtId="178" fontId="3" fillId="34" borderId="3" xfId="0" applyNumberFormat="1" applyFont="1" applyFill="1" applyBorder="1">
      <alignment vertical="center"/>
    </xf>
    <xf numFmtId="178" fontId="3" fillId="34" borderId="6" xfId="0" applyNumberFormat="1" applyFont="1" applyFill="1" applyBorder="1">
      <alignment vertical="center"/>
    </xf>
    <xf numFmtId="176" fontId="0" fillId="118" borderId="2" xfId="0" applyNumberFormat="1" applyFill="1" applyBorder="1">
      <alignment vertical="center"/>
    </xf>
    <xf numFmtId="178" fontId="0" fillId="67" borderId="6" xfId="1" applyNumberFormat="1" applyFont="1" applyFill="1" applyBorder="1">
      <alignment vertical="center"/>
    </xf>
    <xf numFmtId="178" fontId="0" fillId="9" borderId="6" xfId="1" applyNumberFormat="1" applyFont="1" applyFill="1" applyBorder="1">
      <alignment vertical="center"/>
    </xf>
    <xf numFmtId="178" fontId="0" fillId="68" borderId="6" xfId="1" applyNumberFormat="1" applyFont="1" applyFill="1" applyBorder="1">
      <alignment vertical="center"/>
    </xf>
    <xf numFmtId="178" fontId="0" fillId="29" borderId="6" xfId="1" applyNumberFormat="1" applyFont="1" applyFill="1" applyBorder="1">
      <alignment vertical="center"/>
    </xf>
    <xf numFmtId="178" fontId="0" fillId="69" borderId="6" xfId="1" applyNumberFormat="1" applyFont="1" applyFill="1" applyBorder="1">
      <alignment vertical="center"/>
    </xf>
    <xf numFmtId="178" fontId="0" fillId="70" borderId="6" xfId="1" applyNumberFormat="1" applyFont="1" applyFill="1" applyBorder="1">
      <alignment vertical="center"/>
    </xf>
    <xf numFmtId="178" fontId="0" fillId="114" borderId="6" xfId="1" applyNumberFormat="1" applyFont="1" applyFill="1" applyBorder="1">
      <alignment vertical="center"/>
    </xf>
    <xf numFmtId="178" fontId="0" fillId="118" borderId="6" xfId="1" applyNumberFormat="1" applyFont="1" applyFill="1" applyBorder="1">
      <alignment vertical="center"/>
    </xf>
    <xf numFmtId="178" fontId="0" fillId="119" borderId="6" xfId="1" applyNumberFormat="1" applyFont="1" applyFill="1" applyBorder="1">
      <alignment vertical="center"/>
    </xf>
    <xf numFmtId="178" fontId="0" fillId="57" borderId="6" xfId="1" applyNumberFormat="1" applyFont="1" applyFill="1" applyBorder="1">
      <alignment vertical="center"/>
    </xf>
    <xf numFmtId="178" fontId="0" fillId="12" borderId="6" xfId="1" applyNumberFormat="1" applyFont="1" applyFill="1" applyBorder="1">
      <alignment vertical="center"/>
    </xf>
    <xf numFmtId="178" fontId="0" fillId="71" borderId="6" xfId="1" applyNumberFormat="1" applyFont="1" applyFill="1" applyBorder="1">
      <alignment vertical="center"/>
    </xf>
    <xf numFmtId="178" fontId="0" fillId="104" borderId="6" xfId="1" applyNumberFormat="1" applyFont="1" applyFill="1" applyBorder="1">
      <alignment vertical="center"/>
    </xf>
    <xf numFmtId="178" fontId="7" fillId="114" borderId="6" xfId="1" applyNumberFormat="1" applyFont="1" applyFill="1" applyBorder="1">
      <alignment vertical="center"/>
    </xf>
    <xf numFmtId="178" fontId="0" fillId="72" borderId="6" xfId="1" applyNumberFormat="1" applyFont="1" applyFill="1" applyBorder="1">
      <alignment vertical="center"/>
    </xf>
    <xf numFmtId="178" fontId="0" fillId="73" borderId="6" xfId="1" applyNumberFormat="1" applyFont="1" applyFill="1" applyBorder="1">
      <alignment vertical="center"/>
    </xf>
    <xf numFmtId="178" fontId="0" fillId="74" borderId="6" xfId="1" applyNumberFormat="1" applyFont="1" applyFill="1" applyBorder="1">
      <alignment vertical="center"/>
    </xf>
    <xf numFmtId="178" fontId="0" fillId="13" borderId="6" xfId="1" applyNumberFormat="1" applyFont="1" applyFill="1" applyBorder="1">
      <alignment vertical="center"/>
    </xf>
    <xf numFmtId="178" fontId="0" fillId="109" borderId="6" xfId="1" applyNumberFormat="1" applyFont="1" applyFill="1" applyBorder="1">
      <alignment vertical="center"/>
    </xf>
    <xf numFmtId="178" fontId="0" fillId="76" borderId="6" xfId="1" applyNumberFormat="1" applyFont="1" applyFill="1" applyBorder="1">
      <alignment vertical="center"/>
    </xf>
    <xf numFmtId="178" fontId="0" fillId="77" borderId="6" xfId="1" applyNumberFormat="1" applyFont="1" applyFill="1" applyBorder="1">
      <alignment vertical="center"/>
    </xf>
    <xf numFmtId="178" fontId="0" fillId="78" borderId="6" xfId="1" applyNumberFormat="1" applyFont="1" applyFill="1" applyBorder="1">
      <alignment vertical="center"/>
    </xf>
    <xf numFmtId="178" fontId="0" fillId="79" borderId="6" xfId="1" applyNumberFormat="1" applyFont="1" applyFill="1" applyBorder="1">
      <alignment vertical="center"/>
    </xf>
    <xf numFmtId="178" fontId="0" fillId="80" borderId="6" xfId="1" applyNumberFormat="1" applyFont="1" applyFill="1" applyBorder="1">
      <alignment vertical="center"/>
    </xf>
    <xf numFmtId="178" fontId="0" fillId="81" borderId="6" xfId="1" applyNumberFormat="1" applyFont="1" applyFill="1" applyBorder="1">
      <alignment vertical="center"/>
    </xf>
    <xf numFmtId="178" fontId="0" fillId="82" borderId="6" xfId="1" applyNumberFormat="1" applyFont="1" applyFill="1" applyBorder="1">
      <alignment vertical="center"/>
    </xf>
    <xf numFmtId="178" fontId="0" fillId="83" borderId="6" xfId="1" applyNumberFormat="1" applyFont="1" applyFill="1" applyBorder="1">
      <alignment vertical="center"/>
    </xf>
    <xf numFmtId="178" fontId="0" fillId="84" borderId="6" xfId="1" applyNumberFormat="1" applyFont="1" applyFill="1" applyBorder="1">
      <alignment vertical="center"/>
    </xf>
    <xf numFmtId="178" fontId="0" fillId="120" borderId="6" xfId="1" applyNumberFormat="1" applyFont="1" applyFill="1" applyBorder="1">
      <alignment vertical="center"/>
    </xf>
    <xf numFmtId="178" fontId="0" fillId="85" borderId="6" xfId="1" applyNumberFormat="1" applyFont="1" applyFill="1" applyBorder="1">
      <alignment vertical="center"/>
    </xf>
    <xf numFmtId="178" fontId="0" fillId="86" borderId="6" xfId="1" applyNumberFormat="1" applyFont="1" applyFill="1" applyBorder="1">
      <alignment vertical="center"/>
    </xf>
    <xf numFmtId="178" fontId="0" fillId="87" borderId="6" xfId="1" applyNumberFormat="1" applyFont="1" applyFill="1" applyBorder="1">
      <alignment vertical="center"/>
    </xf>
    <xf numFmtId="178" fontId="0" fillId="88" borderId="6" xfId="1" applyNumberFormat="1" applyFont="1" applyFill="1" applyBorder="1">
      <alignment vertical="center"/>
    </xf>
    <xf numFmtId="178" fontId="0" fillId="121" borderId="6" xfId="1" applyNumberFormat="1" applyFont="1" applyFill="1" applyBorder="1">
      <alignment vertical="center"/>
    </xf>
    <xf numFmtId="178" fontId="0" fillId="89" borderId="6" xfId="1" applyNumberFormat="1" applyFont="1" applyFill="1" applyBorder="1">
      <alignment vertical="center"/>
    </xf>
    <xf numFmtId="178" fontId="0" fillId="110" borderId="6" xfId="1" applyNumberFormat="1" applyFont="1" applyFill="1" applyBorder="1">
      <alignment vertical="center"/>
    </xf>
    <xf numFmtId="178" fontId="0" fillId="91" borderId="6" xfId="1" applyNumberFormat="1" applyFont="1" applyFill="1" applyBorder="1">
      <alignment vertical="center"/>
    </xf>
    <xf numFmtId="178" fontId="0" fillId="92" borderId="6" xfId="1" applyNumberFormat="1" applyFont="1" applyFill="1" applyBorder="1">
      <alignment vertical="center"/>
    </xf>
    <xf numFmtId="178" fontId="0" fillId="115" borderId="6" xfId="1" applyNumberFormat="1" applyFont="1" applyFill="1" applyBorder="1">
      <alignment vertical="center"/>
    </xf>
    <xf numFmtId="176" fontId="0" fillId="115" borderId="2" xfId="0" applyNumberFormat="1" applyFill="1" applyBorder="1">
      <alignment vertical="center"/>
    </xf>
    <xf numFmtId="178" fontId="0" fillId="14" borderId="6" xfId="1" applyNumberFormat="1" applyFont="1" applyFill="1" applyBorder="1">
      <alignment vertical="center"/>
    </xf>
    <xf numFmtId="178" fontId="0" fillId="93" borderId="6" xfId="1" applyNumberFormat="1" applyFont="1" applyFill="1" applyBorder="1">
      <alignment vertical="center"/>
    </xf>
    <xf numFmtId="178" fontId="0" fillId="94" borderId="6" xfId="1" applyNumberFormat="1" applyFont="1" applyFill="1" applyBorder="1">
      <alignment vertical="center"/>
    </xf>
    <xf numFmtId="178" fontId="0" fillId="95" borderId="6" xfId="1" applyNumberFormat="1" applyFont="1" applyFill="1" applyBorder="1">
      <alignment vertical="center"/>
    </xf>
    <xf numFmtId="178" fontId="0" fillId="122" borderId="6" xfId="1" applyNumberFormat="1" applyFont="1" applyFill="1" applyBorder="1">
      <alignment vertical="center"/>
    </xf>
    <xf numFmtId="178" fontId="0" fillId="61" borderId="6" xfId="1" applyNumberFormat="1" applyFont="1" applyFill="1" applyBorder="1">
      <alignment vertical="center"/>
    </xf>
    <xf numFmtId="178" fontId="0" fillId="96" borderId="6" xfId="1" applyNumberFormat="1" applyFont="1" applyFill="1" applyBorder="1">
      <alignment vertical="center"/>
    </xf>
    <xf numFmtId="178" fontId="0" fillId="97" borderId="6" xfId="1" applyNumberFormat="1" applyFont="1" applyFill="1" applyBorder="1">
      <alignment vertical="center"/>
    </xf>
    <xf numFmtId="178" fontId="0" fillId="62" borderId="6" xfId="1" applyNumberFormat="1" applyFont="1" applyFill="1" applyBorder="1">
      <alignment vertical="center"/>
    </xf>
    <xf numFmtId="178" fontId="0" fillId="99" borderId="6" xfId="1" applyNumberFormat="1" applyFont="1" applyFill="1" applyBorder="1">
      <alignment vertical="center"/>
    </xf>
    <xf numFmtId="178" fontId="7" fillId="92" borderId="6" xfId="1" applyNumberFormat="1" applyFont="1" applyFill="1" applyBorder="1">
      <alignment vertical="center"/>
    </xf>
    <xf numFmtId="178" fontId="0" fillId="101" borderId="6" xfId="1" applyNumberFormat="1" applyFont="1" applyFill="1" applyBorder="1">
      <alignment vertical="center"/>
    </xf>
    <xf numFmtId="178" fontId="0" fillId="102" borderId="6" xfId="1" applyNumberFormat="1" applyFont="1" applyFill="1" applyBorder="1">
      <alignment vertical="center"/>
    </xf>
    <xf numFmtId="178" fontId="0" fillId="111" borderId="6" xfId="1" applyNumberFormat="1" applyFont="1" applyFill="1" applyBorder="1">
      <alignment vertical="center"/>
    </xf>
    <xf numFmtId="178" fontId="0" fillId="112" borderId="6" xfId="1" applyNumberFormat="1" applyFont="1" applyFill="1" applyBorder="1">
      <alignment vertical="center"/>
    </xf>
    <xf numFmtId="178" fontId="0" fillId="63" borderId="6" xfId="1" applyNumberFormat="1" applyFont="1" applyFill="1" applyBorder="1">
      <alignment vertical="center"/>
    </xf>
    <xf numFmtId="178" fontId="0" fillId="33" borderId="6" xfId="1" applyNumberFormat="1" applyFont="1" applyFill="1" applyBorder="1">
      <alignment vertical="center"/>
    </xf>
    <xf numFmtId="178" fontId="0" fillId="113" borderId="6" xfId="1" applyNumberFormat="1" applyFont="1" applyFill="1" applyBorder="1">
      <alignment vertical="center"/>
    </xf>
    <xf numFmtId="178" fontId="0" fillId="106" borderId="6" xfId="1" applyNumberFormat="1" applyFont="1" applyFill="1" applyBorder="1">
      <alignment vertical="center"/>
    </xf>
    <xf numFmtId="178" fontId="0" fillId="107" borderId="6" xfId="1" applyNumberFormat="1" applyFont="1" applyFill="1" applyBorder="1">
      <alignment vertical="center"/>
    </xf>
    <xf numFmtId="178" fontId="0" fillId="108" borderId="6" xfId="1" applyNumberFormat="1" applyFont="1" applyFill="1" applyBorder="1">
      <alignment vertical="center"/>
    </xf>
    <xf numFmtId="178" fontId="0" fillId="34" borderId="6" xfId="1" applyNumberFormat="1" applyFont="1" applyFill="1" applyBorder="1">
      <alignment vertical="center"/>
    </xf>
    <xf numFmtId="41" fontId="1" fillId="2" borderId="30" xfId="1" applyFont="1" applyFill="1" applyBorder="1" applyAlignment="1">
      <alignment horizontal="center" vertical="center"/>
    </xf>
    <xf numFmtId="178" fontId="0" fillId="35" borderId="11" xfId="1" applyNumberFormat="1" applyFont="1" applyFill="1" applyBorder="1">
      <alignment vertical="center"/>
    </xf>
    <xf numFmtId="178" fontId="0" fillId="35" borderId="3" xfId="1" applyNumberFormat="1" applyFont="1" applyFill="1" applyBorder="1">
      <alignment vertical="center"/>
    </xf>
    <xf numFmtId="178" fontId="0" fillId="36" borderId="3" xfId="1" applyNumberFormat="1" applyFont="1" applyFill="1" applyBorder="1">
      <alignment vertical="center"/>
    </xf>
    <xf numFmtId="178" fontId="0" fillId="37" borderId="5" xfId="1" applyNumberFormat="1" applyFont="1" applyFill="1" applyBorder="1">
      <alignment vertical="center"/>
    </xf>
    <xf numFmtId="178" fontId="0" fillId="37" borderId="3" xfId="1" applyNumberFormat="1" applyFont="1" applyFill="1" applyBorder="1">
      <alignment vertical="center"/>
    </xf>
    <xf numFmtId="178" fontId="0" fillId="38" borderId="3" xfId="1" applyNumberFormat="1" applyFont="1" applyFill="1" applyBorder="1">
      <alignment vertical="center"/>
    </xf>
    <xf numFmtId="178" fontId="0" fillId="39" borderId="5" xfId="1" applyNumberFormat="1" applyFont="1" applyFill="1" applyBorder="1">
      <alignment vertical="center"/>
    </xf>
    <xf numFmtId="178" fontId="0" fillId="39" borderId="3" xfId="1" applyNumberFormat="1" applyFont="1" applyFill="1" applyBorder="1">
      <alignment vertical="center"/>
    </xf>
    <xf numFmtId="178" fontId="1" fillId="40" borderId="1" xfId="1" applyNumberFormat="1" applyFont="1" applyFill="1" applyBorder="1">
      <alignment vertical="center"/>
    </xf>
    <xf numFmtId="41" fontId="1" fillId="2" borderId="31" xfId="1" applyFont="1" applyFill="1" applyBorder="1" applyAlignment="1">
      <alignment horizontal="center" vertical="center"/>
    </xf>
    <xf numFmtId="0" fontId="0" fillId="37" borderId="4" xfId="0" applyFill="1" applyBorder="1">
      <alignment vertical="center"/>
    </xf>
    <xf numFmtId="178" fontId="0" fillId="37" borderId="8" xfId="1" applyNumberFormat="1" applyFont="1" applyFill="1" applyBorder="1">
      <alignment vertical="center"/>
    </xf>
    <xf numFmtId="178" fontId="0" fillId="37" borderId="11" xfId="1" applyNumberFormat="1" applyFont="1" applyFill="1" applyBorder="1">
      <alignment vertical="center"/>
    </xf>
    <xf numFmtId="178" fontId="3" fillId="37" borderId="9" xfId="1" applyNumberFormat="1" applyFont="1" applyFill="1" applyBorder="1">
      <alignment vertical="center"/>
    </xf>
    <xf numFmtId="178" fontId="3" fillId="37" borderId="6" xfId="1" applyNumberFormat="1" applyFont="1" applyFill="1" applyBorder="1">
      <alignment vertical="center"/>
    </xf>
    <xf numFmtId="0" fontId="0" fillId="41" borderId="4" xfId="0" applyFill="1" applyBorder="1">
      <alignment vertical="center"/>
    </xf>
    <xf numFmtId="178" fontId="0" fillId="41" borderId="5" xfId="1" applyNumberFormat="1" applyFont="1" applyFill="1" applyBorder="1">
      <alignment vertical="center"/>
    </xf>
    <xf numFmtId="178" fontId="0" fillId="41" borderId="3" xfId="1" applyNumberFormat="1" applyFont="1" applyFill="1" applyBorder="1">
      <alignment vertical="center"/>
    </xf>
    <xf numFmtId="178" fontId="3" fillId="41" borderId="6" xfId="1" applyNumberFormat="1" applyFont="1" applyFill="1" applyBorder="1">
      <alignment vertical="center"/>
    </xf>
    <xf numFmtId="0" fontId="0" fillId="42" borderId="4" xfId="0" applyFill="1" applyBorder="1">
      <alignment vertical="center"/>
    </xf>
    <xf numFmtId="178" fontId="0" fillId="42" borderId="5" xfId="1" applyNumberFormat="1" applyFont="1" applyFill="1" applyBorder="1">
      <alignment vertical="center"/>
    </xf>
    <xf numFmtId="178" fontId="0" fillId="42" borderId="3" xfId="1" applyNumberFormat="1" applyFont="1" applyFill="1" applyBorder="1">
      <alignment vertical="center"/>
    </xf>
    <xf numFmtId="178" fontId="3" fillId="42" borderId="6" xfId="1" applyNumberFormat="1" applyFont="1" applyFill="1" applyBorder="1">
      <alignment vertical="center"/>
    </xf>
    <xf numFmtId="178" fontId="0" fillId="42" borderId="5" xfId="0" applyNumberFormat="1" applyFill="1" applyBorder="1">
      <alignment vertical="center"/>
    </xf>
    <xf numFmtId="178" fontId="0" fillId="42" borderId="3" xfId="0" applyNumberFormat="1" applyFill="1" applyBorder="1">
      <alignment vertical="center"/>
    </xf>
    <xf numFmtId="0" fontId="0" fillId="25" borderId="4" xfId="0" applyFill="1" applyBorder="1">
      <alignment vertical="center"/>
    </xf>
    <xf numFmtId="178" fontId="0" fillId="31" borderId="5" xfId="1" applyNumberFormat="1" applyFont="1" applyFill="1" applyBorder="1">
      <alignment vertical="center"/>
    </xf>
    <xf numFmtId="178" fontId="0" fillId="31" borderId="3" xfId="1" applyNumberFormat="1" applyFont="1" applyFill="1" applyBorder="1">
      <alignment vertical="center"/>
    </xf>
    <xf numFmtId="178" fontId="3" fillId="31" borderId="6" xfId="1" applyNumberFormat="1" applyFont="1" applyFill="1" applyBorder="1">
      <alignment vertical="center"/>
    </xf>
    <xf numFmtId="0" fontId="0" fillId="43" borderId="4" xfId="0" applyFill="1" applyBorder="1">
      <alignment vertical="center"/>
    </xf>
    <xf numFmtId="178" fontId="0" fillId="43" borderId="5" xfId="1" applyNumberFormat="1" applyFont="1" applyFill="1" applyBorder="1">
      <alignment vertical="center"/>
    </xf>
    <xf numFmtId="178" fontId="0" fillId="43" borderId="3" xfId="1" applyNumberFormat="1" applyFont="1" applyFill="1" applyBorder="1">
      <alignment vertical="center"/>
    </xf>
    <xf numFmtId="178" fontId="3" fillId="43" borderId="6" xfId="1" applyNumberFormat="1" applyFont="1" applyFill="1" applyBorder="1">
      <alignment vertical="center"/>
    </xf>
    <xf numFmtId="0" fontId="0" fillId="44" borderId="4" xfId="0" applyFill="1" applyBorder="1">
      <alignment vertical="center"/>
    </xf>
    <xf numFmtId="178" fontId="0" fillId="44" borderId="5" xfId="1" applyNumberFormat="1" applyFont="1" applyFill="1" applyBorder="1">
      <alignment vertical="center"/>
    </xf>
    <xf numFmtId="178" fontId="0" fillId="44" borderId="3" xfId="1" applyNumberFormat="1" applyFont="1" applyFill="1" applyBorder="1">
      <alignment vertical="center"/>
    </xf>
    <xf numFmtId="178" fontId="3" fillId="44" borderId="6" xfId="1" applyNumberFormat="1" applyFont="1" applyFill="1" applyBorder="1">
      <alignment vertical="center"/>
    </xf>
    <xf numFmtId="0" fontId="0" fillId="26" borderId="4" xfId="0" applyFill="1" applyBorder="1">
      <alignment vertical="center"/>
    </xf>
    <xf numFmtId="178" fontId="0" fillId="32" borderId="5" xfId="1" applyNumberFormat="1" applyFont="1" applyFill="1" applyBorder="1">
      <alignment vertical="center"/>
    </xf>
    <xf numFmtId="178" fontId="0" fillId="32" borderId="3" xfId="1" applyNumberFormat="1" applyFont="1" applyFill="1" applyBorder="1">
      <alignment vertical="center"/>
    </xf>
    <xf numFmtId="178" fontId="3" fillId="32" borderId="6" xfId="1" applyNumberFormat="1" applyFont="1" applyFill="1" applyBorder="1">
      <alignment vertical="center"/>
    </xf>
    <xf numFmtId="0" fontId="0" fillId="45" borderId="4" xfId="0" applyFill="1" applyBorder="1">
      <alignment vertical="center"/>
    </xf>
    <xf numFmtId="178" fontId="0" fillId="45" borderId="5" xfId="1" applyNumberFormat="1" applyFont="1" applyFill="1" applyBorder="1">
      <alignment vertical="center"/>
    </xf>
    <xf numFmtId="178" fontId="0" fillId="45" borderId="3" xfId="1" applyNumberFormat="1" applyFont="1" applyFill="1" applyBorder="1">
      <alignment vertical="center"/>
    </xf>
    <xf numFmtId="178" fontId="3" fillId="45" borderId="6" xfId="1" applyNumberFormat="1" applyFont="1" applyFill="1" applyBorder="1">
      <alignment vertical="center"/>
    </xf>
    <xf numFmtId="0" fontId="0" fillId="46" borderId="4" xfId="0" applyFill="1" applyBorder="1">
      <alignment vertical="center"/>
    </xf>
    <xf numFmtId="178" fontId="0" fillId="46" borderId="5" xfId="1" applyNumberFormat="1" applyFont="1" applyFill="1" applyBorder="1">
      <alignment vertical="center"/>
    </xf>
    <xf numFmtId="178" fontId="0" fillId="46" borderId="3" xfId="1" applyNumberFormat="1" applyFont="1" applyFill="1" applyBorder="1">
      <alignment vertical="center"/>
    </xf>
    <xf numFmtId="178" fontId="3" fillId="46" borderId="6" xfId="1" applyNumberFormat="1" applyFont="1" applyFill="1" applyBorder="1">
      <alignment vertical="center"/>
    </xf>
    <xf numFmtId="0" fontId="0" fillId="47" borderId="4" xfId="0" applyFill="1" applyBorder="1">
      <alignment vertical="center"/>
    </xf>
    <xf numFmtId="178" fontId="0" fillId="47" borderId="5" xfId="1" applyNumberFormat="1" applyFont="1" applyFill="1" applyBorder="1">
      <alignment vertical="center"/>
    </xf>
    <xf numFmtId="178" fontId="0" fillId="47" borderId="3" xfId="1" applyNumberFormat="1" applyFont="1" applyFill="1" applyBorder="1">
      <alignment vertical="center"/>
    </xf>
    <xf numFmtId="178" fontId="3" fillId="47" borderId="6" xfId="1" applyNumberFormat="1" applyFont="1" applyFill="1" applyBorder="1">
      <alignment vertical="center"/>
    </xf>
    <xf numFmtId="0" fontId="0" fillId="48" borderId="4" xfId="0" applyFill="1" applyBorder="1">
      <alignment vertical="center"/>
    </xf>
    <xf numFmtId="178" fontId="0" fillId="48" borderId="5" xfId="1" applyNumberFormat="1" applyFont="1" applyFill="1" applyBorder="1">
      <alignment vertical="center"/>
    </xf>
    <xf numFmtId="178" fontId="0" fillId="48" borderId="3" xfId="1" applyNumberFormat="1" applyFont="1" applyFill="1" applyBorder="1">
      <alignment vertical="center"/>
    </xf>
    <xf numFmtId="178" fontId="3" fillId="48" borderId="6" xfId="1" applyNumberFormat="1" applyFont="1" applyFill="1" applyBorder="1">
      <alignment vertical="center"/>
    </xf>
    <xf numFmtId="0" fontId="0" fillId="49" borderId="4" xfId="0" applyFill="1" applyBorder="1">
      <alignment vertical="center"/>
    </xf>
    <xf numFmtId="178" fontId="0" fillId="49" borderId="5" xfId="1" applyNumberFormat="1" applyFont="1" applyFill="1" applyBorder="1">
      <alignment vertical="center"/>
    </xf>
    <xf numFmtId="178" fontId="0" fillId="49" borderId="3" xfId="1" applyNumberFormat="1" applyFont="1" applyFill="1" applyBorder="1">
      <alignment vertical="center"/>
    </xf>
    <xf numFmtId="178" fontId="3" fillId="49" borderId="6" xfId="1" applyNumberFormat="1" applyFont="1" applyFill="1" applyBorder="1">
      <alignment vertical="center"/>
    </xf>
    <xf numFmtId="0" fontId="0" fillId="50" borderId="4" xfId="0" applyFill="1" applyBorder="1">
      <alignment vertical="center"/>
    </xf>
    <xf numFmtId="178" fontId="0" fillId="50" borderId="5" xfId="1" applyNumberFormat="1" applyFont="1" applyFill="1" applyBorder="1">
      <alignment vertical="center"/>
    </xf>
    <xf numFmtId="178" fontId="0" fillId="50" borderId="3" xfId="1" applyNumberFormat="1" applyFont="1" applyFill="1" applyBorder="1">
      <alignment vertical="center"/>
    </xf>
    <xf numFmtId="178" fontId="3" fillId="50" borderId="6" xfId="1" applyNumberFormat="1" applyFont="1" applyFill="1" applyBorder="1">
      <alignment vertical="center"/>
    </xf>
    <xf numFmtId="0" fontId="0" fillId="51" borderId="4" xfId="0" applyFill="1" applyBorder="1">
      <alignment vertical="center"/>
    </xf>
    <xf numFmtId="178" fontId="0" fillId="51" borderId="5" xfId="1" applyNumberFormat="1" applyFont="1" applyFill="1" applyBorder="1">
      <alignment vertical="center"/>
    </xf>
    <xf numFmtId="178" fontId="0" fillId="51" borderId="3" xfId="1" applyNumberFormat="1" applyFont="1" applyFill="1" applyBorder="1">
      <alignment vertical="center"/>
    </xf>
    <xf numFmtId="178" fontId="3" fillId="51" borderId="6" xfId="1" applyNumberFormat="1" applyFont="1" applyFill="1" applyBorder="1">
      <alignment vertical="center"/>
    </xf>
    <xf numFmtId="0" fontId="0" fillId="61" borderId="4" xfId="0" applyFill="1" applyBorder="1">
      <alignment vertical="center"/>
    </xf>
    <xf numFmtId="178" fontId="3" fillId="61" borderId="6" xfId="1" applyNumberFormat="1" applyFont="1" applyFill="1" applyBorder="1">
      <alignment vertical="center"/>
    </xf>
    <xf numFmtId="0" fontId="0" fillId="53" borderId="4" xfId="0" applyFill="1" applyBorder="1">
      <alignment vertical="center"/>
    </xf>
    <xf numFmtId="178" fontId="0" fillId="53" borderId="5" xfId="1" applyNumberFormat="1" applyFont="1" applyFill="1" applyBorder="1">
      <alignment vertical="center"/>
    </xf>
    <xf numFmtId="178" fontId="0" fillId="53" borderId="3" xfId="1" applyNumberFormat="1" applyFont="1" applyFill="1" applyBorder="1">
      <alignment vertical="center"/>
    </xf>
    <xf numFmtId="178" fontId="3" fillId="53" borderId="6" xfId="1" applyNumberFormat="1" applyFont="1" applyFill="1" applyBorder="1">
      <alignment vertical="center"/>
    </xf>
    <xf numFmtId="0" fontId="4" fillId="115" borderId="5" xfId="0" applyFont="1" applyFill="1" applyBorder="1">
      <alignment vertical="center"/>
    </xf>
    <xf numFmtId="0" fontId="0" fillId="115" borderId="4" xfId="0" applyFill="1" applyBorder="1">
      <alignment vertical="center"/>
    </xf>
    <xf numFmtId="178" fontId="3" fillId="115" borderId="6" xfId="1" applyNumberFormat="1" applyFont="1" applyFill="1" applyBorder="1">
      <alignment vertical="center"/>
    </xf>
    <xf numFmtId="3" fontId="0" fillId="115" borderId="3" xfId="0" applyNumberFormat="1" applyFill="1" applyBorder="1" applyAlignment="1">
      <alignment horizontal="center" vertical="center"/>
    </xf>
    <xf numFmtId="0" fontId="0" fillId="54" borderId="4" xfId="0" applyFill="1" applyBorder="1">
      <alignment vertical="center"/>
    </xf>
    <xf numFmtId="178" fontId="3" fillId="62" borderId="6" xfId="1" applyNumberFormat="1" applyFont="1" applyFill="1" applyBorder="1">
      <alignment vertical="center"/>
    </xf>
    <xf numFmtId="0" fontId="0" fillId="55" borderId="4" xfId="0" applyFill="1" applyBorder="1">
      <alignment vertical="center"/>
    </xf>
    <xf numFmtId="178" fontId="0" fillId="55" borderId="5" xfId="1" applyNumberFormat="1" applyFont="1" applyFill="1" applyBorder="1">
      <alignment vertical="center"/>
    </xf>
    <xf numFmtId="178" fontId="0" fillId="55" borderId="3" xfId="1" applyNumberFormat="1" applyFont="1" applyFill="1" applyBorder="1">
      <alignment vertical="center"/>
    </xf>
    <xf numFmtId="178" fontId="3" fillId="55" borderId="6" xfId="1" applyNumberFormat="1" applyFont="1" applyFill="1" applyBorder="1">
      <alignment vertical="center"/>
    </xf>
    <xf numFmtId="0" fontId="4" fillId="118" borderId="5" xfId="0" applyFont="1" applyFill="1" applyBorder="1">
      <alignment vertical="center"/>
    </xf>
    <xf numFmtId="0" fontId="0" fillId="118" borderId="4" xfId="0" applyFill="1" applyBorder="1">
      <alignment vertical="center"/>
    </xf>
    <xf numFmtId="178" fontId="3" fillId="118" borderId="6" xfId="1" applyNumberFormat="1" applyFont="1" applyFill="1" applyBorder="1">
      <alignment vertical="center"/>
    </xf>
    <xf numFmtId="3" fontId="0" fillId="118" borderId="3" xfId="0" applyNumberFormat="1" applyFill="1" applyBorder="1" applyAlignment="1">
      <alignment horizontal="center" vertical="center"/>
    </xf>
    <xf numFmtId="0" fontId="0" fillId="57" borderId="4" xfId="0" applyFill="1" applyBorder="1">
      <alignment vertical="center"/>
    </xf>
    <xf numFmtId="178" fontId="0" fillId="64" borderId="5" xfId="1" applyNumberFormat="1" applyFont="1" applyFill="1" applyBorder="1">
      <alignment vertical="center"/>
    </xf>
    <xf numFmtId="178" fontId="0" fillId="64" borderId="3" xfId="1" applyNumberFormat="1" applyFont="1" applyFill="1" applyBorder="1">
      <alignment vertical="center"/>
    </xf>
    <xf numFmtId="178" fontId="3" fillId="64" borderId="6" xfId="1" applyNumberFormat="1" applyFont="1" applyFill="1" applyBorder="1">
      <alignment vertical="center"/>
    </xf>
    <xf numFmtId="0" fontId="0" fillId="58" borderId="4" xfId="0" applyFill="1" applyBorder="1">
      <alignment vertical="center"/>
    </xf>
    <xf numFmtId="178" fontId="0" fillId="58" borderId="5" xfId="1" applyNumberFormat="1" applyFont="1" applyFill="1" applyBorder="1">
      <alignment vertical="center"/>
    </xf>
    <xf numFmtId="178" fontId="0" fillId="58" borderId="3" xfId="1" applyNumberFormat="1" applyFont="1" applyFill="1" applyBorder="1">
      <alignment vertical="center"/>
    </xf>
    <xf numFmtId="178" fontId="3" fillId="58" borderId="6" xfId="1" applyNumberFormat="1" applyFont="1" applyFill="1" applyBorder="1">
      <alignment vertical="center"/>
    </xf>
    <xf numFmtId="0" fontId="0" fillId="65" borderId="4" xfId="0" applyFill="1" applyBorder="1">
      <alignment vertical="center"/>
    </xf>
    <xf numFmtId="178" fontId="0" fillId="65" borderId="5" xfId="1" applyNumberFormat="1" applyFont="1" applyFill="1" applyBorder="1">
      <alignment vertical="center"/>
    </xf>
    <xf numFmtId="178" fontId="0" fillId="65" borderId="3" xfId="1" applyNumberFormat="1" applyFont="1" applyFill="1" applyBorder="1">
      <alignment vertical="center"/>
    </xf>
    <xf numFmtId="178" fontId="3" fillId="65" borderId="6" xfId="1" applyNumberFormat="1" applyFont="1" applyFill="1" applyBorder="1">
      <alignment vertical="center"/>
    </xf>
    <xf numFmtId="49" fontId="0" fillId="65" borderId="4" xfId="0" applyNumberFormat="1" applyFill="1" applyBorder="1">
      <alignment vertical="center"/>
    </xf>
    <xf numFmtId="0" fontId="0" fillId="60" borderId="4" xfId="0" applyFill="1" applyBorder="1">
      <alignment vertical="center"/>
    </xf>
    <xf numFmtId="178" fontId="0" fillId="60" borderId="5" xfId="1" applyNumberFormat="1" applyFont="1" applyFill="1" applyBorder="1">
      <alignment vertical="center"/>
    </xf>
    <xf numFmtId="178" fontId="0" fillId="60" borderId="3" xfId="1" applyNumberFormat="1" applyFont="1" applyFill="1" applyBorder="1">
      <alignment vertical="center"/>
    </xf>
    <xf numFmtId="178" fontId="3" fillId="60" borderId="6" xfId="1" applyNumberFormat="1" applyFont="1" applyFill="1" applyBorder="1">
      <alignment vertical="center"/>
    </xf>
    <xf numFmtId="0" fontId="0" fillId="39" borderId="4" xfId="0" applyFill="1" applyBorder="1">
      <alignment vertical="center"/>
    </xf>
    <xf numFmtId="178" fontId="3" fillId="39" borderId="6" xfId="1" applyNumberFormat="1" applyFont="1" applyFill="1" applyBorder="1">
      <alignment vertical="center"/>
    </xf>
    <xf numFmtId="178" fontId="1" fillId="2" borderId="12" xfId="1" applyNumberFormat="1" applyFont="1" applyFill="1" applyBorder="1">
      <alignment vertical="center"/>
    </xf>
    <xf numFmtId="41" fontId="3" fillId="0" borderId="0" xfId="1" applyFont="1">
      <alignment vertical="center"/>
    </xf>
    <xf numFmtId="178" fontId="0" fillId="33" borderId="2" xfId="1" applyNumberFormat="1" applyFont="1" applyFill="1" applyBorder="1">
      <alignment vertical="center"/>
    </xf>
    <xf numFmtId="178" fontId="0" fillId="39" borderId="19" xfId="1" applyNumberFormat="1" applyFont="1" applyFill="1" applyBorder="1">
      <alignment vertical="center"/>
    </xf>
    <xf numFmtId="178" fontId="0" fillId="39" borderId="33" xfId="1" applyNumberFormat="1" applyFont="1" applyFill="1" applyBorder="1">
      <alignment vertical="center"/>
    </xf>
    <xf numFmtId="41" fontId="1" fillId="2" borderId="30" xfId="1" applyFont="1" applyFill="1" applyBorder="1" applyAlignment="1">
      <alignment horizontal="center" vertical="center" wrapText="1"/>
    </xf>
    <xf numFmtId="176" fontId="1" fillId="2" borderId="33" xfId="0" applyNumberFormat="1" applyFont="1" applyFill="1" applyBorder="1">
      <alignment vertical="center"/>
    </xf>
    <xf numFmtId="3" fontId="1" fillId="2" borderId="21" xfId="0" applyNumberFormat="1" applyFont="1" applyFill="1" applyBorder="1" applyAlignment="1">
      <alignment vertical="center" wrapText="1"/>
    </xf>
    <xf numFmtId="176" fontId="1" fillId="40" borderId="1" xfId="0" applyNumberFormat="1" applyFont="1" applyFill="1" applyBorder="1">
      <alignment vertical="center"/>
    </xf>
    <xf numFmtId="3" fontId="1" fillId="40" borderId="34" xfId="0" applyNumberFormat="1" applyFont="1" applyFill="1" applyBorder="1" applyAlignment="1">
      <alignment horizontal="center" vertical="center"/>
    </xf>
    <xf numFmtId="3" fontId="0" fillId="35" borderId="6" xfId="0" applyNumberFormat="1" applyFill="1" applyBorder="1" applyAlignment="1">
      <alignment horizontal="center" vertical="center"/>
    </xf>
    <xf numFmtId="3" fontId="0" fillId="36" borderId="6" xfId="0" applyNumberFormat="1" applyFill="1" applyBorder="1" applyAlignment="1">
      <alignment horizontal="center" vertical="center"/>
    </xf>
    <xf numFmtId="3" fontId="0" fillId="37" borderId="6" xfId="0" applyNumberFormat="1" applyFill="1" applyBorder="1" applyAlignment="1">
      <alignment horizontal="center" vertical="center"/>
    </xf>
    <xf numFmtId="3" fontId="0" fillId="38" borderId="6" xfId="0" applyNumberFormat="1" applyFill="1" applyBorder="1" applyAlignment="1">
      <alignment horizontal="center" vertical="center"/>
    </xf>
    <xf numFmtId="3" fontId="0" fillId="39" borderId="6" xfId="0" applyNumberFormat="1" applyFill="1" applyBorder="1" applyAlignment="1">
      <alignment horizontal="center" vertical="center"/>
    </xf>
    <xf numFmtId="0" fontId="0" fillId="39" borderId="20" xfId="0" applyFill="1" applyBorder="1">
      <alignment vertical="center"/>
    </xf>
    <xf numFmtId="0" fontId="4" fillId="124" borderId="5" xfId="0" applyFont="1" applyFill="1" applyBorder="1">
      <alignment vertical="center"/>
    </xf>
    <xf numFmtId="0" fontId="0" fillId="124" borderId="4" xfId="0" applyFill="1" applyBorder="1">
      <alignment vertical="center"/>
    </xf>
    <xf numFmtId="178" fontId="0" fillId="124" borderId="5" xfId="1" applyNumberFormat="1" applyFont="1" applyFill="1" applyBorder="1">
      <alignment vertical="center"/>
    </xf>
    <xf numFmtId="178" fontId="0" fillId="124" borderId="3" xfId="1" applyNumberFormat="1" applyFont="1" applyFill="1" applyBorder="1">
      <alignment vertical="center"/>
    </xf>
    <xf numFmtId="178" fontId="3" fillId="124" borderId="6" xfId="1" applyNumberFormat="1" applyFont="1" applyFill="1" applyBorder="1">
      <alignment vertical="center"/>
    </xf>
    <xf numFmtId="176" fontId="0" fillId="124" borderId="2" xfId="0" applyNumberFormat="1" applyFill="1" applyBorder="1">
      <alignment vertical="center"/>
    </xf>
    <xf numFmtId="3" fontId="0" fillId="124" borderId="3" xfId="0" applyNumberFormat="1" applyFill="1" applyBorder="1" applyAlignment="1">
      <alignment horizontal="center" vertical="center"/>
    </xf>
    <xf numFmtId="0" fontId="4" fillId="125" borderId="5" xfId="0" applyFont="1" applyFill="1" applyBorder="1">
      <alignment vertical="center"/>
    </xf>
    <xf numFmtId="0" fontId="0" fillId="125" borderId="4" xfId="0" applyFill="1" applyBorder="1">
      <alignment vertical="center"/>
    </xf>
    <xf numFmtId="178" fontId="0" fillId="125" borderId="5" xfId="1" applyNumberFormat="1" applyFont="1" applyFill="1" applyBorder="1">
      <alignment vertical="center"/>
    </xf>
    <xf numFmtId="178" fontId="0" fillId="125" borderId="3" xfId="1" applyNumberFormat="1" applyFont="1" applyFill="1" applyBorder="1">
      <alignment vertical="center"/>
    </xf>
    <xf numFmtId="178" fontId="3" fillId="125" borderId="6" xfId="1" applyNumberFormat="1" applyFont="1" applyFill="1" applyBorder="1">
      <alignment vertical="center"/>
    </xf>
    <xf numFmtId="176" fontId="0" fillId="125" borderId="2" xfId="0" applyNumberFormat="1" applyFill="1" applyBorder="1">
      <alignment vertical="center"/>
    </xf>
    <xf numFmtId="3" fontId="0" fillId="125" borderId="3" xfId="0" applyNumberFormat="1" applyFill="1" applyBorder="1" applyAlignment="1">
      <alignment horizontal="center" vertical="center"/>
    </xf>
    <xf numFmtId="0" fontId="0" fillId="118" borderId="5" xfId="0" applyFill="1" applyBorder="1">
      <alignment vertical="center"/>
    </xf>
    <xf numFmtId="0" fontId="0" fillId="126" borderId="5" xfId="0" applyFill="1" applyBorder="1">
      <alignment vertical="center"/>
    </xf>
    <xf numFmtId="0" fontId="0" fillId="126" borderId="4" xfId="0" applyFill="1" applyBorder="1">
      <alignment vertical="center"/>
    </xf>
    <xf numFmtId="178" fontId="0" fillId="126" borderId="5" xfId="1" applyNumberFormat="1" applyFont="1" applyFill="1" applyBorder="1">
      <alignment vertical="center"/>
    </xf>
    <xf numFmtId="178" fontId="0" fillId="126" borderId="3" xfId="1" applyNumberFormat="1" applyFont="1" applyFill="1" applyBorder="1">
      <alignment vertical="center"/>
    </xf>
    <xf numFmtId="178" fontId="3" fillId="126" borderId="6" xfId="1" applyNumberFormat="1" applyFont="1" applyFill="1" applyBorder="1">
      <alignment vertical="center"/>
    </xf>
    <xf numFmtId="176" fontId="0" fillId="126" borderId="2" xfId="0" applyNumberFormat="1" applyFill="1" applyBorder="1">
      <alignment vertical="center"/>
    </xf>
    <xf numFmtId="3" fontId="0" fillId="126" borderId="3" xfId="0" applyNumberFormat="1" applyFill="1" applyBorder="1" applyAlignment="1">
      <alignment horizontal="center" vertical="center"/>
    </xf>
    <xf numFmtId="3" fontId="1" fillId="2" borderId="30" xfId="0" applyNumberFormat="1" applyFont="1" applyFill="1" applyBorder="1">
      <alignment vertical="center"/>
    </xf>
    <xf numFmtId="3" fontId="1" fillId="2" borderId="31" xfId="0" applyNumberFormat="1" applyFont="1" applyFill="1" applyBorder="1">
      <alignment vertical="center"/>
    </xf>
    <xf numFmtId="176" fontId="0" fillId="35" borderId="3" xfId="0" applyNumberFormat="1" applyFill="1" applyBorder="1">
      <alignment vertical="center"/>
    </xf>
    <xf numFmtId="176" fontId="0" fillId="36" borderId="3" xfId="0" applyNumberFormat="1" applyFill="1" applyBorder="1">
      <alignment vertical="center"/>
    </xf>
    <xf numFmtId="176" fontId="0" fillId="33" borderId="3" xfId="0" applyNumberFormat="1" applyFill="1" applyBorder="1">
      <alignment vertical="center"/>
    </xf>
    <xf numFmtId="176" fontId="0" fillId="37" borderId="3" xfId="0" applyNumberFormat="1" applyFill="1" applyBorder="1">
      <alignment vertical="center"/>
    </xf>
    <xf numFmtId="176" fontId="0" fillId="38" borderId="3" xfId="0" applyNumberFormat="1" applyFill="1" applyBorder="1">
      <alignment vertical="center"/>
    </xf>
    <xf numFmtId="176" fontId="0" fillId="39" borderId="3" xfId="0" applyNumberFormat="1" applyFill="1" applyBorder="1">
      <alignment vertical="center"/>
    </xf>
    <xf numFmtId="49" fontId="0" fillId="35" borderId="8" xfId="0" applyNumberFormat="1" applyFill="1" applyBorder="1">
      <alignment vertical="center"/>
    </xf>
    <xf numFmtId="176" fontId="0" fillId="35" borderId="11" xfId="0" applyNumberFormat="1" applyFill="1" applyBorder="1">
      <alignment vertical="center"/>
    </xf>
    <xf numFmtId="49" fontId="0" fillId="35" borderId="9" xfId="0" applyNumberFormat="1" applyFill="1" applyBorder="1">
      <alignment vertical="center"/>
    </xf>
    <xf numFmtId="49" fontId="0" fillId="35" borderId="6" xfId="0" applyNumberFormat="1" applyFill="1" applyBorder="1">
      <alignment vertical="center"/>
    </xf>
    <xf numFmtId="49" fontId="0" fillId="36" borderId="6" xfId="0" applyNumberFormat="1" applyFill="1" applyBorder="1">
      <alignment vertical="center"/>
    </xf>
    <xf numFmtId="49" fontId="0" fillId="37" borderId="6" xfId="0" applyNumberFormat="1" applyFill="1" applyBorder="1">
      <alignment vertical="center"/>
    </xf>
    <xf numFmtId="49" fontId="0" fillId="38" borderId="6" xfId="0" applyNumberFormat="1" applyFill="1" applyBorder="1">
      <alignment vertical="center"/>
    </xf>
    <xf numFmtId="49" fontId="7" fillId="39" borderId="6" xfId="0" applyNumberFormat="1" applyFont="1" applyFill="1" applyBorder="1">
      <alignment vertical="center"/>
    </xf>
    <xf numFmtId="49" fontId="0" fillId="0" borderId="6" xfId="0" applyNumberFormat="1" applyBorder="1">
      <alignment vertical="center"/>
    </xf>
    <xf numFmtId="41" fontId="1" fillId="2" borderId="36" xfId="1" applyFont="1" applyFill="1" applyBorder="1" applyAlignment="1">
      <alignment horizontal="center" vertical="center"/>
    </xf>
    <xf numFmtId="178" fontId="0" fillId="35" borderId="8" xfId="1" applyNumberFormat="1" applyFont="1" applyFill="1" applyBorder="1">
      <alignment vertical="center"/>
    </xf>
    <xf numFmtId="178" fontId="0" fillId="35" borderId="9" xfId="1" applyNumberFormat="1" applyFont="1" applyFill="1" applyBorder="1">
      <alignment vertical="center"/>
    </xf>
    <xf numFmtId="178" fontId="0" fillId="35" borderId="5" xfId="1" applyNumberFormat="1" applyFont="1" applyFill="1" applyBorder="1">
      <alignment vertical="center"/>
    </xf>
    <xf numFmtId="178" fontId="0" fillId="35" borderId="6" xfId="1" applyNumberFormat="1" applyFont="1" applyFill="1" applyBorder="1">
      <alignment vertical="center"/>
    </xf>
    <xf numFmtId="178" fontId="0" fillId="36" borderId="5" xfId="1" applyNumberFormat="1" applyFont="1" applyFill="1" applyBorder="1">
      <alignment vertical="center"/>
    </xf>
    <xf numFmtId="178" fontId="0" fillId="36" borderId="6" xfId="1" applyNumberFormat="1" applyFont="1" applyFill="1" applyBorder="1">
      <alignment vertical="center"/>
    </xf>
    <xf numFmtId="178" fontId="0" fillId="37" borderId="6" xfId="1" applyNumberFormat="1" applyFont="1" applyFill="1" applyBorder="1">
      <alignment vertical="center"/>
    </xf>
    <xf numFmtId="178" fontId="0" fillId="38" borderId="5" xfId="1" applyNumberFormat="1" applyFont="1" applyFill="1" applyBorder="1">
      <alignment vertical="center"/>
    </xf>
    <xf numFmtId="178" fontId="0" fillId="38" borderId="6" xfId="1" applyNumberFormat="1" applyFont="1" applyFill="1" applyBorder="1">
      <alignment vertical="center"/>
    </xf>
    <xf numFmtId="178" fontId="0" fillId="39" borderId="6" xfId="1" applyNumberFormat="1" applyFont="1" applyFill="1" applyBorder="1">
      <alignment vertical="center"/>
    </xf>
    <xf numFmtId="176" fontId="0" fillId="35" borderId="35" xfId="0" applyNumberFormat="1" applyFill="1" applyBorder="1">
      <alignment vertical="center"/>
    </xf>
    <xf numFmtId="176" fontId="0" fillId="35" borderId="2" xfId="0" applyNumberFormat="1" applyFill="1" applyBorder="1">
      <alignment vertical="center"/>
    </xf>
    <xf numFmtId="176" fontId="0" fillId="36" borderId="2" xfId="0" applyNumberFormat="1" applyFill="1" applyBorder="1">
      <alignment vertical="center"/>
    </xf>
    <xf numFmtId="176" fontId="0" fillId="38" borderId="2" xfId="0" applyNumberFormat="1" applyFill="1" applyBorder="1">
      <alignment vertical="center"/>
    </xf>
    <xf numFmtId="179" fontId="1" fillId="2" borderId="30" xfId="1" applyNumberFormat="1" applyFont="1" applyFill="1" applyBorder="1" applyAlignment="1">
      <alignment horizontal="center" vertical="center" wrapText="1"/>
    </xf>
    <xf numFmtId="180" fontId="10" fillId="123" borderId="29" xfId="2" applyNumberFormat="1" applyFont="1" applyFill="1" applyBorder="1" applyAlignment="1">
      <alignment horizontal="right" vertical="center"/>
    </xf>
    <xf numFmtId="0" fontId="10" fillId="128" borderId="23" xfId="0" applyFont="1" applyFill="1" applyBorder="1" applyAlignment="1">
      <alignment horizontal="center" vertical="center"/>
    </xf>
    <xf numFmtId="0" fontId="10" fillId="128" borderId="24" xfId="0" applyFont="1" applyFill="1" applyBorder="1" applyAlignment="1">
      <alignment horizontal="center" vertical="center"/>
    </xf>
    <xf numFmtId="0" fontId="0" fillId="0" borderId="25" xfId="0" applyBorder="1">
      <alignment vertical="center"/>
    </xf>
    <xf numFmtId="180" fontId="0" fillId="0" borderId="0" xfId="2" applyNumberFormat="1" applyFont="1">
      <alignment vertical="center"/>
    </xf>
    <xf numFmtId="180" fontId="0" fillId="0" borderId="10" xfId="2" applyNumberFormat="1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3" fillId="129" borderId="10" xfId="0" applyFont="1" applyFill="1" applyBorder="1" applyAlignment="1">
      <alignment horizontal="center" vertical="center"/>
    </xf>
    <xf numFmtId="41" fontId="3" fillId="129" borderId="10" xfId="0" applyNumberFormat="1" applyFont="1" applyFill="1" applyBorder="1" applyAlignment="1">
      <alignment horizontal="center" vertical="center"/>
    </xf>
    <xf numFmtId="180" fontId="3" fillId="129" borderId="10" xfId="2" applyNumberFormat="1" applyFont="1" applyFill="1" applyBorder="1" applyAlignment="1">
      <alignment horizontal="center" vertical="center"/>
    </xf>
    <xf numFmtId="177" fontId="0" fillId="0" borderId="10" xfId="1" applyNumberFormat="1" applyFont="1" applyFill="1" applyBorder="1">
      <alignment vertical="center"/>
    </xf>
    <xf numFmtId="177" fontId="0" fillId="29" borderId="10" xfId="1" applyNumberFormat="1" applyFont="1" applyFill="1" applyBorder="1">
      <alignment vertical="center"/>
    </xf>
    <xf numFmtId="180" fontId="0" fillId="29" borderId="10" xfId="2" applyNumberFormat="1" applyFont="1" applyFill="1" applyBorder="1">
      <alignment vertical="center"/>
    </xf>
    <xf numFmtId="177" fontId="0" fillId="25" borderId="40" xfId="1" applyNumberFormat="1" applyFont="1" applyFill="1" applyBorder="1">
      <alignment vertical="center"/>
    </xf>
    <xf numFmtId="180" fontId="0" fillId="25" borderId="40" xfId="2" applyNumberFormat="1" applyFont="1" applyFill="1" applyBorder="1">
      <alignment vertical="center"/>
    </xf>
    <xf numFmtId="177" fontId="0" fillId="127" borderId="10" xfId="1" applyNumberFormat="1" applyFont="1" applyFill="1" applyBorder="1">
      <alignment vertical="center"/>
    </xf>
    <xf numFmtId="180" fontId="0" fillId="127" borderId="10" xfId="2" applyNumberFormat="1" applyFont="1" applyFill="1" applyBorder="1">
      <alignment vertical="center"/>
    </xf>
    <xf numFmtId="177" fontId="1" fillId="130" borderId="39" xfId="0" applyNumberFormat="1" applyFont="1" applyFill="1" applyBorder="1">
      <alignment vertical="center"/>
    </xf>
    <xf numFmtId="180" fontId="1" fillId="130" borderId="39" xfId="2" applyNumberFormat="1" applyFont="1" applyFill="1" applyBorder="1">
      <alignment vertical="center"/>
    </xf>
    <xf numFmtId="0" fontId="3" fillId="127" borderId="22" xfId="0" applyFont="1" applyFill="1" applyBorder="1">
      <alignment vertical="center"/>
    </xf>
    <xf numFmtId="41" fontId="3" fillId="127" borderId="23" xfId="1" applyFont="1" applyFill="1" applyBorder="1">
      <alignment vertical="center"/>
    </xf>
    <xf numFmtId="0" fontId="3" fillId="118" borderId="27" xfId="0" applyFont="1" applyFill="1" applyBorder="1">
      <alignment vertical="center"/>
    </xf>
    <xf numFmtId="178" fontId="3" fillId="34" borderId="19" xfId="0" applyNumberFormat="1" applyFont="1" applyFill="1" applyBorder="1">
      <alignment vertical="center"/>
    </xf>
    <xf numFmtId="178" fontId="3" fillId="34" borderId="21" xfId="0" applyNumberFormat="1" applyFont="1" applyFill="1" applyBorder="1">
      <alignment vertical="center"/>
    </xf>
    <xf numFmtId="181" fontId="0" fillId="0" borderId="10" xfId="1" applyNumberFormat="1" applyFont="1" applyBorder="1">
      <alignment vertical="center"/>
    </xf>
    <xf numFmtId="181" fontId="3" fillId="118" borderId="28" xfId="1" applyNumberFormat="1" applyFont="1" applyFill="1" applyBorder="1">
      <alignment vertical="center"/>
    </xf>
    <xf numFmtId="181" fontId="10" fillId="123" borderId="28" xfId="0" applyNumberFormat="1" applyFont="1" applyFill="1" applyBorder="1" applyAlignment="1">
      <alignment horizontal="right" vertical="center"/>
    </xf>
    <xf numFmtId="0" fontId="3" fillId="127" borderId="23" xfId="0" applyFont="1" applyFill="1" applyBorder="1" applyAlignment="1">
      <alignment horizontal="center" vertical="center"/>
    </xf>
    <xf numFmtId="0" fontId="3" fillId="127" borderId="24" xfId="0" applyFont="1" applyFill="1" applyBorder="1" applyAlignment="1">
      <alignment horizontal="center" vertical="center"/>
    </xf>
    <xf numFmtId="176" fontId="3" fillId="118" borderId="29" xfId="0" applyNumberFormat="1" applyFont="1" applyFill="1" applyBorder="1" applyAlignment="1">
      <alignment horizontal="right" vertical="center"/>
    </xf>
    <xf numFmtId="0" fontId="3" fillId="127" borderId="23" xfId="0" applyFont="1" applyFill="1" applyBorder="1">
      <alignment vertical="center"/>
    </xf>
    <xf numFmtId="181" fontId="0" fillId="0" borderId="10" xfId="0" applyNumberFormat="1" applyBorder="1">
      <alignment vertical="center"/>
    </xf>
    <xf numFmtId="181" fontId="3" fillId="118" borderId="28" xfId="0" applyNumberFormat="1" applyFont="1" applyFill="1" applyBorder="1">
      <alignment vertical="center"/>
    </xf>
    <xf numFmtId="0" fontId="8" fillId="127" borderId="23" xfId="0" applyFont="1" applyFill="1" applyBorder="1" applyAlignment="1">
      <alignment horizontal="center" vertical="center"/>
    </xf>
    <xf numFmtId="0" fontId="8" fillId="127" borderId="24" xfId="0" applyFont="1" applyFill="1" applyBorder="1" applyAlignment="1">
      <alignment horizontal="center" vertical="center"/>
    </xf>
    <xf numFmtId="179" fontId="1" fillId="2" borderId="11" xfId="1" applyNumberFormat="1" applyFont="1" applyFill="1" applyBorder="1" applyAlignment="1">
      <alignment horizontal="center" vertical="center"/>
    </xf>
    <xf numFmtId="179" fontId="1" fillId="2" borderId="8" xfId="1" applyNumberFormat="1" applyFont="1" applyFill="1" applyBorder="1" applyAlignment="1">
      <alignment horizontal="center" vertical="center" wrapText="1"/>
    </xf>
    <xf numFmtId="179" fontId="1" fillId="2" borderId="9" xfId="1" applyNumberFormat="1" applyFont="1" applyFill="1" applyBorder="1" applyAlignment="1">
      <alignment horizontal="center" vertical="center"/>
    </xf>
    <xf numFmtId="178" fontId="0" fillId="98" borderId="6" xfId="1" applyNumberFormat="1" applyFont="1" applyFill="1" applyBorder="1">
      <alignment vertical="center"/>
    </xf>
    <xf numFmtId="179" fontId="1" fillId="2" borderId="11" xfId="1" applyNumberFormat="1" applyFont="1" applyFill="1" applyBorder="1" applyAlignment="1">
      <alignment horizontal="center" vertical="center" wrapText="1"/>
    </xf>
    <xf numFmtId="49" fontId="0" fillId="34" borderId="20" xfId="0" applyNumberFormat="1" applyFill="1" applyBorder="1">
      <alignment vertical="center"/>
    </xf>
    <xf numFmtId="178" fontId="0" fillId="34" borderId="21" xfId="1" applyNumberFormat="1" applyFont="1" applyFill="1" applyBorder="1">
      <alignment vertical="center"/>
    </xf>
    <xf numFmtId="178" fontId="0" fillId="34" borderId="19" xfId="1" applyNumberFormat="1" applyFont="1" applyFill="1" applyBorder="1">
      <alignment vertical="center"/>
    </xf>
    <xf numFmtId="178" fontId="0" fillId="34" borderId="33" xfId="0" applyNumberFormat="1" applyFill="1" applyBorder="1">
      <alignment vertical="center"/>
    </xf>
    <xf numFmtId="178" fontId="3" fillId="34" borderId="33" xfId="0" applyNumberFormat="1" applyFont="1" applyFill="1" applyBorder="1">
      <alignment vertical="center"/>
    </xf>
    <xf numFmtId="49" fontId="0" fillId="34" borderId="19" xfId="0" applyNumberFormat="1" applyFill="1" applyBorder="1">
      <alignment vertical="center"/>
    </xf>
    <xf numFmtId="178" fontId="4" fillId="3" borderId="5" xfId="0" applyNumberFormat="1" applyFont="1" applyFill="1" applyBorder="1">
      <alignment vertical="center"/>
    </xf>
    <xf numFmtId="178" fontId="4" fillId="3" borderId="3" xfId="0" applyNumberFormat="1" applyFont="1" applyFill="1" applyBorder="1">
      <alignment vertical="center"/>
    </xf>
    <xf numFmtId="177" fontId="0" fillId="0" borderId="3" xfId="1" applyNumberFormat="1" applyFont="1" applyBorder="1">
      <alignment vertical="center"/>
    </xf>
    <xf numFmtId="0" fontId="11" fillId="131" borderId="11" xfId="0" applyFont="1" applyFill="1" applyBorder="1" applyAlignment="1">
      <alignment horizontal="center" vertical="center"/>
    </xf>
    <xf numFmtId="0" fontId="11" fillId="131" borderId="9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176" fontId="0" fillId="0" borderId="6" xfId="0" applyNumberFormat="1" applyBorder="1" applyAlignment="1">
      <alignment horizontal="right" vertical="center"/>
    </xf>
    <xf numFmtId="0" fontId="3" fillId="118" borderId="12" xfId="0" applyFont="1" applyFill="1" applyBorder="1">
      <alignment vertical="center"/>
    </xf>
    <xf numFmtId="3" fontId="11" fillId="123" borderId="14" xfId="0" applyNumberFormat="1" applyFont="1" applyFill="1" applyBorder="1" applyAlignment="1">
      <alignment horizontal="right" vertical="center"/>
    </xf>
    <xf numFmtId="180" fontId="11" fillId="123" borderId="13" xfId="2" applyNumberFormat="1" applyFont="1" applyFill="1" applyBorder="1" applyAlignment="1">
      <alignment horizontal="right" vertical="center"/>
    </xf>
    <xf numFmtId="41" fontId="0" fillId="0" borderId="3" xfId="1" applyFont="1" applyBorder="1">
      <alignment vertical="center"/>
    </xf>
    <xf numFmtId="41" fontId="3" fillId="118" borderId="14" xfId="1" applyFont="1" applyFill="1" applyBorder="1">
      <alignment vertical="center"/>
    </xf>
    <xf numFmtId="0" fontId="3" fillId="125" borderId="11" xfId="0" applyFont="1" applyFill="1" applyBorder="1" applyAlignment="1">
      <alignment horizontal="center" vertical="center"/>
    </xf>
    <xf numFmtId="0" fontId="3" fillId="125" borderId="8" xfId="0" applyFont="1" applyFill="1" applyBorder="1" applyAlignment="1">
      <alignment horizontal="left" vertical="center"/>
    </xf>
    <xf numFmtId="181" fontId="0" fillId="0" borderId="3" xfId="1" applyNumberFormat="1" applyFont="1" applyBorder="1">
      <alignment vertical="center"/>
    </xf>
    <xf numFmtId="0" fontId="3" fillId="127" borderId="8" xfId="0" applyFont="1" applyFill="1" applyBorder="1">
      <alignment vertical="center"/>
    </xf>
    <xf numFmtId="41" fontId="3" fillId="127" borderId="11" xfId="1" applyFont="1" applyFill="1" applyBorder="1">
      <alignment vertical="center"/>
    </xf>
    <xf numFmtId="0" fontId="10" fillId="128" borderId="11" xfId="0" applyFont="1" applyFill="1" applyBorder="1" applyAlignment="1">
      <alignment horizontal="center" vertical="center"/>
    </xf>
    <xf numFmtId="0" fontId="10" fillId="128" borderId="9" xfId="0" applyFont="1" applyFill="1" applyBorder="1" applyAlignment="1">
      <alignment horizontal="center" vertical="center"/>
    </xf>
    <xf numFmtId="181" fontId="3" fillId="118" borderId="14" xfId="1" applyNumberFormat="1" applyFont="1" applyFill="1" applyBorder="1">
      <alignment vertical="center"/>
    </xf>
    <xf numFmtId="181" fontId="10" fillId="123" borderId="14" xfId="0" applyNumberFormat="1" applyFont="1" applyFill="1" applyBorder="1" applyAlignment="1">
      <alignment horizontal="right" vertical="center"/>
    </xf>
    <xf numFmtId="180" fontId="10" fillId="123" borderId="13" xfId="2" applyNumberFormat="1" applyFont="1" applyFill="1" applyBorder="1" applyAlignment="1">
      <alignment horizontal="right" vertical="center"/>
    </xf>
    <xf numFmtId="0" fontId="12" fillId="128" borderId="11" xfId="0" applyFont="1" applyFill="1" applyBorder="1" applyAlignment="1">
      <alignment horizontal="center" vertical="center"/>
    </xf>
    <xf numFmtId="0" fontId="12" fillId="128" borderId="9" xfId="0" applyFont="1" applyFill="1" applyBorder="1" applyAlignment="1">
      <alignment horizontal="center" vertical="center"/>
    </xf>
    <xf numFmtId="3" fontId="12" fillId="123" borderId="14" xfId="0" applyNumberFormat="1" applyFont="1" applyFill="1" applyBorder="1" applyAlignment="1">
      <alignment horizontal="right"/>
    </xf>
    <xf numFmtId="180" fontId="12" fillId="123" borderId="13" xfId="2" applyNumberFormat="1" applyFont="1" applyFill="1" applyBorder="1" applyAlignment="1">
      <alignment horizontal="right"/>
    </xf>
    <xf numFmtId="178" fontId="8" fillId="3" borderId="6" xfId="0" applyNumberFormat="1" applyFont="1" applyFill="1" applyBorder="1">
      <alignment vertical="center"/>
    </xf>
    <xf numFmtId="178" fontId="0" fillId="34" borderId="33" xfId="1" applyNumberFormat="1" applyFont="1" applyFill="1" applyBorder="1">
      <alignment vertical="center"/>
    </xf>
    <xf numFmtId="178" fontId="0" fillId="25" borderId="5" xfId="1" applyNumberFormat="1" applyFont="1" applyFill="1" applyBorder="1">
      <alignment vertical="center"/>
    </xf>
    <xf numFmtId="178" fontId="0" fillId="25" borderId="3" xfId="1" applyNumberFormat="1" applyFont="1" applyFill="1" applyBorder="1">
      <alignment vertical="center"/>
    </xf>
    <xf numFmtId="178" fontId="3" fillId="25" borderId="6" xfId="1" applyNumberFormat="1" applyFont="1" applyFill="1" applyBorder="1">
      <alignment vertical="center"/>
    </xf>
    <xf numFmtId="176" fontId="0" fillId="25" borderId="2" xfId="0" applyNumberFormat="1" applyFill="1" applyBorder="1">
      <alignment vertical="center"/>
    </xf>
    <xf numFmtId="3" fontId="0" fillId="25" borderId="3" xfId="0" applyNumberFormat="1" applyFill="1" applyBorder="1" applyAlignment="1">
      <alignment horizontal="center" vertical="center"/>
    </xf>
    <xf numFmtId="178" fontId="0" fillId="3" borderId="5" xfId="1" applyNumberFormat="1" applyFont="1" applyFill="1" applyBorder="1">
      <alignment vertical="center"/>
    </xf>
    <xf numFmtId="178" fontId="0" fillId="3" borderId="3" xfId="1" applyNumberFormat="1" applyFont="1" applyFill="1" applyBorder="1">
      <alignment vertical="center"/>
    </xf>
    <xf numFmtId="49" fontId="0" fillId="0" borderId="41" xfId="0" applyNumberFormat="1" applyBorder="1">
      <alignment vertical="center"/>
    </xf>
    <xf numFmtId="178" fontId="0" fillId="39" borderId="21" xfId="1" applyNumberFormat="1" applyFont="1" applyFill="1" applyBorder="1">
      <alignment vertical="center"/>
    </xf>
    <xf numFmtId="49" fontId="0" fillId="15" borderId="19" xfId="0" applyNumberFormat="1" applyFill="1" applyBorder="1">
      <alignment vertical="center"/>
    </xf>
    <xf numFmtId="49" fontId="0" fillId="15" borderId="20" xfId="0" applyNumberFormat="1" applyFill="1" applyBorder="1">
      <alignment vertical="center"/>
    </xf>
    <xf numFmtId="178" fontId="0" fillId="15" borderId="19" xfId="0" applyNumberFormat="1" applyFill="1" applyBorder="1">
      <alignment vertical="center"/>
    </xf>
    <xf numFmtId="178" fontId="0" fillId="15" borderId="33" xfId="0" applyNumberFormat="1" applyFill="1" applyBorder="1">
      <alignment vertical="center"/>
    </xf>
    <xf numFmtId="49" fontId="0" fillId="132" borderId="5" xfId="0" applyNumberFormat="1" applyFill="1" applyBorder="1">
      <alignment vertical="center"/>
    </xf>
    <xf numFmtId="49" fontId="0" fillId="132" borderId="4" xfId="0" applyNumberFormat="1" applyFill="1" applyBorder="1">
      <alignment vertical="center"/>
    </xf>
    <xf numFmtId="178" fontId="0" fillId="132" borderId="5" xfId="1" applyNumberFormat="1" applyFont="1" applyFill="1" applyBorder="1">
      <alignment vertical="center"/>
    </xf>
    <xf numFmtId="178" fontId="0" fillId="132" borderId="3" xfId="1" applyNumberFormat="1" applyFont="1" applyFill="1" applyBorder="1">
      <alignment vertical="center"/>
    </xf>
    <xf numFmtId="178" fontId="0" fillId="132" borderId="6" xfId="1" applyNumberFormat="1" applyFont="1" applyFill="1" applyBorder="1">
      <alignment vertical="center"/>
    </xf>
    <xf numFmtId="176" fontId="0" fillId="132" borderId="5" xfId="0" applyNumberFormat="1" applyFill="1" applyBorder="1">
      <alignment vertical="center"/>
    </xf>
    <xf numFmtId="3" fontId="0" fillId="132" borderId="6" xfId="0" applyNumberFormat="1" applyFill="1" applyBorder="1" applyAlignment="1">
      <alignment horizontal="center" vertical="center"/>
    </xf>
    <xf numFmtId="49" fontId="0" fillId="126" borderId="5" xfId="0" applyNumberFormat="1" applyFill="1" applyBorder="1">
      <alignment vertical="center"/>
    </xf>
    <xf numFmtId="49" fontId="0" fillId="126" borderId="4" xfId="0" applyNumberFormat="1" applyFill="1" applyBorder="1">
      <alignment vertical="center"/>
    </xf>
    <xf numFmtId="178" fontId="0" fillId="126" borderId="6" xfId="1" applyNumberFormat="1" applyFont="1" applyFill="1" applyBorder="1">
      <alignment vertical="center"/>
    </xf>
    <xf numFmtId="176" fontId="0" fillId="126" borderId="5" xfId="0" applyNumberFormat="1" applyFill="1" applyBorder="1">
      <alignment vertical="center"/>
    </xf>
    <xf numFmtId="3" fontId="0" fillId="126" borderId="6" xfId="0" applyNumberFormat="1" applyFill="1" applyBorder="1" applyAlignment="1">
      <alignment horizontal="center" vertical="center"/>
    </xf>
    <xf numFmtId="178" fontId="0" fillId="104" borderId="5" xfId="0" applyNumberFormat="1" applyFill="1" applyBorder="1">
      <alignment vertical="center"/>
    </xf>
    <xf numFmtId="178" fontId="0" fillId="104" borderId="3" xfId="0" applyNumberFormat="1" applyFill="1" applyBorder="1">
      <alignment vertical="center"/>
    </xf>
    <xf numFmtId="178" fontId="3" fillId="104" borderId="4" xfId="0" applyNumberFormat="1" applyFont="1" applyFill="1" applyBorder="1">
      <alignment vertical="center"/>
    </xf>
    <xf numFmtId="178" fontId="3" fillId="104" borderId="5" xfId="0" applyNumberFormat="1" applyFont="1" applyFill="1" applyBorder="1">
      <alignment vertical="center"/>
    </xf>
    <xf numFmtId="178" fontId="3" fillId="104" borderId="3" xfId="0" applyNumberFormat="1" applyFont="1" applyFill="1" applyBorder="1">
      <alignment vertical="center"/>
    </xf>
    <xf numFmtId="178" fontId="3" fillId="104" borderId="6" xfId="0" applyNumberFormat="1" applyFont="1" applyFill="1" applyBorder="1">
      <alignment vertical="center"/>
    </xf>
    <xf numFmtId="49" fontId="7" fillId="30" borderId="19" xfId="0" applyNumberFormat="1" applyFont="1" applyFill="1" applyBorder="1">
      <alignment vertical="center"/>
    </xf>
    <xf numFmtId="178" fontId="0" fillId="39" borderId="41" xfId="1" applyNumberFormat="1" applyFont="1" applyFill="1" applyBorder="1">
      <alignment vertical="center"/>
    </xf>
    <xf numFmtId="0" fontId="4" fillId="122" borderId="5" xfId="0" applyFont="1" applyFill="1" applyBorder="1">
      <alignment vertical="center"/>
    </xf>
    <xf numFmtId="0" fontId="0" fillId="122" borderId="4" xfId="0" applyFill="1" applyBorder="1">
      <alignment vertical="center"/>
    </xf>
    <xf numFmtId="178" fontId="3" fillId="122" borderId="6" xfId="1" applyNumberFormat="1" applyFont="1" applyFill="1" applyBorder="1">
      <alignment vertical="center"/>
    </xf>
    <xf numFmtId="176" fontId="0" fillId="122" borderId="2" xfId="0" applyNumberFormat="1" applyFill="1" applyBorder="1">
      <alignment vertical="center"/>
    </xf>
    <xf numFmtId="3" fontId="0" fillId="122" borderId="3" xfId="0" applyNumberFormat="1" applyFill="1" applyBorder="1" applyAlignment="1">
      <alignment horizontal="center" vertical="center"/>
    </xf>
    <xf numFmtId="0" fontId="4" fillId="114" borderId="5" xfId="0" applyFont="1" applyFill="1" applyBorder="1">
      <alignment vertical="center"/>
    </xf>
    <xf numFmtId="0" fontId="0" fillId="114" borderId="4" xfId="0" applyFill="1" applyBorder="1">
      <alignment vertical="center"/>
    </xf>
    <xf numFmtId="178" fontId="3" fillId="114" borderId="6" xfId="1" applyNumberFormat="1" applyFont="1" applyFill="1" applyBorder="1">
      <alignment vertical="center"/>
    </xf>
    <xf numFmtId="176" fontId="0" fillId="114" borderId="2" xfId="0" applyNumberFormat="1" applyFill="1" applyBorder="1">
      <alignment vertical="center"/>
    </xf>
    <xf numFmtId="3" fontId="0" fillId="114" borderId="3" xfId="0" applyNumberFormat="1" applyFill="1" applyBorder="1" applyAlignment="1">
      <alignment horizontal="center" vertical="center"/>
    </xf>
    <xf numFmtId="41" fontId="1" fillId="2" borderId="42" xfId="1" applyFont="1" applyFill="1" applyBorder="1" applyAlignment="1">
      <alignment horizontal="center" vertical="center"/>
    </xf>
    <xf numFmtId="178" fontId="0" fillId="35" borderId="35" xfId="1" applyNumberFormat="1" applyFont="1" applyFill="1" applyBorder="1">
      <alignment vertical="center"/>
    </xf>
    <xf numFmtId="178" fontId="0" fillId="35" borderId="2" xfId="1" applyNumberFormat="1" applyFont="1" applyFill="1" applyBorder="1">
      <alignment vertical="center"/>
    </xf>
    <xf numFmtId="178" fontId="0" fillId="36" borderId="2" xfId="1" applyNumberFormat="1" applyFont="1" applyFill="1" applyBorder="1">
      <alignment vertical="center"/>
    </xf>
    <xf numFmtId="178" fontId="0" fillId="37" borderId="2" xfId="1" applyNumberFormat="1" applyFont="1" applyFill="1" applyBorder="1">
      <alignment vertical="center"/>
    </xf>
    <xf numFmtId="178" fontId="0" fillId="38" borderId="2" xfId="1" applyNumberFormat="1" applyFont="1" applyFill="1" applyBorder="1">
      <alignment vertical="center"/>
    </xf>
    <xf numFmtId="178" fontId="0" fillId="39" borderId="2" xfId="1" applyNumberFormat="1" applyFont="1" applyFill="1" applyBorder="1">
      <alignment vertical="center"/>
    </xf>
    <xf numFmtId="178" fontId="3" fillId="15" borderId="19" xfId="0" applyNumberFormat="1" applyFont="1" applyFill="1" applyBorder="1">
      <alignment vertical="center"/>
    </xf>
    <xf numFmtId="178" fontId="3" fillId="15" borderId="33" xfId="0" applyNumberFormat="1" applyFont="1" applyFill="1" applyBorder="1">
      <alignment vertical="center"/>
    </xf>
    <xf numFmtId="49" fontId="0" fillId="30" borderId="19" xfId="0" applyNumberFormat="1" applyFill="1" applyBorder="1">
      <alignment vertical="center"/>
    </xf>
    <xf numFmtId="178" fontId="0" fillId="3" borderId="4" xfId="0" applyNumberFormat="1" applyFill="1" applyBorder="1">
      <alignment vertical="center"/>
    </xf>
    <xf numFmtId="179" fontId="1" fillId="2" borderId="9" xfId="1" applyNumberFormat="1" applyFont="1" applyFill="1" applyBorder="1" applyAlignment="1">
      <alignment horizontal="center" vertical="center" wrapText="1"/>
    </xf>
    <xf numFmtId="178" fontId="0" fillId="5" borderId="4" xfId="0" applyNumberFormat="1" applyFill="1" applyBorder="1">
      <alignment vertical="center"/>
    </xf>
    <xf numFmtId="178" fontId="0" fillId="98" borderId="4" xfId="1" applyNumberFormat="1" applyFont="1" applyFill="1" applyBorder="1">
      <alignment vertical="center"/>
    </xf>
    <xf numFmtId="178" fontId="0" fillId="17" borderId="4" xfId="0" applyNumberFormat="1" applyFill="1" applyBorder="1">
      <alignment vertical="center"/>
    </xf>
    <xf numFmtId="9" fontId="14" fillId="2" borderId="12" xfId="2" applyFont="1" applyFill="1" applyBorder="1">
      <alignment vertical="center"/>
    </xf>
    <xf numFmtId="178" fontId="0" fillId="35" borderId="15" xfId="1" applyNumberFormat="1" applyFont="1" applyFill="1" applyBorder="1">
      <alignment vertical="center"/>
    </xf>
    <xf numFmtId="178" fontId="0" fillId="35" borderId="4" xfId="1" applyNumberFormat="1" applyFont="1" applyFill="1" applyBorder="1">
      <alignment vertical="center"/>
    </xf>
    <xf numFmtId="178" fontId="0" fillId="37" borderId="4" xfId="1" applyNumberFormat="1" applyFont="1" applyFill="1" applyBorder="1">
      <alignment vertical="center"/>
    </xf>
    <xf numFmtId="178" fontId="0" fillId="37" borderId="15" xfId="1" applyNumberFormat="1" applyFont="1" applyFill="1" applyBorder="1">
      <alignment vertical="center"/>
    </xf>
    <xf numFmtId="178" fontId="0" fillId="39" borderId="1" xfId="1" applyNumberFormat="1" applyFont="1" applyFill="1" applyBorder="1">
      <alignment vertical="center"/>
    </xf>
    <xf numFmtId="176" fontId="0" fillId="39" borderId="1" xfId="0" applyNumberFormat="1" applyFill="1" applyBorder="1">
      <alignment vertical="center"/>
    </xf>
    <xf numFmtId="181" fontId="0" fillId="0" borderId="3" xfId="1" applyNumberFormat="1" applyFont="1" applyFill="1" applyBorder="1">
      <alignment vertical="center"/>
    </xf>
    <xf numFmtId="181" fontId="5" fillId="0" borderId="10" xfId="3" applyNumberFormat="1" applyFont="1" applyFill="1" applyBorder="1">
      <alignment vertical="center"/>
    </xf>
    <xf numFmtId="49" fontId="0" fillId="4" borderId="19" xfId="0" applyNumberFormat="1" applyFill="1" applyBorder="1">
      <alignment vertical="center"/>
    </xf>
    <xf numFmtId="49" fontId="0" fillId="4" borderId="41" xfId="0" applyNumberFormat="1" applyFill="1" applyBorder="1">
      <alignment vertical="center"/>
    </xf>
    <xf numFmtId="178" fontId="3" fillId="4" borderId="19" xfId="0" applyNumberFormat="1" applyFont="1" applyFill="1" applyBorder="1">
      <alignment vertical="center"/>
    </xf>
    <xf numFmtId="178" fontId="3" fillId="4" borderId="33" xfId="0" applyNumberFormat="1" applyFont="1" applyFill="1" applyBorder="1">
      <alignment vertical="center"/>
    </xf>
    <xf numFmtId="178" fontId="4" fillId="4" borderId="19" xfId="0" applyNumberFormat="1" applyFont="1" applyFill="1" applyBorder="1">
      <alignment vertical="center"/>
    </xf>
    <xf numFmtId="178" fontId="4" fillId="4" borderId="33" xfId="0" applyNumberFormat="1" applyFont="1" applyFill="1" applyBorder="1">
      <alignment vertical="center"/>
    </xf>
    <xf numFmtId="49" fontId="0" fillId="0" borderId="43" xfId="0" applyNumberFormat="1" applyBorder="1">
      <alignment vertical="center"/>
    </xf>
    <xf numFmtId="0" fontId="4" fillId="28" borderId="5" xfId="0" applyFont="1" applyFill="1" applyBorder="1">
      <alignment vertical="center"/>
    </xf>
    <xf numFmtId="0" fontId="0" fillId="28" borderId="4" xfId="0" applyFill="1" applyBorder="1">
      <alignment vertical="center"/>
    </xf>
    <xf numFmtId="178" fontId="0" fillId="28" borderId="5" xfId="1" applyNumberFormat="1" applyFont="1" applyFill="1" applyBorder="1">
      <alignment vertical="center"/>
    </xf>
    <xf numFmtId="178" fontId="0" fillId="28" borderId="3" xfId="1" applyNumberFormat="1" applyFont="1" applyFill="1" applyBorder="1">
      <alignment vertical="center"/>
    </xf>
    <xf numFmtId="178" fontId="3" fillId="28" borderId="6" xfId="1" applyNumberFormat="1" applyFont="1" applyFill="1" applyBorder="1">
      <alignment vertical="center"/>
    </xf>
    <xf numFmtId="176" fontId="0" fillId="28" borderId="2" xfId="0" applyNumberFormat="1" applyFill="1" applyBorder="1">
      <alignment vertical="center"/>
    </xf>
    <xf numFmtId="3" fontId="0" fillId="28" borderId="3" xfId="0" applyNumberFormat="1" applyFill="1" applyBorder="1" applyAlignment="1">
      <alignment horizontal="center" vertical="center"/>
    </xf>
    <xf numFmtId="0" fontId="4" fillId="105" borderId="5" xfId="0" applyFont="1" applyFill="1" applyBorder="1">
      <alignment vertical="center"/>
    </xf>
    <xf numFmtId="0" fontId="0" fillId="105" borderId="4" xfId="0" applyFill="1" applyBorder="1">
      <alignment vertical="center"/>
    </xf>
    <xf numFmtId="178" fontId="0" fillId="105" borderId="5" xfId="1" applyNumberFormat="1" applyFont="1" applyFill="1" applyBorder="1">
      <alignment vertical="center"/>
    </xf>
    <xf numFmtId="178" fontId="0" fillId="105" borderId="3" xfId="1" applyNumberFormat="1" applyFont="1" applyFill="1" applyBorder="1">
      <alignment vertical="center"/>
    </xf>
    <xf numFmtId="178" fontId="3" fillId="105" borderId="6" xfId="1" applyNumberFormat="1" applyFont="1" applyFill="1" applyBorder="1">
      <alignment vertical="center"/>
    </xf>
    <xf numFmtId="176" fontId="0" fillId="105" borderId="2" xfId="0" applyNumberFormat="1" applyFill="1" applyBorder="1">
      <alignment vertical="center"/>
    </xf>
    <xf numFmtId="3" fontId="0" fillId="105" borderId="3" xfId="0" applyNumberFormat="1" applyFill="1" applyBorder="1" applyAlignment="1">
      <alignment horizontal="center" vertical="center"/>
    </xf>
    <xf numFmtId="0" fontId="4" fillId="29" borderId="5" xfId="0" applyFont="1" applyFill="1" applyBorder="1">
      <alignment vertical="center"/>
    </xf>
    <xf numFmtId="0" fontId="0" fillId="29" borderId="4" xfId="0" applyFill="1" applyBorder="1">
      <alignment vertical="center"/>
    </xf>
    <xf numFmtId="178" fontId="3" fillId="29" borderId="6" xfId="1" applyNumberFormat="1" applyFont="1" applyFill="1" applyBorder="1">
      <alignment vertical="center"/>
    </xf>
    <xf numFmtId="176" fontId="0" fillId="29" borderId="2" xfId="0" applyNumberFormat="1" applyFill="1" applyBorder="1">
      <alignment vertical="center"/>
    </xf>
    <xf numFmtId="3" fontId="0" fillId="29" borderId="3" xfId="0" applyNumberFormat="1" applyFill="1" applyBorder="1" applyAlignment="1">
      <alignment horizontal="center" vertical="center"/>
    </xf>
    <xf numFmtId="0" fontId="4" fillId="134" borderId="5" xfId="0" applyFont="1" applyFill="1" applyBorder="1">
      <alignment vertical="center"/>
    </xf>
    <xf numFmtId="0" fontId="0" fillId="134" borderId="4" xfId="0" applyFill="1" applyBorder="1">
      <alignment vertical="center"/>
    </xf>
    <xf numFmtId="178" fontId="0" fillId="134" borderId="5" xfId="1" applyNumberFormat="1" applyFont="1" applyFill="1" applyBorder="1">
      <alignment vertical="center"/>
    </xf>
    <xf numFmtId="178" fontId="0" fillId="134" borderId="3" xfId="1" applyNumberFormat="1" applyFont="1" applyFill="1" applyBorder="1">
      <alignment vertical="center"/>
    </xf>
    <xf numFmtId="178" fontId="0" fillId="134" borderId="4" xfId="1" applyNumberFormat="1" applyFont="1" applyFill="1" applyBorder="1">
      <alignment vertical="center"/>
    </xf>
    <xf numFmtId="178" fontId="3" fillId="134" borderId="6" xfId="1" applyNumberFormat="1" applyFont="1" applyFill="1" applyBorder="1">
      <alignment vertical="center"/>
    </xf>
    <xf numFmtId="176" fontId="0" fillId="134" borderId="2" xfId="0" applyNumberFormat="1" applyFill="1" applyBorder="1">
      <alignment vertical="center"/>
    </xf>
    <xf numFmtId="3" fontId="0" fillId="134" borderId="3" xfId="0" applyNumberFormat="1" applyFill="1" applyBorder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3" fontId="1" fillId="2" borderId="13" xfId="0" applyNumberFormat="1" applyFont="1" applyFill="1" applyBorder="1" applyAlignment="1">
      <alignment horizontal="center" vertical="center"/>
    </xf>
    <xf numFmtId="3" fontId="1" fillId="40" borderId="17" xfId="0" applyNumberFormat="1" applyFont="1" applyFill="1" applyBorder="1" applyAlignment="1">
      <alignment horizontal="center" vertical="center"/>
    </xf>
    <xf numFmtId="3" fontId="1" fillId="40" borderId="18" xfId="0" applyNumberFormat="1" applyFont="1" applyFill="1" applyBorder="1" applyAlignment="1">
      <alignment horizontal="center" vertical="center"/>
    </xf>
    <xf numFmtId="3" fontId="1" fillId="2" borderId="16" xfId="0" applyNumberFormat="1" applyFont="1" applyFill="1" applyBorder="1" applyAlignment="1">
      <alignment horizontal="center" vertical="center"/>
    </xf>
    <xf numFmtId="0" fontId="0" fillId="25" borderId="40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127" borderId="37" xfId="0" applyFill="1" applyBorder="1" applyAlignment="1">
      <alignment horizontal="center" vertical="center"/>
    </xf>
    <xf numFmtId="0" fontId="0" fillId="127" borderId="38" xfId="0" applyFill="1" applyBorder="1" applyAlignment="1">
      <alignment horizontal="center" vertical="center"/>
    </xf>
    <xf numFmtId="0" fontId="1" fillId="130" borderId="3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3" fillId="129" borderId="10" xfId="0" applyFont="1" applyFill="1" applyBorder="1" applyAlignment="1">
      <alignment horizontal="center" vertical="center"/>
    </xf>
  </cellXfs>
  <cellStyles count="4">
    <cellStyle name="나쁨" xfId="3" builtinId="27"/>
    <cellStyle name="백분율" xfId="2" builtinId="5"/>
    <cellStyle name="쉼표 [0]" xfId="1" builtinId="6"/>
    <cellStyle name="표준" xfId="0" builtinId="0"/>
  </cellStyles>
  <dxfs count="1">
    <dxf>
      <font>
        <color rgb="FF9C0006"/>
      </font>
    </dxf>
  </dxfs>
  <tableStyles count="0" defaultTableStyle="TableStyleMedium2" defaultPivotStyle="PivotStyleLight16"/>
  <colors>
    <mruColors>
      <color rgb="FFF5D9FB"/>
      <color rgb="FFF2E7D6"/>
      <color rgb="FFC0E6F5"/>
      <color rgb="FFE7ECC6"/>
      <color rgb="FFFCE3B6"/>
      <color rgb="FFF2F2F2"/>
      <color rgb="FFDAF2D0"/>
      <color rgb="FFD0D0D0"/>
      <color rgb="FFF1A983"/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esktop\6.30%20AI\KC%201.xlsx" TargetMode="External"/><Relationship Id="rId1" Type="http://schemas.openxmlformats.org/officeDocument/2006/relationships/externalLinkPath" Target="/Users/Administrator/Desktop/6.30%20AI/KC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</sheetNames>
    <sheetDataSet>
      <sheetData sheetId="0" refreshError="1">
        <row r="2">
          <cell r="N2" t="str">
            <v>합계 : 25년 합계</v>
          </cell>
          <cell r="O2" t="str">
            <v>합계 : 26년 합계</v>
          </cell>
          <cell r="P2" t="str">
            <v>증감수수료</v>
          </cell>
          <cell r="Q2" t="str">
            <v>증감율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CE84-7AD3-4F62-ADDF-93320119747C}">
  <dimension ref="A1:AL452"/>
  <sheetViews>
    <sheetView topLeftCell="O1" zoomScale="70" zoomScaleNormal="70" workbookViewId="0">
      <selection activeCell="P1" sqref="P1:P1048576"/>
    </sheetView>
  </sheetViews>
  <sheetFormatPr defaultRowHeight="16.5" x14ac:dyDescent="0.3"/>
  <cols>
    <col min="1" max="1" width="20.25" customWidth="1"/>
    <col min="2" max="2" width="61.75" customWidth="1"/>
    <col min="3" max="10" width="13.625" customWidth="1"/>
    <col min="11" max="11" width="13.625" hidden="1" customWidth="1"/>
    <col min="12" max="15" width="13.625" customWidth="1"/>
    <col min="16" max="16" width="13.625" hidden="1" customWidth="1"/>
    <col min="17" max="30" width="13.625" customWidth="1"/>
    <col min="31" max="32" width="10.625" customWidth="1"/>
    <col min="34" max="38" width="20.625" customWidth="1"/>
  </cols>
  <sheetData>
    <row r="1" spans="1:38" ht="30.75" customHeight="1" x14ac:dyDescent="0.3">
      <c r="A1" s="35" t="s">
        <v>0</v>
      </c>
      <c r="B1" s="36" t="s">
        <v>1</v>
      </c>
      <c r="C1" s="715" t="s">
        <v>2366</v>
      </c>
      <c r="D1" s="1402" t="s">
        <v>2367</v>
      </c>
      <c r="E1" s="1402" t="s">
        <v>2368</v>
      </c>
      <c r="F1" s="1402" t="s">
        <v>2369</v>
      </c>
      <c r="G1" s="1402" t="s">
        <v>2370</v>
      </c>
      <c r="H1" s="1402" t="s">
        <v>2371</v>
      </c>
      <c r="I1" s="1402" t="s">
        <v>2372</v>
      </c>
      <c r="J1" s="1402" t="s">
        <v>2373</v>
      </c>
      <c r="K1" s="1406" t="s">
        <v>3035</v>
      </c>
      <c r="L1" s="1402" t="s">
        <v>2374</v>
      </c>
      <c r="M1" s="1402" t="s">
        <v>2375</v>
      </c>
      <c r="N1" s="1402" t="s">
        <v>2376</v>
      </c>
      <c r="O1" s="1402" t="s">
        <v>2377</v>
      </c>
      <c r="P1" s="1495" t="s">
        <v>3037</v>
      </c>
      <c r="Q1" s="1404" t="s">
        <v>2378</v>
      </c>
      <c r="R1" s="1403" t="s">
        <v>2527</v>
      </c>
      <c r="S1" s="1406" t="s">
        <v>2577</v>
      </c>
      <c r="T1" s="1406" t="s">
        <v>2634</v>
      </c>
      <c r="U1" s="1406" t="s">
        <v>2727</v>
      </c>
      <c r="V1" s="1406" t="s">
        <v>2805</v>
      </c>
      <c r="W1" s="1406" t="s">
        <v>2891</v>
      </c>
      <c r="X1" s="1406" t="s">
        <v>2979</v>
      </c>
      <c r="Y1" s="1406" t="s">
        <v>3038</v>
      </c>
      <c r="Z1" s="1402" t="s">
        <v>2407</v>
      </c>
      <c r="AA1" s="1402" t="s">
        <v>2408</v>
      </c>
      <c r="AB1" s="1402" t="s">
        <v>2409</v>
      </c>
      <c r="AC1" s="1402" t="s">
        <v>2410</v>
      </c>
      <c r="AD1" s="1404" t="s">
        <v>2411</v>
      </c>
      <c r="AE1" s="563" t="s">
        <v>515</v>
      </c>
      <c r="AF1" s="564" t="s">
        <v>516</v>
      </c>
    </row>
    <row r="2" spans="1:38" ht="17.25" thickBot="1" x14ac:dyDescent="0.35">
      <c r="A2" s="10" t="s">
        <v>4</v>
      </c>
      <c r="B2" s="11" t="s">
        <v>5</v>
      </c>
      <c r="C2" s="485">
        <v>44474140</v>
      </c>
      <c r="D2" s="489">
        <v>15862440</v>
      </c>
      <c r="E2" s="489">
        <v>34469800</v>
      </c>
      <c r="F2" s="489">
        <v>25013090</v>
      </c>
      <c r="G2" s="489">
        <v>23546510</v>
      </c>
      <c r="H2" s="489">
        <v>22370350</v>
      </c>
      <c r="I2" s="489">
        <v>22199490</v>
      </c>
      <c r="J2" s="489">
        <v>10770530</v>
      </c>
      <c r="K2" s="489">
        <v>10714940</v>
      </c>
      <c r="L2" s="489">
        <v>1216750</v>
      </c>
      <c r="M2" s="489">
        <v>113660</v>
      </c>
      <c r="N2" s="489">
        <v>416870</v>
      </c>
      <c r="O2" s="489">
        <v>1022070</v>
      </c>
      <c r="P2" s="1494">
        <f>SUM(C2:I2,K2)</f>
        <v>198650760</v>
      </c>
      <c r="Q2" s="1439">
        <f>SUM(C2:J2,L2:O2)</f>
        <v>201475700</v>
      </c>
      <c r="R2" s="1413">
        <v>510760</v>
      </c>
      <c r="S2" s="1414">
        <v>961080</v>
      </c>
      <c r="T2" s="1414">
        <v>700570</v>
      </c>
      <c r="U2" s="1414">
        <v>415280</v>
      </c>
      <c r="V2" s="1414">
        <v>397760</v>
      </c>
      <c r="W2" s="1414">
        <v>859410</v>
      </c>
      <c r="X2" s="1414">
        <v>707250</v>
      </c>
      <c r="Y2" s="1414">
        <v>282960</v>
      </c>
      <c r="Z2" s="1414"/>
      <c r="AA2" s="1414"/>
      <c r="AB2" s="1414"/>
      <c r="AC2" s="1414"/>
      <c r="AD2" s="488">
        <f>SUM(R2:AC2)</f>
        <v>4835070</v>
      </c>
      <c r="AE2" s="565">
        <f>IF(OR(AD2="", P2=""), 0, IFERROR((AD2-P2)/P2, IF(AD2&lt;&gt;0, 1, 0)))</f>
        <v>-0.97566045053137473</v>
      </c>
      <c r="AF2" s="566">
        <f t="shared" ref="AF2:AF65" si="0">IFERROR(_xlfn.RANK.EQ(AD2, $AD$2:$AD$450), "")</f>
        <v>86</v>
      </c>
    </row>
    <row r="3" spans="1:38" x14ac:dyDescent="0.3">
      <c r="A3" s="10" t="s">
        <v>4</v>
      </c>
      <c r="B3" s="11" t="s">
        <v>6</v>
      </c>
      <c r="C3" s="485">
        <v>16690560</v>
      </c>
      <c r="D3" s="489">
        <v>13275460</v>
      </c>
      <c r="E3" s="489">
        <v>8158190</v>
      </c>
      <c r="F3" s="489">
        <v>4693000</v>
      </c>
      <c r="G3" s="489">
        <v>12475830</v>
      </c>
      <c r="H3" s="489">
        <v>12961520</v>
      </c>
      <c r="I3" s="489">
        <v>18170440</v>
      </c>
      <c r="J3" s="489">
        <v>10473190</v>
      </c>
      <c r="K3" s="489">
        <v>9289320</v>
      </c>
      <c r="L3" s="489">
        <v>8255470</v>
      </c>
      <c r="M3" s="489">
        <v>7764570</v>
      </c>
      <c r="N3" s="489">
        <v>13205210</v>
      </c>
      <c r="O3" s="489">
        <v>11372400</v>
      </c>
      <c r="P3" s="1494">
        <f t="shared" ref="P3:P66" si="1">SUM(C3:I3,K3)</f>
        <v>95714320</v>
      </c>
      <c r="Q3" s="1439">
        <f t="shared" ref="Q3:Q66" si="2">SUM(C3:J3,L3:O3)</f>
        <v>137495840</v>
      </c>
      <c r="R3" s="1413">
        <v>18586130</v>
      </c>
      <c r="S3" s="1414">
        <v>10993240</v>
      </c>
      <c r="T3" s="1414">
        <v>9622830</v>
      </c>
      <c r="U3" s="1414">
        <v>6668130</v>
      </c>
      <c r="V3" s="1414">
        <v>6430680</v>
      </c>
      <c r="W3" s="1414">
        <v>19945380</v>
      </c>
      <c r="X3" s="1414">
        <v>21140190</v>
      </c>
      <c r="Y3" s="1414">
        <v>10145380</v>
      </c>
      <c r="Z3" s="1414"/>
      <c r="AA3" s="1414"/>
      <c r="AB3" s="1414"/>
      <c r="AC3" s="1414"/>
      <c r="AD3" s="488">
        <f t="shared" ref="AD3:AD66" si="3">SUM(R3:AC3)</f>
        <v>103531960</v>
      </c>
      <c r="AE3" s="565">
        <f t="shared" ref="AE3:AE66" si="4">IF(OR(AD3="", P3=""), 0, IFERROR((AD3-P3)/P3, IF(AD3&lt;&gt;0, 1, 0)))</f>
        <v>8.1676806563531976E-2</v>
      </c>
      <c r="AF3" s="566">
        <f t="shared" si="0"/>
        <v>3</v>
      </c>
      <c r="AH3" s="1426" t="s">
        <v>2477</v>
      </c>
      <c r="AI3" s="1425" t="s">
        <v>2576</v>
      </c>
      <c r="AJ3" s="1425" t="s">
        <v>2480</v>
      </c>
      <c r="AK3" s="1416" t="s">
        <v>784</v>
      </c>
      <c r="AL3" s="1417" t="s">
        <v>515</v>
      </c>
    </row>
    <row r="4" spans="1:38" x14ac:dyDescent="0.3">
      <c r="A4" s="10" t="s">
        <v>4</v>
      </c>
      <c r="B4" s="11" t="s">
        <v>7</v>
      </c>
      <c r="C4" s="485">
        <v>14131110</v>
      </c>
      <c r="D4" s="489">
        <v>17518850</v>
      </c>
      <c r="E4" s="489">
        <v>6933840</v>
      </c>
      <c r="F4" s="489">
        <v>28530</v>
      </c>
      <c r="G4" s="489">
        <v>6666830</v>
      </c>
      <c r="H4" s="489">
        <v>3791420</v>
      </c>
      <c r="I4" s="489">
        <v>15110130</v>
      </c>
      <c r="J4" s="489">
        <v>16886690</v>
      </c>
      <c r="K4" s="489">
        <v>15459030</v>
      </c>
      <c r="L4" s="489">
        <v>4896580</v>
      </c>
      <c r="M4" s="489">
        <v>856960</v>
      </c>
      <c r="N4" s="489">
        <v>2461540</v>
      </c>
      <c r="O4" s="489">
        <v>6558550</v>
      </c>
      <c r="P4" s="1494">
        <f t="shared" si="1"/>
        <v>79639740</v>
      </c>
      <c r="Q4" s="1439">
        <f t="shared" si="2"/>
        <v>95841030</v>
      </c>
      <c r="R4" s="1413" t="s">
        <v>251</v>
      </c>
      <c r="S4" s="1414" t="s">
        <v>251</v>
      </c>
      <c r="T4" s="1414" t="s">
        <v>251</v>
      </c>
      <c r="U4" s="1414"/>
      <c r="V4" s="1414"/>
      <c r="W4" s="1414"/>
      <c r="X4" s="1414"/>
      <c r="Y4" s="1414"/>
      <c r="Z4" s="1414"/>
      <c r="AA4" s="1414"/>
      <c r="AB4" s="1414"/>
      <c r="AC4" s="1414"/>
      <c r="AD4" s="488">
        <f t="shared" si="3"/>
        <v>0</v>
      </c>
      <c r="AE4" s="565">
        <f t="shared" si="4"/>
        <v>-1</v>
      </c>
      <c r="AF4" s="566">
        <f t="shared" si="0"/>
        <v>240</v>
      </c>
      <c r="AH4" s="1418" t="s">
        <v>4</v>
      </c>
      <c r="AI4" s="1423">
        <v>2045178760</v>
      </c>
      <c r="AJ4" s="1423">
        <v>2151983580</v>
      </c>
      <c r="AK4" s="1415">
        <f>AJ4-AI4</f>
        <v>106804820</v>
      </c>
      <c r="AL4" s="1419">
        <f>IFERROR((AJ4-AI4)/AI4, 0)</f>
        <v>5.2222730887347961E-2</v>
      </c>
    </row>
    <row r="5" spans="1:38" x14ac:dyDescent="0.3">
      <c r="A5" s="10" t="s">
        <v>4</v>
      </c>
      <c r="B5" s="11" t="s">
        <v>8</v>
      </c>
      <c r="C5" s="485">
        <v>15986780</v>
      </c>
      <c r="D5" s="489">
        <v>7538350</v>
      </c>
      <c r="E5" s="489">
        <v>3887980</v>
      </c>
      <c r="F5" s="489">
        <v>10581020</v>
      </c>
      <c r="G5" s="489">
        <v>5531620</v>
      </c>
      <c r="H5" s="489">
        <v>5327840</v>
      </c>
      <c r="I5" s="489">
        <v>13136920</v>
      </c>
      <c r="J5" s="489">
        <v>9332600</v>
      </c>
      <c r="K5" s="489">
        <v>9332600</v>
      </c>
      <c r="L5" s="489">
        <v>7494900</v>
      </c>
      <c r="M5" s="489">
        <v>1479890</v>
      </c>
      <c r="N5" s="489">
        <v>2913150</v>
      </c>
      <c r="O5" s="489">
        <v>9400480</v>
      </c>
      <c r="P5" s="1494">
        <f t="shared" si="1"/>
        <v>71323110</v>
      </c>
      <c r="Q5" s="1439">
        <f t="shared" si="2"/>
        <v>92611530</v>
      </c>
      <c r="R5" s="1413">
        <v>12285500</v>
      </c>
      <c r="S5" s="1414">
        <v>1708520</v>
      </c>
      <c r="T5" s="1414">
        <v>470250</v>
      </c>
      <c r="U5" s="1414">
        <v>5990660</v>
      </c>
      <c r="V5" s="1414">
        <v>2644840</v>
      </c>
      <c r="W5" s="1414">
        <v>5091030</v>
      </c>
      <c r="X5" s="1414">
        <v>10595520</v>
      </c>
      <c r="Y5" s="1414">
        <v>11577840</v>
      </c>
      <c r="Z5" s="1414"/>
      <c r="AA5" s="1414"/>
      <c r="AB5" s="1414"/>
      <c r="AC5" s="1414"/>
      <c r="AD5" s="488">
        <f t="shared" si="3"/>
        <v>50364160</v>
      </c>
      <c r="AE5" s="565">
        <f t="shared" si="4"/>
        <v>-0.29385917131207545</v>
      </c>
      <c r="AF5" s="566">
        <f t="shared" si="0"/>
        <v>10</v>
      </c>
      <c r="AH5" s="1418" t="s">
        <v>231</v>
      </c>
      <c r="AI5" s="1423">
        <v>82200330</v>
      </c>
      <c r="AJ5" s="1423">
        <v>7778920</v>
      </c>
      <c r="AK5" s="1415">
        <f>AJ5-AI5</f>
        <v>-74421410</v>
      </c>
      <c r="AL5" s="1419">
        <f>IFERROR((AJ5-AI5)/AI5, 0)</f>
        <v>-0.90536631665590639</v>
      </c>
    </row>
    <row r="6" spans="1:38" ht="17.25" thickBot="1" x14ac:dyDescent="0.35">
      <c r="A6" s="10" t="s">
        <v>4</v>
      </c>
      <c r="B6" s="11" t="s">
        <v>9</v>
      </c>
      <c r="C6" s="485">
        <v>15180360</v>
      </c>
      <c r="D6" s="489">
        <v>8516380</v>
      </c>
      <c r="E6" s="489">
        <v>4456510</v>
      </c>
      <c r="F6" s="489">
        <v>6242560</v>
      </c>
      <c r="G6" s="489">
        <v>5693690</v>
      </c>
      <c r="H6" s="489">
        <v>6777850</v>
      </c>
      <c r="I6" s="489">
        <v>18247080</v>
      </c>
      <c r="J6" s="489">
        <v>15555490</v>
      </c>
      <c r="K6" s="489">
        <v>13671140</v>
      </c>
      <c r="L6" s="489">
        <v>15755600</v>
      </c>
      <c r="M6" s="489">
        <v>17455270</v>
      </c>
      <c r="N6" s="489">
        <v>16431460</v>
      </c>
      <c r="O6" s="489">
        <v>10691210</v>
      </c>
      <c r="P6" s="1494">
        <f t="shared" si="1"/>
        <v>78785570</v>
      </c>
      <c r="Q6" s="1439">
        <f t="shared" si="2"/>
        <v>141003460</v>
      </c>
      <c r="R6" s="1413">
        <v>7671930</v>
      </c>
      <c r="S6" s="1414">
        <v>1034210</v>
      </c>
      <c r="T6" s="1414">
        <v>3518160</v>
      </c>
      <c r="U6" s="1414">
        <v>1701540</v>
      </c>
      <c r="V6" s="1414">
        <v>1039860</v>
      </c>
      <c r="W6" s="1414">
        <v>0</v>
      </c>
      <c r="X6" s="1414">
        <v>1723450</v>
      </c>
      <c r="Y6" s="1414">
        <v>1260020</v>
      </c>
      <c r="Z6" s="1414"/>
      <c r="AA6" s="1414"/>
      <c r="AB6" s="1414"/>
      <c r="AC6" s="1414"/>
      <c r="AD6" s="488">
        <f t="shared" si="3"/>
        <v>17949170</v>
      </c>
      <c r="AE6" s="565">
        <f t="shared" si="4"/>
        <v>-0.77217693544642751</v>
      </c>
      <c r="AF6" s="566">
        <f t="shared" si="0"/>
        <v>29</v>
      </c>
      <c r="AH6" s="1420" t="s">
        <v>783</v>
      </c>
      <c r="AI6" s="1424">
        <v>2127379090</v>
      </c>
      <c r="AJ6" s="1424">
        <v>2159762500</v>
      </c>
      <c r="AK6" s="1421">
        <f>AJ6-AI6</f>
        <v>32383410</v>
      </c>
      <c r="AL6" s="1422">
        <f>IFERROR((AJ6-AI6)/AI6, 0)</f>
        <v>1.5222209408855289E-2</v>
      </c>
    </row>
    <row r="7" spans="1:38" x14ac:dyDescent="0.3">
      <c r="A7" s="10" t="s">
        <v>4</v>
      </c>
      <c r="B7" s="11" t="s">
        <v>597</v>
      </c>
      <c r="C7" s="485">
        <v>14541130</v>
      </c>
      <c r="D7" s="489">
        <v>8445290</v>
      </c>
      <c r="E7" s="489">
        <v>4831320</v>
      </c>
      <c r="F7" s="489">
        <v>3768800</v>
      </c>
      <c r="G7" s="489">
        <v>7786340</v>
      </c>
      <c r="H7" s="489">
        <v>6478680</v>
      </c>
      <c r="I7" s="489">
        <v>14625220</v>
      </c>
      <c r="J7" s="489">
        <v>3124700</v>
      </c>
      <c r="K7" s="489">
        <v>3124700</v>
      </c>
      <c r="L7" s="489">
        <v>4402460</v>
      </c>
      <c r="M7" s="489">
        <v>3419020</v>
      </c>
      <c r="N7" s="489">
        <v>4069100</v>
      </c>
      <c r="O7" s="489">
        <v>6241730</v>
      </c>
      <c r="P7" s="1494">
        <f t="shared" si="1"/>
        <v>63601480</v>
      </c>
      <c r="Q7" s="1439">
        <f t="shared" si="2"/>
        <v>81733790</v>
      </c>
      <c r="R7" s="1413">
        <v>9318640</v>
      </c>
      <c r="S7" s="1414">
        <v>7489610</v>
      </c>
      <c r="T7" s="1414">
        <v>4076860</v>
      </c>
      <c r="U7" s="1414">
        <v>7488300</v>
      </c>
      <c r="V7" s="1414">
        <v>11164660</v>
      </c>
      <c r="W7" s="1414">
        <v>6976450</v>
      </c>
      <c r="X7" s="1414">
        <v>14818420</v>
      </c>
      <c r="Y7" s="1414">
        <v>9054260</v>
      </c>
      <c r="Z7" s="1414"/>
      <c r="AA7" s="1414"/>
      <c r="AB7" s="1414"/>
      <c r="AC7" s="1414"/>
      <c r="AD7" s="488">
        <f t="shared" si="3"/>
        <v>70387200</v>
      </c>
      <c r="AE7" s="565">
        <f t="shared" si="4"/>
        <v>0.10669122793997876</v>
      </c>
      <c r="AF7" s="566">
        <f t="shared" si="0"/>
        <v>5</v>
      </c>
    </row>
    <row r="8" spans="1:38" x14ac:dyDescent="0.3">
      <c r="A8" s="10" t="s">
        <v>4</v>
      </c>
      <c r="B8" s="11" t="s">
        <v>11</v>
      </c>
      <c r="C8" s="485">
        <v>5727760</v>
      </c>
      <c r="D8" s="489">
        <v>16017580</v>
      </c>
      <c r="E8" s="489">
        <v>8306740</v>
      </c>
      <c r="F8" s="489">
        <v>837410</v>
      </c>
      <c r="G8" s="489">
        <v>7537330</v>
      </c>
      <c r="H8" s="489">
        <v>934160</v>
      </c>
      <c r="I8" s="489">
        <v>5762310</v>
      </c>
      <c r="J8" s="489">
        <v>6418550</v>
      </c>
      <c r="K8" s="489">
        <v>3716390</v>
      </c>
      <c r="L8" s="489">
        <v>0</v>
      </c>
      <c r="M8" s="489">
        <v>0</v>
      </c>
      <c r="N8" s="489">
        <v>0</v>
      </c>
      <c r="O8" s="489">
        <v>0</v>
      </c>
      <c r="P8" s="1494">
        <f t="shared" si="1"/>
        <v>48839680</v>
      </c>
      <c r="Q8" s="1439">
        <f t="shared" si="2"/>
        <v>51541840</v>
      </c>
      <c r="R8" s="1413" t="s">
        <v>251</v>
      </c>
      <c r="S8" s="1414">
        <v>797410</v>
      </c>
      <c r="T8" s="1414">
        <v>0</v>
      </c>
      <c r="U8" s="1414">
        <v>0</v>
      </c>
      <c r="V8" s="1414">
        <v>0</v>
      </c>
      <c r="W8" s="1414">
        <v>0</v>
      </c>
      <c r="X8" s="1414">
        <v>0</v>
      </c>
      <c r="Y8" s="1414">
        <v>0</v>
      </c>
      <c r="Z8" s="1414"/>
      <c r="AA8" s="1414"/>
      <c r="AB8" s="1414"/>
      <c r="AC8" s="1414"/>
      <c r="AD8" s="488">
        <f t="shared" si="3"/>
        <v>797410</v>
      </c>
      <c r="AE8" s="565">
        <f t="shared" si="4"/>
        <v>-0.9836729069477933</v>
      </c>
      <c r="AF8" s="566">
        <f t="shared" si="0"/>
        <v>165</v>
      </c>
    </row>
    <row r="9" spans="1:38" x14ac:dyDescent="0.3">
      <c r="A9" s="10" t="s">
        <v>4</v>
      </c>
      <c r="B9" s="11" t="s">
        <v>12</v>
      </c>
      <c r="C9" s="485">
        <v>7736960</v>
      </c>
      <c r="D9" s="489">
        <v>6277020</v>
      </c>
      <c r="E9" s="489">
        <v>5056030</v>
      </c>
      <c r="F9" s="489">
        <v>8112840</v>
      </c>
      <c r="G9" s="489">
        <v>8749440</v>
      </c>
      <c r="H9" s="489">
        <v>9041450</v>
      </c>
      <c r="I9" s="489">
        <v>13835760</v>
      </c>
      <c r="J9" s="489">
        <v>7241000</v>
      </c>
      <c r="K9" s="489">
        <v>5939260</v>
      </c>
      <c r="L9" s="489">
        <v>1605580</v>
      </c>
      <c r="M9" s="489">
        <v>75740</v>
      </c>
      <c r="N9" s="489">
        <v>41680</v>
      </c>
      <c r="O9" s="489">
        <v>143030</v>
      </c>
      <c r="P9" s="1494">
        <f t="shared" si="1"/>
        <v>64748760</v>
      </c>
      <c r="Q9" s="1439">
        <f t="shared" si="2"/>
        <v>67916530</v>
      </c>
      <c r="R9" s="1413" t="s">
        <v>251</v>
      </c>
      <c r="S9" s="1414" t="s">
        <v>251</v>
      </c>
      <c r="T9" s="1414">
        <v>40590</v>
      </c>
      <c r="U9" s="1414">
        <v>30140</v>
      </c>
      <c r="V9" s="1414">
        <v>42850</v>
      </c>
      <c r="W9" s="1414">
        <v>0</v>
      </c>
      <c r="X9" s="1414">
        <v>330440</v>
      </c>
      <c r="Y9" s="1414">
        <v>97160</v>
      </c>
      <c r="Z9" s="1414"/>
      <c r="AA9" s="1414"/>
      <c r="AB9" s="1414"/>
      <c r="AC9" s="1414"/>
      <c r="AD9" s="488">
        <f t="shared" si="3"/>
        <v>541180</v>
      </c>
      <c r="AE9" s="565">
        <f t="shared" si="4"/>
        <v>-0.99164184765854979</v>
      </c>
      <c r="AF9" s="566">
        <f t="shared" si="0"/>
        <v>174</v>
      </c>
    </row>
    <row r="10" spans="1:38" x14ac:dyDescent="0.3">
      <c r="A10" s="10" t="s">
        <v>4</v>
      </c>
      <c r="B10" s="11" t="s">
        <v>13</v>
      </c>
      <c r="C10" s="485">
        <v>2690010</v>
      </c>
      <c r="D10" s="489">
        <v>318350</v>
      </c>
      <c r="E10" s="489">
        <v>4463330</v>
      </c>
      <c r="F10" s="489">
        <v>1212790</v>
      </c>
      <c r="G10" s="489">
        <v>26074630</v>
      </c>
      <c r="H10" s="489">
        <v>4413740</v>
      </c>
      <c r="I10" s="489">
        <v>4590860</v>
      </c>
      <c r="J10" s="489">
        <v>1235020</v>
      </c>
      <c r="K10" s="489">
        <v>1235020</v>
      </c>
      <c r="L10" s="489">
        <v>0</v>
      </c>
      <c r="M10" s="489">
        <v>238320</v>
      </c>
      <c r="N10" s="489">
        <v>376500</v>
      </c>
      <c r="O10" s="489">
        <v>29370</v>
      </c>
      <c r="P10" s="1494">
        <f t="shared" si="1"/>
        <v>44998730</v>
      </c>
      <c r="Q10" s="1439">
        <f t="shared" si="2"/>
        <v>45642920</v>
      </c>
      <c r="R10" s="1413" t="s">
        <v>251</v>
      </c>
      <c r="S10" s="1414">
        <v>2012520</v>
      </c>
      <c r="T10" s="1414">
        <v>2708180</v>
      </c>
      <c r="U10" s="1414">
        <v>8953010</v>
      </c>
      <c r="V10" s="1414">
        <v>17660960</v>
      </c>
      <c r="W10" s="1414">
        <v>6678400</v>
      </c>
      <c r="X10" s="1414">
        <v>30630</v>
      </c>
      <c r="Y10" s="1414">
        <v>0</v>
      </c>
      <c r="Z10" s="1414"/>
      <c r="AA10" s="1414"/>
      <c r="AB10" s="1414"/>
      <c r="AC10" s="1414"/>
      <c r="AD10" s="488">
        <f t="shared" si="3"/>
        <v>38043700</v>
      </c>
      <c r="AE10" s="565">
        <f t="shared" si="4"/>
        <v>-0.15456058426537816</v>
      </c>
      <c r="AF10" s="566">
        <f t="shared" si="0"/>
        <v>16</v>
      </c>
    </row>
    <row r="11" spans="1:38" x14ac:dyDescent="0.3">
      <c r="A11" s="10" t="s">
        <v>4</v>
      </c>
      <c r="B11" s="11" t="s">
        <v>14</v>
      </c>
      <c r="C11" s="485">
        <v>9894460</v>
      </c>
      <c r="D11" s="489">
        <v>2698600</v>
      </c>
      <c r="E11" s="489">
        <v>9367930</v>
      </c>
      <c r="F11" s="489">
        <v>1625890</v>
      </c>
      <c r="G11" s="489">
        <v>4286670</v>
      </c>
      <c r="H11" s="489">
        <v>2112980</v>
      </c>
      <c r="I11" s="489">
        <v>4560830</v>
      </c>
      <c r="J11" s="489">
        <v>3312730</v>
      </c>
      <c r="K11" s="489">
        <v>2540870</v>
      </c>
      <c r="L11" s="489">
        <v>1131100</v>
      </c>
      <c r="M11" s="489">
        <v>1608910</v>
      </c>
      <c r="N11" s="489">
        <v>1870790</v>
      </c>
      <c r="O11" s="489">
        <v>6708020</v>
      </c>
      <c r="P11" s="1494">
        <f t="shared" si="1"/>
        <v>37088230</v>
      </c>
      <c r="Q11" s="1439">
        <f t="shared" si="2"/>
        <v>49178910</v>
      </c>
      <c r="R11" s="1413">
        <v>5913800</v>
      </c>
      <c r="S11" s="1414">
        <v>2117510</v>
      </c>
      <c r="T11" s="1414">
        <v>8579520</v>
      </c>
      <c r="U11" s="1414">
        <v>2343460</v>
      </c>
      <c r="V11" s="1414">
        <v>782860</v>
      </c>
      <c r="W11" s="1414">
        <v>4068150</v>
      </c>
      <c r="X11" s="1414">
        <v>5974420</v>
      </c>
      <c r="Y11" s="1414">
        <v>4202510</v>
      </c>
      <c r="Z11" s="1414"/>
      <c r="AA11" s="1414"/>
      <c r="AB11" s="1414"/>
      <c r="AC11" s="1414"/>
      <c r="AD11" s="488">
        <f t="shared" si="3"/>
        <v>33982230</v>
      </c>
      <c r="AE11" s="565">
        <f t="shared" si="4"/>
        <v>-8.3746245102556793E-2</v>
      </c>
      <c r="AF11" s="566">
        <f t="shared" si="0"/>
        <v>19</v>
      </c>
    </row>
    <row r="12" spans="1:38" x14ac:dyDescent="0.3">
      <c r="A12" s="10" t="s">
        <v>4</v>
      </c>
      <c r="B12" s="11" t="s">
        <v>598</v>
      </c>
      <c r="C12" s="1446" t="s">
        <v>251</v>
      </c>
      <c r="D12" s="1447" t="s">
        <v>251</v>
      </c>
      <c r="E12" s="1447" t="s">
        <v>251</v>
      </c>
      <c r="F12" s="1447" t="s">
        <v>251</v>
      </c>
      <c r="G12" s="1447" t="s">
        <v>251</v>
      </c>
      <c r="H12" s="1447" t="s">
        <v>251</v>
      </c>
      <c r="I12" s="1447" t="s">
        <v>251</v>
      </c>
      <c r="J12" s="1447" t="s">
        <v>251</v>
      </c>
      <c r="K12" s="1447"/>
      <c r="L12" s="1447" t="s">
        <v>251</v>
      </c>
      <c r="M12" s="1447" t="s">
        <v>251</v>
      </c>
      <c r="N12" s="1447" t="s">
        <v>251</v>
      </c>
      <c r="O12" s="1447" t="s">
        <v>251</v>
      </c>
      <c r="P12" s="1494">
        <f t="shared" si="1"/>
        <v>0</v>
      </c>
      <c r="Q12" s="1439">
        <f t="shared" si="2"/>
        <v>0</v>
      </c>
      <c r="R12" s="1413" t="s">
        <v>251</v>
      </c>
      <c r="S12" s="1414" t="s">
        <v>251</v>
      </c>
      <c r="T12" s="1414" t="s">
        <v>251</v>
      </c>
      <c r="U12" s="1414"/>
      <c r="V12" s="1414"/>
      <c r="W12" s="1414"/>
      <c r="X12" s="1414"/>
      <c r="Y12" s="1414"/>
      <c r="Z12" s="1414"/>
      <c r="AA12" s="1414"/>
      <c r="AB12" s="1414"/>
      <c r="AC12" s="1414"/>
      <c r="AD12" s="488">
        <f t="shared" si="3"/>
        <v>0</v>
      </c>
      <c r="AE12" s="565">
        <f t="shared" si="4"/>
        <v>0</v>
      </c>
      <c r="AF12" s="566">
        <f t="shared" si="0"/>
        <v>240</v>
      </c>
    </row>
    <row r="13" spans="1:38" x14ac:dyDescent="0.3">
      <c r="A13" s="10" t="s">
        <v>4</v>
      </c>
      <c r="B13" s="11" t="s">
        <v>16</v>
      </c>
      <c r="C13" s="485">
        <v>7412860</v>
      </c>
      <c r="D13" s="489">
        <v>1527140</v>
      </c>
      <c r="E13" s="489">
        <v>11093560</v>
      </c>
      <c r="F13" s="489">
        <v>5265660</v>
      </c>
      <c r="G13" s="489">
        <v>2376770</v>
      </c>
      <c r="H13" s="489">
        <v>4932930</v>
      </c>
      <c r="I13" s="489">
        <v>1368940</v>
      </c>
      <c r="J13" s="489">
        <v>746370</v>
      </c>
      <c r="K13" s="489">
        <v>746370</v>
      </c>
      <c r="L13" s="489">
        <v>5959750</v>
      </c>
      <c r="M13" s="489">
        <v>3467570</v>
      </c>
      <c r="N13" s="489">
        <v>5281180</v>
      </c>
      <c r="O13" s="489">
        <v>10939740</v>
      </c>
      <c r="P13" s="1494">
        <f t="shared" si="1"/>
        <v>34724230</v>
      </c>
      <c r="Q13" s="1439">
        <f t="shared" si="2"/>
        <v>60372470</v>
      </c>
      <c r="R13" s="1413">
        <v>15987450</v>
      </c>
      <c r="S13" s="1414">
        <v>1462920</v>
      </c>
      <c r="T13" s="1414">
        <v>2033470</v>
      </c>
      <c r="U13" s="1414">
        <v>6664210</v>
      </c>
      <c r="V13" s="1414">
        <v>4915940</v>
      </c>
      <c r="W13" s="1414">
        <v>2369020</v>
      </c>
      <c r="X13" s="1414">
        <v>4875980</v>
      </c>
      <c r="Y13" s="1414">
        <v>5025190</v>
      </c>
      <c r="Z13" s="1414"/>
      <c r="AA13" s="1414"/>
      <c r="AB13" s="1414"/>
      <c r="AC13" s="1414"/>
      <c r="AD13" s="488">
        <f t="shared" si="3"/>
        <v>43334180</v>
      </c>
      <c r="AE13" s="565">
        <f t="shared" si="4"/>
        <v>0.24795222241069131</v>
      </c>
      <c r="AF13" s="566">
        <f t="shared" si="0"/>
        <v>14</v>
      </c>
    </row>
    <row r="14" spans="1:38" x14ac:dyDescent="0.3">
      <c r="A14" s="10" t="s">
        <v>4</v>
      </c>
      <c r="B14" s="11" t="s">
        <v>17</v>
      </c>
      <c r="C14" s="485">
        <v>5703430</v>
      </c>
      <c r="D14" s="489">
        <v>5815150</v>
      </c>
      <c r="E14" s="489">
        <v>5232380</v>
      </c>
      <c r="F14" s="489">
        <v>5495790</v>
      </c>
      <c r="G14" s="489">
        <v>3972650</v>
      </c>
      <c r="H14" s="489">
        <v>4942610</v>
      </c>
      <c r="I14" s="489">
        <v>5448920</v>
      </c>
      <c r="J14" s="489">
        <v>4821820</v>
      </c>
      <c r="K14" s="489">
        <v>4025400</v>
      </c>
      <c r="L14" s="489">
        <v>3928180</v>
      </c>
      <c r="M14" s="489">
        <v>2797150</v>
      </c>
      <c r="N14" s="489">
        <v>2048860</v>
      </c>
      <c r="O14" s="489">
        <v>8179030</v>
      </c>
      <c r="P14" s="1494">
        <f t="shared" si="1"/>
        <v>40636330</v>
      </c>
      <c r="Q14" s="1439">
        <f t="shared" si="2"/>
        <v>58385970</v>
      </c>
      <c r="R14" s="1413">
        <v>6985390</v>
      </c>
      <c r="S14" s="1414">
        <v>1371150</v>
      </c>
      <c r="T14" s="1414">
        <v>3476160</v>
      </c>
      <c r="U14" s="1414">
        <v>5525200</v>
      </c>
      <c r="V14" s="1414">
        <v>4203580</v>
      </c>
      <c r="W14" s="1414">
        <v>6317620</v>
      </c>
      <c r="X14" s="1414">
        <v>11468310</v>
      </c>
      <c r="Y14" s="1414">
        <v>5368490</v>
      </c>
      <c r="Z14" s="1414"/>
      <c r="AA14" s="1414"/>
      <c r="AB14" s="1414"/>
      <c r="AC14" s="1414"/>
      <c r="AD14" s="488">
        <f t="shared" si="3"/>
        <v>44715900</v>
      </c>
      <c r="AE14" s="565">
        <f t="shared" si="4"/>
        <v>0.10039218600695486</v>
      </c>
      <c r="AF14" s="566">
        <f t="shared" si="0"/>
        <v>12</v>
      </c>
    </row>
    <row r="15" spans="1:38" x14ac:dyDescent="0.3">
      <c r="A15" s="10" t="s">
        <v>4</v>
      </c>
      <c r="B15" s="11" t="s">
        <v>18</v>
      </c>
      <c r="C15" s="485">
        <v>4662880</v>
      </c>
      <c r="D15" s="489">
        <v>0</v>
      </c>
      <c r="E15" s="489">
        <v>6664850</v>
      </c>
      <c r="F15" s="489">
        <v>7658560</v>
      </c>
      <c r="G15" s="489">
        <v>3135920</v>
      </c>
      <c r="H15" s="489">
        <v>1533380</v>
      </c>
      <c r="I15" s="489">
        <v>4186050</v>
      </c>
      <c r="J15" s="489">
        <v>603640</v>
      </c>
      <c r="K15" s="489">
        <v>603640</v>
      </c>
      <c r="L15" s="489">
        <v>41680</v>
      </c>
      <c r="M15" s="489">
        <v>43090</v>
      </c>
      <c r="N15" s="489">
        <v>592330</v>
      </c>
      <c r="O15" s="489">
        <v>2976610</v>
      </c>
      <c r="P15" s="1494">
        <f t="shared" si="1"/>
        <v>28445280</v>
      </c>
      <c r="Q15" s="1439">
        <f t="shared" si="2"/>
        <v>32098990</v>
      </c>
      <c r="R15" s="1413">
        <v>8749800</v>
      </c>
      <c r="S15" s="1414">
        <v>498530</v>
      </c>
      <c r="T15" s="1414">
        <v>6056020</v>
      </c>
      <c r="U15" s="1414">
        <v>5697690</v>
      </c>
      <c r="V15" s="1414">
        <v>6465090</v>
      </c>
      <c r="W15" s="1414">
        <v>3943320</v>
      </c>
      <c r="X15" s="1414">
        <v>2782390</v>
      </c>
      <c r="Y15" s="1414">
        <v>255360</v>
      </c>
      <c r="Z15" s="1414"/>
      <c r="AA15" s="1414"/>
      <c r="AB15" s="1414"/>
      <c r="AC15" s="1414"/>
      <c r="AD15" s="488">
        <f t="shared" si="3"/>
        <v>34448200</v>
      </c>
      <c r="AE15" s="565">
        <f t="shared" si="4"/>
        <v>0.21103395712750939</v>
      </c>
      <c r="AF15" s="566">
        <f t="shared" si="0"/>
        <v>18</v>
      </c>
    </row>
    <row r="16" spans="1:38" x14ac:dyDescent="0.3">
      <c r="A16" s="10" t="s">
        <v>4</v>
      </c>
      <c r="B16" s="11" t="s">
        <v>19</v>
      </c>
      <c r="C16" s="485">
        <v>2167860</v>
      </c>
      <c r="D16" s="489">
        <v>3128030</v>
      </c>
      <c r="E16" s="489">
        <v>8026720</v>
      </c>
      <c r="F16" s="489">
        <v>4723620</v>
      </c>
      <c r="G16" s="489">
        <v>3019360</v>
      </c>
      <c r="H16" s="489">
        <v>6604870</v>
      </c>
      <c r="I16" s="489">
        <v>5806510</v>
      </c>
      <c r="J16" s="489">
        <v>2937530</v>
      </c>
      <c r="K16" s="489">
        <v>2631160</v>
      </c>
      <c r="L16" s="489">
        <v>6394470</v>
      </c>
      <c r="M16" s="489">
        <v>5435560</v>
      </c>
      <c r="N16" s="489">
        <v>6707020</v>
      </c>
      <c r="O16" s="489">
        <v>4743910</v>
      </c>
      <c r="P16" s="1494">
        <f t="shared" si="1"/>
        <v>36108130</v>
      </c>
      <c r="Q16" s="1439">
        <f t="shared" si="2"/>
        <v>59695460</v>
      </c>
      <c r="R16" s="1413">
        <v>3506430</v>
      </c>
      <c r="S16" s="1414">
        <v>4767690</v>
      </c>
      <c r="T16" s="1414">
        <v>3790660</v>
      </c>
      <c r="U16" s="1414">
        <v>6345700</v>
      </c>
      <c r="V16" s="1414">
        <v>6226300</v>
      </c>
      <c r="W16" s="1414">
        <v>3496010</v>
      </c>
      <c r="X16" s="1414">
        <v>11159740</v>
      </c>
      <c r="Y16" s="1414">
        <v>6347860</v>
      </c>
      <c r="Z16" s="1414"/>
      <c r="AA16" s="1414"/>
      <c r="AB16" s="1414"/>
      <c r="AC16" s="1414"/>
      <c r="AD16" s="488">
        <f t="shared" si="3"/>
        <v>45640390</v>
      </c>
      <c r="AE16" s="565">
        <f t="shared" si="4"/>
        <v>0.26399207048384948</v>
      </c>
      <c r="AF16" s="566">
        <f t="shared" si="0"/>
        <v>11</v>
      </c>
    </row>
    <row r="17" spans="1:32" x14ac:dyDescent="0.3">
      <c r="A17" s="10" t="s">
        <v>4</v>
      </c>
      <c r="B17" s="11" t="s">
        <v>20</v>
      </c>
      <c r="C17" s="485">
        <v>6867400</v>
      </c>
      <c r="D17" s="489">
        <v>4005050</v>
      </c>
      <c r="E17" s="489">
        <v>2333850</v>
      </c>
      <c r="F17" s="489">
        <v>5050560</v>
      </c>
      <c r="G17" s="489">
        <v>2674990</v>
      </c>
      <c r="H17" s="489">
        <v>4303340</v>
      </c>
      <c r="I17" s="489">
        <v>2471290</v>
      </c>
      <c r="J17" s="489">
        <v>3787700</v>
      </c>
      <c r="K17" s="489">
        <v>3423250</v>
      </c>
      <c r="L17" s="489">
        <v>7057310</v>
      </c>
      <c r="M17" s="489">
        <v>2223340</v>
      </c>
      <c r="N17" s="489">
        <v>2382660</v>
      </c>
      <c r="O17" s="489">
        <v>3762160</v>
      </c>
      <c r="P17" s="1494">
        <f t="shared" si="1"/>
        <v>31129730</v>
      </c>
      <c r="Q17" s="1439">
        <f t="shared" si="2"/>
        <v>46919650</v>
      </c>
      <c r="R17" s="1413">
        <v>4657010</v>
      </c>
      <c r="S17" s="1414">
        <v>2382180</v>
      </c>
      <c r="T17" s="1414">
        <v>1541130</v>
      </c>
      <c r="U17" s="1414">
        <v>2062170</v>
      </c>
      <c r="V17" s="1414">
        <v>0</v>
      </c>
      <c r="W17" s="1414">
        <v>0</v>
      </c>
      <c r="X17" s="1414">
        <v>2610980</v>
      </c>
      <c r="Y17" s="1414">
        <v>0</v>
      </c>
      <c r="Z17" s="1414"/>
      <c r="AA17" s="1414"/>
      <c r="AB17" s="1414"/>
      <c r="AC17" s="1414"/>
      <c r="AD17" s="488">
        <f t="shared" si="3"/>
        <v>13253470</v>
      </c>
      <c r="AE17" s="565">
        <f t="shared" si="4"/>
        <v>-0.57425040307127628</v>
      </c>
      <c r="AF17" s="566">
        <f t="shared" si="0"/>
        <v>40</v>
      </c>
    </row>
    <row r="18" spans="1:32" x14ac:dyDescent="0.3">
      <c r="A18" s="10" t="s">
        <v>4</v>
      </c>
      <c r="B18" s="11" t="s">
        <v>21</v>
      </c>
      <c r="C18" s="485">
        <v>4211080</v>
      </c>
      <c r="D18" s="489">
        <v>4038840</v>
      </c>
      <c r="E18" s="489">
        <v>4800850</v>
      </c>
      <c r="F18" s="489">
        <v>3819470</v>
      </c>
      <c r="G18" s="489">
        <v>1867220</v>
      </c>
      <c r="H18" s="489">
        <v>1290690</v>
      </c>
      <c r="I18" s="489">
        <v>4237570</v>
      </c>
      <c r="J18" s="489">
        <v>1658060</v>
      </c>
      <c r="K18" s="489">
        <v>1309710</v>
      </c>
      <c r="L18" s="489">
        <v>3052420</v>
      </c>
      <c r="M18" s="489">
        <v>4948550</v>
      </c>
      <c r="N18" s="489">
        <v>1675580</v>
      </c>
      <c r="O18" s="489">
        <v>4476510</v>
      </c>
      <c r="P18" s="1494">
        <f t="shared" si="1"/>
        <v>25575430</v>
      </c>
      <c r="Q18" s="1439">
        <f t="shared" si="2"/>
        <v>40076840</v>
      </c>
      <c r="R18" s="1413">
        <v>6120670</v>
      </c>
      <c r="S18" s="1414">
        <v>1769900</v>
      </c>
      <c r="T18" s="1414">
        <v>4824520</v>
      </c>
      <c r="U18" s="1414">
        <v>5099210</v>
      </c>
      <c r="V18" s="1414">
        <v>2432350</v>
      </c>
      <c r="W18" s="1414">
        <v>2722640</v>
      </c>
      <c r="X18" s="1414">
        <v>3571190</v>
      </c>
      <c r="Y18" s="1414">
        <v>4828150</v>
      </c>
      <c r="Z18" s="1414"/>
      <c r="AA18" s="1414"/>
      <c r="AB18" s="1414"/>
      <c r="AC18" s="1414"/>
      <c r="AD18" s="488">
        <f t="shared" si="3"/>
        <v>31368630</v>
      </c>
      <c r="AE18" s="565">
        <f t="shared" si="4"/>
        <v>0.22651427561530735</v>
      </c>
      <c r="AF18" s="566">
        <f t="shared" si="0"/>
        <v>20</v>
      </c>
    </row>
    <row r="19" spans="1:32" x14ac:dyDescent="0.3">
      <c r="A19" s="10" t="s">
        <v>4</v>
      </c>
      <c r="B19" s="11" t="s">
        <v>22</v>
      </c>
      <c r="C19" s="485">
        <v>7876990</v>
      </c>
      <c r="D19" s="489">
        <v>216670</v>
      </c>
      <c r="E19" s="489">
        <v>3402360</v>
      </c>
      <c r="F19" s="489">
        <v>2836550</v>
      </c>
      <c r="G19" s="489">
        <v>3914960</v>
      </c>
      <c r="H19" s="489" t="s">
        <v>2585</v>
      </c>
      <c r="I19" s="489">
        <v>13834320</v>
      </c>
      <c r="J19" s="489">
        <v>3307010</v>
      </c>
      <c r="K19" s="489">
        <v>2999560</v>
      </c>
      <c r="L19" s="489">
        <v>5215390</v>
      </c>
      <c r="M19" s="489">
        <v>585990</v>
      </c>
      <c r="N19" s="489">
        <v>1450090</v>
      </c>
      <c r="O19" s="489">
        <v>3737500</v>
      </c>
      <c r="P19" s="1494">
        <f t="shared" si="1"/>
        <v>35081410</v>
      </c>
      <c r="Q19" s="1439">
        <f t="shared" si="2"/>
        <v>46377830</v>
      </c>
      <c r="R19" s="1413">
        <v>10371040</v>
      </c>
      <c r="S19" s="1414">
        <v>3899220</v>
      </c>
      <c r="T19" s="1414">
        <v>5511660</v>
      </c>
      <c r="U19" s="1414">
        <v>2460440</v>
      </c>
      <c r="V19" s="1414">
        <v>3121190</v>
      </c>
      <c r="W19" s="1414">
        <v>12096310</v>
      </c>
      <c r="X19" s="1414">
        <v>5399910</v>
      </c>
      <c r="Y19" s="1414">
        <v>8511200</v>
      </c>
      <c r="Z19" s="1414"/>
      <c r="AA19" s="1414"/>
      <c r="AB19" s="1414"/>
      <c r="AC19" s="1414"/>
      <c r="AD19" s="488">
        <f t="shared" si="3"/>
        <v>51370970</v>
      </c>
      <c r="AE19" s="565">
        <f t="shared" si="4"/>
        <v>0.46433595456967097</v>
      </c>
      <c r="AF19" s="566">
        <f t="shared" si="0"/>
        <v>9</v>
      </c>
    </row>
    <row r="20" spans="1:32" x14ac:dyDescent="0.3">
      <c r="A20" s="10" t="s">
        <v>4</v>
      </c>
      <c r="B20" s="11" t="s">
        <v>23</v>
      </c>
      <c r="C20" s="485">
        <v>7214660</v>
      </c>
      <c r="D20" s="489">
        <v>1940510</v>
      </c>
      <c r="E20" s="489">
        <v>2775000</v>
      </c>
      <c r="F20" s="489">
        <v>1329480</v>
      </c>
      <c r="G20" s="489">
        <v>4687530</v>
      </c>
      <c r="H20" s="489">
        <v>7749540</v>
      </c>
      <c r="I20" s="489">
        <v>13830430</v>
      </c>
      <c r="J20" s="489">
        <v>3895760</v>
      </c>
      <c r="K20" s="489">
        <v>3743020</v>
      </c>
      <c r="L20" s="489">
        <v>1211250</v>
      </c>
      <c r="M20" s="489">
        <v>1039380</v>
      </c>
      <c r="N20" s="489">
        <v>4469700</v>
      </c>
      <c r="O20" s="489">
        <v>12281690</v>
      </c>
      <c r="P20" s="1494">
        <f t="shared" si="1"/>
        <v>43270170</v>
      </c>
      <c r="Q20" s="1439">
        <f t="shared" si="2"/>
        <v>62424930</v>
      </c>
      <c r="R20" s="1413">
        <v>3523490</v>
      </c>
      <c r="S20" s="1414">
        <v>498160</v>
      </c>
      <c r="T20" s="1414">
        <v>2874160</v>
      </c>
      <c r="U20" s="1414">
        <v>547310</v>
      </c>
      <c r="V20" s="1414">
        <v>744720</v>
      </c>
      <c r="W20" s="1414">
        <v>5445400</v>
      </c>
      <c r="X20" s="1414">
        <v>9795240</v>
      </c>
      <c r="Y20" s="1414">
        <v>6366580</v>
      </c>
      <c r="Z20" s="1414"/>
      <c r="AA20" s="1414"/>
      <c r="AB20" s="1414"/>
      <c r="AC20" s="1414"/>
      <c r="AD20" s="488">
        <f t="shared" si="3"/>
        <v>29795060</v>
      </c>
      <c r="AE20" s="565">
        <f t="shared" si="4"/>
        <v>-0.31141800459762464</v>
      </c>
      <c r="AF20" s="566">
        <f t="shared" si="0"/>
        <v>21</v>
      </c>
    </row>
    <row r="21" spans="1:32" x14ac:dyDescent="0.3">
      <c r="A21" s="10" t="s">
        <v>4</v>
      </c>
      <c r="B21" s="11" t="s">
        <v>24</v>
      </c>
      <c r="C21" s="485">
        <v>9432920</v>
      </c>
      <c r="D21" s="489">
        <v>3452290</v>
      </c>
      <c r="E21" s="489">
        <v>981490</v>
      </c>
      <c r="F21" s="489">
        <v>335450</v>
      </c>
      <c r="G21" s="489">
        <v>594720</v>
      </c>
      <c r="H21" s="489">
        <v>0</v>
      </c>
      <c r="I21" s="489">
        <v>0</v>
      </c>
      <c r="J21" s="489">
        <v>1565540</v>
      </c>
      <c r="K21" s="489">
        <v>1565540</v>
      </c>
      <c r="L21" s="489">
        <v>0</v>
      </c>
      <c r="M21" s="489">
        <v>1144960</v>
      </c>
      <c r="N21" s="489">
        <v>0</v>
      </c>
      <c r="O21" s="489">
        <v>0</v>
      </c>
      <c r="P21" s="1494">
        <f t="shared" si="1"/>
        <v>16362410</v>
      </c>
      <c r="Q21" s="1439">
        <f t="shared" si="2"/>
        <v>17507370</v>
      </c>
      <c r="R21" s="1413" t="s">
        <v>251</v>
      </c>
      <c r="S21" s="1414" t="s">
        <v>251</v>
      </c>
      <c r="T21" s="1414" t="s">
        <v>251</v>
      </c>
      <c r="U21" s="1414"/>
      <c r="V21" s="1414"/>
      <c r="W21" s="1414"/>
      <c r="X21" s="1414"/>
      <c r="Y21" s="1414"/>
      <c r="Z21" s="1414"/>
      <c r="AA21" s="1414"/>
      <c r="AB21" s="1414"/>
      <c r="AC21" s="1414"/>
      <c r="AD21" s="488">
        <f t="shared" si="3"/>
        <v>0</v>
      </c>
      <c r="AE21" s="565">
        <f t="shared" si="4"/>
        <v>-1</v>
      </c>
      <c r="AF21" s="566">
        <f t="shared" si="0"/>
        <v>240</v>
      </c>
    </row>
    <row r="22" spans="1:32" x14ac:dyDescent="0.3">
      <c r="A22" s="10" t="s">
        <v>4</v>
      </c>
      <c r="B22" s="11" t="s">
        <v>599</v>
      </c>
      <c r="C22" s="485">
        <v>1522090</v>
      </c>
      <c r="D22" s="489">
        <v>1361120</v>
      </c>
      <c r="E22" s="489">
        <v>6349010</v>
      </c>
      <c r="F22" s="489">
        <v>5637650</v>
      </c>
      <c r="G22" s="489">
        <v>1623250</v>
      </c>
      <c r="H22" s="489">
        <v>2313570</v>
      </c>
      <c r="I22" s="489">
        <v>3575040</v>
      </c>
      <c r="J22" s="489">
        <v>3621870</v>
      </c>
      <c r="K22" s="489">
        <v>3538560</v>
      </c>
      <c r="L22" s="489">
        <v>5233310</v>
      </c>
      <c r="M22" s="489">
        <v>2022030</v>
      </c>
      <c r="N22" s="489">
        <v>934720</v>
      </c>
      <c r="O22" s="489">
        <v>1746360</v>
      </c>
      <c r="P22" s="1494">
        <f t="shared" si="1"/>
        <v>25920290</v>
      </c>
      <c r="Q22" s="1439">
        <f t="shared" si="2"/>
        <v>35940020</v>
      </c>
      <c r="R22" s="1413">
        <v>3716170</v>
      </c>
      <c r="S22" s="1414">
        <v>955270</v>
      </c>
      <c r="T22" s="1414">
        <v>1954360</v>
      </c>
      <c r="U22" s="1414">
        <v>2387070</v>
      </c>
      <c r="V22" s="1414">
        <v>955310</v>
      </c>
      <c r="W22" s="1414">
        <v>407210</v>
      </c>
      <c r="X22" s="1414">
        <v>4109220</v>
      </c>
      <c r="Y22" s="1414">
        <v>1870990</v>
      </c>
      <c r="Z22" s="1414"/>
      <c r="AA22" s="1414"/>
      <c r="AB22" s="1414"/>
      <c r="AC22" s="1414"/>
      <c r="AD22" s="488">
        <f t="shared" si="3"/>
        <v>16355600</v>
      </c>
      <c r="AE22" s="565">
        <f t="shared" si="4"/>
        <v>-0.36900397333517487</v>
      </c>
      <c r="AF22" s="566">
        <f t="shared" si="0"/>
        <v>31</v>
      </c>
    </row>
    <row r="23" spans="1:32" x14ac:dyDescent="0.3">
      <c r="A23" s="10" t="s">
        <v>4</v>
      </c>
      <c r="B23" s="11" t="s">
        <v>26</v>
      </c>
      <c r="C23" s="485">
        <v>4137100</v>
      </c>
      <c r="D23" s="489">
        <v>1740080</v>
      </c>
      <c r="E23" s="489">
        <v>4289940</v>
      </c>
      <c r="F23" s="489">
        <v>1491560</v>
      </c>
      <c r="G23" s="489">
        <v>3559960</v>
      </c>
      <c r="H23" s="489">
        <v>3994720</v>
      </c>
      <c r="I23" s="489">
        <v>1425000</v>
      </c>
      <c r="J23" s="489">
        <v>1559210</v>
      </c>
      <c r="K23" s="489">
        <v>1559210</v>
      </c>
      <c r="L23" s="489">
        <v>2416320</v>
      </c>
      <c r="M23" s="489">
        <v>1029930</v>
      </c>
      <c r="N23" s="489">
        <v>4762040</v>
      </c>
      <c r="O23" s="489">
        <v>3689050</v>
      </c>
      <c r="P23" s="1494">
        <f t="shared" si="1"/>
        <v>22197570</v>
      </c>
      <c r="Q23" s="1439">
        <f t="shared" si="2"/>
        <v>34094910</v>
      </c>
      <c r="R23" s="1413">
        <v>3656070</v>
      </c>
      <c r="S23" s="1414">
        <v>28910</v>
      </c>
      <c r="T23" s="1414">
        <v>2346700</v>
      </c>
      <c r="U23" s="1414">
        <v>1836080</v>
      </c>
      <c r="V23" s="1414">
        <v>5629850</v>
      </c>
      <c r="W23" s="1414">
        <v>1416470</v>
      </c>
      <c r="X23" s="1414">
        <v>1394360</v>
      </c>
      <c r="Y23" s="1414">
        <v>2305630</v>
      </c>
      <c r="Z23" s="1414"/>
      <c r="AA23" s="1414"/>
      <c r="AB23" s="1414"/>
      <c r="AC23" s="1414"/>
      <c r="AD23" s="488">
        <f t="shared" si="3"/>
        <v>18614070</v>
      </c>
      <c r="AE23" s="565">
        <f t="shared" si="4"/>
        <v>-0.16143658968076235</v>
      </c>
      <c r="AF23" s="566">
        <f t="shared" si="0"/>
        <v>28</v>
      </c>
    </row>
    <row r="24" spans="1:32" x14ac:dyDescent="0.3">
      <c r="A24" s="10" t="s">
        <v>4</v>
      </c>
      <c r="B24" s="11" t="s">
        <v>27</v>
      </c>
      <c r="C24" s="485">
        <v>5855260</v>
      </c>
      <c r="D24" s="489">
        <v>2067000</v>
      </c>
      <c r="E24" s="489">
        <v>3249950</v>
      </c>
      <c r="F24" s="489">
        <v>1799350</v>
      </c>
      <c r="G24" s="489">
        <v>1536830</v>
      </c>
      <c r="H24" s="489">
        <v>1486470</v>
      </c>
      <c r="I24" s="489">
        <v>1740270</v>
      </c>
      <c r="J24" s="489">
        <v>1684350</v>
      </c>
      <c r="K24" s="489"/>
      <c r="L24" s="489">
        <v>3067020</v>
      </c>
      <c r="M24" s="489">
        <v>1676630</v>
      </c>
      <c r="N24" s="489">
        <v>3062820</v>
      </c>
      <c r="O24" s="489">
        <v>1914670</v>
      </c>
      <c r="P24" s="1494">
        <f t="shared" si="1"/>
        <v>17735130</v>
      </c>
      <c r="Q24" s="1439">
        <f t="shared" si="2"/>
        <v>29140620</v>
      </c>
      <c r="R24" s="1413">
        <v>2093100</v>
      </c>
      <c r="S24" s="1414">
        <v>3082150</v>
      </c>
      <c r="T24" s="1414">
        <v>4375960</v>
      </c>
      <c r="U24" s="1414"/>
      <c r="V24" s="1414"/>
      <c r="W24" s="1414"/>
      <c r="X24" s="1414"/>
      <c r="Y24" s="1414"/>
      <c r="Z24" s="1414"/>
      <c r="AA24" s="1414"/>
      <c r="AB24" s="1414"/>
      <c r="AC24" s="1414"/>
      <c r="AD24" s="488">
        <f t="shared" si="3"/>
        <v>9551210</v>
      </c>
      <c r="AE24" s="565">
        <f t="shared" si="4"/>
        <v>-0.46145249569639468</v>
      </c>
      <c r="AF24" s="566">
        <f t="shared" si="0"/>
        <v>52</v>
      </c>
    </row>
    <row r="25" spans="1:32" x14ac:dyDescent="0.3">
      <c r="A25" s="10" t="s">
        <v>4</v>
      </c>
      <c r="B25" s="11" t="s">
        <v>28</v>
      </c>
      <c r="C25" s="485">
        <v>5890010</v>
      </c>
      <c r="D25" s="489">
        <v>657210</v>
      </c>
      <c r="E25" s="489">
        <v>2343960</v>
      </c>
      <c r="F25" s="489">
        <v>2370700</v>
      </c>
      <c r="G25" s="489">
        <v>1879490</v>
      </c>
      <c r="H25" s="489">
        <v>2505020</v>
      </c>
      <c r="I25" s="489">
        <v>6270700</v>
      </c>
      <c r="J25" s="489">
        <v>1302820</v>
      </c>
      <c r="K25" s="489">
        <v>1150270</v>
      </c>
      <c r="L25" s="489">
        <v>6131210</v>
      </c>
      <c r="M25" s="489">
        <v>3594820</v>
      </c>
      <c r="N25" s="489">
        <v>1482480</v>
      </c>
      <c r="O25" s="489">
        <v>4985120</v>
      </c>
      <c r="P25" s="1494">
        <f t="shared" si="1"/>
        <v>23067360</v>
      </c>
      <c r="Q25" s="1439">
        <f t="shared" si="2"/>
        <v>39413540</v>
      </c>
      <c r="R25" s="1413">
        <v>6870820</v>
      </c>
      <c r="S25" s="1414">
        <v>1925980</v>
      </c>
      <c r="T25" s="1414">
        <v>1523310</v>
      </c>
      <c r="U25" s="1414">
        <v>7874930</v>
      </c>
      <c r="V25" s="1414">
        <v>4314850</v>
      </c>
      <c r="W25" s="1414">
        <v>8231950</v>
      </c>
      <c r="X25" s="1414">
        <v>22442580</v>
      </c>
      <c r="Y25" s="1414">
        <v>6682650</v>
      </c>
      <c r="Z25" s="1414"/>
      <c r="AA25" s="1414"/>
      <c r="AB25" s="1414"/>
      <c r="AC25" s="1414"/>
      <c r="AD25" s="488">
        <f t="shared" si="3"/>
        <v>59867070</v>
      </c>
      <c r="AE25" s="565">
        <f t="shared" si="4"/>
        <v>1.5953151986183074</v>
      </c>
      <c r="AF25" s="566">
        <f t="shared" si="0"/>
        <v>7</v>
      </c>
    </row>
    <row r="26" spans="1:32" x14ac:dyDescent="0.3">
      <c r="A26" s="10" t="s">
        <v>4</v>
      </c>
      <c r="B26" s="11" t="s">
        <v>29</v>
      </c>
      <c r="C26" s="485">
        <v>1831440</v>
      </c>
      <c r="D26" s="489">
        <v>811160</v>
      </c>
      <c r="E26" s="489">
        <v>4392520</v>
      </c>
      <c r="F26" s="489">
        <v>2197390</v>
      </c>
      <c r="G26" s="489">
        <v>3438870</v>
      </c>
      <c r="H26" s="489">
        <v>3905510</v>
      </c>
      <c r="I26" s="489">
        <v>2005150</v>
      </c>
      <c r="J26" s="489">
        <v>3112440</v>
      </c>
      <c r="K26" s="489">
        <v>3056800</v>
      </c>
      <c r="L26" s="489">
        <v>5346050</v>
      </c>
      <c r="M26" s="489">
        <v>2219340</v>
      </c>
      <c r="N26" s="489">
        <v>5782680</v>
      </c>
      <c r="O26" s="489">
        <v>4504960</v>
      </c>
      <c r="P26" s="1494">
        <f t="shared" si="1"/>
        <v>21638840</v>
      </c>
      <c r="Q26" s="1439">
        <f t="shared" si="2"/>
        <v>39547510</v>
      </c>
      <c r="R26" s="1413">
        <v>1533060</v>
      </c>
      <c r="S26" s="1414">
        <v>382260</v>
      </c>
      <c r="T26" s="1414">
        <v>4205340</v>
      </c>
      <c r="U26" s="1414">
        <v>9272090</v>
      </c>
      <c r="V26" s="1414">
        <v>5506550</v>
      </c>
      <c r="W26" s="1414">
        <v>7580700</v>
      </c>
      <c r="X26" s="1414">
        <v>2830800</v>
      </c>
      <c r="Y26" s="1414">
        <v>5793690</v>
      </c>
      <c r="Z26" s="1414"/>
      <c r="AA26" s="1414"/>
      <c r="AB26" s="1414"/>
      <c r="AC26" s="1414"/>
      <c r="AD26" s="488">
        <f t="shared" si="3"/>
        <v>37104490</v>
      </c>
      <c r="AE26" s="565">
        <f t="shared" si="4"/>
        <v>0.7147171474995887</v>
      </c>
      <c r="AF26" s="566">
        <f t="shared" si="0"/>
        <v>17</v>
      </c>
    </row>
    <row r="27" spans="1:32" x14ac:dyDescent="0.3">
      <c r="A27" s="10" t="s">
        <v>4</v>
      </c>
      <c r="B27" s="11" t="s">
        <v>600</v>
      </c>
      <c r="C27" s="485">
        <v>1754710</v>
      </c>
      <c r="D27" s="489">
        <v>2333940</v>
      </c>
      <c r="E27" s="489">
        <v>2271820</v>
      </c>
      <c r="F27" s="489">
        <v>1931040</v>
      </c>
      <c r="G27" s="489">
        <v>3745280</v>
      </c>
      <c r="H27" s="489">
        <v>784950</v>
      </c>
      <c r="I27" s="489">
        <v>3561430</v>
      </c>
      <c r="J27" s="489">
        <v>4260750</v>
      </c>
      <c r="K27" s="489">
        <v>3903880</v>
      </c>
      <c r="L27" s="489">
        <v>1550740</v>
      </c>
      <c r="M27" s="489">
        <v>3047530</v>
      </c>
      <c r="N27" s="489">
        <v>1567990</v>
      </c>
      <c r="O27" s="489">
        <v>3082830</v>
      </c>
      <c r="P27" s="1494">
        <f t="shared" si="1"/>
        <v>20287050</v>
      </c>
      <c r="Q27" s="1439">
        <f t="shared" si="2"/>
        <v>29893010</v>
      </c>
      <c r="R27" s="1413">
        <v>1274330</v>
      </c>
      <c r="S27" s="1414">
        <v>400060</v>
      </c>
      <c r="T27" s="1414">
        <v>2976870</v>
      </c>
      <c r="U27" s="1414">
        <v>1455950</v>
      </c>
      <c r="V27" s="1414">
        <v>3658230</v>
      </c>
      <c r="W27" s="1414">
        <v>3187370</v>
      </c>
      <c r="X27" s="1414">
        <v>6752790</v>
      </c>
      <c r="Y27" s="1414">
        <v>2567180</v>
      </c>
      <c r="Z27" s="1414"/>
      <c r="AA27" s="1414"/>
      <c r="AB27" s="1414"/>
      <c r="AC27" s="1414"/>
      <c r="AD27" s="488">
        <f t="shared" si="3"/>
        <v>22272780</v>
      </c>
      <c r="AE27" s="565">
        <f t="shared" si="4"/>
        <v>9.7881653567177096E-2</v>
      </c>
      <c r="AF27" s="566">
        <f t="shared" si="0"/>
        <v>26</v>
      </c>
    </row>
    <row r="28" spans="1:32" x14ac:dyDescent="0.3">
      <c r="A28" s="10" t="s">
        <v>4</v>
      </c>
      <c r="B28" s="11" t="s">
        <v>31</v>
      </c>
      <c r="C28" s="485"/>
      <c r="D28" s="489">
        <v>0</v>
      </c>
      <c r="E28" s="489">
        <v>0</v>
      </c>
      <c r="F28" s="489">
        <v>10350090</v>
      </c>
      <c r="G28" s="489">
        <v>1236980</v>
      </c>
      <c r="H28" s="489">
        <v>688380</v>
      </c>
      <c r="I28" s="489">
        <v>0</v>
      </c>
      <c r="J28" s="489">
        <v>0</v>
      </c>
      <c r="K28" s="489">
        <v>0</v>
      </c>
      <c r="L28" s="489">
        <v>0</v>
      </c>
      <c r="M28" s="489">
        <v>1190800</v>
      </c>
      <c r="N28" s="489">
        <v>12064400</v>
      </c>
      <c r="O28" s="489">
        <v>29310</v>
      </c>
      <c r="P28" s="1494">
        <f>SUM(C28:I28,K28)</f>
        <v>12275450</v>
      </c>
      <c r="Q28" s="1439">
        <f>SUM(C28:J28,L28:O28)</f>
        <v>25559960</v>
      </c>
      <c r="R28" s="1413" t="s">
        <v>251</v>
      </c>
      <c r="S28" s="1414" t="s">
        <v>251</v>
      </c>
      <c r="T28" s="1414" t="s">
        <v>251</v>
      </c>
      <c r="U28" s="1414">
        <v>21191310</v>
      </c>
      <c r="V28" s="1414">
        <v>3159080</v>
      </c>
      <c r="W28" s="1414">
        <v>60510</v>
      </c>
      <c r="X28" s="1414">
        <v>0</v>
      </c>
      <c r="Y28" s="1414">
        <v>0</v>
      </c>
      <c r="Z28" s="1414"/>
      <c r="AA28" s="1414"/>
      <c r="AB28" s="1414"/>
      <c r="AC28" s="1414"/>
      <c r="AD28" s="488">
        <f t="shared" si="3"/>
        <v>24410900</v>
      </c>
      <c r="AE28" s="565">
        <f t="shared" si="4"/>
        <v>0.9885951227857227</v>
      </c>
      <c r="AF28" s="566">
        <f t="shared" si="0"/>
        <v>22</v>
      </c>
    </row>
    <row r="29" spans="1:32" x14ac:dyDescent="0.3">
      <c r="A29" s="10" t="s">
        <v>4</v>
      </c>
      <c r="B29" s="11" t="s">
        <v>32</v>
      </c>
      <c r="C29" s="485">
        <v>1334950</v>
      </c>
      <c r="D29" s="489">
        <v>1267480</v>
      </c>
      <c r="E29" s="489">
        <v>6483880</v>
      </c>
      <c r="F29" s="489">
        <v>1486670</v>
      </c>
      <c r="G29" s="489">
        <v>1052670</v>
      </c>
      <c r="H29" s="489">
        <v>927190</v>
      </c>
      <c r="I29" s="489">
        <v>1201570</v>
      </c>
      <c r="J29" s="489">
        <v>1405760</v>
      </c>
      <c r="K29" s="489">
        <v>1054000</v>
      </c>
      <c r="L29" s="489">
        <v>1020860</v>
      </c>
      <c r="M29" s="489">
        <v>2885170</v>
      </c>
      <c r="N29" s="489">
        <v>2377070</v>
      </c>
      <c r="O29" s="489">
        <v>0</v>
      </c>
      <c r="P29" s="1494">
        <f t="shared" si="1"/>
        <v>14808410</v>
      </c>
      <c r="Q29" s="1439">
        <f t="shared" si="2"/>
        <v>21443270</v>
      </c>
      <c r="R29" s="1413" t="s">
        <v>251</v>
      </c>
      <c r="S29" s="1414" t="s">
        <v>251</v>
      </c>
      <c r="T29" s="1414" t="s">
        <v>251</v>
      </c>
      <c r="U29" s="1414">
        <v>318010</v>
      </c>
      <c r="V29" s="1414">
        <v>0</v>
      </c>
      <c r="W29" s="1414">
        <v>0</v>
      </c>
      <c r="X29" s="1414">
        <v>0</v>
      </c>
      <c r="Y29" s="1414">
        <v>0</v>
      </c>
      <c r="Z29" s="1414"/>
      <c r="AA29" s="1414"/>
      <c r="AB29" s="1414"/>
      <c r="AC29" s="1414"/>
      <c r="AD29" s="488">
        <f t="shared" si="3"/>
        <v>318010</v>
      </c>
      <c r="AE29" s="565">
        <f t="shared" si="4"/>
        <v>-0.9785250408382804</v>
      </c>
      <c r="AF29" s="566">
        <f t="shared" si="0"/>
        <v>193</v>
      </c>
    </row>
    <row r="30" spans="1:32" x14ac:dyDescent="0.3">
      <c r="A30" s="10" t="s">
        <v>4</v>
      </c>
      <c r="B30" s="11" t="s">
        <v>601</v>
      </c>
      <c r="C30" s="485">
        <v>1532540</v>
      </c>
      <c r="D30" s="489">
        <v>689700</v>
      </c>
      <c r="E30" s="489">
        <v>1938110</v>
      </c>
      <c r="F30" s="489">
        <v>2716170</v>
      </c>
      <c r="G30" s="489">
        <v>4397960</v>
      </c>
      <c r="H30" s="489">
        <v>2435910</v>
      </c>
      <c r="I30" s="489">
        <v>5346970</v>
      </c>
      <c r="J30" s="489">
        <v>1369310</v>
      </c>
      <c r="K30" s="489">
        <v>1232980</v>
      </c>
      <c r="L30" s="489">
        <v>146970</v>
      </c>
      <c r="M30" s="489">
        <v>1347630</v>
      </c>
      <c r="N30" s="489">
        <v>1459810</v>
      </c>
      <c r="O30" s="489">
        <v>7129350</v>
      </c>
      <c r="P30" s="1494">
        <f t="shared" si="1"/>
        <v>20290340</v>
      </c>
      <c r="Q30" s="1439">
        <f t="shared" si="2"/>
        <v>30510430</v>
      </c>
      <c r="R30" s="1413">
        <v>3884440</v>
      </c>
      <c r="S30" s="1414">
        <v>2125770</v>
      </c>
      <c r="T30" s="1414">
        <v>1622370</v>
      </c>
      <c r="U30" s="1414">
        <v>8702980</v>
      </c>
      <c r="V30" s="1414">
        <v>7947970</v>
      </c>
      <c r="W30" s="1414">
        <v>1615700</v>
      </c>
      <c r="X30" s="1414">
        <v>10647960</v>
      </c>
      <c r="Y30" s="1414">
        <v>2161980</v>
      </c>
      <c r="Z30" s="1414"/>
      <c r="AA30" s="1414"/>
      <c r="AB30" s="1414"/>
      <c r="AC30" s="1414"/>
      <c r="AD30" s="488">
        <f t="shared" si="3"/>
        <v>38709170</v>
      </c>
      <c r="AE30" s="565">
        <f t="shared" si="4"/>
        <v>0.90776349730955719</v>
      </c>
      <c r="AF30" s="566">
        <f t="shared" si="0"/>
        <v>15</v>
      </c>
    </row>
    <row r="31" spans="1:32" x14ac:dyDescent="0.3">
      <c r="A31" s="10" t="s">
        <v>4</v>
      </c>
      <c r="B31" s="11" t="s">
        <v>34</v>
      </c>
      <c r="C31" s="485">
        <v>3052390</v>
      </c>
      <c r="D31" s="489">
        <v>907840</v>
      </c>
      <c r="E31" s="489">
        <v>515360</v>
      </c>
      <c r="F31" s="489">
        <v>3394300</v>
      </c>
      <c r="G31" s="489">
        <v>2498380</v>
      </c>
      <c r="H31" s="489">
        <v>2033910</v>
      </c>
      <c r="I31" s="489">
        <v>2796360</v>
      </c>
      <c r="J31" s="489">
        <v>1198390</v>
      </c>
      <c r="K31" s="489"/>
      <c r="L31" s="489">
        <v>752460</v>
      </c>
      <c r="M31" s="489">
        <v>1696360</v>
      </c>
      <c r="N31" s="489">
        <v>2066790</v>
      </c>
      <c r="O31" s="489">
        <v>2675960</v>
      </c>
      <c r="P31" s="1494">
        <f t="shared" si="1"/>
        <v>15198540</v>
      </c>
      <c r="Q31" s="1439">
        <f t="shared" si="2"/>
        <v>23588500</v>
      </c>
      <c r="R31" s="1413">
        <v>1423890</v>
      </c>
      <c r="S31" s="1414">
        <v>29400</v>
      </c>
      <c r="T31" s="1414" t="s">
        <v>251</v>
      </c>
      <c r="U31" s="1414"/>
      <c r="V31" s="1414"/>
      <c r="W31" s="1414"/>
      <c r="X31" s="1414"/>
      <c r="Y31" s="1414"/>
      <c r="Z31" s="1414"/>
      <c r="AA31" s="1414"/>
      <c r="AB31" s="1414"/>
      <c r="AC31" s="1414"/>
      <c r="AD31" s="488">
        <f t="shared" si="3"/>
        <v>1453290</v>
      </c>
      <c r="AE31" s="565">
        <f t="shared" si="4"/>
        <v>-0.90437963120141807</v>
      </c>
      <c r="AF31" s="566">
        <f t="shared" si="0"/>
        <v>134</v>
      </c>
    </row>
    <row r="32" spans="1:32" x14ac:dyDescent="0.3">
      <c r="A32" s="10" t="s">
        <v>4</v>
      </c>
      <c r="B32" s="11" t="s">
        <v>35</v>
      </c>
      <c r="C32" s="485">
        <v>5317820</v>
      </c>
      <c r="D32" s="489">
        <v>871750</v>
      </c>
      <c r="E32" s="489">
        <v>2832260</v>
      </c>
      <c r="F32" s="489">
        <v>975720</v>
      </c>
      <c r="G32" s="489">
        <v>0</v>
      </c>
      <c r="H32" s="489">
        <v>0</v>
      </c>
      <c r="I32" s="489">
        <v>825200</v>
      </c>
      <c r="J32" s="489">
        <v>2527740</v>
      </c>
      <c r="K32" s="489">
        <v>2198650</v>
      </c>
      <c r="L32" s="489">
        <v>875300</v>
      </c>
      <c r="M32" s="489">
        <v>447260</v>
      </c>
      <c r="N32" s="489">
        <v>0</v>
      </c>
      <c r="O32" s="489">
        <v>1443930</v>
      </c>
      <c r="P32" s="1494">
        <f t="shared" si="1"/>
        <v>13021400</v>
      </c>
      <c r="Q32" s="1439">
        <f t="shared" si="2"/>
        <v>16116980</v>
      </c>
      <c r="R32" s="1413" t="s">
        <v>251</v>
      </c>
      <c r="S32" s="1414">
        <v>540750</v>
      </c>
      <c r="T32" s="1414">
        <v>359770</v>
      </c>
      <c r="U32" s="1414">
        <v>0</v>
      </c>
      <c r="V32" s="1414">
        <v>1654460</v>
      </c>
      <c r="W32" s="1414">
        <v>0</v>
      </c>
      <c r="X32" s="1414">
        <v>0</v>
      </c>
      <c r="Y32" s="1414">
        <v>421760</v>
      </c>
      <c r="Z32" s="1414"/>
      <c r="AA32" s="1414"/>
      <c r="AB32" s="1414"/>
      <c r="AC32" s="1414"/>
      <c r="AD32" s="488">
        <f t="shared" si="3"/>
        <v>2976740</v>
      </c>
      <c r="AE32" s="565">
        <f t="shared" si="4"/>
        <v>-0.77139631683229148</v>
      </c>
      <c r="AF32" s="566">
        <f t="shared" si="0"/>
        <v>111</v>
      </c>
    </row>
    <row r="33" spans="1:32" x14ac:dyDescent="0.3">
      <c r="A33" s="10" t="s">
        <v>4</v>
      </c>
      <c r="B33" s="11" t="s">
        <v>602</v>
      </c>
      <c r="C33" s="485">
        <v>1514850</v>
      </c>
      <c r="D33" s="489">
        <v>504280</v>
      </c>
      <c r="E33" s="489">
        <v>1957030</v>
      </c>
      <c r="F33" s="489">
        <v>5051680</v>
      </c>
      <c r="G33" s="489">
        <v>970600</v>
      </c>
      <c r="H33" s="489">
        <v>1873610</v>
      </c>
      <c r="I33" s="489">
        <v>1108390</v>
      </c>
      <c r="J33" s="489">
        <v>679750</v>
      </c>
      <c r="K33" s="489">
        <v>679750</v>
      </c>
      <c r="L33" s="489">
        <v>1811540</v>
      </c>
      <c r="M33" s="489">
        <v>390230</v>
      </c>
      <c r="N33" s="489">
        <v>1795630</v>
      </c>
      <c r="O33" s="489">
        <v>4695430</v>
      </c>
      <c r="P33" s="1494">
        <f t="shared" si="1"/>
        <v>13660190</v>
      </c>
      <c r="Q33" s="1439">
        <f t="shared" si="2"/>
        <v>22353020</v>
      </c>
      <c r="R33" s="1413">
        <v>2886970</v>
      </c>
      <c r="S33" s="1414">
        <v>223580</v>
      </c>
      <c r="T33" s="1414">
        <v>2358110</v>
      </c>
      <c r="U33" s="1414">
        <v>1571060</v>
      </c>
      <c r="V33" s="1414">
        <v>2940200</v>
      </c>
      <c r="W33" s="1414">
        <v>4853610</v>
      </c>
      <c r="X33" s="1414">
        <v>3567220</v>
      </c>
      <c r="Y33" s="1414">
        <v>1219630</v>
      </c>
      <c r="Z33" s="1414"/>
      <c r="AA33" s="1414"/>
      <c r="AB33" s="1414"/>
      <c r="AC33" s="1414"/>
      <c r="AD33" s="488">
        <f t="shared" si="3"/>
        <v>19620380</v>
      </c>
      <c r="AE33" s="565">
        <f t="shared" si="4"/>
        <v>0.43631823569071881</v>
      </c>
      <c r="AF33" s="566">
        <f t="shared" si="0"/>
        <v>27</v>
      </c>
    </row>
    <row r="34" spans="1:32" x14ac:dyDescent="0.3">
      <c r="A34" s="10" t="s">
        <v>4</v>
      </c>
      <c r="B34" s="11" t="s">
        <v>37</v>
      </c>
      <c r="C34" s="485">
        <v>3558480</v>
      </c>
      <c r="D34" s="489">
        <v>233170</v>
      </c>
      <c r="E34" s="489">
        <v>1682860</v>
      </c>
      <c r="F34" s="489">
        <v>3421710</v>
      </c>
      <c r="G34" s="489">
        <v>587880</v>
      </c>
      <c r="H34" s="489">
        <v>1063320</v>
      </c>
      <c r="I34" s="489">
        <v>7106780</v>
      </c>
      <c r="J34" s="489">
        <v>4345750</v>
      </c>
      <c r="K34" s="489">
        <v>4008000</v>
      </c>
      <c r="L34" s="489">
        <v>1600570</v>
      </c>
      <c r="M34" s="489">
        <v>2111720</v>
      </c>
      <c r="N34" s="489">
        <v>6273400</v>
      </c>
      <c r="O34" s="489">
        <v>3466680</v>
      </c>
      <c r="P34" s="1494">
        <f t="shared" si="1"/>
        <v>21662200</v>
      </c>
      <c r="Q34" s="1439">
        <f t="shared" si="2"/>
        <v>35452320</v>
      </c>
      <c r="R34" s="1413">
        <v>1677300</v>
      </c>
      <c r="S34" s="1414">
        <v>94810</v>
      </c>
      <c r="T34" s="1414">
        <v>371400</v>
      </c>
      <c r="U34" s="1414">
        <v>0</v>
      </c>
      <c r="V34" s="1414">
        <v>2238810</v>
      </c>
      <c r="W34" s="1414">
        <v>620760</v>
      </c>
      <c r="X34" s="1414">
        <v>618990</v>
      </c>
      <c r="Y34" s="1414">
        <v>2194990</v>
      </c>
      <c r="Z34" s="1414"/>
      <c r="AA34" s="1414"/>
      <c r="AB34" s="1414"/>
      <c r="AC34" s="1414"/>
      <c r="AD34" s="488">
        <f t="shared" si="3"/>
        <v>7817060</v>
      </c>
      <c r="AE34" s="565">
        <f t="shared" si="4"/>
        <v>-0.63913822234122109</v>
      </c>
      <c r="AF34" s="566">
        <f t="shared" si="0"/>
        <v>65</v>
      </c>
    </row>
    <row r="35" spans="1:32" x14ac:dyDescent="0.3">
      <c r="A35" s="10" t="s">
        <v>4</v>
      </c>
      <c r="B35" s="11" t="s">
        <v>38</v>
      </c>
      <c r="C35" s="485">
        <v>5118130</v>
      </c>
      <c r="D35" s="489">
        <v>1415090</v>
      </c>
      <c r="E35" s="489">
        <v>2090870</v>
      </c>
      <c r="F35" s="489">
        <v>0</v>
      </c>
      <c r="G35" s="489">
        <v>0</v>
      </c>
      <c r="H35" s="489">
        <v>0</v>
      </c>
      <c r="I35" s="489">
        <v>0</v>
      </c>
      <c r="J35" s="489">
        <v>0</v>
      </c>
      <c r="K35" s="489">
        <v>0</v>
      </c>
      <c r="L35" s="489">
        <v>0</v>
      </c>
      <c r="M35" s="489">
        <v>0</v>
      </c>
      <c r="N35" s="489">
        <v>0</v>
      </c>
      <c r="O35" s="489">
        <v>0</v>
      </c>
      <c r="P35" s="1494">
        <f t="shared" si="1"/>
        <v>8624090</v>
      </c>
      <c r="Q35" s="1439">
        <f t="shared" si="2"/>
        <v>8624090</v>
      </c>
      <c r="R35" s="1413" t="s">
        <v>251</v>
      </c>
      <c r="S35" s="1414" t="s">
        <v>251</v>
      </c>
      <c r="T35" s="1414" t="s">
        <v>251</v>
      </c>
      <c r="U35" s="1414"/>
      <c r="V35" s="1414"/>
      <c r="W35" s="1414"/>
      <c r="X35" s="1414"/>
      <c r="Y35" s="1414"/>
      <c r="Z35" s="1414"/>
      <c r="AA35" s="1414"/>
      <c r="AB35" s="1414"/>
      <c r="AC35" s="1414"/>
      <c r="AD35" s="488">
        <f t="shared" si="3"/>
        <v>0</v>
      </c>
      <c r="AE35" s="565">
        <f t="shared" si="4"/>
        <v>-1</v>
      </c>
      <c r="AF35" s="566">
        <f t="shared" si="0"/>
        <v>240</v>
      </c>
    </row>
    <row r="36" spans="1:32" x14ac:dyDescent="0.3">
      <c r="A36" s="10" t="s">
        <v>4</v>
      </c>
      <c r="B36" s="11" t="s">
        <v>39</v>
      </c>
      <c r="C36" s="485">
        <v>1326190</v>
      </c>
      <c r="D36" s="489">
        <v>814300</v>
      </c>
      <c r="E36" s="489">
        <v>1357600</v>
      </c>
      <c r="F36" s="489">
        <v>3236320</v>
      </c>
      <c r="G36" s="489">
        <v>1778170</v>
      </c>
      <c r="H36" s="489">
        <v>1025840</v>
      </c>
      <c r="I36" s="489">
        <v>4370230</v>
      </c>
      <c r="J36" s="489">
        <v>1859410</v>
      </c>
      <c r="K36" s="489">
        <v>1831500</v>
      </c>
      <c r="L36" s="489">
        <v>1873910</v>
      </c>
      <c r="M36" s="489">
        <v>1481810</v>
      </c>
      <c r="N36" s="489">
        <v>0</v>
      </c>
      <c r="O36" s="489">
        <v>1960060</v>
      </c>
      <c r="P36" s="1494">
        <f t="shared" si="1"/>
        <v>15740150</v>
      </c>
      <c r="Q36" s="1439">
        <f t="shared" si="2"/>
        <v>21083840</v>
      </c>
      <c r="R36" s="1413">
        <v>4812360</v>
      </c>
      <c r="S36" s="1414">
        <v>364250</v>
      </c>
      <c r="T36" s="1414">
        <v>1372770</v>
      </c>
      <c r="U36" s="1414">
        <v>1624300</v>
      </c>
      <c r="V36" s="1414">
        <v>867080</v>
      </c>
      <c r="W36" s="1414">
        <v>322220</v>
      </c>
      <c r="X36" s="1414">
        <v>326270</v>
      </c>
      <c r="Y36" s="1414">
        <v>59840</v>
      </c>
      <c r="Z36" s="1414"/>
      <c r="AA36" s="1414"/>
      <c r="AB36" s="1414"/>
      <c r="AC36" s="1414"/>
      <c r="AD36" s="488">
        <f t="shared" si="3"/>
        <v>9749090</v>
      </c>
      <c r="AE36" s="565">
        <f t="shared" si="4"/>
        <v>-0.38062280219692951</v>
      </c>
      <c r="AF36" s="566">
        <f t="shared" si="0"/>
        <v>50</v>
      </c>
    </row>
    <row r="37" spans="1:32" x14ac:dyDescent="0.3">
      <c r="A37" s="10" t="s">
        <v>4</v>
      </c>
      <c r="B37" s="11" t="s">
        <v>40</v>
      </c>
      <c r="C37" s="485">
        <v>113360</v>
      </c>
      <c r="D37" s="489">
        <v>398980</v>
      </c>
      <c r="E37" s="489">
        <v>3371690</v>
      </c>
      <c r="F37" s="489">
        <v>4357940</v>
      </c>
      <c r="G37" s="489">
        <v>33080</v>
      </c>
      <c r="H37" s="489">
        <v>0</v>
      </c>
      <c r="I37" s="489">
        <v>1584140</v>
      </c>
      <c r="J37" s="489">
        <v>0</v>
      </c>
      <c r="K37" s="489">
        <v>0</v>
      </c>
      <c r="L37" s="489">
        <v>0</v>
      </c>
      <c r="M37" s="489">
        <v>93680</v>
      </c>
      <c r="N37" s="489">
        <v>77820</v>
      </c>
      <c r="O37" s="489">
        <v>0</v>
      </c>
      <c r="P37" s="1494">
        <f t="shared" si="1"/>
        <v>9859190</v>
      </c>
      <c r="Q37" s="1439">
        <f t="shared" si="2"/>
        <v>10030690</v>
      </c>
      <c r="R37" s="1413">
        <v>1339230</v>
      </c>
      <c r="S37" s="1414">
        <v>691050</v>
      </c>
      <c r="T37" s="1414">
        <v>1199680</v>
      </c>
      <c r="U37" s="1414">
        <v>2024780</v>
      </c>
      <c r="V37" s="1414">
        <v>633050</v>
      </c>
      <c r="W37" s="1414">
        <v>0</v>
      </c>
      <c r="X37" s="1414">
        <v>0</v>
      </c>
      <c r="Y37" s="1414">
        <v>0</v>
      </c>
      <c r="Z37" s="1414"/>
      <c r="AA37" s="1414"/>
      <c r="AB37" s="1414"/>
      <c r="AC37" s="1414"/>
      <c r="AD37" s="488">
        <f t="shared" si="3"/>
        <v>5887790</v>
      </c>
      <c r="AE37" s="565">
        <f t="shared" si="4"/>
        <v>-0.40281199571161524</v>
      </c>
      <c r="AF37" s="566">
        <f t="shared" si="0"/>
        <v>73</v>
      </c>
    </row>
    <row r="38" spans="1:32" ht="15.75" customHeight="1" x14ac:dyDescent="0.3">
      <c r="A38" s="10" t="s">
        <v>4</v>
      </c>
      <c r="B38" s="11" t="s">
        <v>41</v>
      </c>
      <c r="C38" s="485">
        <v>3216590</v>
      </c>
      <c r="D38" s="489">
        <v>248030</v>
      </c>
      <c r="E38" s="489">
        <v>1732910</v>
      </c>
      <c r="F38" s="489">
        <v>1710640</v>
      </c>
      <c r="G38" s="489">
        <v>1322530</v>
      </c>
      <c r="H38" s="489">
        <v>1026520</v>
      </c>
      <c r="I38" s="489">
        <v>3229670</v>
      </c>
      <c r="J38" s="489">
        <v>765060</v>
      </c>
      <c r="K38" s="489">
        <v>765060</v>
      </c>
      <c r="L38" s="489">
        <v>254870</v>
      </c>
      <c r="M38" s="489">
        <v>255140</v>
      </c>
      <c r="N38" s="489">
        <v>1464270</v>
      </c>
      <c r="O38" s="489">
        <v>5638360</v>
      </c>
      <c r="P38" s="1494">
        <f t="shared" si="1"/>
        <v>13251950</v>
      </c>
      <c r="Q38" s="1439">
        <f t="shared" si="2"/>
        <v>20864590</v>
      </c>
      <c r="R38" s="1413">
        <v>1759910</v>
      </c>
      <c r="S38" s="1414">
        <v>262440</v>
      </c>
      <c r="T38" s="1414">
        <v>1396410</v>
      </c>
      <c r="U38" s="1414">
        <v>1521440</v>
      </c>
      <c r="V38" s="1414">
        <v>4172460</v>
      </c>
      <c r="W38" s="1414">
        <v>1242040</v>
      </c>
      <c r="X38" s="1414">
        <v>395700</v>
      </c>
      <c r="Y38" s="1414">
        <v>0</v>
      </c>
      <c r="Z38" s="1414"/>
      <c r="AA38" s="1414"/>
      <c r="AB38" s="1414"/>
      <c r="AC38" s="1414"/>
      <c r="AD38" s="488">
        <f t="shared" si="3"/>
        <v>10750400</v>
      </c>
      <c r="AE38" s="565">
        <f t="shared" si="4"/>
        <v>-0.18876844539860171</v>
      </c>
      <c r="AF38" s="566">
        <f t="shared" si="0"/>
        <v>47</v>
      </c>
    </row>
    <row r="39" spans="1:32" x14ac:dyDescent="0.3">
      <c r="A39" s="10" t="s">
        <v>4</v>
      </c>
      <c r="B39" s="11" t="s">
        <v>42</v>
      </c>
      <c r="C39" s="485">
        <v>2067160</v>
      </c>
      <c r="D39" s="489">
        <v>3783100</v>
      </c>
      <c r="E39" s="489">
        <v>1298680</v>
      </c>
      <c r="F39" s="489">
        <v>674160</v>
      </c>
      <c r="G39" s="489">
        <v>402050</v>
      </c>
      <c r="H39" s="489">
        <v>1429440</v>
      </c>
      <c r="I39" s="489">
        <v>2434870</v>
      </c>
      <c r="J39" s="489">
        <v>1140960</v>
      </c>
      <c r="K39" s="489">
        <v>1140960</v>
      </c>
      <c r="L39" s="489">
        <v>178260</v>
      </c>
      <c r="M39" s="489">
        <v>466110</v>
      </c>
      <c r="N39" s="489">
        <v>803540</v>
      </c>
      <c r="O39" s="489">
        <v>0</v>
      </c>
      <c r="P39" s="1494">
        <f t="shared" si="1"/>
        <v>13230420</v>
      </c>
      <c r="Q39" s="1439">
        <f t="shared" si="2"/>
        <v>14678330</v>
      </c>
      <c r="R39" s="1413">
        <v>607090</v>
      </c>
      <c r="S39" s="1414" t="s">
        <v>251</v>
      </c>
      <c r="T39" s="1414">
        <v>337610</v>
      </c>
      <c r="U39" s="1414">
        <v>0</v>
      </c>
      <c r="V39" s="1414">
        <v>0</v>
      </c>
      <c r="W39" s="1414">
        <v>2054080</v>
      </c>
      <c r="X39" s="1414">
        <v>42270</v>
      </c>
      <c r="Y39" s="1414">
        <v>733530</v>
      </c>
      <c r="Z39" s="1414"/>
      <c r="AA39" s="1414"/>
      <c r="AB39" s="1414"/>
      <c r="AC39" s="1414"/>
      <c r="AD39" s="488">
        <f t="shared" si="3"/>
        <v>3774580</v>
      </c>
      <c r="AE39" s="565">
        <f t="shared" si="4"/>
        <v>-0.71470444626852359</v>
      </c>
      <c r="AF39" s="566">
        <f t="shared" si="0"/>
        <v>96</v>
      </c>
    </row>
    <row r="40" spans="1:32" x14ac:dyDescent="0.3">
      <c r="A40" s="10" t="s">
        <v>4</v>
      </c>
      <c r="B40" s="11" t="s">
        <v>43</v>
      </c>
      <c r="C40" s="485">
        <v>918280</v>
      </c>
      <c r="D40" s="489">
        <v>0</v>
      </c>
      <c r="E40" s="489">
        <v>1960300</v>
      </c>
      <c r="F40" s="489">
        <v>2486510</v>
      </c>
      <c r="G40" s="489">
        <v>2863860</v>
      </c>
      <c r="H40" s="489">
        <v>54360</v>
      </c>
      <c r="I40" s="489">
        <v>2996210</v>
      </c>
      <c r="J40" s="489">
        <v>595710</v>
      </c>
      <c r="K40" s="489">
        <v>595710</v>
      </c>
      <c r="L40" s="489">
        <v>1074120</v>
      </c>
      <c r="M40" s="489">
        <v>571620</v>
      </c>
      <c r="N40" s="489">
        <v>61550</v>
      </c>
      <c r="O40" s="489">
        <v>4477380</v>
      </c>
      <c r="P40" s="1494">
        <f t="shared" si="1"/>
        <v>11875230</v>
      </c>
      <c r="Q40" s="1439">
        <f t="shared" si="2"/>
        <v>18059900</v>
      </c>
      <c r="R40" s="1413" t="s">
        <v>251</v>
      </c>
      <c r="S40" s="1414">
        <v>2217220</v>
      </c>
      <c r="T40" s="1414">
        <v>2078600</v>
      </c>
      <c r="U40" s="1414">
        <v>1888230</v>
      </c>
      <c r="V40" s="1414">
        <v>807050</v>
      </c>
      <c r="W40" s="1414">
        <v>484080</v>
      </c>
      <c r="X40" s="1414">
        <v>111250</v>
      </c>
      <c r="Y40" s="1414">
        <v>1111020</v>
      </c>
      <c r="Z40" s="1414"/>
      <c r="AA40" s="1414"/>
      <c r="AB40" s="1414"/>
      <c r="AC40" s="1414"/>
      <c r="AD40" s="488">
        <f t="shared" si="3"/>
        <v>8697450</v>
      </c>
      <c r="AE40" s="565">
        <f t="shared" si="4"/>
        <v>-0.26759734337777036</v>
      </c>
      <c r="AF40" s="566">
        <f t="shared" si="0"/>
        <v>59</v>
      </c>
    </row>
    <row r="41" spans="1:32" x14ac:dyDescent="0.3">
      <c r="A41" s="10" t="s">
        <v>4</v>
      </c>
      <c r="B41" s="11" t="s">
        <v>603</v>
      </c>
      <c r="C41" s="485">
        <v>1802740</v>
      </c>
      <c r="D41" s="489">
        <v>838510</v>
      </c>
      <c r="E41" s="489">
        <v>732080</v>
      </c>
      <c r="F41" s="489">
        <v>2047180</v>
      </c>
      <c r="G41" s="489">
        <v>2610260</v>
      </c>
      <c r="H41" s="489">
        <v>3022010</v>
      </c>
      <c r="I41" s="489">
        <v>2273820</v>
      </c>
      <c r="J41" s="489">
        <v>1566120</v>
      </c>
      <c r="K41" s="489">
        <v>1538350</v>
      </c>
      <c r="L41" s="489">
        <v>421520</v>
      </c>
      <c r="M41" s="489">
        <v>1307550</v>
      </c>
      <c r="N41" s="489">
        <v>1095820</v>
      </c>
      <c r="O41" s="489">
        <v>1745430</v>
      </c>
      <c r="P41" s="1494">
        <f t="shared" si="1"/>
        <v>14864950</v>
      </c>
      <c r="Q41" s="1439">
        <f t="shared" si="2"/>
        <v>19463040</v>
      </c>
      <c r="R41" s="1413">
        <v>765340</v>
      </c>
      <c r="S41" s="1414">
        <v>940200</v>
      </c>
      <c r="T41" s="1414">
        <v>1028080</v>
      </c>
      <c r="U41" s="1414">
        <v>2159450</v>
      </c>
      <c r="V41" s="1414">
        <v>2303100</v>
      </c>
      <c r="W41" s="1414">
        <v>1160480</v>
      </c>
      <c r="X41" s="1414">
        <v>517910</v>
      </c>
      <c r="Y41" s="1414">
        <v>1681290</v>
      </c>
      <c r="Z41" s="1414"/>
      <c r="AA41" s="1414"/>
      <c r="AB41" s="1414"/>
      <c r="AC41" s="1414"/>
      <c r="AD41" s="488">
        <f t="shared" si="3"/>
        <v>10555850</v>
      </c>
      <c r="AE41" s="565">
        <f t="shared" si="4"/>
        <v>-0.28988324885048383</v>
      </c>
      <c r="AF41" s="566">
        <f t="shared" si="0"/>
        <v>48</v>
      </c>
    </row>
    <row r="42" spans="1:32" x14ac:dyDescent="0.3">
      <c r="A42" s="10" t="s">
        <v>4</v>
      </c>
      <c r="B42" s="11" t="s">
        <v>45</v>
      </c>
      <c r="C42" s="485">
        <v>68730</v>
      </c>
      <c r="D42" s="489">
        <v>0</v>
      </c>
      <c r="E42" s="489">
        <v>528600</v>
      </c>
      <c r="F42" s="489">
        <v>7236390</v>
      </c>
      <c r="G42" s="489">
        <v>47340</v>
      </c>
      <c r="H42" s="489">
        <v>260200</v>
      </c>
      <c r="I42" s="489">
        <v>0</v>
      </c>
      <c r="J42" s="489">
        <v>0</v>
      </c>
      <c r="K42" s="489">
        <v>0</v>
      </c>
      <c r="L42" s="489">
        <v>0</v>
      </c>
      <c r="M42" s="489">
        <v>0</v>
      </c>
      <c r="N42" s="489">
        <v>0</v>
      </c>
      <c r="O42" s="489">
        <v>29440</v>
      </c>
      <c r="P42" s="1494">
        <f t="shared" si="1"/>
        <v>8141260</v>
      </c>
      <c r="Q42" s="1439">
        <f t="shared" si="2"/>
        <v>8170700</v>
      </c>
      <c r="R42" s="1413" t="s">
        <v>251</v>
      </c>
      <c r="S42" s="1414" t="s">
        <v>251</v>
      </c>
      <c r="T42" s="1414" t="s">
        <v>251</v>
      </c>
      <c r="U42" s="1414"/>
      <c r="V42" s="1414">
        <v>407220</v>
      </c>
      <c r="W42" s="1414">
        <v>169660</v>
      </c>
      <c r="X42" s="1414">
        <v>0</v>
      </c>
      <c r="Y42" s="1414">
        <v>0</v>
      </c>
      <c r="Z42" s="1414"/>
      <c r="AA42" s="1414"/>
      <c r="AB42" s="1414"/>
      <c r="AC42" s="1414"/>
      <c r="AD42" s="488">
        <f t="shared" si="3"/>
        <v>576880</v>
      </c>
      <c r="AE42" s="565">
        <f t="shared" si="4"/>
        <v>-0.9291411894473337</v>
      </c>
      <c r="AF42" s="566">
        <f t="shared" si="0"/>
        <v>169</v>
      </c>
    </row>
    <row r="43" spans="1:32" x14ac:dyDescent="0.3">
      <c r="A43" s="10" t="s">
        <v>4</v>
      </c>
      <c r="B43" s="11" t="s">
        <v>46</v>
      </c>
      <c r="C43" s="485">
        <v>927820</v>
      </c>
      <c r="D43" s="489">
        <v>786360</v>
      </c>
      <c r="E43" s="489">
        <v>2948370</v>
      </c>
      <c r="F43" s="489">
        <v>1486310</v>
      </c>
      <c r="G43" s="489">
        <v>1601320</v>
      </c>
      <c r="H43" s="489">
        <v>1141630</v>
      </c>
      <c r="I43" s="489">
        <v>1144460</v>
      </c>
      <c r="J43" s="489">
        <v>413380</v>
      </c>
      <c r="K43" s="489">
        <v>413380</v>
      </c>
      <c r="L43" s="489">
        <v>0</v>
      </c>
      <c r="M43" s="489">
        <v>0</v>
      </c>
      <c r="N43" s="489">
        <v>403330</v>
      </c>
      <c r="O43" s="489">
        <v>0</v>
      </c>
      <c r="P43" s="1494">
        <f t="shared" si="1"/>
        <v>10449650</v>
      </c>
      <c r="Q43" s="1439">
        <f t="shared" si="2"/>
        <v>10852980</v>
      </c>
      <c r="R43" s="1413" t="s">
        <v>251</v>
      </c>
      <c r="S43" s="1414" t="s">
        <v>251</v>
      </c>
      <c r="T43" s="1414" t="s">
        <v>251</v>
      </c>
      <c r="U43" s="1414"/>
      <c r="V43" s="1414"/>
      <c r="W43" s="1414"/>
      <c r="X43" s="1414"/>
      <c r="Y43" s="1414"/>
      <c r="Z43" s="1414"/>
      <c r="AA43" s="1414"/>
      <c r="AB43" s="1414"/>
      <c r="AC43" s="1414"/>
      <c r="AD43" s="488">
        <f t="shared" si="3"/>
        <v>0</v>
      </c>
      <c r="AE43" s="565">
        <f t="shared" si="4"/>
        <v>-1</v>
      </c>
      <c r="AF43" s="566">
        <f t="shared" si="0"/>
        <v>240</v>
      </c>
    </row>
    <row r="44" spans="1:32" x14ac:dyDescent="0.3">
      <c r="A44" s="10" t="s">
        <v>4</v>
      </c>
      <c r="B44" s="11" t="s">
        <v>47</v>
      </c>
      <c r="C44" s="485">
        <v>2130050</v>
      </c>
      <c r="D44" s="489">
        <v>1348150</v>
      </c>
      <c r="E44" s="489">
        <v>1870180</v>
      </c>
      <c r="F44" s="489">
        <v>870050</v>
      </c>
      <c r="G44" s="489">
        <v>1198750</v>
      </c>
      <c r="H44" s="489">
        <v>106140</v>
      </c>
      <c r="I44" s="489">
        <v>0</v>
      </c>
      <c r="J44" s="489">
        <v>0</v>
      </c>
      <c r="K44" s="489">
        <v>0</v>
      </c>
      <c r="L44" s="489">
        <v>100540</v>
      </c>
      <c r="M44" s="489">
        <v>239350</v>
      </c>
      <c r="N44" s="489">
        <v>0</v>
      </c>
      <c r="O44" s="489">
        <v>28840</v>
      </c>
      <c r="P44" s="1494">
        <f t="shared" si="1"/>
        <v>7523320</v>
      </c>
      <c r="Q44" s="1439">
        <f t="shared" si="2"/>
        <v>7892050</v>
      </c>
      <c r="R44" s="1413" t="s">
        <v>251</v>
      </c>
      <c r="S44" s="1414" t="s">
        <v>251</v>
      </c>
      <c r="T44" s="1414">
        <v>276480</v>
      </c>
      <c r="U44" s="1414">
        <v>69620</v>
      </c>
      <c r="V44" s="1414">
        <v>68990</v>
      </c>
      <c r="W44" s="1414">
        <v>0</v>
      </c>
      <c r="X44" s="1414">
        <v>1221700</v>
      </c>
      <c r="Y44" s="1414">
        <v>0</v>
      </c>
      <c r="Z44" s="1414"/>
      <c r="AA44" s="1414"/>
      <c r="AB44" s="1414"/>
      <c r="AC44" s="1414"/>
      <c r="AD44" s="488">
        <f t="shared" si="3"/>
        <v>1636790</v>
      </c>
      <c r="AE44" s="565">
        <f t="shared" si="4"/>
        <v>-0.78243780671299368</v>
      </c>
      <c r="AF44" s="566">
        <f t="shared" si="0"/>
        <v>128</v>
      </c>
    </row>
    <row r="45" spans="1:32" x14ac:dyDescent="0.3">
      <c r="A45" s="10" t="s">
        <v>4</v>
      </c>
      <c r="B45" s="11" t="s">
        <v>48</v>
      </c>
      <c r="C45" s="485">
        <v>2014150</v>
      </c>
      <c r="D45" s="489">
        <v>0</v>
      </c>
      <c r="E45" s="489">
        <v>2027210</v>
      </c>
      <c r="F45" s="489">
        <v>1841050</v>
      </c>
      <c r="G45" s="489">
        <v>1117970</v>
      </c>
      <c r="H45" s="489">
        <v>494250</v>
      </c>
      <c r="I45" s="489">
        <v>0</v>
      </c>
      <c r="J45" s="489">
        <v>0</v>
      </c>
      <c r="K45" s="489">
        <v>0</v>
      </c>
      <c r="L45" s="489">
        <v>103140</v>
      </c>
      <c r="M45" s="489">
        <v>474850</v>
      </c>
      <c r="N45" s="489">
        <v>520160</v>
      </c>
      <c r="O45" s="489">
        <v>4791030</v>
      </c>
      <c r="P45" s="1494">
        <f t="shared" si="1"/>
        <v>7494630</v>
      </c>
      <c r="Q45" s="1439">
        <f t="shared" si="2"/>
        <v>13383810</v>
      </c>
      <c r="R45" s="1413">
        <v>4691020</v>
      </c>
      <c r="S45" s="1414">
        <v>229470</v>
      </c>
      <c r="T45" s="1414">
        <v>88370</v>
      </c>
      <c r="U45" s="1414">
        <v>3567790</v>
      </c>
      <c r="V45" s="1414">
        <v>1851890</v>
      </c>
      <c r="W45" s="1414">
        <v>30860</v>
      </c>
      <c r="X45" s="1414">
        <v>2022080</v>
      </c>
      <c r="Y45" s="1414">
        <v>979580</v>
      </c>
      <c r="Z45" s="1414"/>
      <c r="AA45" s="1414"/>
      <c r="AB45" s="1414"/>
      <c r="AC45" s="1414"/>
      <c r="AD45" s="488">
        <f t="shared" si="3"/>
        <v>13461060</v>
      </c>
      <c r="AE45" s="565">
        <f t="shared" si="4"/>
        <v>0.79609400330636737</v>
      </c>
      <c r="AF45" s="566">
        <f t="shared" si="0"/>
        <v>37</v>
      </c>
    </row>
    <row r="46" spans="1:32" x14ac:dyDescent="0.3">
      <c r="A46" s="10" t="s">
        <v>4</v>
      </c>
      <c r="B46" s="11" t="s">
        <v>49</v>
      </c>
      <c r="C46" s="485"/>
      <c r="D46" s="489">
        <v>5888780</v>
      </c>
      <c r="E46" s="489">
        <v>0</v>
      </c>
      <c r="F46" s="489">
        <v>923510</v>
      </c>
      <c r="G46" s="489">
        <v>0</v>
      </c>
      <c r="H46" s="489">
        <v>0</v>
      </c>
      <c r="I46" s="489">
        <v>4533600</v>
      </c>
      <c r="J46" s="489">
        <v>0</v>
      </c>
      <c r="K46" s="489">
        <v>0</v>
      </c>
      <c r="L46" s="489">
        <v>1102950</v>
      </c>
      <c r="M46" s="489">
        <v>2326010</v>
      </c>
      <c r="N46" s="489">
        <v>0</v>
      </c>
      <c r="O46" s="489">
        <v>2715460</v>
      </c>
      <c r="P46" s="1494">
        <f t="shared" si="1"/>
        <v>11345890</v>
      </c>
      <c r="Q46" s="1439">
        <f t="shared" si="2"/>
        <v>17490310</v>
      </c>
      <c r="R46" s="1413">
        <v>3014680</v>
      </c>
      <c r="S46" s="1414" t="s">
        <v>251</v>
      </c>
      <c r="T46" s="1414">
        <v>1182660</v>
      </c>
      <c r="U46" s="1414">
        <v>0</v>
      </c>
      <c r="V46" s="1414">
        <v>683230</v>
      </c>
      <c r="W46" s="1414">
        <v>0</v>
      </c>
      <c r="X46" s="1414">
        <v>4513420</v>
      </c>
      <c r="Y46" s="1414">
        <v>0</v>
      </c>
      <c r="Z46" s="1414"/>
      <c r="AA46" s="1414"/>
      <c r="AB46" s="1414"/>
      <c r="AC46" s="1414"/>
      <c r="AD46" s="488">
        <f t="shared" si="3"/>
        <v>9393990</v>
      </c>
      <c r="AE46" s="565">
        <f t="shared" si="4"/>
        <v>-0.17203586496960574</v>
      </c>
      <c r="AF46" s="566">
        <f t="shared" si="0"/>
        <v>53</v>
      </c>
    </row>
    <row r="47" spans="1:32" x14ac:dyDescent="0.3">
      <c r="A47" s="10" t="s">
        <v>4</v>
      </c>
      <c r="B47" s="11" t="s">
        <v>50</v>
      </c>
      <c r="C47" s="485"/>
      <c r="D47" s="489">
        <v>656570</v>
      </c>
      <c r="E47" s="489">
        <v>395950</v>
      </c>
      <c r="F47" s="489">
        <v>2463500</v>
      </c>
      <c r="G47" s="489">
        <v>3234460</v>
      </c>
      <c r="H47" s="489">
        <v>554680</v>
      </c>
      <c r="I47" s="489">
        <v>1378100</v>
      </c>
      <c r="J47" s="489">
        <v>1181070</v>
      </c>
      <c r="K47" s="489">
        <v>1181070</v>
      </c>
      <c r="L47" s="489">
        <v>1857140</v>
      </c>
      <c r="M47" s="489">
        <v>364810</v>
      </c>
      <c r="N47" s="489">
        <v>794020</v>
      </c>
      <c r="O47" s="489">
        <v>6393030</v>
      </c>
      <c r="P47" s="1494">
        <f t="shared" si="1"/>
        <v>9864330</v>
      </c>
      <c r="Q47" s="1439">
        <f t="shared" si="2"/>
        <v>19273330</v>
      </c>
      <c r="R47" s="1413">
        <v>842750</v>
      </c>
      <c r="S47" s="1414">
        <v>407780</v>
      </c>
      <c r="T47" s="1414">
        <v>430530</v>
      </c>
      <c r="U47" s="1414">
        <v>0</v>
      </c>
      <c r="V47" s="1414">
        <v>0</v>
      </c>
      <c r="W47" s="1414">
        <v>1134180</v>
      </c>
      <c r="X47" s="1414">
        <v>0</v>
      </c>
      <c r="Y47" s="1414">
        <v>424170</v>
      </c>
      <c r="Z47" s="1414"/>
      <c r="AA47" s="1414"/>
      <c r="AB47" s="1414"/>
      <c r="AC47" s="1414"/>
      <c r="AD47" s="488">
        <f t="shared" si="3"/>
        <v>3239410</v>
      </c>
      <c r="AE47" s="565">
        <f t="shared" si="4"/>
        <v>-0.67160364667443206</v>
      </c>
      <c r="AF47" s="566">
        <f t="shared" si="0"/>
        <v>105</v>
      </c>
    </row>
    <row r="48" spans="1:32" x14ac:dyDescent="0.3">
      <c r="A48" s="10" t="s">
        <v>4</v>
      </c>
      <c r="B48" s="11" t="s">
        <v>51</v>
      </c>
      <c r="C48" s="485">
        <v>1026400</v>
      </c>
      <c r="D48" s="489">
        <v>1666750</v>
      </c>
      <c r="E48" s="489">
        <v>1184590</v>
      </c>
      <c r="F48" s="489">
        <v>1326610</v>
      </c>
      <c r="G48" s="489">
        <v>1222620</v>
      </c>
      <c r="H48" s="489">
        <v>2393950</v>
      </c>
      <c r="I48" s="489">
        <v>2037890</v>
      </c>
      <c r="J48" s="489">
        <v>1193880</v>
      </c>
      <c r="K48" s="489">
        <v>1193880</v>
      </c>
      <c r="L48" s="489">
        <v>412440</v>
      </c>
      <c r="M48" s="489">
        <v>1379390</v>
      </c>
      <c r="N48" s="489">
        <v>0</v>
      </c>
      <c r="O48" s="489">
        <v>1806900</v>
      </c>
      <c r="P48" s="1494">
        <f t="shared" si="1"/>
        <v>12052690</v>
      </c>
      <c r="Q48" s="1439">
        <f t="shared" si="2"/>
        <v>15651420</v>
      </c>
      <c r="R48" s="1413">
        <v>629010</v>
      </c>
      <c r="S48" s="1414">
        <v>407780</v>
      </c>
      <c r="T48" s="1414">
        <v>1423310</v>
      </c>
      <c r="U48" s="1414">
        <v>932030</v>
      </c>
      <c r="V48" s="1414">
        <v>490230</v>
      </c>
      <c r="W48" s="1414">
        <v>1332630</v>
      </c>
      <c r="X48" s="1414">
        <v>2181630</v>
      </c>
      <c r="Y48" s="1414">
        <v>1163240</v>
      </c>
      <c r="Z48" s="1414"/>
      <c r="AA48" s="1414"/>
      <c r="AB48" s="1414"/>
      <c r="AC48" s="1414"/>
      <c r="AD48" s="488">
        <f t="shared" si="3"/>
        <v>8559860</v>
      </c>
      <c r="AE48" s="565">
        <f t="shared" si="4"/>
        <v>-0.2897967175792292</v>
      </c>
      <c r="AF48" s="566">
        <f t="shared" si="0"/>
        <v>60</v>
      </c>
    </row>
    <row r="49" spans="1:32" x14ac:dyDescent="0.3">
      <c r="A49" s="10" t="s">
        <v>4</v>
      </c>
      <c r="B49" s="11" t="s">
        <v>52</v>
      </c>
      <c r="C49" s="485"/>
      <c r="D49" s="489">
        <v>3843580</v>
      </c>
      <c r="E49" s="489">
        <v>1103850</v>
      </c>
      <c r="F49" s="489">
        <v>1243880</v>
      </c>
      <c r="G49" s="489">
        <v>0</v>
      </c>
      <c r="H49" s="489">
        <v>3629260</v>
      </c>
      <c r="I49" s="489">
        <v>337030</v>
      </c>
      <c r="J49" s="489">
        <v>0</v>
      </c>
      <c r="K49" s="489">
        <v>0</v>
      </c>
      <c r="L49" s="489">
        <v>0</v>
      </c>
      <c r="M49" s="489">
        <v>965920</v>
      </c>
      <c r="N49" s="489">
        <v>0</v>
      </c>
      <c r="O49" s="489">
        <v>86770</v>
      </c>
      <c r="P49" s="1494">
        <f t="shared" si="1"/>
        <v>10157600</v>
      </c>
      <c r="Q49" s="1439">
        <f t="shared" si="2"/>
        <v>11210290</v>
      </c>
      <c r="R49" s="1413" t="s">
        <v>251</v>
      </c>
      <c r="S49" s="1414">
        <v>29150</v>
      </c>
      <c r="T49" s="1414">
        <v>0</v>
      </c>
      <c r="U49" s="1414">
        <v>0</v>
      </c>
      <c r="V49" s="1414">
        <v>1196030</v>
      </c>
      <c r="W49" s="1414">
        <v>257170</v>
      </c>
      <c r="X49" s="1414">
        <v>0</v>
      </c>
      <c r="Y49" s="1414">
        <v>0</v>
      </c>
      <c r="Z49" s="1414"/>
      <c r="AA49" s="1414"/>
      <c r="AB49" s="1414"/>
      <c r="AC49" s="1414"/>
      <c r="AD49" s="488">
        <f t="shared" si="3"/>
        <v>1482350</v>
      </c>
      <c r="AE49" s="565">
        <f t="shared" si="4"/>
        <v>-0.85406493659919669</v>
      </c>
      <c r="AF49" s="566">
        <f t="shared" si="0"/>
        <v>132</v>
      </c>
    </row>
    <row r="50" spans="1:32" x14ac:dyDescent="0.3">
      <c r="A50" s="10" t="s">
        <v>4</v>
      </c>
      <c r="B50" s="11" t="s">
        <v>53</v>
      </c>
      <c r="C50" s="485">
        <v>1646070</v>
      </c>
      <c r="D50" s="489">
        <v>417120</v>
      </c>
      <c r="E50" s="489">
        <v>1943410</v>
      </c>
      <c r="F50" s="489">
        <v>976680</v>
      </c>
      <c r="G50" s="489">
        <v>861450</v>
      </c>
      <c r="H50" s="489">
        <v>536430</v>
      </c>
      <c r="I50" s="489">
        <v>674820</v>
      </c>
      <c r="J50" s="489">
        <v>567600</v>
      </c>
      <c r="K50" s="489">
        <v>0</v>
      </c>
      <c r="L50" s="489">
        <v>55580</v>
      </c>
      <c r="M50" s="489">
        <v>1775650</v>
      </c>
      <c r="N50" s="489">
        <v>1177490</v>
      </c>
      <c r="O50" s="489">
        <v>2957530</v>
      </c>
      <c r="P50" s="1494">
        <f t="shared" si="1"/>
        <v>7055980</v>
      </c>
      <c r="Q50" s="1439">
        <f t="shared" si="2"/>
        <v>13589830</v>
      </c>
      <c r="R50" s="1413">
        <v>1179180</v>
      </c>
      <c r="S50" s="1414">
        <v>319520</v>
      </c>
      <c r="T50" s="1414">
        <v>286170</v>
      </c>
      <c r="U50" s="1414">
        <v>1071150</v>
      </c>
      <c r="V50" s="1414">
        <v>3128760</v>
      </c>
      <c r="W50" s="1414">
        <v>1847970</v>
      </c>
      <c r="X50" s="1414">
        <v>636230</v>
      </c>
      <c r="Y50" s="1414">
        <v>436940</v>
      </c>
      <c r="Z50" s="1414"/>
      <c r="AA50" s="1414"/>
      <c r="AB50" s="1414"/>
      <c r="AC50" s="1414"/>
      <c r="AD50" s="488">
        <f t="shared" si="3"/>
        <v>8905920</v>
      </c>
      <c r="AE50" s="565">
        <f t="shared" si="4"/>
        <v>0.26218044835727994</v>
      </c>
      <c r="AF50" s="566">
        <f t="shared" si="0"/>
        <v>56</v>
      </c>
    </row>
    <row r="51" spans="1:32" x14ac:dyDescent="0.3">
      <c r="A51" s="10" t="s">
        <v>4</v>
      </c>
      <c r="B51" s="11" t="s">
        <v>54</v>
      </c>
      <c r="C51" s="485">
        <v>2256430</v>
      </c>
      <c r="D51" s="489">
        <v>1103340</v>
      </c>
      <c r="E51" s="489">
        <v>1520190</v>
      </c>
      <c r="F51" s="489">
        <v>0</v>
      </c>
      <c r="G51" s="489">
        <v>887270</v>
      </c>
      <c r="H51" s="489">
        <v>503160</v>
      </c>
      <c r="I51" s="489">
        <v>998630</v>
      </c>
      <c r="J51" s="489">
        <v>0</v>
      </c>
      <c r="K51" s="489">
        <v>0</v>
      </c>
      <c r="L51" s="489">
        <v>0</v>
      </c>
      <c r="M51" s="489">
        <v>1640510</v>
      </c>
      <c r="N51" s="489">
        <v>0</v>
      </c>
      <c r="O51" s="489">
        <v>6630740</v>
      </c>
      <c r="P51" s="1494">
        <f t="shared" si="1"/>
        <v>7269020</v>
      </c>
      <c r="Q51" s="1439">
        <f t="shared" si="2"/>
        <v>15540270</v>
      </c>
      <c r="R51" s="1413">
        <v>3020230</v>
      </c>
      <c r="S51" s="1414">
        <v>405080</v>
      </c>
      <c r="T51" s="1414">
        <v>1817080</v>
      </c>
      <c r="U51" s="1414">
        <v>2992010</v>
      </c>
      <c r="V51" s="1414">
        <v>534050</v>
      </c>
      <c r="W51" s="1414">
        <v>0</v>
      </c>
      <c r="X51" s="1414">
        <v>0</v>
      </c>
      <c r="Y51" s="1414">
        <v>0</v>
      </c>
      <c r="Z51" s="1414"/>
      <c r="AA51" s="1414"/>
      <c r="AB51" s="1414"/>
      <c r="AC51" s="1414"/>
      <c r="AD51" s="488">
        <f t="shared" si="3"/>
        <v>8768450</v>
      </c>
      <c r="AE51" s="565">
        <f t="shared" si="4"/>
        <v>0.20627677458584515</v>
      </c>
      <c r="AF51" s="566">
        <f t="shared" si="0"/>
        <v>58</v>
      </c>
    </row>
    <row r="52" spans="1:32" x14ac:dyDescent="0.3">
      <c r="A52" s="10" t="s">
        <v>4</v>
      </c>
      <c r="B52" s="11" t="s">
        <v>55</v>
      </c>
      <c r="C52" s="485">
        <v>1082100</v>
      </c>
      <c r="D52" s="489">
        <v>0</v>
      </c>
      <c r="E52" s="489">
        <v>0</v>
      </c>
      <c r="F52" s="489">
        <v>1574660</v>
      </c>
      <c r="G52" s="489">
        <v>3119200</v>
      </c>
      <c r="H52" s="489">
        <v>0</v>
      </c>
      <c r="I52" s="489">
        <v>3538550</v>
      </c>
      <c r="J52" s="489">
        <v>2109250</v>
      </c>
      <c r="K52" s="489">
        <v>2109250</v>
      </c>
      <c r="L52" s="489">
        <v>5395830</v>
      </c>
      <c r="M52" s="489">
        <v>1212540</v>
      </c>
      <c r="N52" s="489">
        <v>1765310</v>
      </c>
      <c r="O52" s="489">
        <v>522780</v>
      </c>
      <c r="P52" s="1494">
        <f t="shared" si="1"/>
        <v>11423760</v>
      </c>
      <c r="Q52" s="1439">
        <f t="shared" si="2"/>
        <v>20320220</v>
      </c>
      <c r="R52" s="1413">
        <v>3246200</v>
      </c>
      <c r="S52" s="1414">
        <v>4211310</v>
      </c>
      <c r="T52" s="1414">
        <v>3557000</v>
      </c>
      <c r="U52" s="1414">
        <v>1355640</v>
      </c>
      <c r="V52" s="1414">
        <v>2178440</v>
      </c>
      <c r="W52" s="1414">
        <v>1868360</v>
      </c>
      <c r="X52" s="1414">
        <v>2473460</v>
      </c>
      <c r="Y52" s="1414">
        <v>3426200</v>
      </c>
      <c r="Z52" s="1414"/>
      <c r="AA52" s="1414"/>
      <c r="AB52" s="1414"/>
      <c r="AC52" s="1414"/>
      <c r="AD52" s="488">
        <f t="shared" si="3"/>
        <v>22316610</v>
      </c>
      <c r="AE52" s="565">
        <f t="shared" si="4"/>
        <v>0.95352580936574294</v>
      </c>
      <c r="AF52" s="566">
        <f t="shared" si="0"/>
        <v>25</v>
      </c>
    </row>
    <row r="53" spans="1:32" x14ac:dyDescent="0.3">
      <c r="A53" s="10" t="s">
        <v>4</v>
      </c>
      <c r="B53" s="11" t="s">
        <v>604</v>
      </c>
      <c r="C53" s="485">
        <v>1106740</v>
      </c>
      <c r="D53" s="489">
        <v>1018880</v>
      </c>
      <c r="E53" s="489">
        <v>800390</v>
      </c>
      <c r="F53" s="489">
        <v>1934100</v>
      </c>
      <c r="G53" s="489">
        <v>889860</v>
      </c>
      <c r="H53" s="489">
        <v>382210</v>
      </c>
      <c r="I53" s="489">
        <v>1024490</v>
      </c>
      <c r="J53" s="489">
        <v>886500</v>
      </c>
      <c r="K53" s="489">
        <v>379010</v>
      </c>
      <c r="L53" s="489">
        <v>1294030</v>
      </c>
      <c r="M53" s="489">
        <v>235380</v>
      </c>
      <c r="N53" s="489">
        <v>485740</v>
      </c>
      <c r="O53" s="489">
        <v>1600330</v>
      </c>
      <c r="P53" s="1494">
        <f t="shared" si="1"/>
        <v>7535680</v>
      </c>
      <c r="Q53" s="1439">
        <f t="shared" si="2"/>
        <v>11658650</v>
      </c>
      <c r="R53" s="1413">
        <v>1595760</v>
      </c>
      <c r="S53" s="1414">
        <v>402840</v>
      </c>
      <c r="T53" s="1414">
        <v>2059960</v>
      </c>
      <c r="U53" s="1414">
        <v>2005280</v>
      </c>
      <c r="V53" s="1414">
        <v>1730110</v>
      </c>
      <c r="W53" s="1414">
        <v>2640590</v>
      </c>
      <c r="X53" s="1414">
        <v>1078590</v>
      </c>
      <c r="Y53" s="1414">
        <v>1867260</v>
      </c>
      <c r="Z53" s="1414"/>
      <c r="AA53" s="1414"/>
      <c r="AB53" s="1414"/>
      <c r="AC53" s="1414"/>
      <c r="AD53" s="488">
        <f t="shared" si="3"/>
        <v>13380390</v>
      </c>
      <c r="AE53" s="565">
        <f t="shared" si="4"/>
        <v>0.77560485583251948</v>
      </c>
      <c r="AF53" s="566">
        <f t="shared" si="0"/>
        <v>39</v>
      </c>
    </row>
    <row r="54" spans="1:32" x14ac:dyDescent="0.3">
      <c r="A54" s="10" t="s">
        <v>4</v>
      </c>
      <c r="B54" s="11" t="s">
        <v>57</v>
      </c>
      <c r="C54" s="485">
        <v>2621190</v>
      </c>
      <c r="D54" s="489">
        <v>747030</v>
      </c>
      <c r="E54" s="489">
        <v>1591140</v>
      </c>
      <c r="F54" s="489">
        <v>0</v>
      </c>
      <c r="G54" s="489">
        <v>725330</v>
      </c>
      <c r="H54" s="489">
        <v>2868570</v>
      </c>
      <c r="I54" s="489">
        <v>1665300</v>
      </c>
      <c r="J54" s="489">
        <v>1938030</v>
      </c>
      <c r="K54" s="489">
        <v>1938030</v>
      </c>
      <c r="L54" s="489">
        <v>2038530</v>
      </c>
      <c r="M54" s="489">
        <v>2413300</v>
      </c>
      <c r="N54" s="489">
        <v>2392510</v>
      </c>
      <c r="O54" s="489">
        <v>3385390</v>
      </c>
      <c r="P54" s="1494">
        <f t="shared" si="1"/>
        <v>12156590</v>
      </c>
      <c r="Q54" s="1439">
        <f t="shared" si="2"/>
        <v>22386320</v>
      </c>
      <c r="R54" s="1413">
        <v>2563090</v>
      </c>
      <c r="S54" s="1414" t="s">
        <v>251</v>
      </c>
      <c r="T54" s="1414">
        <v>1285010</v>
      </c>
      <c r="U54" s="1414">
        <v>351630</v>
      </c>
      <c r="V54" s="1414">
        <v>1379070</v>
      </c>
      <c r="W54" s="1414">
        <v>4254050</v>
      </c>
      <c r="X54" s="1414">
        <v>2416310</v>
      </c>
      <c r="Y54" s="1414">
        <v>1938240</v>
      </c>
      <c r="Z54" s="1414"/>
      <c r="AA54" s="1414"/>
      <c r="AB54" s="1414"/>
      <c r="AC54" s="1414"/>
      <c r="AD54" s="488">
        <f t="shared" si="3"/>
        <v>14187400</v>
      </c>
      <c r="AE54" s="565">
        <f t="shared" si="4"/>
        <v>0.16705424794288529</v>
      </c>
      <c r="AF54" s="566">
        <f t="shared" si="0"/>
        <v>34</v>
      </c>
    </row>
    <row r="55" spans="1:32" x14ac:dyDescent="0.3">
      <c r="A55" s="10" t="s">
        <v>4</v>
      </c>
      <c r="B55" s="11" t="s">
        <v>58</v>
      </c>
      <c r="C55" s="485">
        <v>2970000</v>
      </c>
      <c r="D55" s="489">
        <v>1561870</v>
      </c>
      <c r="E55" s="489">
        <v>925000</v>
      </c>
      <c r="F55" s="489">
        <v>0</v>
      </c>
      <c r="G55" s="489">
        <v>0</v>
      </c>
      <c r="H55" s="489">
        <v>0</v>
      </c>
      <c r="I55" s="489">
        <v>0</v>
      </c>
      <c r="J55" s="489">
        <v>0</v>
      </c>
      <c r="K55" s="489">
        <v>0</v>
      </c>
      <c r="L55" s="489">
        <v>425800</v>
      </c>
      <c r="M55" s="489">
        <v>448860</v>
      </c>
      <c r="N55" s="489">
        <v>119900</v>
      </c>
      <c r="O55" s="489">
        <v>0</v>
      </c>
      <c r="P55" s="1494">
        <f t="shared" si="1"/>
        <v>5456870</v>
      </c>
      <c r="Q55" s="1439">
        <f t="shared" si="2"/>
        <v>6451430</v>
      </c>
      <c r="R55" s="1413" t="s">
        <v>251</v>
      </c>
      <c r="S55" s="1414" t="s">
        <v>251</v>
      </c>
      <c r="T55" s="1414" t="s">
        <v>251</v>
      </c>
      <c r="U55" s="1414"/>
      <c r="V55" s="1414"/>
      <c r="W55" s="1414"/>
      <c r="X55" s="1414"/>
      <c r="Y55" s="1414"/>
      <c r="Z55" s="1414"/>
      <c r="AA55" s="1414"/>
      <c r="AB55" s="1414"/>
      <c r="AC55" s="1414"/>
      <c r="AD55" s="488">
        <f t="shared" si="3"/>
        <v>0</v>
      </c>
      <c r="AE55" s="565">
        <f t="shared" si="4"/>
        <v>-1</v>
      </c>
      <c r="AF55" s="566">
        <f t="shared" si="0"/>
        <v>240</v>
      </c>
    </row>
    <row r="56" spans="1:32" x14ac:dyDescent="0.3">
      <c r="A56" s="10" t="s">
        <v>4</v>
      </c>
      <c r="B56" s="11" t="s">
        <v>59</v>
      </c>
      <c r="C56" s="485"/>
      <c r="D56" s="489">
        <v>723780</v>
      </c>
      <c r="E56" s="489">
        <v>0</v>
      </c>
      <c r="F56" s="489">
        <v>2048140</v>
      </c>
      <c r="G56" s="489">
        <v>3277310</v>
      </c>
      <c r="H56" s="489">
        <v>5067510</v>
      </c>
      <c r="I56" s="489">
        <v>2685160</v>
      </c>
      <c r="J56" s="489">
        <v>1083050</v>
      </c>
      <c r="K56" s="489">
        <v>1083050</v>
      </c>
      <c r="L56" s="489">
        <v>356890</v>
      </c>
      <c r="M56" s="489">
        <v>1153590</v>
      </c>
      <c r="N56" s="489">
        <v>2884100</v>
      </c>
      <c r="O56" s="489">
        <v>5022850</v>
      </c>
      <c r="P56" s="1494">
        <f t="shared" si="1"/>
        <v>14884950</v>
      </c>
      <c r="Q56" s="1439">
        <f t="shared" si="2"/>
        <v>24302380</v>
      </c>
      <c r="R56" s="1413">
        <v>5023250</v>
      </c>
      <c r="S56" s="1414">
        <v>2456290</v>
      </c>
      <c r="T56" s="1414">
        <v>2239420</v>
      </c>
      <c r="U56" s="1414">
        <v>633910</v>
      </c>
      <c r="V56" s="1414">
        <v>1838760</v>
      </c>
      <c r="W56" s="1414">
        <v>2704460</v>
      </c>
      <c r="X56" s="1414">
        <v>6012540</v>
      </c>
      <c r="Y56" s="1414">
        <v>3207100</v>
      </c>
      <c r="Z56" s="1414"/>
      <c r="AA56" s="1414"/>
      <c r="AB56" s="1414"/>
      <c r="AC56" s="1414"/>
      <c r="AD56" s="488">
        <f t="shared" si="3"/>
        <v>24115730</v>
      </c>
      <c r="AE56" s="565">
        <f t="shared" si="4"/>
        <v>0.62014182110117932</v>
      </c>
      <c r="AF56" s="566">
        <f t="shared" si="0"/>
        <v>24</v>
      </c>
    </row>
    <row r="57" spans="1:32" x14ac:dyDescent="0.3">
      <c r="A57" s="10" t="s">
        <v>4</v>
      </c>
      <c r="B57" s="11" t="s">
        <v>60</v>
      </c>
      <c r="C57" s="485">
        <v>1479400</v>
      </c>
      <c r="D57" s="489">
        <v>468770</v>
      </c>
      <c r="E57" s="489">
        <v>2627440</v>
      </c>
      <c r="F57" s="489">
        <v>0</v>
      </c>
      <c r="G57" s="489">
        <v>481910</v>
      </c>
      <c r="H57" s="489">
        <v>0</v>
      </c>
      <c r="I57" s="489">
        <v>0</v>
      </c>
      <c r="J57" s="489">
        <v>0</v>
      </c>
      <c r="K57" s="489">
        <v>0</v>
      </c>
      <c r="L57" s="489">
        <v>1470090</v>
      </c>
      <c r="M57" s="489">
        <v>0</v>
      </c>
      <c r="N57" s="489">
        <v>0</v>
      </c>
      <c r="O57" s="489">
        <v>0</v>
      </c>
      <c r="P57" s="1494">
        <f t="shared" si="1"/>
        <v>5057520</v>
      </c>
      <c r="Q57" s="1439">
        <f t="shared" si="2"/>
        <v>6527610</v>
      </c>
      <c r="R57" s="1413" t="s">
        <v>251</v>
      </c>
      <c r="S57" s="1414" t="s">
        <v>251</v>
      </c>
      <c r="T57" s="1414" t="s">
        <v>251</v>
      </c>
      <c r="U57" s="1414"/>
      <c r="V57" s="1414"/>
      <c r="W57" s="1414"/>
      <c r="X57" s="1414"/>
      <c r="Y57" s="1414"/>
      <c r="Z57" s="1414"/>
      <c r="AA57" s="1414"/>
      <c r="AB57" s="1414"/>
      <c r="AC57" s="1414"/>
      <c r="AD57" s="488">
        <f t="shared" si="3"/>
        <v>0</v>
      </c>
      <c r="AE57" s="565">
        <f t="shared" si="4"/>
        <v>-1</v>
      </c>
      <c r="AF57" s="566">
        <f t="shared" si="0"/>
        <v>240</v>
      </c>
    </row>
    <row r="58" spans="1:32" x14ac:dyDescent="0.3">
      <c r="A58" s="10" t="s">
        <v>4</v>
      </c>
      <c r="B58" s="11" t="s">
        <v>61</v>
      </c>
      <c r="C58" s="485">
        <v>1737090</v>
      </c>
      <c r="D58" s="489" t="s">
        <v>251</v>
      </c>
      <c r="E58" s="489" t="s">
        <v>251</v>
      </c>
      <c r="F58" s="489" t="s">
        <v>251</v>
      </c>
      <c r="G58" s="489">
        <v>414590</v>
      </c>
      <c r="H58" s="489" t="s">
        <v>251</v>
      </c>
      <c r="I58" s="489" t="s">
        <v>251</v>
      </c>
      <c r="J58" s="489" t="s">
        <v>251</v>
      </c>
      <c r="K58" s="489"/>
      <c r="L58" s="489" t="s">
        <v>251</v>
      </c>
      <c r="M58" s="489" t="s">
        <v>251</v>
      </c>
      <c r="N58" s="489" t="s">
        <v>251</v>
      </c>
      <c r="O58" s="489" t="s">
        <v>251</v>
      </c>
      <c r="P58" s="1494">
        <f t="shared" si="1"/>
        <v>2151680</v>
      </c>
      <c r="Q58" s="1439">
        <f t="shared" si="2"/>
        <v>2151680</v>
      </c>
      <c r="R58" s="1413" t="s">
        <v>251</v>
      </c>
      <c r="S58" s="1414" t="s">
        <v>251</v>
      </c>
      <c r="T58" s="1414" t="s">
        <v>251</v>
      </c>
      <c r="U58" s="1414"/>
      <c r="V58" s="1414"/>
      <c r="W58" s="1414"/>
      <c r="X58" s="1414"/>
      <c r="Y58" s="1414"/>
      <c r="Z58" s="1414"/>
      <c r="AA58" s="1414"/>
      <c r="AB58" s="1414"/>
      <c r="AC58" s="1414"/>
      <c r="AD58" s="488">
        <f t="shared" si="3"/>
        <v>0</v>
      </c>
      <c r="AE58" s="565">
        <f t="shared" si="4"/>
        <v>-1</v>
      </c>
      <c r="AF58" s="566">
        <f t="shared" si="0"/>
        <v>240</v>
      </c>
    </row>
    <row r="59" spans="1:32" x14ac:dyDescent="0.3">
      <c r="A59" s="10" t="s">
        <v>4</v>
      </c>
      <c r="B59" s="11" t="s">
        <v>62</v>
      </c>
      <c r="C59" s="485">
        <v>832370</v>
      </c>
      <c r="D59" s="489">
        <v>0</v>
      </c>
      <c r="E59" s="489">
        <v>0</v>
      </c>
      <c r="F59" s="489">
        <v>725390</v>
      </c>
      <c r="G59" s="489">
        <v>3239460</v>
      </c>
      <c r="H59" s="489">
        <v>6127980</v>
      </c>
      <c r="I59" s="489">
        <v>1556250</v>
      </c>
      <c r="J59" s="489">
        <v>2298000</v>
      </c>
      <c r="K59" s="489">
        <v>2298000</v>
      </c>
      <c r="L59" s="489">
        <v>1120160</v>
      </c>
      <c r="M59" s="489">
        <v>2148010</v>
      </c>
      <c r="N59" s="489">
        <v>10998310</v>
      </c>
      <c r="O59" s="489">
        <v>2701850</v>
      </c>
      <c r="P59" s="1494">
        <f t="shared" si="1"/>
        <v>14779450</v>
      </c>
      <c r="Q59" s="1439">
        <f t="shared" si="2"/>
        <v>31747780</v>
      </c>
      <c r="R59" s="1413">
        <v>101510</v>
      </c>
      <c r="S59" s="1414">
        <v>1955540</v>
      </c>
      <c r="T59" s="1414">
        <v>1110720</v>
      </c>
      <c r="U59" s="1414">
        <v>151100</v>
      </c>
      <c r="V59" s="1414">
        <v>426990</v>
      </c>
      <c r="W59" s="1414">
        <v>0</v>
      </c>
      <c r="X59" s="1414">
        <v>43960</v>
      </c>
      <c r="Y59" s="1414">
        <v>236530</v>
      </c>
      <c r="Z59" s="1414"/>
      <c r="AA59" s="1414"/>
      <c r="AB59" s="1414"/>
      <c r="AC59" s="1414"/>
      <c r="AD59" s="488">
        <f t="shared" si="3"/>
        <v>4026350</v>
      </c>
      <c r="AE59" s="565">
        <f t="shared" si="4"/>
        <v>-0.72757105305001202</v>
      </c>
      <c r="AF59" s="566">
        <f t="shared" si="0"/>
        <v>91</v>
      </c>
    </row>
    <row r="60" spans="1:32" x14ac:dyDescent="0.3">
      <c r="A60" s="10" t="s">
        <v>4</v>
      </c>
      <c r="B60" s="11" t="s">
        <v>63</v>
      </c>
      <c r="C60" s="485"/>
      <c r="D60" s="489">
        <v>0</v>
      </c>
      <c r="E60" s="489">
        <v>0</v>
      </c>
      <c r="F60" s="489">
        <v>716410</v>
      </c>
      <c r="G60" s="489">
        <v>3869520</v>
      </c>
      <c r="H60" s="489">
        <v>2161020</v>
      </c>
      <c r="I60" s="489">
        <v>419650</v>
      </c>
      <c r="J60" s="489">
        <v>594550</v>
      </c>
      <c r="K60" s="489">
        <v>0</v>
      </c>
      <c r="L60" s="489">
        <v>630830</v>
      </c>
      <c r="M60" s="489">
        <v>1990340</v>
      </c>
      <c r="N60" s="489">
        <v>2332010</v>
      </c>
      <c r="O60" s="489">
        <v>208150</v>
      </c>
      <c r="P60" s="1494">
        <f t="shared" si="1"/>
        <v>7166600</v>
      </c>
      <c r="Q60" s="1439">
        <f t="shared" si="2"/>
        <v>12922480</v>
      </c>
      <c r="R60" s="1413">
        <v>205650</v>
      </c>
      <c r="S60" s="1414">
        <v>206930</v>
      </c>
      <c r="T60" s="1414">
        <v>499390</v>
      </c>
      <c r="U60" s="1414">
        <v>0</v>
      </c>
      <c r="V60" s="1414">
        <v>1527780</v>
      </c>
      <c r="W60" s="1414">
        <v>548620</v>
      </c>
      <c r="X60" s="1414">
        <v>219870</v>
      </c>
      <c r="Y60" s="1414">
        <v>196040</v>
      </c>
      <c r="Z60" s="1414"/>
      <c r="AA60" s="1414"/>
      <c r="AB60" s="1414"/>
      <c r="AC60" s="1414"/>
      <c r="AD60" s="488">
        <f t="shared" si="3"/>
        <v>3404280</v>
      </c>
      <c r="AE60" s="565">
        <f t="shared" si="4"/>
        <v>-0.52497976725364892</v>
      </c>
      <c r="AF60" s="566">
        <f t="shared" si="0"/>
        <v>102</v>
      </c>
    </row>
    <row r="61" spans="1:32" x14ac:dyDescent="0.3">
      <c r="A61" s="10" t="s">
        <v>4</v>
      </c>
      <c r="B61" s="11" t="s">
        <v>64</v>
      </c>
      <c r="C61" s="485">
        <v>526880</v>
      </c>
      <c r="D61" s="489">
        <v>69160</v>
      </c>
      <c r="E61" s="489">
        <v>0</v>
      </c>
      <c r="F61" s="489">
        <v>3402370</v>
      </c>
      <c r="G61" s="489">
        <v>419090</v>
      </c>
      <c r="H61" s="489">
        <v>1204380</v>
      </c>
      <c r="I61" s="489">
        <v>1323720</v>
      </c>
      <c r="J61" s="489">
        <v>1544340</v>
      </c>
      <c r="K61" s="489">
        <v>750010</v>
      </c>
      <c r="L61" s="489">
        <v>416070</v>
      </c>
      <c r="M61" s="489">
        <v>816140</v>
      </c>
      <c r="N61" s="489">
        <v>3471050</v>
      </c>
      <c r="O61" s="489">
        <v>893050</v>
      </c>
      <c r="P61" s="1494">
        <f t="shared" si="1"/>
        <v>7695610</v>
      </c>
      <c r="Q61" s="1439">
        <f t="shared" si="2"/>
        <v>14086250</v>
      </c>
      <c r="R61" s="1413">
        <v>957250</v>
      </c>
      <c r="S61" s="1414" t="s">
        <v>251</v>
      </c>
      <c r="T61" s="1414">
        <v>421410</v>
      </c>
      <c r="U61" s="1414">
        <v>416270</v>
      </c>
      <c r="V61" s="1414">
        <v>29410</v>
      </c>
      <c r="W61" s="1414">
        <v>3798950</v>
      </c>
      <c r="X61" s="1414">
        <v>3332200</v>
      </c>
      <c r="Y61" s="1414">
        <v>967110</v>
      </c>
      <c r="Z61" s="1414"/>
      <c r="AA61" s="1414"/>
      <c r="AB61" s="1414"/>
      <c r="AC61" s="1414"/>
      <c r="AD61" s="488">
        <f t="shared" si="3"/>
        <v>9922600</v>
      </c>
      <c r="AE61" s="565">
        <f t="shared" si="4"/>
        <v>0.28938446724821032</v>
      </c>
      <c r="AF61" s="566">
        <f t="shared" si="0"/>
        <v>49</v>
      </c>
    </row>
    <row r="62" spans="1:32" x14ac:dyDescent="0.3">
      <c r="A62" s="10" t="s">
        <v>4</v>
      </c>
      <c r="B62" s="11" t="s">
        <v>65</v>
      </c>
      <c r="C62" s="485"/>
      <c r="D62" s="489">
        <v>0</v>
      </c>
      <c r="E62" s="489">
        <v>2041920</v>
      </c>
      <c r="F62" s="489">
        <v>1695010</v>
      </c>
      <c r="G62" s="489">
        <v>707070</v>
      </c>
      <c r="H62" s="489">
        <v>3965600</v>
      </c>
      <c r="I62" s="489">
        <v>2487530</v>
      </c>
      <c r="J62" s="489">
        <v>0</v>
      </c>
      <c r="K62" s="489">
        <v>0</v>
      </c>
      <c r="L62" s="489">
        <v>0</v>
      </c>
      <c r="M62" s="489">
        <v>0</v>
      </c>
      <c r="N62" s="489">
        <v>0</v>
      </c>
      <c r="O62" s="489">
        <v>0</v>
      </c>
      <c r="P62" s="1494">
        <f t="shared" si="1"/>
        <v>10897130</v>
      </c>
      <c r="Q62" s="1439">
        <f t="shared" si="2"/>
        <v>10897130</v>
      </c>
      <c r="R62" s="1413" t="s">
        <v>251</v>
      </c>
      <c r="S62" s="1414" t="s">
        <v>251</v>
      </c>
      <c r="T62" s="1414" t="s">
        <v>251</v>
      </c>
      <c r="U62" s="1414">
        <v>2632550</v>
      </c>
      <c r="V62" s="1414">
        <v>1928460</v>
      </c>
      <c r="W62" s="1414">
        <v>5270680</v>
      </c>
      <c r="X62" s="1414">
        <v>3191210</v>
      </c>
      <c r="Y62" s="1414">
        <v>1305490</v>
      </c>
      <c r="Z62" s="1414"/>
      <c r="AA62" s="1414"/>
      <c r="AB62" s="1414"/>
      <c r="AC62" s="1414"/>
      <c r="AD62" s="488">
        <f t="shared" si="3"/>
        <v>14328390</v>
      </c>
      <c r="AE62" s="565">
        <f t="shared" si="4"/>
        <v>0.31487740349982057</v>
      </c>
      <c r="AF62" s="566">
        <f t="shared" si="0"/>
        <v>33</v>
      </c>
    </row>
    <row r="63" spans="1:32" x14ac:dyDescent="0.3">
      <c r="A63" s="10" t="s">
        <v>4</v>
      </c>
      <c r="B63" s="11" t="s">
        <v>66</v>
      </c>
      <c r="C63" s="485">
        <v>968830</v>
      </c>
      <c r="D63" s="489">
        <v>0</v>
      </c>
      <c r="E63" s="489">
        <v>132820</v>
      </c>
      <c r="F63" s="489">
        <v>1336290</v>
      </c>
      <c r="G63" s="489">
        <v>1781270</v>
      </c>
      <c r="H63" s="489">
        <v>0</v>
      </c>
      <c r="I63" s="489">
        <v>1685300</v>
      </c>
      <c r="J63" s="489">
        <v>521600</v>
      </c>
      <c r="K63" s="489">
        <v>521600</v>
      </c>
      <c r="L63" s="489">
        <v>0</v>
      </c>
      <c r="M63" s="489">
        <v>0</v>
      </c>
      <c r="N63" s="489">
        <v>0</v>
      </c>
      <c r="O63" s="489">
        <v>2078690</v>
      </c>
      <c r="P63" s="1494">
        <f t="shared" si="1"/>
        <v>6426110</v>
      </c>
      <c r="Q63" s="1439">
        <f t="shared" si="2"/>
        <v>8504800</v>
      </c>
      <c r="R63" s="1413" t="s">
        <v>251</v>
      </c>
      <c r="S63" s="1414">
        <v>1190050</v>
      </c>
      <c r="T63" s="1414">
        <v>41990</v>
      </c>
      <c r="U63" s="1414">
        <v>581770</v>
      </c>
      <c r="V63" s="1414">
        <v>1381610</v>
      </c>
      <c r="W63" s="1414">
        <v>0</v>
      </c>
      <c r="X63" s="1414">
        <v>0</v>
      </c>
      <c r="Y63" s="1414">
        <v>0</v>
      </c>
      <c r="Z63" s="1414"/>
      <c r="AA63" s="1414"/>
      <c r="AB63" s="1414"/>
      <c r="AC63" s="1414"/>
      <c r="AD63" s="488">
        <f t="shared" si="3"/>
        <v>3195420</v>
      </c>
      <c r="AE63" s="565">
        <f t="shared" si="4"/>
        <v>-0.50274427297385194</v>
      </c>
      <c r="AF63" s="566">
        <f t="shared" si="0"/>
        <v>107</v>
      </c>
    </row>
    <row r="64" spans="1:32" x14ac:dyDescent="0.3">
      <c r="A64" s="10" t="s">
        <v>4</v>
      </c>
      <c r="B64" s="11" t="s">
        <v>67</v>
      </c>
      <c r="C64" s="485">
        <v>595830</v>
      </c>
      <c r="D64" s="489">
        <v>80280</v>
      </c>
      <c r="E64" s="489">
        <v>316250</v>
      </c>
      <c r="F64" s="489">
        <v>600720</v>
      </c>
      <c r="G64" s="489">
        <v>2691580</v>
      </c>
      <c r="H64" s="489">
        <v>1592320</v>
      </c>
      <c r="I64" s="489">
        <v>1539610</v>
      </c>
      <c r="J64" s="489">
        <v>2508020</v>
      </c>
      <c r="K64" s="489">
        <v>2508020</v>
      </c>
      <c r="L64" s="489">
        <v>7205890</v>
      </c>
      <c r="M64" s="489">
        <v>2548960</v>
      </c>
      <c r="N64" s="489">
        <v>2029020</v>
      </c>
      <c r="O64" s="489">
        <v>0</v>
      </c>
      <c r="P64" s="1494">
        <f t="shared" si="1"/>
        <v>9924610</v>
      </c>
      <c r="Q64" s="1439">
        <f t="shared" si="2"/>
        <v>21708480</v>
      </c>
      <c r="R64" s="1413" t="s">
        <v>251</v>
      </c>
      <c r="S64" s="1414" t="s">
        <v>251</v>
      </c>
      <c r="T64" s="1414" t="s">
        <v>251</v>
      </c>
      <c r="U64" s="1414"/>
      <c r="V64" s="1414"/>
      <c r="W64" s="1414"/>
      <c r="X64" s="1414"/>
      <c r="Y64" s="1414"/>
      <c r="Z64" s="1414"/>
      <c r="AA64" s="1414"/>
      <c r="AB64" s="1414"/>
      <c r="AC64" s="1414"/>
      <c r="AD64" s="488">
        <f t="shared" si="3"/>
        <v>0</v>
      </c>
      <c r="AE64" s="565">
        <f t="shared" si="4"/>
        <v>-1</v>
      </c>
      <c r="AF64" s="566">
        <f t="shared" si="0"/>
        <v>240</v>
      </c>
    </row>
    <row r="65" spans="1:32" x14ac:dyDescent="0.3">
      <c r="A65" s="10" t="s">
        <v>4</v>
      </c>
      <c r="B65" s="11" t="s">
        <v>68</v>
      </c>
      <c r="C65" s="485">
        <v>962070</v>
      </c>
      <c r="D65" s="489">
        <v>934640</v>
      </c>
      <c r="E65" s="489">
        <v>1088400</v>
      </c>
      <c r="F65" s="489">
        <v>0</v>
      </c>
      <c r="G65" s="489">
        <v>846970</v>
      </c>
      <c r="H65" s="489">
        <v>147890</v>
      </c>
      <c r="I65" s="489">
        <v>1242180</v>
      </c>
      <c r="J65" s="489">
        <v>1443210</v>
      </c>
      <c r="K65" s="489">
        <v>1443210</v>
      </c>
      <c r="L65" s="489">
        <v>1241110</v>
      </c>
      <c r="M65" s="489">
        <v>3011120</v>
      </c>
      <c r="N65" s="489">
        <v>727870</v>
      </c>
      <c r="O65" s="489">
        <v>319360</v>
      </c>
      <c r="P65" s="1494">
        <f t="shared" si="1"/>
        <v>6665360</v>
      </c>
      <c r="Q65" s="1439">
        <f t="shared" si="2"/>
        <v>11964820</v>
      </c>
      <c r="R65" s="1413">
        <v>781730</v>
      </c>
      <c r="S65" s="1414">
        <v>314140</v>
      </c>
      <c r="T65" s="1414">
        <v>1830270</v>
      </c>
      <c r="U65" s="1414">
        <v>1057620</v>
      </c>
      <c r="V65" s="1414">
        <v>96620</v>
      </c>
      <c r="W65" s="1414">
        <v>-66890</v>
      </c>
      <c r="X65" s="1414">
        <v>1146660</v>
      </c>
      <c r="Y65" s="1414">
        <v>272650</v>
      </c>
      <c r="Z65" s="1414"/>
      <c r="AA65" s="1414"/>
      <c r="AB65" s="1414"/>
      <c r="AC65" s="1414"/>
      <c r="AD65" s="488">
        <f t="shared" si="3"/>
        <v>5432800</v>
      </c>
      <c r="AE65" s="565">
        <f t="shared" si="4"/>
        <v>-0.18492024436789611</v>
      </c>
      <c r="AF65" s="566">
        <f t="shared" si="0"/>
        <v>78</v>
      </c>
    </row>
    <row r="66" spans="1:32" x14ac:dyDescent="0.3">
      <c r="A66" s="10" t="s">
        <v>4</v>
      </c>
      <c r="B66" s="11" t="s">
        <v>69</v>
      </c>
      <c r="C66" s="485">
        <v>29090</v>
      </c>
      <c r="D66" s="489">
        <v>0</v>
      </c>
      <c r="E66" s="489">
        <v>3484890</v>
      </c>
      <c r="F66" s="489">
        <v>252640</v>
      </c>
      <c r="G66" s="489">
        <v>0</v>
      </c>
      <c r="H66" s="489">
        <v>0</v>
      </c>
      <c r="I66" s="489">
        <v>0</v>
      </c>
      <c r="J66" s="489">
        <v>0</v>
      </c>
      <c r="K66" s="489">
        <v>0</v>
      </c>
      <c r="L66" s="489">
        <v>0</v>
      </c>
      <c r="M66" s="489">
        <v>0</v>
      </c>
      <c r="N66" s="489">
        <v>0</v>
      </c>
      <c r="O66" s="489">
        <v>0</v>
      </c>
      <c r="P66" s="1494">
        <f t="shared" si="1"/>
        <v>3766620</v>
      </c>
      <c r="Q66" s="1439">
        <f t="shared" si="2"/>
        <v>3766620</v>
      </c>
      <c r="R66" s="1413" t="s">
        <v>251</v>
      </c>
      <c r="S66" s="1414">
        <v>29080</v>
      </c>
      <c r="T66" s="1414">
        <v>0</v>
      </c>
      <c r="U66" s="1414">
        <v>0</v>
      </c>
      <c r="V66" s="1414">
        <v>0</v>
      </c>
      <c r="W66" s="1414">
        <v>0</v>
      </c>
      <c r="X66" s="1414">
        <v>0</v>
      </c>
      <c r="Y66" s="1414">
        <v>0</v>
      </c>
      <c r="Z66" s="1414"/>
      <c r="AA66" s="1414"/>
      <c r="AB66" s="1414"/>
      <c r="AC66" s="1414"/>
      <c r="AD66" s="488">
        <f t="shared" si="3"/>
        <v>29080</v>
      </c>
      <c r="AE66" s="565">
        <f t="shared" si="4"/>
        <v>-0.99227955036611071</v>
      </c>
      <c r="AF66" s="566">
        <f t="shared" ref="AF66:AF129" si="5">IFERROR(_xlfn.RANK.EQ(AD66, $AD$2:$AD$450), "")</f>
        <v>236</v>
      </c>
    </row>
    <row r="67" spans="1:32" x14ac:dyDescent="0.3">
      <c r="A67" s="10" t="s">
        <v>4</v>
      </c>
      <c r="B67" s="11" t="s">
        <v>70</v>
      </c>
      <c r="C67" s="485">
        <v>303210</v>
      </c>
      <c r="D67" s="489">
        <v>147210</v>
      </c>
      <c r="E67" s="489">
        <v>2123480</v>
      </c>
      <c r="F67" s="489">
        <v>718190</v>
      </c>
      <c r="G67" s="489">
        <v>303020</v>
      </c>
      <c r="H67" s="489">
        <v>356950</v>
      </c>
      <c r="I67" s="489">
        <v>480990</v>
      </c>
      <c r="J67" s="489">
        <v>0</v>
      </c>
      <c r="K67" s="489">
        <v>0</v>
      </c>
      <c r="L67" s="489">
        <v>358070</v>
      </c>
      <c r="M67" s="489">
        <v>0</v>
      </c>
      <c r="N67" s="489">
        <v>0</v>
      </c>
      <c r="O67" s="489">
        <v>0</v>
      </c>
      <c r="P67" s="1494">
        <f t="shared" ref="P67:P130" si="6">SUM(C67:I67,K67)</f>
        <v>4433050</v>
      </c>
      <c r="Q67" s="1439">
        <f t="shared" ref="Q67:Q130" si="7">SUM(C67:J67,L67:O67)</f>
        <v>4791120</v>
      </c>
      <c r="R67" s="1413">
        <v>1537480</v>
      </c>
      <c r="S67" s="1414" t="s">
        <v>251</v>
      </c>
      <c r="T67" s="1414">
        <v>2264420</v>
      </c>
      <c r="U67" s="1414">
        <v>1019370</v>
      </c>
      <c r="V67" s="1414">
        <v>429260</v>
      </c>
      <c r="W67" s="1414">
        <v>0</v>
      </c>
      <c r="X67" s="1414">
        <v>158820</v>
      </c>
      <c r="Y67" s="1414">
        <v>53250</v>
      </c>
      <c r="Z67" s="1414"/>
      <c r="AA67" s="1414"/>
      <c r="AB67" s="1414"/>
      <c r="AC67" s="1414"/>
      <c r="AD67" s="488">
        <f t="shared" ref="AD67:AD130" si="8">SUM(R67:AC67)</f>
        <v>5462600</v>
      </c>
      <c r="AE67" s="565">
        <f t="shared" ref="AE67:AE130" si="9">IF(OR(AD67="", P67=""), 0, IFERROR((AD67-P67)/P67, IF(AD67&lt;&gt;0, 1, 0)))</f>
        <v>0.2322441659805326</v>
      </c>
      <c r="AF67" s="566">
        <f t="shared" si="5"/>
        <v>76</v>
      </c>
    </row>
    <row r="68" spans="1:32" x14ac:dyDescent="0.3">
      <c r="A68" s="10" t="s">
        <v>4</v>
      </c>
      <c r="B68" s="11" t="s">
        <v>71</v>
      </c>
      <c r="C68" s="485" t="s">
        <v>251</v>
      </c>
      <c r="D68" s="489" t="s">
        <v>251</v>
      </c>
      <c r="E68" s="489" t="s">
        <v>251</v>
      </c>
      <c r="F68" s="489" t="s">
        <v>251</v>
      </c>
      <c r="G68" s="489" t="s">
        <v>251</v>
      </c>
      <c r="H68" s="489" t="s">
        <v>251</v>
      </c>
      <c r="I68" s="489" t="s">
        <v>251</v>
      </c>
      <c r="J68" s="489" t="s">
        <v>251</v>
      </c>
      <c r="K68" s="489"/>
      <c r="L68" s="489" t="s">
        <v>251</v>
      </c>
      <c r="M68" s="489" t="s">
        <v>251</v>
      </c>
      <c r="N68" s="489" t="s">
        <v>251</v>
      </c>
      <c r="O68" s="489" t="s">
        <v>251</v>
      </c>
      <c r="P68" s="1494">
        <f t="shared" si="6"/>
        <v>0</v>
      </c>
      <c r="Q68" s="1439">
        <f t="shared" si="7"/>
        <v>0</v>
      </c>
      <c r="R68" s="1413" t="s">
        <v>251</v>
      </c>
      <c r="S68" s="1414" t="s">
        <v>251</v>
      </c>
      <c r="T68" s="1414" t="s">
        <v>251</v>
      </c>
      <c r="U68" s="1414"/>
      <c r="V68" s="1414"/>
      <c r="W68" s="1414"/>
      <c r="X68" s="1414"/>
      <c r="Y68" s="1414"/>
      <c r="Z68" s="1414"/>
      <c r="AA68" s="1414"/>
      <c r="AB68" s="1414"/>
      <c r="AC68" s="1414"/>
      <c r="AD68" s="488">
        <f t="shared" si="8"/>
        <v>0</v>
      </c>
      <c r="AE68" s="565">
        <f t="shared" si="9"/>
        <v>0</v>
      </c>
      <c r="AF68" s="566">
        <f t="shared" si="5"/>
        <v>240</v>
      </c>
    </row>
    <row r="69" spans="1:32" x14ac:dyDescent="0.3">
      <c r="A69" s="10" t="s">
        <v>4</v>
      </c>
      <c r="B69" s="11" t="s">
        <v>72</v>
      </c>
      <c r="C69" s="485">
        <v>872740</v>
      </c>
      <c r="D69" s="489">
        <v>2261570</v>
      </c>
      <c r="E69" s="489">
        <v>0</v>
      </c>
      <c r="F69" s="489">
        <v>0</v>
      </c>
      <c r="G69" s="489">
        <v>0</v>
      </c>
      <c r="H69" s="489">
        <v>3681770</v>
      </c>
      <c r="I69" s="489">
        <v>888720</v>
      </c>
      <c r="J69" s="489">
        <v>0</v>
      </c>
      <c r="K69" s="489">
        <v>0</v>
      </c>
      <c r="L69" s="489">
        <v>0</v>
      </c>
      <c r="M69" s="489">
        <v>0</v>
      </c>
      <c r="N69" s="489">
        <v>3794860</v>
      </c>
      <c r="O69" s="489">
        <v>0</v>
      </c>
      <c r="P69" s="1494">
        <f t="shared" si="6"/>
        <v>7704800</v>
      </c>
      <c r="Q69" s="1439">
        <f t="shared" si="7"/>
        <v>11499660</v>
      </c>
      <c r="R69" s="1413" t="s">
        <v>251</v>
      </c>
      <c r="S69" s="1414">
        <v>910250</v>
      </c>
      <c r="T69" s="1414">
        <v>466600</v>
      </c>
      <c r="U69" s="1414">
        <v>0</v>
      </c>
      <c r="V69" s="1414">
        <v>0</v>
      </c>
      <c r="W69" s="1414">
        <v>0</v>
      </c>
      <c r="X69" s="1414">
        <v>0</v>
      </c>
      <c r="Y69" s="1414">
        <v>0</v>
      </c>
      <c r="Z69" s="1414"/>
      <c r="AA69" s="1414"/>
      <c r="AB69" s="1414"/>
      <c r="AC69" s="1414"/>
      <c r="AD69" s="488">
        <f t="shared" si="8"/>
        <v>1376850</v>
      </c>
      <c r="AE69" s="565">
        <f t="shared" si="9"/>
        <v>-0.82129970927214202</v>
      </c>
      <c r="AF69" s="566">
        <f t="shared" si="5"/>
        <v>140</v>
      </c>
    </row>
    <row r="70" spans="1:32" x14ac:dyDescent="0.3">
      <c r="A70" s="10" t="s">
        <v>4</v>
      </c>
      <c r="B70" s="11" t="s">
        <v>73</v>
      </c>
      <c r="C70" s="485">
        <v>720580</v>
      </c>
      <c r="D70" s="489">
        <v>0</v>
      </c>
      <c r="E70" s="489">
        <v>678300</v>
      </c>
      <c r="F70" s="489">
        <v>778480</v>
      </c>
      <c r="G70" s="489">
        <v>927690</v>
      </c>
      <c r="H70" s="489">
        <v>617580</v>
      </c>
      <c r="I70" s="489">
        <v>3909840</v>
      </c>
      <c r="J70" s="489">
        <v>971950</v>
      </c>
      <c r="K70" s="489">
        <v>971950</v>
      </c>
      <c r="L70" s="489">
        <v>0</v>
      </c>
      <c r="M70" s="489">
        <v>330970</v>
      </c>
      <c r="N70" s="489">
        <v>0</v>
      </c>
      <c r="O70" s="489">
        <v>1723600</v>
      </c>
      <c r="P70" s="1494">
        <f t="shared" si="6"/>
        <v>8604420</v>
      </c>
      <c r="Q70" s="1439">
        <f t="shared" si="7"/>
        <v>10658990</v>
      </c>
      <c r="R70" s="1413">
        <v>2544820</v>
      </c>
      <c r="S70" s="1414">
        <v>982990</v>
      </c>
      <c r="T70" s="1414">
        <v>0</v>
      </c>
      <c r="U70" s="1414">
        <v>702620</v>
      </c>
      <c r="V70" s="1414">
        <v>294680</v>
      </c>
      <c r="W70" s="1414">
        <v>2119670</v>
      </c>
      <c r="X70" s="1414">
        <v>351150</v>
      </c>
      <c r="Y70" s="1414">
        <v>0</v>
      </c>
      <c r="Z70" s="1414"/>
      <c r="AA70" s="1414"/>
      <c r="AB70" s="1414"/>
      <c r="AC70" s="1414"/>
      <c r="AD70" s="488">
        <f t="shared" si="8"/>
        <v>6995930</v>
      </c>
      <c r="AE70" s="565">
        <f t="shared" si="9"/>
        <v>-0.18693764367615714</v>
      </c>
      <c r="AF70" s="566">
        <f t="shared" si="5"/>
        <v>67</v>
      </c>
    </row>
    <row r="71" spans="1:32" x14ac:dyDescent="0.3">
      <c r="A71" s="10" t="s">
        <v>4</v>
      </c>
      <c r="B71" s="11" t="s">
        <v>74</v>
      </c>
      <c r="C71" s="485">
        <v>65510</v>
      </c>
      <c r="D71" s="489">
        <v>693780</v>
      </c>
      <c r="E71" s="489">
        <v>1897060</v>
      </c>
      <c r="F71" s="489">
        <v>0</v>
      </c>
      <c r="G71" s="489">
        <v>373610</v>
      </c>
      <c r="H71" s="489">
        <v>0</v>
      </c>
      <c r="I71" s="489">
        <v>656820</v>
      </c>
      <c r="J71" s="489">
        <v>748040</v>
      </c>
      <c r="K71" s="489">
        <v>748040</v>
      </c>
      <c r="L71" s="489">
        <v>1379090</v>
      </c>
      <c r="M71" s="489">
        <v>1275960</v>
      </c>
      <c r="N71" s="489">
        <v>0</v>
      </c>
      <c r="O71" s="489">
        <v>893870</v>
      </c>
      <c r="P71" s="1494">
        <f t="shared" si="6"/>
        <v>4434820</v>
      </c>
      <c r="Q71" s="1439">
        <f t="shared" si="7"/>
        <v>7983740</v>
      </c>
      <c r="R71" s="1413">
        <v>1218320</v>
      </c>
      <c r="S71" s="1414">
        <v>843320</v>
      </c>
      <c r="T71" s="1414">
        <v>1241510</v>
      </c>
      <c r="U71" s="1414">
        <v>4112670</v>
      </c>
      <c r="V71" s="1414">
        <v>2129090</v>
      </c>
      <c r="W71" s="1414">
        <v>0</v>
      </c>
      <c r="X71" s="1414">
        <v>76980</v>
      </c>
      <c r="Y71" s="1414">
        <v>0</v>
      </c>
      <c r="Z71" s="1414"/>
      <c r="AA71" s="1414"/>
      <c r="AB71" s="1414"/>
      <c r="AC71" s="1414"/>
      <c r="AD71" s="488">
        <f t="shared" si="8"/>
        <v>9621890</v>
      </c>
      <c r="AE71" s="565">
        <f t="shared" si="9"/>
        <v>1.1696235698404895</v>
      </c>
      <c r="AF71" s="566">
        <f t="shared" si="5"/>
        <v>51</v>
      </c>
    </row>
    <row r="72" spans="1:32" x14ac:dyDescent="0.3">
      <c r="A72" s="10" t="s">
        <v>4</v>
      </c>
      <c r="B72" s="11" t="s">
        <v>75</v>
      </c>
      <c r="C72" s="485">
        <v>1075810</v>
      </c>
      <c r="D72" s="489">
        <v>0</v>
      </c>
      <c r="E72" s="489">
        <v>711380</v>
      </c>
      <c r="F72" s="489">
        <v>841460</v>
      </c>
      <c r="G72" s="489">
        <v>396540</v>
      </c>
      <c r="H72" s="489">
        <v>0</v>
      </c>
      <c r="I72" s="489">
        <v>0</v>
      </c>
      <c r="J72" s="489">
        <v>0</v>
      </c>
      <c r="K72" s="489">
        <v>0</v>
      </c>
      <c r="L72" s="489">
        <v>0</v>
      </c>
      <c r="M72" s="489">
        <v>0</v>
      </c>
      <c r="N72" s="489">
        <v>0</v>
      </c>
      <c r="O72" s="489">
        <v>1732430</v>
      </c>
      <c r="P72" s="1494">
        <f t="shared" si="6"/>
        <v>3025190</v>
      </c>
      <c r="Q72" s="1439">
        <f t="shared" si="7"/>
        <v>4757620</v>
      </c>
      <c r="R72" s="1413">
        <v>885630</v>
      </c>
      <c r="S72" s="1414" t="s">
        <v>251</v>
      </c>
      <c r="T72" s="1414">
        <v>0</v>
      </c>
      <c r="U72" s="1414">
        <v>29460</v>
      </c>
      <c r="V72" s="1414">
        <v>694930</v>
      </c>
      <c r="W72" s="1414">
        <v>0</v>
      </c>
      <c r="X72" s="1414">
        <v>435140</v>
      </c>
      <c r="Y72" s="1414">
        <v>0</v>
      </c>
      <c r="Z72" s="1414"/>
      <c r="AA72" s="1414"/>
      <c r="AB72" s="1414"/>
      <c r="AC72" s="1414"/>
      <c r="AD72" s="488">
        <f t="shared" si="8"/>
        <v>2045160</v>
      </c>
      <c r="AE72" s="565">
        <f t="shared" si="9"/>
        <v>-0.32395651182239793</v>
      </c>
      <c r="AF72" s="566">
        <f t="shared" si="5"/>
        <v>122</v>
      </c>
    </row>
    <row r="73" spans="1:32" x14ac:dyDescent="0.3">
      <c r="A73" s="10" t="s">
        <v>4</v>
      </c>
      <c r="B73" s="11" t="s">
        <v>76</v>
      </c>
      <c r="C73" s="485"/>
      <c r="D73" s="489">
        <v>380390</v>
      </c>
      <c r="E73" s="489">
        <v>0</v>
      </c>
      <c r="F73" s="489">
        <v>387170</v>
      </c>
      <c r="G73" s="489">
        <v>4404230</v>
      </c>
      <c r="H73" s="489">
        <v>27120</v>
      </c>
      <c r="I73" s="489">
        <v>1839130</v>
      </c>
      <c r="J73" s="489">
        <v>1855250</v>
      </c>
      <c r="K73" s="489">
        <v>1451090</v>
      </c>
      <c r="L73" s="489">
        <v>6688610</v>
      </c>
      <c r="M73" s="489">
        <v>2625150</v>
      </c>
      <c r="N73" s="489">
        <v>1486960</v>
      </c>
      <c r="O73" s="489">
        <v>1556690</v>
      </c>
      <c r="P73" s="1494">
        <f t="shared" si="6"/>
        <v>8489130</v>
      </c>
      <c r="Q73" s="1439">
        <f t="shared" si="7"/>
        <v>21250700</v>
      </c>
      <c r="R73" s="1413">
        <v>5251950</v>
      </c>
      <c r="S73" s="1414">
        <v>57960</v>
      </c>
      <c r="T73" s="1414">
        <v>1140550</v>
      </c>
      <c r="U73" s="1414">
        <v>737000</v>
      </c>
      <c r="V73" s="1414">
        <v>3813510</v>
      </c>
      <c r="W73" s="1414">
        <v>874190</v>
      </c>
      <c r="X73" s="1414">
        <v>1599720</v>
      </c>
      <c r="Y73" s="1414">
        <v>1900310</v>
      </c>
      <c r="Z73" s="1414"/>
      <c r="AA73" s="1414"/>
      <c r="AB73" s="1414"/>
      <c r="AC73" s="1414"/>
      <c r="AD73" s="488">
        <f t="shared" si="8"/>
        <v>15375190</v>
      </c>
      <c r="AE73" s="565">
        <f t="shared" si="9"/>
        <v>0.81116203898397121</v>
      </c>
      <c r="AF73" s="566">
        <f t="shared" si="5"/>
        <v>32</v>
      </c>
    </row>
    <row r="74" spans="1:32" x14ac:dyDescent="0.3">
      <c r="A74" s="10" t="s">
        <v>4</v>
      </c>
      <c r="B74" s="11" t="s">
        <v>77</v>
      </c>
      <c r="C74" s="485">
        <v>644590</v>
      </c>
      <c r="D74" s="489">
        <v>98420</v>
      </c>
      <c r="E74" s="489">
        <v>1668850</v>
      </c>
      <c r="F74" s="489">
        <v>553820</v>
      </c>
      <c r="G74" s="489">
        <v>48790</v>
      </c>
      <c r="H74" s="489">
        <v>0</v>
      </c>
      <c r="I74" s="489">
        <v>496650</v>
      </c>
      <c r="J74" s="489">
        <v>806240</v>
      </c>
      <c r="K74" s="489">
        <v>806240</v>
      </c>
      <c r="L74" s="489">
        <v>644000</v>
      </c>
      <c r="M74" s="489">
        <v>1273240</v>
      </c>
      <c r="N74" s="489">
        <v>452820</v>
      </c>
      <c r="O74" s="489">
        <v>1022390</v>
      </c>
      <c r="P74" s="1494">
        <f t="shared" si="6"/>
        <v>4317360</v>
      </c>
      <c r="Q74" s="1439">
        <f t="shared" si="7"/>
        <v>7709810</v>
      </c>
      <c r="R74" s="1413" t="s">
        <v>251</v>
      </c>
      <c r="S74" s="1414">
        <v>1160600</v>
      </c>
      <c r="T74" s="1414">
        <v>0</v>
      </c>
      <c r="U74" s="1414">
        <v>510970</v>
      </c>
      <c r="V74" s="1414">
        <v>1506830</v>
      </c>
      <c r="W74" s="1414">
        <v>1524750</v>
      </c>
      <c r="X74" s="1414">
        <v>1894760</v>
      </c>
      <c r="Y74" s="1414">
        <v>1837590</v>
      </c>
      <c r="Z74" s="1414"/>
      <c r="AA74" s="1414"/>
      <c r="AB74" s="1414"/>
      <c r="AC74" s="1414"/>
      <c r="AD74" s="488">
        <f t="shared" si="8"/>
        <v>8435500</v>
      </c>
      <c r="AE74" s="565">
        <f t="shared" si="9"/>
        <v>0.95385606018492786</v>
      </c>
      <c r="AF74" s="566">
        <f t="shared" si="5"/>
        <v>63</v>
      </c>
    </row>
    <row r="75" spans="1:32" x14ac:dyDescent="0.3">
      <c r="A75" s="10" t="s">
        <v>4</v>
      </c>
      <c r="B75" s="11" t="s">
        <v>78</v>
      </c>
      <c r="C75" s="485">
        <v>709920</v>
      </c>
      <c r="D75" s="489">
        <v>1969490</v>
      </c>
      <c r="E75" s="489">
        <v>108470</v>
      </c>
      <c r="F75" s="489">
        <v>0</v>
      </c>
      <c r="G75" s="489">
        <v>0</v>
      </c>
      <c r="H75" s="489">
        <v>2478770</v>
      </c>
      <c r="I75" s="489">
        <v>27360</v>
      </c>
      <c r="J75" s="489">
        <v>0</v>
      </c>
      <c r="K75" s="489">
        <v>0</v>
      </c>
      <c r="L75" s="489">
        <v>476540</v>
      </c>
      <c r="M75" s="489">
        <v>1273280</v>
      </c>
      <c r="N75" s="489">
        <v>1263610</v>
      </c>
      <c r="O75" s="489">
        <v>571910</v>
      </c>
      <c r="P75" s="1494">
        <f t="shared" si="6"/>
        <v>5294010</v>
      </c>
      <c r="Q75" s="1439">
        <f t="shared" si="7"/>
        <v>8879350</v>
      </c>
      <c r="R75" s="1413">
        <v>564440</v>
      </c>
      <c r="S75" s="1414">
        <v>650810</v>
      </c>
      <c r="T75" s="1414">
        <v>0</v>
      </c>
      <c r="U75" s="1414">
        <v>797980</v>
      </c>
      <c r="V75" s="1414">
        <v>825870</v>
      </c>
      <c r="W75" s="1414">
        <v>30860</v>
      </c>
      <c r="X75" s="1414">
        <v>590710</v>
      </c>
      <c r="Y75" s="1414">
        <v>556200</v>
      </c>
      <c r="Z75" s="1414"/>
      <c r="AA75" s="1414"/>
      <c r="AB75" s="1414"/>
      <c r="AC75" s="1414"/>
      <c r="AD75" s="488">
        <f t="shared" si="8"/>
        <v>4016870</v>
      </c>
      <c r="AE75" s="565">
        <f t="shared" si="9"/>
        <v>-0.24124246081892553</v>
      </c>
      <c r="AF75" s="566">
        <f t="shared" si="5"/>
        <v>92</v>
      </c>
    </row>
    <row r="76" spans="1:32" x14ac:dyDescent="0.3">
      <c r="A76" s="10" t="s">
        <v>4</v>
      </c>
      <c r="B76" s="11" t="s">
        <v>79</v>
      </c>
      <c r="C76" s="485">
        <v>2175940</v>
      </c>
      <c r="D76" s="489">
        <v>288250</v>
      </c>
      <c r="E76" s="489">
        <v>0</v>
      </c>
      <c r="F76" s="489">
        <v>318080</v>
      </c>
      <c r="G76" s="489">
        <v>0</v>
      </c>
      <c r="H76" s="489">
        <v>1058080</v>
      </c>
      <c r="I76" s="489">
        <v>598560</v>
      </c>
      <c r="J76" s="489">
        <v>0</v>
      </c>
      <c r="K76" s="489">
        <v>0</v>
      </c>
      <c r="L76" s="489">
        <v>304300</v>
      </c>
      <c r="M76" s="489">
        <v>1241440</v>
      </c>
      <c r="N76" s="489">
        <v>319410</v>
      </c>
      <c r="O76" s="489">
        <v>947580</v>
      </c>
      <c r="P76" s="1494">
        <f t="shared" si="6"/>
        <v>4438910</v>
      </c>
      <c r="Q76" s="1439">
        <f t="shared" si="7"/>
        <v>7251640</v>
      </c>
      <c r="R76" s="1413" t="s">
        <v>251</v>
      </c>
      <c r="S76" s="1414" t="s">
        <v>251</v>
      </c>
      <c r="T76" s="1414">
        <v>1012780</v>
      </c>
      <c r="U76" s="1414">
        <v>0</v>
      </c>
      <c r="V76" s="1414">
        <v>436380</v>
      </c>
      <c r="W76" s="1414">
        <v>0</v>
      </c>
      <c r="X76" s="1414">
        <v>0</v>
      </c>
      <c r="Y76" s="1414">
        <v>0</v>
      </c>
      <c r="Z76" s="1414"/>
      <c r="AA76" s="1414"/>
      <c r="AB76" s="1414"/>
      <c r="AC76" s="1414"/>
      <c r="AD76" s="488">
        <f t="shared" si="8"/>
        <v>1449160</v>
      </c>
      <c r="AE76" s="565">
        <f t="shared" si="9"/>
        <v>-0.67353246630366459</v>
      </c>
      <c r="AF76" s="566">
        <f t="shared" si="5"/>
        <v>135</v>
      </c>
    </row>
    <row r="77" spans="1:32" x14ac:dyDescent="0.3">
      <c r="A77" s="10" t="s">
        <v>4</v>
      </c>
      <c r="B77" s="11" t="s">
        <v>80</v>
      </c>
      <c r="C77" s="485">
        <v>134570</v>
      </c>
      <c r="D77" s="489">
        <v>529400</v>
      </c>
      <c r="E77" s="489">
        <v>1377580</v>
      </c>
      <c r="F77" s="489">
        <v>760750</v>
      </c>
      <c r="G77" s="489">
        <v>0</v>
      </c>
      <c r="H77" s="489">
        <v>455550</v>
      </c>
      <c r="I77" s="489">
        <v>272970</v>
      </c>
      <c r="J77" s="489">
        <v>42940</v>
      </c>
      <c r="K77" s="489">
        <v>42940</v>
      </c>
      <c r="L77" s="489">
        <v>1565070</v>
      </c>
      <c r="M77" s="489">
        <v>672060</v>
      </c>
      <c r="N77" s="489">
        <v>392560</v>
      </c>
      <c r="O77" s="489">
        <v>4191360</v>
      </c>
      <c r="P77" s="1494">
        <f t="shared" si="6"/>
        <v>3573760</v>
      </c>
      <c r="Q77" s="1439">
        <f t="shared" si="7"/>
        <v>10394810</v>
      </c>
      <c r="R77" s="1413">
        <v>3739190</v>
      </c>
      <c r="S77" s="1414">
        <v>320960</v>
      </c>
      <c r="T77" s="1414">
        <v>491500</v>
      </c>
      <c r="U77" s="1414">
        <v>0</v>
      </c>
      <c r="V77" s="1414">
        <v>0</v>
      </c>
      <c r="W77" s="1414">
        <v>0</v>
      </c>
      <c r="X77" s="1414">
        <v>596140</v>
      </c>
      <c r="Y77" s="1414">
        <v>0</v>
      </c>
      <c r="Z77" s="1414"/>
      <c r="AA77" s="1414"/>
      <c r="AB77" s="1414"/>
      <c r="AC77" s="1414"/>
      <c r="AD77" s="488">
        <f t="shared" si="8"/>
        <v>5147790</v>
      </c>
      <c r="AE77" s="565">
        <f t="shared" si="9"/>
        <v>0.44044088019340977</v>
      </c>
      <c r="AF77" s="566">
        <f t="shared" si="5"/>
        <v>81</v>
      </c>
    </row>
    <row r="78" spans="1:32" x14ac:dyDescent="0.3">
      <c r="A78" s="10" t="s">
        <v>4</v>
      </c>
      <c r="B78" s="11" t="s">
        <v>81</v>
      </c>
      <c r="C78" s="485"/>
      <c r="D78" s="489">
        <v>0</v>
      </c>
      <c r="E78" s="489">
        <v>1315630</v>
      </c>
      <c r="F78" s="489">
        <v>1206130</v>
      </c>
      <c r="G78" s="489">
        <v>0</v>
      </c>
      <c r="H78" s="489">
        <v>425640</v>
      </c>
      <c r="I78" s="489">
        <v>0</v>
      </c>
      <c r="J78" s="489">
        <v>0</v>
      </c>
      <c r="K78" s="489">
        <v>0</v>
      </c>
      <c r="L78" s="489">
        <v>10853260</v>
      </c>
      <c r="M78" s="489">
        <v>7335300</v>
      </c>
      <c r="N78" s="489">
        <v>11564330</v>
      </c>
      <c r="O78" s="489">
        <v>167000</v>
      </c>
      <c r="P78" s="1494">
        <f t="shared" si="6"/>
        <v>2947400</v>
      </c>
      <c r="Q78" s="1439">
        <f t="shared" si="7"/>
        <v>32867290</v>
      </c>
      <c r="R78" s="1413" t="s">
        <v>251</v>
      </c>
      <c r="S78" s="1414" t="s">
        <v>251</v>
      </c>
      <c r="T78" s="1414" t="s">
        <v>251</v>
      </c>
      <c r="U78" s="1414"/>
      <c r="V78" s="1414"/>
      <c r="W78" s="1414"/>
      <c r="X78" s="1414"/>
      <c r="Y78" s="1414"/>
      <c r="Z78" s="1414"/>
      <c r="AA78" s="1414"/>
      <c r="AB78" s="1414"/>
      <c r="AC78" s="1414"/>
      <c r="AD78" s="488">
        <f t="shared" si="8"/>
        <v>0</v>
      </c>
      <c r="AE78" s="565">
        <f t="shared" si="9"/>
        <v>-1</v>
      </c>
      <c r="AF78" s="566">
        <f t="shared" si="5"/>
        <v>240</v>
      </c>
    </row>
    <row r="79" spans="1:32" x14ac:dyDescent="0.3">
      <c r="A79" s="10" t="s">
        <v>4</v>
      </c>
      <c r="B79" s="11" t="s">
        <v>82</v>
      </c>
      <c r="C79" s="485"/>
      <c r="D79" s="489">
        <v>0</v>
      </c>
      <c r="E79" s="489">
        <v>403770</v>
      </c>
      <c r="F79" s="489">
        <v>1741030</v>
      </c>
      <c r="G79" s="489">
        <v>478210</v>
      </c>
      <c r="H79" s="489">
        <v>27510</v>
      </c>
      <c r="I79" s="489">
        <v>0</v>
      </c>
      <c r="J79" s="489">
        <v>0</v>
      </c>
      <c r="K79" s="489">
        <v>0</v>
      </c>
      <c r="L79" s="489">
        <v>0</v>
      </c>
      <c r="M79" s="489">
        <v>752840</v>
      </c>
      <c r="N79" s="489">
        <v>57610</v>
      </c>
      <c r="O79" s="489">
        <v>0</v>
      </c>
      <c r="P79" s="1494">
        <f t="shared" si="6"/>
        <v>2650520</v>
      </c>
      <c r="Q79" s="1439">
        <f t="shared" si="7"/>
        <v>3460970</v>
      </c>
      <c r="R79" s="1413" t="s">
        <v>251</v>
      </c>
      <c r="S79" s="1414" t="s">
        <v>251</v>
      </c>
      <c r="T79" s="1414">
        <v>895430</v>
      </c>
      <c r="U79" s="1414">
        <v>236350</v>
      </c>
      <c r="V79" s="1414">
        <v>1316190</v>
      </c>
      <c r="W79" s="1414">
        <v>30570</v>
      </c>
      <c r="X79" s="1414">
        <v>0</v>
      </c>
      <c r="Y79" s="1414">
        <v>0</v>
      </c>
      <c r="Z79" s="1414"/>
      <c r="AA79" s="1414"/>
      <c r="AB79" s="1414"/>
      <c r="AC79" s="1414"/>
      <c r="AD79" s="488">
        <f t="shared" si="8"/>
        <v>2478540</v>
      </c>
      <c r="AE79" s="565">
        <f t="shared" si="9"/>
        <v>-6.488538098184507E-2</v>
      </c>
      <c r="AF79" s="566">
        <f t="shared" si="5"/>
        <v>115</v>
      </c>
    </row>
    <row r="80" spans="1:32" x14ac:dyDescent="0.3">
      <c r="A80" s="10" t="s">
        <v>4</v>
      </c>
      <c r="B80" s="11" t="s">
        <v>605</v>
      </c>
      <c r="C80" s="485">
        <v>1305450</v>
      </c>
      <c r="D80" s="489">
        <v>0</v>
      </c>
      <c r="E80" s="489">
        <v>1220890</v>
      </c>
      <c r="F80" s="489">
        <v>0</v>
      </c>
      <c r="G80" s="489">
        <v>0</v>
      </c>
      <c r="H80" s="489">
        <v>1296840</v>
      </c>
      <c r="I80" s="489">
        <v>0</v>
      </c>
      <c r="J80" s="489">
        <v>0</v>
      </c>
      <c r="K80" s="489">
        <v>0</v>
      </c>
      <c r="L80" s="489">
        <v>689680</v>
      </c>
      <c r="M80" s="489">
        <v>0</v>
      </c>
      <c r="N80" s="489">
        <v>315450</v>
      </c>
      <c r="O80" s="489">
        <v>1270580</v>
      </c>
      <c r="P80" s="1494">
        <f t="shared" si="6"/>
        <v>3823180</v>
      </c>
      <c r="Q80" s="1439">
        <f t="shared" si="7"/>
        <v>6098890</v>
      </c>
      <c r="R80" s="1413" t="s">
        <v>251</v>
      </c>
      <c r="S80" s="1414" t="s">
        <v>251</v>
      </c>
      <c r="T80" s="1414" t="s">
        <v>251</v>
      </c>
      <c r="U80" s="1414">
        <v>800030</v>
      </c>
      <c r="V80" s="1414">
        <v>785230</v>
      </c>
      <c r="W80" s="1414">
        <v>734580</v>
      </c>
      <c r="X80" s="1414">
        <v>1080270</v>
      </c>
      <c r="Y80" s="1414">
        <v>497600</v>
      </c>
      <c r="Z80" s="1414"/>
      <c r="AA80" s="1414"/>
      <c r="AB80" s="1414"/>
      <c r="AC80" s="1414"/>
      <c r="AD80" s="488">
        <f t="shared" si="8"/>
        <v>3897710</v>
      </c>
      <c r="AE80" s="565">
        <f t="shared" si="9"/>
        <v>1.9494243012361436E-2</v>
      </c>
      <c r="AF80" s="566">
        <f t="shared" si="5"/>
        <v>94</v>
      </c>
    </row>
    <row r="81" spans="1:32" x14ac:dyDescent="0.3">
      <c r="A81" s="10" t="s">
        <v>4</v>
      </c>
      <c r="B81" s="11" t="s">
        <v>84</v>
      </c>
      <c r="C81" s="485"/>
      <c r="D81" s="489">
        <v>0</v>
      </c>
      <c r="E81" s="489">
        <v>0</v>
      </c>
      <c r="F81" s="489">
        <v>0</v>
      </c>
      <c r="G81" s="489">
        <v>2866070</v>
      </c>
      <c r="H81" s="489">
        <v>747210</v>
      </c>
      <c r="I81" s="489">
        <v>503650</v>
      </c>
      <c r="J81" s="489">
        <v>0</v>
      </c>
      <c r="K81" s="489">
        <v>0</v>
      </c>
      <c r="L81" s="489">
        <v>0</v>
      </c>
      <c r="M81" s="489">
        <v>0</v>
      </c>
      <c r="N81" s="489">
        <v>0</v>
      </c>
      <c r="O81" s="489">
        <v>0</v>
      </c>
      <c r="P81" s="1494">
        <f t="shared" si="6"/>
        <v>4116930</v>
      </c>
      <c r="Q81" s="1439">
        <f t="shared" si="7"/>
        <v>4116930</v>
      </c>
      <c r="R81" s="1413" t="s">
        <v>251</v>
      </c>
      <c r="S81" s="1414" t="s">
        <v>251</v>
      </c>
      <c r="T81" s="1414" t="s">
        <v>251</v>
      </c>
      <c r="U81" s="1414"/>
      <c r="V81" s="1414"/>
      <c r="W81" s="1414">
        <v>3306640</v>
      </c>
      <c r="X81" s="1414">
        <v>0</v>
      </c>
      <c r="Y81" s="1414">
        <v>0</v>
      </c>
      <c r="Z81" s="1414"/>
      <c r="AA81" s="1414"/>
      <c r="AB81" s="1414"/>
      <c r="AC81" s="1414"/>
      <c r="AD81" s="488">
        <f t="shared" si="8"/>
        <v>3306640</v>
      </c>
      <c r="AE81" s="565">
        <f t="shared" si="9"/>
        <v>-0.19681898890678248</v>
      </c>
      <c r="AF81" s="566">
        <f t="shared" si="5"/>
        <v>104</v>
      </c>
    </row>
    <row r="82" spans="1:32" x14ac:dyDescent="0.3">
      <c r="A82" s="10" t="s">
        <v>4</v>
      </c>
      <c r="B82" s="11" t="s">
        <v>85</v>
      </c>
      <c r="C82" s="485">
        <v>1162290</v>
      </c>
      <c r="D82" s="489">
        <v>441590</v>
      </c>
      <c r="E82" s="489">
        <v>351670</v>
      </c>
      <c r="F82" s="489">
        <v>372720</v>
      </c>
      <c r="G82" s="489">
        <v>0</v>
      </c>
      <c r="H82" s="489">
        <v>0</v>
      </c>
      <c r="I82" s="489">
        <v>0</v>
      </c>
      <c r="J82" s="489">
        <v>0</v>
      </c>
      <c r="K82" s="489">
        <v>0</v>
      </c>
      <c r="L82" s="489">
        <v>0</v>
      </c>
      <c r="M82" s="489">
        <v>0</v>
      </c>
      <c r="N82" s="489">
        <v>0</v>
      </c>
      <c r="O82" s="489">
        <v>0</v>
      </c>
      <c r="P82" s="1494">
        <f t="shared" si="6"/>
        <v>2328270</v>
      </c>
      <c r="Q82" s="1439">
        <f t="shared" si="7"/>
        <v>2328270</v>
      </c>
      <c r="R82" s="1413" t="s">
        <v>251</v>
      </c>
      <c r="S82" s="1414">
        <v>518360</v>
      </c>
      <c r="T82" s="1414">
        <v>0</v>
      </c>
      <c r="U82" s="1414">
        <v>0</v>
      </c>
      <c r="V82" s="1414">
        <v>0</v>
      </c>
      <c r="W82" s="1414">
        <v>0</v>
      </c>
      <c r="X82" s="1414">
        <v>0</v>
      </c>
      <c r="Y82" s="1414">
        <v>0</v>
      </c>
      <c r="Z82" s="1414"/>
      <c r="AA82" s="1414"/>
      <c r="AB82" s="1414"/>
      <c r="AC82" s="1414"/>
      <c r="AD82" s="488">
        <f t="shared" si="8"/>
        <v>518360</v>
      </c>
      <c r="AE82" s="565">
        <f t="shared" si="9"/>
        <v>-0.77736259110841954</v>
      </c>
      <c r="AF82" s="566">
        <f t="shared" si="5"/>
        <v>176</v>
      </c>
    </row>
    <row r="83" spans="1:32" x14ac:dyDescent="0.3">
      <c r="A83" s="10" t="s">
        <v>4</v>
      </c>
      <c r="B83" s="11" t="s">
        <v>86</v>
      </c>
      <c r="C83" s="485">
        <v>448840</v>
      </c>
      <c r="D83" s="489">
        <v>94420</v>
      </c>
      <c r="E83" s="489">
        <v>101600</v>
      </c>
      <c r="F83" s="489">
        <v>0</v>
      </c>
      <c r="G83" s="489">
        <v>1659880</v>
      </c>
      <c r="H83" s="489">
        <v>3077100</v>
      </c>
      <c r="I83" s="489">
        <v>2945320</v>
      </c>
      <c r="J83" s="489">
        <v>1084590</v>
      </c>
      <c r="K83" s="489">
        <v>1084590</v>
      </c>
      <c r="L83" s="489">
        <v>1015290</v>
      </c>
      <c r="M83" s="489">
        <v>0</v>
      </c>
      <c r="N83" s="489">
        <v>0</v>
      </c>
      <c r="O83" s="489">
        <v>0</v>
      </c>
      <c r="P83" s="1494">
        <f t="shared" si="6"/>
        <v>9411750</v>
      </c>
      <c r="Q83" s="1439">
        <f t="shared" si="7"/>
        <v>10427040</v>
      </c>
      <c r="R83" s="1413" t="s">
        <v>251</v>
      </c>
      <c r="S83" s="1414" t="s">
        <v>251</v>
      </c>
      <c r="T83" s="1414" t="s">
        <v>251</v>
      </c>
      <c r="U83" s="1414"/>
      <c r="V83" s="1414"/>
      <c r="W83" s="1414"/>
      <c r="X83" s="1414"/>
      <c r="Y83" s="1414"/>
      <c r="Z83" s="1414"/>
      <c r="AA83" s="1414"/>
      <c r="AB83" s="1414"/>
      <c r="AC83" s="1414"/>
      <c r="AD83" s="488">
        <f t="shared" si="8"/>
        <v>0</v>
      </c>
      <c r="AE83" s="565">
        <f t="shared" si="9"/>
        <v>-1</v>
      </c>
      <c r="AF83" s="566">
        <f t="shared" si="5"/>
        <v>240</v>
      </c>
    </row>
    <row r="84" spans="1:32" x14ac:dyDescent="0.3">
      <c r="A84" s="10" t="s">
        <v>4</v>
      </c>
      <c r="B84" s="11" t="s">
        <v>87</v>
      </c>
      <c r="C84" s="485"/>
      <c r="D84" s="489">
        <v>0</v>
      </c>
      <c r="E84" s="489">
        <v>1332070</v>
      </c>
      <c r="F84" s="489">
        <v>0</v>
      </c>
      <c r="G84" s="489">
        <v>785170</v>
      </c>
      <c r="H84" s="489">
        <v>0</v>
      </c>
      <c r="I84" s="489">
        <v>385810</v>
      </c>
      <c r="J84" s="489">
        <v>0</v>
      </c>
      <c r="K84" s="489">
        <v>0</v>
      </c>
      <c r="L84" s="489">
        <v>0</v>
      </c>
      <c r="M84" s="489">
        <v>801400</v>
      </c>
      <c r="N84" s="489">
        <v>406600</v>
      </c>
      <c r="O84" s="489">
        <v>0</v>
      </c>
      <c r="P84" s="1494">
        <f t="shared" si="6"/>
        <v>2503050</v>
      </c>
      <c r="Q84" s="1439">
        <f t="shared" si="7"/>
        <v>3711050</v>
      </c>
      <c r="R84" s="1413" t="s">
        <v>251</v>
      </c>
      <c r="S84" s="1414" t="s">
        <v>251</v>
      </c>
      <c r="T84" s="1414">
        <v>32990</v>
      </c>
      <c r="U84" s="1414">
        <v>247000</v>
      </c>
      <c r="V84" s="1414">
        <v>607480</v>
      </c>
      <c r="W84" s="1414">
        <v>2912030</v>
      </c>
      <c r="X84" s="1414">
        <v>1231930</v>
      </c>
      <c r="Y84" s="1414">
        <v>0</v>
      </c>
      <c r="Z84" s="1414"/>
      <c r="AA84" s="1414"/>
      <c r="AB84" s="1414"/>
      <c r="AC84" s="1414"/>
      <c r="AD84" s="488">
        <f t="shared" si="8"/>
        <v>5031430</v>
      </c>
      <c r="AE84" s="565">
        <f t="shared" si="9"/>
        <v>1.0101196540220931</v>
      </c>
      <c r="AF84" s="566">
        <f t="shared" si="5"/>
        <v>84</v>
      </c>
    </row>
    <row r="85" spans="1:32" x14ac:dyDescent="0.3">
      <c r="A85" s="10" t="s">
        <v>4</v>
      </c>
      <c r="B85" s="11" t="s">
        <v>88</v>
      </c>
      <c r="C85" s="485"/>
      <c r="D85" s="489">
        <v>0</v>
      </c>
      <c r="E85" s="489">
        <v>1876770</v>
      </c>
      <c r="F85" s="489">
        <v>0</v>
      </c>
      <c r="G85" s="489">
        <v>0</v>
      </c>
      <c r="H85" s="489">
        <v>0</v>
      </c>
      <c r="I85" s="489">
        <v>494920</v>
      </c>
      <c r="J85" s="489">
        <v>0</v>
      </c>
      <c r="K85" s="489">
        <v>0</v>
      </c>
      <c r="L85" s="489">
        <v>0</v>
      </c>
      <c r="M85" s="489">
        <v>0</v>
      </c>
      <c r="N85" s="489">
        <v>0</v>
      </c>
      <c r="O85" s="489">
        <v>1493020</v>
      </c>
      <c r="P85" s="1494">
        <f t="shared" si="6"/>
        <v>2371690</v>
      </c>
      <c r="Q85" s="1439">
        <f t="shared" si="7"/>
        <v>3864710</v>
      </c>
      <c r="R85" s="1413">
        <v>53780</v>
      </c>
      <c r="S85" s="1414" t="s">
        <v>251</v>
      </c>
      <c r="T85" s="1414">
        <v>3070030</v>
      </c>
      <c r="U85" s="1414">
        <v>0</v>
      </c>
      <c r="V85" s="1414">
        <v>59310</v>
      </c>
      <c r="W85" s="1414">
        <v>0</v>
      </c>
      <c r="X85" s="1414">
        <v>0</v>
      </c>
      <c r="Y85" s="1414">
        <v>0</v>
      </c>
      <c r="Z85" s="1414"/>
      <c r="AA85" s="1414"/>
      <c r="AB85" s="1414"/>
      <c r="AC85" s="1414"/>
      <c r="AD85" s="488">
        <f t="shared" si="8"/>
        <v>3183120</v>
      </c>
      <c r="AE85" s="565">
        <f t="shared" si="9"/>
        <v>0.34213156019547242</v>
      </c>
      <c r="AF85" s="566">
        <f t="shared" si="5"/>
        <v>108</v>
      </c>
    </row>
    <row r="86" spans="1:32" x14ac:dyDescent="0.3">
      <c r="A86" s="10" t="s">
        <v>4</v>
      </c>
      <c r="B86" s="11" t="s">
        <v>89</v>
      </c>
      <c r="C86" s="485">
        <v>291890</v>
      </c>
      <c r="D86" s="489">
        <v>0</v>
      </c>
      <c r="E86" s="489">
        <v>0</v>
      </c>
      <c r="F86" s="489">
        <v>1248940</v>
      </c>
      <c r="G86" s="489">
        <v>303780</v>
      </c>
      <c r="H86" s="489">
        <v>0</v>
      </c>
      <c r="I86" s="489">
        <v>268740</v>
      </c>
      <c r="J86" s="489">
        <v>305900</v>
      </c>
      <c r="K86" s="489">
        <v>305900</v>
      </c>
      <c r="L86" s="489">
        <v>873960</v>
      </c>
      <c r="M86" s="489">
        <v>0</v>
      </c>
      <c r="N86" s="489">
        <v>512770</v>
      </c>
      <c r="O86" s="489">
        <v>325770</v>
      </c>
      <c r="P86" s="1494">
        <f t="shared" si="6"/>
        <v>2419250</v>
      </c>
      <c r="Q86" s="1439">
        <f t="shared" si="7"/>
        <v>4131750</v>
      </c>
      <c r="R86" s="1413" t="s">
        <v>251</v>
      </c>
      <c r="S86" s="1414" t="s">
        <v>251</v>
      </c>
      <c r="T86" s="1414">
        <v>644600</v>
      </c>
      <c r="U86" s="1414">
        <v>0</v>
      </c>
      <c r="V86" s="1414">
        <v>872000</v>
      </c>
      <c r="W86" s="1414">
        <v>1094880</v>
      </c>
      <c r="X86" s="1414">
        <v>0</v>
      </c>
      <c r="Y86" s="1414">
        <v>598540</v>
      </c>
      <c r="Z86" s="1414"/>
      <c r="AA86" s="1414"/>
      <c r="AB86" s="1414"/>
      <c r="AC86" s="1414"/>
      <c r="AD86" s="488">
        <f t="shared" si="8"/>
        <v>3210020</v>
      </c>
      <c r="AE86" s="565">
        <f t="shared" si="9"/>
        <v>0.32686576418311458</v>
      </c>
      <c r="AF86" s="566">
        <f t="shared" si="5"/>
        <v>106</v>
      </c>
    </row>
    <row r="87" spans="1:32" x14ac:dyDescent="0.3">
      <c r="A87" s="10" t="s">
        <v>4</v>
      </c>
      <c r="B87" s="11" t="s">
        <v>90</v>
      </c>
      <c r="C87" s="485">
        <v>851140</v>
      </c>
      <c r="D87" s="489">
        <v>0</v>
      </c>
      <c r="E87" s="489">
        <v>0</v>
      </c>
      <c r="F87" s="489">
        <v>0</v>
      </c>
      <c r="G87" s="489">
        <v>928000</v>
      </c>
      <c r="H87" s="489">
        <v>325010</v>
      </c>
      <c r="I87" s="489">
        <v>270520</v>
      </c>
      <c r="J87" s="489">
        <v>535930</v>
      </c>
      <c r="K87" s="489">
        <v>535930</v>
      </c>
      <c r="L87" s="489">
        <v>0</v>
      </c>
      <c r="M87" s="489">
        <v>0</v>
      </c>
      <c r="N87" s="489">
        <v>0</v>
      </c>
      <c r="O87" s="489">
        <v>0</v>
      </c>
      <c r="P87" s="1494">
        <f t="shared" si="6"/>
        <v>2910600</v>
      </c>
      <c r="Q87" s="1439">
        <f t="shared" si="7"/>
        <v>2910600</v>
      </c>
      <c r="R87" s="1413" t="s">
        <v>251</v>
      </c>
      <c r="S87" s="1414" t="s">
        <v>251</v>
      </c>
      <c r="T87" s="1414" t="s">
        <v>251</v>
      </c>
      <c r="U87" s="1414"/>
      <c r="V87" s="1414"/>
      <c r="W87" s="1414"/>
      <c r="X87" s="1414">
        <v>982620</v>
      </c>
      <c r="Y87" s="1414">
        <v>396490</v>
      </c>
      <c r="Z87" s="1414"/>
      <c r="AA87" s="1414"/>
      <c r="AB87" s="1414"/>
      <c r="AC87" s="1414"/>
      <c r="AD87" s="488">
        <f t="shared" si="8"/>
        <v>1379110</v>
      </c>
      <c r="AE87" s="565">
        <f t="shared" si="9"/>
        <v>-0.52617673331959047</v>
      </c>
      <c r="AF87" s="566">
        <f t="shared" si="5"/>
        <v>139</v>
      </c>
    </row>
    <row r="88" spans="1:32" x14ac:dyDescent="0.3">
      <c r="A88" s="10" t="s">
        <v>4</v>
      </c>
      <c r="B88" s="11" t="s">
        <v>91</v>
      </c>
      <c r="C88" s="485">
        <v>1216320</v>
      </c>
      <c r="D88" s="489">
        <v>76740</v>
      </c>
      <c r="E88" s="489">
        <v>0</v>
      </c>
      <c r="F88" s="489">
        <v>444790</v>
      </c>
      <c r="G88" s="489">
        <v>0</v>
      </c>
      <c r="H88" s="489">
        <v>1776150</v>
      </c>
      <c r="I88" s="489">
        <v>0</v>
      </c>
      <c r="J88" s="489">
        <v>45850</v>
      </c>
      <c r="K88" s="489">
        <v>45850</v>
      </c>
      <c r="L88" s="489">
        <v>0</v>
      </c>
      <c r="M88" s="489">
        <v>885530</v>
      </c>
      <c r="N88" s="489">
        <v>863400</v>
      </c>
      <c r="O88" s="489">
        <v>87630</v>
      </c>
      <c r="P88" s="1494">
        <f t="shared" si="6"/>
        <v>3559850</v>
      </c>
      <c r="Q88" s="1439">
        <f t="shared" si="7"/>
        <v>5396410</v>
      </c>
      <c r="R88" s="1413">
        <v>370710</v>
      </c>
      <c r="S88" s="1414" t="s">
        <v>251</v>
      </c>
      <c r="T88" s="1414">
        <v>608960</v>
      </c>
      <c r="U88" s="1414">
        <v>50500</v>
      </c>
      <c r="V88" s="1414">
        <v>1294500</v>
      </c>
      <c r="W88" s="1414">
        <v>0</v>
      </c>
      <c r="X88" s="1414">
        <v>696360</v>
      </c>
      <c r="Y88" s="1414">
        <v>0</v>
      </c>
      <c r="Z88" s="1414"/>
      <c r="AA88" s="1414"/>
      <c r="AB88" s="1414"/>
      <c r="AC88" s="1414"/>
      <c r="AD88" s="488">
        <f t="shared" si="8"/>
        <v>3021030</v>
      </c>
      <c r="AE88" s="565">
        <f t="shared" si="9"/>
        <v>-0.15136031012542664</v>
      </c>
      <c r="AF88" s="566">
        <f t="shared" si="5"/>
        <v>110</v>
      </c>
    </row>
    <row r="89" spans="1:32" x14ac:dyDescent="0.3">
      <c r="A89" s="10" t="s">
        <v>4</v>
      </c>
      <c r="B89" s="11" t="s">
        <v>92</v>
      </c>
      <c r="C89" s="485">
        <v>29210</v>
      </c>
      <c r="D89" s="489">
        <v>0</v>
      </c>
      <c r="E89" s="489">
        <v>801520</v>
      </c>
      <c r="F89" s="489">
        <v>0</v>
      </c>
      <c r="G89" s="489">
        <v>864760</v>
      </c>
      <c r="H89" s="489">
        <v>27250</v>
      </c>
      <c r="I89" s="489">
        <v>0</v>
      </c>
      <c r="J89" s="489">
        <v>0</v>
      </c>
      <c r="K89" s="489">
        <v>0</v>
      </c>
      <c r="L89" s="489">
        <v>900200</v>
      </c>
      <c r="M89" s="489">
        <v>28550</v>
      </c>
      <c r="N89" s="489">
        <v>0</v>
      </c>
      <c r="O89" s="489">
        <v>0</v>
      </c>
      <c r="P89" s="1494">
        <f t="shared" si="6"/>
        <v>1722740</v>
      </c>
      <c r="Q89" s="1439">
        <f t="shared" si="7"/>
        <v>2651490</v>
      </c>
      <c r="R89" s="1413" t="s">
        <v>251</v>
      </c>
      <c r="S89" s="1414" t="s">
        <v>251</v>
      </c>
      <c r="T89" s="1414">
        <v>941360</v>
      </c>
      <c r="U89" s="1414">
        <v>0</v>
      </c>
      <c r="V89" s="1414">
        <v>0</v>
      </c>
      <c r="W89" s="1414">
        <v>0</v>
      </c>
      <c r="X89" s="1414">
        <v>0</v>
      </c>
      <c r="Y89" s="1414">
        <v>1236460</v>
      </c>
      <c r="Z89" s="1414"/>
      <c r="AA89" s="1414"/>
      <c r="AB89" s="1414"/>
      <c r="AC89" s="1414"/>
      <c r="AD89" s="488">
        <f t="shared" si="8"/>
        <v>2177820</v>
      </c>
      <c r="AE89" s="565">
        <f t="shared" si="9"/>
        <v>0.26416058139939863</v>
      </c>
      <c r="AF89" s="566">
        <f t="shared" si="5"/>
        <v>121</v>
      </c>
    </row>
    <row r="90" spans="1:32" x14ac:dyDescent="0.3">
      <c r="A90" s="10" t="s">
        <v>4</v>
      </c>
      <c r="B90" s="11" t="s">
        <v>2406</v>
      </c>
      <c r="C90" s="485"/>
      <c r="D90" s="489">
        <v>730200</v>
      </c>
      <c r="E90" s="489">
        <v>804260</v>
      </c>
      <c r="F90" s="489">
        <v>143140</v>
      </c>
      <c r="G90" s="489">
        <v>0</v>
      </c>
      <c r="H90" s="489">
        <v>1313090</v>
      </c>
      <c r="I90" s="489">
        <v>233410</v>
      </c>
      <c r="J90" s="489">
        <v>0</v>
      </c>
      <c r="K90" s="489"/>
      <c r="L90" s="489">
        <v>1055180</v>
      </c>
      <c r="M90" s="489">
        <v>0</v>
      </c>
      <c r="N90" s="489">
        <v>376500</v>
      </c>
      <c r="O90" s="489">
        <v>2408610</v>
      </c>
      <c r="P90" s="1494">
        <f t="shared" si="6"/>
        <v>3224100</v>
      </c>
      <c r="Q90" s="1439">
        <f t="shared" si="7"/>
        <v>7064390</v>
      </c>
      <c r="R90" s="1413" t="s">
        <v>251</v>
      </c>
      <c r="S90" s="1414" t="s">
        <v>251</v>
      </c>
      <c r="T90" s="1414">
        <v>2556240</v>
      </c>
      <c r="U90" s="1414"/>
      <c r="V90" s="1414"/>
      <c r="W90" s="1414"/>
      <c r="X90" s="1414"/>
      <c r="Y90" s="1414"/>
      <c r="Z90" s="1414"/>
      <c r="AA90" s="1414"/>
      <c r="AB90" s="1414"/>
      <c r="AC90" s="1414"/>
      <c r="AD90" s="488">
        <f t="shared" si="8"/>
        <v>2556240</v>
      </c>
      <c r="AE90" s="565">
        <f t="shared" si="9"/>
        <v>-0.20714618032939425</v>
      </c>
      <c r="AF90" s="566">
        <f t="shared" si="5"/>
        <v>113</v>
      </c>
    </row>
    <row r="91" spans="1:32" x14ac:dyDescent="0.3">
      <c r="A91" s="10" t="s">
        <v>4</v>
      </c>
      <c r="B91" s="11" t="s">
        <v>93</v>
      </c>
      <c r="C91" s="485">
        <v>461690</v>
      </c>
      <c r="D91" s="489" t="s">
        <v>251</v>
      </c>
      <c r="E91" s="489" t="s">
        <v>251</v>
      </c>
      <c r="F91" s="489" t="s">
        <v>251</v>
      </c>
      <c r="G91" s="489">
        <v>1209900</v>
      </c>
      <c r="H91" s="489" t="s">
        <v>251</v>
      </c>
      <c r="I91" s="489" t="s">
        <v>251</v>
      </c>
      <c r="J91" s="489" t="s">
        <v>251</v>
      </c>
      <c r="K91" s="489"/>
      <c r="L91" s="489" t="s">
        <v>251</v>
      </c>
      <c r="M91" s="489" t="s">
        <v>251</v>
      </c>
      <c r="N91" s="489" t="s">
        <v>251</v>
      </c>
      <c r="O91" s="489" t="s">
        <v>251</v>
      </c>
      <c r="P91" s="1494">
        <f t="shared" si="6"/>
        <v>1671590</v>
      </c>
      <c r="Q91" s="1439">
        <f t="shared" si="7"/>
        <v>1671590</v>
      </c>
      <c r="R91" s="1413" t="s">
        <v>251</v>
      </c>
      <c r="S91" s="1414" t="s">
        <v>251</v>
      </c>
      <c r="T91" s="1414" t="s">
        <v>251</v>
      </c>
      <c r="U91" s="1414"/>
      <c r="V91" s="1414"/>
      <c r="W91" s="1414"/>
      <c r="X91" s="1414"/>
      <c r="Y91" s="1414"/>
      <c r="Z91" s="1414"/>
      <c r="AA91" s="1414"/>
      <c r="AB91" s="1414"/>
      <c r="AC91" s="1414"/>
      <c r="AD91" s="488">
        <f t="shared" si="8"/>
        <v>0</v>
      </c>
      <c r="AE91" s="565">
        <f t="shared" si="9"/>
        <v>-1</v>
      </c>
      <c r="AF91" s="566">
        <f t="shared" si="5"/>
        <v>240</v>
      </c>
    </row>
    <row r="92" spans="1:32" x14ac:dyDescent="0.3">
      <c r="A92" s="10" t="s">
        <v>4</v>
      </c>
      <c r="B92" s="11" t="s">
        <v>94</v>
      </c>
      <c r="C92" s="485">
        <v>1115870</v>
      </c>
      <c r="D92" s="489">
        <v>511850</v>
      </c>
      <c r="E92" s="489">
        <v>0</v>
      </c>
      <c r="F92" s="489">
        <v>0</v>
      </c>
      <c r="G92" s="489">
        <v>0</v>
      </c>
      <c r="H92" s="489">
        <v>182460</v>
      </c>
      <c r="I92" s="489">
        <v>0</v>
      </c>
      <c r="J92" s="489">
        <v>705730</v>
      </c>
      <c r="K92" s="489">
        <v>705730</v>
      </c>
      <c r="L92" s="489">
        <v>1091180</v>
      </c>
      <c r="M92" s="489">
        <v>0</v>
      </c>
      <c r="N92" s="489">
        <v>0</v>
      </c>
      <c r="O92" s="489">
        <v>756370</v>
      </c>
      <c r="P92" s="1494">
        <f t="shared" si="6"/>
        <v>2515910</v>
      </c>
      <c r="Q92" s="1439">
        <f t="shared" si="7"/>
        <v>4363460</v>
      </c>
      <c r="R92" s="1413" t="s">
        <v>251</v>
      </c>
      <c r="S92" s="1414" t="s">
        <v>251</v>
      </c>
      <c r="T92" s="1414">
        <v>1002840</v>
      </c>
      <c r="U92" s="1414">
        <v>2250590</v>
      </c>
      <c r="V92" s="1414">
        <v>0</v>
      </c>
      <c r="W92" s="1414">
        <v>202620</v>
      </c>
      <c r="X92" s="1414">
        <v>0</v>
      </c>
      <c r="Y92" s="1414">
        <v>0</v>
      </c>
      <c r="Z92" s="1414"/>
      <c r="AA92" s="1414"/>
      <c r="AB92" s="1414"/>
      <c r="AC92" s="1414"/>
      <c r="AD92" s="488">
        <f t="shared" si="8"/>
        <v>3456050</v>
      </c>
      <c r="AE92" s="565">
        <f t="shared" si="9"/>
        <v>0.37367791375685139</v>
      </c>
      <c r="AF92" s="566">
        <f t="shared" si="5"/>
        <v>100</v>
      </c>
    </row>
    <row r="93" spans="1:32" x14ac:dyDescent="0.3">
      <c r="A93" s="10" t="s">
        <v>4</v>
      </c>
      <c r="B93" s="11" t="s">
        <v>95</v>
      </c>
      <c r="C93" s="485">
        <v>48510</v>
      </c>
      <c r="D93" s="489">
        <v>0</v>
      </c>
      <c r="E93" s="489">
        <v>482990</v>
      </c>
      <c r="F93" s="489">
        <v>556020</v>
      </c>
      <c r="G93" s="489">
        <v>497620</v>
      </c>
      <c r="H93" s="489">
        <v>1096180</v>
      </c>
      <c r="I93" s="489">
        <v>479860</v>
      </c>
      <c r="J93" s="489">
        <v>0</v>
      </c>
      <c r="K93" s="489">
        <v>0</v>
      </c>
      <c r="L93" s="489">
        <v>0</v>
      </c>
      <c r="M93" s="489">
        <v>0</v>
      </c>
      <c r="N93" s="489">
        <v>0</v>
      </c>
      <c r="O93" s="489">
        <v>0</v>
      </c>
      <c r="P93" s="1494">
        <f t="shared" si="6"/>
        <v>3161180</v>
      </c>
      <c r="Q93" s="1439">
        <f t="shared" si="7"/>
        <v>3161180</v>
      </c>
      <c r="R93" s="1413" t="s">
        <v>251</v>
      </c>
      <c r="S93" s="1414">
        <v>510040</v>
      </c>
      <c r="T93" s="1414">
        <v>435850</v>
      </c>
      <c r="U93" s="1414">
        <v>0</v>
      </c>
      <c r="V93" s="1414">
        <v>47870</v>
      </c>
      <c r="W93" s="1414">
        <v>450130</v>
      </c>
      <c r="X93" s="1414">
        <v>0</v>
      </c>
      <c r="Y93" s="1414">
        <v>0</v>
      </c>
      <c r="Z93" s="1414"/>
      <c r="AA93" s="1414"/>
      <c r="AB93" s="1414"/>
      <c r="AC93" s="1414"/>
      <c r="AD93" s="488">
        <f t="shared" si="8"/>
        <v>1443890</v>
      </c>
      <c r="AE93" s="565">
        <f t="shared" si="9"/>
        <v>-0.54324334583921197</v>
      </c>
      <c r="AF93" s="566">
        <f t="shared" si="5"/>
        <v>136</v>
      </c>
    </row>
    <row r="94" spans="1:32" x14ac:dyDescent="0.3">
      <c r="A94" s="10" t="s">
        <v>4</v>
      </c>
      <c r="B94" s="11" t="s">
        <v>96</v>
      </c>
      <c r="C94" s="485"/>
      <c r="D94" s="489">
        <v>0</v>
      </c>
      <c r="E94" s="489">
        <v>0</v>
      </c>
      <c r="F94" s="489">
        <v>0</v>
      </c>
      <c r="G94" s="489">
        <v>1563870</v>
      </c>
      <c r="H94" s="489">
        <v>1329920</v>
      </c>
      <c r="I94" s="489">
        <v>80700</v>
      </c>
      <c r="J94" s="489">
        <v>527230</v>
      </c>
      <c r="K94" s="489">
        <v>527230</v>
      </c>
      <c r="L94" s="489">
        <v>817470</v>
      </c>
      <c r="M94" s="489">
        <v>504570</v>
      </c>
      <c r="N94" s="489">
        <v>1899100</v>
      </c>
      <c r="O94" s="489">
        <v>1083340</v>
      </c>
      <c r="P94" s="1494">
        <f t="shared" si="6"/>
        <v>3501720</v>
      </c>
      <c r="Q94" s="1439">
        <f t="shared" si="7"/>
        <v>7806200</v>
      </c>
      <c r="R94" s="1413">
        <v>4923380</v>
      </c>
      <c r="S94" s="1414">
        <v>405800</v>
      </c>
      <c r="T94" s="1414">
        <v>31200</v>
      </c>
      <c r="U94" s="1414">
        <v>717190</v>
      </c>
      <c r="V94" s="1414">
        <v>32040</v>
      </c>
      <c r="W94" s="1414">
        <v>956160</v>
      </c>
      <c r="X94" s="1414">
        <v>251810</v>
      </c>
      <c r="Y94" s="1414">
        <v>0</v>
      </c>
      <c r="Z94" s="1414"/>
      <c r="AA94" s="1414"/>
      <c r="AB94" s="1414"/>
      <c r="AC94" s="1414"/>
      <c r="AD94" s="488">
        <f t="shared" si="8"/>
        <v>7317580</v>
      </c>
      <c r="AE94" s="565">
        <f t="shared" si="9"/>
        <v>1.0897101995590739</v>
      </c>
      <c r="AF94" s="566">
        <f t="shared" si="5"/>
        <v>66</v>
      </c>
    </row>
    <row r="95" spans="1:32" x14ac:dyDescent="0.3">
      <c r="A95" s="10" t="s">
        <v>4</v>
      </c>
      <c r="B95" s="11" t="s">
        <v>97</v>
      </c>
      <c r="C95" s="485">
        <v>1515210</v>
      </c>
      <c r="D95" s="489">
        <v>0</v>
      </c>
      <c r="E95" s="489">
        <v>0</v>
      </c>
      <c r="F95" s="489">
        <v>0</v>
      </c>
      <c r="G95" s="489">
        <v>0</v>
      </c>
      <c r="H95" s="489">
        <v>0</v>
      </c>
      <c r="I95" s="489">
        <v>0</v>
      </c>
      <c r="J95" s="489">
        <v>0</v>
      </c>
      <c r="K95" s="489">
        <v>0</v>
      </c>
      <c r="L95" s="489">
        <v>0</v>
      </c>
      <c r="M95" s="489">
        <v>0</v>
      </c>
      <c r="N95" s="489">
        <v>0</v>
      </c>
      <c r="O95" s="489">
        <v>0</v>
      </c>
      <c r="P95" s="1494">
        <f t="shared" si="6"/>
        <v>1515210</v>
      </c>
      <c r="Q95" s="1439">
        <f t="shared" si="7"/>
        <v>1515210</v>
      </c>
      <c r="R95" s="1413" t="s">
        <v>251</v>
      </c>
      <c r="S95" s="1414" t="s">
        <v>251</v>
      </c>
      <c r="T95" s="1414" t="s">
        <v>251</v>
      </c>
      <c r="U95" s="1414"/>
      <c r="V95" s="1414"/>
      <c r="W95" s="1414"/>
      <c r="X95" s="1414"/>
      <c r="Y95" s="1414"/>
      <c r="Z95" s="1414"/>
      <c r="AA95" s="1414"/>
      <c r="AB95" s="1414"/>
      <c r="AC95" s="1414"/>
      <c r="AD95" s="488">
        <f t="shared" si="8"/>
        <v>0</v>
      </c>
      <c r="AE95" s="565">
        <f t="shared" si="9"/>
        <v>-1</v>
      </c>
      <c r="AF95" s="566">
        <f t="shared" si="5"/>
        <v>240</v>
      </c>
    </row>
    <row r="96" spans="1:32" x14ac:dyDescent="0.3">
      <c r="A96" s="10" t="s">
        <v>4</v>
      </c>
      <c r="B96" s="11" t="s">
        <v>98</v>
      </c>
      <c r="C96" s="485"/>
      <c r="D96" s="489">
        <v>0</v>
      </c>
      <c r="E96" s="489">
        <v>1047900</v>
      </c>
      <c r="F96" s="489">
        <v>0</v>
      </c>
      <c r="G96" s="489">
        <v>464100</v>
      </c>
      <c r="H96" s="489">
        <v>158080</v>
      </c>
      <c r="I96" s="489">
        <v>0</v>
      </c>
      <c r="J96" s="489">
        <v>237670</v>
      </c>
      <c r="K96" s="489">
        <v>237670</v>
      </c>
      <c r="L96" s="489">
        <v>27600</v>
      </c>
      <c r="M96" s="489">
        <v>0</v>
      </c>
      <c r="N96" s="489">
        <v>0</v>
      </c>
      <c r="O96" s="489">
        <v>0</v>
      </c>
      <c r="P96" s="1494">
        <f t="shared" si="6"/>
        <v>1907750</v>
      </c>
      <c r="Q96" s="1439">
        <f t="shared" si="7"/>
        <v>1935350</v>
      </c>
      <c r="R96" s="1413" t="s">
        <v>251</v>
      </c>
      <c r="S96" s="1414" t="s">
        <v>251</v>
      </c>
      <c r="T96" s="1414" t="s">
        <v>251</v>
      </c>
      <c r="U96" s="1414"/>
      <c r="V96" s="1414"/>
      <c r="W96" s="1414"/>
      <c r="X96" s="1414"/>
      <c r="Y96" s="1414"/>
      <c r="Z96" s="1414"/>
      <c r="AA96" s="1414"/>
      <c r="AB96" s="1414"/>
      <c r="AC96" s="1414"/>
      <c r="AD96" s="488">
        <f t="shared" si="8"/>
        <v>0</v>
      </c>
      <c r="AE96" s="565">
        <f t="shared" si="9"/>
        <v>-1</v>
      </c>
      <c r="AF96" s="566">
        <f t="shared" si="5"/>
        <v>240</v>
      </c>
    </row>
    <row r="97" spans="1:32" x14ac:dyDescent="0.3">
      <c r="A97" s="10" t="s">
        <v>4</v>
      </c>
      <c r="B97" s="11" t="s">
        <v>99</v>
      </c>
      <c r="C97" s="485"/>
      <c r="D97" s="489">
        <v>0</v>
      </c>
      <c r="E97" s="489">
        <v>0</v>
      </c>
      <c r="F97" s="489">
        <v>1142650</v>
      </c>
      <c r="G97" s="489">
        <v>352370</v>
      </c>
      <c r="H97" s="489">
        <v>693120</v>
      </c>
      <c r="I97" s="489">
        <v>0</v>
      </c>
      <c r="J97" s="489">
        <v>926710</v>
      </c>
      <c r="K97" s="489">
        <v>940700</v>
      </c>
      <c r="L97" s="489">
        <v>0</v>
      </c>
      <c r="M97" s="489">
        <v>258680</v>
      </c>
      <c r="N97" s="489">
        <v>0</v>
      </c>
      <c r="O97" s="489">
        <v>828850</v>
      </c>
      <c r="P97" s="1494">
        <f t="shared" si="6"/>
        <v>3128840</v>
      </c>
      <c r="Q97" s="1439">
        <f t="shared" si="7"/>
        <v>4202380</v>
      </c>
      <c r="R97" s="1413">
        <v>401480</v>
      </c>
      <c r="S97" s="1414" t="s">
        <v>251</v>
      </c>
      <c r="T97" s="1414">
        <v>0</v>
      </c>
      <c r="U97" s="1414">
        <v>1189420</v>
      </c>
      <c r="V97" s="1414">
        <v>0</v>
      </c>
      <c r="W97" s="1414">
        <v>1716830</v>
      </c>
      <c r="X97" s="1414">
        <v>697940</v>
      </c>
      <c r="Y97" s="1414">
        <v>0</v>
      </c>
      <c r="Z97" s="1414"/>
      <c r="AA97" s="1414"/>
      <c r="AB97" s="1414"/>
      <c r="AC97" s="1414"/>
      <c r="AD97" s="488">
        <f t="shared" si="8"/>
        <v>4005670</v>
      </c>
      <c r="AE97" s="565">
        <f t="shared" si="9"/>
        <v>0.28024123956482272</v>
      </c>
      <c r="AF97" s="566">
        <f t="shared" si="5"/>
        <v>93</v>
      </c>
    </row>
    <row r="98" spans="1:32" x14ac:dyDescent="0.3">
      <c r="A98" s="10" t="s">
        <v>4</v>
      </c>
      <c r="B98" s="11" t="s">
        <v>606</v>
      </c>
      <c r="C98" s="485"/>
      <c r="D98" s="489">
        <v>0</v>
      </c>
      <c r="E98" s="489">
        <v>944490</v>
      </c>
      <c r="F98" s="489">
        <v>481300</v>
      </c>
      <c r="G98" s="489">
        <v>0</v>
      </c>
      <c r="H98" s="489">
        <v>0</v>
      </c>
      <c r="I98" s="489">
        <v>535780</v>
      </c>
      <c r="J98" s="489">
        <v>0</v>
      </c>
      <c r="K98" s="489">
        <v>0</v>
      </c>
      <c r="L98" s="489">
        <v>0</v>
      </c>
      <c r="M98" s="489">
        <v>0</v>
      </c>
      <c r="N98" s="489">
        <v>570450</v>
      </c>
      <c r="O98" s="489">
        <v>0</v>
      </c>
      <c r="P98" s="1494">
        <f t="shared" si="6"/>
        <v>1961570</v>
      </c>
      <c r="Q98" s="1439">
        <f t="shared" si="7"/>
        <v>2532020</v>
      </c>
      <c r="R98" s="1413" t="s">
        <v>251</v>
      </c>
      <c r="S98" s="1414" t="s">
        <v>251</v>
      </c>
      <c r="T98" s="1414">
        <v>421020</v>
      </c>
      <c r="U98" s="1414">
        <v>0</v>
      </c>
      <c r="V98" s="1414">
        <v>1504620</v>
      </c>
      <c r="W98" s="1414">
        <v>0</v>
      </c>
      <c r="X98" s="1414">
        <v>0</v>
      </c>
      <c r="Y98" s="1414">
        <v>0</v>
      </c>
      <c r="Z98" s="1414"/>
      <c r="AA98" s="1414"/>
      <c r="AB98" s="1414"/>
      <c r="AC98" s="1414"/>
      <c r="AD98" s="488">
        <f t="shared" si="8"/>
        <v>1925640</v>
      </c>
      <c r="AE98" s="565">
        <f t="shared" si="9"/>
        <v>-1.8316960393970134E-2</v>
      </c>
      <c r="AF98" s="566">
        <f t="shared" si="5"/>
        <v>124</v>
      </c>
    </row>
    <row r="99" spans="1:32" x14ac:dyDescent="0.3">
      <c r="A99" s="10" t="s">
        <v>4</v>
      </c>
      <c r="B99" s="11" t="s">
        <v>101</v>
      </c>
      <c r="C99" s="485">
        <v>33000</v>
      </c>
      <c r="D99" s="489">
        <v>0</v>
      </c>
      <c r="E99" s="489">
        <v>1352470</v>
      </c>
      <c r="F99" s="489">
        <v>0</v>
      </c>
      <c r="G99" s="489">
        <v>0</v>
      </c>
      <c r="H99" s="489">
        <v>0</v>
      </c>
      <c r="I99" s="489">
        <v>0</v>
      </c>
      <c r="J99" s="489">
        <v>0</v>
      </c>
      <c r="K99" s="489">
        <v>0</v>
      </c>
      <c r="L99" s="489">
        <v>0</v>
      </c>
      <c r="M99" s="489">
        <v>151970</v>
      </c>
      <c r="N99" s="489">
        <v>0</v>
      </c>
      <c r="O99" s="489">
        <v>0</v>
      </c>
      <c r="P99" s="1494">
        <f t="shared" si="6"/>
        <v>1385470</v>
      </c>
      <c r="Q99" s="1439">
        <f t="shared" si="7"/>
        <v>1537440</v>
      </c>
      <c r="R99" s="1413" t="s">
        <v>251</v>
      </c>
      <c r="S99" s="1414" t="s">
        <v>251</v>
      </c>
      <c r="T99" s="1414" t="s">
        <v>251</v>
      </c>
      <c r="U99" s="1414">
        <v>968020</v>
      </c>
      <c r="V99" s="1414">
        <v>0</v>
      </c>
      <c r="W99" s="1414">
        <v>0</v>
      </c>
      <c r="X99" s="1414">
        <v>0</v>
      </c>
      <c r="Y99" s="1414">
        <v>0</v>
      </c>
      <c r="Z99" s="1414"/>
      <c r="AA99" s="1414"/>
      <c r="AB99" s="1414"/>
      <c r="AC99" s="1414"/>
      <c r="AD99" s="488">
        <f t="shared" si="8"/>
        <v>968020</v>
      </c>
      <c r="AE99" s="565">
        <f t="shared" si="9"/>
        <v>-0.30130569409658814</v>
      </c>
      <c r="AF99" s="566">
        <f t="shared" si="5"/>
        <v>159</v>
      </c>
    </row>
    <row r="100" spans="1:32" x14ac:dyDescent="0.3">
      <c r="A100" s="10" t="s">
        <v>4</v>
      </c>
      <c r="B100" s="11" t="s">
        <v>102</v>
      </c>
      <c r="C100" s="485"/>
      <c r="D100" s="489">
        <v>1359910</v>
      </c>
      <c r="E100" s="489">
        <v>0</v>
      </c>
      <c r="F100" s="489">
        <v>0</v>
      </c>
      <c r="G100" s="489">
        <v>0</v>
      </c>
      <c r="H100" s="489">
        <v>0</v>
      </c>
      <c r="I100" s="489">
        <v>0</v>
      </c>
      <c r="J100" s="489">
        <v>0</v>
      </c>
      <c r="K100" s="489">
        <v>0</v>
      </c>
      <c r="L100" s="489">
        <v>0</v>
      </c>
      <c r="M100" s="489">
        <v>0</v>
      </c>
      <c r="N100" s="489">
        <v>0</v>
      </c>
      <c r="O100" s="489">
        <v>0</v>
      </c>
      <c r="P100" s="1494">
        <f t="shared" si="6"/>
        <v>1359910</v>
      </c>
      <c r="Q100" s="1439">
        <f t="shared" si="7"/>
        <v>1359910</v>
      </c>
      <c r="R100" s="1413" t="s">
        <v>251</v>
      </c>
      <c r="S100" s="1414" t="s">
        <v>251</v>
      </c>
      <c r="T100" s="1414" t="s">
        <v>251</v>
      </c>
      <c r="U100" s="1414"/>
      <c r="V100" s="1414"/>
      <c r="W100" s="1414"/>
      <c r="X100" s="1414"/>
      <c r="Y100" s="1414"/>
      <c r="Z100" s="1414"/>
      <c r="AA100" s="1414"/>
      <c r="AB100" s="1414"/>
      <c r="AC100" s="1414"/>
      <c r="AD100" s="488">
        <f t="shared" si="8"/>
        <v>0</v>
      </c>
      <c r="AE100" s="565">
        <f t="shared" si="9"/>
        <v>-1</v>
      </c>
      <c r="AF100" s="566">
        <f t="shared" si="5"/>
        <v>240</v>
      </c>
    </row>
    <row r="101" spans="1:32" x14ac:dyDescent="0.3">
      <c r="A101" s="10" t="s">
        <v>4</v>
      </c>
      <c r="B101" s="11" t="s">
        <v>103</v>
      </c>
      <c r="C101" s="485">
        <v>439650</v>
      </c>
      <c r="D101" s="489">
        <v>0</v>
      </c>
      <c r="E101" s="489">
        <v>830320</v>
      </c>
      <c r="F101" s="489">
        <v>0</v>
      </c>
      <c r="G101" s="489">
        <v>0</v>
      </c>
      <c r="H101" s="489">
        <v>370290</v>
      </c>
      <c r="I101" s="489">
        <v>0</v>
      </c>
      <c r="J101" s="489">
        <v>0</v>
      </c>
      <c r="K101" s="489">
        <v>0</v>
      </c>
      <c r="L101" s="489">
        <v>308060</v>
      </c>
      <c r="M101" s="489">
        <v>0</v>
      </c>
      <c r="N101" s="489">
        <v>438210</v>
      </c>
      <c r="O101" s="489">
        <v>0</v>
      </c>
      <c r="P101" s="1494">
        <f t="shared" si="6"/>
        <v>1640260</v>
      </c>
      <c r="Q101" s="1439">
        <f t="shared" si="7"/>
        <v>2386530</v>
      </c>
      <c r="R101" s="1413" t="s">
        <v>251</v>
      </c>
      <c r="S101" s="1414" t="s">
        <v>251</v>
      </c>
      <c r="T101" s="1414" t="s">
        <v>251</v>
      </c>
      <c r="U101" s="1414">
        <v>439970</v>
      </c>
      <c r="V101" s="1414">
        <v>0</v>
      </c>
      <c r="W101" s="1414">
        <v>0</v>
      </c>
      <c r="X101" s="1414">
        <v>0</v>
      </c>
      <c r="Y101" s="1414">
        <v>0</v>
      </c>
      <c r="Z101" s="1414"/>
      <c r="AA101" s="1414"/>
      <c r="AB101" s="1414"/>
      <c r="AC101" s="1414"/>
      <c r="AD101" s="488">
        <f t="shared" si="8"/>
        <v>439970</v>
      </c>
      <c r="AE101" s="565">
        <f t="shared" si="9"/>
        <v>-0.73176813432016874</v>
      </c>
      <c r="AF101" s="566">
        <f t="shared" si="5"/>
        <v>183</v>
      </c>
    </row>
    <row r="102" spans="1:32" x14ac:dyDescent="0.3">
      <c r="A102" s="10" t="s">
        <v>4</v>
      </c>
      <c r="B102" s="11" t="s">
        <v>104</v>
      </c>
      <c r="C102" s="485">
        <v>824100</v>
      </c>
      <c r="D102" s="489">
        <v>0</v>
      </c>
      <c r="E102" s="489">
        <v>383760</v>
      </c>
      <c r="F102" s="489">
        <v>0</v>
      </c>
      <c r="G102" s="489">
        <v>0</v>
      </c>
      <c r="H102" s="489">
        <v>1294290</v>
      </c>
      <c r="I102" s="489">
        <v>324040</v>
      </c>
      <c r="J102" s="489">
        <v>390190</v>
      </c>
      <c r="K102" s="489">
        <v>0</v>
      </c>
      <c r="L102" s="489">
        <v>27870</v>
      </c>
      <c r="M102" s="489">
        <v>0</v>
      </c>
      <c r="N102" s="489">
        <v>631410</v>
      </c>
      <c r="O102" s="489">
        <v>29310</v>
      </c>
      <c r="P102" s="1494">
        <f t="shared" si="6"/>
        <v>2826190</v>
      </c>
      <c r="Q102" s="1439">
        <f t="shared" si="7"/>
        <v>3904970</v>
      </c>
      <c r="R102" s="1413" t="s">
        <v>251</v>
      </c>
      <c r="S102" s="1414" t="s">
        <v>251</v>
      </c>
      <c r="T102" s="1414" t="s">
        <v>251</v>
      </c>
      <c r="U102" s="1414"/>
      <c r="V102" s="1414"/>
      <c r="W102" s="1414">
        <v>45330</v>
      </c>
      <c r="X102" s="1414">
        <v>44660</v>
      </c>
      <c r="Y102" s="1414">
        <v>41500</v>
      </c>
      <c r="Z102" s="1414"/>
      <c r="AA102" s="1414"/>
      <c r="AB102" s="1414"/>
      <c r="AC102" s="1414"/>
      <c r="AD102" s="488">
        <f t="shared" si="8"/>
        <v>131490</v>
      </c>
      <c r="AE102" s="565">
        <f t="shared" si="9"/>
        <v>-0.95347446562333038</v>
      </c>
      <c r="AF102" s="566">
        <f t="shared" si="5"/>
        <v>202</v>
      </c>
    </row>
    <row r="103" spans="1:32" x14ac:dyDescent="0.3">
      <c r="A103" s="10" t="s">
        <v>4</v>
      </c>
      <c r="B103" s="11" t="s">
        <v>105</v>
      </c>
      <c r="C103" s="485"/>
      <c r="D103" s="489">
        <v>0</v>
      </c>
      <c r="E103" s="489">
        <v>1197720</v>
      </c>
      <c r="F103" s="489">
        <v>0</v>
      </c>
      <c r="G103" s="489">
        <v>0</v>
      </c>
      <c r="H103" s="489">
        <v>0</v>
      </c>
      <c r="I103" s="489">
        <v>0</v>
      </c>
      <c r="J103" s="489">
        <v>0</v>
      </c>
      <c r="K103" s="489">
        <v>0</v>
      </c>
      <c r="L103" s="489">
        <v>0</v>
      </c>
      <c r="M103" s="489">
        <v>0</v>
      </c>
      <c r="N103" s="489">
        <v>0</v>
      </c>
      <c r="O103" s="489">
        <v>0</v>
      </c>
      <c r="P103" s="1494">
        <f t="shared" si="6"/>
        <v>1197720</v>
      </c>
      <c r="Q103" s="1439">
        <f t="shared" si="7"/>
        <v>1197720</v>
      </c>
      <c r="R103" s="1413" t="s">
        <v>251</v>
      </c>
      <c r="S103" s="1414" t="s">
        <v>251</v>
      </c>
      <c r="T103" s="1414" t="s">
        <v>251</v>
      </c>
      <c r="U103" s="1414"/>
      <c r="V103" s="1414"/>
      <c r="W103" s="1414"/>
      <c r="X103" s="1414"/>
      <c r="Y103" s="1414"/>
      <c r="Z103" s="1414"/>
      <c r="AA103" s="1414"/>
      <c r="AB103" s="1414"/>
      <c r="AC103" s="1414"/>
      <c r="AD103" s="488">
        <f t="shared" si="8"/>
        <v>0</v>
      </c>
      <c r="AE103" s="565">
        <f t="shared" si="9"/>
        <v>-1</v>
      </c>
      <c r="AF103" s="566">
        <f t="shared" si="5"/>
        <v>240</v>
      </c>
    </row>
    <row r="104" spans="1:32" x14ac:dyDescent="0.3">
      <c r="A104" s="10" t="s">
        <v>4</v>
      </c>
      <c r="B104" s="11" t="s">
        <v>106</v>
      </c>
      <c r="C104" s="485"/>
      <c r="D104" s="489">
        <v>0</v>
      </c>
      <c r="E104" s="489">
        <v>348620</v>
      </c>
      <c r="F104" s="489">
        <v>284600</v>
      </c>
      <c r="G104" s="489">
        <v>563480</v>
      </c>
      <c r="H104" s="489">
        <v>0</v>
      </c>
      <c r="I104" s="489">
        <v>0</v>
      </c>
      <c r="J104" s="489">
        <v>0</v>
      </c>
      <c r="K104" s="489">
        <v>0</v>
      </c>
      <c r="L104" s="489">
        <v>0</v>
      </c>
      <c r="M104" s="489">
        <v>0</v>
      </c>
      <c r="N104" s="489">
        <v>0</v>
      </c>
      <c r="O104" s="489">
        <v>0</v>
      </c>
      <c r="P104" s="1494">
        <f t="shared" si="6"/>
        <v>1196700</v>
      </c>
      <c r="Q104" s="1439">
        <f t="shared" si="7"/>
        <v>1196700</v>
      </c>
      <c r="R104" s="1413" t="s">
        <v>251</v>
      </c>
      <c r="S104" s="1414" t="s">
        <v>251</v>
      </c>
      <c r="T104" s="1414" t="s">
        <v>251</v>
      </c>
      <c r="U104" s="1414"/>
      <c r="V104" s="1414"/>
      <c r="W104" s="1414"/>
      <c r="X104" s="1414"/>
      <c r="Y104" s="1414"/>
      <c r="Z104" s="1414"/>
      <c r="AA104" s="1414"/>
      <c r="AB104" s="1414"/>
      <c r="AC104" s="1414"/>
      <c r="AD104" s="488">
        <f t="shared" si="8"/>
        <v>0</v>
      </c>
      <c r="AE104" s="565">
        <f t="shared" si="9"/>
        <v>-1</v>
      </c>
      <c r="AF104" s="566">
        <f t="shared" si="5"/>
        <v>240</v>
      </c>
    </row>
    <row r="105" spans="1:32" x14ac:dyDescent="0.3">
      <c r="A105" s="10" t="s">
        <v>4</v>
      </c>
      <c r="B105" s="11" t="s">
        <v>107</v>
      </c>
      <c r="C105" s="485"/>
      <c r="D105" s="489">
        <v>0</v>
      </c>
      <c r="E105" s="489">
        <v>1138230</v>
      </c>
      <c r="F105" s="489">
        <v>0</v>
      </c>
      <c r="G105" s="489">
        <v>0</v>
      </c>
      <c r="H105" s="489">
        <v>0</v>
      </c>
      <c r="I105" s="489">
        <v>0</v>
      </c>
      <c r="J105" s="489">
        <v>0</v>
      </c>
      <c r="K105" s="489">
        <v>0</v>
      </c>
      <c r="L105" s="489">
        <v>0</v>
      </c>
      <c r="M105" s="489">
        <v>0</v>
      </c>
      <c r="N105" s="489">
        <v>0</v>
      </c>
      <c r="O105" s="489">
        <v>32130</v>
      </c>
      <c r="P105" s="1494">
        <f t="shared" si="6"/>
        <v>1138230</v>
      </c>
      <c r="Q105" s="1439">
        <f t="shared" si="7"/>
        <v>1170360</v>
      </c>
      <c r="R105" s="1413">
        <v>128890</v>
      </c>
      <c r="S105" s="1414" t="s">
        <v>251</v>
      </c>
      <c r="T105" s="1414">
        <v>0</v>
      </c>
      <c r="U105" s="1414">
        <v>0</v>
      </c>
      <c r="V105" s="1414">
        <v>0</v>
      </c>
      <c r="W105" s="1414">
        <v>0</v>
      </c>
      <c r="X105" s="1414">
        <v>0</v>
      </c>
      <c r="Y105" s="1414">
        <v>0</v>
      </c>
      <c r="Z105" s="1414"/>
      <c r="AA105" s="1414"/>
      <c r="AB105" s="1414"/>
      <c r="AC105" s="1414"/>
      <c r="AD105" s="488">
        <f t="shared" si="8"/>
        <v>128890</v>
      </c>
      <c r="AE105" s="565">
        <f t="shared" si="9"/>
        <v>-0.88676278080879967</v>
      </c>
      <c r="AF105" s="566">
        <f t="shared" si="5"/>
        <v>203</v>
      </c>
    </row>
    <row r="106" spans="1:32" x14ac:dyDescent="0.3">
      <c r="A106" s="10" t="s">
        <v>4</v>
      </c>
      <c r="B106" s="11" t="s">
        <v>108</v>
      </c>
      <c r="C106" s="485"/>
      <c r="D106" s="489">
        <v>0</v>
      </c>
      <c r="E106" s="489">
        <v>0</v>
      </c>
      <c r="F106" s="489">
        <v>440420</v>
      </c>
      <c r="G106" s="489">
        <v>585270</v>
      </c>
      <c r="H106" s="489">
        <v>550250</v>
      </c>
      <c r="I106" s="489">
        <v>0</v>
      </c>
      <c r="J106" s="489">
        <v>2443630</v>
      </c>
      <c r="K106" s="489">
        <v>1839460</v>
      </c>
      <c r="L106" s="489">
        <v>1315230</v>
      </c>
      <c r="M106" s="489">
        <v>28470</v>
      </c>
      <c r="N106" s="489">
        <v>0</v>
      </c>
      <c r="O106" s="489">
        <v>29480</v>
      </c>
      <c r="P106" s="1494">
        <f t="shared" si="6"/>
        <v>3415400</v>
      </c>
      <c r="Q106" s="1439">
        <f t="shared" si="7"/>
        <v>5392750</v>
      </c>
      <c r="R106" s="1413">
        <v>2973600</v>
      </c>
      <c r="S106" s="1414" t="s">
        <v>251</v>
      </c>
      <c r="T106" s="1414">
        <v>33140</v>
      </c>
      <c r="U106" s="1414">
        <v>0</v>
      </c>
      <c r="V106" s="1414">
        <v>397790</v>
      </c>
      <c r="W106" s="1414">
        <v>0</v>
      </c>
      <c r="X106" s="1414">
        <v>0</v>
      </c>
      <c r="Y106" s="1414">
        <v>85200</v>
      </c>
      <c r="Z106" s="1414"/>
      <c r="AA106" s="1414"/>
      <c r="AB106" s="1414"/>
      <c r="AC106" s="1414"/>
      <c r="AD106" s="488">
        <f t="shared" si="8"/>
        <v>3489730</v>
      </c>
      <c r="AE106" s="565">
        <f t="shared" si="9"/>
        <v>2.1763190255899748E-2</v>
      </c>
      <c r="AF106" s="566">
        <f t="shared" si="5"/>
        <v>98</v>
      </c>
    </row>
    <row r="107" spans="1:32" x14ac:dyDescent="0.3">
      <c r="A107" s="10" t="s">
        <v>4</v>
      </c>
      <c r="B107" s="11" t="s">
        <v>109</v>
      </c>
      <c r="C107" s="485"/>
      <c r="D107" s="489">
        <v>121890</v>
      </c>
      <c r="E107" s="489">
        <v>817000</v>
      </c>
      <c r="F107" s="489">
        <v>0</v>
      </c>
      <c r="G107" s="489">
        <v>0</v>
      </c>
      <c r="H107" s="489">
        <v>0</v>
      </c>
      <c r="I107" s="489">
        <v>0</v>
      </c>
      <c r="J107" s="489">
        <v>0</v>
      </c>
      <c r="K107" s="489">
        <v>0</v>
      </c>
      <c r="L107" s="489">
        <v>0</v>
      </c>
      <c r="M107" s="489">
        <v>0</v>
      </c>
      <c r="N107" s="489">
        <v>0</v>
      </c>
      <c r="O107" s="489">
        <v>0</v>
      </c>
      <c r="P107" s="1494">
        <f t="shared" si="6"/>
        <v>938890</v>
      </c>
      <c r="Q107" s="1439">
        <f t="shared" si="7"/>
        <v>938890</v>
      </c>
      <c r="R107" s="1413" t="s">
        <v>251</v>
      </c>
      <c r="S107" s="1414" t="s">
        <v>251</v>
      </c>
      <c r="T107" s="1414">
        <v>29910</v>
      </c>
      <c r="U107" s="1414">
        <v>961400</v>
      </c>
      <c r="V107" s="1414">
        <v>0</v>
      </c>
      <c r="W107" s="1414">
        <v>0</v>
      </c>
      <c r="X107" s="1414">
        <v>0</v>
      </c>
      <c r="Y107" s="1414">
        <v>271730</v>
      </c>
      <c r="Z107" s="1414"/>
      <c r="AA107" s="1414"/>
      <c r="AB107" s="1414"/>
      <c r="AC107" s="1414"/>
      <c r="AD107" s="488">
        <f t="shared" si="8"/>
        <v>1263040</v>
      </c>
      <c r="AE107" s="565">
        <f t="shared" si="9"/>
        <v>0.34524811213241169</v>
      </c>
      <c r="AF107" s="566">
        <f t="shared" si="5"/>
        <v>143</v>
      </c>
    </row>
    <row r="108" spans="1:32" x14ac:dyDescent="0.3">
      <c r="A108" s="10" t="s">
        <v>4</v>
      </c>
      <c r="B108" s="11" t="s">
        <v>110</v>
      </c>
      <c r="C108" s="485"/>
      <c r="D108" s="489">
        <v>916470</v>
      </c>
      <c r="E108" s="489">
        <v>0</v>
      </c>
      <c r="F108" s="489">
        <v>0</v>
      </c>
      <c r="G108" s="489">
        <v>0</v>
      </c>
      <c r="H108" s="489">
        <v>0</v>
      </c>
      <c r="I108" s="489">
        <v>0</v>
      </c>
      <c r="J108" s="489">
        <v>1414660</v>
      </c>
      <c r="K108" s="489">
        <v>1539410</v>
      </c>
      <c r="L108" s="489">
        <v>1113770</v>
      </c>
      <c r="M108" s="489">
        <v>0</v>
      </c>
      <c r="N108" s="489">
        <v>0</v>
      </c>
      <c r="O108" s="489">
        <v>60560</v>
      </c>
      <c r="P108" s="1494">
        <f t="shared" si="6"/>
        <v>2455880</v>
      </c>
      <c r="Q108" s="1439">
        <f t="shared" si="7"/>
        <v>3505460</v>
      </c>
      <c r="R108" s="1413" t="s">
        <v>251</v>
      </c>
      <c r="S108" s="1414">
        <v>301400</v>
      </c>
      <c r="T108" s="1414">
        <v>0</v>
      </c>
      <c r="U108" s="1414">
        <v>0</v>
      </c>
      <c r="V108" s="1414">
        <v>0</v>
      </c>
      <c r="W108" s="1414">
        <v>0</v>
      </c>
      <c r="X108" s="1414">
        <v>0</v>
      </c>
      <c r="Y108" s="1414">
        <v>0</v>
      </c>
      <c r="Z108" s="1414"/>
      <c r="AA108" s="1414"/>
      <c r="AB108" s="1414"/>
      <c r="AC108" s="1414"/>
      <c r="AD108" s="488">
        <f t="shared" si="8"/>
        <v>301400</v>
      </c>
      <c r="AE108" s="565">
        <f t="shared" si="9"/>
        <v>-0.87727413391533793</v>
      </c>
      <c r="AF108" s="566">
        <f t="shared" si="5"/>
        <v>194</v>
      </c>
    </row>
    <row r="109" spans="1:32" x14ac:dyDescent="0.3">
      <c r="A109" s="10" t="s">
        <v>4</v>
      </c>
      <c r="B109" s="11" t="s">
        <v>111</v>
      </c>
      <c r="C109" s="485"/>
      <c r="D109" s="489">
        <v>0</v>
      </c>
      <c r="E109" s="489">
        <v>460660</v>
      </c>
      <c r="F109" s="489">
        <v>454880</v>
      </c>
      <c r="G109" s="489">
        <v>0</v>
      </c>
      <c r="H109" s="489">
        <v>0</v>
      </c>
      <c r="I109" s="489">
        <v>0</v>
      </c>
      <c r="J109" s="489">
        <v>0</v>
      </c>
      <c r="K109" s="489">
        <v>0</v>
      </c>
      <c r="L109" s="489">
        <v>0</v>
      </c>
      <c r="M109" s="489">
        <v>440350</v>
      </c>
      <c r="N109" s="489">
        <v>0</v>
      </c>
      <c r="O109" s="489">
        <v>0</v>
      </c>
      <c r="P109" s="1494">
        <f t="shared" si="6"/>
        <v>915540</v>
      </c>
      <c r="Q109" s="1439">
        <f t="shared" si="7"/>
        <v>1355890</v>
      </c>
      <c r="R109" s="1413" t="s">
        <v>251</v>
      </c>
      <c r="S109" s="1414">
        <v>284000</v>
      </c>
      <c r="T109" s="1414">
        <v>405980</v>
      </c>
      <c r="U109" s="1414">
        <v>0</v>
      </c>
      <c r="V109" s="1414">
        <v>0</v>
      </c>
      <c r="W109" s="1414">
        <v>0</v>
      </c>
      <c r="X109" s="1414">
        <v>0</v>
      </c>
      <c r="Y109" s="1414">
        <v>280980</v>
      </c>
      <c r="Z109" s="1414"/>
      <c r="AA109" s="1414"/>
      <c r="AB109" s="1414"/>
      <c r="AC109" s="1414"/>
      <c r="AD109" s="488">
        <f t="shared" si="8"/>
        <v>970960</v>
      </c>
      <c r="AE109" s="565">
        <f t="shared" si="9"/>
        <v>6.0532581864254975E-2</v>
      </c>
      <c r="AF109" s="566">
        <f t="shared" si="5"/>
        <v>158</v>
      </c>
    </row>
    <row r="110" spans="1:32" x14ac:dyDescent="0.3">
      <c r="A110" s="10" t="s">
        <v>4</v>
      </c>
      <c r="B110" s="11" t="s">
        <v>607</v>
      </c>
      <c r="C110" s="485"/>
      <c r="D110" s="489" t="s">
        <v>251</v>
      </c>
      <c r="E110" s="489" t="s">
        <v>251</v>
      </c>
      <c r="F110" s="489" t="s">
        <v>251</v>
      </c>
      <c r="G110" s="489" t="s">
        <v>251</v>
      </c>
      <c r="H110" s="489" t="s">
        <v>251</v>
      </c>
      <c r="I110" s="489" t="s">
        <v>251</v>
      </c>
      <c r="J110" s="489" t="s">
        <v>251</v>
      </c>
      <c r="K110" s="489"/>
      <c r="L110" s="489" t="s">
        <v>251</v>
      </c>
      <c r="M110" s="489" t="s">
        <v>251</v>
      </c>
      <c r="N110" s="489" t="s">
        <v>251</v>
      </c>
      <c r="O110" s="489" t="s">
        <v>251</v>
      </c>
      <c r="P110" s="1494">
        <f t="shared" si="6"/>
        <v>0</v>
      </c>
      <c r="Q110" s="1439">
        <f t="shared" si="7"/>
        <v>0</v>
      </c>
      <c r="R110" s="1413" t="s">
        <v>251</v>
      </c>
      <c r="S110" s="1414" t="s">
        <v>251</v>
      </c>
      <c r="T110" s="1414" t="s">
        <v>251</v>
      </c>
      <c r="U110" s="1414"/>
      <c r="V110" s="1414"/>
      <c r="W110" s="1414"/>
      <c r="X110" s="1414"/>
      <c r="Y110" s="1414"/>
      <c r="Z110" s="1414"/>
      <c r="AA110" s="1414"/>
      <c r="AB110" s="1414"/>
      <c r="AC110" s="1414"/>
      <c r="AD110" s="488">
        <f t="shared" si="8"/>
        <v>0</v>
      </c>
      <c r="AE110" s="565">
        <f t="shared" si="9"/>
        <v>0</v>
      </c>
      <c r="AF110" s="566">
        <f t="shared" si="5"/>
        <v>240</v>
      </c>
    </row>
    <row r="111" spans="1:32" x14ac:dyDescent="0.3">
      <c r="A111" s="10" t="s">
        <v>4</v>
      </c>
      <c r="B111" s="11" t="s">
        <v>113</v>
      </c>
      <c r="C111" s="485"/>
      <c r="D111" s="489">
        <v>0</v>
      </c>
      <c r="E111" s="489">
        <v>441370</v>
      </c>
      <c r="F111" s="489">
        <v>462210</v>
      </c>
      <c r="G111" s="489">
        <v>0</v>
      </c>
      <c r="H111" s="489">
        <v>0</v>
      </c>
      <c r="I111" s="489">
        <v>0</v>
      </c>
      <c r="J111" s="489">
        <v>0</v>
      </c>
      <c r="K111" s="489">
        <v>0</v>
      </c>
      <c r="L111" s="489">
        <v>0</v>
      </c>
      <c r="M111" s="489">
        <v>0</v>
      </c>
      <c r="N111" s="489">
        <v>520150</v>
      </c>
      <c r="O111" s="489">
        <v>499630</v>
      </c>
      <c r="P111" s="1494">
        <f t="shared" si="6"/>
        <v>903580</v>
      </c>
      <c r="Q111" s="1439">
        <f t="shared" si="7"/>
        <v>1923360</v>
      </c>
      <c r="R111" s="1413">
        <v>490440</v>
      </c>
      <c r="S111" s="1414">
        <v>508590</v>
      </c>
      <c r="T111" s="1414">
        <v>0</v>
      </c>
      <c r="U111" s="1414">
        <v>0</v>
      </c>
      <c r="V111" s="1414">
        <v>0</v>
      </c>
      <c r="W111" s="1414">
        <v>0</v>
      </c>
      <c r="X111" s="1414">
        <v>0</v>
      </c>
      <c r="Y111" s="1414">
        <v>0</v>
      </c>
      <c r="Z111" s="1414"/>
      <c r="AA111" s="1414"/>
      <c r="AB111" s="1414"/>
      <c r="AC111" s="1414"/>
      <c r="AD111" s="488">
        <f t="shared" si="8"/>
        <v>999030</v>
      </c>
      <c r="AE111" s="565">
        <f t="shared" si="9"/>
        <v>0.10563536156178756</v>
      </c>
      <c r="AF111" s="566">
        <f t="shared" si="5"/>
        <v>156</v>
      </c>
    </row>
    <row r="112" spans="1:32" x14ac:dyDescent="0.3">
      <c r="A112" s="10" t="s">
        <v>4</v>
      </c>
      <c r="B112" s="11" t="s">
        <v>114</v>
      </c>
      <c r="C112" s="485"/>
      <c r="D112" s="489">
        <v>0</v>
      </c>
      <c r="E112" s="489">
        <v>476220</v>
      </c>
      <c r="F112" s="489">
        <v>0</v>
      </c>
      <c r="G112" s="489">
        <v>421010</v>
      </c>
      <c r="H112" s="489">
        <v>0</v>
      </c>
      <c r="I112" s="489">
        <v>0</v>
      </c>
      <c r="J112" s="489">
        <v>0</v>
      </c>
      <c r="K112" s="489">
        <v>0</v>
      </c>
      <c r="L112" s="489">
        <v>0</v>
      </c>
      <c r="M112" s="489">
        <v>0</v>
      </c>
      <c r="N112" s="489">
        <v>1592380</v>
      </c>
      <c r="O112" s="489">
        <v>2538450</v>
      </c>
      <c r="P112" s="1494">
        <f t="shared" si="6"/>
        <v>897230</v>
      </c>
      <c r="Q112" s="1439">
        <f t="shared" si="7"/>
        <v>5028060</v>
      </c>
      <c r="R112" s="1413">
        <v>1779100</v>
      </c>
      <c r="S112" s="1414" t="s">
        <v>251</v>
      </c>
      <c r="T112" s="1414">
        <v>0</v>
      </c>
      <c r="U112" s="1414">
        <v>3658750</v>
      </c>
      <c r="V112" s="1414">
        <v>3673550</v>
      </c>
      <c r="W112" s="1414">
        <v>60770</v>
      </c>
      <c r="X112" s="1414">
        <v>0</v>
      </c>
      <c r="Y112" s="1414">
        <v>0</v>
      </c>
      <c r="Z112" s="1414"/>
      <c r="AA112" s="1414"/>
      <c r="AB112" s="1414"/>
      <c r="AC112" s="1414"/>
      <c r="AD112" s="488">
        <f t="shared" si="8"/>
        <v>9172170</v>
      </c>
      <c r="AE112" s="565">
        <f t="shared" si="9"/>
        <v>9.2227633940015377</v>
      </c>
      <c r="AF112" s="566">
        <f t="shared" si="5"/>
        <v>54</v>
      </c>
    </row>
    <row r="113" spans="1:32" x14ac:dyDescent="0.3">
      <c r="A113" s="10" t="s">
        <v>4</v>
      </c>
      <c r="B113" s="11" t="s">
        <v>115</v>
      </c>
      <c r="C113" s="485"/>
      <c r="D113" s="489">
        <v>877320</v>
      </c>
      <c r="E113" s="489">
        <v>0</v>
      </c>
      <c r="F113" s="489">
        <v>0</v>
      </c>
      <c r="G113" s="489">
        <v>0</v>
      </c>
      <c r="H113" s="489">
        <v>0</v>
      </c>
      <c r="I113" s="489">
        <v>837180</v>
      </c>
      <c r="J113" s="489">
        <v>0</v>
      </c>
      <c r="K113" s="489">
        <v>0</v>
      </c>
      <c r="L113" s="489">
        <v>0</v>
      </c>
      <c r="M113" s="489">
        <v>0</v>
      </c>
      <c r="N113" s="489">
        <v>0</v>
      </c>
      <c r="O113" s="489">
        <v>0</v>
      </c>
      <c r="P113" s="1494">
        <f t="shared" si="6"/>
        <v>1714500</v>
      </c>
      <c r="Q113" s="1439">
        <f t="shared" si="7"/>
        <v>1714500</v>
      </c>
      <c r="R113" s="1413" t="s">
        <v>251</v>
      </c>
      <c r="S113" s="1414" t="s">
        <v>251</v>
      </c>
      <c r="T113" s="1414" t="s">
        <v>251</v>
      </c>
      <c r="U113" s="1414"/>
      <c r="V113" s="1414"/>
      <c r="W113" s="1414">
        <v>716840</v>
      </c>
      <c r="X113" s="1414">
        <v>0</v>
      </c>
      <c r="Y113" s="1414">
        <v>301350</v>
      </c>
      <c r="Z113" s="1414"/>
      <c r="AA113" s="1414"/>
      <c r="AB113" s="1414"/>
      <c r="AC113" s="1414"/>
      <c r="AD113" s="488">
        <f t="shared" si="8"/>
        <v>1018190</v>
      </c>
      <c r="AE113" s="565">
        <f t="shared" si="9"/>
        <v>-0.40613006707494897</v>
      </c>
      <c r="AF113" s="566">
        <f t="shared" si="5"/>
        <v>154</v>
      </c>
    </row>
    <row r="114" spans="1:32" x14ac:dyDescent="0.3">
      <c r="A114" s="10" t="s">
        <v>4</v>
      </c>
      <c r="B114" s="11" t="s">
        <v>116</v>
      </c>
      <c r="C114" s="485"/>
      <c r="D114" s="489">
        <v>0</v>
      </c>
      <c r="E114" s="489">
        <v>0</v>
      </c>
      <c r="F114" s="489">
        <v>818770</v>
      </c>
      <c r="G114" s="489">
        <v>56190</v>
      </c>
      <c r="H114" s="489">
        <v>831500</v>
      </c>
      <c r="I114" s="489">
        <v>371110</v>
      </c>
      <c r="J114" s="489">
        <v>0</v>
      </c>
      <c r="K114" s="489">
        <v>0</v>
      </c>
      <c r="L114" s="489">
        <v>0</v>
      </c>
      <c r="M114" s="489">
        <v>0</v>
      </c>
      <c r="N114" s="489">
        <v>0</v>
      </c>
      <c r="O114" s="489">
        <v>0</v>
      </c>
      <c r="P114" s="1494">
        <f t="shared" si="6"/>
        <v>2077570</v>
      </c>
      <c r="Q114" s="1439">
        <f t="shared" si="7"/>
        <v>2077570</v>
      </c>
      <c r="R114" s="1413" t="s">
        <v>251</v>
      </c>
      <c r="S114" s="1414" t="s">
        <v>251</v>
      </c>
      <c r="T114" s="1414" t="s">
        <v>251</v>
      </c>
      <c r="U114" s="1414"/>
      <c r="V114" s="1414"/>
      <c r="W114" s="1414">
        <v>383140</v>
      </c>
      <c r="X114" s="1414">
        <v>0</v>
      </c>
      <c r="Y114" s="1414">
        <v>0</v>
      </c>
      <c r="Z114" s="1414"/>
      <c r="AA114" s="1414"/>
      <c r="AB114" s="1414"/>
      <c r="AC114" s="1414"/>
      <c r="AD114" s="488">
        <f t="shared" si="8"/>
        <v>383140</v>
      </c>
      <c r="AE114" s="565">
        <f t="shared" si="9"/>
        <v>-0.81558262778149471</v>
      </c>
      <c r="AF114" s="566">
        <f t="shared" si="5"/>
        <v>188</v>
      </c>
    </row>
    <row r="115" spans="1:32" x14ac:dyDescent="0.3">
      <c r="A115" s="10" t="s">
        <v>4</v>
      </c>
      <c r="B115" s="11" t="s">
        <v>117</v>
      </c>
      <c r="C115" s="485">
        <v>429240</v>
      </c>
      <c r="D115" s="489">
        <v>0</v>
      </c>
      <c r="E115" s="489">
        <v>0</v>
      </c>
      <c r="F115" s="489">
        <v>420270</v>
      </c>
      <c r="G115" s="489">
        <v>0</v>
      </c>
      <c r="H115" s="489">
        <v>0</v>
      </c>
      <c r="I115" s="489">
        <v>0</v>
      </c>
      <c r="J115" s="489">
        <v>0</v>
      </c>
      <c r="K115" s="489">
        <v>0</v>
      </c>
      <c r="L115" s="489">
        <v>0</v>
      </c>
      <c r="M115" s="489">
        <v>0</v>
      </c>
      <c r="N115" s="489">
        <v>0</v>
      </c>
      <c r="O115" s="489">
        <v>0</v>
      </c>
      <c r="P115" s="1494">
        <f t="shared" si="6"/>
        <v>849510</v>
      </c>
      <c r="Q115" s="1439">
        <f t="shared" si="7"/>
        <v>849510</v>
      </c>
      <c r="R115" s="1413" t="s">
        <v>251</v>
      </c>
      <c r="S115" s="1414" t="s">
        <v>251</v>
      </c>
      <c r="T115" s="1414">
        <v>544430</v>
      </c>
      <c r="U115" s="1414">
        <v>0</v>
      </c>
      <c r="V115" s="1414">
        <v>0</v>
      </c>
      <c r="W115" s="1414">
        <v>0</v>
      </c>
      <c r="X115" s="1414">
        <v>0</v>
      </c>
      <c r="Y115" s="1414">
        <v>0</v>
      </c>
      <c r="Z115" s="1414"/>
      <c r="AA115" s="1414"/>
      <c r="AB115" s="1414"/>
      <c r="AC115" s="1414"/>
      <c r="AD115" s="488">
        <f t="shared" si="8"/>
        <v>544430</v>
      </c>
      <c r="AE115" s="565">
        <f t="shared" si="9"/>
        <v>-0.35912467186966607</v>
      </c>
      <c r="AF115" s="566">
        <f t="shared" si="5"/>
        <v>172</v>
      </c>
    </row>
    <row r="116" spans="1:32" x14ac:dyDescent="0.3">
      <c r="A116" s="10" t="s">
        <v>4</v>
      </c>
      <c r="B116" s="11" t="s">
        <v>118</v>
      </c>
      <c r="C116" s="485"/>
      <c r="D116" s="489">
        <v>0</v>
      </c>
      <c r="E116" s="489">
        <v>802970</v>
      </c>
      <c r="F116" s="489">
        <v>0</v>
      </c>
      <c r="G116" s="489">
        <v>0</v>
      </c>
      <c r="H116" s="489">
        <v>0</v>
      </c>
      <c r="I116" s="489">
        <v>0</v>
      </c>
      <c r="J116" s="489">
        <v>0</v>
      </c>
      <c r="K116" s="489">
        <v>0</v>
      </c>
      <c r="L116" s="489">
        <v>1764800</v>
      </c>
      <c r="M116" s="489">
        <v>0</v>
      </c>
      <c r="N116" s="489">
        <v>0</v>
      </c>
      <c r="O116" s="489">
        <v>0</v>
      </c>
      <c r="P116" s="1494">
        <f t="shared" si="6"/>
        <v>802970</v>
      </c>
      <c r="Q116" s="1439">
        <f t="shared" si="7"/>
        <v>2567770</v>
      </c>
      <c r="R116" s="1413" t="s">
        <v>251</v>
      </c>
      <c r="S116" s="1414" t="s">
        <v>251</v>
      </c>
      <c r="T116" s="1414" t="s">
        <v>251</v>
      </c>
      <c r="U116" s="1414"/>
      <c r="V116" s="1414"/>
      <c r="W116" s="1414"/>
      <c r="X116" s="1414"/>
      <c r="Y116" s="1414"/>
      <c r="Z116" s="1414"/>
      <c r="AA116" s="1414"/>
      <c r="AB116" s="1414"/>
      <c r="AC116" s="1414"/>
      <c r="AD116" s="488">
        <f t="shared" si="8"/>
        <v>0</v>
      </c>
      <c r="AE116" s="565">
        <f t="shared" si="9"/>
        <v>-1</v>
      </c>
      <c r="AF116" s="566">
        <f t="shared" si="5"/>
        <v>240</v>
      </c>
    </row>
    <row r="117" spans="1:32" x14ac:dyDescent="0.3">
      <c r="A117" s="10" t="s">
        <v>4</v>
      </c>
      <c r="B117" s="11" t="s">
        <v>119</v>
      </c>
      <c r="C117" s="485">
        <v>787580</v>
      </c>
      <c r="D117" s="489">
        <v>0</v>
      </c>
      <c r="E117" s="489">
        <v>0</v>
      </c>
      <c r="F117" s="489">
        <v>0</v>
      </c>
      <c r="G117" s="489">
        <v>0</v>
      </c>
      <c r="H117" s="489">
        <v>0</v>
      </c>
      <c r="I117" s="489">
        <v>0</v>
      </c>
      <c r="J117" s="489">
        <v>691420</v>
      </c>
      <c r="K117" s="489">
        <v>0</v>
      </c>
      <c r="L117" s="489">
        <v>35010</v>
      </c>
      <c r="M117" s="489">
        <v>49850</v>
      </c>
      <c r="N117" s="489">
        <v>0</v>
      </c>
      <c r="O117" s="489">
        <v>0</v>
      </c>
      <c r="P117" s="1494">
        <f t="shared" si="6"/>
        <v>787580</v>
      </c>
      <c r="Q117" s="1439">
        <f t="shared" si="7"/>
        <v>1563860</v>
      </c>
      <c r="R117" s="1413" t="s">
        <v>251</v>
      </c>
      <c r="S117" s="1414" t="s">
        <v>251</v>
      </c>
      <c r="T117" s="1414" t="s">
        <v>251</v>
      </c>
      <c r="U117" s="1414"/>
      <c r="V117" s="1414"/>
      <c r="W117" s="1414"/>
      <c r="X117" s="1414"/>
      <c r="Y117" s="1414"/>
      <c r="Z117" s="1414"/>
      <c r="AA117" s="1414"/>
      <c r="AB117" s="1414"/>
      <c r="AC117" s="1414"/>
      <c r="AD117" s="488">
        <f t="shared" si="8"/>
        <v>0</v>
      </c>
      <c r="AE117" s="565">
        <f t="shared" si="9"/>
        <v>-1</v>
      </c>
      <c r="AF117" s="566">
        <f t="shared" si="5"/>
        <v>240</v>
      </c>
    </row>
    <row r="118" spans="1:32" x14ac:dyDescent="0.3">
      <c r="A118" s="10" t="s">
        <v>4</v>
      </c>
      <c r="B118" s="11" t="s">
        <v>120</v>
      </c>
      <c r="C118" s="485"/>
      <c r="D118" s="489">
        <v>0</v>
      </c>
      <c r="E118" s="489">
        <v>0</v>
      </c>
      <c r="F118" s="489">
        <v>0</v>
      </c>
      <c r="G118" s="489">
        <v>778560</v>
      </c>
      <c r="H118" s="489">
        <v>0</v>
      </c>
      <c r="I118" s="489">
        <v>0</v>
      </c>
      <c r="J118" s="489">
        <v>0</v>
      </c>
      <c r="K118" s="489">
        <v>0</v>
      </c>
      <c r="L118" s="489">
        <v>0</v>
      </c>
      <c r="M118" s="489">
        <v>0</v>
      </c>
      <c r="N118" s="489">
        <v>0</v>
      </c>
      <c r="O118" s="489">
        <v>0</v>
      </c>
      <c r="P118" s="1494">
        <f t="shared" si="6"/>
        <v>778560</v>
      </c>
      <c r="Q118" s="1439">
        <f t="shared" si="7"/>
        <v>778560</v>
      </c>
      <c r="R118" s="1413">
        <v>840690</v>
      </c>
      <c r="S118" s="1414" t="s">
        <v>251</v>
      </c>
      <c r="T118" s="1414">
        <v>0</v>
      </c>
      <c r="U118" s="1414">
        <v>0</v>
      </c>
      <c r="V118" s="1414">
        <v>0</v>
      </c>
      <c r="W118" s="1414">
        <v>0</v>
      </c>
      <c r="X118" s="1414">
        <v>0</v>
      </c>
      <c r="Y118" s="1414">
        <v>0</v>
      </c>
      <c r="Z118" s="1414"/>
      <c r="AA118" s="1414"/>
      <c r="AB118" s="1414"/>
      <c r="AC118" s="1414"/>
      <c r="AD118" s="488">
        <f t="shared" si="8"/>
        <v>840690</v>
      </c>
      <c r="AE118" s="565">
        <f t="shared" si="9"/>
        <v>7.9801171393341558E-2</v>
      </c>
      <c r="AF118" s="566">
        <f t="shared" si="5"/>
        <v>164</v>
      </c>
    </row>
    <row r="119" spans="1:32" x14ac:dyDescent="0.3">
      <c r="A119" s="10" t="s">
        <v>4</v>
      </c>
      <c r="B119" s="11" t="s">
        <v>121</v>
      </c>
      <c r="C119" s="485"/>
      <c r="D119" s="489">
        <v>0</v>
      </c>
      <c r="E119" s="489">
        <v>522530</v>
      </c>
      <c r="F119" s="489">
        <v>0</v>
      </c>
      <c r="G119" s="489">
        <v>0</v>
      </c>
      <c r="H119" s="489">
        <v>4506700</v>
      </c>
      <c r="I119" s="489">
        <v>0</v>
      </c>
      <c r="J119" s="489">
        <v>0</v>
      </c>
      <c r="K119" s="489">
        <v>0</v>
      </c>
      <c r="L119" s="489">
        <v>845770</v>
      </c>
      <c r="M119" s="489">
        <v>0</v>
      </c>
      <c r="N119" s="489">
        <v>0</v>
      </c>
      <c r="O119" s="489">
        <v>0</v>
      </c>
      <c r="P119" s="1494">
        <f t="shared" si="6"/>
        <v>5029230</v>
      </c>
      <c r="Q119" s="1439">
        <f t="shared" si="7"/>
        <v>5875000</v>
      </c>
      <c r="R119" s="1413">
        <v>2687040</v>
      </c>
      <c r="S119" s="1414">
        <v>2092870</v>
      </c>
      <c r="T119" s="1414">
        <v>0</v>
      </c>
      <c r="U119" s="1414">
        <v>1624540</v>
      </c>
      <c r="V119" s="1414">
        <v>2124020</v>
      </c>
      <c r="W119" s="1414">
        <v>3109750</v>
      </c>
      <c r="X119" s="1414">
        <v>0</v>
      </c>
      <c r="Y119" s="1414">
        <v>0</v>
      </c>
      <c r="Z119" s="1414"/>
      <c r="AA119" s="1414"/>
      <c r="AB119" s="1414"/>
      <c r="AC119" s="1414"/>
      <c r="AD119" s="488">
        <f t="shared" si="8"/>
        <v>11638220</v>
      </c>
      <c r="AE119" s="565">
        <f t="shared" si="9"/>
        <v>1.3141156797362619</v>
      </c>
      <c r="AF119" s="566">
        <f t="shared" si="5"/>
        <v>45</v>
      </c>
    </row>
    <row r="120" spans="1:32" x14ac:dyDescent="0.3">
      <c r="A120" s="10" t="s">
        <v>4</v>
      </c>
      <c r="B120" s="11" t="s">
        <v>122</v>
      </c>
      <c r="C120" s="485"/>
      <c r="D120" s="489">
        <v>0</v>
      </c>
      <c r="E120" s="489">
        <v>726080</v>
      </c>
      <c r="F120" s="489">
        <v>0</v>
      </c>
      <c r="G120" s="489">
        <v>0</v>
      </c>
      <c r="H120" s="489">
        <v>183490</v>
      </c>
      <c r="I120" s="489">
        <v>0</v>
      </c>
      <c r="J120" s="489">
        <v>0</v>
      </c>
      <c r="K120" s="489">
        <v>0</v>
      </c>
      <c r="L120" s="489">
        <v>0</v>
      </c>
      <c r="M120" s="489">
        <v>0</v>
      </c>
      <c r="N120" s="489">
        <v>0</v>
      </c>
      <c r="O120" s="489">
        <v>586790</v>
      </c>
      <c r="P120" s="1494">
        <f t="shared" si="6"/>
        <v>909570</v>
      </c>
      <c r="Q120" s="1439">
        <f t="shared" si="7"/>
        <v>1496360</v>
      </c>
      <c r="R120" s="1413">
        <v>2136910</v>
      </c>
      <c r="S120" s="1414" t="s">
        <v>251</v>
      </c>
      <c r="T120" s="1414">
        <v>658000</v>
      </c>
      <c r="U120" s="1414">
        <v>0</v>
      </c>
      <c r="V120" s="1414">
        <v>0</v>
      </c>
      <c r="W120" s="1414">
        <v>135490</v>
      </c>
      <c r="X120" s="1414">
        <v>0</v>
      </c>
      <c r="Y120" s="1414">
        <v>624300</v>
      </c>
      <c r="Z120" s="1414"/>
      <c r="AA120" s="1414"/>
      <c r="AB120" s="1414"/>
      <c r="AC120" s="1414"/>
      <c r="AD120" s="488">
        <f t="shared" si="8"/>
        <v>3554700</v>
      </c>
      <c r="AE120" s="565">
        <f t="shared" si="9"/>
        <v>2.9081104258056003</v>
      </c>
      <c r="AF120" s="566">
        <f t="shared" si="5"/>
        <v>97</v>
      </c>
    </row>
    <row r="121" spans="1:32" x14ac:dyDescent="0.3">
      <c r="A121" s="10" t="s">
        <v>4</v>
      </c>
      <c r="B121" s="11" t="s">
        <v>123</v>
      </c>
      <c r="C121" s="485">
        <v>655540</v>
      </c>
      <c r="D121" s="489">
        <v>0</v>
      </c>
      <c r="E121" s="489">
        <v>0</v>
      </c>
      <c r="F121" s="489">
        <v>0</v>
      </c>
      <c r="G121" s="489">
        <v>0</v>
      </c>
      <c r="H121" s="489">
        <v>0</v>
      </c>
      <c r="I121" s="489">
        <v>0</v>
      </c>
      <c r="J121" s="489">
        <v>0</v>
      </c>
      <c r="K121" s="489">
        <v>0</v>
      </c>
      <c r="L121" s="489">
        <v>0</v>
      </c>
      <c r="M121" s="489">
        <v>0</v>
      </c>
      <c r="N121" s="489">
        <v>1385940</v>
      </c>
      <c r="O121" s="489">
        <v>0</v>
      </c>
      <c r="P121" s="1494">
        <f t="shared" si="6"/>
        <v>655540</v>
      </c>
      <c r="Q121" s="1439">
        <f t="shared" si="7"/>
        <v>2041480</v>
      </c>
      <c r="R121" s="1413">
        <v>654880</v>
      </c>
      <c r="S121" s="1414" t="s">
        <v>251</v>
      </c>
      <c r="T121" s="1414">
        <v>491440</v>
      </c>
      <c r="U121" s="1414">
        <v>889580</v>
      </c>
      <c r="V121" s="1414">
        <v>0</v>
      </c>
      <c r="W121" s="1414">
        <v>0</v>
      </c>
      <c r="X121" s="1414">
        <v>0</v>
      </c>
      <c r="Y121" s="1414">
        <v>321120</v>
      </c>
      <c r="Z121" s="1414"/>
      <c r="AA121" s="1414"/>
      <c r="AB121" s="1414"/>
      <c r="AC121" s="1414"/>
      <c r="AD121" s="488">
        <f t="shared" si="8"/>
        <v>2357020</v>
      </c>
      <c r="AE121" s="565">
        <f t="shared" si="9"/>
        <v>2.5955395551758857</v>
      </c>
      <c r="AF121" s="566">
        <f t="shared" si="5"/>
        <v>119</v>
      </c>
    </row>
    <row r="122" spans="1:32" x14ac:dyDescent="0.3">
      <c r="A122" s="10" t="s">
        <v>4</v>
      </c>
      <c r="B122" s="11" t="s">
        <v>124</v>
      </c>
      <c r="C122" s="485"/>
      <c r="D122" s="489">
        <v>0</v>
      </c>
      <c r="E122" s="489">
        <v>0</v>
      </c>
      <c r="F122" s="489">
        <v>0</v>
      </c>
      <c r="G122" s="489">
        <v>617050</v>
      </c>
      <c r="H122" s="489">
        <v>0</v>
      </c>
      <c r="I122" s="489">
        <v>0</v>
      </c>
      <c r="J122" s="489">
        <v>0</v>
      </c>
      <c r="K122" s="489">
        <v>0</v>
      </c>
      <c r="L122" s="489">
        <v>0</v>
      </c>
      <c r="M122" s="489">
        <v>0</v>
      </c>
      <c r="N122" s="489">
        <v>0</v>
      </c>
      <c r="O122" s="489">
        <v>0</v>
      </c>
      <c r="P122" s="1494">
        <f t="shared" si="6"/>
        <v>617050</v>
      </c>
      <c r="Q122" s="1439">
        <f t="shared" si="7"/>
        <v>617050</v>
      </c>
      <c r="R122" s="1413" t="s">
        <v>251</v>
      </c>
      <c r="S122" s="1414" t="s">
        <v>251</v>
      </c>
      <c r="T122" s="1414" t="s">
        <v>251</v>
      </c>
      <c r="U122" s="1414"/>
      <c r="V122" s="1414"/>
      <c r="W122" s="1414"/>
      <c r="X122" s="1414"/>
      <c r="Y122" s="1414"/>
      <c r="Z122" s="1414"/>
      <c r="AA122" s="1414"/>
      <c r="AB122" s="1414"/>
      <c r="AC122" s="1414"/>
      <c r="AD122" s="488">
        <f t="shared" si="8"/>
        <v>0</v>
      </c>
      <c r="AE122" s="565">
        <f t="shared" si="9"/>
        <v>-1</v>
      </c>
      <c r="AF122" s="566">
        <f t="shared" si="5"/>
        <v>240</v>
      </c>
    </row>
    <row r="123" spans="1:32" x14ac:dyDescent="0.3">
      <c r="A123" s="10" t="s">
        <v>4</v>
      </c>
      <c r="B123" s="11" t="s">
        <v>125</v>
      </c>
      <c r="C123" s="485">
        <v>117900</v>
      </c>
      <c r="D123" s="489">
        <v>0</v>
      </c>
      <c r="E123" s="489">
        <v>448850</v>
      </c>
      <c r="F123" s="489">
        <v>0</v>
      </c>
      <c r="G123" s="489">
        <v>0</v>
      </c>
      <c r="H123" s="489">
        <v>0</v>
      </c>
      <c r="I123" s="489">
        <v>0</v>
      </c>
      <c r="J123" s="489">
        <v>0</v>
      </c>
      <c r="K123" s="489">
        <v>0</v>
      </c>
      <c r="L123" s="489">
        <v>0</v>
      </c>
      <c r="M123" s="489">
        <v>0</v>
      </c>
      <c r="N123" s="489">
        <v>0</v>
      </c>
      <c r="O123" s="489">
        <v>0</v>
      </c>
      <c r="P123" s="1494">
        <f t="shared" si="6"/>
        <v>566750</v>
      </c>
      <c r="Q123" s="1439">
        <f t="shared" si="7"/>
        <v>566750</v>
      </c>
      <c r="R123" s="1413" t="s">
        <v>251</v>
      </c>
      <c r="S123" s="1414" t="s">
        <v>251</v>
      </c>
      <c r="T123" s="1414" t="s">
        <v>251</v>
      </c>
      <c r="U123" s="1414"/>
      <c r="V123" s="1414"/>
      <c r="W123" s="1414"/>
      <c r="X123" s="1414"/>
      <c r="Y123" s="1414"/>
      <c r="Z123" s="1414"/>
      <c r="AA123" s="1414"/>
      <c r="AB123" s="1414"/>
      <c r="AC123" s="1414"/>
      <c r="AD123" s="488">
        <f t="shared" si="8"/>
        <v>0</v>
      </c>
      <c r="AE123" s="565">
        <f t="shared" si="9"/>
        <v>-1</v>
      </c>
      <c r="AF123" s="566">
        <f t="shared" si="5"/>
        <v>240</v>
      </c>
    </row>
    <row r="124" spans="1:32" x14ac:dyDescent="0.3">
      <c r="A124" s="10" t="s">
        <v>4</v>
      </c>
      <c r="B124" s="11" t="s">
        <v>608</v>
      </c>
      <c r="C124" s="485">
        <v>113930</v>
      </c>
      <c r="D124" s="489">
        <v>0</v>
      </c>
      <c r="E124" s="489">
        <v>434450</v>
      </c>
      <c r="F124" s="489">
        <v>0</v>
      </c>
      <c r="G124" s="489">
        <v>0</v>
      </c>
      <c r="H124" s="489">
        <v>0</v>
      </c>
      <c r="I124" s="489">
        <v>386650</v>
      </c>
      <c r="J124" s="489">
        <v>0</v>
      </c>
      <c r="K124" s="489">
        <v>0</v>
      </c>
      <c r="L124" s="489">
        <v>27600</v>
      </c>
      <c r="M124" s="489">
        <v>203290</v>
      </c>
      <c r="N124" s="489">
        <v>0</v>
      </c>
      <c r="O124" s="489">
        <v>0</v>
      </c>
      <c r="P124" s="1494">
        <f t="shared" si="6"/>
        <v>935030</v>
      </c>
      <c r="Q124" s="1439">
        <f t="shared" si="7"/>
        <v>1165920</v>
      </c>
      <c r="R124" s="1413">
        <v>517540</v>
      </c>
      <c r="S124" s="1414" t="s">
        <v>251</v>
      </c>
      <c r="T124" s="1414">
        <v>896700</v>
      </c>
      <c r="U124" s="1414">
        <v>0</v>
      </c>
      <c r="V124" s="1414">
        <v>0</v>
      </c>
      <c r="W124" s="1414">
        <v>0</v>
      </c>
      <c r="X124" s="1414">
        <v>0</v>
      </c>
      <c r="Y124" s="1414">
        <v>90560</v>
      </c>
      <c r="Z124" s="1414"/>
      <c r="AA124" s="1414"/>
      <c r="AB124" s="1414"/>
      <c r="AC124" s="1414"/>
      <c r="AD124" s="488">
        <f t="shared" si="8"/>
        <v>1504800</v>
      </c>
      <c r="AE124" s="565">
        <f t="shared" si="9"/>
        <v>0.60936012748254065</v>
      </c>
      <c r="AF124" s="566">
        <f t="shared" si="5"/>
        <v>131</v>
      </c>
    </row>
    <row r="125" spans="1:32" x14ac:dyDescent="0.3">
      <c r="A125" s="10" t="s">
        <v>4</v>
      </c>
      <c r="B125" s="11" t="s">
        <v>127</v>
      </c>
      <c r="C125" s="485">
        <v>516420</v>
      </c>
      <c r="D125" s="489">
        <v>0</v>
      </c>
      <c r="E125" s="489">
        <v>29330</v>
      </c>
      <c r="F125" s="489">
        <v>0</v>
      </c>
      <c r="G125" s="489">
        <v>0</v>
      </c>
      <c r="H125" s="489">
        <v>0</v>
      </c>
      <c r="I125" s="489">
        <v>0</v>
      </c>
      <c r="J125" s="489">
        <v>0</v>
      </c>
      <c r="K125" s="489">
        <v>0</v>
      </c>
      <c r="L125" s="489">
        <v>0</v>
      </c>
      <c r="M125" s="489">
        <v>0</v>
      </c>
      <c r="N125" s="489">
        <v>0</v>
      </c>
      <c r="O125" s="489">
        <v>0</v>
      </c>
      <c r="P125" s="1494">
        <f t="shared" si="6"/>
        <v>545750</v>
      </c>
      <c r="Q125" s="1439">
        <f t="shared" si="7"/>
        <v>545750</v>
      </c>
      <c r="R125" s="1413">
        <v>602610</v>
      </c>
      <c r="S125" s="1414" t="s">
        <v>251</v>
      </c>
      <c r="T125" s="1414">
        <v>615300</v>
      </c>
      <c r="U125" s="1414">
        <v>0</v>
      </c>
      <c r="V125" s="1414">
        <v>0</v>
      </c>
      <c r="W125" s="1414">
        <v>0</v>
      </c>
      <c r="X125" s="1414">
        <v>0</v>
      </c>
      <c r="Y125" s="1414">
        <v>0</v>
      </c>
      <c r="Z125" s="1414"/>
      <c r="AA125" s="1414"/>
      <c r="AB125" s="1414"/>
      <c r="AC125" s="1414"/>
      <c r="AD125" s="488">
        <f t="shared" si="8"/>
        <v>1217910</v>
      </c>
      <c r="AE125" s="565">
        <f t="shared" si="9"/>
        <v>1.2316262024736602</v>
      </c>
      <c r="AF125" s="566">
        <f t="shared" si="5"/>
        <v>146</v>
      </c>
    </row>
    <row r="126" spans="1:32" x14ac:dyDescent="0.3">
      <c r="A126" s="10" t="s">
        <v>4</v>
      </c>
      <c r="B126" s="11" t="s">
        <v>128</v>
      </c>
      <c r="C126" s="485"/>
      <c r="D126" s="489">
        <v>0</v>
      </c>
      <c r="E126" s="489">
        <v>0</v>
      </c>
      <c r="F126" s="489">
        <v>522150</v>
      </c>
      <c r="G126" s="489">
        <v>0</v>
      </c>
      <c r="H126" s="489">
        <v>782230</v>
      </c>
      <c r="I126" s="489">
        <v>0</v>
      </c>
      <c r="J126" s="489">
        <v>417850</v>
      </c>
      <c r="K126" s="489">
        <v>417850</v>
      </c>
      <c r="L126" s="489">
        <v>0</v>
      </c>
      <c r="M126" s="489">
        <v>0</v>
      </c>
      <c r="N126" s="489">
        <v>0</v>
      </c>
      <c r="O126" s="489">
        <v>1498230</v>
      </c>
      <c r="P126" s="1494">
        <f t="shared" si="6"/>
        <v>1722230</v>
      </c>
      <c r="Q126" s="1439">
        <f t="shared" si="7"/>
        <v>3220460</v>
      </c>
      <c r="R126" s="1413" t="s">
        <v>251</v>
      </c>
      <c r="S126" s="1414" t="s">
        <v>251</v>
      </c>
      <c r="T126" s="1414" t="s">
        <v>251</v>
      </c>
      <c r="U126" s="1414"/>
      <c r="V126" s="1414"/>
      <c r="W126" s="1414"/>
      <c r="X126" s="1414">
        <v>1431600</v>
      </c>
      <c r="Y126" s="1414">
        <v>0</v>
      </c>
      <c r="Z126" s="1414"/>
      <c r="AA126" s="1414"/>
      <c r="AB126" s="1414"/>
      <c r="AC126" s="1414"/>
      <c r="AD126" s="488">
        <f t="shared" si="8"/>
        <v>1431600</v>
      </c>
      <c r="AE126" s="565">
        <f t="shared" si="9"/>
        <v>-0.16875214111936268</v>
      </c>
      <c r="AF126" s="566">
        <f t="shared" si="5"/>
        <v>137</v>
      </c>
    </row>
    <row r="127" spans="1:32" x14ac:dyDescent="0.3">
      <c r="A127" s="10" t="s">
        <v>4</v>
      </c>
      <c r="B127" s="11" t="s">
        <v>609</v>
      </c>
      <c r="C127" s="485"/>
      <c r="D127" s="489">
        <v>0</v>
      </c>
      <c r="E127" s="489">
        <v>0</v>
      </c>
      <c r="F127" s="489">
        <v>116430</v>
      </c>
      <c r="G127" s="489">
        <v>393510</v>
      </c>
      <c r="H127" s="489">
        <v>545430</v>
      </c>
      <c r="I127" s="489">
        <v>247410</v>
      </c>
      <c r="J127" s="489">
        <v>988310</v>
      </c>
      <c r="K127" s="489">
        <v>988310</v>
      </c>
      <c r="L127" s="489">
        <v>843490</v>
      </c>
      <c r="M127" s="489">
        <v>916630</v>
      </c>
      <c r="N127" s="489">
        <v>0</v>
      </c>
      <c r="O127" s="489">
        <v>732410</v>
      </c>
      <c r="P127" s="1494">
        <f t="shared" si="6"/>
        <v>2291090</v>
      </c>
      <c r="Q127" s="1439">
        <f t="shared" si="7"/>
        <v>4783620</v>
      </c>
      <c r="R127" s="1413" t="s">
        <v>251</v>
      </c>
      <c r="S127" s="1414" t="s">
        <v>251</v>
      </c>
      <c r="T127" s="1414">
        <v>71220</v>
      </c>
      <c r="U127" s="1414">
        <v>0</v>
      </c>
      <c r="V127" s="1414">
        <v>29010</v>
      </c>
      <c r="W127" s="1414">
        <v>0</v>
      </c>
      <c r="X127" s="1414">
        <v>0</v>
      </c>
      <c r="Y127" s="1414">
        <v>0</v>
      </c>
      <c r="Z127" s="1414"/>
      <c r="AA127" s="1414"/>
      <c r="AB127" s="1414"/>
      <c r="AC127" s="1414"/>
      <c r="AD127" s="488">
        <f t="shared" si="8"/>
        <v>100230</v>
      </c>
      <c r="AE127" s="565">
        <f t="shared" si="9"/>
        <v>-0.95625226420612019</v>
      </c>
      <c r="AF127" s="566">
        <f t="shared" si="5"/>
        <v>208</v>
      </c>
    </row>
    <row r="128" spans="1:32" x14ac:dyDescent="0.3">
      <c r="A128" s="10" t="s">
        <v>4</v>
      </c>
      <c r="B128" s="11" t="s">
        <v>130</v>
      </c>
      <c r="C128" s="485"/>
      <c r="D128" s="489">
        <v>0</v>
      </c>
      <c r="E128" s="489">
        <v>0</v>
      </c>
      <c r="F128" s="489">
        <v>499070</v>
      </c>
      <c r="G128" s="489">
        <v>0</v>
      </c>
      <c r="H128" s="489">
        <v>0</v>
      </c>
      <c r="I128" s="489">
        <v>1848240</v>
      </c>
      <c r="J128" s="489">
        <v>0</v>
      </c>
      <c r="K128" s="489">
        <v>0</v>
      </c>
      <c r="L128" s="489">
        <v>41680</v>
      </c>
      <c r="M128" s="489">
        <v>0</v>
      </c>
      <c r="N128" s="489">
        <v>0</v>
      </c>
      <c r="O128" s="489">
        <v>428790</v>
      </c>
      <c r="P128" s="1494">
        <f t="shared" si="6"/>
        <v>2347310</v>
      </c>
      <c r="Q128" s="1439">
        <f t="shared" si="7"/>
        <v>2817780</v>
      </c>
      <c r="R128" s="1413">
        <v>2671540</v>
      </c>
      <c r="S128" s="1414">
        <v>29020</v>
      </c>
      <c r="T128" s="1414">
        <v>0</v>
      </c>
      <c r="U128" s="1414">
        <v>0</v>
      </c>
      <c r="V128" s="1414">
        <v>2369900</v>
      </c>
      <c r="W128" s="1414">
        <v>0</v>
      </c>
      <c r="X128" s="1414">
        <v>0</v>
      </c>
      <c r="Y128" s="1414">
        <v>0</v>
      </c>
      <c r="Z128" s="1414"/>
      <c r="AA128" s="1414"/>
      <c r="AB128" s="1414"/>
      <c r="AC128" s="1414"/>
      <c r="AD128" s="488">
        <f t="shared" si="8"/>
        <v>5070460</v>
      </c>
      <c r="AE128" s="565">
        <f t="shared" si="9"/>
        <v>1.1601151956920901</v>
      </c>
      <c r="AF128" s="566">
        <f t="shared" si="5"/>
        <v>82</v>
      </c>
    </row>
    <row r="129" spans="1:32" x14ac:dyDescent="0.3">
      <c r="A129" s="10" t="s">
        <v>4</v>
      </c>
      <c r="B129" s="11" t="s">
        <v>131</v>
      </c>
      <c r="C129" s="485"/>
      <c r="D129" s="489">
        <v>0</v>
      </c>
      <c r="E129" s="489">
        <v>491740</v>
      </c>
      <c r="F129" s="489">
        <v>0</v>
      </c>
      <c r="G129" s="489">
        <v>0</v>
      </c>
      <c r="H129" s="489">
        <v>0</v>
      </c>
      <c r="I129" s="489">
        <v>0</v>
      </c>
      <c r="J129" s="489">
        <v>0</v>
      </c>
      <c r="K129" s="489">
        <v>0</v>
      </c>
      <c r="L129" s="489">
        <v>0</v>
      </c>
      <c r="M129" s="489">
        <v>0</v>
      </c>
      <c r="N129" s="489">
        <v>0</v>
      </c>
      <c r="O129" s="489">
        <v>0</v>
      </c>
      <c r="P129" s="1494">
        <f t="shared" si="6"/>
        <v>491740</v>
      </c>
      <c r="Q129" s="1439">
        <f t="shared" si="7"/>
        <v>491740</v>
      </c>
      <c r="R129" s="1413" t="s">
        <v>251</v>
      </c>
      <c r="S129" s="1414" t="s">
        <v>251</v>
      </c>
      <c r="T129" s="1414">
        <v>336180</v>
      </c>
      <c r="U129" s="1414">
        <v>0</v>
      </c>
      <c r="V129" s="1414">
        <v>0</v>
      </c>
      <c r="W129" s="1414">
        <v>0</v>
      </c>
      <c r="X129" s="1414">
        <v>0</v>
      </c>
      <c r="Y129" s="1414">
        <v>0</v>
      </c>
      <c r="Z129" s="1414"/>
      <c r="AA129" s="1414"/>
      <c r="AB129" s="1414"/>
      <c r="AC129" s="1414"/>
      <c r="AD129" s="488">
        <f t="shared" si="8"/>
        <v>336180</v>
      </c>
      <c r="AE129" s="565">
        <f t="shared" si="9"/>
        <v>-0.31634603652336601</v>
      </c>
      <c r="AF129" s="566">
        <f t="shared" si="5"/>
        <v>191</v>
      </c>
    </row>
    <row r="130" spans="1:32" x14ac:dyDescent="0.3">
      <c r="A130" s="10" t="s">
        <v>4</v>
      </c>
      <c r="B130" s="11" t="s">
        <v>132</v>
      </c>
      <c r="C130" s="485"/>
      <c r="D130" s="489">
        <v>0</v>
      </c>
      <c r="E130" s="489">
        <v>0</v>
      </c>
      <c r="F130" s="489">
        <v>488090</v>
      </c>
      <c r="G130" s="489">
        <v>0</v>
      </c>
      <c r="H130" s="489">
        <v>0</v>
      </c>
      <c r="I130" s="489">
        <v>0</v>
      </c>
      <c r="J130" s="489">
        <v>0</v>
      </c>
      <c r="K130" s="489">
        <v>0</v>
      </c>
      <c r="L130" s="489">
        <v>0</v>
      </c>
      <c r="M130" s="489">
        <v>0</v>
      </c>
      <c r="N130" s="489">
        <v>0</v>
      </c>
      <c r="O130" s="489">
        <v>0</v>
      </c>
      <c r="P130" s="1494">
        <f t="shared" si="6"/>
        <v>488090</v>
      </c>
      <c r="Q130" s="1439">
        <f t="shared" si="7"/>
        <v>488090</v>
      </c>
      <c r="R130" s="1413" t="s">
        <v>251</v>
      </c>
      <c r="S130" s="1414" t="s">
        <v>251</v>
      </c>
      <c r="T130" s="1414" t="s">
        <v>251</v>
      </c>
      <c r="U130" s="1414"/>
      <c r="V130" s="1414"/>
      <c r="W130" s="1414"/>
      <c r="X130" s="1414"/>
      <c r="Y130" s="1414"/>
      <c r="Z130" s="1414"/>
      <c r="AA130" s="1414"/>
      <c r="AB130" s="1414"/>
      <c r="AC130" s="1414"/>
      <c r="AD130" s="488">
        <f t="shared" si="8"/>
        <v>0</v>
      </c>
      <c r="AE130" s="565">
        <f t="shared" si="9"/>
        <v>-1</v>
      </c>
      <c r="AF130" s="566">
        <f t="shared" ref="AF130:AF193" si="10">IFERROR(_xlfn.RANK.EQ(AD130, $AD$2:$AD$450), "")</f>
        <v>240</v>
      </c>
    </row>
    <row r="131" spans="1:32" x14ac:dyDescent="0.3">
      <c r="A131" s="10" t="s">
        <v>4</v>
      </c>
      <c r="B131" s="11" t="s">
        <v>133</v>
      </c>
      <c r="C131" s="485"/>
      <c r="D131" s="489">
        <v>485000</v>
      </c>
      <c r="E131" s="489">
        <v>0</v>
      </c>
      <c r="F131" s="489">
        <v>0</v>
      </c>
      <c r="G131" s="489">
        <v>0</v>
      </c>
      <c r="H131" s="489">
        <v>0</v>
      </c>
      <c r="I131" s="489">
        <v>41350</v>
      </c>
      <c r="J131" s="489">
        <v>0</v>
      </c>
      <c r="K131" s="489">
        <v>0</v>
      </c>
      <c r="L131" s="489">
        <v>0</v>
      </c>
      <c r="M131" s="489">
        <v>0</v>
      </c>
      <c r="N131" s="489">
        <v>0</v>
      </c>
      <c r="O131" s="489">
        <v>551400</v>
      </c>
      <c r="P131" s="1494">
        <f t="shared" ref="P131:P194" si="11">SUM(C131:I131,K131)</f>
        <v>526350</v>
      </c>
      <c r="Q131" s="1439">
        <f t="shared" ref="Q131:Q194" si="12">SUM(C131:J131,L131:O131)</f>
        <v>1077750</v>
      </c>
      <c r="R131" s="1413" t="s">
        <v>251</v>
      </c>
      <c r="S131" s="1414" t="s">
        <v>251</v>
      </c>
      <c r="T131" s="1414" t="s">
        <v>251</v>
      </c>
      <c r="U131" s="1414"/>
      <c r="V131" s="1414"/>
      <c r="W131" s="1414"/>
      <c r="X131" s="1414"/>
      <c r="Y131" s="1414"/>
      <c r="Z131" s="1414"/>
      <c r="AA131" s="1414"/>
      <c r="AB131" s="1414"/>
      <c r="AC131" s="1414"/>
      <c r="AD131" s="488">
        <f t="shared" ref="AD131:AD194" si="13">SUM(R131:AC131)</f>
        <v>0</v>
      </c>
      <c r="AE131" s="565">
        <f t="shared" ref="AE131:AE194" si="14">IF(OR(AD131="", P131=""), 0, IFERROR((AD131-P131)/P131, IF(AD131&lt;&gt;0, 1, 0)))</f>
        <v>-1</v>
      </c>
      <c r="AF131" s="566">
        <f t="shared" si="10"/>
        <v>240</v>
      </c>
    </row>
    <row r="132" spans="1:32" x14ac:dyDescent="0.3">
      <c r="A132" s="10" t="s">
        <v>4</v>
      </c>
      <c r="B132" s="11" t="s">
        <v>134</v>
      </c>
      <c r="C132" s="485"/>
      <c r="D132" s="489">
        <v>0</v>
      </c>
      <c r="E132" s="489">
        <v>479380</v>
      </c>
      <c r="F132" s="489">
        <v>0</v>
      </c>
      <c r="G132" s="489">
        <v>0</v>
      </c>
      <c r="H132" s="489">
        <v>494560</v>
      </c>
      <c r="I132" s="489">
        <v>0</v>
      </c>
      <c r="J132" s="489">
        <v>0</v>
      </c>
      <c r="K132" s="489">
        <v>0</v>
      </c>
      <c r="L132" s="489">
        <v>0</v>
      </c>
      <c r="M132" s="489">
        <v>0</v>
      </c>
      <c r="N132" s="489">
        <v>0</v>
      </c>
      <c r="O132" s="489">
        <v>0</v>
      </c>
      <c r="P132" s="1494">
        <f t="shared" si="11"/>
        <v>973940</v>
      </c>
      <c r="Q132" s="1439">
        <f t="shared" si="12"/>
        <v>973940</v>
      </c>
      <c r="R132" s="1413" t="s">
        <v>251</v>
      </c>
      <c r="S132" s="1414" t="s">
        <v>251</v>
      </c>
      <c r="T132" s="1414" t="s">
        <v>251</v>
      </c>
      <c r="U132" s="1414"/>
      <c r="V132" s="1414"/>
      <c r="W132" s="1414"/>
      <c r="X132" s="1414"/>
      <c r="Y132" s="1414"/>
      <c r="Z132" s="1414"/>
      <c r="AA132" s="1414"/>
      <c r="AB132" s="1414"/>
      <c r="AC132" s="1414"/>
      <c r="AD132" s="488">
        <f t="shared" si="13"/>
        <v>0</v>
      </c>
      <c r="AE132" s="565">
        <f t="shared" si="14"/>
        <v>-1</v>
      </c>
      <c r="AF132" s="566">
        <f t="shared" si="10"/>
        <v>240</v>
      </c>
    </row>
    <row r="133" spans="1:32" x14ac:dyDescent="0.3">
      <c r="A133" s="10" t="s">
        <v>4</v>
      </c>
      <c r="B133" s="11" t="s">
        <v>135</v>
      </c>
      <c r="C133" s="485"/>
      <c r="D133" s="489">
        <v>0</v>
      </c>
      <c r="E133" s="489">
        <v>492870</v>
      </c>
      <c r="F133" s="489">
        <v>0</v>
      </c>
      <c r="G133" s="489">
        <v>0</v>
      </c>
      <c r="H133" s="489">
        <v>0</v>
      </c>
      <c r="I133" s="489">
        <v>0</v>
      </c>
      <c r="J133" s="489">
        <v>0</v>
      </c>
      <c r="K133" s="489">
        <v>0</v>
      </c>
      <c r="L133" s="489">
        <v>0</v>
      </c>
      <c r="M133" s="489">
        <v>0</v>
      </c>
      <c r="N133" s="489">
        <v>0</v>
      </c>
      <c r="O133" s="489">
        <v>0</v>
      </c>
      <c r="P133" s="1494">
        <f t="shared" si="11"/>
        <v>492870</v>
      </c>
      <c r="Q133" s="1439">
        <f t="shared" si="12"/>
        <v>492870</v>
      </c>
      <c r="R133" s="1413" t="s">
        <v>251</v>
      </c>
      <c r="S133" s="1414" t="s">
        <v>251</v>
      </c>
      <c r="T133" s="1414" t="s">
        <v>251</v>
      </c>
      <c r="U133" s="1414"/>
      <c r="V133" s="1414"/>
      <c r="W133" s="1414"/>
      <c r="X133" s="1414"/>
      <c r="Y133" s="1414"/>
      <c r="Z133" s="1414"/>
      <c r="AA133" s="1414"/>
      <c r="AB133" s="1414"/>
      <c r="AC133" s="1414"/>
      <c r="AD133" s="488">
        <f t="shared" si="13"/>
        <v>0</v>
      </c>
      <c r="AE133" s="565">
        <f t="shared" si="14"/>
        <v>-1</v>
      </c>
      <c r="AF133" s="566">
        <f t="shared" si="10"/>
        <v>240</v>
      </c>
    </row>
    <row r="134" spans="1:32" x14ac:dyDescent="0.3">
      <c r="A134" s="10" t="s">
        <v>4</v>
      </c>
      <c r="B134" s="11" t="s">
        <v>136</v>
      </c>
      <c r="C134" s="485"/>
      <c r="D134" s="489">
        <v>466910</v>
      </c>
      <c r="E134" s="489">
        <v>0</v>
      </c>
      <c r="F134" s="489">
        <v>0</v>
      </c>
      <c r="G134" s="489">
        <v>0</v>
      </c>
      <c r="H134" s="489">
        <v>2220150</v>
      </c>
      <c r="I134" s="489">
        <v>2213290</v>
      </c>
      <c r="J134" s="489">
        <v>1236480</v>
      </c>
      <c r="K134" s="489">
        <v>1236480</v>
      </c>
      <c r="L134" s="489">
        <v>1350300</v>
      </c>
      <c r="M134" s="489">
        <v>0</v>
      </c>
      <c r="N134" s="489">
        <v>0</v>
      </c>
      <c r="O134" s="489">
        <v>2704680</v>
      </c>
      <c r="P134" s="1494">
        <f t="shared" si="11"/>
        <v>6136830</v>
      </c>
      <c r="Q134" s="1439">
        <f t="shared" si="12"/>
        <v>10191810</v>
      </c>
      <c r="R134" s="1413">
        <v>2737860</v>
      </c>
      <c r="S134" s="1414">
        <v>1120320</v>
      </c>
      <c r="T134" s="1414">
        <v>2063930</v>
      </c>
      <c r="U134" s="1414">
        <v>371420</v>
      </c>
      <c r="V134" s="1414">
        <v>0</v>
      </c>
      <c r="W134" s="1414">
        <v>0</v>
      </c>
      <c r="X134" s="1414">
        <v>0</v>
      </c>
      <c r="Y134" s="1414">
        <v>2179840</v>
      </c>
      <c r="Z134" s="1414"/>
      <c r="AA134" s="1414"/>
      <c r="AB134" s="1414"/>
      <c r="AC134" s="1414"/>
      <c r="AD134" s="488">
        <f t="shared" si="13"/>
        <v>8473370</v>
      </c>
      <c r="AE134" s="565">
        <f t="shared" si="14"/>
        <v>0.3807405452000463</v>
      </c>
      <c r="AF134" s="566">
        <f t="shared" si="10"/>
        <v>62</v>
      </c>
    </row>
    <row r="135" spans="1:32" x14ac:dyDescent="0.3">
      <c r="A135" s="10" t="s">
        <v>4</v>
      </c>
      <c r="B135" s="11" t="s">
        <v>137</v>
      </c>
      <c r="C135" s="485"/>
      <c r="D135" s="489" t="s">
        <v>251</v>
      </c>
      <c r="E135" s="489" t="s">
        <v>251</v>
      </c>
      <c r="F135" s="489" t="s">
        <v>251</v>
      </c>
      <c r="G135" s="489" t="s">
        <v>251</v>
      </c>
      <c r="H135" s="489" t="s">
        <v>251</v>
      </c>
      <c r="I135" s="489" t="s">
        <v>251</v>
      </c>
      <c r="J135" s="489" t="s">
        <v>251</v>
      </c>
      <c r="K135" s="489"/>
      <c r="L135" s="489" t="s">
        <v>251</v>
      </c>
      <c r="M135" s="489" t="s">
        <v>251</v>
      </c>
      <c r="N135" s="489" t="s">
        <v>251</v>
      </c>
      <c r="O135" s="489" t="s">
        <v>251</v>
      </c>
      <c r="P135" s="1494">
        <f t="shared" si="11"/>
        <v>0</v>
      </c>
      <c r="Q135" s="1439">
        <f t="shared" si="12"/>
        <v>0</v>
      </c>
      <c r="R135" s="1413" t="s">
        <v>251</v>
      </c>
      <c r="S135" s="1414" t="s">
        <v>251</v>
      </c>
      <c r="T135" s="1414" t="s">
        <v>251</v>
      </c>
      <c r="U135" s="1414"/>
      <c r="V135" s="1414"/>
      <c r="W135" s="1414"/>
      <c r="X135" s="1414"/>
      <c r="Y135" s="1414"/>
      <c r="Z135" s="1414"/>
      <c r="AA135" s="1414"/>
      <c r="AB135" s="1414"/>
      <c r="AC135" s="1414"/>
      <c r="AD135" s="488">
        <f t="shared" si="13"/>
        <v>0</v>
      </c>
      <c r="AE135" s="565">
        <f t="shared" si="14"/>
        <v>0</v>
      </c>
      <c r="AF135" s="566">
        <f t="shared" si="10"/>
        <v>240</v>
      </c>
    </row>
    <row r="136" spans="1:32" x14ac:dyDescent="0.3">
      <c r="A136" s="10" t="s">
        <v>4</v>
      </c>
      <c r="B136" s="11" t="s">
        <v>138</v>
      </c>
      <c r="C136" s="485"/>
      <c r="D136" s="489">
        <v>0</v>
      </c>
      <c r="E136" s="489">
        <v>444340</v>
      </c>
      <c r="F136" s="489">
        <v>0</v>
      </c>
      <c r="G136" s="489">
        <v>0</v>
      </c>
      <c r="H136" s="489">
        <v>0</v>
      </c>
      <c r="I136" s="489">
        <v>0</v>
      </c>
      <c r="J136" s="489">
        <v>0</v>
      </c>
      <c r="K136" s="489">
        <v>0</v>
      </c>
      <c r="L136" s="489">
        <v>0</v>
      </c>
      <c r="M136" s="489">
        <v>0</v>
      </c>
      <c r="N136" s="489">
        <v>0</v>
      </c>
      <c r="O136" s="489">
        <v>0</v>
      </c>
      <c r="P136" s="1494">
        <f t="shared" si="11"/>
        <v>444340</v>
      </c>
      <c r="Q136" s="1439">
        <f t="shared" si="12"/>
        <v>444340</v>
      </c>
      <c r="R136" s="1413" t="s">
        <v>251</v>
      </c>
      <c r="S136" s="1414" t="s">
        <v>251</v>
      </c>
      <c r="T136" s="1414" t="s">
        <v>251</v>
      </c>
      <c r="U136" s="1414"/>
      <c r="V136" s="1414"/>
      <c r="W136" s="1414"/>
      <c r="X136" s="1414"/>
      <c r="Y136" s="1414"/>
      <c r="Z136" s="1414"/>
      <c r="AA136" s="1414"/>
      <c r="AB136" s="1414"/>
      <c r="AC136" s="1414"/>
      <c r="AD136" s="488">
        <f t="shared" si="13"/>
        <v>0</v>
      </c>
      <c r="AE136" s="565">
        <f t="shared" si="14"/>
        <v>-1</v>
      </c>
      <c r="AF136" s="566">
        <f t="shared" si="10"/>
        <v>240</v>
      </c>
    </row>
    <row r="137" spans="1:32" x14ac:dyDescent="0.3">
      <c r="A137" s="10" t="s">
        <v>4</v>
      </c>
      <c r="B137" s="11" t="s">
        <v>139</v>
      </c>
      <c r="C137" s="485"/>
      <c r="D137" s="489">
        <v>0</v>
      </c>
      <c r="E137" s="489">
        <v>441500</v>
      </c>
      <c r="F137" s="489">
        <v>0</v>
      </c>
      <c r="G137" s="489">
        <v>0</v>
      </c>
      <c r="H137" s="489">
        <v>0</v>
      </c>
      <c r="I137" s="489">
        <v>0</v>
      </c>
      <c r="J137" s="489">
        <v>0</v>
      </c>
      <c r="K137" s="489">
        <v>0</v>
      </c>
      <c r="L137" s="489">
        <v>0</v>
      </c>
      <c r="M137" s="489">
        <v>0</v>
      </c>
      <c r="N137" s="489">
        <v>0</v>
      </c>
      <c r="O137" s="489">
        <v>0</v>
      </c>
      <c r="P137" s="1494">
        <f t="shared" si="11"/>
        <v>441500</v>
      </c>
      <c r="Q137" s="1439">
        <f t="shared" si="12"/>
        <v>441500</v>
      </c>
      <c r="R137" s="1413" t="s">
        <v>251</v>
      </c>
      <c r="S137" s="1414" t="s">
        <v>251</v>
      </c>
      <c r="T137" s="1414" t="s">
        <v>251</v>
      </c>
      <c r="U137" s="1414"/>
      <c r="V137" s="1414"/>
      <c r="W137" s="1414"/>
      <c r="X137" s="1414"/>
      <c r="Y137" s="1414"/>
      <c r="Z137" s="1414"/>
      <c r="AA137" s="1414"/>
      <c r="AB137" s="1414"/>
      <c r="AC137" s="1414"/>
      <c r="AD137" s="488">
        <f t="shared" si="13"/>
        <v>0</v>
      </c>
      <c r="AE137" s="565">
        <f t="shared" si="14"/>
        <v>-1</v>
      </c>
      <c r="AF137" s="566">
        <f t="shared" si="10"/>
        <v>240</v>
      </c>
    </row>
    <row r="138" spans="1:32" x14ac:dyDescent="0.3">
      <c r="A138" s="10" t="s">
        <v>4</v>
      </c>
      <c r="B138" s="11" t="s">
        <v>140</v>
      </c>
      <c r="C138" s="485"/>
      <c r="D138" s="489">
        <v>0</v>
      </c>
      <c r="E138" s="489">
        <v>441250</v>
      </c>
      <c r="F138" s="489">
        <v>0</v>
      </c>
      <c r="G138" s="489">
        <v>0</v>
      </c>
      <c r="H138" s="489">
        <v>0</v>
      </c>
      <c r="I138" s="489">
        <v>0</v>
      </c>
      <c r="J138" s="489">
        <v>0</v>
      </c>
      <c r="K138" s="489">
        <v>0</v>
      </c>
      <c r="L138" s="489">
        <v>0</v>
      </c>
      <c r="M138" s="489">
        <v>0</v>
      </c>
      <c r="N138" s="489">
        <v>0</v>
      </c>
      <c r="O138" s="489">
        <v>0</v>
      </c>
      <c r="P138" s="1494">
        <f t="shared" si="11"/>
        <v>441250</v>
      </c>
      <c r="Q138" s="1439">
        <f t="shared" si="12"/>
        <v>441250</v>
      </c>
      <c r="R138" s="1413" t="s">
        <v>251</v>
      </c>
      <c r="S138" s="1414" t="s">
        <v>251</v>
      </c>
      <c r="T138" s="1414" t="s">
        <v>251</v>
      </c>
      <c r="U138" s="1414"/>
      <c r="V138" s="1414"/>
      <c r="W138" s="1414"/>
      <c r="X138" s="1414"/>
      <c r="Y138" s="1414"/>
      <c r="Z138" s="1414"/>
      <c r="AA138" s="1414"/>
      <c r="AB138" s="1414"/>
      <c r="AC138" s="1414"/>
      <c r="AD138" s="488">
        <f t="shared" si="13"/>
        <v>0</v>
      </c>
      <c r="AE138" s="565">
        <f t="shared" si="14"/>
        <v>-1</v>
      </c>
      <c r="AF138" s="566">
        <f t="shared" si="10"/>
        <v>240</v>
      </c>
    </row>
    <row r="139" spans="1:32" x14ac:dyDescent="0.3">
      <c r="A139" s="10" t="s">
        <v>4</v>
      </c>
      <c r="B139" s="562" t="s">
        <v>141</v>
      </c>
      <c r="C139" s="485">
        <v>73290</v>
      </c>
      <c r="D139" s="489">
        <v>367890</v>
      </c>
      <c r="E139" s="489">
        <v>0</v>
      </c>
      <c r="F139" s="489">
        <v>0</v>
      </c>
      <c r="G139" s="489">
        <v>0</v>
      </c>
      <c r="H139" s="489">
        <v>419640</v>
      </c>
      <c r="I139" s="489">
        <v>36170</v>
      </c>
      <c r="J139" s="489">
        <v>99080</v>
      </c>
      <c r="K139" s="489">
        <v>99080</v>
      </c>
      <c r="L139" s="489">
        <v>70820</v>
      </c>
      <c r="M139" s="489">
        <v>0</v>
      </c>
      <c r="N139" s="489">
        <v>148870</v>
      </c>
      <c r="O139" s="489">
        <v>331260</v>
      </c>
      <c r="P139" s="1494">
        <f t="shared" si="11"/>
        <v>996070</v>
      </c>
      <c r="Q139" s="1439">
        <f t="shared" si="12"/>
        <v>1547020</v>
      </c>
      <c r="R139" s="1413">
        <v>148480</v>
      </c>
      <c r="S139" s="1414">
        <v>74980</v>
      </c>
      <c r="T139" s="1414">
        <v>304790</v>
      </c>
      <c r="U139" s="1414">
        <v>0</v>
      </c>
      <c r="V139" s="1414">
        <v>0</v>
      </c>
      <c r="W139" s="1414">
        <v>520940</v>
      </c>
      <c r="X139" s="1414">
        <v>123480</v>
      </c>
      <c r="Y139" s="1414">
        <v>0</v>
      </c>
      <c r="Z139" s="1414"/>
      <c r="AA139" s="1414"/>
      <c r="AB139" s="1414"/>
      <c r="AC139" s="1414"/>
      <c r="AD139" s="488">
        <f t="shared" si="13"/>
        <v>1172670</v>
      </c>
      <c r="AE139" s="565">
        <f t="shared" si="14"/>
        <v>0.17729677633098076</v>
      </c>
      <c r="AF139" s="566">
        <f t="shared" si="10"/>
        <v>148</v>
      </c>
    </row>
    <row r="140" spans="1:32" x14ac:dyDescent="0.3">
      <c r="A140" s="10" t="s">
        <v>4</v>
      </c>
      <c r="B140" s="11" t="s">
        <v>610</v>
      </c>
      <c r="C140" s="485"/>
      <c r="D140" s="489">
        <v>0</v>
      </c>
      <c r="E140" s="489">
        <v>434170</v>
      </c>
      <c r="F140" s="489">
        <v>0</v>
      </c>
      <c r="G140" s="489">
        <v>0</v>
      </c>
      <c r="H140" s="489">
        <v>0</v>
      </c>
      <c r="I140" s="489">
        <v>0</v>
      </c>
      <c r="J140" s="489">
        <v>0</v>
      </c>
      <c r="K140" s="489">
        <v>0</v>
      </c>
      <c r="L140" s="489">
        <v>0</v>
      </c>
      <c r="M140" s="489">
        <v>0</v>
      </c>
      <c r="N140" s="489">
        <v>0</v>
      </c>
      <c r="O140" s="489">
        <v>0</v>
      </c>
      <c r="P140" s="1494">
        <f t="shared" si="11"/>
        <v>434170</v>
      </c>
      <c r="Q140" s="1439">
        <f t="shared" si="12"/>
        <v>434170</v>
      </c>
      <c r="R140" s="1413" t="s">
        <v>251</v>
      </c>
      <c r="S140" s="1414" t="s">
        <v>251</v>
      </c>
      <c r="T140" s="1414" t="s">
        <v>251</v>
      </c>
      <c r="U140" s="1414"/>
      <c r="V140" s="1414"/>
      <c r="W140" s="1414"/>
      <c r="X140" s="1414"/>
      <c r="Y140" s="1414"/>
      <c r="Z140" s="1414"/>
      <c r="AA140" s="1414"/>
      <c r="AB140" s="1414"/>
      <c r="AC140" s="1414"/>
      <c r="AD140" s="488">
        <f t="shared" si="13"/>
        <v>0</v>
      </c>
      <c r="AE140" s="565">
        <f t="shared" si="14"/>
        <v>-1</v>
      </c>
      <c r="AF140" s="566">
        <f t="shared" si="10"/>
        <v>240</v>
      </c>
    </row>
    <row r="141" spans="1:32" x14ac:dyDescent="0.3">
      <c r="A141" s="10" t="s">
        <v>4</v>
      </c>
      <c r="B141" s="11" t="s">
        <v>611</v>
      </c>
      <c r="C141" s="485"/>
      <c r="D141" s="489">
        <v>421660</v>
      </c>
      <c r="E141" s="489">
        <v>0</v>
      </c>
      <c r="F141" s="489">
        <v>0</v>
      </c>
      <c r="G141" s="489">
        <v>0</v>
      </c>
      <c r="H141" s="489">
        <v>0</v>
      </c>
      <c r="I141" s="489">
        <v>0</v>
      </c>
      <c r="J141" s="489">
        <v>0</v>
      </c>
      <c r="K141" s="489">
        <v>0</v>
      </c>
      <c r="L141" s="489">
        <v>0</v>
      </c>
      <c r="M141" s="489">
        <v>0</v>
      </c>
      <c r="N141" s="489">
        <v>61860</v>
      </c>
      <c r="O141" s="489">
        <v>357890</v>
      </c>
      <c r="P141" s="1494">
        <f t="shared" si="11"/>
        <v>421660</v>
      </c>
      <c r="Q141" s="1439">
        <f t="shared" si="12"/>
        <v>841410</v>
      </c>
      <c r="R141" s="1413">
        <v>2431110</v>
      </c>
      <c r="S141" s="1414">
        <v>410190</v>
      </c>
      <c r="T141" s="1414">
        <v>1944850</v>
      </c>
      <c r="U141" s="1414">
        <v>1685990</v>
      </c>
      <c r="V141" s="1414">
        <v>0</v>
      </c>
      <c r="W141" s="1414">
        <v>0</v>
      </c>
      <c r="X141" s="1414">
        <v>0</v>
      </c>
      <c r="Y141" s="1414">
        <v>0</v>
      </c>
      <c r="Z141" s="1414"/>
      <c r="AA141" s="1414"/>
      <c r="AB141" s="1414"/>
      <c r="AC141" s="1414"/>
      <c r="AD141" s="488">
        <f t="shared" si="13"/>
        <v>6472140</v>
      </c>
      <c r="AE141" s="565">
        <f t="shared" si="14"/>
        <v>14.349191291561922</v>
      </c>
      <c r="AF141" s="566">
        <f t="shared" si="10"/>
        <v>69</v>
      </c>
    </row>
    <row r="142" spans="1:32" x14ac:dyDescent="0.3">
      <c r="A142" s="10" t="s">
        <v>4</v>
      </c>
      <c r="B142" s="11" t="s">
        <v>144</v>
      </c>
      <c r="C142" s="485"/>
      <c r="D142" s="489">
        <v>0</v>
      </c>
      <c r="E142" s="489">
        <v>409260</v>
      </c>
      <c r="F142" s="489">
        <v>0</v>
      </c>
      <c r="G142" s="489">
        <v>0</v>
      </c>
      <c r="H142" s="489">
        <v>0</v>
      </c>
      <c r="I142" s="489">
        <v>0</v>
      </c>
      <c r="J142" s="489">
        <v>0</v>
      </c>
      <c r="K142" s="489">
        <v>0</v>
      </c>
      <c r="L142" s="489">
        <v>0</v>
      </c>
      <c r="M142" s="489">
        <v>0</v>
      </c>
      <c r="N142" s="489">
        <v>0</v>
      </c>
      <c r="O142" s="489">
        <v>0</v>
      </c>
      <c r="P142" s="1494">
        <f t="shared" si="11"/>
        <v>409260</v>
      </c>
      <c r="Q142" s="1439">
        <f t="shared" si="12"/>
        <v>409260</v>
      </c>
      <c r="R142" s="1413" t="s">
        <v>251</v>
      </c>
      <c r="S142" s="1414" t="s">
        <v>251</v>
      </c>
      <c r="T142" s="1414" t="s">
        <v>251</v>
      </c>
      <c r="U142" s="1414"/>
      <c r="V142" s="1414"/>
      <c r="W142" s="1414"/>
      <c r="X142" s="1414"/>
      <c r="Y142" s="1414"/>
      <c r="Z142" s="1414"/>
      <c r="AA142" s="1414"/>
      <c r="AB142" s="1414"/>
      <c r="AC142" s="1414"/>
      <c r="AD142" s="488">
        <f t="shared" si="13"/>
        <v>0</v>
      </c>
      <c r="AE142" s="565">
        <f t="shared" si="14"/>
        <v>-1</v>
      </c>
      <c r="AF142" s="566">
        <f t="shared" si="10"/>
        <v>240</v>
      </c>
    </row>
    <row r="143" spans="1:32" x14ac:dyDescent="0.3">
      <c r="A143" s="10" t="s">
        <v>4</v>
      </c>
      <c r="B143" s="11" t="s">
        <v>145</v>
      </c>
      <c r="C143" s="485"/>
      <c r="D143" s="489">
        <v>375730</v>
      </c>
      <c r="E143" s="489">
        <v>0</v>
      </c>
      <c r="F143" s="489">
        <v>0</v>
      </c>
      <c r="G143" s="489">
        <v>27880</v>
      </c>
      <c r="H143" s="489">
        <v>0</v>
      </c>
      <c r="I143" s="489">
        <v>1446490</v>
      </c>
      <c r="J143" s="489">
        <v>0</v>
      </c>
      <c r="K143" s="489">
        <v>0</v>
      </c>
      <c r="L143" s="489">
        <v>1050840</v>
      </c>
      <c r="M143" s="489">
        <v>0</v>
      </c>
      <c r="N143" s="489">
        <v>437840</v>
      </c>
      <c r="O143" s="489">
        <v>0</v>
      </c>
      <c r="P143" s="1494">
        <f t="shared" si="11"/>
        <v>1850100</v>
      </c>
      <c r="Q143" s="1439">
        <f t="shared" si="12"/>
        <v>3338780</v>
      </c>
      <c r="R143" s="1413" t="s">
        <v>251</v>
      </c>
      <c r="S143" s="1414" t="s">
        <v>251</v>
      </c>
      <c r="T143" s="1414" t="s">
        <v>251</v>
      </c>
      <c r="U143" s="1414">
        <v>29520</v>
      </c>
      <c r="V143" s="1414">
        <v>0</v>
      </c>
      <c r="W143" s="1414">
        <v>0</v>
      </c>
      <c r="X143" s="1414">
        <v>0</v>
      </c>
      <c r="Y143" s="1414">
        <v>0</v>
      </c>
      <c r="Z143" s="1414"/>
      <c r="AA143" s="1414"/>
      <c r="AB143" s="1414"/>
      <c r="AC143" s="1414"/>
      <c r="AD143" s="488">
        <f t="shared" si="13"/>
        <v>29520</v>
      </c>
      <c r="AE143" s="565">
        <f t="shared" si="14"/>
        <v>-0.98404410572401491</v>
      </c>
      <c r="AF143" s="566">
        <f t="shared" si="10"/>
        <v>231</v>
      </c>
    </row>
    <row r="144" spans="1:32" x14ac:dyDescent="0.3">
      <c r="A144" s="10" t="s">
        <v>4</v>
      </c>
      <c r="B144" s="11" t="s">
        <v>146</v>
      </c>
      <c r="C144" s="485"/>
      <c r="D144" s="489">
        <v>0</v>
      </c>
      <c r="E144" s="489">
        <v>0</v>
      </c>
      <c r="F144" s="489">
        <v>394250</v>
      </c>
      <c r="G144" s="489">
        <v>0</v>
      </c>
      <c r="H144" s="489">
        <v>0</v>
      </c>
      <c r="I144" s="489">
        <v>0</v>
      </c>
      <c r="J144" s="489">
        <v>0</v>
      </c>
      <c r="K144" s="489">
        <v>0</v>
      </c>
      <c r="L144" s="489">
        <v>0</v>
      </c>
      <c r="M144" s="489">
        <v>0</v>
      </c>
      <c r="N144" s="489">
        <v>0</v>
      </c>
      <c r="O144" s="489">
        <v>0</v>
      </c>
      <c r="P144" s="1494">
        <f t="shared" si="11"/>
        <v>394250</v>
      </c>
      <c r="Q144" s="1439">
        <f t="shared" si="12"/>
        <v>394250</v>
      </c>
      <c r="R144" s="1413" t="s">
        <v>251</v>
      </c>
      <c r="S144" s="1414" t="s">
        <v>251</v>
      </c>
      <c r="T144" s="1414" t="s">
        <v>251</v>
      </c>
      <c r="U144" s="1414"/>
      <c r="V144" s="1414"/>
      <c r="W144" s="1414"/>
      <c r="X144" s="1414"/>
      <c r="Y144" s="1414"/>
      <c r="Z144" s="1414"/>
      <c r="AA144" s="1414"/>
      <c r="AB144" s="1414"/>
      <c r="AC144" s="1414"/>
      <c r="AD144" s="488">
        <f t="shared" si="13"/>
        <v>0</v>
      </c>
      <c r="AE144" s="565">
        <f t="shared" si="14"/>
        <v>-1</v>
      </c>
      <c r="AF144" s="566">
        <f t="shared" si="10"/>
        <v>240</v>
      </c>
    </row>
    <row r="145" spans="1:32" x14ac:dyDescent="0.3">
      <c r="A145" s="10" t="s">
        <v>4</v>
      </c>
      <c r="B145" s="11" t="s">
        <v>147</v>
      </c>
      <c r="C145" s="485"/>
      <c r="D145" s="489">
        <v>0</v>
      </c>
      <c r="E145" s="489">
        <v>377930</v>
      </c>
      <c r="F145" s="489">
        <v>0</v>
      </c>
      <c r="G145" s="489">
        <v>0</v>
      </c>
      <c r="H145" s="489">
        <v>2514850</v>
      </c>
      <c r="I145" s="489">
        <v>27360</v>
      </c>
      <c r="J145" s="489">
        <v>718300</v>
      </c>
      <c r="K145" s="489">
        <v>718300</v>
      </c>
      <c r="L145" s="489">
        <v>0</v>
      </c>
      <c r="M145" s="489">
        <v>244130</v>
      </c>
      <c r="N145" s="489">
        <v>0</v>
      </c>
      <c r="O145" s="489">
        <v>0</v>
      </c>
      <c r="P145" s="1494">
        <f t="shared" si="11"/>
        <v>3638440</v>
      </c>
      <c r="Q145" s="1439">
        <f t="shared" si="12"/>
        <v>3882570</v>
      </c>
      <c r="R145" s="1413">
        <v>249840</v>
      </c>
      <c r="S145" s="1414" t="s">
        <v>251</v>
      </c>
      <c r="T145" s="1414">
        <v>0</v>
      </c>
      <c r="U145" s="1414">
        <v>624590</v>
      </c>
      <c r="V145" s="1414">
        <v>2506490</v>
      </c>
      <c r="W145" s="1414">
        <v>2257030</v>
      </c>
      <c r="X145" s="1414">
        <v>155420</v>
      </c>
      <c r="Y145" s="1414">
        <v>0</v>
      </c>
      <c r="Z145" s="1414"/>
      <c r="AA145" s="1414"/>
      <c r="AB145" s="1414"/>
      <c r="AC145" s="1414"/>
      <c r="AD145" s="488">
        <f t="shared" si="13"/>
        <v>5793370</v>
      </c>
      <c r="AE145" s="565">
        <f t="shared" si="14"/>
        <v>0.59226756522025925</v>
      </c>
      <c r="AF145" s="566">
        <f t="shared" si="10"/>
        <v>74</v>
      </c>
    </row>
    <row r="146" spans="1:32" x14ac:dyDescent="0.3">
      <c r="A146" s="10" t="s">
        <v>4</v>
      </c>
      <c r="B146" s="11" t="s">
        <v>148</v>
      </c>
      <c r="C146" s="485">
        <v>359580</v>
      </c>
      <c r="D146" s="489">
        <v>0</v>
      </c>
      <c r="E146" s="489">
        <v>0</v>
      </c>
      <c r="F146" s="489">
        <v>0</v>
      </c>
      <c r="G146" s="489">
        <v>0</v>
      </c>
      <c r="H146" s="489">
        <v>0</v>
      </c>
      <c r="I146" s="489">
        <v>0</v>
      </c>
      <c r="J146" s="489">
        <v>0</v>
      </c>
      <c r="K146" s="489">
        <v>0</v>
      </c>
      <c r="L146" s="489">
        <v>0</v>
      </c>
      <c r="M146" s="489">
        <v>0</v>
      </c>
      <c r="N146" s="489">
        <v>0</v>
      </c>
      <c r="O146" s="489">
        <v>0</v>
      </c>
      <c r="P146" s="1494">
        <f t="shared" si="11"/>
        <v>359580</v>
      </c>
      <c r="Q146" s="1439">
        <f t="shared" si="12"/>
        <v>359580</v>
      </c>
      <c r="R146" s="1413" t="s">
        <v>251</v>
      </c>
      <c r="S146" s="1414" t="s">
        <v>251</v>
      </c>
      <c r="T146" s="1414" t="s">
        <v>251</v>
      </c>
      <c r="U146" s="1414"/>
      <c r="V146" s="1414"/>
      <c r="W146" s="1414"/>
      <c r="X146" s="1414"/>
      <c r="Y146" s="1414"/>
      <c r="Z146" s="1414"/>
      <c r="AA146" s="1414"/>
      <c r="AB146" s="1414"/>
      <c r="AC146" s="1414"/>
      <c r="AD146" s="488">
        <f t="shared" si="13"/>
        <v>0</v>
      </c>
      <c r="AE146" s="565">
        <f t="shared" si="14"/>
        <v>-1</v>
      </c>
      <c r="AF146" s="566">
        <f t="shared" si="10"/>
        <v>240</v>
      </c>
    </row>
    <row r="147" spans="1:32" x14ac:dyDescent="0.3">
      <c r="A147" s="10" t="s">
        <v>4</v>
      </c>
      <c r="B147" s="11" t="s">
        <v>149</v>
      </c>
      <c r="C147" s="485">
        <v>349100</v>
      </c>
      <c r="D147" s="489">
        <v>0</v>
      </c>
      <c r="E147" s="489">
        <v>0</v>
      </c>
      <c r="F147" s="489">
        <v>0</v>
      </c>
      <c r="G147" s="489">
        <v>0</v>
      </c>
      <c r="H147" s="489">
        <v>0</v>
      </c>
      <c r="I147" s="489">
        <v>0</v>
      </c>
      <c r="J147" s="489">
        <v>0</v>
      </c>
      <c r="K147" s="489">
        <v>0</v>
      </c>
      <c r="L147" s="489">
        <v>0</v>
      </c>
      <c r="M147" s="489">
        <v>0</v>
      </c>
      <c r="N147" s="489">
        <v>0</v>
      </c>
      <c r="O147" s="489">
        <v>0</v>
      </c>
      <c r="P147" s="1494">
        <f t="shared" si="11"/>
        <v>349100</v>
      </c>
      <c r="Q147" s="1439">
        <f t="shared" si="12"/>
        <v>349100</v>
      </c>
      <c r="R147" s="1413" t="s">
        <v>251</v>
      </c>
      <c r="S147" s="1414">
        <v>516820</v>
      </c>
      <c r="T147" s="1414">
        <v>467360</v>
      </c>
      <c r="U147" s="1414">
        <v>480950</v>
      </c>
      <c r="V147" s="1414">
        <v>0</v>
      </c>
      <c r="W147" s="1414">
        <v>0</v>
      </c>
      <c r="X147" s="1414">
        <v>409930</v>
      </c>
      <c r="Y147" s="1414">
        <v>0</v>
      </c>
      <c r="Z147" s="1414"/>
      <c r="AA147" s="1414"/>
      <c r="AB147" s="1414"/>
      <c r="AC147" s="1414"/>
      <c r="AD147" s="488">
        <f t="shared" si="13"/>
        <v>1875060</v>
      </c>
      <c r="AE147" s="565">
        <f t="shared" si="14"/>
        <v>4.3711257519335431</v>
      </c>
      <c r="AF147" s="566">
        <f t="shared" si="10"/>
        <v>125</v>
      </c>
    </row>
    <row r="148" spans="1:32" x14ac:dyDescent="0.3">
      <c r="A148" s="10" t="s">
        <v>4</v>
      </c>
      <c r="B148" s="11" t="s">
        <v>150</v>
      </c>
      <c r="C148" s="485"/>
      <c r="D148" s="489">
        <v>0</v>
      </c>
      <c r="E148" s="489">
        <v>0</v>
      </c>
      <c r="F148" s="489">
        <v>189980</v>
      </c>
      <c r="G148" s="489">
        <v>0</v>
      </c>
      <c r="H148" s="489">
        <v>0</v>
      </c>
      <c r="I148" s="489">
        <v>0</v>
      </c>
      <c r="J148" s="489">
        <v>176920</v>
      </c>
      <c r="K148" s="489">
        <v>176920</v>
      </c>
      <c r="L148" s="489">
        <v>0</v>
      </c>
      <c r="M148" s="489">
        <v>0</v>
      </c>
      <c r="N148" s="489">
        <v>0</v>
      </c>
      <c r="O148" s="489">
        <v>0</v>
      </c>
      <c r="P148" s="1494">
        <f t="shared" si="11"/>
        <v>366900</v>
      </c>
      <c r="Q148" s="1439">
        <f t="shared" si="12"/>
        <v>366900</v>
      </c>
      <c r="R148" s="1413" t="s">
        <v>251</v>
      </c>
      <c r="S148" s="1414" t="s">
        <v>251</v>
      </c>
      <c r="T148" s="1414" t="s">
        <v>251</v>
      </c>
      <c r="U148" s="1414">
        <v>29620</v>
      </c>
      <c r="V148" s="1414">
        <v>0</v>
      </c>
      <c r="W148" s="1414">
        <v>0</v>
      </c>
      <c r="X148" s="1414">
        <v>0</v>
      </c>
      <c r="Y148" s="1414">
        <v>0</v>
      </c>
      <c r="Z148" s="1414"/>
      <c r="AA148" s="1414"/>
      <c r="AB148" s="1414"/>
      <c r="AC148" s="1414"/>
      <c r="AD148" s="488">
        <f t="shared" si="13"/>
        <v>29620</v>
      </c>
      <c r="AE148" s="565">
        <f t="shared" si="14"/>
        <v>-0.9192695557372581</v>
      </c>
      <c r="AF148" s="566">
        <f t="shared" si="10"/>
        <v>230</v>
      </c>
    </row>
    <row r="149" spans="1:32" x14ac:dyDescent="0.3">
      <c r="A149" s="10" t="s">
        <v>4</v>
      </c>
      <c r="B149" s="11" t="s">
        <v>151</v>
      </c>
      <c r="C149" s="485"/>
      <c r="D149" s="489">
        <v>93490</v>
      </c>
      <c r="E149" s="489">
        <v>92890</v>
      </c>
      <c r="F149" s="489">
        <v>0</v>
      </c>
      <c r="G149" s="489">
        <v>0</v>
      </c>
      <c r="H149" s="489">
        <v>174880</v>
      </c>
      <c r="I149" s="489">
        <v>50470</v>
      </c>
      <c r="J149" s="489">
        <v>0</v>
      </c>
      <c r="K149" s="489">
        <v>0</v>
      </c>
      <c r="L149" s="489">
        <v>0</v>
      </c>
      <c r="M149" s="489">
        <v>0</v>
      </c>
      <c r="N149" s="489">
        <v>0</v>
      </c>
      <c r="O149" s="489">
        <v>0</v>
      </c>
      <c r="P149" s="1494">
        <f t="shared" si="11"/>
        <v>411730</v>
      </c>
      <c r="Q149" s="1439">
        <f t="shared" si="12"/>
        <v>411730</v>
      </c>
      <c r="R149" s="1413" t="s">
        <v>251</v>
      </c>
      <c r="S149" s="1414" t="s">
        <v>251</v>
      </c>
      <c r="T149" s="1414" t="s">
        <v>251</v>
      </c>
      <c r="U149" s="1414"/>
      <c r="V149" s="1414"/>
      <c r="W149" s="1414">
        <v>98890</v>
      </c>
      <c r="X149" s="1414">
        <v>190120</v>
      </c>
      <c r="Y149" s="1414">
        <v>0</v>
      </c>
      <c r="Z149" s="1414"/>
      <c r="AA149" s="1414"/>
      <c r="AB149" s="1414"/>
      <c r="AC149" s="1414"/>
      <c r="AD149" s="488">
        <f t="shared" si="13"/>
        <v>289010</v>
      </c>
      <c r="AE149" s="565">
        <f t="shared" si="14"/>
        <v>-0.29805940786437712</v>
      </c>
      <c r="AF149" s="566">
        <f t="shared" si="10"/>
        <v>195</v>
      </c>
    </row>
    <row r="150" spans="1:32" x14ac:dyDescent="0.3">
      <c r="A150" s="10" t="s">
        <v>4</v>
      </c>
      <c r="B150" s="11" t="s">
        <v>152</v>
      </c>
      <c r="C150" s="485"/>
      <c r="D150" s="489">
        <v>0</v>
      </c>
      <c r="E150" s="489">
        <v>0</v>
      </c>
      <c r="F150" s="489">
        <v>0</v>
      </c>
      <c r="G150" s="489">
        <v>172880</v>
      </c>
      <c r="H150" s="489">
        <v>0</v>
      </c>
      <c r="I150" s="489">
        <v>170090</v>
      </c>
      <c r="J150" s="489">
        <v>0</v>
      </c>
      <c r="K150" s="489">
        <v>0</v>
      </c>
      <c r="L150" s="489">
        <v>172240</v>
      </c>
      <c r="M150" s="489">
        <v>0</v>
      </c>
      <c r="N150" s="489">
        <v>0</v>
      </c>
      <c r="O150" s="489">
        <v>253200</v>
      </c>
      <c r="P150" s="1494">
        <f t="shared" si="11"/>
        <v>342970</v>
      </c>
      <c r="Q150" s="1439">
        <f t="shared" si="12"/>
        <v>768410</v>
      </c>
      <c r="R150" s="1413" t="s">
        <v>251</v>
      </c>
      <c r="S150" s="1414" t="s">
        <v>251</v>
      </c>
      <c r="T150" s="1414" t="s">
        <v>251</v>
      </c>
      <c r="U150" s="1414"/>
      <c r="V150" s="1414"/>
      <c r="W150" s="1414"/>
      <c r="X150" s="1414"/>
      <c r="Y150" s="1414"/>
      <c r="Z150" s="1414"/>
      <c r="AA150" s="1414"/>
      <c r="AB150" s="1414"/>
      <c r="AC150" s="1414"/>
      <c r="AD150" s="488">
        <f t="shared" si="13"/>
        <v>0</v>
      </c>
      <c r="AE150" s="565">
        <f t="shared" si="14"/>
        <v>-1</v>
      </c>
      <c r="AF150" s="566">
        <f t="shared" si="10"/>
        <v>240</v>
      </c>
    </row>
    <row r="151" spans="1:32" x14ac:dyDescent="0.3">
      <c r="A151" s="10" t="s">
        <v>4</v>
      </c>
      <c r="B151" s="11" t="s">
        <v>153</v>
      </c>
      <c r="C151" s="485"/>
      <c r="D151" s="489">
        <v>172080</v>
      </c>
      <c r="E151" s="489">
        <v>0</v>
      </c>
      <c r="F151" s="489">
        <v>0</v>
      </c>
      <c r="G151" s="489">
        <v>0</v>
      </c>
      <c r="H151" s="489">
        <v>0</v>
      </c>
      <c r="I151" s="489">
        <v>0</v>
      </c>
      <c r="J151" s="489">
        <v>0</v>
      </c>
      <c r="K151" s="489">
        <v>0</v>
      </c>
      <c r="L151" s="489">
        <v>0</v>
      </c>
      <c r="M151" s="489">
        <v>0</v>
      </c>
      <c r="N151" s="489">
        <v>0</v>
      </c>
      <c r="O151" s="489">
        <v>0</v>
      </c>
      <c r="P151" s="1494">
        <f t="shared" si="11"/>
        <v>172080</v>
      </c>
      <c r="Q151" s="1439">
        <f t="shared" si="12"/>
        <v>172080</v>
      </c>
      <c r="R151" s="1413" t="s">
        <v>251</v>
      </c>
      <c r="S151" s="1414" t="s">
        <v>251</v>
      </c>
      <c r="T151" s="1414" t="s">
        <v>251</v>
      </c>
      <c r="U151" s="1414"/>
      <c r="V151" s="1414"/>
      <c r="W151" s="1414"/>
      <c r="X151" s="1414"/>
      <c r="Y151" s="1414"/>
      <c r="Z151" s="1414"/>
      <c r="AA151" s="1414"/>
      <c r="AB151" s="1414"/>
      <c r="AC151" s="1414"/>
      <c r="AD151" s="488">
        <f t="shared" si="13"/>
        <v>0</v>
      </c>
      <c r="AE151" s="565">
        <f t="shared" si="14"/>
        <v>-1</v>
      </c>
      <c r="AF151" s="566">
        <f t="shared" si="10"/>
        <v>240</v>
      </c>
    </row>
    <row r="152" spans="1:32" x14ac:dyDescent="0.3">
      <c r="A152" s="10" t="s">
        <v>4</v>
      </c>
      <c r="B152" s="11" t="s">
        <v>612</v>
      </c>
      <c r="C152" s="485"/>
      <c r="D152" s="489">
        <v>53740</v>
      </c>
      <c r="E152" s="489">
        <v>0</v>
      </c>
      <c r="F152" s="489">
        <v>0</v>
      </c>
      <c r="G152" s="489">
        <v>103160</v>
      </c>
      <c r="H152" s="489">
        <v>151180</v>
      </c>
      <c r="I152" s="489">
        <v>152730</v>
      </c>
      <c r="J152" s="489">
        <v>51280</v>
      </c>
      <c r="K152" s="489">
        <v>51280</v>
      </c>
      <c r="L152" s="489">
        <v>233830</v>
      </c>
      <c r="M152" s="489">
        <v>52650</v>
      </c>
      <c r="N152" s="489">
        <v>0</v>
      </c>
      <c r="O152" s="489">
        <v>271280</v>
      </c>
      <c r="P152" s="1494">
        <f t="shared" si="11"/>
        <v>512090</v>
      </c>
      <c r="Q152" s="1439">
        <f t="shared" si="12"/>
        <v>1069850</v>
      </c>
      <c r="R152" s="1413">
        <v>53860</v>
      </c>
      <c r="S152" s="1414">
        <v>159800</v>
      </c>
      <c r="T152" s="1414">
        <v>55790</v>
      </c>
      <c r="U152" s="1414">
        <v>0</v>
      </c>
      <c r="V152" s="1414">
        <v>169430</v>
      </c>
      <c r="W152" s="1414">
        <v>112360</v>
      </c>
      <c r="X152" s="1414">
        <v>0</v>
      </c>
      <c r="Y152" s="1414">
        <v>0</v>
      </c>
      <c r="Z152" s="1414"/>
      <c r="AA152" s="1414"/>
      <c r="AB152" s="1414"/>
      <c r="AC152" s="1414"/>
      <c r="AD152" s="488">
        <f t="shared" si="13"/>
        <v>551240</v>
      </c>
      <c r="AE152" s="565">
        <f t="shared" si="14"/>
        <v>7.6451405026460195E-2</v>
      </c>
      <c r="AF152" s="566">
        <f t="shared" si="10"/>
        <v>170</v>
      </c>
    </row>
    <row r="153" spans="1:32" x14ac:dyDescent="0.3">
      <c r="A153" s="10" t="s">
        <v>4</v>
      </c>
      <c r="B153" s="11" t="s">
        <v>155</v>
      </c>
      <c r="C153" s="485">
        <v>37290</v>
      </c>
      <c r="D153" s="489">
        <v>37190</v>
      </c>
      <c r="E153" s="489">
        <v>0</v>
      </c>
      <c r="F153" s="489">
        <v>0</v>
      </c>
      <c r="G153" s="489">
        <v>73890</v>
      </c>
      <c r="H153" s="489">
        <v>0</v>
      </c>
      <c r="I153" s="489">
        <v>0</v>
      </c>
      <c r="J153" s="489">
        <v>0</v>
      </c>
      <c r="K153" s="489">
        <v>0</v>
      </c>
      <c r="L153" s="489">
        <v>35880</v>
      </c>
      <c r="M153" s="489">
        <v>64470</v>
      </c>
      <c r="N153" s="489">
        <v>0</v>
      </c>
      <c r="O153" s="489">
        <v>76300</v>
      </c>
      <c r="P153" s="1494">
        <f t="shared" si="11"/>
        <v>148370</v>
      </c>
      <c r="Q153" s="1439">
        <f t="shared" si="12"/>
        <v>325020</v>
      </c>
      <c r="R153" s="1413">
        <v>76620</v>
      </c>
      <c r="S153" s="1414" t="s">
        <v>251</v>
      </c>
      <c r="T153" s="1414">
        <v>0</v>
      </c>
      <c r="U153" s="1414">
        <v>0</v>
      </c>
      <c r="V153" s="1414">
        <v>37870</v>
      </c>
      <c r="W153" s="1414">
        <v>0</v>
      </c>
      <c r="X153" s="1414">
        <v>0</v>
      </c>
      <c r="Y153" s="1414">
        <v>0</v>
      </c>
      <c r="Z153" s="1414"/>
      <c r="AA153" s="1414"/>
      <c r="AB153" s="1414"/>
      <c r="AC153" s="1414"/>
      <c r="AD153" s="488">
        <f t="shared" si="13"/>
        <v>114490</v>
      </c>
      <c r="AE153" s="565">
        <f t="shared" si="14"/>
        <v>-0.22834804879692661</v>
      </c>
      <c r="AF153" s="566">
        <f t="shared" si="10"/>
        <v>205</v>
      </c>
    </row>
    <row r="154" spans="1:32" x14ac:dyDescent="0.3">
      <c r="A154" s="10" t="s">
        <v>4</v>
      </c>
      <c r="B154" s="11" t="s">
        <v>156</v>
      </c>
      <c r="C154" s="485"/>
      <c r="D154" s="489">
        <v>0</v>
      </c>
      <c r="E154" s="489">
        <v>0</v>
      </c>
      <c r="F154" s="489">
        <v>137900</v>
      </c>
      <c r="G154" s="489">
        <v>0</v>
      </c>
      <c r="H154" s="489">
        <v>183490</v>
      </c>
      <c r="I154" s="489">
        <v>0</v>
      </c>
      <c r="J154" s="489">
        <v>0</v>
      </c>
      <c r="K154" s="489">
        <v>0</v>
      </c>
      <c r="L154" s="489">
        <v>0</v>
      </c>
      <c r="M154" s="489">
        <v>0</v>
      </c>
      <c r="N154" s="489">
        <v>0</v>
      </c>
      <c r="O154" s="489">
        <v>0</v>
      </c>
      <c r="P154" s="1494">
        <f t="shared" si="11"/>
        <v>321390</v>
      </c>
      <c r="Q154" s="1439">
        <f t="shared" si="12"/>
        <v>321390</v>
      </c>
      <c r="R154" s="1413" t="s">
        <v>251</v>
      </c>
      <c r="S154" s="1414" t="s">
        <v>251</v>
      </c>
      <c r="T154" s="1414" t="s">
        <v>251</v>
      </c>
      <c r="U154" s="1414"/>
      <c r="V154" s="1414"/>
      <c r="W154" s="1414"/>
      <c r="X154" s="1414"/>
      <c r="Y154" s="1414"/>
      <c r="Z154" s="1414"/>
      <c r="AA154" s="1414"/>
      <c r="AB154" s="1414"/>
      <c r="AC154" s="1414"/>
      <c r="AD154" s="488">
        <f t="shared" si="13"/>
        <v>0</v>
      </c>
      <c r="AE154" s="565">
        <f t="shared" si="14"/>
        <v>-1</v>
      </c>
      <c r="AF154" s="566">
        <f t="shared" si="10"/>
        <v>240</v>
      </c>
    </row>
    <row r="155" spans="1:32" x14ac:dyDescent="0.3">
      <c r="A155" s="10" t="s">
        <v>4</v>
      </c>
      <c r="B155" s="11" t="s">
        <v>157</v>
      </c>
      <c r="C155" s="485"/>
      <c r="D155" s="489">
        <v>0</v>
      </c>
      <c r="E155" s="489">
        <v>0</v>
      </c>
      <c r="F155" s="489">
        <v>0</v>
      </c>
      <c r="G155" s="489" t="s">
        <v>251</v>
      </c>
      <c r="H155" s="489">
        <v>0</v>
      </c>
      <c r="I155" s="489">
        <v>0</v>
      </c>
      <c r="J155" s="489">
        <v>0</v>
      </c>
      <c r="K155" s="489"/>
      <c r="L155" s="489">
        <v>0</v>
      </c>
      <c r="M155" s="489">
        <v>0</v>
      </c>
      <c r="N155" s="489">
        <v>1127460</v>
      </c>
      <c r="O155" s="489">
        <v>198780</v>
      </c>
      <c r="P155" s="1494">
        <f t="shared" si="11"/>
        <v>0</v>
      </c>
      <c r="Q155" s="1439">
        <f t="shared" si="12"/>
        <v>1326240</v>
      </c>
      <c r="R155" s="1413" t="s">
        <v>251</v>
      </c>
      <c r="S155" s="1414" t="s">
        <v>251</v>
      </c>
      <c r="T155" s="1414" t="s">
        <v>251</v>
      </c>
      <c r="U155" s="1414"/>
      <c r="V155" s="1414"/>
      <c r="W155" s="1414"/>
      <c r="X155" s="1414"/>
      <c r="Y155" s="1414"/>
      <c r="Z155" s="1414"/>
      <c r="AA155" s="1414"/>
      <c r="AB155" s="1414"/>
      <c r="AC155" s="1414"/>
      <c r="AD155" s="488">
        <f t="shared" si="13"/>
        <v>0</v>
      </c>
      <c r="AE155" s="565">
        <f t="shared" si="14"/>
        <v>0</v>
      </c>
      <c r="AF155" s="566">
        <f t="shared" si="10"/>
        <v>240</v>
      </c>
    </row>
    <row r="156" spans="1:32" x14ac:dyDescent="0.3">
      <c r="A156" s="10" t="s">
        <v>4</v>
      </c>
      <c r="B156" s="11" t="s">
        <v>158</v>
      </c>
      <c r="C156" s="485">
        <v>57420</v>
      </c>
      <c r="D156" s="489">
        <v>0</v>
      </c>
      <c r="E156" s="489">
        <v>0</v>
      </c>
      <c r="F156" s="489">
        <v>28450</v>
      </c>
      <c r="G156" s="489">
        <v>28000</v>
      </c>
      <c r="H156" s="489">
        <v>54990</v>
      </c>
      <c r="I156" s="489">
        <v>55050</v>
      </c>
      <c r="J156" s="489">
        <v>0</v>
      </c>
      <c r="K156" s="489">
        <v>0</v>
      </c>
      <c r="L156" s="489">
        <v>27600</v>
      </c>
      <c r="M156" s="489">
        <v>85680</v>
      </c>
      <c r="N156" s="489">
        <v>28580</v>
      </c>
      <c r="O156" s="489">
        <v>0</v>
      </c>
      <c r="P156" s="1494">
        <f t="shared" si="11"/>
        <v>223910</v>
      </c>
      <c r="Q156" s="1439">
        <f t="shared" si="12"/>
        <v>365770</v>
      </c>
      <c r="R156" s="1413">
        <v>29360</v>
      </c>
      <c r="S156" s="1414">
        <v>28980</v>
      </c>
      <c r="T156" s="1414">
        <v>7430</v>
      </c>
      <c r="U156" s="1414">
        <v>21420</v>
      </c>
      <c r="V156" s="1414">
        <v>14560</v>
      </c>
      <c r="W156" s="1414">
        <v>15220</v>
      </c>
      <c r="X156" s="1414">
        <v>15380</v>
      </c>
      <c r="Y156" s="1414">
        <v>0</v>
      </c>
      <c r="Z156" s="1414"/>
      <c r="AA156" s="1414"/>
      <c r="AB156" s="1414"/>
      <c r="AC156" s="1414"/>
      <c r="AD156" s="488">
        <f t="shared" si="13"/>
        <v>132350</v>
      </c>
      <c r="AE156" s="565">
        <f t="shared" si="14"/>
        <v>-0.40891429592246886</v>
      </c>
      <c r="AF156" s="566">
        <f t="shared" si="10"/>
        <v>201</v>
      </c>
    </row>
    <row r="157" spans="1:32" x14ac:dyDescent="0.3">
      <c r="A157" s="10" t="s">
        <v>4</v>
      </c>
      <c r="B157" s="11" t="s">
        <v>159</v>
      </c>
      <c r="C157" s="485">
        <v>29200</v>
      </c>
      <c r="D157" s="489">
        <v>75380</v>
      </c>
      <c r="E157" s="489">
        <v>0</v>
      </c>
      <c r="F157" s="489">
        <v>0</v>
      </c>
      <c r="G157" s="489">
        <v>0</v>
      </c>
      <c r="H157" s="489">
        <v>27530</v>
      </c>
      <c r="I157" s="489">
        <v>0</v>
      </c>
      <c r="J157" s="489">
        <v>0</v>
      </c>
      <c r="K157" s="489">
        <v>0</v>
      </c>
      <c r="L157" s="489">
        <v>855830</v>
      </c>
      <c r="M157" s="489">
        <v>570570</v>
      </c>
      <c r="N157" s="489">
        <v>0</v>
      </c>
      <c r="O157" s="489">
        <v>0</v>
      </c>
      <c r="P157" s="1494">
        <f t="shared" si="11"/>
        <v>132110</v>
      </c>
      <c r="Q157" s="1439">
        <f t="shared" si="12"/>
        <v>1558510</v>
      </c>
      <c r="R157" s="1413" t="s">
        <v>251</v>
      </c>
      <c r="S157" s="1414" t="s">
        <v>251</v>
      </c>
      <c r="T157" s="1414" t="s">
        <v>251</v>
      </c>
      <c r="U157" s="1414"/>
      <c r="V157" s="1414"/>
      <c r="W157" s="1414"/>
      <c r="X157" s="1414"/>
      <c r="Y157" s="1414">
        <v>445810</v>
      </c>
      <c r="Z157" s="1414"/>
      <c r="AA157" s="1414"/>
      <c r="AB157" s="1414"/>
      <c r="AC157" s="1414"/>
      <c r="AD157" s="488">
        <f t="shared" si="13"/>
        <v>445810</v>
      </c>
      <c r="AE157" s="565">
        <f t="shared" si="14"/>
        <v>2.3745363712058132</v>
      </c>
      <c r="AF157" s="566">
        <f t="shared" si="10"/>
        <v>182</v>
      </c>
    </row>
    <row r="158" spans="1:32" x14ac:dyDescent="0.3">
      <c r="A158" s="10" t="s">
        <v>4</v>
      </c>
      <c r="B158" s="11" t="s">
        <v>160</v>
      </c>
      <c r="C158" s="485"/>
      <c r="D158" s="489">
        <v>85830</v>
      </c>
      <c r="E158" s="489">
        <v>0</v>
      </c>
      <c r="F158" s="489">
        <v>0</v>
      </c>
      <c r="G158" s="489">
        <v>0</v>
      </c>
      <c r="H158" s="489">
        <v>0</v>
      </c>
      <c r="I158" s="489">
        <v>0</v>
      </c>
      <c r="J158" s="489">
        <v>0</v>
      </c>
      <c r="K158" s="489">
        <v>0</v>
      </c>
      <c r="L158" s="489">
        <v>0</v>
      </c>
      <c r="M158" s="489">
        <v>0</v>
      </c>
      <c r="N158" s="489">
        <v>0</v>
      </c>
      <c r="O158" s="489">
        <v>0</v>
      </c>
      <c r="P158" s="1494">
        <f t="shared" si="11"/>
        <v>85830</v>
      </c>
      <c r="Q158" s="1439">
        <f t="shared" si="12"/>
        <v>85830</v>
      </c>
      <c r="R158" s="1413" t="s">
        <v>251</v>
      </c>
      <c r="S158" s="1414" t="s">
        <v>251</v>
      </c>
      <c r="T158" s="1414" t="s">
        <v>251</v>
      </c>
      <c r="U158" s="1414"/>
      <c r="V158" s="1414">
        <v>58820</v>
      </c>
      <c r="W158" s="1414">
        <v>0</v>
      </c>
      <c r="X158" s="1414">
        <v>0</v>
      </c>
      <c r="Y158" s="1414">
        <v>0</v>
      </c>
      <c r="Z158" s="1414"/>
      <c r="AA158" s="1414"/>
      <c r="AB158" s="1414"/>
      <c r="AC158" s="1414"/>
      <c r="AD158" s="488">
        <f t="shared" si="13"/>
        <v>58820</v>
      </c>
      <c r="AE158" s="565">
        <f t="shared" si="14"/>
        <v>-0.31469183269253176</v>
      </c>
      <c r="AF158" s="566">
        <f t="shared" si="10"/>
        <v>220</v>
      </c>
    </row>
    <row r="159" spans="1:32" x14ac:dyDescent="0.3">
      <c r="A159" s="10" t="s">
        <v>4</v>
      </c>
      <c r="B159" s="11" t="s">
        <v>161</v>
      </c>
      <c r="C159" s="485"/>
      <c r="D159" s="489">
        <v>72880</v>
      </c>
      <c r="E159" s="489">
        <v>0</v>
      </c>
      <c r="F159" s="489">
        <v>0</v>
      </c>
      <c r="G159" s="489">
        <v>0</v>
      </c>
      <c r="H159" s="489">
        <v>0</v>
      </c>
      <c r="I159" s="489">
        <v>0</v>
      </c>
      <c r="J159" s="489">
        <v>0</v>
      </c>
      <c r="K159" s="489">
        <v>0</v>
      </c>
      <c r="L159" s="489">
        <v>0</v>
      </c>
      <c r="M159" s="489">
        <v>0</v>
      </c>
      <c r="N159" s="489">
        <v>0</v>
      </c>
      <c r="O159" s="489">
        <v>0</v>
      </c>
      <c r="P159" s="1494">
        <f t="shared" si="11"/>
        <v>72880</v>
      </c>
      <c r="Q159" s="1439">
        <f t="shared" si="12"/>
        <v>72880</v>
      </c>
      <c r="R159" s="1413" t="s">
        <v>251</v>
      </c>
      <c r="S159" s="1414" t="s">
        <v>251</v>
      </c>
      <c r="T159" s="1414" t="s">
        <v>251</v>
      </c>
      <c r="U159" s="1414"/>
      <c r="V159" s="1414"/>
      <c r="W159" s="1414"/>
      <c r="X159" s="1414"/>
      <c r="Y159" s="1414"/>
      <c r="Z159" s="1414"/>
      <c r="AA159" s="1414"/>
      <c r="AB159" s="1414"/>
      <c r="AC159" s="1414"/>
      <c r="AD159" s="488">
        <f t="shared" si="13"/>
        <v>0</v>
      </c>
      <c r="AE159" s="565">
        <f t="shared" si="14"/>
        <v>-1</v>
      </c>
      <c r="AF159" s="566">
        <f t="shared" si="10"/>
        <v>240</v>
      </c>
    </row>
    <row r="160" spans="1:32" x14ac:dyDescent="0.3">
      <c r="A160" s="10" t="s">
        <v>4</v>
      </c>
      <c r="B160" s="11" t="s">
        <v>162</v>
      </c>
      <c r="C160" s="485"/>
      <c r="D160" s="489">
        <v>70750</v>
      </c>
      <c r="E160" s="489">
        <v>0</v>
      </c>
      <c r="F160" s="489">
        <v>0</v>
      </c>
      <c r="G160" s="489">
        <v>0</v>
      </c>
      <c r="H160" s="489">
        <v>0</v>
      </c>
      <c r="I160" s="489">
        <v>0</v>
      </c>
      <c r="J160" s="489">
        <v>0</v>
      </c>
      <c r="K160" s="489">
        <v>0</v>
      </c>
      <c r="L160" s="489">
        <v>0</v>
      </c>
      <c r="M160" s="489">
        <v>0</v>
      </c>
      <c r="N160" s="489">
        <v>0</v>
      </c>
      <c r="O160" s="489">
        <v>0</v>
      </c>
      <c r="P160" s="1494">
        <f t="shared" si="11"/>
        <v>70750</v>
      </c>
      <c r="Q160" s="1439">
        <f t="shared" si="12"/>
        <v>70750</v>
      </c>
      <c r="R160" s="1413" t="s">
        <v>251</v>
      </c>
      <c r="S160" s="1414" t="s">
        <v>251</v>
      </c>
      <c r="T160" s="1414" t="s">
        <v>251</v>
      </c>
      <c r="U160" s="1414"/>
      <c r="V160" s="1414"/>
      <c r="W160" s="1414"/>
      <c r="X160" s="1414"/>
      <c r="Y160" s="1414"/>
      <c r="Z160" s="1414"/>
      <c r="AA160" s="1414"/>
      <c r="AB160" s="1414"/>
      <c r="AC160" s="1414"/>
      <c r="AD160" s="488">
        <f t="shared" si="13"/>
        <v>0</v>
      </c>
      <c r="AE160" s="565">
        <f t="shared" si="14"/>
        <v>-1</v>
      </c>
      <c r="AF160" s="566">
        <f t="shared" si="10"/>
        <v>240</v>
      </c>
    </row>
    <row r="161" spans="1:32" x14ac:dyDescent="0.3">
      <c r="A161" s="10" t="s">
        <v>4</v>
      </c>
      <c r="B161" s="11" t="s">
        <v>163</v>
      </c>
      <c r="C161" s="485"/>
      <c r="D161" s="489">
        <v>0</v>
      </c>
      <c r="E161" s="489">
        <v>63630</v>
      </c>
      <c r="F161" s="489">
        <v>0</v>
      </c>
      <c r="G161" s="489">
        <v>0</v>
      </c>
      <c r="H161" s="489">
        <v>0</v>
      </c>
      <c r="I161" s="489">
        <v>0</v>
      </c>
      <c r="J161" s="489">
        <v>0</v>
      </c>
      <c r="K161" s="489">
        <v>0</v>
      </c>
      <c r="L161" s="489">
        <v>61610</v>
      </c>
      <c r="M161" s="489">
        <v>0</v>
      </c>
      <c r="N161" s="489">
        <v>0</v>
      </c>
      <c r="O161" s="489">
        <v>63090</v>
      </c>
      <c r="P161" s="1494">
        <f t="shared" si="11"/>
        <v>63630</v>
      </c>
      <c r="Q161" s="1439">
        <f t="shared" si="12"/>
        <v>188330</v>
      </c>
      <c r="R161" s="1413" t="s">
        <v>251</v>
      </c>
      <c r="S161" s="1414" t="s">
        <v>251</v>
      </c>
      <c r="T161" s="1414">
        <v>64870</v>
      </c>
      <c r="U161" s="1414">
        <v>0</v>
      </c>
      <c r="V161" s="1414">
        <v>0</v>
      </c>
      <c r="W161" s="1414">
        <v>0</v>
      </c>
      <c r="X161" s="1414">
        <v>0</v>
      </c>
      <c r="Y161" s="1414">
        <v>0</v>
      </c>
      <c r="Z161" s="1414"/>
      <c r="AA161" s="1414"/>
      <c r="AB161" s="1414"/>
      <c r="AC161" s="1414"/>
      <c r="AD161" s="488">
        <f t="shared" si="13"/>
        <v>64870</v>
      </c>
      <c r="AE161" s="565">
        <f t="shared" si="14"/>
        <v>1.9487663052019488E-2</v>
      </c>
      <c r="AF161" s="566">
        <f t="shared" si="10"/>
        <v>217</v>
      </c>
    </row>
    <row r="162" spans="1:32" x14ac:dyDescent="0.3">
      <c r="A162" s="10" t="s">
        <v>4</v>
      </c>
      <c r="B162" s="11" t="s">
        <v>164</v>
      </c>
      <c r="C162" s="485"/>
      <c r="D162" s="489">
        <v>0</v>
      </c>
      <c r="E162" s="489">
        <v>61100</v>
      </c>
      <c r="F162" s="489">
        <v>0</v>
      </c>
      <c r="G162" s="489">
        <v>0</v>
      </c>
      <c r="H162" s="489">
        <v>0</v>
      </c>
      <c r="I162" s="489">
        <v>0</v>
      </c>
      <c r="J162" s="489">
        <v>0</v>
      </c>
      <c r="K162" s="489">
        <v>0</v>
      </c>
      <c r="L162" s="489">
        <v>0</v>
      </c>
      <c r="M162" s="489">
        <v>0</v>
      </c>
      <c r="N162" s="489">
        <v>0</v>
      </c>
      <c r="O162" s="489">
        <v>0</v>
      </c>
      <c r="P162" s="1494">
        <f t="shared" si="11"/>
        <v>61100</v>
      </c>
      <c r="Q162" s="1439">
        <f t="shared" si="12"/>
        <v>61100</v>
      </c>
      <c r="R162" s="1413" t="s">
        <v>251</v>
      </c>
      <c r="S162" s="1414" t="s">
        <v>251</v>
      </c>
      <c r="T162" s="1414" t="s">
        <v>251</v>
      </c>
      <c r="U162" s="1414"/>
      <c r="V162" s="1414"/>
      <c r="W162" s="1414"/>
      <c r="X162" s="1414"/>
      <c r="Y162" s="1414"/>
      <c r="Z162" s="1414"/>
      <c r="AA162" s="1414"/>
      <c r="AB162" s="1414"/>
      <c r="AC162" s="1414"/>
      <c r="AD162" s="488">
        <f t="shared" si="13"/>
        <v>0</v>
      </c>
      <c r="AE162" s="565">
        <f t="shared" si="14"/>
        <v>-1</v>
      </c>
      <c r="AF162" s="566">
        <f t="shared" si="10"/>
        <v>240</v>
      </c>
    </row>
    <row r="163" spans="1:32" x14ac:dyDescent="0.3">
      <c r="A163" s="10" t="s">
        <v>4</v>
      </c>
      <c r="B163" s="11" t="s">
        <v>165</v>
      </c>
      <c r="C163" s="485"/>
      <c r="D163" s="489">
        <v>0</v>
      </c>
      <c r="E163" s="489">
        <v>58670</v>
      </c>
      <c r="F163" s="489">
        <v>0</v>
      </c>
      <c r="G163" s="489">
        <v>0</v>
      </c>
      <c r="H163" s="489">
        <v>0</v>
      </c>
      <c r="I163" s="489">
        <v>0</v>
      </c>
      <c r="J163" s="489">
        <v>2968140</v>
      </c>
      <c r="K163" s="489">
        <v>2620520</v>
      </c>
      <c r="L163" s="489">
        <v>0</v>
      </c>
      <c r="M163" s="489">
        <v>507030</v>
      </c>
      <c r="N163" s="489">
        <v>839410</v>
      </c>
      <c r="O163" s="489">
        <v>565570</v>
      </c>
      <c r="P163" s="1494">
        <f t="shared" si="11"/>
        <v>2679190</v>
      </c>
      <c r="Q163" s="1439">
        <f t="shared" si="12"/>
        <v>4938820</v>
      </c>
      <c r="R163" s="1413">
        <v>6665990</v>
      </c>
      <c r="S163" s="1414">
        <v>423430</v>
      </c>
      <c r="T163" s="1414">
        <v>1195890</v>
      </c>
      <c r="U163" s="1414">
        <v>874500</v>
      </c>
      <c r="V163" s="1414">
        <v>196450</v>
      </c>
      <c r="W163" s="1414">
        <v>502640</v>
      </c>
      <c r="X163" s="1414">
        <v>2955970</v>
      </c>
      <c r="Y163" s="1414">
        <v>922400</v>
      </c>
      <c r="Z163" s="1414"/>
      <c r="AA163" s="1414"/>
      <c r="AB163" s="1414"/>
      <c r="AC163" s="1414"/>
      <c r="AD163" s="488">
        <f t="shared" si="13"/>
        <v>13737270</v>
      </c>
      <c r="AE163" s="565">
        <f t="shared" si="14"/>
        <v>4.1273967131857017</v>
      </c>
      <c r="AF163" s="566">
        <f t="shared" si="10"/>
        <v>36</v>
      </c>
    </row>
    <row r="164" spans="1:32" x14ac:dyDescent="0.3">
      <c r="A164" s="10" t="s">
        <v>4</v>
      </c>
      <c r="B164" s="11" t="s">
        <v>166</v>
      </c>
      <c r="C164" s="485"/>
      <c r="D164" s="489">
        <v>0</v>
      </c>
      <c r="E164" s="489">
        <v>58080</v>
      </c>
      <c r="F164" s="489">
        <v>0</v>
      </c>
      <c r="G164" s="489">
        <v>0</v>
      </c>
      <c r="H164" s="489">
        <v>392340</v>
      </c>
      <c r="I164" s="489">
        <v>360050</v>
      </c>
      <c r="J164" s="489">
        <v>954070</v>
      </c>
      <c r="K164" s="489">
        <v>954070</v>
      </c>
      <c r="L164" s="489">
        <v>343870</v>
      </c>
      <c r="M164" s="489">
        <v>0</v>
      </c>
      <c r="N164" s="489">
        <v>0</v>
      </c>
      <c r="O164" s="489">
        <v>415130</v>
      </c>
      <c r="P164" s="1494">
        <f t="shared" si="11"/>
        <v>1764540</v>
      </c>
      <c r="Q164" s="1439">
        <f t="shared" si="12"/>
        <v>2523540</v>
      </c>
      <c r="R164" s="1413" t="s">
        <v>251</v>
      </c>
      <c r="S164" s="1414" t="s">
        <v>251</v>
      </c>
      <c r="T164" s="1414" t="s">
        <v>251</v>
      </c>
      <c r="U164" s="1414"/>
      <c r="V164" s="1414"/>
      <c r="W164" s="1414"/>
      <c r="X164" s="1414"/>
      <c r="Y164" s="1414"/>
      <c r="Z164" s="1414"/>
      <c r="AA164" s="1414"/>
      <c r="AB164" s="1414"/>
      <c r="AC164" s="1414"/>
      <c r="AD164" s="488">
        <f t="shared" si="13"/>
        <v>0</v>
      </c>
      <c r="AE164" s="565">
        <f t="shared" si="14"/>
        <v>-1</v>
      </c>
      <c r="AF164" s="566">
        <f t="shared" si="10"/>
        <v>240</v>
      </c>
    </row>
    <row r="165" spans="1:32" x14ac:dyDescent="0.3">
      <c r="A165" s="10" t="s">
        <v>4</v>
      </c>
      <c r="B165" s="11" t="s">
        <v>167</v>
      </c>
      <c r="C165" s="485"/>
      <c r="D165" s="489">
        <v>0</v>
      </c>
      <c r="E165" s="489">
        <v>0</v>
      </c>
      <c r="F165" s="489">
        <v>0</v>
      </c>
      <c r="G165" s="489">
        <v>45040</v>
      </c>
      <c r="H165" s="489">
        <v>0</v>
      </c>
      <c r="I165" s="489">
        <v>0</v>
      </c>
      <c r="J165" s="489">
        <v>45610</v>
      </c>
      <c r="K165" s="489">
        <v>45610</v>
      </c>
      <c r="L165" s="489">
        <v>0</v>
      </c>
      <c r="M165" s="489">
        <v>0</v>
      </c>
      <c r="N165" s="489">
        <v>0</v>
      </c>
      <c r="O165" s="489">
        <v>0</v>
      </c>
      <c r="P165" s="1494">
        <f t="shared" si="11"/>
        <v>90650</v>
      </c>
      <c r="Q165" s="1439">
        <f t="shared" si="12"/>
        <v>90650</v>
      </c>
      <c r="R165" s="1413" t="s">
        <v>251</v>
      </c>
      <c r="S165" s="1414" t="s">
        <v>251</v>
      </c>
      <c r="T165" s="1414" t="s">
        <v>251</v>
      </c>
      <c r="U165" s="1414"/>
      <c r="V165" s="1414"/>
      <c r="W165" s="1414"/>
      <c r="X165" s="1414"/>
      <c r="Y165" s="1414"/>
      <c r="Z165" s="1414"/>
      <c r="AA165" s="1414"/>
      <c r="AB165" s="1414"/>
      <c r="AC165" s="1414"/>
      <c r="AD165" s="488">
        <f t="shared" si="13"/>
        <v>0</v>
      </c>
      <c r="AE165" s="565">
        <f t="shared" si="14"/>
        <v>-1</v>
      </c>
      <c r="AF165" s="566">
        <f t="shared" si="10"/>
        <v>240</v>
      </c>
    </row>
    <row r="166" spans="1:32" x14ac:dyDescent="0.3">
      <c r="A166" s="10" t="s">
        <v>4</v>
      </c>
      <c r="B166" s="11" t="s">
        <v>168</v>
      </c>
      <c r="C166" s="485">
        <v>32000</v>
      </c>
      <c r="D166" s="489">
        <v>0</v>
      </c>
      <c r="E166" s="489">
        <v>0</v>
      </c>
      <c r="F166" s="489">
        <v>0</v>
      </c>
      <c r="G166" s="489">
        <v>0</v>
      </c>
      <c r="H166" s="489">
        <v>0</v>
      </c>
      <c r="I166" s="489">
        <v>0</v>
      </c>
      <c r="J166" s="489">
        <v>0</v>
      </c>
      <c r="K166" s="489">
        <v>0</v>
      </c>
      <c r="L166" s="489">
        <v>0</v>
      </c>
      <c r="M166" s="489">
        <v>0</v>
      </c>
      <c r="N166" s="489">
        <v>0</v>
      </c>
      <c r="O166" s="489">
        <v>0</v>
      </c>
      <c r="P166" s="1494">
        <f t="shared" si="11"/>
        <v>32000</v>
      </c>
      <c r="Q166" s="1439">
        <f t="shared" si="12"/>
        <v>32000</v>
      </c>
      <c r="R166" s="1413">
        <v>543660</v>
      </c>
      <c r="S166" s="1414" t="s">
        <v>251</v>
      </c>
      <c r="T166" s="1414">
        <v>0</v>
      </c>
      <c r="U166" s="1414">
        <v>0</v>
      </c>
      <c r="V166" s="1414">
        <v>0</v>
      </c>
      <c r="W166" s="1414">
        <v>0</v>
      </c>
      <c r="X166" s="1414">
        <v>0</v>
      </c>
      <c r="Y166" s="1414">
        <v>0</v>
      </c>
      <c r="Z166" s="1414"/>
      <c r="AA166" s="1414"/>
      <c r="AB166" s="1414"/>
      <c r="AC166" s="1414"/>
      <c r="AD166" s="488">
        <f t="shared" si="13"/>
        <v>543660</v>
      </c>
      <c r="AE166" s="565">
        <f t="shared" si="14"/>
        <v>15.989375000000001</v>
      </c>
      <c r="AF166" s="566">
        <f t="shared" si="10"/>
        <v>173</v>
      </c>
    </row>
    <row r="167" spans="1:32" x14ac:dyDescent="0.3">
      <c r="A167" s="10" t="s">
        <v>4</v>
      </c>
      <c r="B167" s="11" t="s">
        <v>169</v>
      </c>
      <c r="C167" s="485"/>
      <c r="D167" s="489">
        <v>0</v>
      </c>
      <c r="E167" s="489">
        <v>29330</v>
      </c>
      <c r="F167" s="489">
        <v>0</v>
      </c>
      <c r="G167" s="489">
        <v>0</v>
      </c>
      <c r="H167" s="489">
        <v>0</v>
      </c>
      <c r="I167" s="489">
        <v>27280</v>
      </c>
      <c r="J167" s="489">
        <v>0</v>
      </c>
      <c r="K167" s="489">
        <v>0</v>
      </c>
      <c r="L167" s="489">
        <v>0</v>
      </c>
      <c r="M167" s="489">
        <v>0</v>
      </c>
      <c r="N167" s="489">
        <v>0</v>
      </c>
      <c r="O167" s="489">
        <v>0</v>
      </c>
      <c r="P167" s="1494">
        <f t="shared" si="11"/>
        <v>56610</v>
      </c>
      <c r="Q167" s="1439">
        <f t="shared" si="12"/>
        <v>56610</v>
      </c>
      <c r="R167" s="1413" t="s">
        <v>251</v>
      </c>
      <c r="S167" s="1414" t="s">
        <v>251</v>
      </c>
      <c r="T167" s="1414" t="s">
        <v>251</v>
      </c>
      <c r="U167" s="1414"/>
      <c r="V167" s="1414"/>
      <c r="W167" s="1414"/>
      <c r="X167" s="1414"/>
      <c r="Y167" s="1414"/>
      <c r="Z167" s="1414"/>
      <c r="AA167" s="1414"/>
      <c r="AB167" s="1414"/>
      <c r="AC167" s="1414"/>
      <c r="AD167" s="488">
        <f t="shared" si="13"/>
        <v>0</v>
      </c>
      <c r="AE167" s="565">
        <f t="shared" si="14"/>
        <v>-1</v>
      </c>
      <c r="AF167" s="566">
        <f t="shared" si="10"/>
        <v>240</v>
      </c>
    </row>
    <row r="168" spans="1:32" x14ac:dyDescent="0.3">
      <c r="A168" s="10" t="s">
        <v>4</v>
      </c>
      <c r="B168" s="11" t="s">
        <v>170</v>
      </c>
      <c r="C168" s="485"/>
      <c r="D168" s="489">
        <v>29010</v>
      </c>
      <c r="E168" s="489">
        <v>0</v>
      </c>
      <c r="F168" s="489">
        <v>0</v>
      </c>
      <c r="G168" s="489">
        <v>0</v>
      </c>
      <c r="H168" s="489">
        <v>0</v>
      </c>
      <c r="I168" s="489">
        <v>0</v>
      </c>
      <c r="J168" s="489">
        <v>0</v>
      </c>
      <c r="K168" s="489">
        <v>0</v>
      </c>
      <c r="L168" s="489">
        <v>0</v>
      </c>
      <c r="M168" s="489">
        <v>0</v>
      </c>
      <c r="N168" s="489">
        <v>0</v>
      </c>
      <c r="O168" s="489">
        <v>0</v>
      </c>
      <c r="P168" s="1494">
        <f t="shared" si="11"/>
        <v>29010</v>
      </c>
      <c r="Q168" s="1439">
        <f t="shared" si="12"/>
        <v>29010</v>
      </c>
      <c r="R168" s="1413" t="s">
        <v>251</v>
      </c>
      <c r="S168" s="1414" t="s">
        <v>251</v>
      </c>
      <c r="T168" s="1414" t="s">
        <v>251</v>
      </c>
      <c r="U168" s="1414"/>
      <c r="V168" s="1414"/>
      <c r="W168" s="1414"/>
      <c r="X168" s="1414"/>
      <c r="Y168" s="1414"/>
      <c r="Z168" s="1414"/>
      <c r="AA168" s="1414"/>
      <c r="AB168" s="1414"/>
      <c r="AC168" s="1414"/>
      <c r="AD168" s="488">
        <f t="shared" si="13"/>
        <v>0</v>
      </c>
      <c r="AE168" s="565">
        <f t="shared" si="14"/>
        <v>-1</v>
      </c>
      <c r="AF168" s="566">
        <f t="shared" si="10"/>
        <v>240</v>
      </c>
    </row>
    <row r="169" spans="1:32" x14ac:dyDescent="0.3">
      <c r="A169" s="10" t="s">
        <v>4</v>
      </c>
      <c r="B169" s="11" t="s">
        <v>171</v>
      </c>
      <c r="C169" s="485"/>
      <c r="D169" s="489">
        <v>0</v>
      </c>
      <c r="E169" s="489">
        <v>0</v>
      </c>
      <c r="F169" s="489">
        <v>0</v>
      </c>
      <c r="G169" s="489">
        <v>28310</v>
      </c>
      <c r="H169" s="489">
        <v>0</v>
      </c>
      <c r="I169" s="489">
        <v>0</v>
      </c>
      <c r="J169" s="489">
        <v>0</v>
      </c>
      <c r="K169" s="489">
        <v>0</v>
      </c>
      <c r="L169" s="489">
        <v>0</v>
      </c>
      <c r="M169" s="489">
        <v>0</v>
      </c>
      <c r="N169" s="489">
        <v>0</v>
      </c>
      <c r="O169" s="489">
        <v>0</v>
      </c>
      <c r="P169" s="1494">
        <f t="shared" si="11"/>
        <v>28310</v>
      </c>
      <c r="Q169" s="1439">
        <f t="shared" si="12"/>
        <v>28310</v>
      </c>
      <c r="R169" s="1413" t="s">
        <v>251</v>
      </c>
      <c r="S169" s="1414" t="s">
        <v>251</v>
      </c>
      <c r="T169" s="1414" t="s">
        <v>251</v>
      </c>
      <c r="U169" s="1414"/>
      <c r="V169" s="1414"/>
      <c r="W169" s="1414"/>
      <c r="X169" s="1414"/>
      <c r="Y169" s="1414"/>
      <c r="Z169" s="1414"/>
      <c r="AA169" s="1414"/>
      <c r="AB169" s="1414"/>
      <c r="AC169" s="1414"/>
      <c r="AD169" s="488">
        <f t="shared" si="13"/>
        <v>0</v>
      </c>
      <c r="AE169" s="565">
        <f t="shared" si="14"/>
        <v>-1</v>
      </c>
      <c r="AF169" s="566">
        <f t="shared" si="10"/>
        <v>240</v>
      </c>
    </row>
    <row r="170" spans="1:32" x14ac:dyDescent="0.3">
      <c r="A170" s="10" t="s">
        <v>4</v>
      </c>
      <c r="B170" s="11" t="s">
        <v>172</v>
      </c>
      <c r="C170" s="485"/>
      <c r="D170" s="489" t="s">
        <v>251</v>
      </c>
      <c r="E170" s="489" t="s">
        <v>251</v>
      </c>
      <c r="F170" s="489" t="s">
        <v>251</v>
      </c>
      <c r="G170" s="489" t="s">
        <v>251</v>
      </c>
      <c r="H170" s="489" t="s">
        <v>251</v>
      </c>
      <c r="I170" s="489" t="s">
        <v>251</v>
      </c>
      <c r="J170" s="489" t="s">
        <v>251</v>
      </c>
      <c r="K170" s="489"/>
      <c r="L170" s="489" t="s">
        <v>251</v>
      </c>
      <c r="M170" s="489" t="s">
        <v>251</v>
      </c>
      <c r="N170" s="489" t="s">
        <v>251</v>
      </c>
      <c r="O170" s="489" t="s">
        <v>251</v>
      </c>
      <c r="P170" s="1494">
        <f t="shared" si="11"/>
        <v>0</v>
      </c>
      <c r="Q170" s="1439">
        <f t="shared" si="12"/>
        <v>0</v>
      </c>
      <c r="R170" s="1413" t="s">
        <v>251</v>
      </c>
      <c r="S170" s="1414" t="s">
        <v>251</v>
      </c>
      <c r="T170" s="1414" t="s">
        <v>251</v>
      </c>
      <c r="U170" s="1414"/>
      <c r="V170" s="1414"/>
      <c r="W170" s="1414"/>
      <c r="X170" s="1414"/>
      <c r="Y170" s="1414"/>
      <c r="Z170" s="1414"/>
      <c r="AA170" s="1414"/>
      <c r="AB170" s="1414"/>
      <c r="AC170" s="1414"/>
      <c r="AD170" s="488">
        <f t="shared" si="13"/>
        <v>0</v>
      </c>
      <c r="AE170" s="565">
        <f t="shared" si="14"/>
        <v>0</v>
      </c>
      <c r="AF170" s="566">
        <f t="shared" si="10"/>
        <v>240</v>
      </c>
    </row>
    <row r="171" spans="1:32" x14ac:dyDescent="0.3">
      <c r="A171" s="10" t="s">
        <v>4</v>
      </c>
      <c r="B171" s="11" t="s">
        <v>613</v>
      </c>
      <c r="C171" s="485"/>
      <c r="D171" s="489" t="s">
        <v>251</v>
      </c>
      <c r="E171" s="489" t="s">
        <v>251</v>
      </c>
      <c r="F171" s="489" t="s">
        <v>251</v>
      </c>
      <c r="G171" s="489" t="s">
        <v>251</v>
      </c>
      <c r="H171" s="489" t="s">
        <v>251</v>
      </c>
      <c r="I171" s="489" t="s">
        <v>251</v>
      </c>
      <c r="J171" s="489" t="s">
        <v>251</v>
      </c>
      <c r="K171" s="489"/>
      <c r="L171" s="489" t="s">
        <v>251</v>
      </c>
      <c r="M171" s="489" t="s">
        <v>251</v>
      </c>
      <c r="N171" s="489" t="s">
        <v>251</v>
      </c>
      <c r="O171" s="489" t="s">
        <v>251</v>
      </c>
      <c r="P171" s="1494">
        <f t="shared" si="11"/>
        <v>0</v>
      </c>
      <c r="Q171" s="1439">
        <f t="shared" si="12"/>
        <v>0</v>
      </c>
      <c r="R171" s="1413" t="s">
        <v>251</v>
      </c>
      <c r="S171" s="1414" t="s">
        <v>251</v>
      </c>
      <c r="T171" s="1414" t="s">
        <v>251</v>
      </c>
      <c r="U171" s="1414"/>
      <c r="V171" s="1414"/>
      <c r="W171" s="1414"/>
      <c r="X171" s="1414"/>
      <c r="Y171" s="1414"/>
      <c r="Z171" s="1414"/>
      <c r="AA171" s="1414"/>
      <c r="AB171" s="1414"/>
      <c r="AC171" s="1414"/>
      <c r="AD171" s="488">
        <f t="shared" si="13"/>
        <v>0</v>
      </c>
      <c r="AE171" s="565">
        <f t="shared" si="14"/>
        <v>0</v>
      </c>
      <c r="AF171" s="566">
        <f t="shared" si="10"/>
        <v>240</v>
      </c>
    </row>
    <row r="172" spans="1:32" x14ac:dyDescent="0.3">
      <c r="A172" s="10" t="s">
        <v>4</v>
      </c>
      <c r="B172" s="11" t="s">
        <v>174</v>
      </c>
      <c r="C172" s="485"/>
      <c r="D172" s="489" t="s">
        <v>251</v>
      </c>
      <c r="E172" s="489" t="s">
        <v>251</v>
      </c>
      <c r="F172" s="489" t="s">
        <v>251</v>
      </c>
      <c r="G172" s="489" t="s">
        <v>251</v>
      </c>
      <c r="H172" s="489" t="s">
        <v>251</v>
      </c>
      <c r="I172" s="489" t="s">
        <v>251</v>
      </c>
      <c r="J172" s="489" t="s">
        <v>251</v>
      </c>
      <c r="K172" s="489"/>
      <c r="L172" s="489" t="s">
        <v>251</v>
      </c>
      <c r="M172" s="489" t="s">
        <v>251</v>
      </c>
      <c r="N172" s="489" t="s">
        <v>251</v>
      </c>
      <c r="O172" s="489" t="s">
        <v>251</v>
      </c>
      <c r="P172" s="1494">
        <f t="shared" si="11"/>
        <v>0</v>
      </c>
      <c r="Q172" s="1439">
        <f t="shared" si="12"/>
        <v>0</v>
      </c>
      <c r="R172" s="1413" t="s">
        <v>251</v>
      </c>
      <c r="S172" s="1414" t="s">
        <v>251</v>
      </c>
      <c r="T172" s="1414" t="s">
        <v>251</v>
      </c>
      <c r="U172" s="1414"/>
      <c r="V172" s="1414"/>
      <c r="W172" s="1414"/>
      <c r="X172" s="1414"/>
      <c r="Y172" s="1414"/>
      <c r="Z172" s="1414"/>
      <c r="AA172" s="1414"/>
      <c r="AB172" s="1414"/>
      <c r="AC172" s="1414"/>
      <c r="AD172" s="488">
        <f t="shared" si="13"/>
        <v>0</v>
      </c>
      <c r="AE172" s="565">
        <f t="shared" si="14"/>
        <v>0</v>
      </c>
      <c r="AF172" s="566">
        <f t="shared" si="10"/>
        <v>240</v>
      </c>
    </row>
    <row r="173" spans="1:32" x14ac:dyDescent="0.3">
      <c r="A173" s="10" t="s">
        <v>4</v>
      </c>
      <c r="B173" s="11" t="s">
        <v>614</v>
      </c>
      <c r="C173" s="485"/>
      <c r="D173" s="489" t="s">
        <v>251</v>
      </c>
      <c r="E173" s="489" t="s">
        <v>251</v>
      </c>
      <c r="F173" s="489" t="s">
        <v>251</v>
      </c>
      <c r="G173" s="489" t="s">
        <v>251</v>
      </c>
      <c r="H173" s="489" t="s">
        <v>251</v>
      </c>
      <c r="I173" s="489" t="s">
        <v>251</v>
      </c>
      <c r="J173" s="489" t="s">
        <v>251</v>
      </c>
      <c r="K173" s="489"/>
      <c r="L173" s="489" t="s">
        <v>251</v>
      </c>
      <c r="M173" s="489" t="s">
        <v>251</v>
      </c>
      <c r="N173" s="489" t="s">
        <v>251</v>
      </c>
      <c r="O173" s="489" t="s">
        <v>251</v>
      </c>
      <c r="P173" s="1494">
        <f t="shared" si="11"/>
        <v>0</v>
      </c>
      <c r="Q173" s="1439">
        <f t="shared" si="12"/>
        <v>0</v>
      </c>
      <c r="R173" s="1413" t="s">
        <v>251</v>
      </c>
      <c r="S173" s="1414" t="s">
        <v>251</v>
      </c>
      <c r="T173" s="1414" t="s">
        <v>251</v>
      </c>
      <c r="U173" s="1414"/>
      <c r="V173" s="1414"/>
      <c r="W173" s="1414"/>
      <c r="X173" s="1414"/>
      <c r="Y173" s="1414"/>
      <c r="Z173" s="1414"/>
      <c r="AA173" s="1414"/>
      <c r="AB173" s="1414"/>
      <c r="AC173" s="1414"/>
      <c r="AD173" s="488">
        <f t="shared" si="13"/>
        <v>0</v>
      </c>
      <c r="AE173" s="565">
        <f t="shared" si="14"/>
        <v>0</v>
      </c>
      <c r="AF173" s="566">
        <f t="shared" si="10"/>
        <v>240</v>
      </c>
    </row>
    <row r="174" spans="1:32" x14ac:dyDescent="0.3">
      <c r="A174" s="10" t="s">
        <v>4</v>
      </c>
      <c r="B174" s="11" t="s">
        <v>176</v>
      </c>
      <c r="C174" s="485"/>
      <c r="D174" s="489" t="s">
        <v>251</v>
      </c>
      <c r="E174" s="489" t="s">
        <v>251</v>
      </c>
      <c r="F174" s="489" t="s">
        <v>251</v>
      </c>
      <c r="G174" s="489" t="s">
        <v>251</v>
      </c>
      <c r="H174" s="489" t="s">
        <v>251</v>
      </c>
      <c r="I174" s="489" t="s">
        <v>251</v>
      </c>
      <c r="J174" s="489" t="s">
        <v>251</v>
      </c>
      <c r="K174" s="489"/>
      <c r="L174" s="489" t="s">
        <v>251</v>
      </c>
      <c r="M174" s="489" t="s">
        <v>251</v>
      </c>
      <c r="N174" s="489" t="s">
        <v>251</v>
      </c>
      <c r="O174" s="489" t="s">
        <v>251</v>
      </c>
      <c r="P174" s="1494">
        <f t="shared" si="11"/>
        <v>0</v>
      </c>
      <c r="Q174" s="1439">
        <f t="shared" si="12"/>
        <v>0</v>
      </c>
      <c r="R174" s="1413" t="s">
        <v>251</v>
      </c>
      <c r="S174" s="1414" t="s">
        <v>251</v>
      </c>
      <c r="T174" s="1414">
        <v>1011810</v>
      </c>
      <c r="U174" s="1414">
        <v>0</v>
      </c>
      <c r="V174" s="1414">
        <v>0</v>
      </c>
      <c r="W174" s="1414">
        <v>0</v>
      </c>
      <c r="X174" s="1414">
        <v>0</v>
      </c>
      <c r="Y174" s="1414">
        <v>0</v>
      </c>
      <c r="Z174" s="1414"/>
      <c r="AA174" s="1414"/>
      <c r="AB174" s="1414"/>
      <c r="AC174" s="1414"/>
      <c r="AD174" s="488">
        <f t="shared" si="13"/>
        <v>1011810</v>
      </c>
      <c r="AE174" s="565">
        <f t="shared" si="14"/>
        <v>1</v>
      </c>
      <c r="AF174" s="566">
        <f t="shared" si="10"/>
        <v>155</v>
      </c>
    </row>
    <row r="175" spans="1:32" x14ac:dyDescent="0.3">
      <c r="A175" s="10" t="s">
        <v>4</v>
      </c>
      <c r="B175" s="11" t="s">
        <v>177</v>
      </c>
      <c r="C175" s="485"/>
      <c r="D175" s="489">
        <v>0</v>
      </c>
      <c r="E175" s="489">
        <v>0</v>
      </c>
      <c r="F175" s="489">
        <v>0</v>
      </c>
      <c r="G175" s="489">
        <v>0</v>
      </c>
      <c r="H175" s="489">
        <v>882590</v>
      </c>
      <c r="I175" s="489">
        <v>0</v>
      </c>
      <c r="J175" s="489">
        <v>488620</v>
      </c>
      <c r="K175" s="489">
        <v>488620</v>
      </c>
      <c r="L175" s="489">
        <v>0</v>
      </c>
      <c r="M175" s="489">
        <v>0</v>
      </c>
      <c r="N175" s="489">
        <v>0</v>
      </c>
      <c r="O175" s="489">
        <v>0</v>
      </c>
      <c r="P175" s="1494">
        <f t="shared" si="11"/>
        <v>1371210</v>
      </c>
      <c r="Q175" s="1439">
        <f t="shared" si="12"/>
        <v>1371210</v>
      </c>
      <c r="R175" s="1413" t="s">
        <v>251</v>
      </c>
      <c r="S175" s="1414" t="s">
        <v>251</v>
      </c>
      <c r="T175" s="1414" t="s">
        <v>251</v>
      </c>
      <c r="U175" s="1414"/>
      <c r="V175" s="1414"/>
      <c r="W175" s="1414"/>
      <c r="X175" s="1414"/>
      <c r="Y175" s="1414"/>
      <c r="Z175" s="1414"/>
      <c r="AA175" s="1414"/>
      <c r="AB175" s="1414"/>
      <c r="AC175" s="1414"/>
      <c r="AD175" s="488">
        <f t="shared" si="13"/>
        <v>0</v>
      </c>
      <c r="AE175" s="565">
        <f t="shared" si="14"/>
        <v>-1</v>
      </c>
      <c r="AF175" s="566">
        <f t="shared" si="10"/>
        <v>240</v>
      </c>
    </row>
    <row r="176" spans="1:32" x14ac:dyDescent="0.3">
      <c r="A176" s="10" t="s">
        <v>4</v>
      </c>
      <c r="B176" s="11" t="s">
        <v>178</v>
      </c>
      <c r="C176" s="485"/>
      <c r="D176" s="489">
        <v>0</v>
      </c>
      <c r="E176" s="489">
        <v>0</v>
      </c>
      <c r="F176" s="489">
        <v>0</v>
      </c>
      <c r="G176" s="489">
        <v>0</v>
      </c>
      <c r="H176" s="489">
        <v>1163090</v>
      </c>
      <c r="I176" s="489">
        <v>65660</v>
      </c>
      <c r="J176" s="489">
        <v>1177490</v>
      </c>
      <c r="K176" s="489">
        <v>1177490</v>
      </c>
      <c r="L176" s="489">
        <v>1029040</v>
      </c>
      <c r="M176" s="489">
        <v>0</v>
      </c>
      <c r="N176" s="489">
        <v>0</v>
      </c>
      <c r="O176" s="489">
        <v>0</v>
      </c>
      <c r="P176" s="1494">
        <f t="shared" si="11"/>
        <v>2406240</v>
      </c>
      <c r="Q176" s="1439">
        <f t="shared" si="12"/>
        <v>3435280</v>
      </c>
      <c r="R176" s="1413" t="s">
        <v>251</v>
      </c>
      <c r="S176" s="1414" t="s">
        <v>251</v>
      </c>
      <c r="T176" s="1414" t="s">
        <v>251</v>
      </c>
      <c r="U176" s="1414"/>
      <c r="V176" s="1414">
        <v>3855740</v>
      </c>
      <c r="W176" s="1414">
        <v>1808590</v>
      </c>
      <c r="X176" s="1414">
        <v>0</v>
      </c>
      <c r="Y176" s="1414">
        <v>0</v>
      </c>
      <c r="Z176" s="1414"/>
      <c r="AA176" s="1414"/>
      <c r="AB176" s="1414"/>
      <c r="AC176" s="1414"/>
      <c r="AD176" s="488">
        <f t="shared" si="13"/>
        <v>5664330</v>
      </c>
      <c r="AE176" s="565">
        <f t="shared" si="14"/>
        <v>1.3540170556552962</v>
      </c>
      <c r="AF176" s="566">
        <f t="shared" si="10"/>
        <v>75</v>
      </c>
    </row>
    <row r="177" spans="1:32" x14ac:dyDescent="0.3">
      <c r="A177" s="10" t="s">
        <v>4</v>
      </c>
      <c r="B177" s="11" t="s">
        <v>179</v>
      </c>
      <c r="C177" s="485"/>
      <c r="D177" s="489" t="s">
        <v>251</v>
      </c>
      <c r="E177" s="489" t="s">
        <v>251</v>
      </c>
      <c r="F177" s="489" t="s">
        <v>251</v>
      </c>
      <c r="G177" s="489" t="s">
        <v>251</v>
      </c>
      <c r="H177" s="489" t="s">
        <v>251</v>
      </c>
      <c r="I177" s="489" t="s">
        <v>251</v>
      </c>
      <c r="J177" s="489" t="s">
        <v>251</v>
      </c>
      <c r="K177" s="489"/>
      <c r="L177" s="489" t="s">
        <v>251</v>
      </c>
      <c r="M177" s="489" t="s">
        <v>251</v>
      </c>
      <c r="N177" s="489" t="s">
        <v>251</v>
      </c>
      <c r="O177" s="489" t="s">
        <v>251</v>
      </c>
      <c r="P177" s="1494">
        <f t="shared" si="11"/>
        <v>0</v>
      </c>
      <c r="Q177" s="1439">
        <f t="shared" si="12"/>
        <v>0</v>
      </c>
      <c r="R177" s="1413" t="s">
        <v>251</v>
      </c>
      <c r="S177" s="1414" t="s">
        <v>251</v>
      </c>
      <c r="T177" s="1414" t="s">
        <v>251</v>
      </c>
      <c r="U177" s="1414"/>
      <c r="V177" s="1414"/>
      <c r="W177" s="1414"/>
      <c r="X177" s="1414"/>
      <c r="Y177" s="1414"/>
      <c r="Z177" s="1414"/>
      <c r="AA177" s="1414"/>
      <c r="AB177" s="1414"/>
      <c r="AC177" s="1414"/>
      <c r="AD177" s="488">
        <f t="shared" si="13"/>
        <v>0</v>
      </c>
      <c r="AE177" s="565">
        <f t="shared" si="14"/>
        <v>0</v>
      </c>
      <c r="AF177" s="566">
        <f t="shared" si="10"/>
        <v>240</v>
      </c>
    </row>
    <row r="178" spans="1:32" x14ac:dyDescent="0.3">
      <c r="A178" s="10" t="s">
        <v>4</v>
      </c>
      <c r="B178" s="11" t="s">
        <v>615</v>
      </c>
      <c r="C178" s="485"/>
      <c r="D178" s="489" t="s">
        <v>251</v>
      </c>
      <c r="E178" s="489" t="s">
        <v>251</v>
      </c>
      <c r="F178" s="489" t="s">
        <v>251</v>
      </c>
      <c r="G178" s="489" t="s">
        <v>251</v>
      </c>
      <c r="H178" s="489" t="s">
        <v>251</v>
      </c>
      <c r="I178" s="489" t="s">
        <v>251</v>
      </c>
      <c r="J178" s="489" t="s">
        <v>251</v>
      </c>
      <c r="K178" s="489"/>
      <c r="L178" s="489" t="s">
        <v>251</v>
      </c>
      <c r="M178" s="489" t="s">
        <v>251</v>
      </c>
      <c r="N178" s="489" t="s">
        <v>251</v>
      </c>
      <c r="O178" s="489" t="s">
        <v>251</v>
      </c>
      <c r="P178" s="1494">
        <f t="shared" si="11"/>
        <v>0</v>
      </c>
      <c r="Q178" s="1439">
        <f t="shared" si="12"/>
        <v>0</v>
      </c>
      <c r="R178" s="1413" t="s">
        <v>251</v>
      </c>
      <c r="S178" s="1414" t="s">
        <v>251</v>
      </c>
      <c r="T178" s="1414" t="s">
        <v>251</v>
      </c>
      <c r="U178" s="1414"/>
      <c r="V178" s="1414"/>
      <c r="W178" s="1414"/>
      <c r="X178" s="1414"/>
      <c r="Y178" s="1414"/>
      <c r="Z178" s="1414"/>
      <c r="AA178" s="1414"/>
      <c r="AB178" s="1414"/>
      <c r="AC178" s="1414"/>
      <c r="AD178" s="488">
        <f t="shared" si="13"/>
        <v>0</v>
      </c>
      <c r="AE178" s="565">
        <f t="shared" si="14"/>
        <v>0</v>
      </c>
      <c r="AF178" s="566">
        <f t="shared" si="10"/>
        <v>240</v>
      </c>
    </row>
    <row r="179" spans="1:32" x14ac:dyDescent="0.3">
      <c r="A179" s="10" t="s">
        <v>4</v>
      </c>
      <c r="B179" s="11" t="s">
        <v>513</v>
      </c>
      <c r="C179" s="485"/>
      <c r="D179" s="489" t="s">
        <v>251</v>
      </c>
      <c r="E179" s="489" t="s">
        <v>251</v>
      </c>
      <c r="F179" s="489" t="s">
        <v>251</v>
      </c>
      <c r="G179" s="489" t="s">
        <v>251</v>
      </c>
      <c r="H179" s="489" t="s">
        <v>251</v>
      </c>
      <c r="I179" s="489" t="s">
        <v>251</v>
      </c>
      <c r="J179" s="489" t="s">
        <v>251</v>
      </c>
      <c r="K179" s="489"/>
      <c r="L179" s="489" t="s">
        <v>251</v>
      </c>
      <c r="M179" s="489" t="s">
        <v>251</v>
      </c>
      <c r="N179" s="489" t="s">
        <v>251</v>
      </c>
      <c r="O179" s="489" t="s">
        <v>251</v>
      </c>
      <c r="P179" s="1494">
        <f t="shared" si="11"/>
        <v>0</v>
      </c>
      <c r="Q179" s="1439">
        <f t="shared" si="12"/>
        <v>0</v>
      </c>
      <c r="R179" s="1413" t="s">
        <v>251</v>
      </c>
      <c r="S179" s="1414" t="s">
        <v>251</v>
      </c>
      <c r="T179" s="1414" t="s">
        <v>251</v>
      </c>
      <c r="U179" s="1414"/>
      <c r="V179" s="1414"/>
      <c r="W179" s="1414"/>
      <c r="X179" s="1414"/>
      <c r="Y179" s="1414"/>
      <c r="Z179" s="1414"/>
      <c r="AA179" s="1414"/>
      <c r="AB179" s="1414"/>
      <c r="AC179" s="1414"/>
      <c r="AD179" s="488">
        <f t="shared" si="13"/>
        <v>0</v>
      </c>
      <c r="AE179" s="565">
        <f t="shared" si="14"/>
        <v>0</v>
      </c>
      <c r="AF179" s="566">
        <f t="shared" si="10"/>
        <v>240</v>
      </c>
    </row>
    <row r="180" spans="1:32" x14ac:dyDescent="0.3">
      <c r="A180" s="10" t="s">
        <v>4</v>
      </c>
      <c r="B180" s="11" t="s">
        <v>181</v>
      </c>
      <c r="C180" s="485"/>
      <c r="D180" s="489" t="s">
        <v>251</v>
      </c>
      <c r="E180" s="489" t="s">
        <v>251</v>
      </c>
      <c r="F180" s="489" t="s">
        <v>251</v>
      </c>
      <c r="G180" s="489" t="s">
        <v>251</v>
      </c>
      <c r="H180" s="489" t="s">
        <v>251</v>
      </c>
      <c r="I180" s="489" t="s">
        <v>251</v>
      </c>
      <c r="J180" s="489" t="s">
        <v>251</v>
      </c>
      <c r="K180" s="489"/>
      <c r="L180" s="489" t="s">
        <v>251</v>
      </c>
      <c r="M180" s="489" t="s">
        <v>251</v>
      </c>
      <c r="N180" s="489" t="s">
        <v>251</v>
      </c>
      <c r="O180" s="489" t="s">
        <v>251</v>
      </c>
      <c r="P180" s="1494">
        <f t="shared" si="11"/>
        <v>0</v>
      </c>
      <c r="Q180" s="1439">
        <f t="shared" si="12"/>
        <v>0</v>
      </c>
      <c r="R180" s="1413" t="s">
        <v>251</v>
      </c>
      <c r="S180" s="1414" t="s">
        <v>251</v>
      </c>
      <c r="T180" s="1414" t="s">
        <v>251</v>
      </c>
      <c r="U180" s="1414"/>
      <c r="V180" s="1414"/>
      <c r="W180" s="1414"/>
      <c r="X180" s="1414"/>
      <c r="Y180" s="1414"/>
      <c r="Z180" s="1414"/>
      <c r="AA180" s="1414"/>
      <c r="AB180" s="1414"/>
      <c r="AC180" s="1414"/>
      <c r="AD180" s="488">
        <f t="shared" si="13"/>
        <v>0</v>
      </c>
      <c r="AE180" s="565">
        <f t="shared" si="14"/>
        <v>0</v>
      </c>
      <c r="AF180" s="566">
        <f t="shared" si="10"/>
        <v>240</v>
      </c>
    </row>
    <row r="181" spans="1:32" x14ac:dyDescent="0.3">
      <c r="A181" s="10" t="s">
        <v>4</v>
      </c>
      <c r="B181" s="11" t="s">
        <v>182</v>
      </c>
      <c r="C181" s="485"/>
      <c r="D181" s="489" t="s">
        <v>251</v>
      </c>
      <c r="E181" s="489" t="s">
        <v>251</v>
      </c>
      <c r="F181" s="489" t="s">
        <v>251</v>
      </c>
      <c r="G181" s="489" t="s">
        <v>251</v>
      </c>
      <c r="H181" s="489" t="s">
        <v>251</v>
      </c>
      <c r="I181" s="489" t="s">
        <v>251</v>
      </c>
      <c r="J181" s="489" t="s">
        <v>251</v>
      </c>
      <c r="K181" s="489"/>
      <c r="L181" s="489" t="s">
        <v>251</v>
      </c>
      <c r="M181" s="489" t="s">
        <v>251</v>
      </c>
      <c r="N181" s="489" t="s">
        <v>251</v>
      </c>
      <c r="O181" s="489" t="s">
        <v>251</v>
      </c>
      <c r="P181" s="1494">
        <f t="shared" si="11"/>
        <v>0</v>
      </c>
      <c r="Q181" s="1439">
        <f t="shared" si="12"/>
        <v>0</v>
      </c>
      <c r="R181" s="1413" t="s">
        <v>251</v>
      </c>
      <c r="S181" s="1414" t="s">
        <v>251</v>
      </c>
      <c r="T181" s="1414" t="s">
        <v>251</v>
      </c>
      <c r="U181" s="1414"/>
      <c r="V181" s="1414"/>
      <c r="W181" s="1414"/>
      <c r="X181" s="1414"/>
      <c r="Y181" s="1414"/>
      <c r="Z181" s="1414"/>
      <c r="AA181" s="1414"/>
      <c r="AB181" s="1414"/>
      <c r="AC181" s="1414"/>
      <c r="AD181" s="488">
        <f t="shared" si="13"/>
        <v>0</v>
      </c>
      <c r="AE181" s="565">
        <f t="shared" si="14"/>
        <v>0</v>
      </c>
      <c r="AF181" s="566">
        <f t="shared" si="10"/>
        <v>240</v>
      </c>
    </row>
    <row r="182" spans="1:32" x14ac:dyDescent="0.3">
      <c r="A182" s="10" t="s">
        <v>4</v>
      </c>
      <c r="B182" s="11" t="s">
        <v>183</v>
      </c>
      <c r="C182" s="485"/>
      <c r="D182" s="489" t="s">
        <v>251</v>
      </c>
      <c r="E182" s="489" t="s">
        <v>251</v>
      </c>
      <c r="F182" s="489" t="s">
        <v>251</v>
      </c>
      <c r="G182" s="489" t="s">
        <v>251</v>
      </c>
      <c r="H182" s="489" t="s">
        <v>251</v>
      </c>
      <c r="I182" s="489" t="s">
        <v>251</v>
      </c>
      <c r="J182" s="489" t="s">
        <v>251</v>
      </c>
      <c r="K182" s="489"/>
      <c r="L182" s="489" t="s">
        <v>251</v>
      </c>
      <c r="M182" s="489" t="s">
        <v>251</v>
      </c>
      <c r="N182" s="489" t="s">
        <v>251</v>
      </c>
      <c r="O182" s="489" t="s">
        <v>251</v>
      </c>
      <c r="P182" s="1494">
        <f t="shared" si="11"/>
        <v>0</v>
      </c>
      <c r="Q182" s="1439">
        <f t="shared" si="12"/>
        <v>0</v>
      </c>
      <c r="R182" s="1413" t="s">
        <v>251</v>
      </c>
      <c r="S182" s="1414" t="s">
        <v>251</v>
      </c>
      <c r="T182" s="1414" t="s">
        <v>251</v>
      </c>
      <c r="U182" s="1414"/>
      <c r="V182" s="1414"/>
      <c r="W182" s="1414"/>
      <c r="X182" s="1414"/>
      <c r="Y182" s="1414"/>
      <c r="Z182" s="1414"/>
      <c r="AA182" s="1414"/>
      <c r="AB182" s="1414"/>
      <c r="AC182" s="1414"/>
      <c r="AD182" s="488">
        <f t="shared" si="13"/>
        <v>0</v>
      </c>
      <c r="AE182" s="565">
        <f t="shared" si="14"/>
        <v>0</v>
      </c>
      <c r="AF182" s="566">
        <f t="shared" si="10"/>
        <v>240</v>
      </c>
    </row>
    <row r="183" spans="1:32" x14ac:dyDescent="0.3">
      <c r="A183" s="10" t="s">
        <v>4</v>
      </c>
      <c r="B183" s="11" t="s">
        <v>184</v>
      </c>
      <c r="C183" s="485"/>
      <c r="D183" s="489" t="s">
        <v>251</v>
      </c>
      <c r="E183" s="489" t="s">
        <v>251</v>
      </c>
      <c r="F183" s="489" t="s">
        <v>251</v>
      </c>
      <c r="G183" s="489" t="s">
        <v>251</v>
      </c>
      <c r="H183" s="489" t="s">
        <v>251</v>
      </c>
      <c r="I183" s="489" t="s">
        <v>251</v>
      </c>
      <c r="J183" s="489" t="s">
        <v>251</v>
      </c>
      <c r="K183" s="489"/>
      <c r="L183" s="489" t="s">
        <v>251</v>
      </c>
      <c r="M183" s="489" t="s">
        <v>251</v>
      </c>
      <c r="N183" s="489" t="s">
        <v>251</v>
      </c>
      <c r="O183" s="489" t="s">
        <v>251</v>
      </c>
      <c r="P183" s="1494">
        <f t="shared" si="11"/>
        <v>0</v>
      </c>
      <c r="Q183" s="1439">
        <f t="shared" si="12"/>
        <v>0</v>
      </c>
      <c r="R183" s="1413" t="s">
        <v>251</v>
      </c>
      <c r="S183" s="1414" t="s">
        <v>251</v>
      </c>
      <c r="T183" s="1414" t="s">
        <v>251</v>
      </c>
      <c r="U183" s="1414"/>
      <c r="V183" s="1414"/>
      <c r="W183" s="1414"/>
      <c r="X183" s="1414"/>
      <c r="Y183" s="1414"/>
      <c r="Z183" s="1414"/>
      <c r="AA183" s="1414"/>
      <c r="AB183" s="1414"/>
      <c r="AC183" s="1414"/>
      <c r="AD183" s="488">
        <f t="shared" si="13"/>
        <v>0</v>
      </c>
      <c r="AE183" s="565">
        <f t="shared" si="14"/>
        <v>0</v>
      </c>
      <c r="AF183" s="566">
        <f t="shared" si="10"/>
        <v>240</v>
      </c>
    </row>
    <row r="184" spans="1:32" x14ac:dyDescent="0.3">
      <c r="A184" s="10" t="s">
        <v>4</v>
      </c>
      <c r="B184" s="11" t="s">
        <v>185</v>
      </c>
      <c r="C184" s="485"/>
      <c r="D184" s="489" t="s">
        <v>251</v>
      </c>
      <c r="E184" s="489" t="s">
        <v>251</v>
      </c>
      <c r="F184" s="489" t="s">
        <v>251</v>
      </c>
      <c r="G184" s="489" t="s">
        <v>251</v>
      </c>
      <c r="H184" s="489" t="s">
        <v>251</v>
      </c>
      <c r="I184" s="489" t="s">
        <v>251</v>
      </c>
      <c r="J184" s="489" t="s">
        <v>251</v>
      </c>
      <c r="K184" s="489"/>
      <c r="L184" s="489" t="s">
        <v>251</v>
      </c>
      <c r="M184" s="489" t="s">
        <v>251</v>
      </c>
      <c r="N184" s="489" t="s">
        <v>251</v>
      </c>
      <c r="O184" s="489" t="s">
        <v>251</v>
      </c>
      <c r="P184" s="1494">
        <f t="shared" si="11"/>
        <v>0</v>
      </c>
      <c r="Q184" s="1439">
        <f t="shared" si="12"/>
        <v>0</v>
      </c>
      <c r="R184" s="1413" t="s">
        <v>251</v>
      </c>
      <c r="S184" s="1414" t="s">
        <v>251</v>
      </c>
      <c r="T184" s="1414" t="s">
        <v>251</v>
      </c>
      <c r="U184" s="1414"/>
      <c r="V184" s="1414"/>
      <c r="W184" s="1414"/>
      <c r="X184" s="1414"/>
      <c r="Y184" s="1414"/>
      <c r="Z184" s="1414"/>
      <c r="AA184" s="1414"/>
      <c r="AB184" s="1414"/>
      <c r="AC184" s="1414"/>
      <c r="AD184" s="488">
        <f t="shared" si="13"/>
        <v>0</v>
      </c>
      <c r="AE184" s="565">
        <f t="shared" si="14"/>
        <v>0</v>
      </c>
      <c r="AF184" s="566">
        <f t="shared" si="10"/>
        <v>240</v>
      </c>
    </row>
    <row r="185" spans="1:32" x14ac:dyDescent="0.3">
      <c r="A185" s="10" t="s">
        <v>4</v>
      </c>
      <c r="B185" s="11" t="s">
        <v>186</v>
      </c>
      <c r="C185" s="485"/>
      <c r="D185" s="489" t="s">
        <v>251</v>
      </c>
      <c r="E185" s="489" t="s">
        <v>251</v>
      </c>
      <c r="F185" s="489" t="s">
        <v>251</v>
      </c>
      <c r="G185" s="489" t="s">
        <v>251</v>
      </c>
      <c r="H185" s="489" t="s">
        <v>251</v>
      </c>
      <c r="I185" s="489" t="s">
        <v>251</v>
      </c>
      <c r="J185" s="489" t="s">
        <v>251</v>
      </c>
      <c r="K185" s="489"/>
      <c r="L185" s="489" t="s">
        <v>251</v>
      </c>
      <c r="M185" s="489" t="s">
        <v>251</v>
      </c>
      <c r="N185" s="489" t="s">
        <v>251</v>
      </c>
      <c r="O185" s="489" t="s">
        <v>251</v>
      </c>
      <c r="P185" s="1494">
        <f t="shared" si="11"/>
        <v>0</v>
      </c>
      <c r="Q185" s="1439">
        <f t="shared" si="12"/>
        <v>0</v>
      </c>
      <c r="R185" s="1413" t="s">
        <v>251</v>
      </c>
      <c r="S185" s="1414" t="s">
        <v>251</v>
      </c>
      <c r="T185" s="1414" t="s">
        <v>251</v>
      </c>
      <c r="U185" s="1414"/>
      <c r="V185" s="1414"/>
      <c r="W185" s="1414"/>
      <c r="X185" s="1414"/>
      <c r="Y185" s="1414"/>
      <c r="Z185" s="1414"/>
      <c r="AA185" s="1414"/>
      <c r="AB185" s="1414"/>
      <c r="AC185" s="1414"/>
      <c r="AD185" s="488">
        <f t="shared" si="13"/>
        <v>0</v>
      </c>
      <c r="AE185" s="565">
        <f t="shared" si="14"/>
        <v>0</v>
      </c>
      <c r="AF185" s="566">
        <f t="shared" si="10"/>
        <v>240</v>
      </c>
    </row>
    <row r="186" spans="1:32" x14ac:dyDescent="0.3">
      <c r="A186" s="10" t="s">
        <v>4</v>
      </c>
      <c r="B186" s="11" t="s">
        <v>187</v>
      </c>
      <c r="C186" s="485"/>
      <c r="D186" s="489" t="s">
        <v>251</v>
      </c>
      <c r="E186" s="489" t="s">
        <v>251</v>
      </c>
      <c r="F186" s="489" t="s">
        <v>251</v>
      </c>
      <c r="G186" s="489" t="s">
        <v>251</v>
      </c>
      <c r="H186" s="489" t="s">
        <v>251</v>
      </c>
      <c r="I186" s="489" t="s">
        <v>251</v>
      </c>
      <c r="J186" s="489" t="s">
        <v>251</v>
      </c>
      <c r="K186" s="489"/>
      <c r="L186" s="489" t="s">
        <v>251</v>
      </c>
      <c r="M186" s="489" t="s">
        <v>251</v>
      </c>
      <c r="N186" s="489" t="s">
        <v>251</v>
      </c>
      <c r="O186" s="489" t="s">
        <v>251</v>
      </c>
      <c r="P186" s="1494">
        <f t="shared" si="11"/>
        <v>0</v>
      </c>
      <c r="Q186" s="1439">
        <f t="shared" si="12"/>
        <v>0</v>
      </c>
      <c r="R186" s="1413" t="s">
        <v>251</v>
      </c>
      <c r="S186" s="1414" t="s">
        <v>251</v>
      </c>
      <c r="T186" s="1414" t="s">
        <v>251</v>
      </c>
      <c r="U186" s="1414"/>
      <c r="V186" s="1414"/>
      <c r="W186" s="1414"/>
      <c r="X186" s="1414"/>
      <c r="Y186" s="1414"/>
      <c r="Z186" s="1414"/>
      <c r="AA186" s="1414"/>
      <c r="AB186" s="1414"/>
      <c r="AC186" s="1414"/>
      <c r="AD186" s="488">
        <f t="shared" si="13"/>
        <v>0</v>
      </c>
      <c r="AE186" s="565">
        <f t="shared" si="14"/>
        <v>0</v>
      </c>
      <c r="AF186" s="566">
        <f t="shared" si="10"/>
        <v>240</v>
      </c>
    </row>
    <row r="187" spans="1:32" x14ac:dyDescent="0.3">
      <c r="A187" s="10" t="s">
        <v>4</v>
      </c>
      <c r="B187" s="11" t="s">
        <v>188</v>
      </c>
      <c r="C187" s="485"/>
      <c r="D187" s="489" t="s">
        <v>251</v>
      </c>
      <c r="E187" s="489" t="s">
        <v>251</v>
      </c>
      <c r="F187" s="489" t="s">
        <v>251</v>
      </c>
      <c r="G187" s="489" t="s">
        <v>251</v>
      </c>
      <c r="H187" s="489" t="s">
        <v>251</v>
      </c>
      <c r="I187" s="489" t="s">
        <v>251</v>
      </c>
      <c r="J187" s="489" t="s">
        <v>251</v>
      </c>
      <c r="K187" s="489"/>
      <c r="L187" s="489" t="s">
        <v>251</v>
      </c>
      <c r="M187" s="489" t="s">
        <v>251</v>
      </c>
      <c r="N187" s="489" t="s">
        <v>251</v>
      </c>
      <c r="O187" s="489" t="s">
        <v>251</v>
      </c>
      <c r="P187" s="1494">
        <f t="shared" si="11"/>
        <v>0</v>
      </c>
      <c r="Q187" s="1439">
        <f t="shared" si="12"/>
        <v>0</v>
      </c>
      <c r="R187" s="1413" t="s">
        <v>251</v>
      </c>
      <c r="S187" s="1414" t="s">
        <v>251</v>
      </c>
      <c r="T187" s="1414" t="s">
        <v>251</v>
      </c>
      <c r="U187" s="1414"/>
      <c r="V187" s="1414"/>
      <c r="W187" s="1414"/>
      <c r="X187" s="1414"/>
      <c r="Y187" s="1414"/>
      <c r="Z187" s="1414"/>
      <c r="AA187" s="1414"/>
      <c r="AB187" s="1414"/>
      <c r="AC187" s="1414"/>
      <c r="AD187" s="488">
        <f t="shared" si="13"/>
        <v>0</v>
      </c>
      <c r="AE187" s="565">
        <f t="shared" si="14"/>
        <v>0</v>
      </c>
      <c r="AF187" s="566">
        <f t="shared" si="10"/>
        <v>240</v>
      </c>
    </row>
    <row r="188" spans="1:32" x14ac:dyDescent="0.3">
      <c r="A188" s="10" t="s">
        <v>4</v>
      </c>
      <c r="B188" s="11" t="s">
        <v>189</v>
      </c>
      <c r="C188" s="485"/>
      <c r="D188" s="489" t="s">
        <v>251</v>
      </c>
      <c r="E188" s="489" t="s">
        <v>251</v>
      </c>
      <c r="F188" s="489" t="s">
        <v>251</v>
      </c>
      <c r="G188" s="489" t="s">
        <v>251</v>
      </c>
      <c r="H188" s="489" t="s">
        <v>251</v>
      </c>
      <c r="I188" s="489" t="s">
        <v>251</v>
      </c>
      <c r="J188" s="489" t="s">
        <v>251</v>
      </c>
      <c r="K188" s="489"/>
      <c r="L188" s="489" t="s">
        <v>251</v>
      </c>
      <c r="M188" s="489" t="s">
        <v>251</v>
      </c>
      <c r="N188" s="489" t="s">
        <v>251</v>
      </c>
      <c r="O188" s="489" t="s">
        <v>251</v>
      </c>
      <c r="P188" s="1494">
        <f t="shared" si="11"/>
        <v>0</v>
      </c>
      <c r="Q188" s="1439">
        <f t="shared" si="12"/>
        <v>0</v>
      </c>
      <c r="R188" s="1413" t="s">
        <v>251</v>
      </c>
      <c r="S188" s="1414" t="s">
        <v>251</v>
      </c>
      <c r="T188" s="1414" t="s">
        <v>251</v>
      </c>
      <c r="U188" s="1414"/>
      <c r="V188" s="1414"/>
      <c r="W188" s="1414"/>
      <c r="X188" s="1414"/>
      <c r="Y188" s="1414"/>
      <c r="Z188" s="1414"/>
      <c r="AA188" s="1414"/>
      <c r="AB188" s="1414"/>
      <c r="AC188" s="1414"/>
      <c r="AD188" s="488">
        <f t="shared" si="13"/>
        <v>0</v>
      </c>
      <c r="AE188" s="565">
        <f t="shared" si="14"/>
        <v>0</v>
      </c>
      <c r="AF188" s="566">
        <f t="shared" si="10"/>
        <v>240</v>
      </c>
    </row>
    <row r="189" spans="1:32" x14ac:dyDescent="0.3">
      <c r="A189" s="10" t="s">
        <v>4</v>
      </c>
      <c r="B189" s="11" t="s">
        <v>616</v>
      </c>
      <c r="C189" s="485"/>
      <c r="D189" s="489">
        <v>0</v>
      </c>
      <c r="E189" s="489">
        <v>0</v>
      </c>
      <c r="F189" s="489">
        <v>0</v>
      </c>
      <c r="G189" s="489">
        <v>0</v>
      </c>
      <c r="H189" s="489">
        <v>456730</v>
      </c>
      <c r="I189" s="489">
        <v>409210</v>
      </c>
      <c r="J189" s="489">
        <v>0</v>
      </c>
      <c r="K189" s="489"/>
      <c r="L189" s="489">
        <v>0</v>
      </c>
      <c r="M189" s="489">
        <v>0</v>
      </c>
      <c r="N189" s="489">
        <v>0</v>
      </c>
      <c r="O189" s="489">
        <v>0</v>
      </c>
      <c r="P189" s="1494">
        <f t="shared" si="11"/>
        <v>865940</v>
      </c>
      <c r="Q189" s="1439">
        <f t="shared" si="12"/>
        <v>865940</v>
      </c>
      <c r="R189" s="1413" t="s">
        <v>251</v>
      </c>
      <c r="S189" s="1414" t="s">
        <v>251</v>
      </c>
      <c r="T189" s="1414" t="s">
        <v>251</v>
      </c>
      <c r="U189" s="1414"/>
      <c r="V189" s="1414"/>
      <c r="W189" s="1414"/>
      <c r="X189" s="1414"/>
      <c r="Y189" s="1414"/>
      <c r="Z189" s="1414"/>
      <c r="AA189" s="1414"/>
      <c r="AB189" s="1414"/>
      <c r="AC189" s="1414"/>
      <c r="AD189" s="488">
        <f t="shared" si="13"/>
        <v>0</v>
      </c>
      <c r="AE189" s="565">
        <f t="shared" si="14"/>
        <v>-1</v>
      </c>
      <c r="AF189" s="566">
        <f t="shared" si="10"/>
        <v>240</v>
      </c>
    </row>
    <row r="190" spans="1:32" x14ac:dyDescent="0.3">
      <c r="A190" s="10" t="s">
        <v>4</v>
      </c>
      <c r="B190" s="11" t="s">
        <v>191</v>
      </c>
      <c r="C190" s="485"/>
      <c r="D190" s="489" t="s">
        <v>251</v>
      </c>
      <c r="E190" s="489" t="s">
        <v>251</v>
      </c>
      <c r="F190" s="489" t="s">
        <v>251</v>
      </c>
      <c r="G190" s="489" t="s">
        <v>251</v>
      </c>
      <c r="H190" s="489" t="s">
        <v>251</v>
      </c>
      <c r="I190" s="489" t="s">
        <v>251</v>
      </c>
      <c r="J190" s="489" t="s">
        <v>251</v>
      </c>
      <c r="K190" s="489"/>
      <c r="L190" s="489" t="s">
        <v>251</v>
      </c>
      <c r="M190" s="489" t="s">
        <v>251</v>
      </c>
      <c r="N190" s="489" t="s">
        <v>251</v>
      </c>
      <c r="O190" s="489" t="s">
        <v>251</v>
      </c>
      <c r="P190" s="1494">
        <f t="shared" si="11"/>
        <v>0</v>
      </c>
      <c r="Q190" s="1439">
        <f t="shared" si="12"/>
        <v>0</v>
      </c>
      <c r="R190" s="1413" t="s">
        <v>251</v>
      </c>
      <c r="S190" s="1414" t="s">
        <v>251</v>
      </c>
      <c r="T190" s="1414" t="s">
        <v>251</v>
      </c>
      <c r="U190" s="1414"/>
      <c r="V190" s="1414"/>
      <c r="W190" s="1414"/>
      <c r="X190" s="1414"/>
      <c r="Y190" s="1414"/>
      <c r="Z190" s="1414"/>
      <c r="AA190" s="1414"/>
      <c r="AB190" s="1414"/>
      <c r="AC190" s="1414"/>
      <c r="AD190" s="488">
        <f t="shared" si="13"/>
        <v>0</v>
      </c>
      <c r="AE190" s="565">
        <f t="shared" si="14"/>
        <v>0</v>
      </c>
      <c r="AF190" s="566">
        <f t="shared" si="10"/>
        <v>240</v>
      </c>
    </row>
    <row r="191" spans="1:32" x14ac:dyDescent="0.3">
      <c r="A191" s="10" t="s">
        <v>4</v>
      </c>
      <c r="B191" s="11" t="s">
        <v>192</v>
      </c>
      <c r="C191" s="485"/>
      <c r="D191" s="489">
        <v>0</v>
      </c>
      <c r="E191" s="489">
        <v>0</v>
      </c>
      <c r="F191" s="489">
        <v>0</v>
      </c>
      <c r="G191" s="489">
        <v>0</v>
      </c>
      <c r="H191" s="489">
        <v>0</v>
      </c>
      <c r="I191" s="489">
        <v>0</v>
      </c>
      <c r="J191" s="489">
        <v>0</v>
      </c>
      <c r="K191" s="489"/>
      <c r="L191" s="489">
        <v>516100</v>
      </c>
      <c r="M191" s="489">
        <v>0</v>
      </c>
      <c r="N191" s="489">
        <v>0</v>
      </c>
      <c r="O191" s="489">
        <v>0</v>
      </c>
      <c r="P191" s="1494">
        <f t="shared" si="11"/>
        <v>0</v>
      </c>
      <c r="Q191" s="1439">
        <f t="shared" si="12"/>
        <v>516100</v>
      </c>
      <c r="R191" s="1413" t="s">
        <v>251</v>
      </c>
      <c r="S191" s="1414" t="s">
        <v>251</v>
      </c>
      <c r="T191" s="1414" t="s">
        <v>251</v>
      </c>
      <c r="U191" s="1414"/>
      <c r="V191" s="1414"/>
      <c r="W191" s="1414"/>
      <c r="X191" s="1414">
        <v>96450</v>
      </c>
      <c r="Y191" s="1414">
        <v>28490</v>
      </c>
      <c r="Z191" s="1414"/>
      <c r="AA191" s="1414"/>
      <c r="AB191" s="1414"/>
      <c r="AC191" s="1414"/>
      <c r="AD191" s="488">
        <f t="shared" si="13"/>
        <v>124940</v>
      </c>
      <c r="AE191" s="565">
        <f t="shared" si="14"/>
        <v>1</v>
      </c>
      <c r="AF191" s="566">
        <f t="shared" si="10"/>
        <v>204</v>
      </c>
    </row>
    <row r="192" spans="1:32" x14ac:dyDescent="0.3">
      <c r="A192" s="10" t="s">
        <v>4</v>
      </c>
      <c r="B192" s="11" t="s">
        <v>193</v>
      </c>
      <c r="C192" s="485"/>
      <c r="D192" s="489">
        <v>0</v>
      </c>
      <c r="E192" s="489">
        <v>0</v>
      </c>
      <c r="F192" s="489">
        <v>0</v>
      </c>
      <c r="G192" s="489">
        <v>0</v>
      </c>
      <c r="H192" s="489">
        <v>5558250</v>
      </c>
      <c r="I192" s="489">
        <v>4015300</v>
      </c>
      <c r="J192" s="489">
        <v>0</v>
      </c>
      <c r="K192" s="489">
        <v>0</v>
      </c>
      <c r="L192" s="489">
        <v>0</v>
      </c>
      <c r="M192" s="489">
        <v>0</v>
      </c>
      <c r="N192" s="489">
        <v>0</v>
      </c>
      <c r="O192" s="489">
        <v>0</v>
      </c>
      <c r="P192" s="1494">
        <f t="shared" si="11"/>
        <v>9573550</v>
      </c>
      <c r="Q192" s="1439">
        <f t="shared" si="12"/>
        <v>9573550</v>
      </c>
      <c r="R192" s="1413" t="s">
        <v>251</v>
      </c>
      <c r="S192" s="1414" t="s">
        <v>251</v>
      </c>
      <c r="T192" s="1414" t="s">
        <v>251</v>
      </c>
      <c r="U192" s="1414"/>
      <c r="V192" s="1414"/>
      <c r="W192" s="1414"/>
      <c r="X192" s="1414"/>
      <c r="Y192" s="1414"/>
      <c r="Z192" s="1414"/>
      <c r="AA192" s="1414"/>
      <c r="AB192" s="1414"/>
      <c r="AC192" s="1414"/>
      <c r="AD192" s="488">
        <f t="shared" si="13"/>
        <v>0</v>
      </c>
      <c r="AE192" s="565">
        <f t="shared" si="14"/>
        <v>-1</v>
      </c>
      <c r="AF192" s="566">
        <f t="shared" si="10"/>
        <v>240</v>
      </c>
    </row>
    <row r="193" spans="1:32" x14ac:dyDescent="0.3">
      <c r="A193" s="10" t="s">
        <v>4</v>
      </c>
      <c r="B193" s="11" t="s">
        <v>194</v>
      </c>
      <c r="C193" s="485"/>
      <c r="D193" s="489" t="s">
        <v>251</v>
      </c>
      <c r="E193" s="489" t="s">
        <v>251</v>
      </c>
      <c r="F193" s="489" t="s">
        <v>251</v>
      </c>
      <c r="G193" s="489" t="s">
        <v>251</v>
      </c>
      <c r="H193" s="489" t="s">
        <v>251</v>
      </c>
      <c r="I193" s="489" t="s">
        <v>251</v>
      </c>
      <c r="J193" s="489" t="s">
        <v>251</v>
      </c>
      <c r="K193" s="489"/>
      <c r="L193" s="489" t="s">
        <v>251</v>
      </c>
      <c r="M193" s="489" t="s">
        <v>251</v>
      </c>
      <c r="N193" s="489" t="s">
        <v>251</v>
      </c>
      <c r="O193" s="489" t="s">
        <v>251</v>
      </c>
      <c r="P193" s="1494">
        <f t="shared" si="11"/>
        <v>0</v>
      </c>
      <c r="Q193" s="1439">
        <f t="shared" si="12"/>
        <v>0</v>
      </c>
      <c r="R193" s="1413">
        <v>1616290</v>
      </c>
      <c r="S193" s="1414" t="s">
        <v>251</v>
      </c>
      <c r="T193" s="1414">
        <v>0</v>
      </c>
      <c r="U193" s="1414">
        <v>0</v>
      </c>
      <c r="V193" s="1414">
        <v>0</v>
      </c>
      <c r="W193" s="1414">
        <v>0</v>
      </c>
      <c r="X193" s="1414">
        <v>0</v>
      </c>
      <c r="Y193" s="1414">
        <v>0</v>
      </c>
      <c r="Z193" s="1414"/>
      <c r="AA193" s="1414"/>
      <c r="AB193" s="1414"/>
      <c r="AC193" s="1414"/>
      <c r="AD193" s="488">
        <f t="shared" si="13"/>
        <v>1616290</v>
      </c>
      <c r="AE193" s="565">
        <f t="shared" si="14"/>
        <v>1</v>
      </c>
      <c r="AF193" s="566">
        <f t="shared" si="10"/>
        <v>130</v>
      </c>
    </row>
    <row r="194" spans="1:32" x14ac:dyDescent="0.3">
      <c r="A194" s="10" t="s">
        <v>4</v>
      </c>
      <c r="B194" s="11" t="s">
        <v>195</v>
      </c>
      <c r="C194" s="485"/>
      <c r="D194" s="489" t="s">
        <v>251</v>
      </c>
      <c r="E194" s="489" t="s">
        <v>251</v>
      </c>
      <c r="F194" s="489" t="s">
        <v>251</v>
      </c>
      <c r="G194" s="489" t="s">
        <v>251</v>
      </c>
      <c r="H194" s="489" t="s">
        <v>251</v>
      </c>
      <c r="I194" s="489" t="s">
        <v>251</v>
      </c>
      <c r="J194" s="489" t="s">
        <v>251</v>
      </c>
      <c r="K194" s="489"/>
      <c r="L194" s="489" t="s">
        <v>251</v>
      </c>
      <c r="M194" s="489" t="s">
        <v>251</v>
      </c>
      <c r="N194" s="489" t="s">
        <v>251</v>
      </c>
      <c r="O194" s="489" t="s">
        <v>251</v>
      </c>
      <c r="P194" s="1494">
        <f t="shared" si="11"/>
        <v>0</v>
      </c>
      <c r="Q194" s="1439">
        <f t="shared" si="12"/>
        <v>0</v>
      </c>
      <c r="R194" s="1413" t="s">
        <v>251</v>
      </c>
      <c r="S194" s="1414" t="s">
        <v>251</v>
      </c>
      <c r="T194" s="1414" t="s">
        <v>251</v>
      </c>
      <c r="U194" s="1414"/>
      <c r="V194" s="1414"/>
      <c r="W194" s="1414"/>
      <c r="X194" s="1414"/>
      <c r="Y194" s="1414"/>
      <c r="Z194" s="1414"/>
      <c r="AA194" s="1414"/>
      <c r="AB194" s="1414"/>
      <c r="AC194" s="1414"/>
      <c r="AD194" s="488">
        <f t="shared" si="13"/>
        <v>0</v>
      </c>
      <c r="AE194" s="565">
        <f t="shared" si="14"/>
        <v>0</v>
      </c>
      <c r="AF194" s="566">
        <f t="shared" ref="AF194:AF257" si="15">IFERROR(_xlfn.RANK.EQ(AD194, $AD$2:$AD$450), "")</f>
        <v>240</v>
      </c>
    </row>
    <row r="195" spans="1:32" x14ac:dyDescent="0.3">
      <c r="A195" s="10" t="s">
        <v>4</v>
      </c>
      <c r="B195" s="11" t="s">
        <v>196</v>
      </c>
      <c r="C195" s="485"/>
      <c r="D195" s="489">
        <v>0</v>
      </c>
      <c r="E195" s="489">
        <v>0</v>
      </c>
      <c r="F195" s="489">
        <v>0</v>
      </c>
      <c r="G195" s="489">
        <v>0</v>
      </c>
      <c r="H195" s="489">
        <v>386900</v>
      </c>
      <c r="I195" s="489">
        <v>0</v>
      </c>
      <c r="J195" s="489">
        <v>0</v>
      </c>
      <c r="K195" s="489">
        <v>0</v>
      </c>
      <c r="L195" s="489">
        <v>0</v>
      </c>
      <c r="M195" s="489">
        <v>0</v>
      </c>
      <c r="N195" s="489">
        <v>0</v>
      </c>
      <c r="O195" s="489">
        <v>599580</v>
      </c>
      <c r="P195" s="1494">
        <f t="shared" ref="P195:P258" si="16">SUM(C195:I195,K195)</f>
        <v>386900</v>
      </c>
      <c r="Q195" s="1439">
        <f t="shared" ref="Q195:Q258" si="17">SUM(C195:J195,L195:O195)</f>
        <v>986480</v>
      </c>
      <c r="R195" s="1413" t="s">
        <v>251</v>
      </c>
      <c r="S195" s="1414" t="s">
        <v>251</v>
      </c>
      <c r="T195" s="1414" t="s">
        <v>251</v>
      </c>
      <c r="U195" s="1414"/>
      <c r="V195" s="1414"/>
      <c r="W195" s="1414"/>
      <c r="X195" s="1414"/>
      <c r="Y195" s="1414"/>
      <c r="Z195" s="1414"/>
      <c r="AA195" s="1414"/>
      <c r="AB195" s="1414"/>
      <c r="AC195" s="1414"/>
      <c r="AD195" s="488">
        <f t="shared" ref="AD195:AD258" si="18">SUM(R195:AC195)</f>
        <v>0</v>
      </c>
      <c r="AE195" s="565">
        <f t="shared" ref="AE195:AE258" si="19">IF(OR(AD195="", P195=""), 0, IFERROR((AD195-P195)/P195, IF(AD195&lt;&gt;0, 1, 0)))</f>
        <v>-1</v>
      </c>
      <c r="AF195" s="566">
        <f t="shared" si="15"/>
        <v>240</v>
      </c>
    </row>
    <row r="196" spans="1:32" x14ac:dyDescent="0.3">
      <c r="A196" s="10" t="s">
        <v>4</v>
      </c>
      <c r="B196" s="11" t="s">
        <v>197</v>
      </c>
      <c r="C196" s="485"/>
      <c r="D196" s="489" t="s">
        <v>251</v>
      </c>
      <c r="E196" s="489" t="s">
        <v>251</v>
      </c>
      <c r="F196" s="489" t="s">
        <v>251</v>
      </c>
      <c r="G196" s="489" t="s">
        <v>251</v>
      </c>
      <c r="H196" s="489" t="s">
        <v>251</v>
      </c>
      <c r="I196" s="489" t="s">
        <v>251</v>
      </c>
      <c r="J196" s="489" t="s">
        <v>251</v>
      </c>
      <c r="K196" s="489"/>
      <c r="L196" s="489" t="s">
        <v>251</v>
      </c>
      <c r="M196" s="489" t="s">
        <v>251</v>
      </c>
      <c r="N196" s="489" t="s">
        <v>251</v>
      </c>
      <c r="O196" s="489" t="s">
        <v>251</v>
      </c>
      <c r="P196" s="1494">
        <f t="shared" si="16"/>
        <v>0</v>
      </c>
      <c r="Q196" s="1439">
        <f t="shared" si="17"/>
        <v>0</v>
      </c>
      <c r="R196" s="1413" t="s">
        <v>251</v>
      </c>
      <c r="S196" s="1414" t="s">
        <v>251</v>
      </c>
      <c r="T196" s="1414" t="s">
        <v>251</v>
      </c>
      <c r="U196" s="1414"/>
      <c r="V196" s="1414"/>
      <c r="W196" s="1414"/>
      <c r="X196" s="1414"/>
      <c r="Y196" s="1414"/>
      <c r="Z196" s="1414"/>
      <c r="AA196" s="1414"/>
      <c r="AB196" s="1414"/>
      <c r="AC196" s="1414"/>
      <c r="AD196" s="488">
        <f t="shared" si="18"/>
        <v>0</v>
      </c>
      <c r="AE196" s="565">
        <f t="shared" si="19"/>
        <v>0</v>
      </c>
      <c r="AF196" s="566">
        <f t="shared" si="15"/>
        <v>240</v>
      </c>
    </row>
    <row r="197" spans="1:32" x14ac:dyDescent="0.3">
      <c r="A197" s="10" t="s">
        <v>4</v>
      </c>
      <c r="B197" s="11" t="s">
        <v>617</v>
      </c>
      <c r="C197" s="485"/>
      <c r="D197" s="489" t="s">
        <v>251</v>
      </c>
      <c r="E197" s="489" t="s">
        <v>251</v>
      </c>
      <c r="F197" s="489" t="s">
        <v>251</v>
      </c>
      <c r="G197" s="489" t="s">
        <v>251</v>
      </c>
      <c r="H197" s="489" t="s">
        <v>251</v>
      </c>
      <c r="I197" s="489" t="s">
        <v>251</v>
      </c>
      <c r="J197" s="489" t="s">
        <v>251</v>
      </c>
      <c r="K197" s="489"/>
      <c r="L197" s="489" t="s">
        <v>251</v>
      </c>
      <c r="M197" s="489" t="s">
        <v>251</v>
      </c>
      <c r="N197" s="489" t="s">
        <v>251</v>
      </c>
      <c r="O197" s="489" t="s">
        <v>251</v>
      </c>
      <c r="P197" s="1494">
        <f t="shared" si="16"/>
        <v>0</v>
      </c>
      <c r="Q197" s="1439">
        <f t="shared" si="17"/>
        <v>0</v>
      </c>
      <c r="R197" s="1413" t="s">
        <v>251</v>
      </c>
      <c r="S197" s="1414" t="s">
        <v>251</v>
      </c>
      <c r="T197" s="1414" t="s">
        <v>251</v>
      </c>
      <c r="U197" s="1414"/>
      <c r="V197" s="1414"/>
      <c r="W197" s="1414"/>
      <c r="X197" s="1414"/>
      <c r="Y197" s="1414"/>
      <c r="Z197" s="1414"/>
      <c r="AA197" s="1414"/>
      <c r="AB197" s="1414"/>
      <c r="AC197" s="1414"/>
      <c r="AD197" s="488">
        <f t="shared" si="18"/>
        <v>0</v>
      </c>
      <c r="AE197" s="565">
        <f t="shared" si="19"/>
        <v>0</v>
      </c>
      <c r="AF197" s="566">
        <f t="shared" si="15"/>
        <v>240</v>
      </c>
    </row>
    <row r="198" spans="1:32" x14ac:dyDescent="0.3">
      <c r="A198" s="10" t="s">
        <v>4</v>
      </c>
      <c r="B198" s="11" t="s">
        <v>514</v>
      </c>
      <c r="C198" s="485"/>
      <c r="D198" s="489" t="s">
        <v>251</v>
      </c>
      <c r="E198" s="489" t="s">
        <v>251</v>
      </c>
      <c r="F198" s="489" t="s">
        <v>251</v>
      </c>
      <c r="G198" s="489" t="s">
        <v>251</v>
      </c>
      <c r="H198" s="489" t="s">
        <v>251</v>
      </c>
      <c r="I198" s="489" t="s">
        <v>251</v>
      </c>
      <c r="J198" s="489" t="s">
        <v>251</v>
      </c>
      <c r="K198" s="489"/>
      <c r="L198" s="489" t="s">
        <v>251</v>
      </c>
      <c r="M198" s="489" t="s">
        <v>251</v>
      </c>
      <c r="N198" s="489" t="s">
        <v>251</v>
      </c>
      <c r="O198" s="489" t="s">
        <v>251</v>
      </c>
      <c r="P198" s="1494">
        <f t="shared" si="16"/>
        <v>0</v>
      </c>
      <c r="Q198" s="1439">
        <f t="shared" si="17"/>
        <v>0</v>
      </c>
      <c r="R198" s="1413" t="s">
        <v>251</v>
      </c>
      <c r="S198" s="1414" t="s">
        <v>251</v>
      </c>
      <c r="T198" s="1414" t="s">
        <v>251</v>
      </c>
      <c r="U198" s="1414"/>
      <c r="V198" s="1414"/>
      <c r="W198" s="1414"/>
      <c r="X198" s="1414"/>
      <c r="Y198" s="1414"/>
      <c r="Z198" s="1414"/>
      <c r="AA198" s="1414"/>
      <c r="AB198" s="1414"/>
      <c r="AC198" s="1414"/>
      <c r="AD198" s="488">
        <f t="shared" si="18"/>
        <v>0</v>
      </c>
      <c r="AE198" s="565">
        <f t="shared" si="19"/>
        <v>0</v>
      </c>
      <c r="AF198" s="566">
        <f t="shared" si="15"/>
        <v>240</v>
      </c>
    </row>
    <row r="199" spans="1:32" x14ac:dyDescent="0.3">
      <c r="A199" s="10" t="s">
        <v>4</v>
      </c>
      <c r="B199" s="11" t="s">
        <v>199</v>
      </c>
      <c r="C199" s="485"/>
      <c r="D199" s="489">
        <v>0</v>
      </c>
      <c r="E199" s="489">
        <v>0</v>
      </c>
      <c r="F199" s="489">
        <v>0</v>
      </c>
      <c r="G199" s="489">
        <v>0</v>
      </c>
      <c r="H199" s="489">
        <v>0</v>
      </c>
      <c r="I199" s="489">
        <v>0</v>
      </c>
      <c r="J199" s="489">
        <v>475150</v>
      </c>
      <c r="K199" s="489">
        <v>475150</v>
      </c>
      <c r="L199" s="489">
        <v>63480</v>
      </c>
      <c r="M199" s="489">
        <v>0</v>
      </c>
      <c r="N199" s="489">
        <v>0</v>
      </c>
      <c r="O199" s="489">
        <v>0</v>
      </c>
      <c r="P199" s="1494">
        <f t="shared" si="16"/>
        <v>475150</v>
      </c>
      <c r="Q199" s="1439">
        <f t="shared" si="17"/>
        <v>538630</v>
      </c>
      <c r="R199" s="1413">
        <v>66550</v>
      </c>
      <c r="S199" s="1414" t="s">
        <v>251</v>
      </c>
      <c r="T199" s="1414">
        <v>0</v>
      </c>
      <c r="U199" s="1414">
        <v>0</v>
      </c>
      <c r="V199" s="1414">
        <v>0</v>
      </c>
      <c r="W199" s="1414">
        <v>0</v>
      </c>
      <c r="X199" s="1414">
        <v>0</v>
      </c>
      <c r="Y199" s="1414">
        <v>0</v>
      </c>
      <c r="Z199" s="1414"/>
      <c r="AA199" s="1414"/>
      <c r="AB199" s="1414"/>
      <c r="AC199" s="1414"/>
      <c r="AD199" s="488">
        <f t="shared" si="18"/>
        <v>66550</v>
      </c>
      <c r="AE199" s="565">
        <f t="shared" si="19"/>
        <v>-0.859938966642113</v>
      </c>
      <c r="AF199" s="566">
        <f t="shared" si="15"/>
        <v>215</v>
      </c>
    </row>
    <row r="200" spans="1:32" x14ac:dyDescent="0.3">
      <c r="A200" s="10" t="s">
        <v>4</v>
      </c>
      <c r="B200" s="11" t="s">
        <v>200</v>
      </c>
      <c r="C200" s="485"/>
      <c r="D200" s="489" t="s">
        <v>251</v>
      </c>
      <c r="E200" s="489" t="s">
        <v>251</v>
      </c>
      <c r="F200" s="489" t="s">
        <v>251</v>
      </c>
      <c r="G200" s="489" t="s">
        <v>251</v>
      </c>
      <c r="H200" s="489" t="s">
        <v>251</v>
      </c>
      <c r="I200" s="489" t="s">
        <v>251</v>
      </c>
      <c r="J200" s="489" t="s">
        <v>251</v>
      </c>
      <c r="K200" s="489"/>
      <c r="L200" s="489" t="s">
        <v>251</v>
      </c>
      <c r="M200" s="489" t="s">
        <v>251</v>
      </c>
      <c r="N200" s="489" t="s">
        <v>251</v>
      </c>
      <c r="O200" s="489" t="s">
        <v>251</v>
      </c>
      <c r="P200" s="1494">
        <f t="shared" si="16"/>
        <v>0</v>
      </c>
      <c r="Q200" s="1439">
        <f t="shared" si="17"/>
        <v>0</v>
      </c>
      <c r="R200" s="1413" t="s">
        <v>251</v>
      </c>
      <c r="S200" s="1414" t="s">
        <v>251</v>
      </c>
      <c r="T200" s="1414" t="s">
        <v>251</v>
      </c>
      <c r="U200" s="1414"/>
      <c r="V200" s="1414"/>
      <c r="W200" s="1414"/>
      <c r="X200" s="1414"/>
      <c r="Y200" s="1414"/>
      <c r="Z200" s="1414"/>
      <c r="AA200" s="1414"/>
      <c r="AB200" s="1414"/>
      <c r="AC200" s="1414"/>
      <c r="AD200" s="488">
        <f t="shared" si="18"/>
        <v>0</v>
      </c>
      <c r="AE200" s="565">
        <f t="shared" si="19"/>
        <v>0</v>
      </c>
      <c r="AF200" s="566">
        <f t="shared" si="15"/>
        <v>240</v>
      </c>
    </row>
    <row r="201" spans="1:32" x14ac:dyDescent="0.3">
      <c r="A201" s="10" t="s">
        <v>4</v>
      </c>
      <c r="B201" s="11" t="s">
        <v>201</v>
      </c>
      <c r="C201" s="485"/>
      <c r="D201" s="489" t="s">
        <v>251</v>
      </c>
      <c r="E201" s="489" t="s">
        <v>251</v>
      </c>
      <c r="F201" s="489" t="s">
        <v>251</v>
      </c>
      <c r="G201" s="489" t="s">
        <v>251</v>
      </c>
      <c r="H201" s="489" t="s">
        <v>251</v>
      </c>
      <c r="I201" s="489" t="s">
        <v>251</v>
      </c>
      <c r="J201" s="489" t="s">
        <v>251</v>
      </c>
      <c r="K201" s="489"/>
      <c r="L201" s="489" t="s">
        <v>251</v>
      </c>
      <c r="M201" s="489" t="s">
        <v>251</v>
      </c>
      <c r="N201" s="489" t="s">
        <v>251</v>
      </c>
      <c r="O201" s="489" t="s">
        <v>251</v>
      </c>
      <c r="P201" s="1494">
        <f t="shared" si="16"/>
        <v>0</v>
      </c>
      <c r="Q201" s="1439">
        <f t="shared" si="17"/>
        <v>0</v>
      </c>
      <c r="R201" s="1413" t="s">
        <v>251</v>
      </c>
      <c r="S201" s="1414" t="s">
        <v>251</v>
      </c>
      <c r="T201" s="1414" t="s">
        <v>251</v>
      </c>
      <c r="U201" s="1414"/>
      <c r="V201" s="1414"/>
      <c r="W201" s="1414"/>
      <c r="X201" s="1414"/>
      <c r="Y201" s="1414"/>
      <c r="Z201" s="1414"/>
      <c r="AA201" s="1414"/>
      <c r="AB201" s="1414"/>
      <c r="AC201" s="1414"/>
      <c r="AD201" s="488">
        <f t="shared" si="18"/>
        <v>0</v>
      </c>
      <c r="AE201" s="565">
        <f t="shared" si="19"/>
        <v>0</v>
      </c>
      <c r="AF201" s="566">
        <f t="shared" si="15"/>
        <v>240</v>
      </c>
    </row>
    <row r="202" spans="1:32" x14ac:dyDescent="0.3">
      <c r="A202" s="10" t="s">
        <v>4</v>
      </c>
      <c r="B202" s="11" t="s">
        <v>202</v>
      </c>
      <c r="C202" s="485"/>
      <c r="D202" s="489" t="s">
        <v>251</v>
      </c>
      <c r="E202" s="489" t="s">
        <v>251</v>
      </c>
      <c r="F202" s="489" t="s">
        <v>251</v>
      </c>
      <c r="G202" s="489" t="s">
        <v>251</v>
      </c>
      <c r="H202" s="489" t="s">
        <v>251</v>
      </c>
      <c r="I202" s="489" t="s">
        <v>251</v>
      </c>
      <c r="J202" s="489" t="s">
        <v>251</v>
      </c>
      <c r="K202" s="489"/>
      <c r="L202" s="489" t="s">
        <v>251</v>
      </c>
      <c r="M202" s="489" t="s">
        <v>251</v>
      </c>
      <c r="N202" s="489" t="s">
        <v>251</v>
      </c>
      <c r="O202" s="489" t="s">
        <v>251</v>
      </c>
      <c r="P202" s="1494">
        <f t="shared" si="16"/>
        <v>0</v>
      </c>
      <c r="Q202" s="1439">
        <f t="shared" si="17"/>
        <v>0</v>
      </c>
      <c r="R202" s="1413" t="s">
        <v>251</v>
      </c>
      <c r="S202" s="1414">
        <v>403310</v>
      </c>
      <c r="T202" s="1414" t="s">
        <v>251</v>
      </c>
      <c r="U202" s="1414"/>
      <c r="V202" s="1414"/>
      <c r="W202" s="1414"/>
      <c r="X202" s="1414"/>
      <c r="Y202" s="1414"/>
      <c r="Z202" s="1414"/>
      <c r="AA202" s="1414"/>
      <c r="AB202" s="1414"/>
      <c r="AC202" s="1414"/>
      <c r="AD202" s="488">
        <f t="shared" si="18"/>
        <v>403310</v>
      </c>
      <c r="AE202" s="565">
        <f t="shared" si="19"/>
        <v>1</v>
      </c>
      <c r="AF202" s="566">
        <f t="shared" si="15"/>
        <v>185</v>
      </c>
    </row>
    <row r="203" spans="1:32" x14ac:dyDescent="0.3">
      <c r="A203" s="10" t="s">
        <v>4</v>
      </c>
      <c r="B203" s="11" t="s">
        <v>203</v>
      </c>
      <c r="C203" s="485"/>
      <c r="D203" s="489" t="s">
        <v>251</v>
      </c>
      <c r="E203" s="489" t="s">
        <v>251</v>
      </c>
      <c r="F203" s="489" t="s">
        <v>251</v>
      </c>
      <c r="G203" s="489" t="s">
        <v>251</v>
      </c>
      <c r="H203" s="489" t="s">
        <v>251</v>
      </c>
      <c r="I203" s="489" t="s">
        <v>251</v>
      </c>
      <c r="J203" s="489" t="s">
        <v>251</v>
      </c>
      <c r="K203" s="489"/>
      <c r="L203" s="489" t="s">
        <v>251</v>
      </c>
      <c r="M203" s="489" t="s">
        <v>251</v>
      </c>
      <c r="N203" s="489" t="s">
        <v>251</v>
      </c>
      <c r="O203" s="489" t="s">
        <v>251</v>
      </c>
      <c r="P203" s="1494">
        <f t="shared" si="16"/>
        <v>0</v>
      </c>
      <c r="Q203" s="1439">
        <f t="shared" si="17"/>
        <v>0</v>
      </c>
      <c r="R203" s="1413" t="s">
        <v>251</v>
      </c>
      <c r="S203" s="1414" t="s">
        <v>251</v>
      </c>
      <c r="T203" s="1414" t="s">
        <v>251</v>
      </c>
      <c r="U203" s="1414"/>
      <c r="V203" s="1414"/>
      <c r="W203" s="1414"/>
      <c r="X203" s="1414"/>
      <c r="Y203" s="1414"/>
      <c r="Z203" s="1414"/>
      <c r="AA203" s="1414"/>
      <c r="AB203" s="1414"/>
      <c r="AC203" s="1414"/>
      <c r="AD203" s="488">
        <f t="shared" si="18"/>
        <v>0</v>
      </c>
      <c r="AE203" s="565">
        <f t="shared" si="19"/>
        <v>0</v>
      </c>
      <c r="AF203" s="566">
        <f t="shared" si="15"/>
        <v>240</v>
      </c>
    </row>
    <row r="204" spans="1:32" x14ac:dyDescent="0.3">
      <c r="A204" s="10" t="s">
        <v>4</v>
      </c>
      <c r="B204" s="11" t="s">
        <v>204</v>
      </c>
      <c r="C204" s="485"/>
      <c r="D204" s="489" t="s">
        <v>251</v>
      </c>
      <c r="E204" s="489" t="s">
        <v>251</v>
      </c>
      <c r="F204" s="489" t="s">
        <v>251</v>
      </c>
      <c r="G204" s="489" t="s">
        <v>251</v>
      </c>
      <c r="H204" s="489" t="s">
        <v>251</v>
      </c>
      <c r="I204" s="489" t="s">
        <v>251</v>
      </c>
      <c r="J204" s="489" t="s">
        <v>251</v>
      </c>
      <c r="K204" s="489"/>
      <c r="L204" s="489" t="s">
        <v>251</v>
      </c>
      <c r="M204" s="489" t="s">
        <v>251</v>
      </c>
      <c r="N204" s="489" t="s">
        <v>251</v>
      </c>
      <c r="O204" s="489" t="s">
        <v>251</v>
      </c>
      <c r="P204" s="1494">
        <f t="shared" si="16"/>
        <v>0</v>
      </c>
      <c r="Q204" s="1439">
        <f t="shared" si="17"/>
        <v>0</v>
      </c>
      <c r="R204" s="1413" t="s">
        <v>251</v>
      </c>
      <c r="S204" s="1414" t="s">
        <v>251</v>
      </c>
      <c r="T204" s="1414" t="s">
        <v>251</v>
      </c>
      <c r="U204" s="1414"/>
      <c r="V204" s="1414"/>
      <c r="W204" s="1414"/>
      <c r="X204" s="1414"/>
      <c r="Y204" s="1414"/>
      <c r="Z204" s="1414"/>
      <c r="AA204" s="1414"/>
      <c r="AB204" s="1414"/>
      <c r="AC204" s="1414"/>
      <c r="AD204" s="488">
        <f t="shared" si="18"/>
        <v>0</v>
      </c>
      <c r="AE204" s="565">
        <f t="shared" si="19"/>
        <v>0</v>
      </c>
      <c r="AF204" s="566">
        <f t="shared" si="15"/>
        <v>240</v>
      </c>
    </row>
    <row r="205" spans="1:32" x14ac:dyDescent="0.3">
      <c r="A205" s="10" t="s">
        <v>4</v>
      </c>
      <c r="B205" s="11" t="s">
        <v>205</v>
      </c>
      <c r="C205" s="485"/>
      <c r="D205" s="489" t="s">
        <v>251</v>
      </c>
      <c r="E205" s="489" t="s">
        <v>251</v>
      </c>
      <c r="F205" s="489" t="s">
        <v>251</v>
      </c>
      <c r="G205" s="489" t="s">
        <v>251</v>
      </c>
      <c r="H205" s="489" t="s">
        <v>251</v>
      </c>
      <c r="I205" s="489" t="s">
        <v>251</v>
      </c>
      <c r="J205" s="489" t="s">
        <v>251</v>
      </c>
      <c r="K205" s="489"/>
      <c r="L205" s="489" t="s">
        <v>251</v>
      </c>
      <c r="M205" s="489" t="s">
        <v>251</v>
      </c>
      <c r="N205" s="489" t="s">
        <v>251</v>
      </c>
      <c r="O205" s="489" t="s">
        <v>251</v>
      </c>
      <c r="P205" s="1494">
        <f t="shared" si="16"/>
        <v>0</v>
      </c>
      <c r="Q205" s="1439">
        <f t="shared" si="17"/>
        <v>0</v>
      </c>
      <c r="R205" s="1413" t="s">
        <v>251</v>
      </c>
      <c r="S205" s="1414" t="s">
        <v>251</v>
      </c>
      <c r="T205" s="1414" t="s">
        <v>251</v>
      </c>
      <c r="U205" s="1414"/>
      <c r="V205" s="1414"/>
      <c r="W205" s="1414"/>
      <c r="X205" s="1414"/>
      <c r="Y205" s="1414"/>
      <c r="Z205" s="1414"/>
      <c r="AA205" s="1414"/>
      <c r="AB205" s="1414"/>
      <c r="AC205" s="1414"/>
      <c r="AD205" s="488">
        <f t="shared" si="18"/>
        <v>0</v>
      </c>
      <c r="AE205" s="565">
        <f t="shared" si="19"/>
        <v>0</v>
      </c>
      <c r="AF205" s="566">
        <f t="shared" si="15"/>
        <v>240</v>
      </c>
    </row>
    <row r="206" spans="1:32" x14ac:dyDescent="0.3">
      <c r="A206" s="10" t="s">
        <v>4</v>
      </c>
      <c r="B206" s="11" t="s">
        <v>206</v>
      </c>
      <c r="C206" s="485"/>
      <c r="D206" s="489" t="s">
        <v>251</v>
      </c>
      <c r="E206" s="489" t="s">
        <v>251</v>
      </c>
      <c r="F206" s="489" t="s">
        <v>251</v>
      </c>
      <c r="G206" s="489" t="s">
        <v>251</v>
      </c>
      <c r="H206" s="489" t="s">
        <v>251</v>
      </c>
      <c r="I206" s="489" t="s">
        <v>251</v>
      </c>
      <c r="J206" s="489" t="s">
        <v>251</v>
      </c>
      <c r="K206" s="489"/>
      <c r="L206" s="489" t="s">
        <v>251</v>
      </c>
      <c r="M206" s="489" t="s">
        <v>251</v>
      </c>
      <c r="N206" s="489" t="s">
        <v>251</v>
      </c>
      <c r="O206" s="489" t="s">
        <v>251</v>
      </c>
      <c r="P206" s="1494">
        <f t="shared" si="16"/>
        <v>0</v>
      </c>
      <c r="Q206" s="1439">
        <f t="shared" si="17"/>
        <v>0</v>
      </c>
      <c r="R206" s="1413" t="s">
        <v>251</v>
      </c>
      <c r="S206" s="1414" t="s">
        <v>251</v>
      </c>
      <c r="T206" s="1414" t="s">
        <v>251</v>
      </c>
      <c r="U206" s="1414"/>
      <c r="V206" s="1414"/>
      <c r="W206" s="1414"/>
      <c r="X206" s="1414"/>
      <c r="Y206" s="1414"/>
      <c r="Z206" s="1414"/>
      <c r="AA206" s="1414"/>
      <c r="AB206" s="1414"/>
      <c r="AC206" s="1414"/>
      <c r="AD206" s="488">
        <f t="shared" si="18"/>
        <v>0</v>
      </c>
      <c r="AE206" s="565">
        <f t="shared" si="19"/>
        <v>0</v>
      </c>
      <c r="AF206" s="566">
        <f t="shared" si="15"/>
        <v>240</v>
      </c>
    </row>
    <row r="207" spans="1:32" x14ac:dyDescent="0.3">
      <c r="A207" s="10" t="s">
        <v>4</v>
      </c>
      <c r="B207" s="11" t="s">
        <v>207</v>
      </c>
      <c r="C207" s="485"/>
      <c r="D207" s="489">
        <v>0</v>
      </c>
      <c r="E207" s="489">
        <v>0</v>
      </c>
      <c r="F207" s="489">
        <v>0</v>
      </c>
      <c r="G207" s="489">
        <v>0</v>
      </c>
      <c r="H207" s="489">
        <v>0</v>
      </c>
      <c r="I207" s="489">
        <v>380080</v>
      </c>
      <c r="J207" s="489">
        <v>0</v>
      </c>
      <c r="K207" s="489">
        <v>0</v>
      </c>
      <c r="L207" s="489">
        <v>0</v>
      </c>
      <c r="M207" s="489">
        <v>0</v>
      </c>
      <c r="N207" s="489">
        <v>408570</v>
      </c>
      <c r="O207" s="489">
        <v>0</v>
      </c>
      <c r="P207" s="1494">
        <f t="shared" si="16"/>
        <v>380080</v>
      </c>
      <c r="Q207" s="1439">
        <f t="shared" si="17"/>
        <v>788650</v>
      </c>
      <c r="R207" s="1413" t="s">
        <v>251</v>
      </c>
      <c r="S207" s="1414" t="s">
        <v>251</v>
      </c>
      <c r="T207" s="1414" t="s">
        <v>251</v>
      </c>
      <c r="U207" s="1414">
        <v>213530</v>
      </c>
      <c r="V207" s="1414">
        <v>431940</v>
      </c>
      <c r="W207" s="1414">
        <v>571670</v>
      </c>
      <c r="X207" s="1414">
        <v>435100</v>
      </c>
      <c r="Y207" s="1414">
        <v>782150</v>
      </c>
      <c r="Z207" s="1414"/>
      <c r="AA207" s="1414"/>
      <c r="AB207" s="1414"/>
      <c r="AC207" s="1414"/>
      <c r="AD207" s="488">
        <f t="shared" si="18"/>
        <v>2434390</v>
      </c>
      <c r="AE207" s="565">
        <f t="shared" si="19"/>
        <v>5.4049410650389396</v>
      </c>
      <c r="AF207" s="566">
        <f t="shared" si="15"/>
        <v>117</v>
      </c>
    </row>
    <row r="208" spans="1:32" x14ac:dyDescent="0.3">
      <c r="A208" s="10" t="s">
        <v>4</v>
      </c>
      <c r="B208" s="11" t="s">
        <v>208</v>
      </c>
      <c r="C208" s="485"/>
      <c r="D208" s="489" t="s">
        <v>251</v>
      </c>
      <c r="E208" s="489" t="s">
        <v>251</v>
      </c>
      <c r="F208" s="489" t="s">
        <v>251</v>
      </c>
      <c r="G208" s="489" t="s">
        <v>251</v>
      </c>
      <c r="H208" s="489" t="s">
        <v>251</v>
      </c>
      <c r="I208" s="489" t="s">
        <v>251</v>
      </c>
      <c r="J208" s="489" t="s">
        <v>251</v>
      </c>
      <c r="K208" s="489"/>
      <c r="L208" s="489" t="s">
        <v>251</v>
      </c>
      <c r="M208" s="489" t="s">
        <v>251</v>
      </c>
      <c r="N208" s="489" t="s">
        <v>251</v>
      </c>
      <c r="O208" s="489" t="s">
        <v>251</v>
      </c>
      <c r="P208" s="1494">
        <f t="shared" si="16"/>
        <v>0</v>
      </c>
      <c r="Q208" s="1439">
        <f t="shared" si="17"/>
        <v>0</v>
      </c>
      <c r="R208" s="1413" t="s">
        <v>251</v>
      </c>
      <c r="S208" s="1414" t="s">
        <v>251</v>
      </c>
      <c r="T208" s="1414" t="s">
        <v>251</v>
      </c>
      <c r="U208" s="1414"/>
      <c r="V208" s="1414"/>
      <c r="W208" s="1414"/>
      <c r="X208" s="1414"/>
      <c r="Y208" s="1414"/>
      <c r="Z208" s="1414"/>
      <c r="AA208" s="1414"/>
      <c r="AB208" s="1414"/>
      <c r="AC208" s="1414"/>
      <c r="AD208" s="488">
        <f t="shared" si="18"/>
        <v>0</v>
      </c>
      <c r="AE208" s="565">
        <f t="shared" si="19"/>
        <v>0</v>
      </c>
      <c r="AF208" s="566">
        <f t="shared" si="15"/>
        <v>240</v>
      </c>
    </row>
    <row r="209" spans="1:32" x14ac:dyDescent="0.3">
      <c r="A209" s="10" t="s">
        <v>4</v>
      </c>
      <c r="B209" s="11" t="s">
        <v>209</v>
      </c>
      <c r="C209" s="485"/>
      <c r="D209" s="489">
        <v>0</v>
      </c>
      <c r="E209" s="489">
        <v>0</v>
      </c>
      <c r="F209" s="489">
        <v>0</v>
      </c>
      <c r="G209" s="489">
        <v>0</v>
      </c>
      <c r="H209" s="489">
        <v>0</v>
      </c>
      <c r="I209" s="489">
        <v>90620</v>
      </c>
      <c r="J209" s="489">
        <v>0</v>
      </c>
      <c r="K209" s="489">
        <v>0</v>
      </c>
      <c r="L209" s="489">
        <v>0</v>
      </c>
      <c r="M209" s="489">
        <v>0</v>
      </c>
      <c r="N209" s="489">
        <v>0</v>
      </c>
      <c r="O209" s="489">
        <v>1229810</v>
      </c>
      <c r="P209" s="1494">
        <f t="shared" si="16"/>
        <v>90620</v>
      </c>
      <c r="Q209" s="1439">
        <f t="shared" si="17"/>
        <v>1320430</v>
      </c>
      <c r="R209" s="1413">
        <v>783370</v>
      </c>
      <c r="S209" s="1414" t="s">
        <v>251</v>
      </c>
      <c r="T209" s="1414">
        <v>1017000</v>
      </c>
      <c r="U209" s="1414">
        <v>610380</v>
      </c>
      <c r="V209" s="1414">
        <v>0</v>
      </c>
      <c r="W209" s="1414">
        <v>967220</v>
      </c>
      <c r="X209" s="1414">
        <v>0</v>
      </c>
      <c r="Y209" s="1414">
        <v>0</v>
      </c>
      <c r="Z209" s="1414"/>
      <c r="AA209" s="1414"/>
      <c r="AB209" s="1414"/>
      <c r="AC209" s="1414"/>
      <c r="AD209" s="488">
        <f t="shared" si="18"/>
        <v>3377970</v>
      </c>
      <c r="AE209" s="565">
        <f t="shared" si="19"/>
        <v>36.276208342529245</v>
      </c>
      <c r="AF209" s="566">
        <f t="shared" si="15"/>
        <v>103</v>
      </c>
    </row>
    <row r="210" spans="1:32" x14ac:dyDescent="0.3">
      <c r="A210" s="10" t="s">
        <v>4</v>
      </c>
      <c r="B210" s="11" t="s">
        <v>210</v>
      </c>
      <c r="C210" s="485"/>
      <c r="D210" s="489" t="s">
        <v>251</v>
      </c>
      <c r="E210" s="489" t="s">
        <v>251</v>
      </c>
      <c r="F210" s="489" t="s">
        <v>251</v>
      </c>
      <c r="G210" s="489" t="s">
        <v>251</v>
      </c>
      <c r="H210" s="489" t="s">
        <v>251</v>
      </c>
      <c r="I210" s="489" t="s">
        <v>251</v>
      </c>
      <c r="J210" s="489" t="s">
        <v>251</v>
      </c>
      <c r="K210" s="489"/>
      <c r="L210" s="489" t="s">
        <v>251</v>
      </c>
      <c r="M210" s="489" t="s">
        <v>251</v>
      </c>
      <c r="N210" s="489" t="s">
        <v>251</v>
      </c>
      <c r="O210" s="489" t="s">
        <v>251</v>
      </c>
      <c r="P210" s="1494">
        <f t="shared" si="16"/>
        <v>0</v>
      </c>
      <c r="Q210" s="1439">
        <f t="shared" si="17"/>
        <v>0</v>
      </c>
      <c r="R210" s="1413" t="s">
        <v>251</v>
      </c>
      <c r="S210" s="1414" t="s">
        <v>251</v>
      </c>
      <c r="T210" s="1414" t="s">
        <v>251</v>
      </c>
      <c r="U210" s="1414"/>
      <c r="V210" s="1414"/>
      <c r="W210" s="1414"/>
      <c r="X210" s="1414"/>
      <c r="Y210" s="1414"/>
      <c r="Z210" s="1414"/>
      <c r="AA210" s="1414"/>
      <c r="AB210" s="1414"/>
      <c r="AC210" s="1414"/>
      <c r="AD210" s="488">
        <f t="shared" si="18"/>
        <v>0</v>
      </c>
      <c r="AE210" s="565">
        <f t="shared" si="19"/>
        <v>0</v>
      </c>
      <c r="AF210" s="566">
        <f t="shared" si="15"/>
        <v>240</v>
      </c>
    </row>
    <row r="211" spans="1:32" x14ac:dyDescent="0.3">
      <c r="A211" s="10" t="s">
        <v>4</v>
      </c>
      <c r="B211" s="11" t="s">
        <v>211</v>
      </c>
      <c r="C211" s="485"/>
      <c r="D211" s="489" t="s">
        <v>251</v>
      </c>
      <c r="E211" s="489" t="s">
        <v>251</v>
      </c>
      <c r="F211" s="489" t="s">
        <v>251</v>
      </c>
      <c r="G211" s="489" t="s">
        <v>251</v>
      </c>
      <c r="H211" s="489" t="s">
        <v>251</v>
      </c>
      <c r="I211" s="489" t="s">
        <v>251</v>
      </c>
      <c r="J211" s="489" t="s">
        <v>251</v>
      </c>
      <c r="K211" s="489"/>
      <c r="L211" s="489" t="s">
        <v>251</v>
      </c>
      <c r="M211" s="489" t="s">
        <v>251</v>
      </c>
      <c r="N211" s="489" t="s">
        <v>251</v>
      </c>
      <c r="O211" s="489" t="s">
        <v>251</v>
      </c>
      <c r="P211" s="1494">
        <f t="shared" si="16"/>
        <v>0</v>
      </c>
      <c r="Q211" s="1439">
        <f t="shared" si="17"/>
        <v>0</v>
      </c>
      <c r="R211" s="1413" t="s">
        <v>251</v>
      </c>
      <c r="S211" s="1414" t="s">
        <v>251</v>
      </c>
      <c r="T211" s="1414" t="s">
        <v>251</v>
      </c>
      <c r="U211" s="1414"/>
      <c r="V211" s="1414"/>
      <c r="W211" s="1414"/>
      <c r="X211" s="1414"/>
      <c r="Y211" s="1414"/>
      <c r="Z211" s="1414"/>
      <c r="AA211" s="1414"/>
      <c r="AB211" s="1414"/>
      <c r="AC211" s="1414"/>
      <c r="AD211" s="488">
        <f t="shared" si="18"/>
        <v>0</v>
      </c>
      <c r="AE211" s="565">
        <f t="shared" si="19"/>
        <v>0</v>
      </c>
      <c r="AF211" s="566">
        <f t="shared" si="15"/>
        <v>240</v>
      </c>
    </row>
    <row r="212" spans="1:32" x14ac:dyDescent="0.3">
      <c r="A212" s="10" t="s">
        <v>4</v>
      </c>
      <c r="B212" s="11" t="s">
        <v>212</v>
      </c>
      <c r="C212" s="485"/>
      <c r="D212" s="489" t="s">
        <v>251</v>
      </c>
      <c r="E212" s="489" t="s">
        <v>251</v>
      </c>
      <c r="F212" s="489" t="s">
        <v>251</v>
      </c>
      <c r="G212" s="489" t="s">
        <v>251</v>
      </c>
      <c r="H212" s="489" t="s">
        <v>251</v>
      </c>
      <c r="I212" s="489" t="s">
        <v>251</v>
      </c>
      <c r="J212" s="489" t="s">
        <v>251</v>
      </c>
      <c r="K212" s="489"/>
      <c r="L212" s="489" t="s">
        <v>251</v>
      </c>
      <c r="M212" s="489" t="s">
        <v>251</v>
      </c>
      <c r="N212" s="489" t="s">
        <v>251</v>
      </c>
      <c r="O212" s="489" t="s">
        <v>251</v>
      </c>
      <c r="P212" s="1494">
        <f t="shared" si="16"/>
        <v>0</v>
      </c>
      <c r="Q212" s="1439">
        <f t="shared" si="17"/>
        <v>0</v>
      </c>
      <c r="R212" s="1413" t="s">
        <v>251</v>
      </c>
      <c r="S212" s="1414" t="s">
        <v>251</v>
      </c>
      <c r="T212" s="1414" t="s">
        <v>251</v>
      </c>
      <c r="U212" s="1414"/>
      <c r="V212" s="1414"/>
      <c r="W212" s="1414"/>
      <c r="X212" s="1414"/>
      <c r="Y212" s="1414"/>
      <c r="Z212" s="1414"/>
      <c r="AA212" s="1414"/>
      <c r="AB212" s="1414"/>
      <c r="AC212" s="1414"/>
      <c r="AD212" s="488">
        <f t="shared" si="18"/>
        <v>0</v>
      </c>
      <c r="AE212" s="565">
        <f t="shared" si="19"/>
        <v>0</v>
      </c>
      <c r="AF212" s="566">
        <f t="shared" si="15"/>
        <v>240</v>
      </c>
    </row>
    <row r="213" spans="1:32" x14ac:dyDescent="0.3">
      <c r="A213" s="10" t="s">
        <v>4</v>
      </c>
      <c r="B213" s="11" t="s">
        <v>213</v>
      </c>
      <c r="C213" s="485"/>
      <c r="D213" s="489">
        <v>0</v>
      </c>
      <c r="E213" s="489">
        <v>0</v>
      </c>
      <c r="F213" s="489">
        <v>0</v>
      </c>
      <c r="G213" s="489">
        <v>0</v>
      </c>
      <c r="H213" s="489">
        <v>0</v>
      </c>
      <c r="I213" s="489">
        <v>0</v>
      </c>
      <c r="J213" s="489">
        <v>210330</v>
      </c>
      <c r="K213" s="489">
        <v>210330</v>
      </c>
      <c r="L213" s="489">
        <v>0</v>
      </c>
      <c r="M213" s="489">
        <v>0</v>
      </c>
      <c r="N213" s="489">
        <v>0</v>
      </c>
      <c r="O213" s="489">
        <v>0</v>
      </c>
      <c r="P213" s="1494">
        <f t="shared" si="16"/>
        <v>210330</v>
      </c>
      <c r="Q213" s="1439">
        <f t="shared" si="17"/>
        <v>210330</v>
      </c>
      <c r="R213" s="1413" t="s">
        <v>251</v>
      </c>
      <c r="S213" s="1414" t="s">
        <v>251</v>
      </c>
      <c r="T213" s="1414" t="s">
        <v>251</v>
      </c>
      <c r="U213" s="1414"/>
      <c r="V213" s="1414"/>
      <c r="W213" s="1414">
        <v>507720</v>
      </c>
      <c r="X213" s="1414">
        <v>0</v>
      </c>
      <c r="Y213" s="1414">
        <v>0</v>
      </c>
      <c r="Z213" s="1414"/>
      <c r="AA213" s="1414"/>
      <c r="AB213" s="1414"/>
      <c r="AC213" s="1414"/>
      <c r="AD213" s="488">
        <f t="shared" si="18"/>
        <v>507720</v>
      </c>
      <c r="AE213" s="565">
        <f t="shared" si="19"/>
        <v>1.4139209813150764</v>
      </c>
      <c r="AF213" s="566">
        <f t="shared" si="15"/>
        <v>178</v>
      </c>
    </row>
    <row r="214" spans="1:32" x14ac:dyDescent="0.3">
      <c r="A214" s="10" t="s">
        <v>4</v>
      </c>
      <c r="B214" s="11" t="s">
        <v>214</v>
      </c>
      <c r="C214" s="485"/>
      <c r="D214" s="489" t="s">
        <v>251</v>
      </c>
      <c r="E214" s="489" t="s">
        <v>251</v>
      </c>
      <c r="F214" s="489" t="s">
        <v>251</v>
      </c>
      <c r="G214" s="489" t="s">
        <v>251</v>
      </c>
      <c r="H214" s="489" t="s">
        <v>251</v>
      </c>
      <c r="I214" s="489" t="s">
        <v>251</v>
      </c>
      <c r="J214" s="489" t="s">
        <v>251</v>
      </c>
      <c r="K214" s="489"/>
      <c r="L214" s="489" t="s">
        <v>251</v>
      </c>
      <c r="M214" s="489" t="s">
        <v>251</v>
      </c>
      <c r="N214" s="489" t="s">
        <v>251</v>
      </c>
      <c r="O214" s="489" t="s">
        <v>251</v>
      </c>
      <c r="P214" s="1494">
        <f t="shared" si="16"/>
        <v>0</v>
      </c>
      <c r="Q214" s="1439">
        <f t="shared" si="17"/>
        <v>0</v>
      </c>
      <c r="R214" s="1413" t="s">
        <v>251</v>
      </c>
      <c r="S214" s="1414" t="s">
        <v>251</v>
      </c>
      <c r="T214" s="1414" t="s">
        <v>251</v>
      </c>
      <c r="U214" s="1414"/>
      <c r="V214" s="1414"/>
      <c r="W214" s="1414"/>
      <c r="X214" s="1414"/>
      <c r="Y214" s="1414"/>
      <c r="Z214" s="1414"/>
      <c r="AA214" s="1414"/>
      <c r="AB214" s="1414"/>
      <c r="AC214" s="1414"/>
      <c r="AD214" s="488">
        <f t="shared" si="18"/>
        <v>0</v>
      </c>
      <c r="AE214" s="565">
        <f t="shared" si="19"/>
        <v>0</v>
      </c>
      <c r="AF214" s="566">
        <f t="shared" si="15"/>
        <v>240</v>
      </c>
    </row>
    <row r="215" spans="1:32" x14ac:dyDescent="0.3">
      <c r="A215" s="10" t="s">
        <v>4</v>
      </c>
      <c r="B215" s="11" t="s">
        <v>215</v>
      </c>
      <c r="C215" s="485"/>
      <c r="D215" s="489">
        <v>0</v>
      </c>
      <c r="E215" s="489">
        <v>0</v>
      </c>
      <c r="F215" s="489">
        <v>0</v>
      </c>
      <c r="G215" s="489">
        <v>0</v>
      </c>
      <c r="H215" s="489">
        <v>0</v>
      </c>
      <c r="I215" s="489">
        <v>0</v>
      </c>
      <c r="J215" s="489">
        <v>0</v>
      </c>
      <c r="K215" s="489"/>
      <c r="L215" s="489">
        <v>27870</v>
      </c>
      <c r="M215" s="489">
        <v>100250</v>
      </c>
      <c r="N215" s="489">
        <v>0</v>
      </c>
      <c r="O215" s="489">
        <v>4630920</v>
      </c>
      <c r="P215" s="1494">
        <f t="shared" si="16"/>
        <v>0</v>
      </c>
      <c r="Q215" s="1439">
        <f t="shared" si="17"/>
        <v>4759040</v>
      </c>
      <c r="R215" s="1413">
        <v>10477040</v>
      </c>
      <c r="S215" s="1414">
        <v>5059370</v>
      </c>
      <c r="T215" s="1414">
        <v>1536820</v>
      </c>
      <c r="U215" s="1414">
        <v>3136580</v>
      </c>
      <c r="V215" s="1414">
        <v>3844860</v>
      </c>
      <c r="W215" s="1414">
        <v>2403190</v>
      </c>
      <c r="X215" s="1414">
        <v>12807050</v>
      </c>
      <c r="Y215" s="1414">
        <v>4184050</v>
      </c>
      <c r="Z215" s="1414"/>
      <c r="AA215" s="1414"/>
      <c r="AB215" s="1414"/>
      <c r="AC215" s="1414"/>
      <c r="AD215" s="488">
        <f t="shared" si="18"/>
        <v>43448960</v>
      </c>
      <c r="AE215" s="565">
        <f t="shared" si="19"/>
        <v>1</v>
      </c>
      <c r="AF215" s="566">
        <f t="shared" si="15"/>
        <v>13</v>
      </c>
    </row>
    <row r="216" spans="1:32" x14ac:dyDescent="0.3">
      <c r="A216" s="10" t="s">
        <v>4</v>
      </c>
      <c r="B216" s="11" t="s">
        <v>216</v>
      </c>
      <c r="C216" s="485"/>
      <c r="D216" s="489">
        <v>0</v>
      </c>
      <c r="E216" s="489">
        <v>0</v>
      </c>
      <c r="F216" s="489">
        <v>0</v>
      </c>
      <c r="G216" s="489">
        <v>0</v>
      </c>
      <c r="H216" s="489">
        <v>0</v>
      </c>
      <c r="I216" s="489">
        <v>266320</v>
      </c>
      <c r="J216" s="489">
        <v>804790</v>
      </c>
      <c r="K216" s="489">
        <v>804790</v>
      </c>
      <c r="L216" s="489">
        <v>777390</v>
      </c>
      <c r="M216" s="489">
        <v>136440</v>
      </c>
      <c r="N216" s="489">
        <v>29300</v>
      </c>
      <c r="O216" s="489">
        <v>0</v>
      </c>
      <c r="P216" s="1494">
        <f t="shared" si="16"/>
        <v>1071110</v>
      </c>
      <c r="Q216" s="1439">
        <f t="shared" si="17"/>
        <v>2014240</v>
      </c>
      <c r="R216" s="1413" t="s">
        <v>251</v>
      </c>
      <c r="S216" s="1414" t="s">
        <v>251</v>
      </c>
      <c r="T216" s="1414" t="s">
        <v>251</v>
      </c>
      <c r="U216" s="1414"/>
      <c r="V216" s="1414"/>
      <c r="W216" s="1414">
        <v>495680</v>
      </c>
      <c r="X216" s="1414">
        <v>261230</v>
      </c>
      <c r="Y216" s="1414">
        <v>0</v>
      </c>
      <c r="Z216" s="1414"/>
      <c r="AA216" s="1414"/>
      <c r="AB216" s="1414"/>
      <c r="AC216" s="1414"/>
      <c r="AD216" s="488">
        <f t="shared" si="18"/>
        <v>756910</v>
      </c>
      <c r="AE216" s="565">
        <f t="shared" si="19"/>
        <v>-0.29334055325783531</v>
      </c>
      <c r="AF216" s="566">
        <f t="shared" si="15"/>
        <v>168</v>
      </c>
    </row>
    <row r="217" spans="1:32" x14ac:dyDescent="0.3">
      <c r="A217" s="10" t="s">
        <v>4</v>
      </c>
      <c r="B217" s="11" t="s">
        <v>217</v>
      </c>
      <c r="C217" s="485"/>
      <c r="D217" s="489" t="s">
        <v>251</v>
      </c>
      <c r="E217" s="489" t="s">
        <v>251</v>
      </c>
      <c r="F217" s="489" t="s">
        <v>251</v>
      </c>
      <c r="G217" s="489" t="s">
        <v>251</v>
      </c>
      <c r="H217" s="489" t="s">
        <v>251</v>
      </c>
      <c r="I217" s="489" t="s">
        <v>251</v>
      </c>
      <c r="J217" s="489" t="s">
        <v>251</v>
      </c>
      <c r="K217" s="489"/>
      <c r="L217" s="489" t="s">
        <v>251</v>
      </c>
      <c r="M217" s="489" t="s">
        <v>251</v>
      </c>
      <c r="N217" s="489" t="s">
        <v>251</v>
      </c>
      <c r="O217" s="489" t="s">
        <v>251</v>
      </c>
      <c r="P217" s="1494">
        <f t="shared" si="16"/>
        <v>0</v>
      </c>
      <c r="Q217" s="1439">
        <f t="shared" si="17"/>
        <v>0</v>
      </c>
      <c r="R217" s="1413" t="s">
        <v>251</v>
      </c>
      <c r="S217" s="1414" t="s">
        <v>251</v>
      </c>
      <c r="T217" s="1414" t="s">
        <v>251</v>
      </c>
      <c r="U217" s="1414"/>
      <c r="V217" s="1414"/>
      <c r="W217" s="1414"/>
      <c r="X217" s="1414"/>
      <c r="Y217" s="1414"/>
      <c r="Z217" s="1414"/>
      <c r="AA217" s="1414"/>
      <c r="AB217" s="1414"/>
      <c r="AC217" s="1414"/>
      <c r="AD217" s="488">
        <f t="shared" si="18"/>
        <v>0</v>
      </c>
      <c r="AE217" s="565">
        <f t="shared" si="19"/>
        <v>0</v>
      </c>
      <c r="AF217" s="566">
        <f t="shared" si="15"/>
        <v>240</v>
      </c>
    </row>
    <row r="218" spans="1:32" x14ac:dyDescent="0.3">
      <c r="A218" s="10" t="s">
        <v>4</v>
      </c>
      <c r="B218" s="11" t="s">
        <v>218</v>
      </c>
      <c r="C218" s="485"/>
      <c r="D218" s="489">
        <v>0</v>
      </c>
      <c r="E218" s="489">
        <v>0</v>
      </c>
      <c r="F218" s="489">
        <v>0</v>
      </c>
      <c r="G218" s="489">
        <v>0</v>
      </c>
      <c r="H218" s="489">
        <v>0</v>
      </c>
      <c r="I218" s="489">
        <v>87980</v>
      </c>
      <c r="J218" s="489">
        <v>0</v>
      </c>
      <c r="K218" s="489"/>
      <c r="L218" s="489">
        <v>0</v>
      </c>
      <c r="M218" s="489">
        <v>0</v>
      </c>
      <c r="N218" s="489">
        <v>0</v>
      </c>
      <c r="O218" s="489">
        <v>0</v>
      </c>
      <c r="P218" s="1494">
        <f t="shared" si="16"/>
        <v>87980</v>
      </c>
      <c r="Q218" s="1439">
        <f t="shared" si="17"/>
        <v>87980</v>
      </c>
      <c r="R218" s="1413" t="s">
        <v>251</v>
      </c>
      <c r="S218" s="1414" t="s">
        <v>251</v>
      </c>
      <c r="T218" s="1414" t="s">
        <v>251</v>
      </c>
      <c r="U218" s="1414"/>
      <c r="V218" s="1414"/>
      <c r="W218" s="1414"/>
      <c r="X218" s="1414"/>
      <c r="Y218" s="1414"/>
      <c r="Z218" s="1414"/>
      <c r="AA218" s="1414"/>
      <c r="AB218" s="1414"/>
      <c r="AC218" s="1414"/>
      <c r="AD218" s="488">
        <f t="shared" si="18"/>
        <v>0</v>
      </c>
      <c r="AE218" s="565">
        <f t="shared" si="19"/>
        <v>-1</v>
      </c>
      <c r="AF218" s="566">
        <f t="shared" si="15"/>
        <v>240</v>
      </c>
    </row>
    <row r="219" spans="1:32" x14ac:dyDescent="0.3">
      <c r="A219" s="10" t="s">
        <v>4</v>
      </c>
      <c r="B219" s="11" t="s">
        <v>219</v>
      </c>
      <c r="C219" s="485"/>
      <c r="D219" s="489" t="s">
        <v>251</v>
      </c>
      <c r="E219" s="489" t="s">
        <v>251</v>
      </c>
      <c r="F219" s="489" t="s">
        <v>251</v>
      </c>
      <c r="G219" s="489" t="s">
        <v>251</v>
      </c>
      <c r="H219" s="489" t="s">
        <v>251</v>
      </c>
      <c r="I219" s="489" t="s">
        <v>251</v>
      </c>
      <c r="J219" s="489" t="s">
        <v>251</v>
      </c>
      <c r="K219" s="489"/>
      <c r="L219" s="489" t="s">
        <v>251</v>
      </c>
      <c r="M219" s="489" t="s">
        <v>251</v>
      </c>
      <c r="N219" s="489" t="s">
        <v>251</v>
      </c>
      <c r="O219" s="489" t="s">
        <v>251</v>
      </c>
      <c r="P219" s="1494">
        <f t="shared" si="16"/>
        <v>0</v>
      </c>
      <c r="Q219" s="1439">
        <f t="shared" si="17"/>
        <v>0</v>
      </c>
      <c r="R219" s="1413" t="s">
        <v>251</v>
      </c>
      <c r="S219" s="1414" t="s">
        <v>251</v>
      </c>
      <c r="T219" s="1414" t="s">
        <v>251</v>
      </c>
      <c r="U219" s="1414"/>
      <c r="V219" s="1414"/>
      <c r="W219" s="1414"/>
      <c r="X219" s="1414">
        <v>215200</v>
      </c>
      <c r="Y219" s="1414">
        <v>104700</v>
      </c>
      <c r="Z219" s="1414"/>
      <c r="AA219" s="1414"/>
      <c r="AB219" s="1414"/>
      <c r="AC219" s="1414"/>
      <c r="AD219" s="488">
        <f t="shared" si="18"/>
        <v>319900</v>
      </c>
      <c r="AE219" s="565">
        <f t="shared" si="19"/>
        <v>1</v>
      </c>
      <c r="AF219" s="566">
        <f t="shared" si="15"/>
        <v>192</v>
      </c>
    </row>
    <row r="220" spans="1:32" x14ac:dyDescent="0.3">
      <c r="A220" s="10" t="s">
        <v>4</v>
      </c>
      <c r="B220" s="11" t="s">
        <v>220</v>
      </c>
      <c r="C220" s="485"/>
      <c r="D220" s="489" t="s">
        <v>251</v>
      </c>
      <c r="E220" s="489" t="s">
        <v>251</v>
      </c>
      <c r="F220" s="489" t="s">
        <v>251</v>
      </c>
      <c r="G220" s="489" t="s">
        <v>251</v>
      </c>
      <c r="H220" s="489" t="s">
        <v>251</v>
      </c>
      <c r="I220" s="489" t="s">
        <v>251</v>
      </c>
      <c r="J220" s="489" t="s">
        <v>251</v>
      </c>
      <c r="K220" s="489"/>
      <c r="L220" s="489" t="s">
        <v>251</v>
      </c>
      <c r="M220" s="489" t="s">
        <v>251</v>
      </c>
      <c r="N220" s="489" t="s">
        <v>251</v>
      </c>
      <c r="O220" s="489" t="s">
        <v>251</v>
      </c>
      <c r="P220" s="1494">
        <f t="shared" si="16"/>
        <v>0</v>
      </c>
      <c r="Q220" s="1439">
        <f t="shared" si="17"/>
        <v>0</v>
      </c>
      <c r="R220" s="1413" t="s">
        <v>251</v>
      </c>
      <c r="S220" s="1414" t="s">
        <v>251</v>
      </c>
      <c r="T220" s="1414" t="s">
        <v>251</v>
      </c>
      <c r="U220" s="1414"/>
      <c r="V220" s="1414"/>
      <c r="W220" s="1414"/>
      <c r="X220" s="1414"/>
      <c r="Y220" s="1414"/>
      <c r="Z220" s="1414"/>
      <c r="AA220" s="1414"/>
      <c r="AB220" s="1414"/>
      <c r="AC220" s="1414"/>
      <c r="AD220" s="488">
        <f t="shared" si="18"/>
        <v>0</v>
      </c>
      <c r="AE220" s="565">
        <f t="shared" si="19"/>
        <v>0</v>
      </c>
      <c r="AF220" s="566">
        <f t="shared" si="15"/>
        <v>240</v>
      </c>
    </row>
    <row r="221" spans="1:32" x14ac:dyDescent="0.3">
      <c r="A221" s="10" t="s">
        <v>4</v>
      </c>
      <c r="B221" s="11" t="s">
        <v>221</v>
      </c>
      <c r="C221" s="485"/>
      <c r="D221" s="489">
        <v>0</v>
      </c>
      <c r="E221" s="489">
        <v>0</v>
      </c>
      <c r="F221" s="489">
        <v>0</v>
      </c>
      <c r="G221" s="489" t="s">
        <v>251</v>
      </c>
      <c r="H221" s="489">
        <v>0</v>
      </c>
      <c r="I221" s="489">
        <v>0</v>
      </c>
      <c r="J221" s="489">
        <v>0</v>
      </c>
      <c r="K221" s="489"/>
      <c r="L221" s="489">
        <v>0</v>
      </c>
      <c r="M221" s="489">
        <v>0</v>
      </c>
      <c r="N221" s="489">
        <v>389000</v>
      </c>
      <c r="O221" s="489">
        <v>0</v>
      </c>
      <c r="P221" s="1494">
        <f t="shared" si="16"/>
        <v>0</v>
      </c>
      <c r="Q221" s="1439">
        <f t="shared" si="17"/>
        <v>389000</v>
      </c>
      <c r="R221" s="1413" t="s">
        <v>251</v>
      </c>
      <c r="S221" s="1414" t="s">
        <v>251</v>
      </c>
      <c r="T221" s="1414">
        <v>399530</v>
      </c>
      <c r="U221" s="1414">
        <v>0</v>
      </c>
      <c r="V221" s="1414">
        <v>0</v>
      </c>
      <c r="W221" s="1414">
        <v>0</v>
      </c>
      <c r="X221" s="1414">
        <v>0</v>
      </c>
      <c r="Y221" s="1414">
        <v>0</v>
      </c>
      <c r="Z221" s="1414"/>
      <c r="AA221" s="1414"/>
      <c r="AB221" s="1414"/>
      <c r="AC221" s="1414"/>
      <c r="AD221" s="488">
        <f t="shared" si="18"/>
        <v>399530</v>
      </c>
      <c r="AE221" s="565">
        <f t="shared" si="19"/>
        <v>1</v>
      </c>
      <c r="AF221" s="566">
        <f t="shared" si="15"/>
        <v>186</v>
      </c>
    </row>
    <row r="222" spans="1:32" x14ac:dyDescent="0.3">
      <c r="A222" s="10" t="s">
        <v>4</v>
      </c>
      <c r="B222" s="11" t="s">
        <v>222</v>
      </c>
      <c r="C222" s="485"/>
      <c r="D222" s="489">
        <v>0</v>
      </c>
      <c r="E222" s="489">
        <v>0</v>
      </c>
      <c r="F222" s="489">
        <v>0</v>
      </c>
      <c r="G222" s="489">
        <v>0</v>
      </c>
      <c r="H222" s="489">
        <v>0</v>
      </c>
      <c r="I222" s="489">
        <v>0</v>
      </c>
      <c r="J222" s="489">
        <v>1948440</v>
      </c>
      <c r="K222" s="489">
        <v>1948440</v>
      </c>
      <c r="L222" s="489">
        <v>0</v>
      </c>
      <c r="M222" s="489">
        <v>2524590</v>
      </c>
      <c r="N222" s="489">
        <v>231100</v>
      </c>
      <c r="O222" s="489">
        <v>238090</v>
      </c>
      <c r="P222" s="1494">
        <f t="shared" si="16"/>
        <v>1948440</v>
      </c>
      <c r="Q222" s="1439">
        <f t="shared" si="17"/>
        <v>4942220</v>
      </c>
      <c r="R222" s="1413" t="s">
        <v>251</v>
      </c>
      <c r="S222" s="1414" t="s">
        <v>251</v>
      </c>
      <c r="T222" s="1414">
        <v>1534820</v>
      </c>
      <c r="U222" s="1414">
        <v>486390</v>
      </c>
      <c r="V222" s="1414">
        <v>0</v>
      </c>
      <c r="W222" s="1414">
        <v>0</v>
      </c>
      <c r="X222" s="1414">
        <v>1425080</v>
      </c>
      <c r="Y222" s="1414">
        <v>0</v>
      </c>
      <c r="Z222" s="1414"/>
      <c r="AA222" s="1414"/>
      <c r="AB222" s="1414"/>
      <c r="AC222" s="1414"/>
      <c r="AD222" s="488">
        <f t="shared" si="18"/>
        <v>3446290</v>
      </c>
      <c r="AE222" s="565">
        <f t="shared" si="19"/>
        <v>0.76874319968795546</v>
      </c>
      <c r="AF222" s="566">
        <f t="shared" si="15"/>
        <v>101</v>
      </c>
    </row>
    <row r="223" spans="1:32" x14ac:dyDescent="0.3">
      <c r="A223" s="10" t="s">
        <v>4</v>
      </c>
      <c r="B223" s="11" t="s">
        <v>223</v>
      </c>
      <c r="C223" s="485"/>
      <c r="D223" s="489" t="s">
        <v>251</v>
      </c>
      <c r="E223" s="489" t="s">
        <v>251</v>
      </c>
      <c r="F223" s="489" t="s">
        <v>251</v>
      </c>
      <c r="G223" s="489" t="s">
        <v>251</v>
      </c>
      <c r="H223" s="489" t="s">
        <v>251</v>
      </c>
      <c r="I223" s="489" t="s">
        <v>251</v>
      </c>
      <c r="J223" s="489" t="s">
        <v>251</v>
      </c>
      <c r="K223" s="489"/>
      <c r="L223" s="489" t="s">
        <v>251</v>
      </c>
      <c r="M223" s="489" t="s">
        <v>251</v>
      </c>
      <c r="N223" s="489" t="s">
        <v>251</v>
      </c>
      <c r="O223" s="489" t="s">
        <v>251</v>
      </c>
      <c r="P223" s="1494">
        <f t="shared" si="16"/>
        <v>0</v>
      </c>
      <c r="Q223" s="1439">
        <f t="shared" si="17"/>
        <v>0</v>
      </c>
      <c r="R223" s="1413" t="s">
        <v>251</v>
      </c>
      <c r="S223" s="1414" t="s">
        <v>251</v>
      </c>
      <c r="T223" s="1414" t="s">
        <v>251</v>
      </c>
      <c r="U223" s="1414"/>
      <c r="V223" s="1414"/>
      <c r="W223" s="1414"/>
      <c r="X223" s="1414"/>
      <c r="Y223" s="1414"/>
      <c r="Z223" s="1414"/>
      <c r="AA223" s="1414"/>
      <c r="AB223" s="1414"/>
      <c r="AC223" s="1414"/>
      <c r="AD223" s="488">
        <f t="shared" si="18"/>
        <v>0</v>
      </c>
      <c r="AE223" s="565">
        <f t="shared" si="19"/>
        <v>0</v>
      </c>
      <c r="AF223" s="566">
        <f t="shared" si="15"/>
        <v>240</v>
      </c>
    </row>
    <row r="224" spans="1:32" x14ac:dyDescent="0.3">
      <c r="A224" s="10" t="s">
        <v>4</v>
      </c>
      <c r="B224" s="11" t="s">
        <v>224</v>
      </c>
      <c r="C224" s="485"/>
      <c r="D224" s="489" t="s">
        <v>251</v>
      </c>
      <c r="E224" s="489" t="s">
        <v>251</v>
      </c>
      <c r="F224" s="489" t="s">
        <v>251</v>
      </c>
      <c r="G224" s="489" t="s">
        <v>251</v>
      </c>
      <c r="H224" s="489" t="s">
        <v>251</v>
      </c>
      <c r="I224" s="489" t="s">
        <v>251</v>
      </c>
      <c r="J224" s="489" t="s">
        <v>251</v>
      </c>
      <c r="K224" s="489"/>
      <c r="L224" s="489" t="s">
        <v>251</v>
      </c>
      <c r="M224" s="489" t="s">
        <v>251</v>
      </c>
      <c r="N224" s="489" t="s">
        <v>251</v>
      </c>
      <c r="O224" s="489" t="s">
        <v>251</v>
      </c>
      <c r="P224" s="1494">
        <f t="shared" si="16"/>
        <v>0</v>
      </c>
      <c r="Q224" s="1439">
        <f t="shared" si="17"/>
        <v>0</v>
      </c>
      <c r="R224" s="1413" t="s">
        <v>251</v>
      </c>
      <c r="S224" s="1414" t="s">
        <v>251</v>
      </c>
      <c r="T224" s="1414" t="s">
        <v>251</v>
      </c>
      <c r="U224" s="1414"/>
      <c r="V224" s="1414"/>
      <c r="W224" s="1414"/>
      <c r="X224" s="1414"/>
      <c r="Y224" s="1414"/>
      <c r="Z224" s="1414"/>
      <c r="AA224" s="1414"/>
      <c r="AB224" s="1414"/>
      <c r="AC224" s="1414"/>
      <c r="AD224" s="488">
        <f t="shared" si="18"/>
        <v>0</v>
      </c>
      <c r="AE224" s="565">
        <f t="shared" si="19"/>
        <v>0</v>
      </c>
      <c r="AF224" s="566">
        <f t="shared" si="15"/>
        <v>240</v>
      </c>
    </row>
    <row r="225" spans="1:32" x14ac:dyDescent="0.3">
      <c r="A225" s="10" t="s">
        <v>4</v>
      </c>
      <c r="B225" s="11" t="s">
        <v>225</v>
      </c>
      <c r="C225" s="485"/>
      <c r="D225" s="489" t="s">
        <v>251</v>
      </c>
      <c r="E225" s="489" t="s">
        <v>251</v>
      </c>
      <c r="F225" s="489" t="s">
        <v>251</v>
      </c>
      <c r="G225" s="489" t="s">
        <v>251</v>
      </c>
      <c r="H225" s="489" t="s">
        <v>251</v>
      </c>
      <c r="I225" s="489" t="s">
        <v>251</v>
      </c>
      <c r="J225" s="489" t="s">
        <v>251</v>
      </c>
      <c r="K225" s="489"/>
      <c r="L225" s="489" t="s">
        <v>251</v>
      </c>
      <c r="M225" s="489" t="s">
        <v>251</v>
      </c>
      <c r="N225" s="489" t="s">
        <v>251</v>
      </c>
      <c r="O225" s="489" t="s">
        <v>251</v>
      </c>
      <c r="P225" s="1494">
        <f t="shared" si="16"/>
        <v>0</v>
      </c>
      <c r="Q225" s="1439">
        <f t="shared" si="17"/>
        <v>0</v>
      </c>
      <c r="R225" s="1413" t="s">
        <v>251</v>
      </c>
      <c r="S225" s="1414" t="s">
        <v>251</v>
      </c>
      <c r="T225" s="1414" t="s">
        <v>251</v>
      </c>
      <c r="U225" s="1414"/>
      <c r="V225" s="1414"/>
      <c r="W225" s="1414"/>
      <c r="X225" s="1414"/>
      <c r="Y225" s="1414"/>
      <c r="Z225" s="1414"/>
      <c r="AA225" s="1414"/>
      <c r="AB225" s="1414"/>
      <c r="AC225" s="1414"/>
      <c r="AD225" s="488">
        <f t="shared" si="18"/>
        <v>0</v>
      </c>
      <c r="AE225" s="565">
        <f t="shared" si="19"/>
        <v>0</v>
      </c>
      <c r="AF225" s="566">
        <f t="shared" si="15"/>
        <v>240</v>
      </c>
    </row>
    <row r="226" spans="1:32" x14ac:dyDescent="0.3">
      <c r="A226" s="10" t="s">
        <v>4</v>
      </c>
      <c r="B226" s="11" t="s">
        <v>226</v>
      </c>
      <c r="C226" s="485"/>
      <c r="D226" s="489" t="s">
        <v>251</v>
      </c>
      <c r="E226" s="489" t="s">
        <v>251</v>
      </c>
      <c r="F226" s="489" t="s">
        <v>251</v>
      </c>
      <c r="G226" s="489" t="s">
        <v>251</v>
      </c>
      <c r="H226" s="489" t="s">
        <v>251</v>
      </c>
      <c r="I226" s="489" t="s">
        <v>251</v>
      </c>
      <c r="J226" s="489" t="s">
        <v>251</v>
      </c>
      <c r="K226" s="489"/>
      <c r="L226" s="489" t="s">
        <v>251</v>
      </c>
      <c r="M226" s="489" t="s">
        <v>251</v>
      </c>
      <c r="N226" s="489" t="s">
        <v>251</v>
      </c>
      <c r="O226" s="489" t="s">
        <v>251</v>
      </c>
      <c r="P226" s="1494">
        <f t="shared" si="16"/>
        <v>0</v>
      </c>
      <c r="Q226" s="1439">
        <f t="shared" si="17"/>
        <v>0</v>
      </c>
      <c r="R226" s="1413" t="s">
        <v>251</v>
      </c>
      <c r="S226" s="1414" t="s">
        <v>251</v>
      </c>
      <c r="T226" s="1414" t="s">
        <v>251</v>
      </c>
      <c r="U226" s="1414"/>
      <c r="V226" s="1414"/>
      <c r="W226" s="1414"/>
      <c r="X226" s="1414"/>
      <c r="Y226" s="1414"/>
      <c r="Z226" s="1414"/>
      <c r="AA226" s="1414"/>
      <c r="AB226" s="1414"/>
      <c r="AC226" s="1414"/>
      <c r="AD226" s="488">
        <f t="shared" si="18"/>
        <v>0</v>
      </c>
      <c r="AE226" s="565">
        <f t="shared" si="19"/>
        <v>0</v>
      </c>
      <c r="AF226" s="566">
        <f t="shared" si="15"/>
        <v>240</v>
      </c>
    </row>
    <row r="227" spans="1:32" x14ac:dyDescent="0.3">
      <c r="A227" s="10" t="s">
        <v>4</v>
      </c>
      <c r="B227" s="11" t="s">
        <v>227</v>
      </c>
      <c r="C227" s="485"/>
      <c r="D227" s="489" t="s">
        <v>251</v>
      </c>
      <c r="E227" s="489" t="s">
        <v>251</v>
      </c>
      <c r="F227" s="489" t="s">
        <v>251</v>
      </c>
      <c r="G227" s="489" t="s">
        <v>251</v>
      </c>
      <c r="H227" s="489" t="s">
        <v>251</v>
      </c>
      <c r="I227" s="489" t="s">
        <v>251</v>
      </c>
      <c r="J227" s="489" t="s">
        <v>251</v>
      </c>
      <c r="K227" s="489"/>
      <c r="L227" s="489" t="s">
        <v>251</v>
      </c>
      <c r="M227" s="489" t="s">
        <v>251</v>
      </c>
      <c r="N227" s="489" t="s">
        <v>251</v>
      </c>
      <c r="O227" s="489" t="s">
        <v>251</v>
      </c>
      <c r="P227" s="1494">
        <f t="shared" si="16"/>
        <v>0</v>
      </c>
      <c r="Q227" s="1439">
        <f t="shared" si="17"/>
        <v>0</v>
      </c>
      <c r="R227" s="1413" t="s">
        <v>251</v>
      </c>
      <c r="S227" s="1414" t="s">
        <v>251</v>
      </c>
      <c r="T227" s="1414" t="s">
        <v>251</v>
      </c>
      <c r="U227" s="1414"/>
      <c r="V227" s="1414"/>
      <c r="W227" s="1414"/>
      <c r="X227" s="1414"/>
      <c r="Y227" s="1414"/>
      <c r="Z227" s="1414"/>
      <c r="AA227" s="1414"/>
      <c r="AB227" s="1414"/>
      <c r="AC227" s="1414"/>
      <c r="AD227" s="488">
        <f t="shared" si="18"/>
        <v>0</v>
      </c>
      <c r="AE227" s="565">
        <f t="shared" si="19"/>
        <v>0</v>
      </c>
      <c r="AF227" s="566">
        <f t="shared" si="15"/>
        <v>240</v>
      </c>
    </row>
    <row r="228" spans="1:32" x14ac:dyDescent="0.3">
      <c r="A228" s="10" t="s">
        <v>4</v>
      </c>
      <c r="B228" s="11" t="s">
        <v>228</v>
      </c>
      <c r="C228" s="485"/>
      <c r="D228" s="489" t="s">
        <v>251</v>
      </c>
      <c r="E228" s="489" t="s">
        <v>251</v>
      </c>
      <c r="F228" s="489" t="s">
        <v>251</v>
      </c>
      <c r="G228" s="489" t="s">
        <v>251</v>
      </c>
      <c r="H228" s="489" t="s">
        <v>251</v>
      </c>
      <c r="I228" s="489" t="s">
        <v>251</v>
      </c>
      <c r="J228" s="489" t="s">
        <v>251</v>
      </c>
      <c r="K228" s="489"/>
      <c r="L228" s="489" t="s">
        <v>251</v>
      </c>
      <c r="M228" s="489" t="s">
        <v>251</v>
      </c>
      <c r="N228" s="489" t="s">
        <v>251</v>
      </c>
      <c r="O228" s="489" t="s">
        <v>251</v>
      </c>
      <c r="P228" s="1494">
        <f t="shared" si="16"/>
        <v>0</v>
      </c>
      <c r="Q228" s="1439">
        <f t="shared" si="17"/>
        <v>0</v>
      </c>
      <c r="R228" s="1413" t="s">
        <v>251</v>
      </c>
      <c r="S228" s="1414" t="s">
        <v>251</v>
      </c>
      <c r="T228" s="1414" t="s">
        <v>251</v>
      </c>
      <c r="U228" s="1414"/>
      <c r="V228" s="1414"/>
      <c r="W228" s="1414"/>
      <c r="X228" s="1414"/>
      <c r="Y228" s="1414"/>
      <c r="Z228" s="1414"/>
      <c r="AA228" s="1414"/>
      <c r="AB228" s="1414"/>
      <c r="AC228" s="1414"/>
      <c r="AD228" s="488">
        <f t="shared" si="18"/>
        <v>0</v>
      </c>
      <c r="AE228" s="565">
        <f t="shared" si="19"/>
        <v>0</v>
      </c>
      <c r="AF228" s="566">
        <f t="shared" si="15"/>
        <v>240</v>
      </c>
    </row>
    <row r="229" spans="1:32" x14ac:dyDescent="0.3">
      <c r="A229" s="10" t="s">
        <v>4</v>
      </c>
      <c r="B229" s="11" t="s">
        <v>229</v>
      </c>
      <c r="C229" s="485"/>
      <c r="D229" s="489" t="s">
        <v>251</v>
      </c>
      <c r="E229" s="489" t="s">
        <v>251</v>
      </c>
      <c r="F229" s="489" t="s">
        <v>251</v>
      </c>
      <c r="G229" s="489" t="s">
        <v>251</v>
      </c>
      <c r="H229" s="489" t="s">
        <v>251</v>
      </c>
      <c r="I229" s="489" t="s">
        <v>251</v>
      </c>
      <c r="J229" s="489" t="s">
        <v>251</v>
      </c>
      <c r="K229" s="489"/>
      <c r="L229" s="489" t="s">
        <v>251</v>
      </c>
      <c r="M229" s="489" t="s">
        <v>251</v>
      </c>
      <c r="N229" s="489" t="s">
        <v>251</v>
      </c>
      <c r="O229" s="489" t="s">
        <v>251</v>
      </c>
      <c r="P229" s="1494">
        <f t="shared" si="16"/>
        <v>0</v>
      </c>
      <c r="Q229" s="1439">
        <f t="shared" si="17"/>
        <v>0</v>
      </c>
      <c r="R229" s="1413" t="s">
        <v>251</v>
      </c>
      <c r="S229" s="1414" t="s">
        <v>251</v>
      </c>
      <c r="T229" s="1414" t="s">
        <v>251</v>
      </c>
      <c r="U229" s="1414"/>
      <c r="V229" s="1414"/>
      <c r="W229" s="1414"/>
      <c r="X229" s="1414"/>
      <c r="Y229" s="1414"/>
      <c r="Z229" s="1414"/>
      <c r="AA229" s="1414"/>
      <c r="AB229" s="1414"/>
      <c r="AC229" s="1414"/>
      <c r="AD229" s="488">
        <f t="shared" si="18"/>
        <v>0</v>
      </c>
      <c r="AE229" s="565">
        <f t="shared" si="19"/>
        <v>0</v>
      </c>
      <c r="AF229" s="566">
        <f t="shared" si="15"/>
        <v>240</v>
      </c>
    </row>
    <row r="230" spans="1:32" x14ac:dyDescent="0.3">
      <c r="A230" s="10" t="s">
        <v>4</v>
      </c>
      <c r="B230" s="11" t="s">
        <v>252</v>
      </c>
      <c r="C230" s="485">
        <v>393060</v>
      </c>
      <c r="D230" s="489">
        <v>0</v>
      </c>
      <c r="E230" s="489">
        <v>0</v>
      </c>
      <c r="F230" s="489">
        <v>518070</v>
      </c>
      <c r="G230" s="489">
        <v>0</v>
      </c>
      <c r="H230" s="489">
        <v>1584590</v>
      </c>
      <c r="I230" s="489">
        <v>594440</v>
      </c>
      <c r="J230" s="489">
        <v>107960</v>
      </c>
      <c r="K230" s="489">
        <v>107960</v>
      </c>
      <c r="L230" s="489">
        <v>55600</v>
      </c>
      <c r="M230" s="489">
        <v>68640</v>
      </c>
      <c r="N230" s="489">
        <v>494550</v>
      </c>
      <c r="O230" s="489">
        <v>0</v>
      </c>
      <c r="P230" s="1494">
        <f t="shared" si="16"/>
        <v>3198120</v>
      </c>
      <c r="Q230" s="1439">
        <f t="shared" si="17"/>
        <v>3816910</v>
      </c>
      <c r="R230" s="1413">
        <v>826110</v>
      </c>
      <c r="S230" s="1414">
        <v>87720</v>
      </c>
      <c r="T230" s="1414">
        <v>643300</v>
      </c>
      <c r="U230" s="1414">
        <v>471360</v>
      </c>
      <c r="V230" s="1414">
        <v>0</v>
      </c>
      <c r="W230" s="1414">
        <v>433180</v>
      </c>
      <c r="X230" s="1414">
        <v>0</v>
      </c>
      <c r="Y230" s="1414">
        <v>0</v>
      </c>
      <c r="Z230" s="1414"/>
      <c r="AA230" s="1414"/>
      <c r="AB230" s="1414"/>
      <c r="AC230" s="1414"/>
      <c r="AD230" s="488">
        <f t="shared" si="18"/>
        <v>2461670</v>
      </c>
      <c r="AE230" s="565">
        <f t="shared" si="19"/>
        <v>-0.23027591209835779</v>
      </c>
      <c r="AF230" s="566">
        <f t="shared" si="15"/>
        <v>116</v>
      </c>
    </row>
    <row r="231" spans="1:32" x14ac:dyDescent="0.3">
      <c r="A231" s="10" t="s">
        <v>4</v>
      </c>
      <c r="B231" s="11" t="s">
        <v>517</v>
      </c>
      <c r="C231" s="485"/>
      <c r="D231" s="489">
        <v>0</v>
      </c>
      <c r="E231" s="489">
        <v>0</v>
      </c>
      <c r="F231" s="489">
        <v>0</v>
      </c>
      <c r="G231" s="489">
        <v>0</v>
      </c>
      <c r="H231" s="489">
        <v>0</v>
      </c>
      <c r="I231" s="489">
        <v>821020</v>
      </c>
      <c r="J231" s="489">
        <v>274060</v>
      </c>
      <c r="K231" s="489">
        <v>274060</v>
      </c>
      <c r="L231" s="489">
        <v>406980</v>
      </c>
      <c r="M231" s="489">
        <v>0</v>
      </c>
      <c r="N231" s="489">
        <v>0</v>
      </c>
      <c r="O231" s="489">
        <v>803760</v>
      </c>
      <c r="P231" s="1494">
        <f t="shared" si="16"/>
        <v>1095080</v>
      </c>
      <c r="Q231" s="1439">
        <f t="shared" si="17"/>
        <v>2305820</v>
      </c>
      <c r="R231" s="1413">
        <v>858300</v>
      </c>
      <c r="S231" s="1414" t="s">
        <v>251</v>
      </c>
      <c r="T231" s="1414">
        <v>0</v>
      </c>
      <c r="U231" s="1414">
        <v>0</v>
      </c>
      <c r="V231" s="1414">
        <v>0</v>
      </c>
      <c r="W231" s="1414">
        <v>1580240</v>
      </c>
      <c r="X231" s="1414">
        <v>0</v>
      </c>
      <c r="Y231" s="1414">
        <v>625070</v>
      </c>
      <c r="Z231" s="1414"/>
      <c r="AA231" s="1414"/>
      <c r="AB231" s="1414"/>
      <c r="AC231" s="1414"/>
      <c r="AD231" s="488">
        <f t="shared" si="18"/>
        <v>3063610</v>
      </c>
      <c r="AE231" s="565">
        <f t="shared" si="19"/>
        <v>1.79761295978376</v>
      </c>
      <c r="AF231" s="566">
        <f t="shared" si="15"/>
        <v>109</v>
      </c>
    </row>
    <row r="232" spans="1:32" x14ac:dyDescent="0.3">
      <c r="A232" s="10" t="s">
        <v>4</v>
      </c>
      <c r="B232" s="11" t="s">
        <v>230</v>
      </c>
      <c r="C232" s="485">
        <v>2991390</v>
      </c>
      <c r="D232" s="489">
        <v>237320</v>
      </c>
      <c r="E232" s="489">
        <v>0</v>
      </c>
      <c r="F232" s="489">
        <v>0</v>
      </c>
      <c r="G232" s="489">
        <v>0</v>
      </c>
      <c r="H232" s="489">
        <v>0</v>
      </c>
      <c r="I232" s="489">
        <v>0</v>
      </c>
      <c r="J232" s="489">
        <v>644480</v>
      </c>
      <c r="K232" s="489"/>
      <c r="L232" s="489">
        <v>513050</v>
      </c>
      <c r="M232" s="489">
        <v>0</v>
      </c>
      <c r="N232" s="489">
        <v>0</v>
      </c>
      <c r="O232" s="489">
        <v>0</v>
      </c>
      <c r="P232" s="1494">
        <f t="shared" si="16"/>
        <v>3228710</v>
      </c>
      <c r="Q232" s="1439">
        <f t="shared" si="17"/>
        <v>4386240</v>
      </c>
      <c r="R232" s="1413" t="s">
        <v>251</v>
      </c>
      <c r="S232" s="1414" t="s">
        <v>251</v>
      </c>
      <c r="T232" s="1414" t="s">
        <v>251</v>
      </c>
      <c r="U232" s="1414"/>
      <c r="V232" s="1414"/>
      <c r="W232" s="1414"/>
      <c r="X232" s="1414"/>
      <c r="Y232" s="1414"/>
      <c r="Z232" s="1414"/>
      <c r="AA232" s="1414"/>
      <c r="AB232" s="1414"/>
      <c r="AC232" s="1414"/>
      <c r="AD232" s="488">
        <f t="shared" si="18"/>
        <v>0</v>
      </c>
      <c r="AE232" s="565">
        <f t="shared" si="19"/>
        <v>-1</v>
      </c>
      <c r="AF232" s="566">
        <f t="shared" si="15"/>
        <v>240</v>
      </c>
    </row>
    <row r="233" spans="1:32" x14ac:dyDescent="0.3">
      <c r="A233" s="10" t="s">
        <v>4</v>
      </c>
      <c r="B233" s="11" t="s">
        <v>518</v>
      </c>
      <c r="C233" s="485"/>
      <c r="D233" s="489">
        <v>0</v>
      </c>
      <c r="E233" s="489">
        <v>0</v>
      </c>
      <c r="F233" s="489">
        <v>0</v>
      </c>
      <c r="G233" s="489">
        <v>0</v>
      </c>
      <c r="H233" s="489">
        <v>1864220</v>
      </c>
      <c r="I233" s="489">
        <v>0</v>
      </c>
      <c r="J233" s="489">
        <v>0</v>
      </c>
      <c r="K233" s="489">
        <v>0</v>
      </c>
      <c r="L233" s="489">
        <v>0</v>
      </c>
      <c r="M233" s="489">
        <v>0</v>
      </c>
      <c r="N233" s="489">
        <v>248740</v>
      </c>
      <c r="O233" s="489">
        <v>0</v>
      </c>
      <c r="P233" s="1494">
        <f t="shared" si="16"/>
        <v>1864220</v>
      </c>
      <c r="Q233" s="1439">
        <f t="shared" si="17"/>
        <v>2112960</v>
      </c>
      <c r="R233" s="1413">
        <v>249620</v>
      </c>
      <c r="S233" s="1414" t="s">
        <v>251</v>
      </c>
      <c r="T233" s="1414">
        <v>0</v>
      </c>
      <c r="U233" s="1414">
        <v>0</v>
      </c>
      <c r="V233" s="1414">
        <v>0</v>
      </c>
      <c r="W233" s="1414">
        <v>1383620</v>
      </c>
      <c r="X233" s="1414">
        <v>0</v>
      </c>
      <c r="Y233" s="1414">
        <v>0</v>
      </c>
      <c r="Z233" s="1414"/>
      <c r="AA233" s="1414"/>
      <c r="AB233" s="1414"/>
      <c r="AC233" s="1414"/>
      <c r="AD233" s="488">
        <f t="shared" si="18"/>
        <v>1633240</v>
      </c>
      <c r="AE233" s="565">
        <f t="shared" si="19"/>
        <v>-0.12390168542339423</v>
      </c>
      <c r="AF233" s="566">
        <f t="shared" si="15"/>
        <v>129</v>
      </c>
    </row>
    <row r="234" spans="1:32" x14ac:dyDescent="0.3">
      <c r="A234" s="10" t="s">
        <v>4</v>
      </c>
      <c r="B234" s="11" t="s">
        <v>519</v>
      </c>
      <c r="C234" s="485"/>
      <c r="D234" s="489">
        <v>0</v>
      </c>
      <c r="E234" s="489">
        <v>0</v>
      </c>
      <c r="F234" s="489">
        <v>0</v>
      </c>
      <c r="G234" s="489">
        <v>0</v>
      </c>
      <c r="H234" s="489">
        <v>1168320</v>
      </c>
      <c r="I234" s="489">
        <v>0</v>
      </c>
      <c r="J234" s="489">
        <v>0</v>
      </c>
      <c r="K234" s="489">
        <v>0</v>
      </c>
      <c r="L234" s="489">
        <v>0</v>
      </c>
      <c r="M234" s="489">
        <v>1259300</v>
      </c>
      <c r="N234" s="489">
        <v>29390</v>
      </c>
      <c r="O234" s="489">
        <v>0</v>
      </c>
      <c r="P234" s="1494">
        <f t="shared" si="16"/>
        <v>1168320</v>
      </c>
      <c r="Q234" s="1439">
        <f t="shared" si="17"/>
        <v>2457010</v>
      </c>
      <c r="R234" s="1413" t="s">
        <v>251</v>
      </c>
      <c r="S234" s="1414" t="s">
        <v>251</v>
      </c>
      <c r="T234" s="1414" t="s">
        <v>251</v>
      </c>
      <c r="U234" s="1414"/>
      <c r="V234" s="1414"/>
      <c r="W234" s="1414">
        <v>2131460</v>
      </c>
      <c r="X234" s="1414">
        <v>1654260</v>
      </c>
      <c r="Y234" s="1414">
        <v>0</v>
      </c>
      <c r="Z234" s="1414"/>
      <c r="AA234" s="1414"/>
      <c r="AB234" s="1414"/>
      <c r="AC234" s="1414"/>
      <c r="AD234" s="488">
        <f t="shared" si="18"/>
        <v>3785720</v>
      </c>
      <c r="AE234" s="565">
        <f t="shared" si="19"/>
        <v>2.2403108737332236</v>
      </c>
      <c r="AF234" s="566">
        <f t="shared" si="15"/>
        <v>95</v>
      </c>
    </row>
    <row r="235" spans="1:32" x14ac:dyDescent="0.3">
      <c r="A235" s="10" t="s">
        <v>4</v>
      </c>
      <c r="B235" s="11" t="s">
        <v>520</v>
      </c>
      <c r="C235" s="485"/>
      <c r="D235" s="489">
        <v>0</v>
      </c>
      <c r="E235" s="489">
        <v>0</v>
      </c>
      <c r="F235" s="489">
        <v>0</v>
      </c>
      <c r="G235" s="489">
        <v>0</v>
      </c>
      <c r="H235" s="489">
        <v>0</v>
      </c>
      <c r="I235" s="489">
        <v>0</v>
      </c>
      <c r="J235" s="489">
        <v>822210</v>
      </c>
      <c r="K235" s="489">
        <v>1154410</v>
      </c>
      <c r="L235" s="489">
        <v>0</v>
      </c>
      <c r="M235" s="489">
        <v>285230</v>
      </c>
      <c r="N235" s="489">
        <v>0</v>
      </c>
      <c r="O235" s="489">
        <v>0</v>
      </c>
      <c r="P235" s="1494">
        <f t="shared" si="16"/>
        <v>1154410</v>
      </c>
      <c r="Q235" s="1439">
        <f t="shared" si="17"/>
        <v>1107440</v>
      </c>
      <c r="R235" s="1413" t="s">
        <v>251</v>
      </c>
      <c r="S235" s="1414" t="s">
        <v>251</v>
      </c>
      <c r="T235" s="1414" t="s">
        <v>251</v>
      </c>
      <c r="U235" s="1414"/>
      <c r="V235" s="1414"/>
      <c r="W235" s="1414"/>
      <c r="X235" s="1414"/>
      <c r="Y235" s="1414"/>
      <c r="Z235" s="1414"/>
      <c r="AA235" s="1414"/>
      <c r="AB235" s="1414"/>
      <c r="AC235" s="1414"/>
      <c r="AD235" s="488">
        <f t="shared" si="18"/>
        <v>0</v>
      </c>
      <c r="AE235" s="565">
        <f t="shared" si="19"/>
        <v>-1</v>
      </c>
      <c r="AF235" s="566">
        <f t="shared" si="15"/>
        <v>240</v>
      </c>
    </row>
    <row r="236" spans="1:32" x14ac:dyDescent="0.3">
      <c r="A236" s="10" t="s">
        <v>4</v>
      </c>
      <c r="B236" s="11" t="s">
        <v>521</v>
      </c>
      <c r="C236" s="485"/>
      <c r="D236" s="489" t="s">
        <v>251</v>
      </c>
      <c r="E236" s="489" t="s">
        <v>251</v>
      </c>
      <c r="F236" s="489" t="s">
        <v>251</v>
      </c>
      <c r="G236" s="489" t="s">
        <v>251</v>
      </c>
      <c r="H236" s="489" t="s">
        <v>251</v>
      </c>
      <c r="I236" s="489" t="s">
        <v>251</v>
      </c>
      <c r="J236" s="489" t="s">
        <v>251</v>
      </c>
      <c r="K236" s="489"/>
      <c r="L236" s="489" t="s">
        <v>251</v>
      </c>
      <c r="M236" s="489" t="s">
        <v>251</v>
      </c>
      <c r="N236" s="489" t="s">
        <v>251</v>
      </c>
      <c r="O236" s="489" t="s">
        <v>251</v>
      </c>
      <c r="P236" s="1494">
        <f t="shared" si="16"/>
        <v>0</v>
      </c>
      <c r="Q236" s="1439">
        <f t="shared" si="17"/>
        <v>0</v>
      </c>
      <c r="R236" s="1413" t="s">
        <v>251</v>
      </c>
      <c r="S236" s="1414" t="s">
        <v>251</v>
      </c>
      <c r="T236" s="1414" t="s">
        <v>251</v>
      </c>
      <c r="U236" s="1414"/>
      <c r="V236" s="1414"/>
      <c r="W236" s="1414"/>
      <c r="X236" s="1414"/>
      <c r="Y236" s="1414"/>
      <c r="Z236" s="1414"/>
      <c r="AA236" s="1414"/>
      <c r="AB236" s="1414"/>
      <c r="AC236" s="1414"/>
      <c r="AD236" s="488">
        <f t="shared" si="18"/>
        <v>0</v>
      </c>
      <c r="AE236" s="565">
        <f t="shared" si="19"/>
        <v>0</v>
      </c>
      <c r="AF236" s="566">
        <f t="shared" si="15"/>
        <v>240</v>
      </c>
    </row>
    <row r="237" spans="1:32" x14ac:dyDescent="0.3">
      <c r="A237" s="10" t="s">
        <v>4</v>
      </c>
      <c r="B237" s="11" t="s">
        <v>248</v>
      </c>
      <c r="C237" s="485"/>
      <c r="D237" s="489" t="s">
        <v>251</v>
      </c>
      <c r="E237" s="489" t="s">
        <v>251</v>
      </c>
      <c r="F237" s="489" t="s">
        <v>251</v>
      </c>
      <c r="G237" s="489" t="s">
        <v>251</v>
      </c>
      <c r="H237" s="489" t="s">
        <v>251</v>
      </c>
      <c r="I237" s="489" t="s">
        <v>251</v>
      </c>
      <c r="J237" s="489" t="s">
        <v>251</v>
      </c>
      <c r="K237" s="489"/>
      <c r="L237" s="489" t="s">
        <v>251</v>
      </c>
      <c r="M237" s="489" t="s">
        <v>251</v>
      </c>
      <c r="N237" s="489" t="s">
        <v>251</v>
      </c>
      <c r="O237" s="489" t="s">
        <v>251</v>
      </c>
      <c r="P237" s="1494">
        <f t="shared" si="16"/>
        <v>0</v>
      </c>
      <c r="Q237" s="1439">
        <f t="shared" si="17"/>
        <v>0</v>
      </c>
      <c r="R237" s="1413" t="s">
        <v>251</v>
      </c>
      <c r="S237" s="1414" t="s">
        <v>251</v>
      </c>
      <c r="T237" s="1414" t="s">
        <v>251</v>
      </c>
      <c r="U237" s="1414"/>
      <c r="V237" s="1414"/>
      <c r="W237" s="1414"/>
      <c r="X237" s="1414"/>
      <c r="Y237" s="1414"/>
      <c r="Z237" s="1414"/>
      <c r="AA237" s="1414"/>
      <c r="AB237" s="1414"/>
      <c r="AC237" s="1414"/>
      <c r="AD237" s="488">
        <f t="shared" si="18"/>
        <v>0</v>
      </c>
      <c r="AE237" s="565">
        <f t="shared" si="19"/>
        <v>0</v>
      </c>
      <c r="AF237" s="566">
        <f t="shared" si="15"/>
        <v>240</v>
      </c>
    </row>
    <row r="238" spans="1:32" x14ac:dyDescent="0.3">
      <c r="A238" s="10" t="s">
        <v>4</v>
      </c>
      <c r="B238" s="11" t="s">
        <v>522</v>
      </c>
      <c r="C238" s="485"/>
      <c r="D238" s="489" t="s">
        <v>251</v>
      </c>
      <c r="E238" s="489" t="s">
        <v>251</v>
      </c>
      <c r="F238" s="489" t="s">
        <v>251</v>
      </c>
      <c r="G238" s="489" t="s">
        <v>251</v>
      </c>
      <c r="H238" s="489" t="s">
        <v>251</v>
      </c>
      <c r="I238" s="489" t="s">
        <v>251</v>
      </c>
      <c r="J238" s="489" t="s">
        <v>251</v>
      </c>
      <c r="K238" s="489"/>
      <c r="L238" s="489" t="s">
        <v>251</v>
      </c>
      <c r="M238" s="489" t="s">
        <v>251</v>
      </c>
      <c r="N238" s="489" t="s">
        <v>251</v>
      </c>
      <c r="O238" s="489" t="s">
        <v>251</v>
      </c>
      <c r="P238" s="1494">
        <f t="shared" si="16"/>
        <v>0</v>
      </c>
      <c r="Q238" s="1439">
        <f t="shared" si="17"/>
        <v>0</v>
      </c>
      <c r="R238" s="1413" t="s">
        <v>251</v>
      </c>
      <c r="S238" s="1414" t="s">
        <v>251</v>
      </c>
      <c r="T238" s="1414" t="s">
        <v>251</v>
      </c>
      <c r="U238" s="1414"/>
      <c r="V238" s="1414"/>
      <c r="W238" s="1414"/>
      <c r="X238" s="1414"/>
      <c r="Y238" s="1414"/>
      <c r="Z238" s="1414"/>
      <c r="AA238" s="1414"/>
      <c r="AB238" s="1414"/>
      <c r="AC238" s="1414"/>
      <c r="AD238" s="488">
        <f t="shared" si="18"/>
        <v>0</v>
      </c>
      <c r="AE238" s="565">
        <f t="shared" si="19"/>
        <v>0</v>
      </c>
      <c r="AF238" s="566">
        <f t="shared" si="15"/>
        <v>240</v>
      </c>
    </row>
    <row r="239" spans="1:32" x14ac:dyDescent="0.3">
      <c r="A239" s="10" t="s">
        <v>4</v>
      </c>
      <c r="B239" s="11" t="s">
        <v>523</v>
      </c>
      <c r="C239" s="485"/>
      <c r="D239" s="489" t="s">
        <v>251</v>
      </c>
      <c r="E239" s="489" t="s">
        <v>251</v>
      </c>
      <c r="F239" s="489" t="s">
        <v>251</v>
      </c>
      <c r="G239" s="489" t="s">
        <v>251</v>
      </c>
      <c r="H239" s="489" t="s">
        <v>251</v>
      </c>
      <c r="I239" s="489" t="s">
        <v>251</v>
      </c>
      <c r="J239" s="489" t="s">
        <v>251</v>
      </c>
      <c r="K239" s="489"/>
      <c r="L239" s="489" t="s">
        <v>251</v>
      </c>
      <c r="M239" s="489" t="s">
        <v>251</v>
      </c>
      <c r="N239" s="489" t="s">
        <v>251</v>
      </c>
      <c r="O239" s="489" t="s">
        <v>251</v>
      </c>
      <c r="P239" s="1494">
        <f t="shared" si="16"/>
        <v>0</v>
      </c>
      <c r="Q239" s="1439">
        <f t="shared" si="17"/>
        <v>0</v>
      </c>
      <c r="R239" s="1413" t="s">
        <v>251</v>
      </c>
      <c r="S239" s="1414" t="s">
        <v>251</v>
      </c>
      <c r="T239" s="1414" t="s">
        <v>251</v>
      </c>
      <c r="U239" s="1414"/>
      <c r="V239" s="1414"/>
      <c r="W239" s="1414"/>
      <c r="X239" s="1414"/>
      <c r="Y239" s="1414"/>
      <c r="Z239" s="1414"/>
      <c r="AA239" s="1414"/>
      <c r="AB239" s="1414"/>
      <c r="AC239" s="1414"/>
      <c r="AD239" s="488">
        <f t="shared" si="18"/>
        <v>0</v>
      </c>
      <c r="AE239" s="565">
        <f t="shared" si="19"/>
        <v>0</v>
      </c>
      <c r="AF239" s="566">
        <f t="shared" si="15"/>
        <v>240</v>
      </c>
    </row>
    <row r="240" spans="1:32" x14ac:dyDescent="0.3">
      <c r="A240" s="10" t="s">
        <v>4</v>
      </c>
      <c r="B240" s="11" t="s">
        <v>524</v>
      </c>
      <c r="C240" s="485"/>
      <c r="D240" s="489" t="s">
        <v>251</v>
      </c>
      <c r="E240" s="489" t="s">
        <v>251</v>
      </c>
      <c r="F240" s="489" t="s">
        <v>251</v>
      </c>
      <c r="G240" s="489" t="s">
        <v>251</v>
      </c>
      <c r="H240" s="489" t="s">
        <v>251</v>
      </c>
      <c r="I240" s="489" t="s">
        <v>251</v>
      </c>
      <c r="J240" s="489" t="s">
        <v>251</v>
      </c>
      <c r="K240" s="489"/>
      <c r="L240" s="489" t="s">
        <v>251</v>
      </c>
      <c r="M240" s="489" t="s">
        <v>251</v>
      </c>
      <c r="N240" s="489" t="s">
        <v>251</v>
      </c>
      <c r="O240" s="489" t="s">
        <v>251</v>
      </c>
      <c r="P240" s="1494">
        <f t="shared" si="16"/>
        <v>0</v>
      </c>
      <c r="Q240" s="1439">
        <f t="shared" si="17"/>
        <v>0</v>
      </c>
      <c r="R240" s="1413" t="s">
        <v>251</v>
      </c>
      <c r="S240" s="1414" t="s">
        <v>251</v>
      </c>
      <c r="T240" s="1414" t="s">
        <v>251</v>
      </c>
      <c r="U240" s="1414"/>
      <c r="V240" s="1414"/>
      <c r="W240" s="1414"/>
      <c r="X240" s="1414"/>
      <c r="Y240" s="1414"/>
      <c r="Z240" s="1414"/>
      <c r="AA240" s="1414"/>
      <c r="AB240" s="1414"/>
      <c r="AC240" s="1414"/>
      <c r="AD240" s="488">
        <f t="shared" si="18"/>
        <v>0</v>
      </c>
      <c r="AE240" s="565">
        <f t="shared" si="19"/>
        <v>0</v>
      </c>
      <c r="AF240" s="566">
        <f t="shared" si="15"/>
        <v>240</v>
      </c>
    </row>
    <row r="241" spans="1:32" x14ac:dyDescent="0.3">
      <c r="A241" s="10" t="s">
        <v>4</v>
      </c>
      <c r="B241" s="11" t="s">
        <v>525</v>
      </c>
      <c r="C241" s="485"/>
      <c r="D241" s="489" t="s">
        <v>251</v>
      </c>
      <c r="E241" s="489" t="s">
        <v>251</v>
      </c>
      <c r="F241" s="489" t="s">
        <v>251</v>
      </c>
      <c r="G241" s="489" t="s">
        <v>251</v>
      </c>
      <c r="H241" s="489" t="s">
        <v>251</v>
      </c>
      <c r="I241" s="489" t="s">
        <v>251</v>
      </c>
      <c r="J241" s="489" t="s">
        <v>251</v>
      </c>
      <c r="K241" s="489"/>
      <c r="L241" s="489" t="s">
        <v>251</v>
      </c>
      <c r="M241" s="489" t="s">
        <v>251</v>
      </c>
      <c r="N241" s="489" t="s">
        <v>251</v>
      </c>
      <c r="O241" s="489" t="s">
        <v>251</v>
      </c>
      <c r="P241" s="1494">
        <f t="shared" si="16"/>
        <v>0</v>
      </c>
      <c r="Q241" s="1439">
        <f t="shared" si="17"/>
        <v>0</v>
      </c>
      <c r="R241" s="1413" t="s">
        <v>251</v>
      </c>
      <c r="S241" s="1414" t="s">
        <v>251</v>
      </c>
      <c r="T241" s="1414" t="s">
        <v>251</v>
      </c>
      <c r="U241" s="1414"/>
      <c r="V241" s="1414"/>
      <c r="W241" s="1414"/>
      <c r="X241" s="1414"/>
      <c r="Y241" s="1414"/>
      <c r="Z241" s="1414"/>
      <c r="AA241" s="1414"/>
      <c r="AB241" s="1414"/>
      <c r="AC241" s="1414"/>
      <c r="AD241" s="488">
        <f t="shared" si="18"/>
        <v>0</v>
      </c>
      <c r="AE241" s="565">
        <f t="shared" si="19"/>
        <v>0</v>
      </c>
      <c r="AF241" s="566">
        <f t="shared" si="15"/>
        <v>240</v>
      </c>
    </row>
    <row r="242" spans="1:32" x14ac:dyDescent="0.3">
      <c r="A242" s="10" t="s">
        <v>4</v>
      </c>
      <c r="B242" s="11" t="s">
        <v>526</v>
      </c>
      <c r="C242" s="485"/>
      <c r="D242" s="489" t="s">
        <v>251</v>
      </c>
      <c r="E242" s="489" t="s">
        <v>251</v>
      </c>
      <c r="F242" s="489" t="s">
        <v>251</v>
      </c>
      <c r="G242" s="489" t="s">
        <v>251</v>
      </c>
      <c r="H242" s="489" t="s">
        <v>251</v>
      </c>
      <c r="I242" s="489" t="s">
        <v>251</v>
      </c>
      <c r="J242" s="489" t="s">
        <v>251</v>
      </c>
      <c r="K242" s="489"/>
      <c r="L242" s="489" t="s">
        <v>251</v>
      </c>
      <c r="M242" s="489" t="s">
        <v>251</v>
      </c>
      <c r="N242" s="489" t="s">
        <v>251</v>
      </c>
      <c r="O242" s="489" t="s">
        <v>251</v>
      </c>
      <c r="P242" s="1494">
        <f t="shared" si="16"/>
        <v>0</v>
      </c>
      <c r="Q242" s="1439">
        <f t="shared" si="17"/>
        <v>0</v>
      </c>
      <c r="R242" s="1413" t="s">
        <v>251</v>
      </c>
      <c r="S242" s="1414" t="s">
        <v>251</v>
      </c>
      <c r="T242" s="1414" t="s">
        <v>251</v>
      </c>
      <c r="U242" s="1414"/>
      <c r="V242" s="1414"/>
      <c r="W242" s="1414"/>
      <c r="X242" s="1414"/>
      <c r="Y242" s="1414"/>
      <c r="Z242" s="1414"/>
      <c r="AA242" s="1414"/>
      <c r="AB242" s="1414"/>
      <c r="AC242" s="1414"/>
      <c r="AD242" s="488">
        <f t="shared" si="18"/>
        <v>0</v>
      </c>
      <c r="AE242" s="565">
        <f t="shared" si="19"/>
        <v>0</v>
      </c>
      <c r="AF242" s="566">
        <f t="shared" si="15"/>
        <v>240</v>
      </c>
    </row>
    <row r="243" spans="1:32" x14ac:dyDescent="0.3">
      <c r="A243" s="10" t="s">
        <v>4</v>
      </c>
      <c r="B243" s="11" t="s">
        <v>527</v>
      </c>
      <c r="C243" s="485"/>
      <c r="D243" s="489">
        <v>0</v>
      </c>
      <c r="E243" s="489">
        <v>0</v>
      </c>
      <c r="F243" s="489">
        <v>0</v>
      </c>
      <c r="G243" s="489" t="s">
        <v>251</v>
      </c>
      <c r="H243" s="489">
        <v>0</v>
      </c>
      <c r="I243" s="489">
        <v>0</v>
      </c>
      <c r="J243" s="489">
        <v>0</v>
      </c>
      <c r="K243" s="489"/>
      <c r="L243" s="489">
        <v>0</v>
      </c>
      <c r="M243" s="489">
        <v>0</v>
      </c>
      <c r="N243" s="489">
        <v>0</v>
      </c>
      <c r="O243" s="489">
        <v>995940</v>
      </c>
      <c r="P243" s="1494">
        <f t="shared" si="16"/>
        <v>0</v>
      </c>
      <c r="Q243" s="1439">
        <f t="shared" si="17"/>
        <v>995940</v>
      </c>
      <c r="R243" s="1413" t="s">
        <v>251</v>
      </c>
      <c r="S243" s="1414" t="s">
        <v>251</v>
      </c>
      <c r="T243" s="1414" t="s">
        <v>251</v>
      </c>
      <c r="U243" s="1414">
        <v>439730</v>
      </c>
      <c r="V243" s="1414">
        <v>0</v>
      </c>
      <c r="W243" s="1414">
        <v>0</v>
      </c>
      <c r="X243" s="1414">
        <v>0</v>
      </c>
      <c r="Y243" s="1414">
        <v>0</v>
      </c>
      <c r="Z243" s="1414"/>
      <c r="AA243" s="1414"/>
      <c r="AB243" s="1414"/>
      <c r="AC243" s="1414"/>
      <c r="AD243" s="488">
        <f t="shared" si="18"/>
        <v>439730</v>
      </c>
      <c r="AE243" s="565">
        <f t="shared" si="19"/>
        <v>1</v>
      </c>
      <c r="AF243" s="566">
        <f t="shared" si="15"/>
        <v>184</v>
      </c>
    </row>
    <row r="244" spans="1:32" x14ac:dyDescent="0.3">
      <c r="A244" s="10" t="s">
        <v>4</v>
      </c>
      <c r="B244" s="11" t="s">
        <v>528</v>
      </c>
      <c r="C244" s="485"/>
      <c r="D244" s="489" t="s">
        <v>251</v>
      </c>
      <c r="E244" s="489" t="s">
        <v>251</v>
      </c>
      <c r="F244" s="489" t="s">
        <v>251</v>
      </c>
      <c r="G244" s="489" t="s">
        <v>251</v>
      </c>
      <c r="H244" s="489" t="s">
        <v>251</v>
      </c>
      <c r="I244" s="489" t="s">
        <v>251</v>
      </c>
      <c r="J244" s="489" t="s">
        <v>251</v>
      </c>
      <c r="K244" s="489"/>
      <c r="L244" s="489" t="s">
        <v>251</v>
      </c>
      <c r="M244" s="489" t="s">
        <v>251</v>
      </c>
      <c r="N244" s="489" t="s">
        <v>251</v>
      </c>
      <c r="O244" s="489" t="s">
        <v>251</v>
      </c>
      <c r="P244" s="1494">
        <f t="shared" si="16"/>
        <v>0</v>
      </c>
      <c r="Q244" s="1439">
        <f t="shared" si="17"/>
        <v>0</v>
      </c>
      <c r="R244" s="1413" t="s">
        <v>251</v>
      </c>
      <c r="S244" s="1414" t="s">
        <v>251</v>
      </c>
      <c r="T244" s="1414" t="s">
        <v>251</v>
      </c>
      <c r="U244" s="1414"/>
      <c r="V244" s="1414"/>
      <c r="W244" s="1414"/>
      <c r="X244" s="1414"/>
      <c r="Y244" s="1414"/>
      <c r="Z244" s="1414"/>
      <c r="AA244" s="1414"/>
      <c r="AB244" s="1414"/>
      <c r="AC244" s="1414"/>
      <c r="AD244" s="488">
        <f t="shared" si="18"/>
        <v>0</v>
      </c>
      <c r="AE244" s="565">
        <f t="shared" si="19"/>
        <v>0</v>
      </c>
      <c r="AF244" s="566">
        <f t="shared" si="15"/>
        <v>240</v>
      </c>
    </row>
    <row r="245" spans="1:32" x14ac:dyDescent="0.3">
      <c r="A245" s="10" t="s">
        <v>4</v>
      </c>
      <c r="B245" s="11" t="s">
        <v>529</v>
      </c>
      <c r="C245" s="485"/>
      <c r="D245" s="489" t="s">
        <v>251</v>
      </c>
      <c r="E245" s="489" t="s">
        <v>251</v>
      </c>
      <c r="F245" s="489" t="s">
        <v>251</v>
      </c>
      <c r="G245" s="489" t="s">
        <v>251</v>
      </c>
      <c r="H245" s="489" t="s">
        <v>251</v>
      </c>
      <c r="I245" s="489" t="s">
        <v>251</v>
      </c>
      <c r="J245" s="489" t="s">
        <v>251</v>
      </c>
      <c r="K245" s="489"/>
      <c r="L245" s="489" t="s">
        <v>251</v>
      </c>
      <c r="M245" s="489" t="s">
        <v>251</v>
      </c>
      <c r="N245" s="489" t="s">
        <v>251</v>
      </c>
      <c r="O245" s="489" t="s">
        <v>251</v>
      </c>
      <c r="P245" s="1494">
        <f t="shared" si="16"/>
        <v>0</v>
      </c>
      <c r="Q245" s="1439">
        <f t="shared" si="17"/>
        <v>0</v>
      </c>
      <c r="R245" s="1413" t="s">
        <v>251</v>
      </c>
      <c r="S245" s="1414" t="s">
        <v>251</v>
      </c>
      <c r="T245" s="1414" t="s">
        <v>251</v>
      </c>
      <c r="U245" s="1414"/>
      <c r="V245" s="1414"/>
      <c r="W245" s="1414"/>
      <c r="X245" s="1414"/>
      <c r="Y245" s="1414"/>
      <c r="Z245" s="1414"/>
      <c r="AA245" s="1414"/>
      <c r="AB245" s="1414"/>
      <c r="AC245" s="1414"/>
      <c r="AD245" s="488">
        <f t="shared" si="18"/>
        <v>0</v>
      </c>
      <c r="AE245" s="565">
        <f t="shared" si="19"/>
        <v>0</v>
      </c>
      <c r="AF245" s="566">
        <f t="shared" si="15"/>
        <v>240</v>
      </c>
    </row>
    <row r="246" spans="1:32" x14ac:dyDescent="0.3">
      <c r="A246" s="10" t="s">
        <v>4</v>
      </c>
      <c r="B246" s="11" t="s">
        <v>530</v>
      </c>
      <c r="C246" s="485"/>
      <c r="D246" s="489" t="s">
        <v>251</v>
      </c>
      <c r="E246" s="489" t="s">
        <v>251</v>
      </c>
      <c r="F246" s="489" t="s">
        <v>251</v>
      </c>
      <c r="G246" s="489" t="s">
        <v>251</v>
      </c>
      <c r="H246" s="489" t="s">
        <v>251</v>
      </c>
      <c r="I246" s="489" t="s">
        <v>251</v>
      </c>
      <c r="J246" s="489" t="s">
        <v>251</v>
      </c>
      <c r="K246" s="489"/>
      <c r="L246" s="489" t="s">
        <v>251</v>
      </c>
      <c r="M246" s="489" t="s">
        <v>251</v>
      </c>
      <c r="N246" s="489" t="s">
        <v>251</v>
      </c>
      <c r="O246" s="489" t="s">
        <v>251</v>
      </c>
      <c r="P246" s="1494">
        <f t="shared" si="16"/>
        <v>0</v>
      </c>
      <c r="Q246" s="1439">
        <f t="shared" si="17"/>
        <v>0</v>
      </c>
      <c r="R246" s="1413" t="s">
        <v>251</v>
      </c>
      <c r="S246" s="1414" t="s">
        <v>251</v>
      </c>
      <c r="T246" s="1414" t="s">
        <v>251</v>
      </c>
      <c r="U246" s="1414"/>
      <c r="V246" s="1414"/>
      <c r="W246" s="1414"/>
      <c r="X246" s="1414"/>
      <c r="Y246" s="1414"/>
      <c r="Z246" s="1414"/>
      <c r="AA246" s="1414"/>
      <c r="AB246" s="1414"/>
      <c r="AC246" s="1414"/>
      <c r="AD246" s="488">
        <f t="shared" si="18"/>
        <v>0</v>
      </c>
      <c r="AE246" s="565">
        <f t="shared" si="19"/>
        <v>0</v>
      </c>
      <c r="AF246" s="566">
        <f t="shared" si="15"/>
        <v>240</v>
      </c>
    </row>
    <row r="247" spans="1:32" x14ac:dyDescent="0.3">
      <c r="A247" s="10" t="s">
        <v>4</v>
      </c>
      <c r="B247" s="11" t="s">
        <v>531</v>
      </c>
      <c r="C247" s="485"/>
      <c r="D247" s="489" t="s">
        <v>251</v>
      </c>
      <c r="E247" s="489" t="s">
        <v>251</v>
      </c>
      <c r="F247" s="489" t="s">
        <v>251</v>
      </c>
      <c r="G247" s="489" t="s">
        <v>251</v>
      </c>
      <c r="H247" s="489" t="s">
        <v>251</v>
      </c>
      <c r="I247" s="489" t="s">
        <v>251</v>
      </c>
      <c r="J247" s="489" t="s">
        <v>251</v>
      </c>
      <c r="K247" s="489"/>
      <c r="L247" s="489" t="s">
        <v>251</v>
      </c>
      <c r="M247" s="489" t="s">
        <v>251</v>
      </c>
      <c r="N247" s="489" t="s">
        <v>251</v>
      </c>
      <c r="O247" s="489" t="s">
        <v>251</v>
      </c>
      <c r="P247" s="1494">
        <f t="shared" si="16"/>
        <v>0</v>
      </c>
      <c r="Q247" s="1439">
        <f t="shared" si="17"/>
        <v>0</v>
      </c>
      <c r="R247" s="1413" t="s">
        <v>251</v>
      </c>
      <c r="S247" s="1414" t="s">
        <v>251</v>
      </c>
      <c r="T247" s="1414" t="s">
        <v>251</v>
      </c>
      <c r="U247" s="1414"/>
      <c r="V247" s="1414"/>
      <c r="W247" s="1414"/>
      <c r="X247" s="1414"/>
      <c r="Y247" s="1414"/>
      <c r="Z247" s="1414"/>
      <c r="AA247" s="1414"/>
      <c r="AB247" s="1414"/>
      <c r="AC247" s="1414"/>
      <c r="AD247" s="488">
        <f t="shared" si="18"/>
        <v>0</v>
      </c>
      <c r="AE247" s="565">
        <f t="shared" si="19"/>
        <v>0</v>
      </c>
      <c r="AF247" s="566">
        <f t="shared" si="15"/>
        <v>240</v>
      </c>
    </row>
    <row r="248" spans="1:32" x14ac:dyDescent="0.3">
      <c r="A248" s="10" t="s">
        <v>4</v>
      </c>
      <c r="B248" s="11" t="s">
        <v>532</v>
      </c>
      <c r="C248" s="485"/>
      <c r="D248" s="489" t="s">
        <v>251</v>
      </c>
      <c r="E248" s="489" t="s">
        <v>251</v>
      </c>
      <c r="F248" s="489" t="s">
        <v>251</v>
      </c>
      <c r="G248" s="489" t="s">
        <v>251</v>
      </c>
      <c r="H248" s="489" t="s">
        <v>251</v>
      </c>
      <c r="I248" s="489" t="s">
        <v>251</v>
      </c>
      <c r="J248" s="489" t="s">
        <v>251</v>
      </c>
      <c r="K248" s="489"/>
      <c r="L248" s="489" t="s">
        <v>251</v>
      </c>
      <c r="M248" s="489" t="s">
        <v>251</v>
      </c>
      <c r="N248" s="489" t="s">
        <v>251</v>
      </c>
      <c r="O248" s="489" t="s">
        <v>251</v>
      </c>
      <c r="P248" s="1494">
        <f t="shared" si="16"/>
        <v>0</v>
      </c>
      <c r="Q248" s="1439">
        <f t="shared" si="17"/>
        <v>0</v>
      </c>
      <c r="R248" s="1413" t="s">
        <v>251</v>
      </c>
      <c r="S248" s="1414" t="s">
        <v>251</v>
      </c>
      <c r="T248" s="1414" t="s">
        <v>251</v>
      </c>
      <c r="U248" s="1414"/>
      <c r="V248" s="1414"/>
      <c r="W248" s="1414"/>
      <c r="X248" s="1414"/>
      <c r="Y248" s="1414"/>
      <c r="Z248" s="1414"/>
      <c r="AA248" s="1414"/>
      <c r="AB248" s="1414"/>
      <c r="AC248" s="1414"/>
      <c r="AD248" s="488">
        <f t="shared" si="18"/>
        <v>0</v>
      </c>
      <c r="AE248" s="565">
        <f t="shared" si="19"/>
        <v>0</v>
      </c>
      <c r="AF248" s="566">
        <f t="shared" si="15"/>
        <v>240</v>
      </c>
    </row>
    <row r="249" spans="1:32" x14ac:dyDescent="0.3">
      <c r="A249" s="10" t="s">
        <v>4</v>
      </c>
      <c r="B249" s="11" t="s">
        <v>533</v>
      </c>
      <c r="C249" s="485"/>
      <c r="D249" s="489" t="s">
        <v>251</v>
      </c>
      <c r="E249" s="489" t="s">
        <v>251</v>
      </c>
      <c r="F249" s="489" t="s">
        <v>251</v>
      </c>
      <c r="G249" s="489" t="s">
        <v>251</v>
      </c>
      <c r="H249" s="489" t="s">
        <v>251</v>
      </c>
      <c r="I249" s="489" t="s">
        <v>251</v>
      </c>
      <c r="J249" s="489" t="s">
        <v>251</v>
      </c>
      <c r="K249" s="489"/>
      <c r="L249" s="489" t="s">
        <v>251</v>
      </c>
      <c r="M249" s="489" t="s">
        <v>251</v>
      </c>
      <c r="N249" s="489" t="s">
        <v>251</v>
      </c>
      <c r="O249" s="489" t="s">
        <v>251</v>
      </c>
      <c r="P249" s="1494">
        <f t="shared" si="16"/>
        <v>0</v>
      </c>
      <c r="Q249" s="1439">
        <f t="shared" si="17"/>
        <v>0</v>
      </c>
      <c r="R249" s="1413" t="s">
        <v>251</v>
      </c>
      <c r="S249" s="1414" t="s">
        <v>251</v>
      </c>
      <c r="T249" s="1414" t="s">
        <v>251</v>
      </c>
      <c r="U249" s="1414"/>
      <c r="V249" s="1414"/>
      <c r="W249" s="1414"/>
      <c r="X249" s="1414"/>
      <c r="Y249" s="1414"/>
      <c r="Z249" s="1414"/>
      <c r="AA249" s="1414"/>
      <c r="AB249" s="1414"/>
      <c r="AC249" s="1414"/>
      <c r="AD249" s="488">
        <f t="shared" si="18"/>
        <v>0</v>
      </c>
      <c r="AE249" s="565">
        <f t="shared" si="19"/>
        <v>0</v>
      </c>
      <c r="AF249" s="566">
        <f t="shared" si="15"/>
        <v>240</v>
      </c>
    </row>
    <row r="250" spans="1:32" x14ac:dyDescent="0.3">
      <c r="A250" s="10" t="s">
        <v>4</v>
      </c>
      <c r="B250" s="11" t="s">
        <v>534</v>
      </c>
      <c r="C250" s="485"/>
      <c r="D250" s="489" t="s">
        <v>251</v>
      </c>
      <c r="E250" s="489" t="s">
        <v>251</v>
      </c>
      <c r="F250" s="489" t="s">
        <v>251</v>
      </c>
      <c r="G250" s="489" t="s">
        <v>251</v>
      </c>
      <c r="H250" s="489" t="s">
        <v>251</v>
      </c>
      <c r="I250" s="489" t="s">
        <v>251</v>
      </c>
      <c r="J250" s="489" t="s">
        <v>251</v>
      </c>
      <c r="K250" s="489"/>
      <c r="L250" s="489" t="s">
        <v>251</v>
      </c>
      <c r="M250" s="489" t="s">
        <v>251</v>
      </c>
      <c r="N250" s="489" t="s">
        <v>251</v>
      </c>
      <c r="O250" s="489" t="s">
        <v>251</v>
      </c>
      <c r="P250" s="1494">
        <f t="shared" si="16"/>
        <v>0</v>
      </c>
      <c r="Q250" s="1439">
        <f t="shared" si="17"/>
        <v>0</v>
      </c>
      <c r="R250" s="1413" t="s">
        <v>251</v>
      </c>
      <c r="S250" s="1414" t="s">
        <v>251</v>
      </c>
      <c r="T250" s="1414" t="s">
        <v>251</v>
      </c>
      <c r="U250" s="1414"/>
      <c r="V250" s="1414"/>
      <c r="W250" s="1414"/>
      <c r="X250" s="1414"/>
      <c r="Y250" s="1414"/>
      <c r="Z250" s="1414"/>
      <c r="AA250" s="1414"/>
      <c r="AB250" s="1414"/>
      <c r="AC250" s="1414"/>
      <c r="AD250" s="488">
        <f t="shared" si="18"/>
        <v>0</v>
      </c>
      <c r="AE250" s="565">
        <f t="shared" si="19"/>
        <v>0</v>
      </c>
      <c r="AF250" s="566">
        <f t="shared" si="15"/>
        <v>240</v>
      </c>
    </row>
    <row r="251" spans="1:32" x14ac:dyDescent="0.3">
      <c r="A251" s="10" t="s">
        <v>4</v>
      </c>
      <c r="B251" s="11" t="s">
        <v>535</v>
      </c>
      <c r="C251" s="485"/>
      <c r="D251" s="489" t="s">
        <v>251</v>
      </c>
      <c r="E251" s="489" t="s">
        <v>251</v>
      </c>
      <c r="F251" s="489" t="s">
        <v>251</v>
      </c>
      <c r="G251" s="489" t="s">
        <v>251</v>
      </c>
      <c r="H251" s="489" t="s">
        <v>251</v>
      </c>
      <c r="I251" s="489" t="s">
        <v>251</v>
      </c>
      <c r="J251" s="489" t="s">
        <v>251</v>
      </c>
      <c r="K251" s="489"/>
      <c r="L251" s="489" t="s">
        <v>251</v>
      </c>
      <c r="M251" s="489" t="s">
        <v>251</v>
      </c>
      <c r="N251" s="489" t="s">
        <v>251</v>
      </c>
      <c r="O251" s="489" t="s">
        <v>251</v>
      </c>
      <c r="P251" s="1494">
        <f t="shared" si="16"/>
        <v>0</v>
      </c>
      <c r="Q251" s="1439">
        <f t="shared" si="17"/>
        <v>0</v>
      </c>
      <c r="R251" s="1413" t="s">
        <v>251</v>
      </c>
      <c r="S251" s="1414" t="s">
        <v>251</v>
      </c>
      <c r="T251" s="1414" t="s">
        <v>251</v>
      </c>
      <c r="U251" s="1414"/>
      <c r="V251" s="1414"/>
      <c r="W251" s="1414"/>
      <c r="X251" s="1414"/>
      <c r="Y251" s="1414"/>
      <c r="Z251" s="1414"/>
      <c r="AA251" s="1414"/>
      <c r="AB251" s="1414"/>
      <c r="AC251" s="1414"/>
      <c r="AD251" s="488">
        <f t="shared" si="18"/>
        <v>0</v>
      </c>
      <c r="AE251" s="565">
        <f t="shared" si="19"/>
        <v>0</v>
      </c>
      <c r="AF251" s="566">
        <f t="shared" si="15"/>
        <v>240</v>
      </c>
    </row>
    <row r="252" spans="1:32" x14ac:dyDescent="0.3">
      <c r="A252" s="10" t="s">
        <v>4</v>
      </c>
      <c r="B252" s="11" t="s">
        <v>536</v>
      </c>
      <c r="C252" s="485"/>
      <c r="D252" s="489" t="s">
        <v>251</v>
      </c>
      <c r="E252" s="489" t="s">
        <v>251</v>
      </c>
      <c r="F252" s="489" t="s">
        <v>251</v>
      </c>
      <c r="G252" s="489" t="s">
        <v>251</v>
      </c>
      <c r="H252" s="489" t="s">
        <v>251</v>
      </c>
      <c r="I252" s="489" t="s">
        <v>251</v>
      </c>
      <c r="J252" s="489" t="s">
        <v>251</v>
      </c>
      <c r="K252" s="489"/>
      <c r="L252" s="489" t="s">
        <v>251</v>
      </c>
      <c r="M252" s="489" t="s">
        <v>251</v>
      </c>
      <c r="N252" s="489" t="s">
        <v>251</v>
      </c>
      <c r="O252" s="489" t="s">
        <v>251</v>
      </c>
      <c r="P252" s="1494">
        <f t="shared" si="16"/>
        <v>0</v>
      </c>
      <c r="Q252" s="1439">
        <f t="shared" si="17"/>
        <v>0</v>
      </c>
      <c r="R252" s="1413" t="s">
        <v>251</v>
      </c>
      <c r="S252" s="1414" t="s">
        <v>251</v>
      </c>
      <c r="T252" s="1414" t="s">
        <v>251</v>
      </c>
      <c r="U252" s="1414"/>
      <c r="V252" s="1414"/>
      <c r="W252" s="1414"/>
      <c r="X252" s="1414"/>
      <c r="Y252" s="1414"/>
      <c r="Z252" s="1414"/>
      <c r="AA252" s="1414"/>
      <c r="AB252" s="1414"/>
      <c r="AC252" s="1414"/>
      <c r="AD252" s="488">
        <f t="shared" si="18"/>
        <v>0</v>
      </c>
      <c r="AE252" s="565">
        <f t="shared" si="19"/>
        <v>0</v>
      </c>
      <c r="AF252" s="566">
        <f t="shared" si="15"/>
        <v>240</v>
      </c>
    </row>
    <row r="253" spans="1:32" x14ac:dyDescent="0.3">
      <c r="A253" s="10" t="s">
        <v>4</v>
      </c>
      <c r="B253" s="11" t="s">
        <v>537</v>
      </c>
      <c r="C253" s="485"/>
      <c r="D253" s="489" t="s">
        <v>251</v>
      </c>
      <c r="E253" s="489" t="s">
        <v>251</v>
      </c>
      <c r="F253" s="489" t="s">
        <v>251</v>
      </c>
      <c r="G253" s="489" t="s">
        <v>251</v>
      </c>
      <c r="H253" s="489" t="s">
        <v>251</v>
      </c>
      <c r="I253" s="489" t="s">
        <v>251</v>
      </c>
      <c r="J253" s="489" t="s">
        <v>251</v>
      </c>
      <c r="K253" s="489"/>
      <c r="L253" s="489" t="s">
        <v>251</v>
      </c>
      <c r="M253" s="489" t="s">
        <v>251</v>
      </c>
      <c r="N253" s="489" t="s">
        <v>251</v>
      </c>
      <c r="O253" s="489" t="s">
        <v>251</v>
      </c>
      <c r="P253" s="1494">
        <f t="shared" si="16"/>
        <v>0</v>
      </c>
      <c r="Q253" s="1439">
        <f t="shared" si="17"/>
        <v>0</v>
      </c>
      <c r="R253" s="1413" t="s">
        <v>251</v>
      </c>
      <c r="S253" s="1414" t="s">
        <v>251</v>
      </c>
      <c r="T253" s="1414" t="s">
        <v>251</v>
      </c>
      <c r="U253" s="1414"/>
      <c r="V253" s="1414"/>
      <c r="W253" s="1414"/>
      <c r="X253" s="1414"/>
      <c r="Y253" s="1414"/>
      <c r="Z253" s="1414"/>
      <c r="AA253" s="1414"/>
      <c r="AB253" s="1414"/>
      <c r="AC253" s="1414"/>
      <c r="AD253" s="488">
        <f t="shared" si="18"/>
        <v>0</v>
      </c>
      <c r="AE253" s="565">
        <f t="shared" si="19"/>
        <v>0</v>
      </c>
      <c r="AF253" s="566">
        <f t="shared" si="15"/>
        <v>240</v>
      </c>
    </row>
    <row r="254" spans="1:32" x14ac:dyDescent="0.3">
      <c r="A254" s="10" t="s">
        <v>4</v>
      </c>
      <c r="B254" s="11" t="s">
        <v>538</v>
      </c>
      <c r="C254" s="485"/>
      <c r="D254" s="489" t="s">
        <v>251</v>
      </c>
      <c r="E254" s="489" t="s">
        <v>251</v>
      </c>
      <c r="F254" s="489" t="s">
        <v>251</v>
      </c>
      <c r="G254" s="489" t="s">
        <v>251</v>
      </c>
      <c r="H254" s="489" t="s">
        <v>251</v>
      </c>
      <c r="I254" s="489" t="s">
        <v>251</v>
      </c>
      <c r="J254" s="489" t="s">
        <v>251</v>
      </c>
      <c r="K254" s="489"/>
      <c r="L254" s="489" t="s">
        <v>251</v>
      </c>
      <c r="M254" s="489" t="s">
        <v>251</v>
      </c>
      <c r="N254" s="489" t="s">
        <v>251</v>
      </c>
      <c r="O254" s="489" t="s">
        <v>251</v>
      </c>
      <c r="P254" s="1494">
        <f t="shared" si="16"/>
        <v>0</v>
      </c>
      <c r="Q254" s="1439">
        <f t="shared" si="17"/>
        <v>0</v>
      </c>
      <c r="R254" s="1413" t="s">
        <v>251</v>
      </c>
      <c r="S254" s="1414" t="s">
        <v>251</v>
      </c>
      <c r="T254" s="1414" t="s">
        <v>251</v>
      </c>
      <c r="U254" s="1414"/>
      <c r="V254" s="1414"/>
      <c r="W254" s="1414"/>
      <c r="X254" s="1414">
        <v>170940</v>
      </c>
      <c r="Y254" s="1414">
        <v>966660</v>
      </c>
      <c r="Z254" s="1414"/>
      <c r="AA254" s="1414"/>
      <c r="AB254" s="1414"/>
      <c r="AC254" s="1414"/>
      <c r="AD254" s="488">
        <f t="shared" si="18"/>
        <v>1137600</v>
      </c>
      <c r="AE254" s="565">
        <f t="shared" si="19"/>
        <v>1</v>
      </c>
      <c r="AF254" s="566">
        <f t="shared" si="15"/>
        <v>149</v>
      </c>
    </row>
    <row r="255" spans="1:32" x14ac:dyDescent="0.3">
      <c r="A255" s="10" t="s">
        <v>4</v>
      </c>
      <c r="B255" s="11" t="s">
        <v>539</v>
      </c>
      <c r="C255" s="485"/>
      <c r="D255" s="489" t="s">
        <v>251</v>
      </c>
      <c r="E255" s="489" t="s">
        <v>251</v>
      </c>
      <c r="F255" s="489" t="s">
        <v>251</v>
      </c>
      <c r="G255" s="489" t="s">
        <v>251</v>
      </c>
      <c r="H255" s="489" t="s">
        <v>251</v>
      </c>
      <c r="I255" s="489" t="s">
        <v>251</v>
      </c>
      <c r="J255" s="489" t="s">
        <v>251</v>
      </c>
      <c r="K255" s="489"/>
      <c r="L255" s="489" t="s">
        <v>251</v>
      </c>
      <c r="M255" s="489" t="s">
        <v>251</v>
      </c>
      <c r="N255" s="489" t="s">
        <v>251</v>
      </c>
      <c r="O255" s="489" t="s">
        <v>251</v>
      </c>
      <c r="P255" s="1494">
        <f t="shared" si="16"/>
        <v>0</v>
      </c>
      <c r="Q255" s="1439">
        <f t="shared" si="17"/>
        <v>0</v>
      </c>
      <c r="R255" s="1413" t="s">
        <v>251</v>
      </c>
      <c r="S255" s="1414" t="s">
        <v>251</v>
      </c>
      <c r="T255" s="1414" t="s">
        <v>251</v>
      </c>
      <c r="U255" s="1414"/>
      <c r="V255" s="1414"/>
      <c r="W255" s="1414"/>
      <c r="X255" s="1414"/>
      <c r="Y255" s="1414"/>
      <c r="Z255" s="1414"/>
      <c r="AA255" s="1414"/>
      <c r="AB255" s="1414"/>
      <c r="AC255" s="1414"/>
      <c r="AD255" s="488">
        <f t="shared" si="18"/>
        <v>0</v>
      </c>
      <c r="AE255" s="565">
        <f t="shared" si="19"/>
        <v>0</v>
      </c>
      <c r="AF255" s="566">
        <f t="shared" si="15"/>
        <v>240</v>
      </c>
    </row>
    <row r="256" spans="1:32" x14ac:dyDescent="0.3">
      <c r="A256" s="10" t="s">
        <v>4</v>
      </c>
      <c r="B256" s="11" t="s">
        <v>540</v>
      </c>
      <c r="C256" s="485"/>
      <c r="D256" s="489" t="s">
        <v>251</v>
      </c>
      <c r="E256" s="489" t="s">
        <v>251</v>
      </c>
      <c r="F256" s="489" t="s">
        <v>251</v>
      </c>
      <c r="G256" s="489" t="s">
        <v>251</v>
      </c>
      <c r="H256" s="489" t="s">
        <v>251</v>
      </c>
      <c r="I256" s="489" t="s">
        <v>251</v>
      </c>
      <c r="J256" s="489" t="s">
        <v>251</v>
      </c>
      <c r="K256" s="489"/>
      <c r="L256" s="489" t="s">
        <v>251</v>
      </c>
      <c r="M256" s="489" t="s">
        <v>251</v>
      </c>
      <c r="N256" s="489" t="s">
        <v>251</v>
      </c>
      <c r="O256" s="489" t="s">
        <v>251</v>
      </c>
      <c r="P256" s="1494">
        <f t="shared" si="16"/>
        <v>0</v>
      </c>
      <c r="Q256" s="1439">
        <f t="shared" si="17"/>
        <v>0</v>
      </c>
      <c r="R256" s="1413" t="s">
        <v>251</v>
      </c>
      <c r="S256" s="1414" t="s">
        <v>251</v>
      </c>
      <c r="T256" s="1414" t="s">
        <v>251</v>
      </c>
      <c r="U256" s="1414"/>
      <c r="V256" s="1414"/>
      <c r="W256" s="1414"/>
      <c r="X256" s="1414"/>
      <c r="Y256" s="1414"/>
      <c r="Z256" s="1414"/>
      <c r="AA256" s="1414"/>
      <c r="AB256" s="1414"/>
      <c r="AC256" s="1414"/>
      <c r="AD256" s="488">
        <f t="shared" si="18"/>
        <v>0</v>
      </c>
      <c r="AE256" s="565">
        <f t="shared" si="19"/>
        <v>0</v>
      </c>
      <c r="AF256" s="566">
        <f t="shared" si="15"/>
        <v>240</v>
      </c>
    </row>
    <row r="257" spans="1:32" x14ac:dyDescent="0.3">
      <c r="A257" s="10" t="s">
        <v>4</v>
      </c>
      <c r="B257" s="11" t="s">
        <v>541</v>
      </c>
      <c r="C257" s="485"/>
      <c r="D257" s="489" t="s">
        <v>251</v>
      </c>
      <c r="E257" s="489" t="s">
        <v>251</v>
      </c>
      <c r="F257" s="489" t="s">
        <v>251</v>
      </c>
      <c r="G257" s="489" t="s">
        <v>251</v>
      </c>
      <c r="H257" s="489" t="s">
        <v>251</v>
      </c>
      <c r="I257" s="489" t="s">
        <v>251</v>
      </c>
      <c r="J257" s="489" t="s">
        <v>251</v>
      </c>
      <c r="K257" s="489"/>
      <c r="L257" s="489" t="s">
        <v>251</v>
      </c>
      <c r="M257" s="489" t="s">
        <v>251</v>
      </c>
      <c r="N257" s="489" t="s">
        <v>251</v>
      </c>
      <c r="O257" s="489" t="s">
        <v>251</v>
      </c>
      <c r="P257" s="1494">
        <f t="shared" si="16"/>
        <v>0</v>
      </c>
      <c r="Q257" s="1439">
        <f t="shared" si="17"/>
        <v>0</v>
      </c>
      <c r="R257" s="1413" t="s">
        <v>251</v>
      </c>
      <c r="S257" s="1414" t="s">
        <v>251</v>
      </c>
      <c r="T257" s="1414" t="s">
        <v>251</v>
      </c>
      <c r="U257" s="1414"/>
      <c r="V257" s="1414"/>
      <c r="W257" s="1414"/>
      <c r="X257" s="1414"/>
      <c r="Y257" s="1414"/>
      <c r="Z257" s="1414"/>
      <c r="AA257" s="1414"/>
      <c r="AB257" s="1414"/>
      <c r="AC257" s="1414"/>
      <c r="AD257" s="488">
        <f t="shared" si="18"/>
        <v>0</v>
      </c>
      <c r="AE257" s="565">
        <f t="shared" si="19"/>
        <v>0</v>
      </c>
      <c r="AF257" s="566">
        <f t="shared" si="15"/>
        <v>240</v>
      </c>
    </row>
    <row r="258" spans="1:32" x14ac:dyDescent="0.3">
      <c r="A258" s="10" t="s">
        <v>4</v>
      </c>
      <c r="B258" s="11" t="s">
        <v>542</v>
      </c>
      <c r="C258" s="485"/>
      <c r="D258" s="489" t="s">
        <v>251</v>
      </c>
      <c r="E258" s="489" t="s">
        <v>251</v>
      </c>
      <c r="F258" s="489" t="s">
        <v>251</v>
      </c>
      <c r="G258" s="489" t="s">
        <v>251</v>
      </c>
      <c r="H258" s="489" t="s">
        <v>251</v>
      </c>
      <c r="I258" s="489" t="s">
        <v>251</v>
      </c>
      <c r="J258" s="489" t="s">
        <v>251</v>
      </c>
      <c r="K258" s="489"/>
      <c r="L258" s="489" t="s">
        <v>251</v>
      </c>
      <c r="M258" s="489" t="s">
        <v>251</v>
      </c>
      <c r="N258" s="489" t="s">
        <v>251</v>
      </c>
      <c r="O258" s="489" t="s">
        <v>251</v>
      </c>
      <c r="P258" s="1494">
        <f t="shared" si="16"/>
        <v>0</v>
      </c>
      <c r="Q258" s="1439">
        <f t="shared" si="17"/>
        <v>0</v>
      </c>
      <c r="R258" s="1413" t="s">
        <v>251</v>
      </c>
      <c r="S258" s="1414" t="s">
        <v>251</v>
      </c>
      <c r="T258" s="1414" t="s">
        <v>251</v>
      </c>
      <c r="U258" s="1414"/>
      <c r="V258" s="1414"/>
      <c r="W258" s="1414"/>
      <c r="X258" s="1414"/>
      <c r="Y258" s="1414"/>
      <c r="Z258" s="1414"/>
      <c r="AA258" s="1414"/>
      <c r="AB258" s="1414"/>
      <c r="AC258" s="1414"/>
      <c r="AD258" s="488">
        <f t="shared" si="18"/>
        <v>0</v>
      </c>
      <c r="AE258" s="565">
        <f t="shared" si="19"/>
        <v>0</v>
      </c>
      <c r="AF258" s="566">
        <f t="shared" ref="AF258:AF321" si="20">IFERROR(_xlfn.RANK.EQ(AD258, $AD$2:$AD$450), "")</f>
        <v>240</v>
      </c>
    </row>
    <row r="259" spans="1:32" x14ac:dyDescent="0.3">
      <c r="A259" s="10" t="s">
        <v>4</v>
      </c>
      <c r="B259" s="11" t="s">
        <v>543</v>
      </c>
      <c r="C259" s="485"/>
      <c r="D259" s="489" t="s">
        <v>251</v>
      </c>
      <c r="E259" s="489" t="s">
        <v>251</v>
      </c>
      <c r="F259" s="489" t="s">
        <v>251</v>
      </c>
      <c r="G259" s="489" t="s">
        <v>251</v>
      </c>
      <c r="H259" s="489" t="s">
        <v>251</v>
      </c>
      <c r="I259" s="489" t="s">
        <v>251</v>
      </c>
      <c r="J259" s="489" t="s">
        <v>251</v>
      </c>
      <c r="K259" s="489"/>
      <c r="L259" s="489" t="s">
        <v>251</v>
      </c>
      <c r="M259" s="489" t="s">
        <v>251</v>
      </c>
      <c r="N259" s="489" t="s">
        <v>251</v>
      </c>
      <c r="O259" s="489" t="s">
        <v>251</v>
      </c>
      <c r="P259" s="1494">
        <f t="shared" ref="P259:P322" si="21">SUM(C259:I259,K259)</f>
        <v>0</v>
      </c>
      <c r="Q259" s="1439">
        <f t="shared" ref="Q259:Q322" si="22">SUM(C259:J259,L259:O259)</f>
        <v>0</v>
      </c>
      <c r="R259" s="1413" t="s">
        <v>251</v>
      </c>
      <c r="S259" s="1414" t="s">
        <v>251</v>
      </c>
      <c r="T259" s="1414" t="s">
        <v>251</v>
      </c>
      <c r="U259" s="1414"/>
      <c r="V259" s="1414"/>
      <c r="W259" s="1414"/>
      <c r="X259" s="1414"/>
      <c r="Y259" s="1414"/>
      <c r="Z259" s="1414"/>
      <c r="AA259" s="1414"/>
      <c r="AB259" s="1414"/>
      <c r="AC259" s="1414"/>
      <c r="AD259" s="488">
        <f t="shared" ref="AD259:AD322" si="23">SUM(R259:AC259)</f>
        <v>0</v>
      </c>
      <c r="AE259" s="565">
        <f t="shared" ref="AE259:AE322" si="24">IF(OR(AD259="", P259=""), 0, IFERROR((AD259-P259)/P259, IF(AD259&lt;&gt;0, 1, 0)))</f>
        <v>0</v>
      </c>
      <c r="AF259" s="566">
        <f t="shared" si="20"/>
        <v>240</v>
      </c>
    </row>
    <row r="260" spans="1:32" x14ac:dyDescent="0.3">
      <c r="A260" s="10" t="s">
        <v>4</v>
      </c>
      <c r="B260" s="11" t="s">
        <v>544</v>
      </c>
      <c r="C260" s="485"/>
      <c r="D260" s="489" t="s">
        <v>251</v>
      </c>
      <c r="E260" s="489" t="s">
        <v>251</v>
      </c>
      <c r="F260" s="489" t="s">
        <v>251</v>
      </c>
      <c r="G260" s="489" t="s">
        <v>251</v>
      </c>
      <c r="H260" s="489" t="s">
        <v>251</v>
      </c>
      <c r="I260" s="489" t="s">
        <v>251</v>
      </c>
      <c r="J260" s="489" t="s">
        <v>251</v>
      </c>
      <c r="K260" s="489"/>
      <c r="L260" s="489" t="s">
        <v>251</v>
      </c>
      <c r="M260" s="489" t="s">
        <v>251</v>
      </c>
      <c r="N260" s="489" t="s">
        <v>251</v>
      </c>
      <c r="O260" s="489" t="s">
        <v>251</v>
      </c>
      <c r="P260" s="1494">
        <f t="shared" si="21"/>
        <v>0</v>
      </c>
      <c r="Q260" s="1439">
        <f t="shared" si="22"/>
        <v>0</v>
      </c>
      <c r="R260" s="1413" t="s">
        <v>251</v>
      </c>
      <c r="S260" s="1414" t="s">
        <v>251</v>
      </c>
      <c r="T260" s="1414" t="s">
        <v>251</v>
      </c>
      <c r="U260" s="1414"/>
      <c r="V260" s="1414"/>
      <c r="W260" s="1414"/>
      <c r="X260" s="1414"/>
      <c r="Y260" s="1414"/>
      <c r="Z260" s="1414"/>
      <c r="AA260" s="1414"/>
      <c r="AB260" s="1414"/>
      <c r="AC260" s="1414"/>
      <c r="AD260" s="488">
        <f t="shared" si="23"/>
        <v>0</v>
      </c>
      <c r="AE260" s="565">
        <f t="shared" si="24"/>
        <v>0</v>
      </c>
      <c r="AF260" s="566">
        <f t="shared" si="20"/>
        <v>240</v>
      </c>
    </row>
    <row r="261" spans="1:32" x14ac:dyDescent="0.3">
      <c r="A261" s="10" t="s">
        <v>4</v>
      </c>
      <c r="B261" s="11" t="s">
        <v>545</v>
      </c>
      <c r="C261" s="485"/>
      <c r="D261" s="489" t="s">
        <v>251</v>
      </c>
      <c r="E261" s="489" t="s">
        <v>251</v>
      </c>
      <c r="F261" s="489" t="s">
        <v>251</v>
      </c>
      <c r="G261" s="489" t="s">
        <v>251</v>
      </c>
      <c r="H261" s="489" t="s">
        <v>251</v>
      </c>
      <c r="I261" s="489" t="s">
        <v>251</v>
      </c>
      <c r="J261" s="489" t="s">
        <v>251</v>
      </c>
      <c r="K261" s="489"/>
      <c r="L261" s="489" t="s">
        <v>251</v>
      </c>
      <c r="M261" s="489" t="s">
        <v>251</v>
      </c>
      <c r="N261" s="489" t="s">
        <v>251</v>
      </c>
      <c r="O261" s="489" t="s">
        <v>251</v>
      </c>
      <c r="P261" s="1494">
        <f t="shared" si="21"/>
        <v>0</v>
      </c>
      <c r="Q261" s="1439">
        <f t="shared" si="22"/>
        <v>0</v>
      </c>
      <c r="R261" s="1413" t="s">
        <v>251</v>
      </c>
      <c r="S261" s="1414" t="s">
        <v>251</v>
      </c>
      <c r="T261" s="1414">
        <v>0</v>
      </c>
      <c r="U261" s="1414">
        <v>1758940</v>
      </c>
      <c r="V261" s="1414">
        <v>0</v>
      </c>
      <c r="W261" s="1414">
        <v>0</v>
      </c>
      <c r="X261" s="1414">
        <v>0</v>
      </c>
      <c r="Y261" s="1414">
        <v>0</v>
      </c>
      <c r="Z261" s="1414"/>
      <c r="AA261" s="1414"/>
      <c r="AB261" s="1414"/>
      <c r="AC261" s="1414"/>
      <c r="AD261" s="488">
        <f t="shared" si="23"/>
        <v>1758940</v>
      </c>
      <c r="AE261" s="565">
        <f t="shared" si="24"/>
        <v>1</v>
      </c>
      <c r="AF261" s="566">
        <f t="shared" si="20"/>
        <v>126</v>
      </c>
    </row>
    <row r="262" spans="1:32" x14ac:dyDescent="0.3">
      <c r="A262" s="10" t="s">
        <v>4</v>
      </c>
      <c r="B262" s="11" t="s">
        <v>237</v>
      </c>
      <c r="C262" s="485"/>
      <c r="D262" s="489" t="s">
        <v>251</v>
      </c>
      <c r="E262" s="489" t="s">
        <v>251</v>
      </c>
      <c r="F262" s="489" t="s">
        <v>251</v>
      </c>
      <c r="G262" s="489" t="s">
        <v>251</v>
      </c>
      <c r="H262" s="489" t="s">
        <v>251</v>
      </c>
      <c r="I262" s="489" t="s">
        <v>251</v>
      </c>
      <c r="J262" s="489" t="s">
        <v>251</v>
      </c>
      <c r="K262" s="489"/>
      <c r="L262" s="489" t="s">
        <v>251</v>
      </c>
      <c r="M262" s="489" t="s">
        <v>251</v>
      </c>
      <c r="N262" s="489" t="s">
        <v>251</v>
      </c>
      <c r="O262" s="489" t="s">
        <v>251</v>
      </c>
      <c r="P262" s="1494">
        <f t="shared" si="21"/>
        <v>0</v>
      </c>
      <c r="Q262" s="1439">
        <f t="shared" si="22"/>
        <v>0</v>
      </c>
      <c r="R262" s="1413" t="s">
        <v>251</v>
      </c>
      <c r="S262" s="1414" t="s">
        <v>251</v>
      </c>
      <c r="T262" s="1414" t="s">
        <v>251</v>
      </c>
      <c r="U262" s="1414"/>
      <c r="V262" s="1414"/>
      <c r="W262" s="1414"/>
      <c r="X262" s="1414"/>
      <c r="Y262" s="1414"/>
      <c r="Z262" s="1414"/>
      <c r="AA262" s="1414"/>
      <c r="AB262" s="1414"/>
      <c r="AC262" s="1414"/>
      <c r="AD262" s="488">
        <f t="shared" si="23"/>
        <v>0</v>
      </c>
      <c r="AE262" s="565">
        <f t="shared" si="24"/>
        <v>0</v>
      </c>
      <c r="AF262" s="566">
        <f t="shared" si="20"/>
        <v>240</v>
      </c>
    </row>
    <row r="263" spans="1:32" x14ac:dyDescent="0.3">
      <c r="A263" s="10" t="s">
        <v>4</v>
      </c>
      <c r="B263" s="11" t="s">
        <v>546</v>
      </c>
      <c r="C263" s="485"/>
      <c r="D263" s="489" t="s">
        <v>251</v>
      </c>
      <c r="E263" s="489" t="s">
        <v>251</v>
      </c>
      <c r="F263" s="489" t="s">
        <v>251</v>
      </c>
      <c r="G263" s="489" t="s">
        <v>251</v>
      </c>
      <c r="H263" s="489" t="s">
        <v>251</v>
      </c>
      <c r="I263" s="489" t="s">
        <v>251</v>
      </c>
      <c r="J263" s="489" t="s">
        <v>251</v>
      </c>
      <c r="K263" s="489"/>
      <c r="L263" s="489" t="s">
        <v>251</v>
      </c>
      <c r="M263" s="489" t="s">
        <v>251</v>
      </c>
      <c r="N263" s="489" t="s">
        <v>251</v>
      </c>
      <c r="O263" s="489" t="s">
        <v>251</v>
      </c>
      <c r="P263" s="1494">
        <f t="shared" si="21"/>
        <v>0</v>
      </c>
      <c r="Q263" s="1439">
        <f t="shared" si="22"/>
        <v>0</v>
      </c>
      <c r="R263" s="1413" t="s">
        <v>251</v>
      </c>
      <c r="S263" s="1414" t="s">
        <v>251</v>
      </c>
      <c r="T263" s="1414" t="s">
        <v>251</v>
      </c>
      <c r="U263" s="1414"/>
      <c r="V263" s="1414"/>
      <c r="W263" s="1414"/>
      <c r="X263" s="1414"/>
      <c r="Y263" s="1414"/>
      <c r="Z263" s="1414"/>
      <c r="AA263" s="1414"/>
      <c r="AB263" s="1414"/>
      <c r="AC263" s="1414"/>
      <c r="AD263" s="488">
        <f t="shared" si="23"/>
        <v>0</v>
      </c>
      <c r="AE263" s="565">
        <f t="shared" si="24"/>
        <v>0</v>
      </c>
      <c r="AF263" s="566">
        <f t="shared" si="20"/>
        <v>240</v>
      </c>
    </row>
    <row r="264" spans="1:32" x14ac:dyDescent="0.3">
      <c r="A264" s="10" t="s">
        <v>4</v>
      </c>
      <c r="B264" s="11" t="s">
        <v>547</v>
      </c>
      <c r="C264" s="485"/>
      <c r="D264" s="489" t="s">
        <v>251</v>
      </c>
      <c r="E264" s="489" t="s">
        <v>251</v>
      </c>
      <c r="F264" s="489" t="s">
        <v>251</v>
      </c>
      <c r="G264" s="489" t="s">
        <v>251</v>
      </c>
      <c r="H264" s="489" t="s">
        <v>251</v>
      </c>
      <c r="I264" s="489" t="s">
        <v>251</v>
      </c>
      <c r="J264" s="489" t="s">
        <v>251</v>
      </c>
      <c r="K264" s="489"/>
      <c r="L264" s="489" t="s">
        <v>251</v>
      </c>
      <c r="M264" s="489" t="s">
        <v>251</v>
      </c>
      <c r="N264" s="489" t="s">
        <v>251</v>
      </c>
      <c r="O264" s="489" t="s">
        <v>251</v>
      </c>
      <c r="P264" s="1494">
        <f t="shared" si="21"/>
        <v>0</v>
      </c>
      <c r="Q264" s="1439">
        <f t="shared" si="22"/>
        <v>0</v>
      </c>
      <c r="R264" s="1413" t="s">
        <v>251</v>
      </c>
      <c r="S264" s="1414" t="s">
        <v>251</v>
      </c>
      <c r="T264" s="1414" t="s">
        <v>251</v>
      </c>
      <c r="U264" s="1414"/>
      <c r="V264" s="1414"/>
      <c r="W264" s="1414"/>
      <c r="X264" s="1414"/>
      <c r="Y264" s="1414"/>
      <c r="Z264" s="1414"/>
      <c r="AA264" s="1414"/>
      <c r="AB264" s="1414"/>
      <c r="AC264" s="1414"/>
      <c r="AD264" s="488">
        <f t="shared" si="23"/>
        <v>0</v>
      </c>
      <c r="AE264" s="565">
        <f t="shared" si="24"/>
        <v>0</v>
      </c>
      <c r="AF264" s="566">
        <f t="shared" si="20"/>
        <v>240</v>
      </c>
    </row>
    <row r="265" spans="1:32" x14ac:dyDescent="0.3">
      <c r="A265" s="10" t="s">
        <v>4</v>
      </c>
      <c r="B265" s="11" t="s">
        <v>548</v>
      </c>
      <c r="C265" s="485"/>
      <c r="D265" s="489">
        <v>0</v>
      </c>
      <c r="E265" s="489">
        <v>0</v>
      </c>
      <c r="F265" s="489">
        <v>0</v>
      </c>
      <c r="G265" s="489">
        <v>0</v>
      </c>
      <c r="H265" s="489">
        <v>0</v>
      </c>
      <c r="I265" s="489">
        <v>0</v>
      </c>
      <c r="J265" s="489">
        <v>0</v>
      </c>
      <c r="K265" s="489"/>
      <c r="L265" s="489">
        <v>0</v>
      </c>
      <c r="M265" s="489">
        <v>28480</v>
      </c>
      <c r="N265" s="489">
        <v>88230</v>
      </c>
      <c r="O265" s="489">
        <v>264720</v>
      </c>
      <c r="P265" s="1494">
        <f t="shared" si="21"/>
        <v>0</v>
      </c>
      <c r="Q265" s="1439">
        <f t="shared" si="22"/>
        <v>381430</v>
      </c>
      <c r="R265" s="1413">
        <v>261430</v>
      </c>
      <c r="S265" s="1414">
        <v>292460</v>
      </c>
      <c r="T265" s="1414">
        <v>0</v>
      </c>
      <c r="U265" s="1414">
        <v>0</v>
      </c>
      <c r="V265" s="1414">
        <v>0</v>
      </c>
      <c r="W265" s="1414">
        <v>535450</v>
      </c>
      <c r="X265" s="1414">
        <v>0</v>
      </c>
      <c r="Y265" s="1414">
        <v>0</v>
      </c>
      <c r="Z265" s="1414"/>
      <c r="AA265" s="1414"/>
      <c r="AB265" s="1414"/>
      <c r="AC265" s="1414"/>
      <c r="AD265" s="488">
        <f t="shared" si="23"/>
        <v>1089340</v>
      </c>
      <c r="AE265" s="565">
        <f t="shared" si="24"/>
        <v>1</v>
      </c>
      <c r="AF265" s="566">
        <f t="shared" si="20"/>
        <v>152</v>
      </c>
    </row>
    <row r="266" spans="1:32" x14ac:dyDescent="0.3">
      <c r="A266" s="10" t="s">
        <v>4</v>
      </c>
      <c r="B266" s="11" t="s">
        <v>549</v>
      </c>
      <c r="C266" s="485"/>
      <c r="D266" s="489" t="s">
        <v>251</v>
      </c>
      <c r="E266" s="489" t="s">
        <v>251</v>
      </c>
      <c r="F266" s="489" t="s">
        <v>251</v>
      </c>
      <c r="G266" s="489" t="s">
        <v>251</v>
      </c>
      <c r="H266" s="489" t="s">
        <v>251</v>
      </c>
      <c r="I266" s="489" t="s">
        <v>251</v>
      </c>
      <c r="J266" s="489" t="s">
        <v>251</v>
      </c>
      <c r="K266" s="489"/>
      <c r="L266" s="489" t="s">
        <v>251</v>
      </c>
      <c r="M266" s="489" t="s">
        <v>251</v>
      </c>
      <c r="N266" s="489" t="s">
        <v>251</v>
      </c>
      <c r="O266" s="489" t="s">
        <v>251</v>
      </c>
      <c r="P266" s="1494">
        <f t="shared" si="21"/>
        <v>0</v>
      </c>
      <c r="Q266" s="1439">
        <f t="shared" si="22"/>
        <v>0</v>
      </c>
      <c r="R266" s="1413" t="s">
        <v>251</v>
      </c>
      <c r="S266" s="1414" t="s">
        <v>251</v>
      </c>
      <c r="T266" s="1414" t="s">
        <v>251</v>
      </c>
      <c r="U266" s="1414"/>
      <c r="V266" s="1414"/>
      <c r="W266" s="1414"/>
      <c r="X266" s="1414"/>
      <c r="Y266" s="1414"/>
      <c r="Z266" s="1414"/>
      <c r="AA266" s="1414"/>
      <c r="AB266" s="1414"/>
      <c r="AC266" s="1414"/>
      <c r="AD266" s="488">
        <f t="shared" si="23"/>
        <v>0</v>
      </c>
      <c r="AE266" s="565">
        <f t="shared" si="24"/>
        <v>0</v>
      </c>
      <c r="AF266" s="566">
        <f t="shared" si="20"/>
        <v>240</v>
      </c>
    </row>
    <row r="267" spans="1:32" x14ac:dyDescent="0.3">
      <c r="A267" s="10" t="s">
        <v>4</v>
      </c>
      <c r="B267" s="11" t="s">
        <v>550</v>
      </c>
      <c r="C267" s="485"/>
      <c r="D267" s="489" t="s">
        <v>251</v>
      </c>
      <c r="E267" s="489" t="s">
        <v>251</v>
      </c>
      <c r="F267" s="489" t="s">
        <v>251</v>
      </c>
      <c r="G267" s="489" t="s">
        <v>251</v>
      </c>
      <c r="H267" s="489" t="s">
        <v>251</v>
      </c>
      <c r="I267" s="489" t="s">
        <v>251</v>
      </c>
      <c r="J267" s="489" t="s">
        <v>251</v>
      </c>
      <c r="K267" s="489"/>
      <c r="L267" s="489"/>
      <c r="M267" s="489" t="s">
        <v>251</v>
      </c>
      <c r="N267" s="489" t="s">
        <v>251</v>
      </c>
      <c r="O267" s="489" t="s">
        <v>251</v>
      </c>
      <c r="P267" s="1494">
        <f t="shared" si="21"/>
        <v>0</v>
      </c>
      <c r="Q267" s="1439">
        <f t="shared" si="22"/>
        <v>0</v>
      </c>
      <c r="R267" s="1413" t="s">
        <v>251</v>
      </c>
      <c r="S267" s="1414" t="s">
        <v>251</v>
      </c>
      <c r="T267" s="1414" t="s">
        <v>251</v>
      </c>
      <c r="U267" s="1414"/>
      <c r="V267" s="1414"/>
      <c r="W267" s="1414"/>
      <c r="X267" s="1414"/>
      <c r="Y267" s="1414"/>
      <c r="Z267" s="1414"/>
      <c r="AA267" s="1414"/>
      <c r="AB267" s="1414"/>
      <c r="AC267" s="1414"/>
      <c r="AD267" s="488">
        <f t="shared" si="23"/>
        <v>0</v>
      </c>
      <c r="AE267" s="565">
        <f t="shared" si="24"/>
        <v>0</v>
      </c>
      <c r="AF267" s="566">
        <f t="shared" si="20"/>
        <v>240</v>
      </c>
    </row>
    <row r="268" spans="1:32" x14ac:dyDescent="0.3">
      <c r="A268" s="10" t="s">
        <v>4</v>
      </c>
      <c r="B268" s="11" t="s">
        <v>551</v>
      </c>
      <c r="C268" s="485"/>
      <c r="D268" s="489" t="s">
        <v>251</v>
      </c>
      <c r="E268" s="489" t="s">
        <v>251</v>
      </c>
      <c r="F268" s="489" t="s">
        <v>251</v>
      </c>
      <c r="G268" s="489" t="s">
        <v>251</v>
      </c>
      <c r="H268" s="489" t="s">
        <v>251</v>
      </c>
      <c r="I268" s="489" t="s">
        <v>251</v>
      </c>
      <c r="J268" s="489" t="s">
        <v>251</v>
      </c>
      <c r="K268" s="489"/>
      <c r="L268" s="489" t="s">
        <v>251</v>
      </c>
      <c r="M268" s="489" t="s">
        <v>251</v>
      </c>
      <c r="N268" s="489" t="s">
        <v>251</v>
      </c>
      <c r="O268" s="489" t="s">
        <v>251</v>
      </c>
      <c r="P268" s="1494">
        <f t="shared" si="21"/>
        <v>0</v>
      </c>
      <c r="Q268" s="1439">
        <f t="shared" si="22"/>
        <v>0</v>
      </c>
      <c r="R268" s="1413" t="s">
        <v>251</v>
      </c>
      <c r="S268" s="1414" t="s">
        <v>251</v>
      </c>
      <c r="T268" s="1414" t="s">
        <v>251</v>
      </c>
      <c r="U268" s="1414"/>
      <c r="V268" s="1414"/>
      <c r="W268" s="1414"/>
      <c r="X268" s="1414"/>
      <c r="Y268" s="1414"/>
      <c r="Z268" s="1414"/>
      <c r="AA268" s="1414"/>
      <c r="AB268" s="1414"/>
      <c r="AC268" s="1414"/>
      <c r="AD268" s="488">
        <f t="shared" si="23"/>
        <v>0</v>
      </c>
      <c r="AE268" s="565">
        <f t="shared" si="24"/>
        <v>0</v>
      </c>
      <c r="AF268" s="566">
        <f t="shared" si="20"/>
        <v>240</v>
      </c>
    </row>
    <row r="269" spans="1:32" x14ac:dyDescent="0.3">
      <c r="A269" s="10" t="s">
        <v>4</v>
      </c>
      <c r="B269" s="11" t="s">
        <v>554</v>
      </c>
      <c r="C269" s="485">
        <v>929580</v>
      </c>
      <c r="D269" s="489">
        <v>6481960</v>
      </c>
      <c r="E269" s="489">
        <v>8065700</v>
      </c>
      <c r="F269" s="489">
        <v>6526400</v>
      </c>
      <c r="G269" s="489">
        <v>6061380</v>
      </c>
      <c r="H269" s="489">
        <v>5117780</v>
      </c>
      <c r="I269" s="489">
        <v>11867510</v>
      </c>
      <c r="J269" s="489">
        <v>5052050</v>
      </c>
      <c r="K269" s="489">
        <v>4776600</v>
      </c>
      <c r="L269" s="489">
        <v>3594880</v>
      </c>
      <c r="M269" s="489">
        <v>5215700</v>
      </c>
      <c r="N269" s="489">
        <v>4714020</v>
      </c>
      <c r="O269" s="489">
        <v>5430950</v>
      </c>
      <c r="P269" s="1494">
        <f t="shared" si="21"/>
        <v>49826910</v>
      </c>
      <c r="Q269" s="1439">
        <f t="shared" si="22"/>
        <v>69057910</v>
      </c>
      <c r="R269" s="1413">
        <v>9163920</v>
      </c>
      <c r="S269" s="1414">
        <v>5746300</v>
      </c>
      <c r="T269" s="1414">
        <v>2723930</v>
      </c>
      <c r="U269" s="1414">
        <v>3873920</v>
      </c>
      <c r="V269" s="1414">
        <v>4468530</v>
      </c>
      <c r="W269" s="1414">
        <v>5610670</v>
      </c>
      <c r="X269" s="1414">
        <v>13048680</v>
      </c>
      <c r="Y269" s="1414">
        <v>9223880</v>
      </c>
      <c r="Z269" s="1414"/>
      <c r="AA269" s="1414"/>
      <c r="AB269" s="1414"/>
      <c r="AC269" s="1414"/>
      <c r="AD269" s="488">
        <f t="shared" si="23"/>
        <v>53859830</v>
      </c>
      <c r="AE269" s="565">
        <f t="shared" si="24"/>
        <v>8.0938593222015978E-2</v>
      </c>
      <c r="AF269" s="566">
        <f t="shared" si="20"/>
        <v>8</v>
      </c>
    </row>
    <row r="270" spans="1:32" x14ac:dyDescent="0.3">
      <c r="A270" s="10" t="s">
        <v>4</v>
      </c>
      <c r="B270" s="11" t="s">
        <v>1684</v>
      </c>
      <c r="C270" s="485"/>
      <c r="D270" s="489" t="s">
        <v>251</v>
      </c>
      <c r="E270" s="489" t="s">
        <v>251</v>
      </c>
      <c r="F270" s="489" t="s">
        <v>251</v>
      </c>
      <c r="G270" s="489"/>
      <c r="H270" s="489" t="s">
        <v>251</v>
      </c>
      <c r="I270" s="489" t="s">
        <v>251</v>
      </c>
      <c r="J270" s="489" t="s">
        <v>251</v>
      </c>
      <c r="K270" s="489"/>
      <c r="L270" s="489" t="s">
        <v>251</v>
      </c>
      <c r="M270" s="489" t="s">
        <v>251</v>
      </c>
      <c r="N270" s="489" t="s">
        <v>251</v>
      </c>
      <c r="O270" s="489" t="s">
        <v>251</v>
      </c>
      <c r="P270" s="1494">
        <f t="shared" si="21"/>
        <v>0</v>
      </c>
      <c r="Q270" s="1439">
        <f t="shared" si="22"/>
        <v>0</v>
      </c>
      <c r="R270" s="1413" t="s">
        <v>251</v>
      </c>
      <c r="S270" s="1414" t="s">
        <v>251</v>
      </c>
      <c r="T270" s="1414" t="s">
        <v>251</v>
      </c>
      <c r="U270" s="1414"/>
      <c r="V270" s="1414"/>
      <c r="W270" s="1414"/>
      <c r="X270" s="1414"/>
      <c r="Y270" s="1414"/>
      <c r="Z270" s="1414"/>
      <c r="AA270" s="1414"/>
      <c r="AB270" s="1414"/>
      <c r="AC270" s="1414"/>
      <c r="AD270" s="488">
        <f t="shared" si="23"/>
        <v>0</v>
      </c>
      <c r="AE270" s="565">
        <f t="shared" si="24"/>
        <v>0</v>
      </c>
      <c r="AF270" s="566">
        <f t="shared" si="20"/>
        <v>240</v>
      </c>
    </row>
    <row r="271" spans="1:32" x14ac:dyDescent="0.3">
      <c r="A271" s="10" t="s">
        <v>4</v>
      </c>
      <c r="B271" s="11" t="s">
        <v>1685</v>
      </c>
      <c r="C271" s="485"/>
      <c r="D271" s="489">
        <v>0</v>
      </c>
      <c r="E271" s="489">
        <v>0</v>
      </c>
      <c r="F271" s="489">
        <v>0</v>
      </c>
      <c r="G271" s="489">
        <v>474640</v>
      </c>
      <c r="H271" s="489">
        <v>935570</v>
      </c>
      <c r="I271" s="489">
        <v>327400</v>
      </c>
      <c r="J271" s="489">
        <v>0</v>
      </c>
      <c r="K271" s="489">
        <v>0</v>
      </c>
      <c r="L271" s="489">
        <v>0</v>
      </c>
      <c r="M271" s="489">
        <v>0</v>
      </c>
      <c r="N271" s="489">
        <v>29320</v>
      </c>
      <c r="O271" s="489">
        <v>0</v>
      </c>
      <c r="P271" s="1494">
        <f t="shared" si="21"/>
        <v>1737610</v>
      </c>
      <c r="Q271" s="1439">
        <f t="shared" si="22"/>
        <v>1766930</v>
      </c>
      <c r="R271" s="1413" t="s">
        <v>251</v>
      </c>
      <c r="S271" s="1414" t="s">
        <v>251</v>
      </c>
      <c r="T271" s="1414" t="s">
        <v>251</v>
      </c>
      <c r="U271" s="1414"/>
      <c r="V271" s="1414"/>
      <c r="W271" s="1414"/>
      <c r="X271" s="1414"/>
      <c r="Y271" s="1414"/>
      <c r="Z271" s="1414"/>
      <c r="AA271" s="1414"/>
      <c r="AB271" s="1414"/>
      <c r="AC271" s="1414"/>
      <c r="AD271" s="488">
        <f t="shared" si="23"/>
        <v>0</v>
      </c>
      <c r="AE271" s="565">
        <f t="shared" si="24"/>
        <v>-1</v>
      </c>
      <c r="AF271" s="566">
        <f t="shared" si="20"/>
        <v>240</v>
      </c>
    </row>
    <row r="272" spans="1:32" x14ac:dyDescent="0.3">
      <c r="A272" s="10" t="s">
        <v>4</v>
      </c>
      <c r="B272" s="11" t="s">
        <v>1686</v>
      </c>
      <c r="C272" s="485"/>
      <c r="D272" s="489">
        <v>0</v>
      </c>
      <c r="E272" s="489">
        <v>0</v>
      </c>
      <c r="F272" s="489">
        <v>0</v>
      </c>
      <c r="G272" s="489">
        <v>892760</v>
      </c>
      <c r="H272" s="489">
        <v>2255220</v>
      </c>
      <c r="I272" s="489">
        <v>1657960</v>
      </c>
      <c r="J272" s="489">
        <v>3965530</v>
      </c>
      <c r="K272" s="489">
        <v>1830640</v>
      </c>
      <c r="L272" s="489">
        <v>8433320</v>
      </c>
      <c r="M272" s="489">
        <v>1824940</v>
      </c>
      <c r="N272" s="489">
        <v>1866140</v>
      </c>
      <c r="O272" s="489">
        <v>5411640</v>
      </c>
      <c r="P272" s="1494">
        <f t="shared" si="21"/>
        <v>6636580</v>
      </c>
      <c r="Q272" s="1439">
        <f t="shared" si="22"/>
        <v>26307510</v>
      </c>
      <c r="R272" s="1413">
        <v>7212660</v>
      </c>
      <c r="S272" s="1414">
        <v>2715680</v>
      </c>
      <c r="T272" s="1414">
        <v>2145420</v>
      </c>
      <c r="U272" s="1414">
        <v>3619500</v>
      </c>
      <c r="V272" s="1414">
        <v>998340</v>
      </c>
      <c r="W272" s="1414">
        <v>6563120</v>
      </c>
      <c r="X272" s="1414">
        <v>630810</v>
      </c>
      <c r="Y272" s="1414">
        <v>511780</v>
      </c>
      <c r="Z272" s="1414"/>
      <c r="AA272" s="1414"/>
      <c r="AB272" s="1414"/>
      <c r="AC272" s="1414"/>
      <c r="AD272" s="488">
        <f t="shared" si="23"/>
        <v>24397310</v>
      </c>
      <c r="AE272" s="565">
        <f t="shared" si="24"/>
        <v>2.6761871325291038</v>
      </c>
      <c r="AF272" s="566">
        <f t="shared" si="20"/>
        <v>23</v>
      </c>
    </row>
    <row r="273" spans="1:32" x14ac:dyDescent="0.3">
      <c r="A273" s="10" t="s">
        <v>4</v>
      </c>
      <c r="B273" s="11" t="s">
        <v>1687</v>
      </c>
      <c r="C273" s="485"/>
      <c r="D273" s="489">
        <v>0</v>
      </c>
      <c r="E273" s="489">
        <v>0</v>
      </c>
      <c r="F273" s="489">
        <v>0</v>
      </c>
      <c r="G273" s="489"/>
      <c r="H273" s="489">
        <v>12663870</v>
      </c>
      <c r="I273" s="489">
        <v>391290</v>
      </c>
      <c r="J273" s="489">
        <v>4961120</v>
      </c>
      <c r="K273" s="489">
        <v>4961120</v>
      </c>
      <c r="L273" s="489">
        <v>42421290</v>
      </c>
      <c r="M273" s="489">
        <v>23172780</v>
      </c>
      <c r="N273" s="489">
        <v>10939220</v>
      </c>
      <c r="O273" s="489">
        <v>20811690</v>
      </c>
      <c r="P273" s="1494">
        <f t="shared" si="21"/>
        <v>18016280</v>
      </c>
      <c r="Q273" s="1439">
        <f t="shared" si="22"/>
        <v>115361260</v>
      </c>
      <c r="R273" s="1413">
        <v>5456540</v>
      </c>
      <c r="S273" s="1414">
        <v>11905400</v>
      </c>
      <c r="T273" s="1414">
        <v>14684750</v>
      </c>
      <c r="U273" s="1414">
        <v>19363610</v>
      </c>
      <c r="V273" s="1414">
        <v>19292360</v>
      </c>
      <c r="W273" s="1414">
        <v>26391870</v>
      </c>
      <c r="X273" s="1414">
        <v>9064920</v>
      </c>
      <c r="Y273" s="1414">
        <v>21281540</v>
      </c>
      <c r="Z273" s="1414"/>
      <c r="AA273" s="1414"/>
      <c r="AB273" s="1414"/>
      <c r="AC273" s="1414"/>
      <c r="AD273" s="488">
        <f t="shared" si="23"/>
        <v>127440990</v>
      </c>
      <c r="AE273" s="565">
        <f t="shared" si="24"/>
        <v>6.073657269980262</v>
      </c>
      <c r="AF273" s="566">
        <f t="shared" si="20"/>
        <v>2</v>
      </c>
    </row>
    <row r="274" spans="1:32" x14ac:dyDescent="0.3">
      <c r="A274" s="10" t="s">
        <v>4</v>
      </c>
      <c r="B274" s="11" t="s">
        <v>1688</v>
      </c>
      <c r="C274" s="485"/>
      <c r="D274" s="489">
        <v>0</v>
      </c>
      <c r="E274" s="489">
        <v>0</v>
      </c>
      <c r="F274" s="489">
        <v>0</v>
      </c>
      <c r="G274" s="489"/>
      <c r="H274" s="489">
        <v>36301360</v>
      </c>
      <c r="I274" s="489">
        <v>9834330</v>
      </c>
      <c r="J274" s="489">
        <v>36424390</v>
      </c>
      <c r="K274" s="489">
        <v>36424390</v>
      </c>
      <c r="L274" s="489">
        <v>869300</v>
      </c>
      <c r="M274" s="489">
        <v>740070</v>
      </c>
      <c r="N274" s="489">
        <v>319990</v>
      </c>
      <c r="O274" s="489">
        <v>0</v>
      </c>
      <c r="P274" s="1494">
        <f t="shared" si="21"/>
        <v>82560080</v>
      </c>
      <c r="Q274" s="1439">
        <f t="shared" si="22"/>
        <v>84489440</v>
      </c>
      <c r="R274" s="1413" t="s">
        <v>251</v>
      </c>
      <c r="S274" s="1414" t="s">
        <v>251</v>
      </c>
      <c r="T274" s="1414" t="s">
        <v>251</v>
      </c>
      <c r="U274" s="1414"/>
      <c r="V274" s="1414"/>
      <c r="W274" s="1414"/>
      <c r="X274" s="1414"/>
      <c r="Y274" s="1414"/>
      <c r="Z274" s="1414"/>
      <c r="AA274" s="1414"/>
      <c r="AB274" s="1414"/>
      <c r="AC274" s="1414"/>
      <c r="AD274" s="488">
        <f t="shared" si="23"/>
        <v>0</v>
      </c>
      <c r="AE274" s="565">
        <f t="shared" si="24"/>
        <v>-1</v>
      </c>
      <c r="AF274" s="566">
        <f t="shared" si="20"/>
        <v>240</v>
      </c>
    </row>
    <row r="275" spans="1:32" x14ac:dyDescent="0.3">
      <c r="A275" s="10" t="s">
        <v>4</v>
      </c>
      <c r="B275" s="11" t="s">
        <v>1689</v>
      </c>
      <c r="C275" s="485"/>
      <c r="D275" s="489">
        <v>0</v>
      </c>
      <c r="E275" s="489">
        <v>0</v>
      </c>
      <c r="F275" s="489">
        <v>0</v>
      </c>
      <c r="G275" s="489"/>
      <c r="H275" s="489">
        <v>6465790</v>
      </c>
      <c r="I275" s="489">
        <v>0</v>
      </c>
      <c r="J275" s="489">
        <v>0</v>
      </c>
      <c r="K275" s="489">
        <v>0</v>
      </c>
      <c r="L275" s="489">
        <v>0</v>
      </c>
      <c r="M275" s="489">
        <v>0</v>
      </c>
      <c r="N275" s="489">
        <v>0</v>
      </c>
      <c r="O275" s="489">
        <v>0</v>
      </c>
      <c r="P275" s="1494">
        <f t="shared" si="21"/>
        <v>6465790</v>
      </c>
      <c r="Q275" s="1439">
        <f t="shared" si="22"/>
        <v>6465790</v>
      </c>
      <c r="R275" s="1413" t="s">
        <v>251</v>
      </c>
      <c r="S275" s="1414" t="s">
        <v>251</v>
      </c>
      <c r="T275" s="1414" t="s">
        <v>251</v>
      </c>
      <c r="U275" s="1414"/>
      <c r="V275" s="1414"/>
      <c r="W275" s="1414"/>
      <c r="X275" s="1414"/>
      <c r="Y275" s="1414"/>
      <c r="Z275" s="1414"/>
      <c r="AA275" s="1414"/>
      <c r="AB275" s="1414"/>
      <c r="AC275" s="1414"/>
      <c r="AD275" s="488">
        <f t="shared" si="23"/>
        <v>0</v>
      </c>
      <c r="AE275" s="565">
        <f t="shared" si="24"/>
        <v>-1</v>
      </c>
      <c r="AF275" s="566">
        <f t="shared" si="20"/>
        <v>240</v>
      </c>
    </row>
    <row r="276" spans="1:32" x14ac:dyDescent="0.3">
      <c r="A276" s="10" t="s">
        <v>4</v>
      </c>
      <c r="B276" s="11" t="s">
        <v>1690</v>
      </c>
      <c r="C276" s="485"/>
      <c r="D276" s="489">
        <v>0</v>
      </c>
      <c r="E276" s="489">
        <v>0</v>
      </c>
      <c r="F276" s="489">
        <v>0</v>
      </c>
      <c r="G276" s="489"/>
      <c r="H276" s="489">
        <v>2490760</v>
      </c>
      <c r="I276" s="489">
        <v>1937050</v>
      </c>
      <c r="J276" s="489">
        <v>4401350</v>
      </c>
      <c r="K276" s="489">
        <v>4401350</v>
      </c>
      <c r="L276" s="489">
        <v>834550</v>
      </c>
      <c r="M276" s="489">
        <v>0</v>
      </c>
      <c r="N276" s="489">
        <v>0</v>
      </c>
      <c r="O276" s="489">
        <v>0</v>
      </c>
      <c r="P276" s="1494">
        <f t="shared" si="21"/>
        <v>8829160</v>
      </c>
      <c r="Q276" s="1439">
        <f t="shared" si="22"/>
        <v>9663710</v>
      </c>
      <c r="R276" s="1413" t="s">
        <v>251</v>
      </c>
      <c r="S276" s="1414" t="s">
        <v>251</v>
      </c>
      <c r="T276" s="1414" t="s">
        <v>251</v>
      </c>
      <c r="U276" s="1414"/>
      <c r="V276" s="1414"/>
      <c r="W276" s="1414"/>
      <c r="X276" s="1414"/>
      <c r="Y276" s="1414"/>
      <c r="Z276" s="1414"/>
      <c r="AA276" s="1414"/>
      <c r="AB276" s="1414"/>
      <c r="AC276" s="1414"/>
      <c r="AD276" s="488">
        <f t="shared" si="23"/>
        <v>0</v>
      </c>
      <c r="AE276" s="565">
        <f t="shared" si="24"/>
        <v>-1</v>
      </c>
      <c r="AF276" s="566">
        <f t="shared" si="20"/>
        <v>240</v>
      </c>
    </row>
    <row r="277" spans="1:32" x14ac:dyDescent="0.3">
      <c r="A277" s="10" t="s">
        <v>4</v>
      </c>
      <c r="B277" s="11" t="s">
        <v>1691</v>
      </c>
      <c r="C277" s="485"/>
      <c r="D277" s="489">
        <v>0</v>
      </c>
      <c r="E277" s="489">
        <v>0</v>
      </c>
      <c r="F277" s="489">
        <v>0</v>
      </c>
      <c r="G277" s="489"/>
      <c r="H277" s="489">
        <v>1251450</v>
      </c>
      <c r="I277" s="489">
        <v>0</v>
      </c>
      <c r="J277" s="489">
        <v>55390</v>
      </c>
      <c r="K277" s="489">
        <v>55390</v>
      </c>
      <c r="L277" s="489">
        <v>631020</v>
      </c>
      <c r="M277" s="489">
        <v>2464010</v>
      </c>
      <c r="N277" s="489">
        <v>590490</v>
      </c>
      <c r="O277" s="489">
        <v>3543850</v>
      </c>
      <c r="P277" s="1494">
        <f t="shared" si="21"/>
        <v>1306840</v>
      </c>
      <c r="Q277" s="1439">
        <f t="shared" si="22"/>
        <v>8536210</v>
      </c>
      <c r="R277" s="1413">
        <v>1582090</v>
      </c>
      <c r="S277" s="1414">
        <v>810290</v>
      </c>
      <c r="T277" s="1414">
        <v>4411190</v>
      </c>
      <c r="U277" s="1414">
        <v>936230</v>
      </c>
      <c r="V277" s="1414">
        <v>608490</v>
      </c>
      <c r="W277" s="1414">
        <v>341260</v>
      </c>
      <c r="X277" s="1414">
        <v>3011640</v>
      </c>
      <c r="Y277" s="1414">
        <v>5720560</v>
      </c>
      <c r="Z277" s="1414"/>
      <c r="AA277" s="1414"/>
      <c r="AB277" s="1414"/>
      <c r="AC277" s="1414"/>
      <c r="AD277" s="488">
        <f t="shared" si="23"/>
        <v>17421750</v>
      </c>
      <c r="AE277" s="565">
        <f t="shared" si="24"/>
        <v>12.331203513819595</v>
      </c>
      <c r="AF277" s="566">
        <f t="shared" si="20"/>
        <v>30</v>
      </c>
    </row>
    <row r="278" spans="1:32" x14ac:dyDescent="0.3">
      <c r="A278" s="10" t="s">
        <v>4</v>
      </c>
      <c r="B278" s="11" t="s">
        <v>1692</v>
      </c>
      <c r="C278" s="485"/>
      <c r="D278" s="489">
        <v>0</v>
      </c>
      <c r="E278" s="489">
        <v>0</v>
      </c>
      <c r="F278" s="489">
        <v>0</v>
      </c>
      <c r="G278" s="489"/>
      <c r="H278" s="489">
        <v>1164480</v>
      </c>
      <c r="I278" s="489">
        <v>1744110</v>
      </c>
      <c r="J278" s="489">
        <v>0</v>
      </c>
      <c r="K278" s="489">
        <v>0</v>
      </c>
      <c r="L278" s="489">
        <v>0</v>
      </c>
      <c r="M278" s="489">
        <v>703640</v>
      </c>
      <c r="N278" s="489">
        <v>312340</v>
      </c>
      <c r="O278" s="489">
        <v>939000</v>
      </c>
      <c r="P278" s="1494">
        <f t="shared" si="21"/>
        <v>2908590</v>
      </c>
      <c r="Q278" s="1439">
        <f t="shared" si="22"/>
        <v>4863570</v>
      </c>
      <c r="R278" s="1413">
        <v>313850</v>
      </c>
      <c r="S278" s="1414">
        <v>622340</v>
      </c>
      <c r="T278" s="1414">
        <v>0</v>
      </c>
      <c r="U278" s="1414">
        <v>0</v>
      </c>
      <c r="V278" s="1414">
        <v>499340</v>
      </c>
      <c r="W278" s="1414">
        <v>885160</v>
      </c>
      <c r="X278" s="1414">
        <v>3043950</v>
      </c>
      <c r="Y278" s="1414">
        <v>0</v>
      </c>
      <c r="Z278" s="1414"/>
      <c r="AA278" s="1414"/>
      <c r="AB278" s="1414"/>
      <c r="AC278" s="1414"/>
      <c r="AD278" s="488">
        <f t="shared" si="23"/>
        <v>5364640</v>
      </c>
      <c r="AE278" s="565">
        <f t="shared" si="24"/>
        <v>0.84441258479194381</v>
      </c>
      <c r="AF278" s="566">
        <f t="shared" si="20"/>
        <v>80</v>
      </c>
    </row>
    <row r="279" spans="1:32" x14ac:dyDescent="0.3">
      <c r="A279" s="10" t="s">
        <v>4</v>
      </c>
      <c r="B279" s="11" t="s">
        <v>1693</v>
      </c>
      <c r="C279" s="485"/>
      <c r="D279" s="489">
        <v>0</v>
      </c>
      <c r="E279" s="489">
        <v>0</v>
      </c>
      <c r="F279" s="489">
        <v>0</v>
      </c>
      <c r="G279" s="489"/>
      <c r="H279" s="489">
        <v>1305920</v>
      </c>
      <c r="I279" s="489">
        <v>0</v>
      </c>
      <c r="J279" s="489">
        <v>0</v>
      </c>
      <c r="K279" s="489">
        <v>0</v>
      </c>
      <c r="L279" s="489">
        <v>0</v>
      </c>
      <c r="M279" s="489">
        <v>1039800</v>
      </c>
      <c r="N279" s="489">
        <v>0</v>
      </c>
      <c r="O279" s="489">
        <v>0</v>
      </c>
      <c r="P279" s="1494">
        <f t="shared" si="21"/>
        <v>1305920</v>
      </c>
      <c r="Q279" s="1439">
        <f t="shared" si="22"/>
        <v>2345720</v>
      </c>
      <c r="R279" s="1413" t="s">
        <v>251</v>
      </c>
      <c r="S279" s="1414" t="s">
        <v>251</v>
      </c>
      <c r="T279" s="1414" t="s">
        <v>251</v>
      </c>
      <c r="U279" s="1414"/>
      <c r="V279" s="1414"/>
      <c r="W279" s="1414"/>
      <c r="X279" s="1414"/>
      <c r="Y279" s="1414"/>
      <c r="Z279" s="1414"/>
      <c r="AA279" s="1414"/>
      <c r="AB279" s="1414"/>
      <c r="AC279" s="1414"/>
      <c r="AD279" s="488">
        <f t="shared" si="23"/>
        <v>0</v>
      </c>
      <c r="AE279" s="565">
        <f t="shared" si="24"/>
        <v>-1</v>
      </c>
      <c r="AF279" s="566">
        <f t="shared" si="20"/>
        <v>240</v>
      </c>
    </row>
    <row r="280" spans="1:32" x14ac:dyDescent="0.3">
      <c r="A280" s="10" t="s">
        <v>4</v>
      </c>
      <c r="B280" s="11" t="s">
        <v>1694</v>
      </c>
      <c r="C280" s="485"/>
      <c r="D280" s="489">
        <v>0</v>
      </c>
      <c r="E280" s="489">
        <v>0</v>
      </c>
      <c r="F280" s="489">
        <v>0</v>
      </c>
      <c r="G280" s="489"/>
      <c r="H280" s="489">
        <v>730150</v>
      </c>
      <c r="I280" s="489">
        <v>0</v>
      </c>
      <c r="J280" s="489">
        <v>0</v>
      </c>
      <c r="K280" s="489">
        <v>0</v>
      </c>
      <c r="L280" s="489">
        <v>0</v>
      </c>
      <c r="M280" s="489">
        <v>512530</v>
      </c>
      <c r="N280" s="489">
        <v>0</v>
      </c>
      <c r="O280" s="489">
        <v>0</v>
      </c>
      <c r="P280" s="1494">
        <f t="shared" si="21"/>
        <v>730150</v>
      </c>
      <c r="Q280" s="1439">
        <f t="shared" si="22"/>
        <v>1242680</v>
      </c>
      <c r="R280" s="1413" t="s">
        <v>251</v>
      </c>
      <c r="S280" s="1414" t="s">
        <v>251</v>
      </c>
      <c r="T280" s="1414">
        <v>767340</v>
      </c>
      <c r="U280" s="1414">
        <v>29460</v>
      </c>
      <c r="V280" s="1414">
        <v>0</v>
      </c>
      <c r="W280" s="1414">
        <v>0</v>
      </c>
      <c r="X280" s="1414">
        <v>0</v>
      </c>
      <c r="Y280" s="1414">
        <v>0</v>
      </c>
      <c r="Z280" s="1414"/>
      <c r="AA280" s="1414"/>
      <c r="AB280" s="1414"/>
      <c r="AC280" s="1414"/>
      <c r="AD280" s="488">
        <f t="shared" si="23"/>
        <v>796800</v>
      </c>
      <c r="AE280" s="565">
        <f t="shared" si="24"/>
        <v>9.1282613161679113E-2</v>
      </c>
      <c r="AF280" s="566">
        <f t="shared" si="20"/>
        <v>166</v>
      </c>
    </row>
    <row r="281" spans="1:32" x14ac:dyDescent="0.3">
      <c r="A281" s="10" t="s">
        <v>4</v>
      </c>
      <c r="B281" s="11" t="s">
        <v>1695</v>
      </c>
      <c r="C281" s="485"/>
      <c r="D281" s="489">
        <v>0</v>
      </c>
      <c r="E281" s="489">
        <v>0</v>
      </c>
      <c r="F281" s="489">
        <v>0</v>
      </c>
      <c r="G281" s="489"/>
      <c r="H281" s="489">
        <v>484950</v>
      </c>
      <c r="I281" s="489">
        <v>0</v>
      </c>
      <c r="J281" s="489">
        <v>0</v>
      </c>
      <c r="K281" s="489">
        <v>0</v>
      </c>
      <c r="L281" s="489">
        <v>0</v>
      </c>
      <c r="M281" s="489">
        <v>0</v>
      </c>
      <c r="N281" s="489">
        <v>0</v>
      </c>
      <c r="O281" s="489">
        <v>0</v>
      </c>
      <c r="P281" s="1494">
        <f t="shared" si="21"/>
        <v>484950</v>
      </c>
      <c r="Q281" s="1439">
        <f t="shared" si="22"/>
        <v>484950</v>
      </c>
      <c r="R281" s="1413" t="s">
        <v>251</v>
      </c>
      <c r="S281" s="1414" t="s">
        <v>251</v>
      </c>
      <c r="T281" s="1414" t="s">
        <v>251</v>
      </c>
      <c r="U281" s="1414"/>
      <c r="V281" s="1414"/>
      <c r="W281" s="1414"/>
      <c r="X281" s="1414"/>
      <c r="Y281" s="1414"/>
      <c r="Z281" s="1414"/>
      <c r="AA281" s="1414"/>
      <c r="AB281" s="1414"/>
      <c r="AC281" s="1414"/>
      <c r="AD281" s="488">
        <f t="shared" si="23"/>
        <v>0</v>
      </c>
      <c r="AE281" s="565">
        <f t="shared" si="24"/>
        <v>-1</v>
      </c>
      <c r="AF281" s="566">
        <f t="shared" si="20"/>
        <v>240</v>
      </c>
    </row>
    <row r="282" spans="1:32" x14ac:dyDescent="0.3">
      <c r="A282" s="10" t="s">
        <v>4</v>
      </c>
      <c r="B282" s="11" t="s">
        <v>249</v>
      </c>
      <c r="C282" s="485"/>
      <c r="D282" s="489">
        <v>0</v>
      </c>
      <c r="E282" s="489">
        <v>0</v>
      </c>
      <c r="F282" s="489">
        <v>0</v>
      </c>
      <c r="G282" s="489"/>
      <c r="H282" s="489">
        <v>340750</v>
      </c>
      <c r="I282" s="489">
        <v>0</v>
      </c>
      <c r="J282" s="489">
        <v>0</v>
      </c>
      <c r="K282" s="489">
        <v>0</v>
      </c>
      <c r="L282" s="489">
        <v>0</v>
      </c>
      <c r="M282" s="489">
        <v>0</v>
      </c>
      <c r="N282" s="489">
        <v>0</v>
      </c>
      <c r="O282" s="489">
        <v>0</v>
      </c>
      <c r="P282" s="1494">
        <f t="shared" si="21"/>
        <v>340750</v>
      </c>
      <c r="Q282" s="1439">
        <f t="shared" si="22"/>
        <v>340750</v>
      </c>
      <c r="R282" s="1413" t="s">
        <v>251</v>
      </c>
      <c r="S282" s="1414" t="s">
        <v>251</v>
      </c>
      <c r="T282" s="1414" t="s">
        <v>251</v>
      </c>
      <c r="U282" s="1414"/>
      <c r="V282" s="1414"/>
      <c r="W282" s="1414"/>
      <c r="X282" s="1414">
        <v>490360</v>
      </c>
      <c r="Y282" s="1414">
        <v>0</v>
      </c>
      <c r="Z282" s="1414"/>
      <c r="AA282" s="1414"/>
      <c r="AB282" s="1414"/>
      <c r="AC282" s="1414"/>
      <c r="AD282" s="488">
        <f t="shared" si="23"/>
        <v>490360</v>
      </c>
      <c r="AE282" s="565">
        <f t="shared" si="24"/>
        <v>0.43906089508437268</v>
      </c>
      <c r="AF282" s="566">
        <f t="shared" si="20"/>
        <v>181</v>
      </c>
    </row>
    <row r="283" spans="1:32" x14ac:dyDescent="0.3">
      <c r="A283" s="10" t="s">
        <v>4</v>
      </c>
      <c r="B283" s="11" t="s">
        <v>1696</v>
      </c>
      <c r="C283" s="485"/>
      <c r="D283" s="489">
        <v>0</v>
      </c>
      <c r="E283" s="489">
        <v>0</v>
      </c>
      <c r="F283" s="489">
        <v>0</v>
      </c>
      <c r="G283" s="489"/>
      <c r="H283" s="489">
        <v>0</v>
      </c>
      <c r="I283" s="489">
        <v>303710</v>
      </c>
      <c r="J283" s="489">
        <v>24253800</v>
      </c>
      <c r="K283" s="489">
        <v>13770240</v>
      </c>
      <c r="L283" s="489">
        <v>24387690</v>
      </c>
      <c r="M283" s="489">
        <v>23561900</v>
      </c>
      <c r="N283" s="489">
        <v>14840090</v>
      </c>
      <c r="O283" s="489">
        <v>16888620</v>
      </c>
      <c r="P283" s="1494">
        <f t="shared" si="21"/>
        <v>14073950</v>
      </c>
      <c r="Q283" s="1439">
        <f t="shared" si="22"/>
        <v>104235810</v>
      </c>
      <c r="R283" s="1413">
        <v>42260700</v>
      </c>
      <c r="S283" s="1414">
        <v>20729860</v>
      </c>
      <c r="T283" s="1414">
        <v>13439800</v>
      </c>
      <c r="U283" s="1414">
        <v>24869000</v>
      </c>
      <c r="V283" s="1414">
        <v>19190680</v>
      </c>
      <c r="W283" s="1414">
        <v>22021130</v>
      </c>
      <c r="X283" s="1414">
        <v>25313380</v>
      </c>
      <c r="Y283" s="1414">
        <v>22974920</v>
      </c>
      <c r="Z283" s="1414"/>
      <c r="AA283" s="1414"/>
      <c r="AB283" s="1414"/>
      <c r="AC283" s="1414"/>
      <c r="AD283" s="488">
        <f t="shared" si="23"/>
        <v>190799470</v>
      </c>
      <c r="AE283" s="565">
        <f t="shared" si="24"/>
        <v>12.556923962355985</v>
      </c>
      <c r="AF283" s="566">
        <f t="shared" si="20"/>
        <v>1</v>
      </c>
    </row>
    <row r="284" spans="1:32" x14ac:dyDescent="0.3">
      <c r="A284" s="10" t="s">
        <v>4</v>
      </c>
      <c r="B284" s="11" t="s">
        <v>1697</v>
      </c>
      <c r="C284" s="485"/>
      <c r="D284" s="489">
        <v>0</v>
      </c>
      <c r="E284" s="489">
        <v>0</v>
      </c>
      <c r="F284" s="489">
        <v>0</v>
      </c>
      <c r="G284" s="489"/>
      <c r="H284" s="489">
        <v>0</v>
      </c>
      <c r="I284" s="489">
        <v>506140</v>
      </c>
      <c r="J284" s="489">
        <v>673220</v>
      </c>
      <c r="K284" s="489">
        <v>617680</v>
      </c>
      <c r="L284" s="489">
        <v>0</v>
      </c>
      <c r="M284" s="489">
        <v>0</v>
      </c>
      <c r="N284" s="489">
        <v>0</v>
      </c>
      <c r="O284" s="489">
        <v>0</v>
      </c>
      <c r="P284" s="1494">
        <f t="shared" si="21"/>
        <v>1123820</v>
      </c>
      <c r="Q284" s="1439">
        <f t="shared" si="22"/>
        <v>1179360</v>
      </c>
      <c r="R284" s="1413" t="s">
        <v>251</v>
      </c>
      <c r="S284" s="1414" t="s">
        <v>251</v>
      </c>
      <c r="T284" s="1414" t="s">
        <v>251</v>
      </c>
      <c r="U284" s="1414"/>
      <c r="V284" s="1414"/>
      <c r="W284" s="1414"/>
      <c r="X284" s="1414"/>
      <c r="Y284" s="1414"/>
      <c r="Z284" s="1414"/>
      <c r="AA284" s="1414"/>
      <c r="AB284" s="1414"/>
      <c r="AC284" s="1414"/>
      <c r="AD284" s="488">
        <f t="shared" si="23"/>
        <v>0</v>
      </c>
      <c r="AE284" s="565">
        <f t="shared" si="24"/>
        <v>-1</v>
      </c>
      <c r="AF284" s="566">
        <f t="shared" si="20"/>
        <v>240</v>
      </c>
    </row>
    <row r="285" spans="1:32" x14ac:dyDescent="0.3">
      <c r="A285" s="10" t="s">
        <v>4</v>
      </c>
      <c r="B285" s="11" t="s">
        <v>1698</v>
      </c>
      <c r="C285" s="485"/>
      <c r="D285" s="489">
        <v>0</v>
      </c>
      <c r="E285" s="489">
        <v>0</v>
      </c>
      <c r="F285" s="489">
        <v>0</v>
      </c>
      <c r="G285" s="489"/>
      <c r="H285" s="489">
        <v>0</v>
      </c>
      <c r="I285" s="489">
        <v>270810</v>
      </c>
      <c r="J285" s="489">
        <v>0</v>
      </c>
      <c r="K285" s="489">
        <v>0</v>
      </c>
      <c r="L285" s="489">
        <v>0</v>
      </c>
      <c r="M285" s="489">
        <v>0</v>
      </c>
      <c r="N285" s="489">
        <v>0</v>
      </c>
      <c r="O285" s="489">
        <v>0</v>
      </c>
      <c r="P285" s="1494">
        <f t="shared" si="21"/>
        <v>270810</v>
      </c>
      <c r="Q285" s="1439">
        <f t="shared" si="22"/>
        <v>270810</v>
      </c>
      <c r="R285" s="1413" t="s">
        <v>251</v>
      </c>
      <c r="S285" s="1414" t="s">
        <v>251</v>
      </c>
      <c r="T285" s="1414" t="s">
        <v>251</v>
      </c>
      <c r="U285" s="1414"/>
      <c r="V285" s="1414"/>
      <c r="W285" s="1414"/>
      <c r="X285" s="1414"/>
      <c r="Y285" s="1414"/>
      <c r="Z285" s="1414"/>
      <c r="AA285" s="1414"/>
      <c r="AB285" s="1414"/>
      <c r="AC285" s="1414"/>
      <c r="AD285" s="488">
        <f t="shared" si="23"/>
        <v>0</v>
      </c>
      <c r="AE285" s="565">
        <f t="shared" si="24"/>
        <v>-1</v>
      </c>
      <c r="AF285" s="566">
        <f t="shared" si="20"/>
        <v>240</v>
      </c>
    </row>
    <row r="286" spans="1:32" x14ac:dyDescent="0.3">
      <c r="A286" s="10" t="s">
        <v>4</v>
      </c>
      <c r="B286" s="11" t="s">
        <v>1699</v>
      </c>
      <c r="C286" s="485"/>
      <c r="D286" s="489">
        <v>0</v>
      </c>
      <c r="E286" s="489">
        <v>0</v>
      </c>
      <c r="F286" s="489">
        <v>0</v>
      </c>
      <c r="G286" s="489"/>
      <c r="H286" s="489">
        <v>0</v>
      </c>
      <c r="I286" s="489">
        <v>27810</v>
      </c>
      <c r="J286" s="489">
        <v>0</v>
      </c>
      <c r="K286" s="489">
        <v>0</v>
      </c>
      <c r="L286" s="489">
        <v>0</v>
      </c>
      <c r="M286" s="489">
        <v>0</v>
      </c>
      <c r="N286" s="489">
        <v>0</v>
      </c>
      <c r="O286" s="489">
        <v>0</v>
      </c>
      <c r="P286" s="1494">
        <f t="shared" si="21"/>
        <v>27810</v>
      </c>
      <c r="Q286" s="1439">
        <f t="shared" si="22"/>
        <v>27810</v>
      </c>
      <c r="R286" s="1413" t="s">
        <v>251</v>
      </c>
      <c r="S286" s="1414" t="s">
        <v>251</v>
      </c>
      <c r="T286" s="1414" t="s">
        <v>251</v>
      </c>
      <c r="U286" s="1414">
        <v>0</v>
      </c>
      <c r="V286" s="1414">
        <v>0</v>
      </c>
      <c r="W286" s="1414">
        <v>0</v>
      </c>
      <c r="X286" s="1414">
        <v>0</v>
      </c>
      <c r="Y286" s="1414">
        <v>0</v>
      </c>
      <c r="Z286" s="1414"/>
      <c r="AA286" s="1414"/>
      <c r="AB286" s="1414"/>
      <c r="AC286" s="1414"/>
      <c r="AD286" s="488">
        <f t="shared" si="23"/>
        <v>0</v>
      </c>
      <c r="AE286" s="565">
        <f t="shared" si="24"/>
        <v>-1</v>
      </c>
      <c r="AF286" s="566">
        <f t="shared" si="20"/>
        <v>240</v>
      </c>
    </row>
    <row r="287" spans="1:32" x14ac:dyDescent="0.3">
      <c r="A287" s="10" t="s">
        <v>4</v>
      </c>
      <c r="B287" s="11" t="s">
        <v>1700</v>
      </c>
      <c r="C287" s="485"/>
      <c r="D287" s="489">
        <v>0</v>
      </c>
      <c r="E287" s="489">
        <v>0</v>
      </c>
      <c r="F287" s="489">
        <v>0</v>
      </c>
      <c r="G287" s="489"/>
      <c r="H287" s="489">
        <v>0</v>
      </c>
      <c r="I287" s="489">
        <v>0</v>
      </c>
      <c r="J287" s="489">
        <v>27800</v>
      </c>
      <c r="K287" s="489">
        <v>27800</v>
      </c>
      <c r="L287" s="489">
        <v>908680</v>
      </c>
      <c r="M287" s="489">
        <v>406540</v>
      </c>
      <c r="N287" s="489">
        <v>0</v>
      </c>
      <c r="O287" s="489">
        <v>814300</v>
      </c>
      <c r="P287" s="1494">
        <f t="shared" si="21"/>
        <v>27800</v>
      </c>
      <c r="Q287" s="1439">
        <f t="shared" si="22"/>
        <v>2157320</v>
      </c>
      <c r="R287" s="1413" t="s">
        <v>251</v>
      </c>
      <c r="S287" s="1414" t="s">
        <v>251</v>
      </c>
      <c r="T287" s="1414">
        <v>29830</v>
      </c>
      <c r="U287" s="1414">
        <v>0</v>
      </c>
      <c r="V287" s="1414">
        <v>0</v>
      </c>
      <c r="W287" s="1414">
        <v>0</v>
      </c>
      <c r="X287" s="1414">
        <v>0</v>
      </c>
      <c r="Y287" s="1414">
        <v>0</v>
      </c>
      <c r="Z287" s="1414"/>
      <c r="AA287" s="1414"/>
      <c r="AB287" s="1414"/>
      <c r="AC287" s="1414"/>
      <c r="AD287" s="488">
        <f t="shared" si="23"/>
        <v>29830</v>
      </c>
      <c r="AE287" s="565">
        <f t="shared" si="24"/>
        <v>7.3021582733812956E-2</v>
      </c>
      <c r="AF287" s="566">
        <f t="shared" si="20"/>
        <v>229</v>
      </c>
    </row>
    <row r="288" spans="1:32" x14ac:dyDescent="0.3">
      <c r="A288" s="10" t="s">
        <v>4</v>
      </c>
      <c r="B288" s="11" t="s">
        <v>1701</v>
      </c>
      <c r="C288" s="485"/>
      <c r="D288" s="489">
        <v>0</v>
      </c>
      <c r="E288" s="489">
        <v>0</v>
      </c>
      <c r="F288" s="489">
        <v>0</v>
      </c>
      <c r="G288" s="489"/>
      <c r="H288" s="489">
        <v>0</v>
      </c>
      <c r="I288" s="489">
        <v>0</v>
      </c>
      <c r="J288" s="489">
        <v>783620</v>
      </c>
      <c r="K288" s="489">
        <v>783620</v>
      </c>
      <c r="L288" s="489">
        <v>0</v>
      </c>
      <c r="M288" s="489">
        <v>0</v>
      </c>
      <c r="N288" s="489">
        <v>0</v>
      </c>
      <c r="O288" s="489">
        <v>0</v>
      </c>
      <c r="P288" s="1494">
        <f t="shared" si="21"/>
        <v>783620</v>
      </c>
      <c r="Q288" s="1439">
        <f t="shared" si="22"/>
        <v>783620</v>
      </c>
      <c r="R288" s="1413" t="s">
        <v>251</v>
      </c>
      <c r="S288" s="1414" t="s">
        <v>251</v>
      </c>
      <c r="T288" s="1414" t="s">
        <v>251</v>
      </c>
      <c r="U288" s="1414"/>
      <c r="V288" s="1414"/>
      <c r="W288" s="1414"/>
      <c r="X288" s="1414"/>
      <c r="Y288" s="1414"/>
      <c r="Z288" s="1414"/>
      <c r="AA288" s="1414"/>
      <c r="AB288" s="1414"/>
      <c r="AC288" s="1414"/>
      <c r="AD288" s="488">
        <f t="shared" si="23"/>
        <v>0</v>
      </c>
      <c r="AE288" s="565">
        <f t="shared" si="24"/>
        <v>-1</v>
      </c>
      <c r="AF288" s="566">
        <f t="shared" si="20"/>
        <v>240</v>
      </c>
    </row>
    <row r="289" spans="1:32" x14ac:dyDescent="0.3">
      <c r="A289" s="10" t="s">
        <v>4</v>
      </c>
      <c r="B289" s="11" t="s">
        <v>1702</v>
      </c>
      <c r="C289" s="485"/>
      <c r="D289" s="489">
        <v>0</v>
      </c>
      <c r="E289" s="489">
        <v>0</v>
      </c>
      <c r="F289" s="489">
        <v>0</v>
      </c>
      <c r="G289" s="489"/>
      <c r="H289" s="489">
        <v>0</v>
      </c>
      <c r="I289" s="489">
        <v>0</v>
      </c>
      <c r="J289" s="489">
        <v>297350</v>
      </c>
      <c r="K289" s="489">
        <v>297350</v>
      </c>
      <c r="L289" s="489">
        <v>0</v>
      </c>
      <c r="M289" s="489">
        <v>443770</v>
      </c>
      <c r="N289" s="489">
        <v>2435380</v>
      </c>
      <c r="O289" s="489">
        <v>8271260</v>
      </c>
      <c r="P289" s="1494">
        <f t="shared" si="21"/>
        <v>297350</v>
      </c>
      <c r="Q289" s="1439">
        <f t="shared" si="22"/>
        <v>11447760</v>
      </c>
      <c r="R289" s="1413">
        <v>10714750</v>
      </c>
      <c r="S289" s="1414">
        <v>369230</v>
      </c>
      <c r="T289" s="1414">
        <v>5543750</v>
      </c>
      <c r="U289" s="1414">
        <v>6228020</v>
      </c>
      <c r="V289" s="1414">
        <v>10934040</v>
      </c>
      <c r="W289" s="1414">
        <v>7381540</v>
      </c>
      <c r="X289" s="1414">
        <v>14697310</v>
      </c>
      <c r="Y289" s="1414">
        <v>17731910</v>
      </c>
      <c r="Z289" s="1414"/>
      <c r="AA289" s="1414"/>
      <c r="AB289" s="1414"/>
      <c r="AC289" s="1414"/>
      <c r="AD289" s="488">
        <f t="shared" si="23"/>
        <v>73600550</v>
      </c>
      <c r="AE289" s="565">
        <f t="shared" si="24"/>
        <v>246.52160753321002</v>
      </c>
      <c r="AF289" s="566">
        <f t="shared" si="20"/>
        <v>4</v>
      </c>
    </row>
    <row r="290" spans="1:32" x14ac:dyDescent="0.3">
      <c r="A290" s="10" t="s">
        <v>4</v>
      </c>
      <c r="B290" s="11" t="s">
        <v>1703</v>
      </c>
      <c r="C290" s="485"/>
      <c r="D290" s="489">
        <v>0</v>
      </c>
      <c r="E290" s="489">
        <v>0</v>
      </c>
      <c r="F290" s="489">
        <v>0</v>
      </c>
      <c r="G290" s="489"/>
      <c r="H290" s="489">
        <v>0</v>
      </c>
      <c r="I290" s="489">
        <v>0</v>
      </c>
      <c r="J290" s="489">
        <v>236190</v>
      </c>
      <c r="K290" s="489">
        <v>236190</v>
      </c>
      <c r="L290" s="489">
        <v>0</v>
      </c>
      <c r="M290" s="489">
        <v>0</v>
      </c>
      <c r="N290" s="489">
        <v>0</v>
      </c>
      <c r="O290" s="489">
        <v>0</v>
      </c>
      <c r="P290" s="1494">
        <f t="shared" si="21"/>
        <v>236190</v>
      </c>
      <c r="Q290" s="1439">
        <f t="shared" si="22"/>
        <v>236190</v>
      </c>
      <c r="R290" s="1413" t="s">
        <v>251</v>
      </c>
      <c r="S290" s="1414" t="s">
        <v>251</v>
      </c>
      <c r="T290" s="1414" t="s">
        <v>251</v>
      </c>
      <c r="U290" s="1414">
        <v>382300</v>
      </c>
      <c r="V290" s="1414">
        <v>0</v>
      </c>
      <c r="W290" s="1414">
        <v>529790</v>
      </c>
      <c r="X290" s="1414">
        <v>0</v>
      </c>
      <c r="Y290" s="1414">
        <v>0</v>
      </c>
      <c r="Z290" s="1414"/>
      <c r="AA290" s="1414"/>
      <c r="AB290" s="1414"/>
      <c r="AC290" s="1414"/>
      <c r="AD290" s="488">
        <f t="shared" si="23"/>
        <v>912090</v>
      </c>
      <c r="AE290" s="565">
        <f t="shared" si="24"/>
        <v>2.8616791566112028</v>
      </c>
      <c r="AF290" s="566">
        <f t="shared" si="20"/>
        <v>160</v>
      </c>
    </row>
    <row r="291" spans="1:32" x14ac:dyDescent="0.3">
      <c r="A291" s="10" t="s">
        <v>4</v>
      </c>
      <c r="B291" s="11" t="s">
        <v>1704</v>
      </c>
      <c r="C291" s="485"/>
      <c r="D291" s="489">
        <v>0</v>
      </c>
      <c r="E291" s="489">
        <v>0</v>
      </c>
      <c r="F291" s="489">
        <v>0</v>
      </c>
      <c r="G291" s="489"/>
      <c r="H291" s="489">
        <v>0</v>
      </c>
      <c r="I291" s="489">
        <v>0</v>
      </c>
      <c r="J291" s="489">
        <v>228020</v>
      </c>
      <c r="K291" s="489">
        <v>228020</v>
      </c>
      <c r="L291" s="489">
        <v>0</v>
      </c>
      <c r="M291" s="489">
        <v>0</v>
      </c>
      <c r="N291" s="489">
        <v>0</v>
      </c>
      <c r="O291" s="489">
        <v>0</v>
      </c>
      <c r="P291" s="1494">
        <f t="shared" si="21"/>
        <v>228020</v>
      </c>
      <c r="Q291" s="1439">
        <f t="shared" si="22"/>
        <v>228020</v>
      </c>
      <c r="R291" s="1413" t="s">
        <v>251</v>
      </c>
      <c r="S291" s="1414" t="s">
        <v>251</v>
      </c>
      <c r="T291" s="1414" t="s">
        <v>251</v>
      </c>
      <c r="U291" s="1414"/>
      <c r="V291" s="1414"/>
      <c r="W291" s="1414"/>
      <c r="X291" s="1414"/>
      <c r="Y291" s="1414"/>
      <c r="Z291" s="1414"/>
      <c r="AA291" s="1414"/>
      <c r="AB291" s="1414"/>
      <c r="AC291" s="1414"/>
      <c r="AD291" s="488">
        <f t="shared" si="23"/>
        <v>0</v>
      </c>
      <c r="AE291" s="565">
        <f t="shared" si="24"/>
        <v>-1</v>
      </c>
      <c r="AF291" s="566">
        <f t="shared" si="20"/>
        <v>240</v>
      </c>
    </row>
    <row r="292" spans="1:32" x14ac:dyDescent="0.3">
      <c r="A292" s="10" t="s">
        <v>4</v>
      </c>
      <c r="B292" s="11" t="s">
        <v>1705</v>
      </c>
      <c r="C292" s="485"/>
      <c r="D292" s="489">
        <v>0</v>
      </c>
      <c r="E292" s="489">
        <v>0</v>
      </c>
      <c r="F292" s="489">
        <v>0</v>
      </c>
      <c r="G292" s="489"/>
      <c r="H292" s="489">
        <v>0</v>
      </c>
      <c r="I292" s="489">
        <v>0</v>
      </c>
      <c r="J292" s="489">
        <v>120210</v>
      </c>
      <c r="K292" s="489">
        <v>120210</v>
      </c>
      <c r="L292" s="489">
        <v>0</v>
      </c>
      <c r="M292" s="489">
        <v>0</v>
      </c>
      <c r="N292" s="489">
        <v>0</v>
      </c>
      <c r="O292" s="489">
        <v>0</v>
      </c>
      <c r="P292" s="1494">
        <f t="shared" si="21"/>
        <v>120210</v>
      </c>
      <c r="Q292" s="1439">
        <f t="shared" si="22"/>
        <v>120210</v>
      </c>
      <c r="R292" s="1413">
        <v>0</v>
      </c>
      <c r="S292" s="1414" t="s">
        <v>251</v>
      </c>
      <c r="T292" s="1414">
        <v>0</v>
      </c>
      <c r="U292" s="1414">
        <v>0</v>
      </c>
      <c r="V292" s="1414">
        <v>0</v>
      </c>
      <c r="W292" s="1414">
        <v>0</v>
      </c>
      <c r="X292" s="1414">
        <v>0</v>
      </c>
      <c r="Y292" s="1414">
        <v>0</v>
      </c>
      <c r="Z292" s="1414"/>
      <c r="AA292" s="1414"/>
      <c r="AB292" s="1414"/>
      <c r="AC292" s="1414"/>
      <c r="AD292" s="488">
        <f t="shared" si="23"/>
        <v>0</v>
      </c>
      <c r="AE292" s="565">
        <f t="shared" si="24"/>
        <v>-1</v>
      </c>
      <c r="AF292" s="566">
        <f t="shared" si="20"/>
        <v>240</v>
      </c>
    </row>
    <row r="293" spans="1:32" x14ac:dyDescent="0.3">
      <c r="A293" s="10" t="s">
        <v>4</v>
      </c>
      <c r="B293" s="11" t="s">
        <v>1706</v>
      </c>
      <c r="C293" s="485"/>
      <c r="D293" s="489">
        <v>0</v>
      </c>
      <c r="E293" s="489">
        <v>0</v>
      </c>
      <c r="F293" s="489">
        <v>0</v>
      </c>
      <c r="G293" s="489"/>
      <c r="H293" s="489">
        <v>0</v>
      </c>
      <c r="I293" s="489">
        <v>0</v>
      </c>
      <c r="J293" s="489">
        <v>0</v>
      </c>
      <c r="K293" s="489"/>
      <c r="L293" s="489">
        <v>396310</v>
      </c>
      <c r="M293" s="489">
        <v>10208980</v>
      </c>
      <c r="N293" s="489">
        <v>6993370</v>
      </c>
      <c r="O293" s="489">
        <v>6474220</v>
      </c>
      <c r="P293" s="1494">
        <f t="shared" si="21"/>
        <v>0</v>
      </c>
      <c r="Q293" s="1439">
        <f t="shared" si="22"/>
        <v>24072880</v>
      </c>
      <c r="R293" s="1413">
        <v>12876950</v>
      </c>
      <c r="S293" s="1414">
        <v>914820</v>
      </c>
      <c r="T293" s="1414">
        <v>8300450</v>
      </c>
      <c r="U293" s="1414">
        <v>5524900</v>
      </c>
      <c r="V293" s="1414">
        <v>9813140</v>
      </c>
      <c r="W293" s="1414">
        <v>7052720</v>
      </c>
      <c r="X293" s="1414">
        <v>15552460</v>
      </c>
      <c r="Y293" s="1414">
        <v>8609640</v>
      </c>
      <c r="Z293" s="1414"/>
      <c r="AA293" s="1414"/>
      <c r="AB293" s="1414"/>
      <c r="AC293" s="1414"/>
      <c r="AD293" s="488">
        <f t="shared" si="23"/>
        <v>68645080</v>
      </c>
      <c r="AE293" s="565">
        <f t="shared" si="24"/>
        <v>1</v>
      </c>
      <c r="AF293" s="566">
        <f t="shared" si="20"/>
        <v>6</v>
      </c>
    </row>
    <row r="294" spans="1:32" x14ac:dyDescent="0.3">
      <c r="A294" s="10" t="s">
        <v>4</v>
      </c>
      <c r="B294" s="11" t="s">
        <v>1707</v>
      </c>
      <c r="C294" s="485"/>
      <c r="D294" s="489">
        <v>0</v>
      </c>
      <c r="E294" s="489">
        <v>0</v>
      </c>
      <c r="F294" s="489">
        <v>0</v>
      </c>
      <c r="G294" s="489"/>
      <c r="H294" s="489">
        <v>0</v>
      </c>
      <c r="I294" s="489">
        <v>0</v>
      </c>
      <c r="J294" s="489">
        <v>0</v>
      </c>
      <c r="K294" s="489"/>
      <c r="L294" s="489">
        <v>4066380</v>
      </c>
      <c r="M294" s="489">
        <v>0</v>
      </c>
      <c r="N294" s="489">
        <v>0</v>
      </c>
      <c r="O294" s="489">
        <v>0</v>
      </c>
      <c r="P294" s="1494">
        <f t="shared" si="21"/>
        <v>0</v>
      </c>
      <c r="Q294" s="1439">
        <f t="shared" si="22"/>
        <v>4066380</v>
      </c>
      <c r="R294" s="1413" t="s">
        <v>251</v>
      </c>
      <c r="S294" s="1414" t="s">
        <v>251</v>
      </c>
      <c r="T294" s="1414" t="s">
        <v>251</v>
      </c>
      <c r="U294" s="1414"/>
      <c r="V294" s="1414"/>
      <c r="W294" s="1414"/>
      <c r="X294" s="1414"/>
      <c r="Y294" s="1414"/>
      <c r="Z294" s="1414"/>
      <c r="AA294" s="1414"/>
      <c r="AB294" s="1414"/>
      <c r="AC294" s="1414"/>
      <c r="AD294" s="488">
        <f t="shared" si="23"/>
        <v>0</v>
      </c>
      <c r="AE294" s="565">
        <f t="shared" si="24"/>
        <v>0</v>
      </c>
      <c r="AF294" s="566">
        <f t="shared" si="20"/>
        <v>240</v>
      </c>
    </row>
    <row r="295" spans="1:32" x14ac:dyDescent="0.3">
      <c r="A295" s="10" t="s">
        <v>4</v>
      </c>
      <c r="B295" s="11" t="s">
        <v>240</v>
      </c>
      <c r="C295" s="485"/>
      <c r="D295" s="489">
        <v>0</v>
      </c>
      <c r="E295" s="489">
        <v>0</v>
      </c>
      <c r="F295" s="489">
        <v>0</v>
      </c>
      <c r="G295" s="489"/>
      <c r="H295" s="489">
        <v>0</v>
      </c>
      <c r="I295" s="489">
        <v>0</v>
      </c>
      <c r="J295" s="489">
        <v>0</v>
      </c>
      <c r="K295" s="489">
        <v>0</v>
      </c>
      <c r="L295" s="489">
        <v>2317340</v>
      </c>
      <c r="M295" s="489">
        <v>0</v>
      </c>
      <c r="N295" s="489">
        <v>587340</v>
      </c>
      <c r="O295" s="489">
        <v>4118060</v>
      </c>
      <c r="P295" s="1494">
        <f t="shared" si="21"/>
        <v>0</v>
      </c>
      <c r="Q295" s="1439">
        <f t="shared" si="22"/>
        <v>7022740</v>
      </c>
      <c r="R295" s="1413">
        <v>2459160</v>
      </c>
      <c r="S295" s="1414" t="s">
        <v>251</v>
      </c>
      <c r="T295" s="1414">
        <v>29290</v>
      </c>
      <c r="U295" s="1414">
        <v>0</v>
      </c>
      <c r="V295" s="1414">
        <v>0</v>
      </c>
      <c r="W295" s="1414">
        <v>0</v>
      </c>
      <c r="X295" s="1414">
        <v>0</v>
      </c>
      <c r="Y295" s="1414">
        <v>0</v>
      </c>
      <c r="Z295" s="1414"/>
      <c r="AA295" s="1414"/>
      <c r="AB295" s="1414"/>
      <c r="AC295" s="1414"/>
      <c r="AD295" s="488">
        <f t="shared" si="23"/>
        <v>2488450</v>
      </c>
      <c r="AE295" s="565">
        <f t="shared" si="24"/>
        <v>1</v>
      </c>
      <c r="AF295" s="566">
        <f t="shared" si="20"/>
        <v>114</v>
      </c>
    </row>
    <row r="296" spans="1:32" x14ac:dyDescent="0.3">
      <c r="A296" s="10" t="s">
        <v>4</v>
      </c>
      <c r="B296" s="11" t="s">
        <v>1708</v>
      </c>
      <c r="C296" s="485"/>
      <c r="D296" s="489">
        <v>0</v>
      </c>
      <c r="E296" s="489">
        <v>0</v>
      </c>
      <c r="F296" s="489">
        <v>0</v>
      </c>
      <c r="G296" s="489"/>
      <c r="H296" s="489">
        <v>0</v>
      </c>
      <c r="I296" s="489">
        <v>0</v>
      </c>
      <c r="J296" s="489">
        <v>0</v>
      </c>
      <c r="K296" s="489"/>
      <c r="L296" s="489">
        <v>28040</v>
      </c>
      <c r="M296" s="489">
        <v>85720</v>
      </c>
      <c r="N296" s="489">
        <v>262790</v>
      </c>
      <c r="O296" s="489">
        <v>235480</v>
      </c>
      <c r="P296" s="1494">
        <f t="shared" si="21"/>
        <v>0</v>
      </c>
      <c r="Q296" s="1439">
        <f t="shared" si="22"/>
        <v>612030</v>
      </c>
      <c r="R296" s="1413">
        <v>260520</v>
      </c>
      <c r="S296" s="1414">
        <v>202140</v>
      </c>
      <c r="T296" s="1414">
        <v>405840</v>
      </c>
      <c r="U296" s="1414">
        <v>66350</v>
      </c>
      <c r="V296" s="1414">
        <v>157410</v>
      </c>
      <c r="W296" s="1414">
        <v>128420</v>
      </c>
      <c r="X296" s="1414">
        <v>0</v>
      </c>
      <c r="Y296" s="1414">
        <v>0</v>
      </c>
      <c r="Z296" s="1414"/>
      <c r="AA296" s="1414"/>
      <c r="AB296" s="1414"/>
      <c r="AC296" s="1414"/>
      <c r="AD296" s="488">
        <f t="shared" si="23"/>
        <v>1220680</v>
      </c>
      <c r="AE296" s="565">
        <f t="shared" si="24"/>
        <v>1</v>
      </c>
      <c r="AF296" s="566">
        <f t="shared" si="20"/>
        <v>145</v>
      </c>
    </row>
    <row r="297" spans="1:32" x14ac:dyDescent="0.3">
      <c r="A297" s="10" t="s">
        <v>4</v>
      </c>
      <c r="B297" s="11" t="s">
        <v>1709</v>
      </c>
      <c r="C297" s="485"/>
      <c r="D297" s="489">
        <v>0</v>
      </c>
      <c r="E297" s="489">
        <v>0</v>
      </c>
      <c r="F297" s="489">
        <v>0</v>
      </c>
      <c r="G297" s="489"/>
      <c r="H297" s="489">
        <v>0</v>
      </c>
      <c r="I297" s="489">
        <v>0</v>
      </c>
      <c r="J297" s="489">
        <v>0</v>
      </c>
      <c r="K297" s="489"/>
      <c r="L297" s="489">
        <v>55200</v>
      </c>
      <c r="M297" s="489">
        <v>28600</v>
      </c>
      <c r="N297" s="489">
        <v>29300</v>
      </c>
      <c r="O297" s="489">
        <v>0</v>
      </c>
      <c r="P297" s="1494">
        <f t="shared" si="21"/>
        <v>0</v>
      </c>
      <c r="Q297" s="1439">
        <f t="shared" si="22"/>
        <v>113100</v>
      </c>
      <c r="R297" s="1413" t="s">
        <v>251</v>
      </c>
      <c r="S297" s="1414" t="s">
        <v>251</v>
      </c>
      <c r="T297" s="1414" t="s">
        <v>251</v>
      </c>
      <c r="U297" s="1414"/>
      <c r="V297" s="1414"/>
      <c r="W297" s="1414"/>
      <c r="X297" s="1414"/>
      <c r="Y297" s="1414"/>
      <c r="Z297" s="1414"/>
      <c r="AA297" s="1414"/>
      <c r="AB297" s="1414"/>
      <c r="AC297" s="1414"/>
      <c r="AD297" s="488">
        <f t="shared" si="23"/>
        <v>0</v>
      </c>
      <c r="AE297" s="565">
        <f t="shared" si="24"/>
        <v>0</v>
      </c>
      <c r="AF297" s="566">
        <f t="shared" si="20"/>
        <v>240</v>
      </c>
    </row>
    <row r="298" spans="1:32" x14ac:dyDescent="0.3">
      <c r="A298" s="10" t="s">
        <v>4</v>
      </c>
      <c r="B298" s="11" t="s">
        <v>1710</v>
      </c>
      <c r="C298" s="485"/>
      <c r="D298" s="489">
        <v>0</v>
      </c>
      <c r="E298" s="489">
        <v>0</v>
      </c>
      <c r="F298" s="489">
        <v>0</v>
      </c>
      <c r="G298" s="489"/>
      <c r="H298" s="489">
        <v>0</v>
      </c>
      <c r="I298" s="489">
        <v>0</v>
      </c>
      <c r="J298" s="489">
        <v>0</v>
      </c>
      <c r="K298" s="489"/>
      <c r="L298" s="489">
        <v>38990</v>
      </c>
      <c r="M298" s="489">
        <v>0</v>
      </c>
      <c r="N298" s="489">
        <v>0</v>
      </c>
      <c r="O298" s="489">
        <v>0</v>
      </c>
      <c r="P298" s="1494">
        <f t="shared" si="21"/>
        <v>0</v>
      </c>
      <c r="Q298" s="1439">
        <f t="shared" si="22"/>
        <v>38990</v>
      </c>
      <c r="R298" s="1413" t="s">
        <v>251</v>
      </c>
      <c r="S298" s="1414" t="s">
        <v>251</v>
      </c>
      <c r="T298" s="1414" t="s">
        <v>251</v>
      </c>
      <c r="U298" s="1414"/>
      <c r="V298" s="1414"/>
      <c r="W298" s="1414"/>
      <c r="X298" s="1414"/>
      <c r="Y298" s="1414"/>
      <c r="Z298" s="1414"/>
      <c r="AA298" s="1414"/>
      <c r="AB298" s="1414"/>
      <c r="AC298" s="1414"/>
      <c r="AD298" s="488">
        <f t="shared" si="23"/>
        <v>0</v>
      </c>
      <c r="AE298" s="565">
        <f t="shared" si="24"/>
        <v>0</v>
      </c>
      <c r="AF298" s="566">
        <f t="shared" si="20"/>
        <v>240</v>
      </c>
    </row>
    <row r="299" spans="1:32" x14ac:dyDescent="0.3">
      <c r="A299" s="10" t="s">
        <v>4</v>
      </c>
      <c r="B299" s="11" t="s">
        <v>1711</v>
      </c>
      <c r="C299" s="485"/>
      <c r="D299" s="489">
        <v>0</v>
      </c>
      <c r="E299" s="489">
        <v>0</v>
      </c>
      <c r="F299" s="489">
        <v>0</v>
      </c>
      <c r="G299" s="489"/>
      <c r="H299" s="489">
        <v>0</v>
      </c>
      <c r="I299" s="489">
        <v>0</v>
      </c>
      <c r="J299" s="489">
        <v>0</v>
      </c>
      <c r="K299" s="489"/>
      <c r="L299" s="489">
        <v>0</v>
      </c>
      <c r="M299" s="489">
        <v>943460</v>
      </c>
      <c r="N299" s="489">
        <v>145590</v>
      </c>
      <c r="O299" s="489">
        <v>322450</v>
      </c>
      <c r="P299" s="1494">
        <f t="shared" si="21"/>
        <v>0</v>
      </c>
      <c r="Q299" s="1439">
        <f t="shared" si="22"/>
        <v>1411500</v>
      </c>
      <c r="R299" s="1413">
        <v>0</v>
      </c>
      <c r="S299" s="1414" t="s">
        <v>251</v>
      </c>
      <c r="T299" s="1414">
        <v>0</v>
      </c>
      <c r="U299" s="1414">
        <v>0</v>
      </c>
      <c r="V299" s="1414">
        <v>0</v>
      </c>
      <c r="W299" s="1414">
        <v>0</v>
      </c>
      <c r="X299" s="1414">
        <v>0</v>
      </c>
      <c r="Y299" s="1414">
        <v>0</v>
      </c>
      <c r="Z299" s="1414"/>
      <c r="AA299" s="1414"/>
      <c r="AB299" s="1414"/>
      <c r="AC299" s="1414"/>
      <c r="AD299" s="488">
        <f t="shared" si="23"/>
        <v>0</v>
      </c>
      <c r="AE299" s="565">
        <f t="shared" si="24"/>
        <v>0</v>
      </c>
      <c r="AF299" s="566">
        <f t="shared" si="20"/>
        <v>240</v>
      </c>
    </row>
    <row r="300" spans="1:32" x14ac:dyDescent="0.3">
      <c r="A300" s="10" t="s">
        <v>4</v>
      </c>
      <c r="B300" s="11" t="s">
        <v>1712</v>
      </c>
      <c r="C300" s="485"/>
      <c r="D300" s="489">
        <v>0</v>
      </c>
      <c r="E300" s="489">
        <v>0</v>
      </c>
      <c r="F300" s="489">
        <v>0</v>
      </c>
      <c r="G300" s="489"/>
      <c r="H300" s="489">
        <v>0</v>
      </c>
      <c r="I300" s="489">
        <v>0</v>
      </c>
      <c r="J300" s="489">
        <v>0</v>
      </c>
      <c r="K300" s="489"/>
      <c r="L300" s="489">
        <v>0</v>
      </c>
      <c r="M300" s="489">
        <v>770780</v>
      </c>
      <c r="N300" s="489">
        <v>173510</v>
      </c>
      <c r="O300" s="489">
        <v>1703580</v>
      </c>
      <c r="P300" s="1494">
        <f t="shared" si="21"/>
        <v>0</v>
      </c>
      <c r="Q300" s="1439">
        <f t="shared" si="22"/>
        <v>2647870</v>
      </c>
      <c r="R300" s="1413">
        <v>496270</v>
      </c>
      <c r="S300" s="1414">
        <v>439630</v>
      </c>
      <c r="T300" s="1414">
        <v>0</v>
      </c>
      <c r="U300" s="1414">
        <v>0</v>
      </c>
      <c r="V300" s="1414">
        <v>1848100</v>
      </c>
      <c r="W300" s="1414">
        <v>4329800</v>
      </c>
      <c r="X300" s="1414">
        <v>2328470</v>
      </c>
      <c r="Y300" s="1414">
        <v>3959160</v>
      </c>
      <c r="Z300" s="1414"/>
      <c r="AA300" s="1414"/>
      <c r="AB300" s="1414"/>
      <c r="AC300" s="1414"/>
      <c r="AD300" s="488">
        <f t="shared" si="23"/>
        <v>13401430</v>
      </c>
      <c r="AE300" s="565">
        <f t="shared" si="24"/>
        <v>1</v>
      </c>
      <c r="AF300" s="566">
        <f t="shared" si="20"/>
        <v>38</v>
      </c>
    </row>
    <row r="301" spans="1:32" x14ac:dyDescent="0.3">
      <c r="A301" s="10" t="s">
        <v>4</v>
      </c>
      <c r="B301" s="11" t="s">
        <v>1713</v>
      </c>
      <c r="C301" s="485"/>
      <c r="D301" s="489">
        <v>0</v>
      </c>
      <c r="E301" s="489">
        <v>0</v>
      </c>
      <c r="F301" s="489">
        <v>0</v>
      </c>
      <c r="G301" s="489"/>
      <c r="H301" s="489">
        <v>0</v>
      </c>
      <c r="I301" s="489">
        <v>0</v>
      </c>
      <c r="J301" s="489">
        <v>0</v>
      </c>
      <c r="K301" s="489"/>
      <c r="L301" s="489">
        <v>0</v>
      </c>
      <c r="M301" s="489">
        <v>238320</v>
      </c>
      <c r="N301" s="489">
        <v>0</v>
      </c>
      <c r="O301" s="489">
        <v>0</v>
      </c>
      <c r="P301" s="1494">
        <f t="shared" si="21"/>
        <v>0</v>
      </c>
      <c r="Q301" s="1439">
        <f t="shared" si="22"/>
        <v>238320</v>
      </c>
      <c r="R301" s="1413" t="s">
        <v>251</v>
      </c>
      <c r="S301" s="1414" t="s">
        <v>251</v>
      </c>
      <c r="T301" s="1414" t="s">
        <v>251</v>
      </c>
      <c r="U301" s="1414"/>
      <c r="V301" s="1414"/>
      <c r="W301" s="1414"/>
      <c r="X301" s="1414"/>
      <c r="Y301" s="1414"/>
      <c r="Z301" s="1414"/>
      <c r="AA301" s="1414"/>
      <c r="AB301" s="1414"/>
      <c r="AC301" s="1414"/>
      <c r="AD301" s="488">
        <f t="shared" si="23"/>
        <v>0</v>
      </c>
      <c r="AE301" s="565">
        <f t="shared" si="24"/>
        <v>0</v>
      </c>
      <c r="AF301" s="566">
        <f t="shared" si="20"/>
        <v>240</v>
      </c>
    </row>
    <row r="302" spans="1:32" x14ac:dyDescent="0.3">
      <c r="A302" s="10" t="s">
        <v>4</v>
      </c>
      <c r="B302" s="11" t="s">
        <v>1714</v>
      </c>
      <c r="C302" s="485"/>
      <c r="D302" s="489">
        <v>0</v>
      </c>
      <c r="E302" s="489">
        <v>0</v>
      </c>
      <c r="F302" s="489">
        <v>0</v>
      </c>
      <c r="G302" s="489"/>
      <c r="H302" s="489">
        <v>0</v>
      </c>
      <c r="I302" s="489">
        <v>0</v>
      </c>
      <c r="J302" s="489">
        <v>0</v>
      </c>
      <c r="K302" s="489"/>
      <c r="L302" s="489">
        <v>0</v>
      </c>
      <c r="M302" s="489">
        <v>172320</v>
      </c>
      <c r="N302" s="489">
        <v>0</v>
      </c>
      <c r="O302" s="489">
        <v>0</v>
      </c>
      <c r="P302" s="1494">
        <f t="shared" si="21"/>
        <v>0</v>
      </c>
      <c r="Q302" s="1439">
        <f t="shared" si="22"/>
        <v>172320</v>
      </c>
      <c r="R302" s="1413" t="s">
        <v>251</v>
      </c>
      <c r="S302" s="1414" t="s">
        <v>251</v>
      </c>
      <c r="T302" s="1414" t="s">
        <v>251</v>
      </c>
      <c r="U302" s="1414">
        <v>147300</v>
      </c>
      <c r="V302" s="1414">
        <v>30190</v>
      </c>
      <c r="W302" s="1414">
        <v>45850</v>
      </c>
      <c r="X302" s="1414">
        <v>0</v>
      </c>
      <c r="Y302" s="1414">
        <v>0</v>
      </c>
      <c r="Z302" s="1414"/>
      <c r="AA302" s="1414"/>
      <c r="AB302" s="1414"/>
      <c r="AC302" s="1414"/>
      <c r="AD302" s="488">
        <f t="shared" si="23"/>
        <v>223340</v>
      </c>
      <c r="AE302" s="565">
        <f t="shared" si="24"/>
        <v>1</v>
      </c>
      <c r="AF302" s="566">
        <f t="shared" si="20"/>
        <v>197</v>
      </c>
    </row>
    <row r="303" spans="1:32" x14ac:dyDescent="0.3">
      <c r="A303" s="10" t="s">
        <v>4</v>
      </c>
      <c r="B303" s="11" t="s">
        <v>1715</v>
      </c>
      <c r="C303" s="485"/>
      <c r="D303" s="489">
        <v>0</v>
      </c>
      <c r="E303" s="489">
        <v>0</v>
      </c>
      <c r="F303" s="489">
        <v>0</v>
      </c>
      <c r="G303" s="489"/>
      <c r="H303" s="489">
        <v>0</v>
      </c>
      <c r="I303" s="489">
        <v>0</v>
      </c>
      <c r="J303" s="489">
        <v>0</v>
      </c>
      <c r="K303" s="489"/>
      <c r="L303" s="489">
        <v>0</v>
      </c>
      <c r="M303" s="489">
        <v>142290</v>
      </c>
      <c r="N303" s="489">
        <v>610800</v>
      </c>
      <c r="O303" s="489">
        <v>146740</v>
      </c>
      <c r="P303" s="1494">
        <f t="shared" si="21"/>
        <v>0</v>
      </c>
      <c r="Q303" s="1439">
        <f t="shared" si="22"/>
        <v>899830</v>
      </c>
      <c r="R303" s="1413">
        <v>463150</v>
      </c>
      <c r="S303" s="1414">
        <v>175180</v>
      </c>
      <c r="T303" s="1414">
        <v>302020</v>
      </c>
      <c r="U303" s="1414">
        <v>208630</v>
      </c>
      <c r="V303" s="1414">
        <v>0</v>
      </c>
      <c r="W303" s="1414">
        <v>15100</v>
      </c>
      <c r="X303" s="1414">
        <v>0</v>
      </c>
      <c r="Y303" s="1414">
        <v>14300</v>
      </c>
      <c r="Z303" s="1414"/>
      <c r="AA303" s="1414"/>
      <c r="AB303" s="1414"/>
      <c r="AC303" s="1414"/>
      <c r="AD303" s="488">
        <f t="shared" si="23"/>
        <v>1178380</v>
      </c>
      <c r="AE303" s="565">
        <f t="shared" si="24"/>
        <v>1</v>
      </c>
      <c r="AF303" s="566">
        <f t="shared" si="20"/>
        <v>147</v>
      </c>
    </row>
    <row r="304" spans="1:32" x14ac:dyDescent="0.3">
      <c r="A304" s="10" t="s">
        <v>4</v>
      </c>
      <c r="B304" s="11" t="s">
        <v>1716</v>
      </c>
      <c r="C304" s="485"/>
      <c r="D304" s="489">
        <v>0</v>
      </c>
      <c r="E304" s="489">
        <v>0</v>
      </c>
      <c r="F304" s="489">
        <v>0</v>
      </c>
      <c r="G304" s="489"/>
      <c r="H304" s="489">
        <v>0</v>
      </c>
      <c r="I304" s="489">
        <v>0</v>
      </c>
      <c r="J304" s="489">
        <v>0</v>
      </c>
      <c r="K304" s="489"/>
      <c r="L304" s="489">
        <v>0</v>
      </c>
      <c r="M304" s="489">
        <v>84090</v>
      </c>
      <c r="N304" s="489">
        <v>0</v>
      </c>
      <c r="O304" s="489">
        <v>0</v>
      </c>
      <c r="P304" s="1494">
        <f t="shared" si="21"/>
        <v>0</v>
      </c>
      <c r="Q304" s="1439">
        <f t="shared" si="22"/>
        <v>84090</v>
      </c>
      <c r="R304" s="1413" t="s">
        <v>251</v>
      </c>
      <c r="S304" s="1414" t="s">
        <v>251</v>
      </c>
      <c r="T304" s="1414" t="s">
        <v>251</v>
      </c>
      <c r="U304" s="1414"/>
      <c r="V304" s="1414"/>
      <c r="W304" s="1414"/>
      <c r="X304" s="1414"/>
      <c r="Y304" s="1414"/>
      <c r="Z304" s="1414"/>
      <c r="AA304" s="1414"/>
      <c r="AB304" s="1414"/>
      <c r="AC304" s="1414"/>
      <c r="AD304" s="488">
        <f t="shared" si="23"/>
        <v>0</v>
      </c>
      <c r="AE304" s="565">
        <f t="shared" si="24"/>
        <v>0</v>
      </c>
      <c r="AF304" s="566">
        <f t="shared" si="20"/>
        <v>240</v>
      </c>
    </row>
    <row r="305" spans="1:32" x14ac:dyDescent="0.3">
      <c r="A305" s="10" t="s">
        <v>4</v>
      </c>
      <c r="B305" s="11" t="s">
        <v>1717</v>
      </c>
      <c r="C305" s="485"/>
      <c r="D305" s="489">
        <v>0</v>
      </c>
      <c r="E305" s="489">
        <v>0</v>
      </c>
      <c r="F305" s="489">
        <v>0</v>
      </c>
      <c r="G305" s="489"/>
      <c r="H305" s="489">
        <v>0</v>
      </c>
      <c r="I305" s="489">
        <v>0</v>
      </c>
      <c r="J305" s="489">
        <v>0</v>
      </c>
      <c r="K305" s="489"/>
      <c r="L305" s="489">
        <v>0</v>
      </c>
      <c r="M305" s="489">
        <v>71150</v>
      </c>
      <c r="N305" s="489">
        <v>88100</v>
      </c>
      <c r="O305" s="489">
        <v>0</v>
      </c>
      <c r="P305" s="1494">
        <f t="shared" si="21"/>
        <v>0</v>
      </c>
      <c r="Q305" s="1439">
        <f t="shared" si="22"/>
        <v>159250</v>
      </c>
      <c r="R305" s="1413" t="s">
        <v>251</v>
      </c>
      <c r="S305" s="1414" t="s">
        <v>251</v>
      </c>
      <c r="T305" s="1414" t="s">
        <v>251</v>
      </c>
      <c r="U305" s="1414"/>
      <c r="V305" s="1414"/>
      <c r="W305" s="1414"/>
      <c r="X305" s="1414"/>
      <c r="Y305" s="1414"/>
      <c r="Z305" s="1414"/>
      <c r="AA305" s="1414"/>
      <c r="AB305" s="1414"/>
      <c r="AC305" s="1414"/>
      <c r="AD305" s="488">
        <f t="shared" si="23"/>
        <v>0</v>
      </c>
      <c r="AE305" s="565">
        <f t="shared" si="24"/>
        <v>0</v>
      </c>
      <c r="AF305" s="566">
        <f t="shared" si="20"/>
        <v>240</v>
      </c>
    </row>
    <row r="306" spans="1:32" x14ac:dyDescent="0.3">
      <c r="A306" s="10" t="s">
        <v>4</v>
      </c>
      <c r="B306" s="11" t="s">
        <v>1718</v>
      </c>
      <c r="C306" s="485"/>
      <c r="D306" s="489">
        <v>0</v>
      </c>
      <c r="E306" s="489">
        <v>0</v>
      </c>
      <c r="F306" s="489">
        <v>0</v>
      </c>
      <c r="G306" s="489"/>
      <c r="H306" s="489">
        <v>0</v>
      </c>
      <c r="I306" s="489">
        <v>0</v>
      </c>
      <c r="J306" s="489">
        <v>0</v>
      </c>
      <c r="K306" s="489"/>
      <c r="L306" s="489">
        <v>0</v>
      </c>
      <c r="M306" s="489">
        <v>56820</v>
      </c>
      <c r="N306" s="489">
        <v>0</v>
      </c>
      <c r="O306" s="489">
        <v>0</v>
      </c>
      <c r="P306" s="1494">
        <f t="shared" si="21"/>
        <v>0</v>
      </c>
      <c r="Q306" s="1439">
        <f t="shared" si="22"/>
        <v>56820</v>
      </c>
      <c r="R306" s="1413" t="s">
        <v>251</v>
      </c>
      <c r="S306" s="1414" t="s">
        <v>251</v>
      </c>
      <c r="T306" s="1414">
        <v>30260</v>
      </c>
      <c r="U306" s="1414">
        <v>0</v>
      </c>
      <c r="V306" s="1414">
        <v>0</v>
      </c>
      <c r="W306" s="1414">
        <v>0</v>
      </c>
      <c r="X306" s="1414">
        <v>0</v>
      </c>
      <c r="Y306" s="1414">
        <v>0</v>
      </c>
      <c r="Z306" s="1414"/>
      <c r="AA306" s="1414"/>
      <c r="AB306" s="1414"/>
      <c r="AC306" s="1414"/>
      <c r="AD306" s="488">
        <f t="shared" si="23"/>
        <v>30260</v>
      </c>
      <c r="AE306" s="565">
        <f t="shared" si="24"/>
        <v>1</v>
      </c>
      <c r="AF306" s="566">
        <f t="shared" si="20"/>
        <v>225</v>
      </c>
    </row>
    <row r="307" spans="1:32" x14ac:dyDescent="0.3">
      <c r="A307" s="10" t="s">
        <v>4</v>
      </c>
      <c r="B307" s="11" t="s">
        <v>1719</v>
      </c>
      <c r="C307" s="485"/>
      <c r="D307" s="489">
        <v>0</v>
      </c>
      <c r="E307" s="489">
        <v>0</v>
      </c>
      <c r="F307" s="489">
        <v>0</v>
      </c>
      <c r="G307" s="489"/>
      <c r="H307" s="489">
        <v>0</v>
      </c>
      <c r="I307" s="489">
        <v>0</v>
      </c>
      <c r="J307" s="489">
        <v>0</v>
      </c>
      <c r="K307" s="489"/>
      <c r="L307" s="489">
        <v>0</v>
      </c>
      <c r="M307" s="489">
        <v>34320</v>
      </c>
      <c r="N307" s="489">
        <v>0</v>
      </c>
      <c r="O307" s="489">
        <v>0</v>
      </c>
      <c r="P307" s="1494">
        <f t="shared" si="21"/>
        <v>0</v>
      </c>
      <c r="Q307" s="1439">
        <f t="shared" si="22"/>
        <v>34320</v>
      </c>
      <c r="R307" s="1413" t="s">
        <v>251</v>
      </c>
      <c r="S307" s="1414" t="s">
        <v>251</v>
      </c>
      <c r="T307" s="1414" t="s">
        <v>251</v>
      </c>
      <c r="U307" s="1414"/>
      <c r="V307" s="1414"/>
      <c r="W307" s="1414"/>
      <c r="X307" s="1414"/>
      <c r="Y307" s="1414"/>
      <c r="Z307" s="1414"/>
      <c r="AA307" s="1414"/>
      <c r="AB307" s="1414"/>
      <c r="AC307" s="1414"/>
      <c r="AD307" s="488">
        <f t="shared" si="23"/>
        <v>0</v>
      </c>
      <c r="AE307" s="565">
        <f t="shared" si="24"/>
        <v>0</v>
      </c>
      <c r="AF307" s="566">
        <f t="shared" si="20"/>
        <v>240</v>
      </c>
    </row>
    <row r="308" spans="1:32" x14ac:dyDescent="0.3">
      <c r="A308" s="10" t="s">
        <v>4</v>
      </c>
      <c r="B308" s="11" t="s">
        <v>1720</v>
      </c>
      <c r="C308" s="485"/>
      <c r="D308" s="489">
        <v>0</v>
      </c>
      <c r="E308" s="489">
        <v>0</v>
      </c>
      <c r="F308" s="489">
        <v>0</v>
      </c>
      <c r="G308" s="489"/>
      <c r="H308" s="489">
        <v>0</v>
      </c>
      <c r="I308" s="489">
        <v>0</v>
      </c>
      <c r="J308" s="489">
        <v>0</v>
      </c>
      <c r="K308" s="489"/>
      <c r="L308" s="489">
        <v>0</v>
      </c>
      <c r="M308" s="489">
        <v>28680</v>
      </c>
      <c r="N308" s="489">
        <v>0</v>
      </c>
      <c r="O308" s="489">
        <v>0</v>
      </c>
      <c r="P308" s="1494">
        <f t="shared" si="21"/>
        <v>0</v>
      </c>
      <c r="Q308" s="1439">
        <f t="shared" si="22"/>
        <v>28680</v>
      </c>
      <c r="R308" s="1413" t="s">
        <v>251</v>
      </c>
      <c r="S308" s="1414" t="s">
        <v>251</v>
      </c>
      <c r="T308" s="1414" t="s">
        <v>251</v>
      </c>
      <c r="U308" s="1414"/>
      <c r="V308" s="1414"/>
      <c r="W308" s="1414"/>
      <c r="X308" s="1414"/>
      <c r="Y308" s="1414"/>
      <c r="Z308" s="1414"/>
      <c r="AA308" s="1414"/>
      <c r="AB308" s="1414"/>
      <c r="AC308" s="1414"/>
      <c r="AD308" s="488">
        <f t="shared" si="23"/>
        <v>0</v>
      </c>
      <c r="AE308" s="565">
        <f t="shared" si="24"/>
        <v>0</v>
      </c>
      <c r="AF308" s="566">
        <f t="shared" si="20"/>
        <v>240</v>
      </c>
    </row>
    <row r="309" spans="1:32" x14ac:dyDescent="0.3">
      <c r="A309" s="10" t="s">
        <v>4</v>
      </c>
      <c r="B309" s="11" t="s">
        <v>1721</v>
      </c>
      <c r="C309" s="485"/>
      <c r="D309" s="489">
        <v>0</v>
      </c>
      <c r="E309" s="489">
        <v>0</v>
      </c>
      <c r="F309" s="489">
        <v>0</v>
      </c>
      <c r="G309" s="489"/>
      <c r="H309" s="489">
        <v>0</v>
      </c>
      <c r="I309" s="489">
        <v>0</v>
      </c>
      <c r="J309" s="489">
        <v>0</v>
      </c>
      <c r="K309" s="489"/>
      <c r="L309" s="489">
        <v>0</v>
      </c>
      <c r="M309" s="489">
        <v>28650</v>
      </c>
      <c r="N309" s="489">
        <v>0</v>
      </c>
      <c r="O309" s="489">
        <v>0</v>
      </c>
      <c r="P309" s="1494">
        <f t="shared" si="21"/>
        <v>0</v>
      </c>
      <c r="Q309" s="1439">
        <f t="shared" si="22"/>
        <v>28650</v>
      </c>
      <c r="R309" s="1413" t="s">
        <v>251</v>
      </c>
      <c r="S309" s="1414" t="s">
        <v>251</v>
      </c>
      <c r="T309" s="1414" t="s">
        <v>251</v>
      </c>
      <c r="U309" s="1414"/>
      <c r="V309" s="1414"/>
      <c r="W309" s="1414"/>
      <c r="X309" s="1414"/>
      <c r="Y309" s="1414"/>
      <c r="Z309" s="1414"/>
      <c r="AA309" s="1414"/>
      <c r="AB309" s="1414"/>
      <c r="AC309" s="1414"/>
      <c r="AD309" s="488">
        <f t="shared" si="23"/>
        <v>0</v>
      </c>
      <c r="AE309" s="565">
        <f t="shared" si="24"/>
        <v>0</v>
      </c>
      <c r="AF309" s="566">
        <f t="shared" si="20"/>
        <v>240</v>
      </c>
    </row>
    <row r="310" spans="1:32" x14ac:dyDescent="0.3">
      <c r="A310" s="10" t="s">
        <v>4</v>
      </c>
      <c r="B310" s="11" t="s">
        <v>1722</v>
      </c>
      <c r="C310" s="485"/>
      <c r="D310" s="489">
        <v>0</v>
      </c>
      <c r="E310" s="489">
        <v>0</v>
      </c>
      <c r="F310" s="489">
        <v>0</v>
      </c>
      <c r="G310" s="489"/>
      <c r="H310" s="489">
        <v>0</v>
      </c>
      <c r="I310" s="489">
        <v>0</v>
      </c>
      <c r="J310" s="489">
        <v>0</v>
      </c>
      <c r="K310" s="489"/>
      <c r="L310" s="489">
        <v>0</v>
      </c>
      <c r="M310" s="489">
        <v>28460</v>
      </c>
      <c r="N310" s="489">
        <v>0</v>
      </c>
      <c r="O310" s="489">
        <v>0</v>
      </c>
      <c r="P310" s="1494">
        <f t="shared" si="21"/>
        <v>0</v>
      </c>
      <c r="Q310" s="1439">
        <f t="shared" si="22"/>
        <v>28460</v>
      </c>
      <c r="R310" s="1413" t="s">
        <v>251</v>
      </c>
      <c r="S310" s="1414" t="s">
        <v>251</v>
      </c>
      <c r="T310" s="1414" t="s">
        <v>251</v>
      </c>
      <c r="U310" s="1414">
        <v>58920</v>
      </c>
      <c r="V310" s="1414">
        <v>0</v>
      </c>
      <c r="W310" s="1414">
        <v>0</v>
      </c>
      <c r="X310" s="1414">
        <v>0</v>
      </c>
      <c r="Y310" s="1414">
        <v>0</v>
      </c>
      <c r="Z310" s="1414"/>
      <c r="AA310" s="1414"/>
      <c r="AB310" s="1414"/>
      <c r="AC310" s="1414"/>
      <c r="AD310" s="488">
        <f t="shared" si="23"/>
        <v>58920</v>
      </c>
      <c r="AE310" s="565">
        <f t="shared" si="24"/>
        <v>1</v>
      </c>
      <c r="AF310" s="566">
        <f t="shared" si="20"/>
        <v>219</v>
      </c>
    </row>
    <row r="311" spans="1:32" x14ac:dyDescent="0.3">
      <c r="A311" s="10" t="s">
        <v>4</v>
      </c>
      <c r="B311" s="11" t="s">
        <v>1723</v>
      </c>
      <c r="C311" s="485"/>
      <c r="D311" s="489">
        <v>0</v>
      </c>
      <c r="E311" s="489">
        <v>0</v>
      </c>
      <c r="F311" s="489">
        <v>0</v>
      </c>
      <c r="G311" s="489"/>
      <c r="H311" s="489">
        <v>0</v>
      </c>
      <c r="I311" s="489">
        <v>0</v>
      </c>
      <c r="J311" s="489">
        <v>0</v>
      </c>
      <c r="K311" s="489"/>
      <c r="L311" s="489">
        <v>0</v>
      </c>
      <c r="M311" s="489">
        <v>28420</v>
      </c>
      <c r="N311" s="489">
        <v>0</v>
      </c>
      <c r="O311" s="489">
        <v>0</v>
      </c>
      <c r="P311" s="1494">
        <f t="shared" si="21"/>
        <v>0</v>
      </c>
      <c r="Q311" s="1439">
        <f t="shared" si="22"/>
        <v>28420</v>
      </c>
      <c r="R311" s="1413" t="s">
        <v>251</v>
      </c>
      <c r="S311" s="1414" t="s">
        <v>251</v>
      </c>
      <c r="T311" s="1414">
        <v>29910</v>
      </c>
      <c r="U311" s="1414">
        <v>0</v>
      </c>
      <c r="V311" s="1414">
        <v>0</v>
      </c>
      <c r="W311" s="1414">
        <v>0</v>
      </c>
      <c r="X311" s="1414">
        <v>0</v>
      </c>
      <c r="Y311" s="1414">
        <v>0</v>
      </c>
      <c r="Z311" s="1414"/>
      <c r="AA311" s="1414"/>
      <c r="AB311" s="1414"/>
      <c r="AC311" s="1414"/>
      <c r="AD311" s="488">
        <f t="shared" si="23"/>
        <v>29910</v>
      </c>
      <c r="AE311" s="565">
        <f t="shared" si="24"/>
        <v>1</v>
      </c>
      <c r="AF311" s="566">
        <f t="shared" si="20"/>
        <v>228</v>
      </c>
    </row>
    <row r="312" spans="1:32" ht="15" customHeight="1" x14ac:dyDescent="0.3">
      <c r="A312" s="10" t="s">
        <v>4</v>
      </c>
      <c r="B312" s="11" t="s">
        <v>1724</v>
      </c>
      <c r="C312" s="485"/>
      <c r="D312" s="489">
        <v>0</v>
      </c>
      <c r="E312" s="489">
        <v>0</v>
      </c>
      <c r="F312" s="489">
        <v>0</v>
      </c>
      <c r="G312" s="489"/>
      <c r="H312" s="489">
        <v>0</v>
      </c>
      <c r="I312" s="489">
        <v>0</v>
      </c>
      <c r="J312" s="489">
        <v>0</v>
      </c>
      <c r="K312" s="489"/>
      <c r="L312" s="489">
        <v>0</v>
      </c>
      <c r="M312" s="489">
        <v>28390</v>
      </c>
      <c r="N312" s="489">
        <v>29260</v>
      </c>
      <c r="O312" s="489">
        <v>0</v>
      </c>
      <c r="P312" s="1494">
        <f t="shared" si="21"/>
        <v>0</v>
      </c>
      <c r="Q312" s="1439">
        <f t="shared" si="22"/>
        <v>57650</v>
      </c>
      <c r="R312" s="1413" t="s">
        <v>251</v>
      </c>
      <c r="S312" s="1414" t="s">
        <v>251</v>
      </c>
      <c r="T312" s="1414" t="s">
        <v>251</v>
      </c>
      <c r="U312" s="1414"/>
      <c r="V312" s="1414"/>
      <c r="W312" s="1414"/>
      <c r="X312" s="1414"/>
      <c r="Y312" s="1414"/>
      <c r="Z312" s="1414"/>
      <c r="AA312" s="1414"/>
      <c r="AB312" s="1414"/>
      <c r="AC312" s="1414"/>
      <c r="AD312" s="488">
        <f t="shared" si="23"/>
        <v>0</v>
      </c>
      <c r="AE312" s="565">
        <f t="shared" si="24"/>
        <v>0</v>
      </c>
      <c r="AF312" s="566">
        <f t="shared" si="20"/>
        <v>240</v>
      </c>
    </row>
    <row r="313" spans="1:32" ht="15" customHeight="1" x14ac:dyDescent="0.3">
      <c r="A313" s="10" t="s">
        <v>4</v>
      </c>
      <c r="B313" s="11" t="s">
        <v>1786</v>
      </c>
      <c r="C313" s="485"/>
      <c r="D313" s="489">
        <v>0</v>
      </c>
      <c r="E313" s="489">
        <v>0</v>
      </c>
      <c r="F313" s="489">
        <v>0</v>
      </c>
      <c r="G313" s="489"/>
      <c r="H313" s="489">
        <v>779180</v>
      </c>
      <c r="I313" s="489">
        <v>0</v>
      </c>
      <c r="J313" s="489">
        <v>0</v>
      </c>
      <c r="K313" s="489">
        <v>0</v>
      </c>
      <c r="L313" s="489">
        <v>0</v>
      </c>
      <c r="M313" s="489">
        <v>0</v>
      </c>
      <c r="N313" s="489">
        <v>581470</v>
      </c>
      <c r="O313" s="489">
        <v>1103610</v>
      </c>
      <c r="P313" s="1494">
        <f t="shared" si="21"/>
        <v>779180</v>
      </c>
      <c r="Q313" s="1439">
        <f t="shared" si="22"/>
        <v>2464260</v>
      </c>
      <c r="R313" s="1413">
        <v>3419940</v>
      </c>
      <c r="S313" s="1414" t="s">
        <v>251</v>
      </c>
      <c r="T313" s="1414">
        <v>1774860</v>
      </c>
      <c r="U313" s="1414">
        <v>176760</v>
      </c>
      <c r="V313" s="1414">
        <v>0</v>
      </c>
      <c r="W313" s="1414">
        <v>1192800</v>
      </c>
      <c r="X313" s="1414">
        <v>992340</v>
      </c>
      <c r="Y313" s="1414">
        <v>617740</v>
      </c>
      <c r="Z313" s="1414"/>
      <c r="AA313" s="1414"/>
      <c r="AB313" s="1414"/>
      <c r="AC313" s="1414"/>
      <c r="AD313" s="488">
        <f t="shared" si="23"/>
        <v>8174440</v>
      </c>
      <c r="AE313" s="565">
        <f t="shared" si="24"/>
        <v>9.4910803665391814</v>
      </c>
      <c r="AF313" s="566">
        <f t="shared" si="20"/>
        <v>64</v>
      </c>
    </row>
    <row r="314" spans="1:32" ht="15" customHeight="1" x14ac:dyDescent="0.3">
      <c r="A314" s="10" t="s">
        <v>4</v>
      </c>
      <c r="B314" s="11" t="s">
        <v>1787</v>
      </c>
      <c r="C314" s="485"/>
      <c r="D314" s="489">
        <v>0</v>
      </c>
      <c r="E314" s="489">
        <v>0</v>
      </c>
      <c r="F314" s="489">
        <v>0</v>
      </c>
      <c r="G314" s="489"/>
      <c r="H314" s="489">
        <v>0</v>
      </c>
      <c r="I314" s="489">
        <v>0</v>
      </c>
      <c r="J314" s="489">
        <v>0</v>
      </c>
      <c r="K314" s="489"/>
      <c r="L314" s="489">
        <v>0</v>
      </c>
      <c r="M314" s="489">
        <v>0</v>
      </c>
      <c r="N314" s="489">
        <v>2290500</v>
      </c>
      <c r="O314" s="489">
        <v>0</v>
      </c>
      <c r="P314" s="1494">
        <f t="shared" si="21"/>
        <v>0</v>
      </c>
      <c r="Q314" s="1439">
        <f t="shared" si="22"/>
        <v>2290500</v>
      </c>
      <c r="R314" s="1413" t="s">
        <v>251</v>
      </c>
      <c r="S314" s="1414" t="s">
        <v>251</v>
      </c>
      <c r="T314" s="1414" t="s">
        <v>251</v>
      </c>
      <c r="U314" s="1414"/>
      <c r="V314" s="1414"/>
      <c r="W314" s="1414"/>
      <c r="X314" s="1414"/>
      <c r="Y314" s="1414"/>
      <c r="Z314" s="1414"/>
      <c r="AA314" s="1414"/>
      <c r="AB314" s="1414"/>
      <c r="AC314" s="1414"/>
      <c r="AD314" s="488">
        <f t="shared" si="23"/>
        <v>0</v>
      </c>
      <c r="AE314" s="565">
        <f t="shared" si="24"/>
        <v>0</v>
      </c>
      <c r="AF314" s="566">
        <f t="shared" si="20"/>
        <v>240</v>
      </c>
    </row>
    <row r="315" spans="1:32" ht="15" customHeight="1" x14ac:dyDescent="0.3">
      <c r="A315" s="10" t="s">
        <v>4</v>
      </c>
      <c r="B315" s="11" t="s">
        <v>1788</v>
      </c>
      <c r="C315" s="485"/>
      <c r="D315" s="489">
        <v>0</v>
      </c>
      <c r="E315" s="489">
        <v>0</v>
      </c>
      <c r="F315" s="489">
        <v>0</v>
      </c>
      <c r="G315" s="489"/>
      <c r="H315" s="489">
        <v>0</v>
      </c>
      <c r="I315" s="489">
        <v>0</v>
      </c>
      <c r="J315" s="489">
        <v>0</v>
      </c>
      <c r="K315" s="489"/>
      <c r="L315" s="489">
        <v>0</v>
      </c>
      <c r="M315" s="489">
        <v>0</v>
      </c>
      <c r="N315" s="489">
        <v>1073090</v>
      </c>
      <c r="O315" s="489">
        <v>738600</v>
      </c>
      <c r="P315" s="1494">
        <f t="shared" si="21"/>
        <v>0</v>
      </c>
      <c r="Q315" s="1439">
        <f t="shared" si="22"/>
        <v>1811690</v>
      </c>
      <c r="R315" s="1413" t="s">
        <v>251</v>
      </c>
      <c r="S315" s="1414">
        <v>324930</v>
      </c>
      <c r="T315" s="1414">
        <v>0</v>
      </c>
      <c r="U315" s="1414">
        <v>0</v>
      </c>
      <c r="V315" s="1414">
        <v>0</v>
      </c>
      <c r="W315" s="1414">
        <v>2245660</v>
      </c>
      <c r="X315" s="1414">
        <v>418350</v>
      </c>
      <c r="Y315" s="1414">
        <v>492560</v>
      </c>
      <c r="Z315" s="1414"/>
      <c r="AA315" s="1414"/>
      <c r="AB315" s="1414"/>
      <c r="AC315" s="1414"/>
      <c r="AD315" s="488">
        <f t="shared" si="23"/>
        <v>3481500</v>
      </c>
      <c r="AE315" s="565">
        <f t="shared" si="24"/>
        <v>1</v>
      </c>
      <c r="AF315" s="566">
        <f t="shared" si="20"/>
        <v>99</v>
      </c>
    </row>
    <row r="316" spans="1:32" ht="15" customHeight="1" x14ac:dyDescent="0.3">
      <c r="A316" s="10" t="s">
        <v>4</v>
      </c>
      <c r="B316" s="11" t="s">
        <v>1789</v>
      </c>
      <c r="C316" s="485"/>
      <c r="D316" s="489">
        <v>0</v>
      </c>
      <c r="E316" s="489">
        <v>0</v>
      </c>
      <c r="F316" s="489">
        <v>0</v>
      </c>
      <c r="G316" s="489"/>
      <c r="H316" s="489">
        <v>0</v>
      </c>
      <c r="I316" s="489">
        <v>0</v>
      </c>
      <c r="J316" s="489">
        <v>0</v>
      </c>
      <c r="K316" s="489"/>
      <c r="L316" s="489">
        <v>0</v>
      </c>
      <c r="M316" s="489">
        <v>0</v>
      </c>
      <c r="N316" s="489">
        <v>517970</v>
      </c>
      <c r="O316" s="489">
        <v>552870</v>
      </c>
      <c r="P316" s="1494">
        <f t="shared" si="21"/>
        <v>0</v>
      </c>
      <c r="Q316" s="1439">
        <f t="shared" si="22"/>
        <v>1070840</v>
      </c>
      <c r="R316" s="1413" t="s">
        <v>251</v>
      </c>
      <c r="S316" s="1414" t="s">
        <v>251</v>
      </c>
      <c r="T316" s="1414" t="s">
        <v>251</v>
      </c>
      <c r="U316" s="1414"/>
      <c r="V316" s="1414"/>
      <c r="W316" s="1414"/>
      <c r="X316" s="1414"/>
      <c r="Y316" s="1414"/>
      <c r="Z316" s="1414"/>
      <c r="AA316" s="1414"/>
      <c r="AB316" s="1414"/>
      <c r="AC316" s="1414"/>
      <c r="AD316" s="488">
        <f t="shared" si="23"/>
        <v>0</v>
      </c>
      <c r="AE316" s="565">
        <f t="shared" si="24"/>
        <v>0</v>
      </c>
      <c r="AF316" s="566">
        <f t="shared" si="20"/>
        <v>240</v>
      </c>
    </row>
    <row r="317" spans="1:32" ht="15" customHeight="1" x14ac:dyDescent="0.3">
      <c r="A317" s="10" t="s">
        <v>4</v>
      </c>
      <c r="B317" s="11" t="s">
        <v>1790</v>
      </c>
      <c r="C317" s="485"/>
      <c r="D317" s="489">
        <v>0</v>
      </c>
      <c r="E317" s="489">
        <v>0</v>
      </c>
      <c r="F317" s="489">
        <v>0</v>
      </c>
      <c r="G317" s="489"/>
      <c r="H317" s="489">
        <v>0</v>
      </c>
      <c r="I317" s="489">
        <v>0</v>
      </c>
      <c r="J317" s="489">
        <v>0</v>
      </c>
      <c r="K317" s="489"/>
      <c r="L317" s="489">
        <v>0</v>
      </c>
      <c r="M317" s="489">
        <v>0</v>
      </c>
      <c r="N317" s="489">
        <v>114160</v>
      </c>
      <c r="O317" s="489">
        <v>0</v>
      </c>
      <c r="P317" s="1494">
        <f t="shared" si="21"/>
        <v>0</v>
      </c>
      <c r="Q317" s="1439">
        <f t="shared" si="22"/>
        <v>114160</v>
      </c>
      <c r="R317" s="1413" t="s">
        <v>251</v>
      </c>
      <c r="S317" s="1414" t="s">
        <v>251</v>
      </c>
      <c r="T317" s="1414" t="s">
        <v>251</v>
      </c>
      <c r="U317" s="1414"/>
      <c r="V317" s="1414"/>
      <c r="W317" s="1414"/>
      <c r="X317" s="1414"/>
      <c r="Y317" s="1414"/>
      <c r="Z317" s="1414"/>
      <c r="AA317" s="1414"/>
      <c r="AB317" s="1414"/>
      <c r="AC317" s="1414"/>
      <c r="AD317" s="488">
        <f t="shared" si="23"/>
        <v>0</v>
      </c>
      <c r="AE317" s="565">
        <f t="shared" si="24"/>
        <v>0</v>
      </c>
      <c r="AF317" s="566">
        <f t="shared" si="20"/>
        <v>240</v>
      </c>
    </row>
    <row r="318" spans="1:32" ht="15" customHeight="1" x14ac:dyDescent="0.3">
      <c r="A318" s="10" t="s">
        <v>4</v>
      </c>
      <c r="B318" s="11" t="s">
        <v>1791</v>
      </c>
      <c r="C318" s="485"/>
      <c r="D318" s="489">
        <v>0</v>
      </c>
      <c r="E318" s="489">
        <v>0</v>
      </c>
      <c r="F318" s="489">
        <v>0</v>
      </c>
      <c r="G318" s="489"/>
      <c r="H318" s="489">
        <v>0</v>
      </c>
      <c r="I318" s="489">
        <v>0</v>
      </c>
      <c r="J318" s="489">
        <v>0</v>
      </c>
      <c r="K318" s="489"/>
      <c r="L318" s="489">
        <v>0</v>
      </c>
      <c r="M318" s="489">
        <v>0</v>
      </c>
      <c r="N318" s="489">
        <v>102860</v>
      </c>
      <c r="O318" s="489">
        <v>0</v>
      </c>
      <c r="P318" s="1494">
        <f t="shared" si="21"/>
        <v>0</v>
      </c>
      <c r="Q318" s="1439">
        <f t="shared" si="22"/>
        <v>102860</v>
      </c>
      <c r="R318" s="1413">
        <v>1800360</v>
      </c>
      <c r="S318" s="1414" t="s">
        <v>251</v>
      </c>
      <c r="T318" s="1414">
        <v>1678790</v>
      </c>
      <c r="U318" s="1414">
        <v>0</v>
      </c>
      <c r="V318" s="1414">
        <v>0</v>
      </c>
      <c r="W318" s="1414">
        <v>0</v>
      </c>
      <c r="X318" s="1414">
        <v>761360</v>
      </c>
      <c r="Y318" s="1414">
        <v>1202260</v>
      </c>
      <c r="Z318" s="1414"/>
      <c r="AA318" s="1414"/>
      <c r="AB318" s="1414"/>
      <c r="AC318" s="1414"/>
      <c r="AD318" s="488">
        <f t="shared" si="23"/>
        <v>5442770</v>
      </c>
      <c r="AE318" s="565">
        <f t="shared" si="24"/>
        <v>1</v>
      </c>
      <c r="AF318" s="566">
        <f t="shared" si="20"/>
        <v>77</v>
      </c>
    </row>
    <row r="319" spans="1:32" ht="15" customHeight="1" x14ac:dyDescent="0.3">
      <c r="A319" s="10" t="s">
        <v>4</v>
      </c>
      <c r="B319" s="11" t="s">
        <v>1792</v>
      </c>
      <c r="C319" s="485"/>
      <c r="D319" s="489">
        <v>0</v>
      </c>
      <c r="E319" s="489">
        <v>0</v>
      </c>
      <c r="F319" s="489">
        <v>0</v>
      </c>
      <c r="G319" s="489"/>
      <c r="H319" s="489">
        <v>0</v>
      </c>
      <c r="I319" s="489">
        <v>0</v>
      </c>
      <c r="J319" s="489">
        <v>0</v>
      </c>
      <c r="K319" s="489"/>
      <c r="L319" s="489">
        <v>0</v>
      </c>
      <c r="M319" s="489">
        <v>0</v>
      </c>
      <c r="N319" s="489">
        <v>28750</v>
      </c>
      <c r="O319" s="489">
        <v>0</v>
      </c>
      <c r="P319" s="1494">
        <f t="shared" si="21"/>
        <v>0</v>
      </c>
      <c r="Q319" s="1439">
        <f t="shared" si="22"/>
        <v>28750</v>
      </c>
      <c r="R319" s="1413" t="s">
        <v>251</v>
      </c>
      <c r="S319" s="1414" t="s">
        <v>251</v>
      </c>
      <c r="T319" s="1414" t="s">
        <v>251</v>
      </c>
      <c r="U319" s="1414"/>
      <c r="V319" s="1414">
        <v>89700</v>
      </c>
      <c r="W319" s="1414">
        <v>0</v>
      </c>
      <c r="X319" s="1414">
        <v>0</v>
      </c>
      <c r="Y319" s="1414">
        <v>127210</v>
      </c>
      <c r="Z319" s="1414"/>
      <c r="AA319" s="1414"/>
      <c r="AB319" s="1414"/>
      <c r="AC319" s="1414"/>
      <c r="AD319" s="488">
        <f t="shared" si="23"/>
        <v>216910</v>
      </c>
      <c r="AE319" s="565">
        <f t="shared" si="24"/>
        <v>1</v>
      </c>
      <c r="AF319" s="566">
        <f t="shared" si="20"/>
        <v>198</v>
      </c>
    </row>
    <row r="320" spans="1:32" ht="15" customHeight="1" x14ac:dyDescent="0.3">
      <c r="A320" s="10" t="s">
        <v>4</v>
      </c>
      <c r="B320" s="11" t="s">
        <v>1947</v>
      </c>
      <c r="C320" s="485"/>
      <c r="D320" s="489">
        <v>0</v>
      </c>
      <c r="E320" s="489">
        <v>0</v>
      </c>
      <c r="F320" s="489">
        <v>0</v>
      </c>
      <c r="G320" s="489"/>
      <c r="H320" s="489">
        <v>0</v>
      </c>
      <c r="I320" s="489">
        <v>0</v>
      </c>
      <c r="J320" s="489">
        <v>0</v>
      </c>
      <c r="K320" s="489"/>
      <c r="L320" s="489">
        <v>0</v>
      </c>
      <c r="M320" s="489">
        <v>0</v>
      </c>
      <c r="N320" s="489">
        <v>956670</v>
      </c>
      <c r="O320" s="489">
        <v>309060</v>
      </c>
      <c r="P320" s="1494">
        <f t="shared" si="21"/>
        <v>0</v>
      </c>
      <c r="Q320" s="1439">
        <f t="shared" si="22"/>
        <v>1265730</v>
      </c>
      <c r="R320" s="1413">
        <v>652670</v>
      </c>
      <c r="S320" s="1414">
        <v>1220880</v>
      </c>
      <c r="T320" s="1414">
        <v>1972170</v>
      </c>
      <c r="U320" s="1414">
        <v>0</v>
      </c>
      <c r="V320" s="1414">
        <v>0</v>
      </c>
      <c r="W320" s="1414">
        <v>0</v>
      </c>
      <c r="X320" s="1414">
        <v>0</v>
      </c>
      <c r="Y320" s="1414">
        <v>1185920</v>
      </c>
      <c r="Z320" s="1414"/>
      <c r="AA320" s="1414"/>
      <c r="AB320" s="1414"/>
      <c r="AC320" s="1414"/>
      <c r="AD320" s="488">
        <f t="shared" si="23"/>
        <v>5031640</v>
      </c>
      <c r="AE320" s="565">
        <f t="shared" si="24"/>
        <v>1</v>
      </c>
      <c r="AF320" s="566">
        <f t="shared" si="20"/>
        <v>83</v>
      </c>
    </row>
    <row r="321" spans="1:32" ht="15" customHeight="1" x14ac:dyDescent="0.3">
      <c r="A321" s="10" t="s">
        <v>4</v>
      </c>
      <c r="B321" s="11" t="s">
        <v>1948</v>
      </c>
      <c r="C321" s="485"/>
      <c r="D321" s="489">
        <v>0</v>
      </c>
      <c r="E321" s="489">
        <v>0</v>
      </c>
      <c r="F321" s="489">
        <v>0</v>
      </c>
      <c r="G321" s="489"/>
      <c r="H321" s="489">
        <v>0</v>
      </c>
      <c r="I321" s="489">
        <v>0</v>
      </c>
      <c r="J321" s="489">
        <v>0</v>
      </c>
      <c r="K321" s="489"/>
      <c r="L321" s="489">
        <v>0</v>
      </c>
      <c r="M321" s="489">
        <v>0</v>
      </c>
      <c r="N321" s="489">
        <v>0</v>
      </c>
      <c r="O321" s="489">
        <v>640520</v>
      </c>
      <c r="P321" s="1494">
        <f t="shared" si="21"/>
        <v>0</v>
      </c>
      <c r="Q321" s="1439">
        <f t="shared" si="22"/>
        <v>640520</v>
      </c>
      <c r="R321" s="1413">
        <v>238730</v>
      </c>
      <c r="S321" s="1414">
        <v>240140</v>
      </c>
      <c r="T321" s="1414">
        <v>1033290</v>
      </c>
      <c r="U321" s="1414">
        <v>312280</v>
      </c>
      <c r="V321" s="1414">
        <v>378220</v>
      </c>
      <c r="W321" s="1414">
        <v>0</v>
      </c>
      <c r="X321" s="1414">
        <v>1316190</v>
      </c>
      <c r="Y321" s="1414">
        <v>894050</v>
      </c>
      <c r="Z321" s="1414"/>
      <c r="AA321" s="1414"/>
      <c r="AB321" s="1414"/>
      <c r="AC321" s="1414"/>
      <c r="AD321" s="488">
        <f t="shared" si="23"/>
        <v>4412900</v>
      </c>
      <c r="AE321" s="565">
        <f t="shared" si="24"/>
        <v>1</v>
      </c>
      <c r="AF321" s="566">
        <f t="shared" si="20"/>
        <v>87</v>
      </c>
    </row>
    <row r="322" spans="1:32" ht="15" customHeight="1" x14ac:dyDescent="0.3">
      <c r="A322" s="10" t="s">
        <v>4</v>
      </c>
      <c r="B322" s="11" t="s">
        <v>1949</v>
      </c>
      <c r="C322" s="485"/>
      <c r="D322" s="489">
        <v>0</v>
      </c>
      <c r="E322" s="489">
        <v>0</v>
      </c>
      <c r="F322" s="489">
        <v>0</v>
      </c>
      <c r="G322" s="489"/>
      <c r="H322" s="489">
        <v>0</v>
      </c>
      <c r="I322" s="489">
        <v>0</v>
      </c>
      <c r="J322" s="489">
        <v>0</v>
      </c>
      <c r="K322" s="489"/>
      <c r="L322" s="489">
        <v>0</v>
      </c>
      <c r="M322" s="489">
        <v>0</v>
      </c>
      <c r="N322" s="489">
        <v>0</v>
      </c>
      <c r="O322" s="489">
        <v>226440</v>
      </c>
      <c r="P322" s="1494">
        <f t="shared" si="21"/>
        <v>0</v>
      </c>
      <c r="Q322" s="1439">
        <f t="shared" si="22"/>
        <v>226440</v>
      </c>
      <c r="R322" s="1413" t="s">
        <v>251</v>
      </c>
      <c r="S322" s="1414" t="s">
        <v>251</v>
      </c>
      <c r="T322" s="1414" t="s">
        <v>251</v>
      </c>
      <c r="U322" s="1414"/>
      <c r="V322" s="1414"/>
      <c r="W322" s="1414"/>
      <c r="X322" s="1414"/>
      <c r="Y322" s="1414"/>
      <c r="Z322" s="1414"/>
      <c r="AA322" s="1414"/>
      <c r="AB322" s="1414"/>
      <c r="AC322" s="1414"/>
      <c r="AD322" s="488">
        <f t="shared" si="23"/>
        <v>0</v>
      </c>
      <c r="AE322" s="565">
        <f t="shared" si="24"/>
        <v>0</v>
      </c>
      <c r="AF322" s="566">
        <f t="shared" ref="AF322:AF385" si="25">IFERROR(_xlfn.RANK.EQ(AD322, $AD$2:$AD$450), "")</f>
        <v>240</v>
      </c>
    </row>
    <row r="323" spans="1:32" ht="15" customHeight="1" x14ac:dyDescent="0.3">
      <c r="A323" s="10" t="s">
        <v>4</v>
      </c>
      <c r="B323" s="11" t="s">
        <v>1950</v>
      </c>
      <c r="C323" s="485"/>
      <c r="D323" s="489">
        <v>0</v>
      </c>
      <c r="E323" s="489">
        <v>0</v>
      </c>
      <c r="F323" s="489">
        <v>0</v>
      </c>
      <c r="G323" s="489"/>
      <c r="H323" s="489">
        <v>0</v>
      </c>
      <c r="I323" s="489">
        <v>0</v>
      </c>
      <c r="J323" s="489">
        <v>0</v>
      </c>
      <c r="K323" s="489"/>
      <c r="L323" s="489">
        <v>0</v>
      </c>
      <c r="M323" s="489">
        <v>0</v>
      </c>
      <c r="N323" s="489">
        <v>0</v>
      </c>
      <c r="O323" s="489">
        <v>284250</v>
      </c>
      <c r="P323" s="1494">
        <f t="shared" ref="P323:P386" si="26">SUM(C323:I323,K323)</f>
        <v>0</v>
      </c>
      <c r="Q323" s="1439">
        <f t="shared" ref="Q323:Q386" si="27">SUM(C323:J323,L323:O323)</f>
        <v>284250</v>
      </c>
      <c r="R323" s="1413">
        <v>416960</v>
      </c>
      <c r="S323" s="1414">
        <v>1606060</v>
      </c>
      <c r="T323" s="1414">
        <v>631430</v>
      </c>
      <c r="U323" s="1414">
        <v>503390</v>
      </c>
      <c r="V323" s="1414">
        <v>136050</v>
      </c>
      <c r="W323" s="1414">
        <v>523050</v>
      </c>
      <c r="X323" s="1414">
        <v>2235730</v>
      </c>
      <c r="Y323" s="1414">
        <v>846570</v>
      </c>
      <c r="Z323" s="1414"/>
      <c r="AA323" s="1414"/>
      <c r="AB323" s="1414"/>
      <c r="AC323" s="1414"/>
      <c r="AD323" s="488">
        <f t="shared" ref="AD323:AD437" si="28">SUM(R323:AC323)</f>
        <v>6899240</v>
      </c>
      <c r="AE323" s="565">
        <f t="shared" ref="AE323:AE418" si="29">IF(OR(AD323="", P323=""), 0, IFERROR((AD323-P323)/P323, IF(AD323&lt;&gt;0, 1, 0)))</f>
        <v>1</v>
      </c>
      <c r="AF323" s="566">
        <f t="shared" si="25"/>
        <v>68</v>
      </c>
    </row>
    <row r="324" spans="1:32" ht="15" customHeight="1" x14ac:dyDescent="0.3">
      <c r="A324" s="10" t="s">
        <v>4</v>
      </c>
      <c r="B324" s="11" t="s">
        <v>1951</v>
      </c>
      <c r="C324" s="485"/>
      <c r="D324" s="489">
        <v>0</v>
      </c>
      <c r="E324" s="489">
        <v>0</v>
      </c>
      <c r="F324" s="489">
        <v>0</v>
      </c>
      <c r="G324" s="489"/>
      <c r="H324" s="489">
        <v>0</v>
      </c>
      <c r="I324" s="489">
        <v>0</v>
      </c>
      <c r="J324" s="489">
        <v>0</v>
      </c>
      <c r="K324" s="489"/>
      <c r="L324" s="489">
        <v>0</v>
      </c>
      <c r="M324" s="489">
        <v>0</v>
      </c>
      <c r="N324" s="489">
        <v>0</v>
      </c>
      <c r="O324" s="489">
        <v>317190</v>
      </c>
      <c r="P324" s="1494">
        <f t="shared" si="26"/>
        <v>0</v>
      </c>
      <c r="Q324" s="1439">
        <f t="shared" si="27"/>
        <v>317190</v>
      </c>
      <c r="R324" s="1413">
        <v>960800</v>
      </c>
      <c r="S324" s="1414">
        <v>774130</v>
      </c>
      <c r="T324" s="1414">
        <v>1966840</v>
      </c>
      <c r="U324" s="1414">
        <v>2215230</v>
      </c>
      <c r="V324" s="1414">
        <v>366680</v>
      </c>
      <c r="W324" s="1414">
        <v>603670</v>
      </c>
      <c r="X324" s="1414">
        <v>1229380</v>
      </c>
      <c r="Y324" s="1414">
        <v>378810</v>
      </c>
      <c r="Z324" s="1414"/>
      <c r="AA324" s="1414"/>
      <c r="AB324" s="1414"/>
      <c r="AC324" s="1414"/>
      <c r="AD324" s="488">
        <f t="shared" si="28"/>
        <v>8495540</v>
      </c>
      <c r="AE324" s="565">
        <f t="shared" si="29"/>
        <v>1</v>
      </c>
      <c r="AF324" s="566">
        <f t="shared" si="25"/>
        <v>61</v>
      </c>
    </row>
    <row r="325" spans="1:32" ht="15" customHeight="1" x14ac:dyDescent="0.3">
      <c r="A325" s="10" t="s">
        <v>4</v>
      </c>
      <c r="B325" s="11" t="s">
        <v>1952</v>
      </c>
      <c r="C325" s="485"/>
      <c r="D325" s="489">
        <v>0</v>
      </c>
      <c r="E325" s="489">
        <v>0</v>
      </c>
      <c r="F325" s="489">
        <v>0</v>
      </c>
      <c r="G325" s="489"/>
      <c r="H325" s="489">
        <v>0</v>
      </c>
      <c r="I325" s="489">
        <v>0</v>
      </c>
      <c r="J325" s="489">
        <v>0</v>
      </c>
      <c r="K325" s="489"/>
      <c r="L325" s="489">
        <v>0</v>
      </c>
      <c r="M325" s="489">
        <v>0</v>
      </c>
      <c r="N325" s="489">
        <v>0</v>
      </c>
      <c r="O325" s="489">
        <v>58900</v>
      </c>
      <c r="P325" s="1494">
        <f t="shared" si="26"/>
        <v>0</v>
      </c>
      <c r="Q325" s="1439">
        <f t="shared" si="27"/>
        <v>58900</v>
      </c>
      <c r="R325" s="1413" t="s">
        <v>251</v>
      </c>
      <c r="S325" s="1414" t="s">
        <v>251</v>
      </c>
      <c r="T325" s="1414" t="s">
        <v>251</v>
      </c>
      <c r="U325" s="1414"/>
      <c r="V325" s="1414"/>
      <c r="W325" s="1414"/>
      <c r="X325" s="1414"/>
      <c r="Y325" s="1414"/>
      <c r="Z325" s="1414"/>
      <c r="AA325" s="1414"/>
      <c r="AB325" s="1414"/>
      <c r="AC325" s="1414"/>
      <c r="AD325" s="488">
        <f t="shared" si="28"/>
        <v>0</v>
      </c>
      <c r="AE325" s="565">
        <f t="shared" si="29"/>
        <v>0</v>
      </c>
      <c r="AF325" s="566">
        <f t="shared" si="25"/>
        <v>240</v>
      </c>
    </row>
    <row r="326" spans="1:32" ht="15" customHeight="1" x14ac:dyDescent="0.3">
      <c r="A326" s="10" t="s">
        <v>4</v>
      </c>
      <c r="B326" s="11" t="s">
        <v>1953</v>
      </c>
      <c r="C326" s="485"/>
      <c r="D326" s="489">
        <v>0</v>
      </c>
      <c r="E326" s="489">
        <v>0</v>
      </c>
      <c r="F326" s="489">
        <v>0</v>
      </c>
      <c r="G326" s="489"/>
      <c r="H326" s="489">
        <v>0</v>
      </c>
      <c r="I326" s="489">
        <v>0</v>
      </c>
      <c r="J326" s="489">
        <v>0</v>
      </c>
      <c r="K326" s="489"/>
      <c r="L326" s="489">
        <v>0</v>
      </c>
      <c r="M326" s="489">
        <v>0</v>
      </c>
      <c r="N326" s="489">
        <v>0</v>
      </c>
      <c r="O326" s="489">
        <v>35270</v>
      </c>
      <c r="P326" s="1494">
        <f t="shared" si="26"/>
        <v>0</v>
      </c>
      <c r="Q326" s="1439">
        <f t="shared" si="27"/>
        <v>35270</v>
      </c>
      <c r="R326" s="1413" t="s">
        <v>251</v>
      </c>
      <c r="S326" s="1414" t="s">
        <v>251</v>
      </c>
      <c r="T326" s="1414" t="s">
        <v>251</v>
      </c>
      <c r="U326" s="1414"/>
      <c r="V326" s="1414"/>
      <c r="W326" s="1414"/>
      <c r="X326" s="1414"/>
      <c r="Y326" s="1414"/>
      <c r="Z326" s="1414"/>
      <c r="AA326" s="1414"/>
      <c r="AB326" s="1414"/>
      <c r="AC326" s="1414"/>
      <c r="AD326" s="488">
        <f t="shared" si="28"/>
        <v>0</v>
      </c>
      <c r="AE326" s="565">
        <f t="shared" si="29"/>
        <v>0</v>
      </c>
      <c r="AF326" s="566">
        <f t="shared" si="25"/>
        <v>240</v>
      </c>
    </row>
    <row r="327" spans="1:32" ht="15" customHeight="1" x14ac:dyDescent="0.3">
      <c r="A327" s="10" t="s">
        <v>4</v>
      </c>
      <c r="B327" s="11" t="s">
        <v>2364</v>
      </c>
      <c r="C327" s="485"/>
      <c r="D327" s="489">
        <v>29060</v>
      </c>
      <c r="E327" s="489">
        <v>2664340</v>
      </c>
      <c r="F327" s="489">
        <v>56050</v>
      </c>
      <c r="G327" s="489"/>
      <c r="H327" s="489">
        <v>0</v>
      </c>
      <c r="I327" s="489">
        <v>1312470</v>
      </c>
      <c r="J327" s="489">
        <v>505810</v>
      </c>
      <c r="K327" s="489">
        <v>505810</v>
      </c>
      <c r="L327" s="489">
        <v>617770</v>
      </c>
      <c r="M327" s="489">
        <v>28420</v>
      </c>
      <c r="N327" s="489">
        <v>0</v>
      </c>
      <c r="O327" s="489">
        <v>9549210</v>
      </c>
      <c r="P327" s="1494">
        <f t="shared" si="26"/>
        <v>4567730</v>
      </c>
      <c r="Q327" s="1439">
        <f t="shared" si="27"/>
        <v>14763130</v>
      </c>
      <c r="R327" s="1413">
        <v>7106760</v>
      </c>
      <c r="S327" s="1414">
        <v>841240</v>
      </c>
      <c r="T327" s="1414">
        <v>1121390</v>
      </c>
      <c r="U327" s="1414">
        <v>2482670</v>
      </c>
      <c r="V327" s="1414">
        <v>874850</v>
      </c>
      <c r="W327" s="1414">
        <v>68000</v>
      </c>
      <c r="X327" s="1414">
        <v>86460</v>
      </c>
      <c r="Y327" s="1414">
        <v>507600</v>
      </c>
      <c r="Z327" s="1414"/>
      <c r="AA327" s="1414"/>
      <c r="AB327" s="1414"/>
      <c r="AC327" s="1414"/>
      <c r="AD327" s="488">
        <f t="shared" si="28"/>
        <v>13088970</v>
      </c>
      <c r="AE327" s="565">
        <f t="shared" si="29"/>
        <v>1.8655305808355573</v>
      </c>
      <c r="AF327" s="566">
        <f t="shared" si="25"/>
        <v>41</v>
      </c>
    </row>
    <row r="328" spans="1:32" ht="15" customHeight="1" x14ac:dyDescent="0.3">
      <c r="A328" s="10" t="s">
        <v>4</v>
      </c>
      <c r="B328" s="11" t="s">
        <v>2365</v>
      </c>
      <c r="C328" s="485"/>
      <c r="D328" s="489"/>
      <c r="E328" s="489">
        <v>0</v>
      </c>
      <c r="F328" s="489"/>
      <c r="G328" s="489"/>
      <c r="H328" s="489">
        <v>0</v>
      </c>
      <c r="I328" s="489">
        <v>0</v>
      </c>
      <c r="J328" s="489">
        <v>0</v>
      </c>
      <c r="K328" s="489"/>
      <c r="L328" s="489">
        <v>13920</v>
      </c>
      <c r="M328" s="489">
        <v>0</v>
      </c>
      <c r="N328" s="489">
        <v>0</v>
      </c>
      <c r="O328" s="489">
        <v>0</v>
      </c>
      <c r="P328" s="1494">
        <f t="shared" si="26"/>
        <v>0</v>
      </c>
      <c r="Q328" s="1439">
        <f t="shared" si="27"/>
        <v>13920</v>
      </c>
      <c r="R328" s="1413" t="s">
        <v>251</v>
      </c>
      <c r="S328" s="1414" t="s">
        <v>251</v>
      </c>
      <c r="T328" s="1414" t="s">
        <v>251</v>
      </c>
      <c r="U328" s="1414"/>
      <c r="V328" s="1414"/>
      <c r="W328" s="1414"/>
      <c r="X328" s="1414"/>
      <c r="Y328" s="1414"/>
      <c r="Z328" s="1414"/>
      <c r="AA328" s="1414"/>
      <c r="AB328" s="1414"/>
      <c r="AC328" s="1414"/>
      <c r="AD328" s="488">
        <f t="shared" si="28"/>
        <v>0</v>
      </c>
      <c r="AE328" s="565">
        <f t="shared" si="29"/>
        <v>0</v>
      </c>
      <c r="AF328" s="566">
        <f t="shared" si="25"/>
        <v>240</v>
      </c>
    </row>
    <row r="329" spans="1:32" ht="15" customHeight="1" x14ac:dyDescent="0.3">
      <c r="A329" s="10" t="s">
        <v>4</v>
      </c>
      <c r="B329" s="11" t="s">
        <v>2380</v>
      </c>
      <c r="C329" s="485"/>
      <c r="D329" s="489"/>
      <c r="E329" s="489"/>
      <c r="F329" s="489"/>
      <c r="G329" s="489"/>
      <c r="H329" s="489">
        <v>0</v>
      </c>
      <c r="I329" s="489">
        <v>0</v>
      </c>
      <c r="J329" s="489">
        <v>0</v>
      </c>
      <c r="K329" s="489"/>
      <c r="L329" s="489"/>
      <c r="M329" s="489">
        <v>0</v>
      </c>
      <c r="N329" s="489">
        <v>0</v>
      </c>
      <c r="O329" s="489">
        <v>1275330</v>
      </c>
      <c r="P329" s="1494">
        <f t="shared" si="26"/>
        <v>0</v>
      </c>
      <c r="Q329" s="1439">
        <f t="shared" si="27"/>
        <v>1275330</v>
      </c>
      <c r="R329" s="1413" t="s">
        <v>251</v>
      </c>
      <c r="S329" s="1414" t="s">
        <v>251</v>
      </c>
      <c r="T329" s="1414" t="s">
        <v>251</v>
      </c>
      <c r="U329" s="1414"/>
      <c r="V329" s="1414"/>
      <c r="W329" s="1414"/>
      <c r="X329" s="1414">
        <v>1351580</v>
      </c>
      <c r="Y329" s="1414">
        <v>0</v>
      </c>
      <c r="Z329" s="1414"/>
      <c r="AA329" s="1414"/>
      <c r="AB329" s="1414"/>
      <c r="AC329" s="1414"/>
      <c r="AD329" s="488">
        <f t="shared" si="28"/>
        <v>1351580</v>
      </c>
      <c r="AE329" s="565">
        <f t="shared" si="29"/>
        <v>1</v>
      </c>
      <c r="AF329" s="566">
        <f t="shared" si="25"/>
        <v>142</v>
      </c>
    </row>
    <row r="330" spans="1:32" ht="15" customHeight="1" x14ac:dyDescent="0.3">
      <c r="A330" s="10" t="s">
        <v>4</v>
      </c>
      <c r="B330" s="11" t="s">
        <v>244</v>
      </c>
      <c r="C330" s="485"/>
      <c r="D330" s="489"/>
      <c r="E330" s="489"/>
      <c r="F330" s="489"/>
      <c r="G330" s="489"/>
      <c r="H330" s="489">
        <v>0</v>
      </c>
      <c r="I330" s="489">
        <v>0</v>
      </c>
      <c r="J330" s="489">
        <v>0</v>
      </c>
      <c r="K330" s="489"/>
      <c r="L330" s="489"/>
      <c r="M330" s="489">
        <v>0</v>
      </c>
      <c r="N330" s="489">
        <v>0</v>
      </c>
      <c r="O330" s="489">
        <v>925020</v>
      </c>
      <c r="P330" s="1494">
        <f t="shared" si="26"/>
        <v>0</v>
      </c>
      <c r="Q330" s="1439">
        <f t="shared" si="27"/>
        <v>925020</v>
      </c>
      <c r="R330" s="1413">
        <v>1290180</v>
      </c>
      <c r="S330" s="1414">
        <v>859290</v>
      </c>
      <c r="T330" s="1414">
        <v>29290</v>
      </c>
      <c r="U330" s="1414">
        <v>453290</v>
      </c>
      <c r="V330" s="1414">
        <v>419190</v>
      </c>
      <c r="W330" s="1414">
        <v>0</v>
      </c>
      <c r="X330" s="1414">
        <v>2263230</v>
      </c>
      <c r="Y330" s="1414">
        <v>1048250</v>
      </c>
      <c r="Z330" s="1414"/>
      <c r="AA330" s="1414"/>
      <c r="AB330" s="1414"/>
      <c r="AC330" s="1414"/>
      <c r="AD330" s="488">
        <f t="shared" si="28"/>
        <v>6362720</v>
      </c>
      <c r="AE330" s="565">
        <f t="shared" si="29"/>
        <v>1</v>
      </c>
      <c r="AF330" s="566">
        <f t="shared" si="25"/>
        <v>71</v>
      </c>
    </row>
    <row r="331" spans="1:32" ht="15" customHeight="1" x14ac:dyDescent="0.3">
      <c r="A331" s="10" t="s">
        <v>4</v>
      </c>
      <c r="B331" s="11" t="s">
        <v>2381</v>
      </c>
      <c r="C331" s="485"/>
      <c r="D331" s="489"/>
      <c r="E331" s="489"/>
      <c r="F331" s="489"/>
      <c r="G331" s="489"/>
      <c r="H331" s="489">
        <v>0</v>
      </c>
      <c r="I331" s="489">
        <v>0</v>
      </c>
      <c r="J331" s="489">
        <v>0</v>
      </c>
      <c r="K331" s="489"/>
      <c r="L331" s="489"/>
      <c r="M331" s="489">
        <v>0</v>
      </c>
      <c r="N331" s="489">
        <v>0</v>
      </c>
      <c r="O331" s="489">
        <v>415570</v>
      </c>
      <c r="P331" s="1494">
        <f t="shared" si="26"/>
        <v>0</v>
      </c>
      <c r="Q331" s="1439">
        <f t="shared" si="27"/>
        <v>415570</v>
      </c>
      <c r="R331" s="1413" t="s">
        <v>251</v>
      </c>
      <c r="S331" s="1414" t="s">
        <v>251</v>
      </c>
      <c r="T331" s="1414" t="s">
        <v>251</v>
      </c>
      <c r="U331" s="1414"/>
      <c r="V331" s="1414"/>
      <c r="W331" s="1414"/>
      <c r="X331" s="1414"/>
      <c r="Y331" s="1414"/>
      <c r="Z331" s="1414"/>
      <c r="AA331" s="1414"/>
      <c r="AB331" s="1414"/>
      <c r="AC331" s="1414"/>
      <c r="AD331" s="488">
        <f t="shared" si="28"/>
        <v>0</v>
      </c>
      <c r="AE331" s="565">
        <f t="shared" si="29"/>
        <v>0</v>
      </c>
      <c r="AF331" s="566">
        <f t="shared" si="25"/>
        <v>240</v>
      </c>
    </row>
    <row r="332" spans="1:32" ht="15" customHeight="1" x14ac:dyDescent="0.3">
      <c r="A332" s="10" t="s">
        <v>4</v>
      </c>
      <c r="B332" s="11" t="s">
        <v>2382</v>
      </c>
      <c r="C332" s="485"/>
      <c r="D332" s="489"/>
      <c r="E332" s="489"/>
      <c r="F332" s="489"/>
      <c r="G332" s="489"/>
      <c r="H332" s="489">
        <v>0</v>
      </c>
      <c r="I332" s="489">
        <v>0</v>
      </c>
      <c r="J332" s="489">
        <v>0</v>
      </c>
      <c r="K332" s="489"/>
      <c r="L332" s="489"/>
      <c r="M332" s="489">
        <v>0</v>
      </c>
      <c r="N332" s="489">
        <v>0</v>
      </c>
      <c r="O332" s="489">
        <v>37490</v>
      </c>
      <c r="P332" s="1494">
        <f t="shared" si="26"/>
        <v>0</v>
      </c>
      <c r="Q332" s="1439">
        <f t="shared" si="27"/>
        <v>37490</v>
      </c>
      <c r="R332" s="1413" t="s">
        <v>251</v>
      </c>
      <c r="S332" s="1414" t="s">
        <v>251</v>
      </c>
      <c r="T332" s="1414" t="s">
        <v>251</v>
      </c>
      <c r="U332" s="1414"/>
      <c r="V332" s="1414"/>
      <c r="W332" s="1414"/>
      <c r="X332" s="1414"/>
      <c r="Y332" s="1414"/>
      <c r="Z332" s="1414"/>
      <c r="AA332" s="1414"/>
      <c r="AB332" s="1414"/>
      <c r="AC332" s="1414"/>
      <c r="AD332" s="488">
        <f t="shared" si="28"/>
        <v>0</v>
      </c>
      <c r="AE332" s="565">
        <f t="shared" si="29"/>
        <v>0</v>
      </c>
      <c r="AF332" s="566">
        <f t="shared" si="25"/>
        <v>240</v>
      </c>
    </row>
    <row r="333" spans="1:32" ht="15" customHeight="1" x14ac:dyDescent="0.3">
      <c r="A333" s="10" t="s">
        <v>4</v>
      </c>
      <c r="B333" s="11" t="s">
        <v>2481</v>
      </c>
      <c r="C333" s="485"/>
      <c r="D333" s="489"/>
      <c r="E333" s="489"/>
      <c r="F333" s="489"/>
      <c r="G333" s="489"/>
      <c r="H333" s="489"/>
      <c r="I333" s="489"/>
      <c r="J333" s="489"/>
      <c r="K333" s="489"/>
      <c r="L333" s="489"/>
      <c r="M333" s="489"/>
      <c r="N333" s="489"/>
      <c r="O333" s="489"/>
      <c r="P333" s="1494">
        <f t="shared" si="26"/>
        <v>0</v>
      </c>
      <c r="Q333" s="1439">
        <f t="shared" si="27"/>
        <v>0</v>
      </c>
      <c r="R333" s="1413">
        <v>3829430</v>
      </c>
      <c r="S333" s="1414">
        <v>333330</v>
      </c>
      <c r="T333" s="1414">
        <v>1855870</v>
      </c>
      <c r="U333" s="1414">
        <v>0</v>
      </c>
      <c r="V333" s="1414">
        <v>0</v>
      </c>
      <c r="W333" s="1414">
        <v>0</v>
      </c>
      <c r="X333" s="1414">
        <v>2949830</v>
      </c>
      <c r="Y333" s="1414">
        <v>0</v>
      </c>
      <c r="Z333" s="1414"/>
      <c r="AA333" s="1414"/>
      <c r="AB333" s="1414"/>
      <c r="AC333" s="1414"/>
      <c r="AD333" s="488">
        <f t="shared" si="28"/>
        <v>8968460</v>
      </c>
      <c r="AE333" s="565">
        <f t="shared" si="29"/>
        <v>1</v>
      </c>
      <c r="AF333" s="566">
        <f t="shared" si="25"/>
        <v>55</v>
      </c>
    </row>
    <row r="334" spans="1:32" ht="15" customHeight="1" x14ac:dyDescent="0.3">
      <c r="A334" s="10" t="s">
        <v>4</v>
      </c>
      <c r="B334" s="11" t="s">
        <v>2482</v>
      </c>
      <c r="C334" s="485"/>
      <c r="D334" s="489"/>
      <c r="E334" s="489"/>
      <c r="F334" s="489"/>
      <c r="G334" s="489"/>
      <c r="H334" s="489"/>
      <c r="I334" s="489"/>
      <c r="J334" s="489"/>
      <c r="K334" s="489"/>
      <c r="L334" s="489"/>
      <c r="M334" s="489"/>
      <c r="N334" s="489"/>
      <c r="O334" s="489"/>
      <c r="P334" s="1494">
        <f t="shared" si="26"/>
        <v>0</v>
      </c>
      <c r="Q334" s="1439">
        <f t="shared" si="27"/>
        <v>0</v>
      </c>
      <c r="R334" s="1413">
        <v>1092880</v>
      </c>
      <c r="S334" s="1414" t="s">
        <v>251</v>
      </c>
      <c r="T334" s="1414">
        <v>0</v>
      </c>
      <c r="U334" s="1414">
        <v>0</v>
      </c>
      <c r="V334" s="1414">
        <v>0</v>
      </c>
      <c r="W334" s="1414">
        <v>0</v>
      </c>
      <c r="X334" s="1414">
        <v>0</v>
      </c>
      <c r="Y334" s="1414">
        <v>0</v>
      </c>
      <c r="Z334" s="1414"/>
      <c r="AA334" s="1414"/>
      <c r="AB334" s="1414"/>
      <c r="AC334" s="1414"/>
      <c r="AD334" s="488">
        <f t="shared" si="28"/>
        <v>1092880</v>
      </c>
      <c r="AE334" s="565">
        <f t="shared" si="29"/>
        <v>1</v>
      </c>
      <c r="AF334" s="566">
        <f t="shared" si="25"/>
        <v>151</v>
      </c>
    </row>
    <row r="335" spans="1:32" ht="15" customHeight="1" x14ac:dyDescent="0.3">
      <c r="A335" s="10" t="s">
        <v>4</v>
      </c>
      <c r="B335" s="11" t="s">
        <v>2483</v>
      </c>
      <c r="C335" s="485"/>
      <c r="D335" s="489"/>
      <c r="E335" s="489"/>
      <c r="F335" s="489"/>
      <c r="G335" s="489"/>
      <c r="H335" s="489"/>
      <c r="I335" s="489"/>
      <c r="J335" s="489"/>
      <c r="K335" s="489"/>
      <c r="L335" s="489"/>
      <c r="M335" s="489"/>
      <c r="N335" s="489"/>
      <c r="O335" s="489"/>
      <c r="P335" s="1494">
        <f t="shared" si="26"/>
        <v>0</v>
      </c>
      <c r="Q335" s="1439">
        <f t="shared" si="27"/>
        <v>0</v>
      </c>
      <c r="R335" s="1413">
        <v>1709110</v>
      </c>
      <c r="S335" s="1414" t="s">
        <v>251</v>
      </c>
      <c r="T335" s="1414">
        <v>0</v>
      </c>
      <c r="U335" s="1414">
        <v>0</v>
      </c>
      <c r="V335" s="1414">
        <v>0</v>
      </c>
      <c r="W335" s="1414">
        <v>534180</v>
      </c>
      <c r="X335" s="1414">
        <v>0</v>
      </c>
      <c r="Y335" s="1414">
        <v>0</v>
      </c>
      <c r="Z335" s="1414"/>
      <c r="AA335" s="1414"/>
      <c r="AB335" s="1414"/>
      <c r="AC335" s="1414"/>
      <c r="AD335" s="488">
        <f t="shared" si="28"/>
        <v>2243290</v>
      </c>
      <c r="AE335" s="565">
        <f t="shared" si="29"/>
        <v>1</v>
      </c>
      <c r="AF335" s="566">
        <f t="shared" si="25"/>
        <v>120</v>
      </c>
    </row>
    <row r="336" spans="1:32" ht="15" customHeight="1" x14ac:dyDescent="0.3">
      <c r="A336" s="10" t="s">
        <v>4</v>
      </c>
      <c r="B336" s="11" t="s">
        <v>2484</v>
      </c>
      <c r="C336" s="485"/>
      <c r="D336" s="489"/>
      <c r="E336" s="489"/>
      <c r="F336" s="489"/>
      <c r="G336" s="489"/>
      <c r="H336" s="489"/>
      <c r="I336" s="489"/>
      <c r="J336" s="489"/>
      <c r="K336" s="489"/>
      <c r="L336" s="489"/>
      <c r="M336" s="489"/>
      <c r="N336" s="489"/>
      <c r="O336" s="489"/>
      <c r="P336" s="1494">
        <f t="shared" si="26"/>
        <v>0</v>
      </c>
      <c r="Q336" s="1439">
        <f t="shared" si="27"/>
        <v>0</v>
      </c>
      <c r="R336" s="1413">
        <v>580280</v>
      </c>
      <c r="S336" s="1414">
        <v>1900960</v>
      </c>
      <c r="T336" s="1414">
        <v>404070</v>
      </c>
      <c r="U336" s="1414">
        <v>4154600</v>
      </c>
      <c r="V336" s="1414">
        <v>599890</v>
      </c>
      <c r="W336" s="1414">
        <v>2986390</v>
      </c>
      <c r="X336" s="1414">
        <v>1389520</v>
      </c>
      <c r="Y336" s="1414">
        <v>839480</v>
      </c>
      <c r="Z336" s="1414"/>
      <c r="AA336" s="1414"/>
      <c r="AB336" s="1414"/>
      <c r="AC336" s="1414"/>
      <c r="AD336" s="488">
        <f t="shared" si="28"/>
        <v>12855190</v>
      </c>
      <c r="AE336" s="565">
        <f t="shared" si="29"/>
        <v>1</v>
      </c>
      <c r="AF336" s="566">
        <f t="shared" si="25"/>
        <v>43</v>
      </c>
    </row>
    <row r="337" spans="1:32" ht="15" customHeight="1" x14ac:dyDescent="0.3">
      <c r="A337" s="10" t="s">
        <v>4</v>
      </c>
      <c r="B337" s="11" t="s">
        <v>2485</v>
      </c>
      <c r="C337" s="485"/>
      <c r="D337" s="489"/>
      <c r="E337" s="489"/>
      <c r="F337" s="489"/>
      <c r="G337" s="489"/>
      <c r="H337" s="489"/>
      <c r="I337" s="489"/>
      <c r="J337" s="489"/>
      <c r="K337" s="489"/>
      <c r="L337" s="489"/>
      <c r="M337" s="489"/>
      <c r="N337" s="489"/>
      <c r="O337" s="489"/>
      <c r="P337" s="1494">
        <f t="shared" si="26"/>
        <v>0</v>
      </c>
      <c r="Q337" s="1439">
        <f t="shared" si="27"/>
        <v>0</v>
      </c>
      <c r="R337" s="1413">
        <v>392520</v>
      </c>
      <c r="S337" s="1414" t="s">
        <v>251</v>
      </c>
      <c r="T337" s="1414">
        <v>0</v>
      </c>
      <c r="U337" s="1414">
        <v>0</v>
      </c>
      <c r="V337" s="1414">
        <v>0</v>
      </c>
      <c r="W337" s="1414">
        <v>0</v>
      </c>
      <c r="X337" s="1414">
        <v>0</v>
      </c>
      <c r="Y337" s="1414">
        <v>0</v>
      </c>
      <c r="Z337" s="1414"/>
      <c r="AA337" s="1414"/>
      <c r="AB337" s="1414"/>
      <c r="AC337" s="1414"/>
      <c r="AD337" s="488">
        <f t="shared" si="28"/>
        <v>392520</v>
      </c>
      <c r="AE337" s="565">
        <f t="shared" si="29"/>
        <v>1</v>
      </c>
      <c r="AF337" s="566">
        <f t="shared" si="25"/>
        <v>187</v>
      </c>
    </row>
    <row r="338" spans="1:32" ht="15" customHeight="1" x14ac:dyDescent="0.3">
      <c r="A338" s="10" t="s">
        <v>4</v>
      </c>
      <c r="B338" s="11" t="s">
        <v>2486</v>
      </c>
      <c r="C338" s="485"/>
      <c r="D338" s="489"/>
      <c r="E338" s="489"/>
      <c r="F338" s="489"/>
      <c r="G338" s="489"/>
      <c r="H338" s="489"/>
      <c r="I338" s="489"/>
      <c r="J338" s="489"/>
      <c r="K338" s="489"/>
      <c r="L338" s="489"/>
      <c r="M338" s="489"/>
      <c r="N338" s="489"/>
      <c r="O338" s="489"/>
      <c r="P338" s="1494">
        <f t="shared" si="26"/>
        <v>0</v>
      </c>
      <c r="Q338" s="1439">
        <f t="shared" si="27"/>
        <v>0</v>
      </c>
      <c r="R338" s="1413">
        <v>257080</v>
      </c>
      <c r="S338" s="1414" t="s">
        <v>251</v>
      </c>
      <c r="T338" s="1414">
        <v>0</v>
      </c>
      <c r="U338" s="1414">
        <v>236800</v>
      </c>
      <c r="V338" s="1414">
        <v>0</v>
      </c>
      <c r="W338" s="1414">
        <v>0</v>
      </c>
      <c r="X338" s="1414">
        <v>0</v>
      </c>
      <c r="Y338" s="1414">
        <v>0</v>
      </c>
      <c r="Z338" s="1414"/>
      <c r="AA338" s="1414"/>
      <c r="AB338" s="1414"/>
      <c r="AC338" s="1414"/>
      <c r="AD338" s="488">
        <f t="shared" si="28"/>
        <v>493880</v>
      </c>
      <c r="AE338" s="565">
        <f t="shared" si="29"/>
        <v>1</v>
      </c>
      <c r="AF338" s="566">
        <f t="shared" si="25"/>
        <v>180</v>
      </c>
    </row>
    <row r="339" spans="1:32" ht="15" customHeight="1" x14ac:dyDescent="0.3">
      <c r="A339" s="10" t="s">
        <v>4</v>
      </c>
      <c r="B339" s="11" t="s">
        <v>2531</v>
      </c>
      <c r="C339" s="485"/>
      <c r="D339" s="489"/>
      <c r="E339" s="489"/>
      <c r="F339" s="489"/>
      <c r="G339" s="489"/>
      <c r="H339" s="489"/>
      <c r="I339" s="489"/>
      <c r="J339" s="489"/>
      <c r="K339" s="489"/>
      <c r="L339" s="489"/>
      <c r="M339" s="489"/>
      <c r="N339" s="489"/>
      <c r="O339" s="489"/>
      <c r="P339" s="1494">
        <f t="shared" si="26"/>
        <v>0</v>
      </c>
      <c r="Q339" s="1439">
        <f t="shared" si="27"/>
        <v>0</v>
      </c>
      <c r="R339" s="1413">
        <v>739180</v>
      </c>
      <c r="S339" s="1414" t="s">
        <v>251</v>
      </c>
      <c r="T339" s="1414">
        <v>125920</v>
      </c>
      <c r="U339" s="1414">
        <v>0</v>
      </c>
      <c r="V339" s="1414">
        <v>0</v>
      </c>
      <c r="W339" s="1414">
        <v>0</v>
      </c>
      <c r="X339" s="1414">
        <v>0</v>
      </c>
      <c r="Y339" s="1414">
        <v>0</v>
      </c>
      <c r="Z339" s="1414"/>
      <c r="AA339" s="1414"/>
      <c r="AB339" s="1414"/>
      <c r="AC339" s="1414"/>
      <c r="AD339" s="488">
        <f t="shared" si="28"/>
        <v>865100</v>
      </c>
      <c r="AE339" s="565">
        <f t="shared" si="29"/>
        <v>1</v>
      </c>
      <c r="AF339" s="566">
        <f t="shared" si="25"/>
        <v>162</v>
      </c>
    </row>
    <row r="340" spans="1:32" ht="15" customHeight="1" x14ac:dyDescent="0.3">
      <c r="A340" s="10" t="s">
        <v>4</v>
      </c>
      <c r="B340" s="11" t="s">
        <v>2530</v>
      </c>
      <c r="C340" s="485"/>
      <c r="D340" s="489"/>
      <c r="E340" s="489"/>
      <c r="F340" s="489"/>
      <c r="G340" s="489"/>
      <c r="H340" s="489"/>
      <c r="I340" s="489"/>
      <c r="J340" s="489"/>
      <c r="K340" s="489"/>
      <c r="L340" s="489"/>
      <c r="M340" s="489"/>
      <c r="N340" s="489"/>
      <c r="O340" s="489"/>
      <c r="P340" s="1494">
        <f t="shared" si="26"/>
        <v>0</v>
      </c>
      <c r="Q340" s="1439">
        <f t="shared" si="27"/>
        <v>0</v>
      </c>
      <c r="R340" s="1413">
        <v>498840</v>
      </c>
      <c r="S340" s="1414">
        <v>60280</v>
      </c>
      <c r="T340" s="1414">
        <v>567580</v>
      </c>
      <c r="U340" s="1414">
        <v>629580</v>
      </c>
      <c r="V340" s="1414">
        <v>551210</v>
      </c>
      <c r="W340" s="1414">
        <v>0</v>
      </c>
      <c r="X340" s="1414">
        <v>0</v>
      </c>
      <c r="Y340" s="1414">
        <v>1791360</v>
      </c>
      <c r="Z340" s="1414"/>
      <c r="AA340" s="1414"/>
      <c r="AB340" s="1414"/>
      <c r="AC340" s="1414"/>
      <c r="AD340" s="488">
        <f t="shared" si="28"/>
        <v>4098850</v>
      </c>
      <c r="AE340" s="565">
        <f t="shared" si="29"/>
        <v>1</v>
      </c>
      <c r="AF340" s="566">
        <f t="shared" si="25"/>
        <v>89</v>
      </c>
    </row>
    <row r="341" spans="1:32" ht="15" customHeight="1" x14ac:dyDescent="0.3">
      <c r="A341" s="10" t="s">
        <v>4</v>
      </c>
      <c r="B341" s="11" t="s">
        <v>2529</v>
      </c>
      <c r="C341" s="485"/>
      <c r="D341" s="489"/>
      <c r="E341" s="489"/>
      <c r="F341" s="489"/>
      <c r="G341" s="489"/>
      <c r="H341" s="489"/>
      <c r="I341" s="489"/>
      <c r="J341" s="489"/>
      <c r="K341" s="489"/>
      <c r="L341" s="489"/>
      <c r="M341" s="489"/>
      <c r="N341" s="489"/>
      <c r="O341" s="489"/>
      <c r="P341" s="1494">
        <f t="shared" si="26"/>
        <v>0</v>
      </c>
      <c r="Q341" s="1439">
        <f t="shared" si="27"/>
        <v>0</v>
      </c>
      <c r="R341" s="1413">
        <v>85620</v>
      </c>
      <c r="S341" s="1414" t="s">
        <v>251</v>
      </c>
      <c r="T341" s="1414">
        <v>0</v>
      </c>
      <c r="U341" s="1414">
        <v>0</v>
      </c>
      <c r="V341" s="1414">
        <v>0</v>
      </c>
      <c r="W341" s="1414">
        <v>0</v>
      </c>
      <c r="X341" s="1414">
        <v>0</v>
      </c>
      <c r="Y341" s="1414">
        <v>0</v>
      </c>
      <c r="Z341" s="1414"/>
      <c r="AA341" s="1414"/>
      <c r="AB341" s="1414"/>
      <c r="AC341" s="1414"/>
      <c r="AD341" s="488">
        <f t="shared" si="28"/>
        <v>85620</v>
      </c>
      <c r="AE341" s="565">
        <f t="shared" si="29"/>
        <v>1</v>
      </c>
      <c r="AF341" s="566">
        <f t="shared" si="25"/>
        <v>211</v>
      </c>
    </row>
    <row r="342" spans="1:32" ht="15" customHeight="1" x14ac:dyDescent="0.3">
      <c r="A342" s="10" t="s">
        <v>4</v>
      </c>
      <c r="B342" s="11" t="s">
        <v>2556</v>
      </c>
      <c r="C342" s="485"/>
      <c r="D342" s="489"/>
      <c r="E342" s="489"/>
      <c r="F342" s="489"/>
      <c r="G342" s="489"/>
      <c r="H342" s="489"/>
      <c r="I342" s="489"/>
      <c r="J342" s="489"/>
      <c r="K342" s="489"/>
      <c r="L342" s="489"/>
      <c r="M342" s="489"/>
      <c r="N342" s="489"/>
      <c r="O342" s="489"/>
      <c r="P342" s="1494">
        <f t="shared" si="26"/>
        <v>0</v>
      </c>
      <c r="Q342" s="1439">
        <f t="shared" si="27"/>
        <v>0</v>
      </c>
      <c r="R342" s="1413"/>
      <c r="S342" s="1414">
        <v>438260</v>
      </c>
      <c r="T342" s="1414">
        <v>1827600</v>
      </c>
      <c r="U342" s="1414">
        <v>2689420</v>
      </c>
      <c r="V342" s="1414">
        <v>378320</v>
      </c>
      <c r="W342" s="1414">
        <v>0</v>
      </c>
      <c r="X342" s="1414">
        <v>0</v>
      </c>
      <c r="Y342" s="1414">
        <v>39610</v>
      </c>
      <c r="Z342" s="1414"/>
      <c r="AA342" s="1414"/>
      <c r="AB342" s="1414"/>
      <c r="AC342" s="1414"/>
      <c r="AD342" s="488">
        <f t="shared" si="28"/>
        <v>5373210</v>
      </c>
      <c r="AE342" s="565">
        <f t="shared" si="29"/>
        <v>1</v>
      </c>
      <c r="AF342" s="566">
        <f t="shared" si="25"/>
        <v>79</v>
      </c>
    </row>
    <row r="343" spans="1:32" ht="15" customHeight="1" x14ac:dyDescent="0.3">
      <c r="A343" s="10" t="s">
        <v>4</v>
      </c>
      <c r="B343" s="11" t="s">
        <v>2557</v>
      </c>
      <c r="C343" s="485"/>
      <c r="D343" s="489"/>
      <c r="E343" s="489"/>
      <c r="F343" s="489"/>
      <c r="G343" s="489"/>
      <c r="H343" s="489"/>
      <c r="I343" s="489"/>
      <c r="J343" s="489"/>
      <c r="K343" s="489"/>
      <c r="L343" s="489"/>
      <c r="M343" s="489"/>
      <c r="N343" s="489"/>
      <c r="O343" s="489"/>
      <c r="P343" s="1494">
        <f t="shared" si="26"/>
        <v>0</v>
      </c>
      <c r="Q343" s="1439">
        <f t="shared" si="27"/>
        <v>0</v>
      </c>
      <c r="R343" s="1413"/>
      <c r="S343" s="1414">
        <v>58000</v>
      </c>
      <c r="T343" s="1414">
        <v>0</v>
      </c>
      <c r="U343" s="1414">
        <v>7530</v>
      </c>
      <c r="V343" s="1414">
        <v>0</v>
      </c>
      <c r="W343" s="1414">
        <v>0</v>
      </c>
      <c r="X343" s="1414">
        <v>0</v>
      </c>
      <c r="Y343" s="1414">
        <v>0</v>
      </c>
      <c r="Z343" s="1414"/>
      <c r="AA343" s="1414"/>
      <c r="AB343" s="1414"/>
      <c r="AC343" s="1414"/>
      <c r="AD343" s="488">
        <f t="shared" si="28"/>
        <v>65530</v>
      </c>
      <c r="AE343" s="565">
        <f t="shared" si="29"/>
        <v>1</v>
      </c>
      <c r="AF343" s="566">
        <f t="shared" si="25"/>
        <v>216</v>
      </c>
    </row>
    <row r="344" spans="1:32" ht="15" customHeight="1" x14ac:dyDescent="0.3">
      <c r="A344" s="10" t="s">
        <v>4</v>
      </c>
      <c r="B344" s="11" t="s">
        <v>2555</v>
      </c>
      <c r="C344" s="485"/>
      <c r="D344" s="489"/>
      <c r="E344" s="489"/>
      <c r="F344" s="489"/>
      <c r="G344" s="489"/>
      <c r="H344" s="489"/>
      <c r="I344" s="489"/>
      <c r="J344" s="489"/>
      <c r="K344" s="489"/>
      <c r="L344" s="489"/>
      <c r="M344" s="489"/>
      <c r="N344" s="489"/>
      <c r="O344" s="489"/>
      <c r="P344" s="1494">
        <f t="shared" si="26"/>
        <v>0</v>
      </c>
      <c r="Q344" s="1439">
        <f t="shared" si="27"/>
        <v>0</v>
      </c>
      <c r="R344" s="1413"/>
      <c r="S344" s="1414">
        <v>29280</v>
      </c>
      <c r="T344" s="1414">
        <v>0</v>
      </c>
      <c r="U344" s="1414">
        <v>0</v>
      </c>
      <c r="V344" s="1414">
        <v>0</v>
      </c>
      <c r="W344" s="1414">
        <v>0</v>
      </c>
      <c r="X344" s="1414">
        <v>0</v>
      </c>
      <c r="Y344" s="1414">
        <v>0</v>
      </c>
      <c r="Z344" s="1414"/>
      <c r="AA344" s="1414"/>
      <c r="AB344" s="1414"/>
      <c r="AC344" s="1414"/>
      <c r="AD344" s="488">
        <f t="shared" si="28"/>
        <v>29280</v>
      </c>
      <c r="AE344" s="565">
        <f t="shared" si="29"/>
        <v>1</v>
      </c>
      <c r="AF344" s="566">
        <f t="shared" si="25"/>
        <v>235</v>
      </c>
    </row>
    <row r="345" spans="1:32" ht="15" customHeight="1" x14ac:dyDescent="0.3">
      <c r="A345" s="10" t="s">
        <v>4</v>
      </c>
      <c r="B345" s="11" t="s">
        <v>2587</v>
      </c>
      <c r="C345" s="485"/>
      <c r="D345" s="489"/>
      <c r="E345" s="489"/>
      <c r="F345" s="489"/>
      <c r="G345" s="489"/>
      <c r="H345" s="489"/>
      <c r="I345" s="489"/>
      <c r="J345" s="489"/>
      <c r="K345" s="489">
        <v>644480</v>
      </c>
      <c r="L345" s="489"/>
      <c r="M345" s="489"/>
      <c r="N345" s="489"/>
      <c r="O345" s="489"/>
      <c r="P345" s="1494">
        <f t="shared" si="26"/>
        <v>644480</v>
      </c>
      <c r="Q345" s="1439">
        <f t="shared" si="27"/>
        <v>0</v>
      </c>
      <c r="R345" s="1413"/>
      <c r="S345" s="1414"/>
      <c r="T345" s="1414">
        <v>376320</v>
      </c>
      <c r="U345" s="1414">
        <v>0</v>
      </c>
      <c r="V345" s="1414">
        <v>0</v>
      </c>
      <c r="W345" s="1414">
        <v>0</v>
      </c>
      <c r="X345" s="1414">
        <v>0</v>
      </c>
      <c r="Y345" s="1414">
        <v>0</v>
      </c>
      <c r="Z345" s="1414"/>
      <c r="AA345" s="1414"/>
      <c r="AB345" s="1414"/>
      <c r="AC345" s="1414"/>
      <c r="AD345" s="488">
        <f t="shared" si="28"/>
        <v>376320</v>
      </c>
      <c r="AE345" s="565">
        <f t="shared" si="29"/>
        <v>-0.41608738828202579</v>
      </c>
      <c r="AF345" s="566">
        <f t="shared" si="25"/>
        <v>189</v>
      </c>
    </row>
    <row r="346" spans="1:32" ht="15" customHeight="1" x14ac:dyDescent="0.3">
      <c r="A346" s="10" t="s">
        <v>4</v>
      </c>
      <c r="B346" s="11" t="s">
        <v>2584</v>
      </c>
      <c r="C346" s="485"/>
      <c r="D346" s="489"/>
      <c r="E346" s="489"/>
      <c r="F346" s="489"/>
      <c r="G346" s="489"/>
      <c r="H346" s="489"/>
      <c r="I346" s="489"/>
      <c r="J346" s="489"/>
      <c r="K346" s="489"/>
      <c r="L346" s="489"/>
      <c r="M346" s="489"/>
      <c r="N346" s="489"/>
      <c r="O346" s="489"/>
      <c r="P346" s="1494">
        <f t="shared" si="26"/>
        <v>0</v>
      </c>
      <c r="Q346" s="1439">
        <f t="shared" si="27"/>
        <v>0</v>
      </c>
      <c r="R346" s="1413"/>
      <c r="S346" s="1414"/>
      <c r="T346" s="1414">
        <v>253210</v>
      </c>
      <c r="U346" s="1414">
        <v>0</v>
      </c>
      <c r="V346" s="1414">
        <v>0</v>
      </c>
      <c r="W346" s="1414">
        <v>0</v>
      </c>
      <c r="X346" s="1414">
        <v>0</v>
      </c>
      <c r="Y346" s="1414">
        <v>0</v>
      </c>
      <c r="Z346" s="1414"/>
      <c r="AA346" s="1414"/>
      <c r="AB346" s="1414"/>
      <c r="AC346" s="1414"/>
      <c r="AD346" s="488">
        <f t="shared" si="28"/>
        <v>253210</v>
      </c>
      <c r="AE346" s="565">
        <f t="shared" si="29"/>
        <v>1</v>
      </c>
      <c r="AF346" s="566">
        <f t="shared" si="25"/>
        <v>196</v>
      </c>
    </row>
    <row r="347" spans="1:32" ht="15" customHeight="1" x14ac:dyDescent="0.3">
      <c r="A347" s="10" t="s">
        <v>4</v>
      </c>
      <c r="B347" s="11" t="s">
        <v>2586</v>
      </c>
      <c r="C347" s="485"/>
      <c r="D347" s="489"/>
      <c r="E347" s="489"/>
      <c r="F347" s="489"/>
      <c r="G347" s="489"/>
      <c r="H347" s="489"/>
      <c r="I347" s="489"/>
      <c r="J347" s="489"/>
      <c r="K347" s="489"/>
      <c r="L347" s="489"/>
      <c r="M347" s="489"/>
      <c r="N347" s="489"/>
      <c r="O347" s="489"/>
      <c r="P347" s="1494">
        <f t="shared" si="26"/>
        <v>0</v>
      </c>
      <c r="Q347" s="1439">
        <f t="shared" si="27"/>
        <v>0</v>
      </c>
      <c r="R347" s="1413"/>
      <c r="S347" s="1414"/>
      <c r="T347" s="1414">
        <v>203480</v>
      </c>
      <c r="U347" s="1414">
        <v>0</v>
      </c>
      <c r="V347" s="1414">
        <v>0</v>
      </c>
      <c r="W347" s="1414">
        <v>0</v>
      </c>
      <c r="X347" s="1414">
        <v>0</v>
      </c>
      <c r="Y347" s="1414">
        <v>0</v>
      </c>
      <c r="Z347" s="1414"/>
      <c r="AA347" s="1414"/>
      <c r="AB347" s="1414"/>
      <c r="AC347" s="1414"/>
      <c r="AD347" s="488">
        <f t="shared" si="28"/>
        <v>203480</v>
      </c>
      <c r="AE347" s="565">
        <f t="shared" si="29"/>
        <v>1</v>
      </c>
      <c r="AF347" s="566">
        <f t="shared" si="25"/>
        <v>199</v>
      </c>
    </row>
    <row r="348" spans="1:32" ht="15" customHeight="1" x14ac:dyDescent="0.3">
      <c r="A348" s="10" t="s">
        <v>4</v>
      </c>
      <c r="B348" s="11" t="s">
        <v>2635</v>
      </c>
      <c r="C348" s="485"/>
      <c r="D348" s="489"/>
      <c r="E348" s="489"/>
      <c r="F348" s="489"/>
      <c r="G348" s="489"/>
      <c r="H348" s="489"/>
      <c r="I348" s="489"/>
      <c r="J348" s="489"/>
      <c r="K348" s="489">
        <v>1198390</v>
      </c>
      <c r="L348" s="489"/>
      <c r="M348" s="489"/>
      <c r="N348" s="489"/>
      <c r="O348" s="489"/>
      <c r="P348" s="1494">
        <f t="shared" si="26"/>
        <v>1198390</v>
      </c>
      <c r="Q348" s="1439">
        <f t="shared" si="27"/>
        <v>0</v>
      </c>
      <c r="R348" s="1413"/>
      <c r="S348" s="1414"/>
      <c r="T348" s="1414">
        <v>29960</v>
      </c>
      <c r="U348" s="1414">
        <v>0</v>
      </c>
      <c r="V348" s="1414">
        <v>0</v>
      </c>
      <c r="W348" s="1414">
        <v>0</v>
      </c>
      <c r="X348" s="1414">
        <v>43960</v>
      </c>
      <c r="Y348" s="1414">
        <v>0</v>
      </c>
      <c r="Z348" s="1414"/>
      <c r="AA348" s="1414"/>
      <c r="AB348" s="1414"/>
      <c r="AC348" s="1414"/>
      <c r="AD348" s="488">
        <f t="shared" si="28"/>
        <v>73920</v>
      </c>
      <c r="AE348" s="565">
        <f t="shared" si="29"/>
        <v>-0.93831724230008595</v>
      </c>
      <c r="AF348" s="566">
        <f t="shared" si="25"/>
        <v>213</v>
      </c>
    </row>
    <row r="349" spans="1:32" ht="15" customHeight="1" x14ac:dyDescent="0.3">
      <c r="A349" s="10" t="s">
        <v>4</v>
      </c>
      <c r="B349" s="11" t="s">
        <v>2636</v>
      </c>
      <c r="C349" s="485"/>
      <c r="D349" s="489"/>
      <c r="E349" s="489"/>
      <c r="F349" s="489"/>
      <c r="G349" s="489"/>
      <c r="H349" s="489"/>
      <c r="I349" s="489"/>
      <c r="J349" s="489"/>
      <c r="K349" s="489"/>
      <c r="L349" s="489"/>
      <c r="M349" s="489"/>
      <c r="N349" s="489"/>
      <c r="O349" s="489"/>
      <c r="P349" s="1494">
        <f t="shared" si="26"/>
        <v>0</v>
      </c>
      <c r="Q349" s="1439">
        <f t="shared" si="27"/>
        <v>0</v>
      </c>
      <c r="R349" s="1413"/>
      <c r="S349" s="1414"/>
      <c r="T349" s="1414">
        <v>1352020</v>
      </c>
      <c r="U349" s="1414"/>
      <c r="V349" s="1414"/>
      <c r="W349" s="1414"/>
      <c r="X349" s="1414"/>
      <c r="Y349" s="1414"/>
      <c r="Z349" s="1414"/>
      <c r="AA349" s="1414"/>
      <c r="AB349" s="1414"/>
      <c r="AC349" s="1414"/>
      <c r="AD349" s="488">
        <f t="shared" si="28"/>
        <v>1352020</v>
      </c>
      <c r="AE349" s="565">
        <f t="shared" si="29"/>
        <v>1</v>
      </c>
      <c r="AF349" s="566">
        <f t="shared" si="25"/>
        <v>141</v>
      </c>
    </row>
    <row r="350" spans="1:32" ht="15" customHeight="1" x14ac:dyDescent="0.3">
      <c r="A350" s="10" t="s">
        <v>4</v>
      </c>
      <c r="B350" s="11" t="s">
        <v>2637</v>
      </c>
      <c r="C350" s="485"/>
      <c r="D350" s="489"/>
      <c r="E350" s="489"/>
      <c r="F350" s="489"/>
      <c r="G350" s="489"/>
      <c r="H350" s="489"/>
      <c r="I350" s="489"/>
      <c r="J350" s="489"/>
      <c r="K350" s="489"/>
      <c r="L350" s="489"/>
      <c r="M350" s="489"/>
      <c r="N350" s="489"/>
      <c r="O350" s="489"/>
      <c r="P350" s="1494">
        <f t="shared" si="26"/>
        <v>0</v>
      </c>
      <c r="Q350" s="1439">
        <f t="shared" si="27"/>
        <v>0</v>
      </c>
      <c r="R350" s="1413"/>
      <c r="S350" s="1414"/>
      <c r="T350" s="1414">
        <v>528890</v>
      </c>
      <c r="U350" s="1414">
        <v>0</v>
      </c>
      <c r="V350" s="1414">
        <v>0</v>
      </c>
      <c r="W350" s="1414">
        <v>0</v>
      </c>
      <c r="X350" s="1414">
        <v>0</v>
      </c>
      <c r="Y350" s="1414">
        <v>0</v>
      </c>
      <c r="Z350" s="1414"/>
      <c r="AA350" s="1414"/>
      <c r="AB350" s="1414"/>
      <c r="AC350" s="1414"/>
      <c r="AD350" s="488">
        <f t="shared" si="28"/>
        <v>528890</v>
      </c>
      <c r="AE350" s="565">
        <f t="shared" si="29"/>
        <v>1</v>
      </c>
      <c r="AF350" s="566">
        <f t="shared" si="25"/>
        <v>175</v>
      </c>
    </row>
    <row r="351" spans="1:32" ht="15" customHeight="1" x14ac:dyDescent="0.3">
      <c r="A351" s="10" t="s">
        <v>4</v>
      </c>
      <c r="B351" s="11" t="s">
        <v>2638</v>
      </c>
      <c r="C351" s="485"/>
      <c r="D351" s="489"/>
      <c r="E351" s="489"/>
      <c r="F351" s="489"/>
      <c r="G351" s="489"/>
      <c r="H351" s="489"/>
      <c r="I351" s="489"/>
      <c r="J351" s="489"/>
      <c r="K351" s="489"/>
      <c r="L351" s="489"/>
      <c r="M351" s="489"/>
      <c r="N351" s="489"/>
      <c r="O351" s="489"/>
      <c r="P351" s="1494">
        <f t="shared" si="26"/>
        <v>0</v>
      </c>
      <c r="Q351" s="1439">
        <f t="shared" si="27"/>
        <v>0</v>
      </c>
      <c r="R351" s="1413"/>
      <c r="S351" s="1414"/>
      <c r="T351" s="1414">
        <v>60320</v>
      </c>
      <c r="U351" s="1414">
        <v>0</v>
      </c>
      <c r="V351" s="1414">
        <v>0</v>
      </c>
      <c r="W351" s="1414">
        <v>0</v>
      </c>
      <c r="X351" s="1414">
        <v>0</v>
      </c>
      <c r="Y351" s="1414">
        <v>0</v>
      </c>
      <c r="Z351" s="1414"/>
      <c r="AA351" s="1414"/>
      <c r="AB351" s="1414"/>
      <c r="AC351" s="1414"/>
      <c r="AD351" s="488">
        <f t="shared" si="28"/>
        <v>60320</v>
      </c>
      <c r="AE351" s="565">
        <f t="shared" si="29"/>
        <v>1</v>
      </c>
      <c r="AF351" s="566">
        <f t="shared" si="25"/>
        <v>218</v>
      </c>
    </row>
    <row r="352" spans="1:32" ht="15" customHeight="1" x14ac:dyDescent="0.3">
      <c r="A352" s="10" t="s">
        <v>4</v>
      </c>
      <c r="B352" s="11" t="s">
        <v>2664</v>
      </c>
      <c r="C352" s="485"/>
      <c r="D352" s="489"/>
      <c r="E352" s="489"/>
      <c r="F352" s="489"/>
      <c r="G352" s="489"/>
      <c r="H352" s="489"/>
      <c r="I352" s="489"/>
      <c r="J352" s="489"/>
      <c r="K352" s="489">
        <v>272840</v>
      </c>
      <c r="L352" s="489"/>
      <c r="M352" s="489"/>
      <c r="N352" s="489"/>
      <c r="O352" s="489"/>
      <c r="P352" s="1494">
        <f t="shared" si="26"/>
        <v>272840</v>
      </c>
      <c r="Q352" s="1439">
        <f t="shared" si="27"/>
        <v>0</v>
      </c>
      <c r="R352" s="1413"/>
      <c r="S352" s="1414"/>
      <c r="T352" s="1414"/>
      <c r="U352" s="1414">
        <v>1625020</v>
      </c>
      <c r="V352" s="1414">
        <v>575400</v>
      </c>
      <c r="W352" s="1414">
        <v>2057120</v>
      </c>
      <c r="X352" s="1414">
        <v>578160</v>
      </c>
      <c r="Y352" s="1414">
        <v>0</v>
      </c>
      <c r="Z352" s="1414"/>
      <c r="AA352" s="1414"/>
      <c r="AB352" s="1414"/>
      <c r="AC352" s="1414"/>
      <c r="AD352" s="488">
        <f t="shared" si="28"/>
        <v>4835700</v>
      </c>
      <c r="AE352" s="565">
        <f t="shared" si="29"/>
        <v>16.723574255974196</v>
      </c>
      <c r="AF352" s="566">
        <f t="shared" si="25"/>
        <v>85</v>
      </c>
    </row>
    <row r="353" spans="1:32" ht="15" customHeight="1" x14ac:dyDescent="0.3">
      <c r="A353" s="10" t="s">
        <v>4</v>
      </c>
      <c r="B353" s="11" t="s">
        <v>2665</v>
      </c>
      <c r="C353" s="485"/>
      <c r="D353" s="489"/>
      <c r="E353" s="489"/>
      <c r="F353" s="489"/>
      <c r="G353" s="489"/>
      <c r="H353" s="489"/>
      <c r="I353" s="489"/>
      <c r="J353" s="489"/>
      <c r="K353" s="489">
        <v>0</v>
      </c>
      <c r="L353" s="489"/>
      <c r="M353" s="489"/>
      <c r="N353" s="489"/>
      <c r="O353" s="489"/>
      <c r="P353" s="1494">
        <f t="shared" si="26"/>
        <v>0</v>
      </c>
      <c r="Q353" s="1439">
        <f t="shared" si="27"/>
        <v>0</v>
      </c>
      <c r="R353" s="1413"/>
      <c r="S353" s="1414"/>
      <c r="T353" s="1414"/>
      <c r="U353" s="1414">
        <v>0</v>
      </c>
      <c r="V353" s="1414">
        <v>1791860</v>
      </c>
      <c r="W353" s="1414">
        <v>287740</v>
      </c>
      <c r="X353" s="1414">
        <v>548660</v>
      </c>
      <c r="Y353" s="1414">
        <v>0</v>
      </c>
      <c r="Z353" s="1414"/>
      <c r="AA353" s="1414"/>
      <c r="AB353" s="1414"/>
      <c r="AC353" s="1414"/>
      <c r="AD353" s="488">
        <f t="shared" si="28"/>
        <v>2628260</v>
      </c>
      <c r="AE353" s="565">
        <f t="shared" si="29"/>
        <v>1</v>
      </c>
      <c r="AF353" s="566">
        <f t="shared" si="25"/>
        <v>112</v>
      </c>
    </row>
    <row r="354" spans="1:32" ht="15" customHeight="1" x14ac:dyDescent="0.3">
      <c r="A354" s="10" t="s">
        <v>4</v>
      </c>
      <c r="B354" s="11" t="s">
        <v>2666</v>
      </c>
      <c r="C354" s="485"/>
      <c r="D354" s="489"/>
      <c r="E354" s="489"/>
      <c r="F354" s="489"/>
      <c r="G354" s="489"/>
      <c r="H354" s="489"/>
      <c r="I354" s="489"/>
      <c r="J354" s="489"/>
      <c r="K354" s="489"/>
      <c r="L354" s="489"/>
      <c r="M354" s="489"/>
      <c r="N354" s="489"/>
      <c r="O354" s="489"/>
      <c r="P354" s="1494">
        <f t="shared" si="26"/>
        <v>0</v>
      </c>
      <c r="Q354" s="1439">
        <f t="shared" si="27"/>
        <v>0</v>
      </c>
      <c r="R354" s="1413"/>
      <c r="S354" s="1414"/>
      <c r="T354" s="1414"/>
      <c r="U354" s="1414">
        <v>2398240</v>
      </c>
      <c r="V354" s="1414">
        <v>0</v>
      </c>
      <c r="W354" s="1414">
        <v>0</v>
      </c>
      <c r="X354" s="1414">
        <v>0</v>
      </c>
      <c r="Y354" s="1414">
        <v>0</v>
      </c>
      <c r="Z354" s="1414"/>
      <c r="AA354" s="1414"/>
      <c r="AB354" s="1414"/>
      <c r="AC354" s="1414"/>
      <c r="AD354" s="488">
        <f t="shared" si="28"/>
        <v>2398240</v>
      </c>
      <c r="AE354" s="565">
        <f t="shared" si="29"/>
        <v>1</v>
      </c>
      <c r="AF354" s="566">
        <f t="shared" si="25"/>
        <v>118</v>
      </c>
    </row>
    <row r="355" spans="1:32" ht="15" customHeight="1" x14ac:dyDescent="0.3">
      <c r="A355" s="10" t="s">
        <v>4</v>
      </c>
      <c r="B355" s="11" t="s">
        <v>2667</v>
      </c>
      <c r="C355" s="485"/>
      <c r="D355" s="489"/>
      <c r="E355" s="489"/>
      <c r="F355" s="489"/>
      <c r="G355" s="489"/>
      <c r="H355" s="489"/>
      <c r="I355" s="489"/>
      <c r="J355" s="489"/>
      <c r="K355" s="489"/>
      <c r="L355" s="489"/>
      <c r="M355" s="489"/>
      <c r="N355" s="489"/>
      <c r="O355" s="489"/>
      <c r="P355" s="1494">
        <f t="shared" si="26"/>
        <v>0</v>
      </c>
      <c r="Q355" s="1439">
        <f t="shared" si="27"/>
        <v>0</v>
      </c>
      <c r="R355" s="1413"/>
      <c r="S355" s="1414"/>
      <c r="T355" s="1414"/>
      <c r="U355" s="1414">
        <v>1383570</v>
      </c>
      <c r="V355" s="1414">
        <v>0</v>
      </c>
      <c r="W355" s="1414">
        <v>0</v>
      </c>
      <c r="X355" s="1414">
        <v>0</v>
      </c>
      <c r="Y355" s="1414">
        <v>0</v>
      </c>
      <c r="Z355" s="1414"/>
      <c r="AA355" s="1414"/>
      <c r="AB355" s="1414"/>
      <c r="AC355" s="1414"/>
      <c r="AD355" s="488">
        <f t="shared" si="28"/>
        <v>1383570</v>
      </c>
      <c r="AE355" s="565">
        <f t="shared" si="29"/>
        <v>1</v>
      </c>
      <c r="AF355" s="566">
        <f t="shared" si="25"/>
        <v>138</v>
      </c>
    </row>
    <row r="356" spans="1:32" ht="15" customHeight="1" x14ac:dyDescent="0.3">
      <c r="A356" s="10" t="s">
        <v>4</v>
      </c>
      <c r="B356" s="11" t="s">
        <v>2668</v>
      </c>
      <c r="C356" s="485"/>
      <c r="D356" s="489"/>
      <c r="E356" s="489"/>
      <c r="F356" s="489"/>
      <c r="G356" s="489"/>
      <c r="H356" s="489"/>
      <c r="I356" s="489"/>
      <c r="J356" s="489"/>
      <c r="K356" s="489"/>
      <c r="L356" s="489"/>
      <c r="M356" s="489"/>
      <c r="N356" s="489"/>
      <c r="O356" s="489"/>
      <c r="P356" s="1494">
        <f t="shared" si="26"/>
        <v>0</v>
      </c>
      <c r="Q356" s="1439">
        <f t="shared" si="27"/>
        <v>0</v>
      </c>
      <c r="R356" s="1413"/>
      <c r="S356" s="1414"/>
      <c r="T356" s="1414"/>
      <c r="U356" s="1414">
        <v>2451770</v>
      </c>
      <c r="V356" s="1414">
        <v>770410</v>
      </c>
      <c r="W356" s="1414">
        <v>1734820</v>
      </c>
      <c r="X356" s="1414">
        <v>2198580</v>
      </c>
      <c r="Y356" s="1414">
        <v>5750240</v>
      </c>
      <c r="Z356" s="1414"/>
      <c r="AA356" s="1414"/>
      <c r="AB356" s="1414"/>
      <c r="AC356" s="1414"/>
      <c r="AD356" s="488">
        <f t="shared" si="28"/>
        <v>12905820</v>
      </c>
      <c r="AE356" s="565">
        <f t="shared" si="29"/>
        <v>1</v>
      </c>
      <c r="AF356" s="566">
        <f t="shared" si="25"/>
        <v>42</v>
      </c>
    </row>
    <row r="357" spans="1:32" ht="15" customHeight="1" x14ac:dyDescent="0.3">
      <c r="A357" s="10" t="s">
        <v>4</v>
      </c>
      <c r="B357" s="11" t="s">
        <v>2669</v>
      </c>
      <c r="C357" s="485"/>
      <c r="D357" s="489"/>
      <c r="E357" s="489"/>
      <c r="F357" s="489"/>
      <c r="G357" s="489"/>
      <c r="H357" s="489"/>
      <c r="I357" s="489"/>
      <c r="J357" s="489"/>
      <c r="K357" s="489"/>
      <c r="L357" s="489"/>
      <c r="M357" s="489"/>
      <c r="N357" s="489"/>
      <c r="O357" s="489"/>
      <c r="P357" s="1494">
        <f t="shared" si="26"/>
        <v>0</v>
      </c>
      <c r="Q357" s="1439">
        <f t="shared" si="27"/>
        <v>0</v>
      </c>
      <c r="R357" s="1413"/>
      <c r="S357" s="1414"/>
      <c r="T357" s="1414"/>
      <c r="U357" s="1414">
        <v>2854540</v>
      </c>
      <c r="V357" s="1414">
        <v>1047240</v>
      </c>
      <c r="W357" s="1414">
        <v>5688370</v>
      </c>
      <c r="X357" s="1414">
        <v>2779870</v>
      </c>
      <c r="Y357" s="1414">
        <v>1517040</v>
      </c>
      <c r="Z357" s="1414"/>
      <c r="AA357" s="1414"/>
      <c r="AB357" s="1414"/>
      <c r="AC357" s="1414"/>
      <c r="AD357" s="488">
        <f t="shared" si="28"/>
        <v>13887060</v>
      </c>
      <c r="AE357" s="565">
        <f t="shared" si="29"/>
        <v>1</v>
      </c>
      <c r="AF357" s="566">
        <f t="shared" si="25"/>
        <v>35</v>
      </c>
    </row>
    <row r="358" spans="1:32" ht="15" customHeight="1" x14ac:dyDescent="0.3">
      <c r="A358" s="10" t="s">
        <v>4</v>
      </c>
      <c r="B358" s="11" t="s">
        <v>2670</v>
      </c>
      <c r="C358" s="485"/>
      <c r="D358" s="489"/>
      <c r="E358" s="489"/>
      <c r="F358" s="489"/>
      <c r="G358" s="489"/>
      <c r="H358" s="489"/>
      <c r="I358" s="489"/>
      <c r="J358" s="489"/>
      <c r="K358" s="489"/>
      <c r="L358" s="489"/>
      <c r="M358" s="489"/>
      <c r="N358" s="489"/>
      <c r="O358" s="489"/>
      <c r="P358" s="1494">
        <f t="shared" si="26"/>
        <v>0</v>
      </c>
      <c r="Q358" s="1439">
        <f t="shared" si="27"/>
        <v>0</v>
      </c>
      <c r="R358" s="1413"/>
      <c r="S358" s="1414"/>
      <c r="T358" s="1414"/>
      <c r="U358" s="1414">
        <v>103370</v>
      </c>
      <c r="V358" s="1414">
        <v>0</v>
      </c>
      <c r="W358" s="1414">
        <v>0</v>
      </c>
      <c r="X358" s="1414">
        <v>0</v>
      </c>
      <c r="Y358" s="1414">
        <v>0</v>
      </c>
      <c r="Z358" s="1414"/>
      <c r="AA358" s="1414"/>
      <c r="AB358" s="1414"/>
      <c r="AC358" s="1414"/>
      <c r="AD358" s="488">
        <f t="shared" si="28"/>
        <v>103370</v>
      </c>
      <c r="AE358" s="565">
        <f t="shared" si="29"/>
        <v>1</v>
      </c>
      <c r="AF358" s="566">
        <f t="shared" si="25"/>
        <v>207</v>
      </c>
    </row>
    <row r="359" spans="1:32" ht="15" customHeight="1" x14ac:dyDescent="0.3">
      <c r="A359" s="10" t="s">
        <v>4</v>
      </c>
      <c r="B359" s="11" t="s">
        <v>2671</v>
      </c>
      <c r="C359" s="485"/>
      <c r="D359" s="489"/>
      <c r="E359" s="489"/>
      <c r="F359" s="489"/>
      <c r="G359" s="489"/>
      <c r="H359" s="489"/>
      <c r="I359" s="489"/>
      <c r="J359" s="489"/>
      <c r="K359" s="489"/>
      <c r="L359" s="489"/>
      <c r="M359" s="489"/>
      <c r="N359" s="489"/>
      <c r="O359" s="489"/>
      <c r="P359" s="1494">
        <f t="shared" si="26"/>
        <v>0</v>
      </c>
      <c r="Q359" s="1439">
        <f t="shared" si="27"/>
        <v>0</v>
      </c>
      <c r="R359" s="1413"/>
      <c r="S359" s="1414"/>
      <c r="T359" s="1414"/>
      <c r="U359" s="1414">
        <v>88350</v>
      </c>
      <c r="V359" s="1414">
        <v>0</v>
      </c>
      <c r="W359" s="1414">
        <v>0</v>
      </c>
      <c r="X359" s="1414">
        <v>0</v>
      </c>
      <c r="Y359" s="1414">
        <v>0</v>
      </c>
      <c r="Z359" s="1414"/>
      <c r="AA359" s="1414"/>
      <c r="AB359" s="1414"/>
      <c r="AC359" s="1414"/>
      <c r="AD359" s="488">
        <f t="shared" si="28"/>
        <v>88350</v>
      </c>
      <c r="AE359" s="565">
        <f t="shared" si="29"/>
        <v>1</v>
      </c>
      <c r="AF359" s="566">
        <f t="shared" si="25"/>
        <v>210</v>
      </c>
    </row>
    <row r="360" spans="1:32" ht="15" customHeight="1" x14ac:dyDescent="0.3">
      <c r="A360" s="10" t="s">
        <v>4</v>
      </c>
      <c r="B360" s="11" t="s">
        <v>2672</v>
      </c>
      <c r="C360" s="485"/>
      <c r="D360" s="489"/>
      <c r="E360" s="489"/>
      <c r="F360" s="489"/>
      <c r="G360" s="489"/>
      <c r="H360" s="489"/>
      <c r="I360" s="489"/>
      <c r="J360" s="489"/>
      <c r="K360" s="489"/>
      <c r="L360" s="489"/>
      <c r="M360" s="489"/>
      <c r="N360" s="489"/>
      <c r="O360" s="489"/>
      <c r="P360" s="1494">
        <f t="shared" si="26"/>
        <v>0</v>
      </c>
      <c r="Q360" s="1439">
        <f t="shared" si="27"/>
        <v>0</v>
      </c>
      <c r="R360" s="1413"/>
      <c r="S360" s="1414"/>
      <c r="T360" s="1414"/>
      <c r="U360" s="1414">
        <v>60740</v>
      </c>
      <c r="V360" s="1414">
        <v>0</v>
      </c>
      <c r="W360" s="1414">
        <v>45300</v>
      </c>
      <c r="X360" s="1414">
        <v>0</v>
      </c>
      <c r="Y360" s="1414">
        <v>0</v>
      </c>
      <c r="Z360" s="1414"/>
      <c r="AA360" s="1414"/>
      <c r="AB360" s="1414"/>
      <c r="AC360" s="1414"/>
      <c r="AD360" s="488">
        <f t="shared" si="28"/>
        <v>106040</v>
      </c>
      <c r="AE360" s="565">
        <f t="shared" si="29"/>
        <v>1</v>
      </c>
      <c r="AF360" s="566">
        <f t="shared" si="25"/>
        <v>206</v>
      </c>
    </row>
    <row r="361" spans="1:32" ht="15" customHeight="1" x14ac:dyDescent="0.3">
      <c r="A361" s="10" t="s">
        <v>4</v>
      </c>
      <c r="B361" s="11" t="s">
        <v>2673</v>
      </c>
      <c r="C361" s="485"/>
      <c r="D361" s="489"/>
      <c r="E361" s="489"/>
      <c r="F361" s="489"/>
      <c r="G361" s="489"/>
      <c r="H361" s="489"/>
      <c r="I361" s="489"/>
      <c r="J361" s="489"/>
      <c r="K361" s="489"/>
      <c r="L361" s="489"/>
      <c r="M361" s="489"/>
      <c r="N361" s="489"/>
      <c r="O361" s="489"/>
      <c r="P361" s="1494">
        <f t="shared" si="26"/>
        <v>0</v>
      </c>
      <c r="Q361" s="1439">
        <f t="shared" si="27"/>
        <v>0</v>
      </c>
      <c r="R361" s="1413"/>
      <c r="S361" s="1414"/>
      <c r="T361" s="1414"/>
      <c r="U361" s="1414">
        <v>45200</v>
      </c>
      <c r="V361" s="1414">
        <v>0</v>
      </c>
      <c r="W361" s="1414">
        <v>0</v>
      </c>
      <c r="X361" s="1414">
        <v>0</v>
      </c>
      <c r="Y361" s="1414">
        <v>0</v>
      </c>
      <c r="Z361" s="1414"/>
      <c r="AA361" s="1414"/>
      <c r="AB361" s="1414"/>
      <c r="AC361" s="1414"/>
      <c r="AD361" s="488">
        <f t="shared" si="28"/>
        <v>45200</v>
      </c>
      <c r="AE361" s="565">
        <f t="shared" si="29"/>
        <v>1</v>
      </c>
      <c r="AF361" s="566">
        <f t="shared" si="25"/>
        <v>223</v>
      </c>
    </row>
    <row r="362" spans="1:32" ht="15" customHeight="1" x14ac:dyDescent="0.3">
      <c r="A362" s="10" t="s">
        <v>4</v>
      </c>
      <c r="B362" s="11" t="s">
        <v>2674</v>
      </c>
      <c r="C362" s="485"/>
      <c r="D362" s="489"/>
      <c r="E362" s="489"/>
      <c r="F362" s="489"/>
      <c r="G362" s="489"/>
      <c r="H362" s="489"/>
      <c r="I362" s="489"/>
      <c r="J362" s="489"/>
      <c r="K362" s="489"/>
      <c r="L362" s="489"/>
      <c r="M362" s="489"/>
      <c r="N362" s="489"/>
      <c r="O362" s="489"/>
      <c r="P362" s="1494">
        <f t="shared" si="26"/>
        <v>0</v>
      </c>
      <c r="Q362" s="1439">
        <f t="shared" si="27"/>
        <v>0</v>
      </c>
      <c r="R362" s="1413"/>
      <c r="S362" s="1414"/>
      <c r="T362" s="1414"/>
      <c r="U362" s="1414">
        <v>29520</v>
      </c>
      <c r="V362" s="1414">
        <v>0</v>
      </c>
      <c r="W362" s="1414">
        <v>0</v>
      </c>
      <c r="X362" s="1414">
        <v>0</v>
      </c>
      <c r="Y362" s="1414">
        <v>0</v>
      </c>
      <c r="Z362" s="1414"/>
      <c r="AA362" s="1414"/>
      <c r="AB362" s="1414"/>
      <c r="AC362" s="1414"/>
      <c r="AD362" s="488">
        <f t="shared" si="28"/>
        <v>29520</v>
      </c>
      <c r="AE362" s="565">
        <f t="shared" si="29"/>
        <v>1</v>
      </c>
      <c r="AF362" s="566">
        <f t="shared" si="25"/>
        <v>231</v>
      </c>
    </row>
    <row r="363" spans="1:32" ht="15" customHeight="1" x14ac:dyDescent="0.3">
      <c r="A363" s="10" t="s">
        <v>4</v>
      </c>
      <c r="B363" s="11" t="s">
        <v>2675</v>
      </c>
      <c r="C363" s="485"/>
      <c r="D363" s="489"/>
      <c r="E363" s="489"/>
      <c r="F363" s="489"/>
      <c r="G363" s="489"/>
      <c r="H363" s="489"/>
      <c r="I363" s="489"/>
      <c r="J363" s="489"/>
      <c r="K363" s="489"/>
      <c r="L363" s="489"/>
      <c r="M363" s="489"/>
      <c r="N363" s="489"/>
      <c r="O363" s="489"/>
      <c r="P363" s="1494">
        <f t="shared" si="26"/>
        <v>0</v>
      </c>
      <c r="Q363" s="1439">
        <f t="shared" si="27"/>
        <v>0</v>
      </c>
      <c r="R363" s="1413"/>
      <c r="S363" s="1414"/>
      <c r="T363" s="1414"/>
      <c r="U363" s="1414">
        <v>0</v>
      </c>
      <c r="V363" s="1414">
        <v>0</v>
      </c>
      <c r="W363" s="1414">
        <v>0</v>
      </c>
      <c r="X363" s="1414">
        <v>0</v>
      </c>
      <c r="Y363" s="1414">
        <v>0</v>
      </c>
      <c r="Z363" s="1414"/>
      <c r="AA363" s="1414"/>
      <c r="AB363" s="1414"/>
      <c r="AC363" s="1414"/>
      <c r="AD363" s="488">
        <f t="shared" si="28"/>
        <v>0</v>
      </c>
      <c r="AE363" s="565">
        <f t="shared" si="29"/>
        <v>0</v>
      </c>
      <c r="AF363" s="566">
        <f t="shared" si="25"/>
        <v>240</v>
      </c>
    </row>
    <row r="364" spans="1:32" ht="15" customHeight="1" x14ac:dyDescent="0.3">
      <c r="A364" s="10" t="s">
        <v>4</v>
      </c>
      <c r="B364" s="11" t="s">
        <v>2728</v>
      </c>
      <c r="C364" s="485"/>
      <c r="D364" s="489"/>
      <c r="E364" s="489"/>
      <c r="F364" s="489"/>
      <c r="G364" s="489"/>
      <c r="H364" s="489"/>
      <c r="I364" s="489"/>
      <c r="J364" s="489"/>
      <c r="K364" s="489"/>
      <c r="L364" s="489"/>
      <c r="M364" s="489"/>
      <c r="N364" s="489"/>
      <c r="O364" s="489"/>
      <c r="P364" s="1494">
        <f t="shared" si="26"/>
        <v>0</v>
      </c>
      <c r="Q364" s="1439">
        <f t="shared" si="27"/>
        <v>0</v>
      </c>
      <c r="R364" s="1413"/>
      <c r="S364" s="1414"/>
      <c r="T364" s="1414"/>
      <c r="U364" s="1414">
        <v>1900290</v>
      </c>
      <c r="V364" s="1414">
        <v>2169240</v>
      </c>
      <c r="W364" s="1414">
        <v>3669470</v>
      </c>
      <c r="X364" s="1414">
        <v>3522860</v>
      </c>
      <c r="Y364" s="1414">
        <v>512190</v>
      </c>
      <c r="Z364" s="1414"/>
      <c r="AA364" s="1414"/>
      <c r="AB364" s="1414"/>
      <c r="AC364" s="1414"/>
      <c r="AD364" s="488">
        <f t="shared" si="28"/>
        <v>11774050</v>
      </c>
      <c r="AE364" s="565">
        <f t="shared" si="29"/>
        <v>1</v>
      </c>
      <c r="AF364" s="566">
        <f t="shared" si="25"/>
        <v>44</v>
      </c>
    </row>
    <row r="365" spans="1:32" ht="15" customHeight="1" x14ac:dyDescent="0.3">
      <c r="A365" s="10" t="s">
        <v>4</v>
      </c>
      <c r="B365" s="11" t="s">
        <v>2729</v>
      </c>
      <c r="C365" s="485"/>
      <c r="D365" s="489"/>
      <c r="E365" s="489"/>
      <c r="F365" s="489"/>
      <c r="G365" s="489"/>
      <c r="H365" s="489"/>
      <c r="I365" s="489"/>
      <c r="J365" s="489"/>
      <c r="K365" s="489"/>
      <c r="L365" s="489"/>
      <c r="M365" s="489"/>
      <c r="N365" s="489"/>
      <c r="O365" s="489"/>
      <c r="P365" s="1494">
        <f t="shared" si="26"/>
        <v>0</v>
      </c>
      <c r="Q365" s="1439">
        <f t="shared" si="27"/>
        <v>0</v>
      </c>
      <c r="R365" s="1413"/>
      <c r="S365" s="1414"/>
      <c r="T365" s="1414"/>
      <c r="U365" s="1414">
        <v>990120</v>
      </c>
      <c r="V365" s="1414">
        <v>0</v>
      </c>
      <c r="W365" s="1414">
        <v>0</v>
      </c>
      <c r="X365" s="1414">
        <v>0</v>
      </c>
      <c r="Y365" s="1414">
        <v>0</v>
      </c>
      <c r="Z365" s="1414"/>
      <c r="AA365" s="1414"/>
      <c r="AB365" s="1414"/>
      <c r="AC365" s="1414"/>
      <c r="AD365" s="488">
        <f t="shared" si="28"/>
        <v>990120</v>
      </c>
      <c r="AE365" s="565">
        <f t="shared" si="29"/>
        <v>1</v>
      </c>
      <c r="AF365" s="566">
        <f t="shared" si="25"/>
        <v>157</v>
      </c>
    </row>
    <row r="366" spans="1:32" ht="15" customHeight="1" x14ac:dyDescent="0.3">
      <c r="A366" s="10" t="s">
        <v>4</v>
      </c>
      <c r="B366" s="11" t="s">
        <v>2730</v>
      </c>
      <c r="C366" s="485"/>
      <c r="D366" s="489"/>
      <c r="E366" s="489"/>
      <c r="F366" s="489"/>
      <c r="G366" s="489"/>
      <c r="H366" s="489"/>
      <c r="I366" s="489"/>
      <c r="J366" s="489"/>
      <c r="K366" s="489"/>
      <c r="L366" s="489"/>
      <c r="M366" s="489"/>
      <c r="N366" s="489"/>
      <c r="O366" s="489"/>
      <c r="P366" s="1494">
        <f t="shared" si="26"/>
        <v>0</v>
      </c>
      <c r="Q366" s="1439">
        <f t="shared" si="27"/>
        <v>0</v>
      </c>
      <c r="R366" s="1413"/>
      <c r="S366" s="1414"/>
      <c r="T366" s="1414"/>
      <c r="U366" s="1414">
        <v>314300</v>
      </c>
      <c r="V366" s="1414">
        <v>29320</v>
      </c>
      <c r="W366" s="1414">
        <v>2180960</v>
      </c>
      <c r="X366" s="1414">
        <v>0</v>
      </c>
      <c r="Y366" s="1414">
        <v>1768240</v>
      </c>
      <c r="Z366" s="1414"/>
      <c r="AA366" s="1414"/>
      <c r="AB366" s="1414"/>
      <c r="AC366" s="1414"/>
      <c r="AD366" s="488">
        <f t="shared" si="28"/>
        <v>4292820</v>
      </c>
      <c r="AE366" s="565">
        <f t="shared" si="29"/>
        <v>1</v>
      </c>
      <c r="AF366" s="566">
        <f t="shared" si="25"/>
        <v>88</v>
      </c>
    </row>
    <row r="367" spans="1:32" ht="15" customHeight="1" x14ac:dyDescent="0.3">
      <c r="A367" s="10" t="s">
        <v>4</v>
      </c>
      <c r="B367" s="11" t="s">
        <v>2763</v>
      </c>
      <c r="C367" s="485"/>
      <c r="D367" s="489"/>
      <c r="E367" s="489"/>
      <c r="F367" s="489"/>
      <c r="G367" s="489"/>
      <c r="H367" s="489"/>
      <c r="I367" s="489"/>
      <c r="J367" s="489"/>
      <c r="K367" s="489"/>
      <c r="L367" s="489"/>
      <c r="M367" s="489"/>
      <c r="N367" s="489"/>
      <c r="O367" s="489"/>
      <c r="P367" s="1494">
        <f t="shared" si="26"/>
        <v>0</v>
      </c>
      <c r="Q367" s="1439">
        <f t="shared" si="27"/>
        <v>0</v>
      </c>
      <c r="R367" s="1413"/>
      <c r="S367" s="1414"/>
      <c r="T367" s="1414"/>
      <c r="U367" s="1414"/>
      <c r="V367" s="1414">
        <v>622240</v>
      </c>
      <c r="W367" s="1414">
        <v>447320</v>
      </c>
      <c r="X367" s="1414">
        <v>59820</v>
      </c>
      <c r="Y367" s="1414">
        <v>0</v>
      </c>
      <c r="Z367" s="1414"/>
      <c r="AA367" s="1414"/>
      <c r="AB367" s="1414"/>
      <c r="AC367" s="1414"/>
      <c r="AD367" s="488">
        <f t="shared" si="28"/>
        <v>1129380</v>
      </c>
      <c r="AE367" s="565">
        <f t="shared" si="29"/>
        <v>1</v>
      </c>
      <c r="AF367" s="566">
        <f t="shared" si="25"/>
        <v>150</v>
      </c>
    </row>
    <row r="368" spans="1:32" ht="15" customHeight="1" x14ac:dyDescent="0.3">
      <c r="A368" s="10" t="s">
        <v>4</v>
      </c>
      <c r="B368" s="11" t="s">
        <v>2764</v>
      </c>
      <c r="C368" s="485"/>
      <c r="D368" s="489"/>
      <c r="E368" s="489"/>
      <c r="F368" s="489"/>
      <c r="G368" s="489"/>
      <c r="H368" s="489"/>
      <c r="I368" s="489"/>
      <c r="J368" s="489"/>
      <c r="K368" s="489"/>
      <c r="L368" s="489"/>
      <c r="M368" s="489"/>
      <c r="N368" s="489"/>
      <c r="O368" s="489"/>
      <c r="P368" s="1494">
        <f t="shared" si="26"/>
        <v>0</v>
      </c>
      <c r="Q368" s="1439">
        <f t="shared" si="27"/>
        <v>0</v>
      </c>
      <c r="R368" s="1413"/>
      <c r="S368" s="1414"/>
      <c r="T368" s="1414"/>
      <c r="U368" s="1414"/>
      <c r="V368" s="1414">
        <v>580320</v>
      </c>
      <c r="W368" s="1414">
        <v>0</v>
      </c>
      <c r="X368" s="1414">
        <v>0</v>
      </c>
      <c r="Y368" s="1414">
        <v>1125160</v>
      </c>
      <c r="Z368" s="1414"/>
      <c r="AA368" s="1414"/>
      <c r="AB368" s="1414"/>
      <c r="AC368" s="1414"/>
      <c r="AD368" s="488">
        <f t="shared" si="28"/>
        <v>1705480</v>
      </c>
      <c r="AE368" s="565">
        <f t="shared" si="29"/>
        <v>1</v>
      </c>
      <c r="AF368" s="566">
        <f t="shared" si="25"/>
        <v>127</v>
      </c>
    </row>
    <row r="369" spans="1:32" ht="15" customHeight="1" x14ac:dyDescent="0.3">
      <c r="A369" s="10" t="s">
        <v>4</v>
      </c>
      <c r="B369" s="11" t="s">
        <v>2765</v>
      </c>
      <c r="C369" s="485"/>
      <c r="D369" s="489"/>
      <c r="E369" s="489"/>
      <c r="F369" s="489"/>
      <c r="G369" s="489"/>
      <c r="H369" s="489"/>
      <c r="I369" s="489"/>
      <c r="J369" s="489"/>
      <c r="K369" s="489"/>
      <c r="L369" s="489"/>
      <c r="M369" s="489"/>
      <c r="N369" s="489"/>
      <c r="O369" s="489"/>
      <c r="P369" s="1494">
        <f t="shared" si="26"/>
        <v>0</v>
      </c>
      <c r="Q369" s="1439">
        <f t="shared" si="27"/>
        <v>0</v>
      </c>
      <c r="R369" s="1413"/>
      <c r="S369" s="1414"/>
      <c r="T369" s="1414"/>
      <c r="U369" s="1414"/>
      <c r="V369" s="1414">
        <v>386370</v>
      </c>
      <c r="W369" s="1414">
        <v>895780</v>
      </c>
      <c r="X369" s="1414">
        <v>1585550</v>
      </c>
      <c r="Y369" s="1414">
        <v>1228430</v>
      </c>
      <c r="Z369" s="1414"/>
      <c r="AA369" s="1414"/>
      <c r="AB369" s="1414"/>
      <c r="AC369" s="1414"/>
      <c r="AD369" s="488">
        <f t="shared" si="28"/>
        <v>4096130</v>
      </c>
      <c r="AE369" s="565">
        <f t="shared" si="29"/>
        <v>1</v>
      </c>
      <c r="AF369" s="566">
        <f t="shared" si="25"/>
        <v>90</v>
      </c>
    </row>
    <row r="370" spans="1:32" ht="15" customHeight="1" x14ac:dyDescent="0.3">
      <c r="A370" s="10" t="s">
        <v>4</v>
      </c>
      <c r="B370" s="11" t="s">
        <v>2766</v>
      </c>
      <c r="C370" s="485"/>
      <c r="D370" s="489"/>
      <c r="E370" s="489"/>
      <c r="F370" s="489"/>
      <c r="G370" s="489"/>
      <c r="H370" s="489"/>
      <c r="I370" s="489"/>
      <c r="J370" s="489"/>
      <c r="K370" s="489"/>
      <c r="L370" s="489"/>
      <c r="M370" s="489"/>
      <c r="N370" s="489"/>
      <c r="O370" s="489"/>
      <c r="P370" s="1494">
        <f t="shared" si="26"/>
        <v>0</v>
      </c>
      <c r="Q370" s="1439">
        <f t="shared" si="27"/>
        <v>0</v>
      </c>
      <c r="R370" s="1413"/>
      <c r="S370" s="1414"/>
      <c r="T370" s="1414"/>
      <c r="U370" s="1414"/>
      <c r="V370" s="1414">
        <v>167080</v>
      </c>
      <c r="W370" s="1414">
        <v>0</v>
      </c>
      <c r="X370" s="1414">
        <v>0</v>
      </c>
      <c r="Y370" s="1414">
        <v>0</v>
      </c>
      <c r="Z370" s="1414"/>
      <c r="AA370" s="1414"/>
      <c r="AB370" s="1414"/>
      <c r="AC370" s="1414"/>
      <c r="AD370" s="488">
        <f t="shared" si="28"/>
        <v>167080</v>
      </c>
      <c r="AE370" s="565">
        <f t="shared" si="29"/>
        <v>1</v>
      </c>
      <c r="AF370" s="566">
        <f t="shared" si="25"/>
        <v>200</v>
      </c>
    </row>
    <row r="371" spans="1:32" ht="15" customHeight="1" x14ac:dyDescent="0.3">
      <c r="A371" s="10" t="s">
        <v>4</v>
      </c>
      <c r="B371" s="11" t="s">
        <v>2767</v>
      </c>
      <c r="C371" s="485"/>
      <c r="D371" s="489"/>
      <c r="E371" s="489"/>
      <c r="F371" s="489"/>
      <c r="G371" s="489"/>
      <c r="H371" s="489"/>
      <c r="I371" s="489"/>
      <c r="J371" s="489"/>
      <c r="K371" s="489"/>
      <c r="L371" s="489"/>
      <c r="M371" s="489"/>
      <c r="N371" s="489"/>
      <c r="O371" s="489"/>
      <c r="P371" s="1494">
        <f t="shared" si="26"/>
        <v>0</v>
      </c>
      <c r="Q371" s="1439">
        <f t="shared" si="27"/>
        <v>0</v>
      </c>
      <c r="R371" s="1413"/>
      <c r="S371" s="1414"/>
      <c r="T371" s="1414"/>
      <c r="U371" s="1414"/>
      <c r="V371" s="1414">
        <v>89970</v>
      </c>
      <c r="W371" s="1414">
        <v>0</v>
      </c>
      <c r="X371" s="1414">
        <v>0</v>
      </c>
      <c r="Y371" s="1414">
        <v>0</v>
      </c>
      <c r="Z371" s="1414"/>
      <c r="AA371" s="1414"/>
      <c r="AB371" s="1414"/>
      <c r="AC371" s="1414"/>
      <c r="AD371" s="488">
        <f t="shared" si="28"/>
        <v>89970</v>
      </c>
      <c r="AE371" s="565">
        <f t="shared" si="29"/>
        <v>1</v>
      </c>
      <c r="AF371" s="566">
        <f t="shared" si="25"/>
        <v>209</v>
      </c>
    </row>
    <row r="372" spans="1:32" ht="15" customHeight="1" x14ac:dyDescent="0.3">
      <c r="A372" s="10" t="s">
        <v>4</v>
      </c>
      <c r="B372" s="11" t="s">
        <v>2768</v>
      </c>
      <c r="C372" s="485"/>
      <c r="D372" s="489"/>
      <c r="E372" s="489"/>
      <c r="F372" s="489"/>
      <c r="G372" s="489"/>
      <c r="H372" s="489"/>
      <c r="I372" s="489"/>
      <c r="J372" s="489"/>
      <c r="K372" s="489"/>
      <c r="L372" s="489"/>
      <c r="M372" s="489"/>
      <c r="N372" s="489"/>
      <c r="O372" s="489"/>
      <c r="P372" s="1494">
        <f t="shared" si="26"/>
        <v>0</v>
      </c>
      <c r="Q372" s="1439">
        <f t="shared" si="27"/>
        <v>0</v>
      </c>
      <c r="R372" s="1413"/>
      <c r="S372" s="1414"/>
      <c r="T372" s="1414"/>
      <c r="U372" s="1414"/>
      <c r="V372" s="1414">
        <v>44110</v>
      </c>
      <c r="W372" s="1414">
        <v>0</v>
      </c>
      <c r="X372" s="1414">
        <v>0</v>
      </c>
      <c r="Y372" s="1414">
        <v>0</v>
      </c>
      <c r="Z372" s="1414"/>
      <c r="AA372" s="1414"/>
      <c r="AB372" s="1414"/>
      <c r="AC372" s="1414"/>
      <c r="AD372" s="488">
        <f t="shared" si="28"/>
        <v>44110</v>
      </c>
      <c r="AE372" s="565">
        <f t="shared" si="29"/>
        <v>1</v>
      </c>
      <c r="AF372" s="566">
        <f t="shared" si="25"/>
        <v>224</v>
      </c>
    </row>
    <row r="373" spans="1:32" ht="15" customHeight="1" x14ac:dyDescent="0.3">
      <c r="A373" s="10" t="s">
        <v>4</v>
      </c>
      <c r="B373" s="11" t="s">
        <v>2769</v>
      </c>
      <c r="C373" s="485"/>
      <c r="D373" s="489"/>
      <c r="E373" s="489"/>
      <c r="F373" s="489"/>
      <c r="G373" s="489"/>
      <c r="H373" s="489"/>
      <c r="I373" s="489"/>
      <c r="J373" s="489"/>
      <c r="K373" s="489"/>
      <c r="L373" s="489"/>
      <c r="M373" s="489"/>
      <c r="N373" s="489"/>
      <c r="O373" s="489"/>
      <c r="P373" s="1494">
        <f t="shared" si="26"/>
        <v>0</v>
      </c>
      <c r="Q373" s="1439">
        <f t="shared" si="27"/>
        <v>0</v>
      </c>
      <c r="R373" s="1413"/>
      <c r="S373" s="1414"/>
      <c r="T373" s="1414"/>
      <c r="U373" s="1414"/>
      <c r="V373" s="1414">
        <v>29460</v>
      </c>
      <c r="W373" s="1414">
        <v>0</v>
      </c>
      <c r="X373" s="1414">
        <v>0</v>
      </c>
      <c r="Y373" s="1414">
        <v>0</v>
      </c>
      <c r="Z373" s="1414"/>
      <c r="AA373" s="1414"/>
      <c r="AB373" s="1414"/>
      <c r="AC373" s="1414"/>
      <c r="AD373" s="488">
        <f t="shared" si="28"/>
        <v>29460</v>
      </c>
      <c r="AE373" s="565">
        <f t="shared" si="29"/>
        <v>1</v>
      </c>
      <c r="AF373" s="566">
        <f t="shared" si="25"/>
        <v>233</v>
      </c>
    </row>
    <row r="374" spans="1:32" ht="15" customHeight="1" x14ac:dyDescent="0.3">
      <c r="A374" s="10" t="s">
        <v>4</v>
      </c>
      <c r="B374" s="11" t="s">
        <v>2770</v>
      </c>
      <c r="C374" s="485"/>
      <c r="D374" s="489"/>
      <c r="E374" s="489"/>
      <c r="F374" s="489"/>
      <c r="G374" s="489"/>
      <c r="H374" s="489"/>
      <c r="I374" s="489"/>
      <c r="J374" s="489"/>
      <c r="K374" s="489"/>
      <c r="L374" s="489"/>
      <c r="M374" s="489"/>
      <c r="N374" s="489"/>
      <c r="O374" s="489"/>
      <c r="P374" s="1494">
        <f t="shared" si="26"/>
        <v>0</v>
      </c>
      <c r="Q374" s="1439">
        <f t="shared" si="27"/>
        <v>0</v>
      </c>
      <c r="R374" s="1413"/>
      <c r="S374" s="1414"/>
      <c r="T374" s="1414"/>
      <c r="U374" s="1414"/>
      <c r="V374" s="1414">
        <v>29410</v>
      </c>
      <c r="W374" s="1414">
        <v>0</v>
      </c>
      <c r="X374" s="1414">
        <v>0</v>
      </c>
      <c r="Y374" s="1414">
        <v>0</v>
      </c>
      <c r="Z374" s="1414"/>
      <c r="AA374" s="1414"/>
      <c r="AB374" s="1414"/>
      <c r="AC374" s="1414"/>
      <c r="AD374" s="488">
        <f t="shared" si="28"/>
        <v>29410</v>
      </c>
      <c r="AE374" s="565">
        <f t="shared" si="29"/>
        <v>1</v>
      </c>
      <c r="AF374" s="566">
        <f t="shared" si="25"/>
        <v>234</v>
      </c>
    </row>
    <row r="375" spans="1:32" ht="15" customHeight="1" x14ac:dyDescent="0.3">
      <c r="A375" s="10" t="s">
        <v>4</v>
      </c>
      <c r="B375" s="11" t="s">
        <v>2806</v>
      </c>
      <c r="C375" s="485"/>
      <c r="D375" s="489"/>
      <c r="E375" s="489"/>
      <c r="F375" s="489"/>
      <c r="G375" s="489"/>
      <c r="H375" s="489"/>
      <c r="I375" s="489"/>
      <c r="J375" s="489"/>
      <c r="K375" s="489"/>
      <c r="L375" s="489"/>
      <c r="M375" s="489"/>
      <c r="N375" s="489"/>
      <c r="O375" s="489"/>
      <c r="P375" s="1494">
        <f t="shared" si="26"/>
        <v>0</v>
      </c>
      <c r="Q375" s="1439">
        <f t="shared" si="27"/>
        <v>0</v>
      </c>
      <c r="R375" s="1413"/>
      <c r="S375" s="1414"/>
      <c r="T375" s="1414"/>
      <c r="U375" s="1414"/>
      <c r="V375" s="1414">
        <v>30260</v>
      </c>
      <c r="W375" s="1414">
        <v>0</v>
      </c>
      <c r="X375" s="1414">
        <v>0</v>
      </c>
      <c r="Y375" s="1414">
        <v>0</v>
      </c>
      <c r="Z375" s="1414"/>
      <c r="AA375" s="1414"/>
      <c r="AB375" s="1414"/>
      <c r="AC375" s="1414"/>
      <c r="AD375" s="488">
        <f t="shared" si="28"/>
        <v>30260</v>
      </c>
      <c r="AE375" s="565">
        <f t="shared" si="29"/>
        <v>1</v>
      </c>
      <c r="AF375" s="566">
        <f t="shared" si="25"/>
        <v>225</v>
      </c>
    </row>
    <row r="376" spans="1:32" ht="15" customHeight="1" x14ac:dyDescent="0.3">
      <c r="A376" s="10" t="s">
        <v>4</v>
      </c>
      <c r="B376" s="11" t="s">
        <v>2807</v>
      </c>
      <c r="C376" s="485"/>
      <c r="D376" s="489"/>
      <c r="E376" s="489"/>
      <c r="F376" s="489"/>
      <c r="G376" s="489"/>
      <c r="H376" s="489"/>
      <c r="I376" s="489"/>
      <c r="J376" s="489"/>
      <c r="K376" s="489"/>
      <c r="L376" s="489"/>
      <c r="M376" s="489"/>
      <c r="N376" s="489"/>
      <c r="O376" s="489"/>
      <c r="P376" s="1494">
        <f t="shared" si="26"/>
        <v>0</v>
      </c>
      <c r="Q376" s="1439">
        <f t="shared" si="27"/>
        <v>0</v>
      </c>
      <c r="R376" s="1413"/>
      <c r="S376" s="1414"/>
      <c r="T376" s="1414"/>
      <c r="U376" s="1414"/>
      <c r="V376" s="1414">
        <v>30110</v>
      </c>
      <c r="W376" s="1414">
        <v>0</v>
      </c>
      <c r="X376" s="1414">
        <v>0</v>
      </c>
      <c r="Y376" s="1414">
        <v>0</v>
      </c>
      <c r="Z376" s="1414"/>
      <c r="AA376" s="1414"/>
      <c r="AB376" s="1414"/>
      <c r="AC376" s="1414"/>
      <c r="AD376" s="488">
        <f t="shared" si="28"/>
        <v>30110</v>
      </c>
      <c r="AE376" s="565">
        <f t="shared" si="29"/>
        <v>1</v>
      </c>
      <c r="AF376" s="566">
        <f t="shared" si="25"/>
        <v>227</v>
      </c>
    </row>
    <row r="377" spans="1:32" ht="15" customHeight="1" x14ac:dyDescent="0.3">
      <c r="A377" s="10" t="s">
        <v>4</v>
      </c>
      <c r="B377" s="11" t="s">
        <v>2838</v>
      </c>
      <c r="C377" s="485"/>
      <c r="D377" s="489"/>
      <c r="E377" s="489"/>
      <c r="F377" s="489"/>
      <c r="G377" s="489"/>
      <c r="H377" s="489"/>
      <c r="I377" s="489"/>
      <c r="J377" s="489"/>
      <c r="K377" s="489"/>
      <c r="L377" s="489"/>
      <c r="M377" s="489"/>
      <c r="N377" s="489"/>
      <c r="O377" s="489"/>
      <c r="P377" s="1494">
        <f t="shared" si="26"/>
        <v>0</v>
      </c>
      <c r="Q377" s="1439">
        <f t="shared" si="27"/>
        <v>0</v>
      </c>
      <c r="R377" s="1413"/>
      <c r="S377" s="1414"/>
      <c r="T377" s="1414"/>
      <c r="U377" s="1414"/>
      <c r="V377" s="1414"/>
      <c r="W377" s="1414">
        <v>7792190</v>
      </c>
      <c r="X377" s="1414">
        <v>1091760</v>
      </c>
      <c r="Y377" s="1414">
        <v>0</v>
      </c>
      <c r="Z377" s="1414"/>
      <c r="AA377" s="1414"/>
      <c r="AB377" s="1414"/>
      <c r="AC377" s="1414"/>
      <c r="AD377" s="488">
        <f t="shared" si="28"/>
        <v>8883950</v>
      </c>
      <c r="AE377" s="565">
        <f t="shared" si="29"/>
        <v>1</v>
      </c>
      <c r="AF377" s="566">
        <f t="shared" si="25"/>
        <v>57</v>
      </c>
    </row>
    <row r="378" spans="1:32" ht="15" customHeight="1" x14ac:dyDescent="0.3">
      <c r="A378" s="10" t="s">
        <v>4</v>
      </c>
      <c r="B378" s="11" t="s">
        <v>2839</v>
      </c>
      <c r="C378" s="485"/>
      <c r="D378" s="489"/>
      <c r="E378" s="489"/>
      <c r="F378" s="489"/>
      <c r="G378" s="489"/>
      <c r="H378" s="489"/>
      <c r="I378" s="489"/>
      <c r="J378" s="489"/>
      <c r="K378" s="489"/>
      <c r="L378" s="489"/>
      <c r="M378" s="489"/>
      <c r="N378" s="489"/>
      <c r="O378" s="489"/>
      <c r="P378" s="1494">
        <f t="shared" si="26"/>
        <v>0</v>
      </c>
      <c r="Q378" s="1439">
        <f t="shared" si="27"/>
        <v>0</v>
      </c>
      <c r="R378" s="1413"/>
      <c r="S378" s="1414"/>
      <c r="T378" s="1414"/>
      <c r="U378" s="1414"/>
      <c r="V378" s="1414"/>
      <c r="W378" s="1414">
        <v>7222480</v>
      </c>
      <c r="X378" s="1414">
        <v>4324080</v>
      </c>
      <c r="Y378" s="1414">
        <v>0</v>
      </c>
      <c r="Z378" s="1414"/>
      <c r="AA378" s="1414"/>
      <c r="AB378" s="1414"/>
      <c r="AC378" s="1414"/>
      <c r="AD378" s="488">
        <f t="shared" si="28"/>
        <v>11546560</v>
      </c>
      <c r="AE378" s="565">
        <f t="shared" si="29"/>
        <v>1</v>
      </c>
      <c r="AF378" s="566">
        <f t="shared" si="25"/>
        <v>46</v>
      </c>
    </row>
    <row r="379" spans="1:32" ht="15" customHeight="1" x14ac:dyDescent="0.3">
      <c r="A379" s="10" t="s">
        <v>4</v>
      </c>
      <c r="B379" s="11" t="s">
        <v>2840</v>
      </c>
      <c r="C379" s="485"/>
      <c r="D379" s="489"/>
      <c r="E379" s="489"/>
      <c r="F379" s="489"/>
      <c r="G379" s="489"/>
      <c r="H379" s="489"/>
      <c r="I379" s="489"/>
      <c r="J379" s="489"/>
      <c r="K379" s="489"/>
      <c r="L379" s="489"/>
      <c r="M379" s="489"/>
      <c r="N379" s="489"/>
      <c r="O379" s="489"/>
      <c r="P379" s="1494">
        <f t="shared" si="26"/>
        <v>0</v>
      </c>
      <c r="Q379" s="1439">
        <f t="shared" si="27"/>
        <v>0</v>
      </c>
      <c r="R379" s="1413"/>
      <c r="S379" s="1414"/>
      <c r="T379" s="1414"/>
      <c r="U379" s="1414"/>
      <c r="V379" s="1414"/>
      <c r="W379" s="1414">
        <v>1889310</v>
      </c>
      <c r="X379" s="1414">
        <v>2684050</v>
      </c>
      <c r="Y379" s="1414">
        <v>1590190</v>
      </c>
      <c r="Z379" s="1414"/>
      <c r="AA379" s="1414"/>
      <c r="AB379" s="1414"/>
      <c r="AC379" s="1414"/>
      <c r="AD379" s="488">
        <f t="shared" si="28"/>
        <v>6163550</v>
      </c>
      <c r="AE379" s="565">
        <f t="shared" si="29"/>
        <v>1</v>
      </c>
      <c r="AF379" s="566">
        <f t="shared" si="25"/>
        <v>72</v>
      </c>
    </row>
    <row r="380" spans="1:32" ht="15" customHeight="1" x14ac:dyDescent="0.3">
      <c r="A380" s="10" t="s">
        <v>4</v>
      </c>
      <c r="B380" s="11" t="s">
        <v>2841</v>
      </c>
      <c r="C380" s="485"/>
      <c r="D380" s="489"/>
      <c r="E380" s="489"/>
      <c r="F380" s="489"/>
      <c r="G380" s="489"/>
      <c r="H380" s="489"/>
      <c r="I380" s="489"/>
      <c r="J380" s="489"/>
      <c r="K380" s="489"/>
      <c r="L380" s="489"/>
      <c r="M380" s="489"/>
      <c r="N380" s="489"/>
      <c r="O380" s="489"/>
      <c r="P380" s="1494">
        <f t="shared" si="26"/>
        <v>0</v>
      </c>
      <c r="Q380" s="1439">
        <f t="shared" si="27"/>
        <v>0</v>
      </c>
      <c r="R380" s="1413"/>
      <c r="S380" s="1414"/>
      <c r="T380" s="1414"/>
      <c r="U380" s="1414"/>
      <c r="V380" s="1414"/>
      <c r="W380" s="1414">
        <v>1077470</v>
      </c>
      <c r="X380" s="1414">
        <v>0</v>
      </c>
      <c r="Y380" s="1414">
        <v>0</v>
      </c>
      <c r="Z380" s="1414"/>
      <c r="AA380" s="1414"/>
      <c r="AB380" s="1414"/>
      <c r="AC380" s="1414"/>
      <c r="AD380" s="488">
        <f t="shared" si="28"/>
        <v>1077470</v>
      </c>
      <c r="AE380" s="565">
        <f t="shared" si="29"/>
        <v>1</v>
      </c>
      <c r="AF380" s="566">
        <f t="shared" si="25"/>
        <v>153</v>
      </c>
    </row>
    <row r="381" spans="1:32" ht="15" customHeight="1" x14ac:dyDescent="0.3">
      <c r="A381" s="10" t="s">
        <v>4</v>
      </c>
      <c r="B381" s="11" t="s">
        <v>2842</v>
      </c>
      <c r="C381" s="485"/>
      <c r="D381" s="489"/>
      <c r="E381" s="489"/>
      <c r="F381" s="489"/>
      <c r="G381" s="489"/>
      <c r="H381" s="489"/>
      <c r="I381" s="489"/>
      <c r="J381" s="489"/>
      <c r="K381" s="489"/>
      <c r="L381" s="489"/>
      <c r="M381" s="489"/>
      <c r="N381" s="489"/>
      <c r="O381" s="489"/>
      <c r="P381" s="1494">
        <f t="shared" si="26"/>
        <v>0</v>
      </c>
      <c r="Q381" s="1439">
        <f t="shared" si="27"/>
        <v>0</v>
      </c>
      <c r="R381" s="1413"/>
      <c r="S381" s="1414"/>
      <c r="T381" s="1414"/>
      <c r="U381" s="1414"/>
      <c r="V381" s="1414"/>
      <c r="W381" s="1414">
        <v>509020</v>
      </c>
      <c r="X381" s="1414">
        <v>0</v>
      </c>
      <c r="Y381" s="1414">
        <v>0</v>
      </c>
      <c r="Z381" s="1414"/>
      <c r="AA381" s="1414"/>
      <c r="AB381" s="1414"/>
      <c r="AC381" s="1414"/>
      <c r="AD381" s="488">
        <f t="shared" si="28"/>
        <v>509020</v>
      </c>
      <c r="AE381" s="565">
        <f t="shared" si="29"/>
        <v>1</v>
      </c>
      <c r="AF381" s="566">
        <f t="shared" si="25"/>
        <v>177</v>
      </c>
    </row>
    <row r="382" spans="1:32" ht="15" customHeight="1" x14ac:dyDescent="0.3">
      <c r="A382" s="10" t="s">
        <v>4</v>
      </c>
      <c r="B382" s="11" t="s">
        <v>2843</v>
      </c>
      <c r="C382" s="485"/>
      <c r="D382" s="489"/>
      <c r="E382" s="489"/>
      <c r="F382" s="489"/>
      <c r="G382" s="489"/>
      <c r="H382" s="489"/>
      <c r="I382" s="489"/>
      <c r="J382" s="489"/>
      <c r="K382" s="489"/>
      <c r="L382" s="489"/>
      <c r="M382" s="489"/>
      <c r="N382" s="489"/>
      <c r="O382" s="489"/>
      <c r="P382" s="1494">
        <f t="shared" si="26"/>
        <v>0</v>
      </c>
      <c r="Q382" s="1439">
        <f t="shared" si="27"/>
        <v>0</v>
      </c>
      <c r="R382" s="1413"/>
      <c r="S382" s="1414"/>
      <c r="T382" s="1414"/>
      <c r="U382" s="1414"/>
      <c r="V382" s="1414"/>
      <c r="W382" s="1414">
        <v>75500</v>
      </c>
      <c r="X382" s="1414">
        <v>0</v>
      </c>
      <c r="Y382" s="1414">
        <v>0</v>
      </c>
      <c r="Z382" s="1414"/>
      <c r="AA382" s="1414"/>
      <c r="AB382" s="1414"/>
      <c r="AC382" s="1414"/>
      <c r="AD382" s="488">
        <f t="shared" si="28"/>
        <v>75500</v>
      </c>
      <c r="AE382" s="565">
        <f t="shared" si="29"/>
        <v>1</v>
      </c>
      <c r="AF382" s="566">
        <f t="shared" si="25"/>
        <v>212</v>
      </c>
    </row>
    <row r="383" spans="1:32" ht="15" customHeight="1" x14ac:dyDescent="0.3">
      <c r="A383" s="10" t="s">
        <v>4</v>
      </c>
      <c r="B383" s="11" t="s">
        <v>2844</v>
      </c>
      <c r="C383" s="485"/>
      <c r="D383" s="489"/>
      <c r="E383" s="489"/>
      <c r="F383" s="489"/>
      <c r="G383" s="489"/>
      <c r="H383" s="489"/>
      <c r="I383" s="489"/>
      <c r="J383" s="489"/>
      <c r="K383" s="489"/>
      <c r="L383" s="489"/>
      <c r="M383" s="489"/>
      <c r="N383" s="489"/>
      <c r="O383" s="489"/>
      <c r="P383" s="1494">
        <f t="shared" si="26"/>
        <v>0</v>
      </c>
      <c r="Q383" s="1439">
        <f t="shared" si="27"/>
        <v>0</v>
      </c>
      <c r="R383" s="1413"/>
      <c r="S383" s="1414"/>
      <c r="T383" s="1414"/>
      <c r="U383" s="1414"/>
      <c r="V383" s="1414"/>
      <c r="W383" s="1414">
        <v>55610</v>
      </c>
      <c r="X383" s="1414">
        <v>801450</v>
      </c>
      <c r="Y383" s="1414">
        <v>0</v>
      </c>
      <c r="Z383" s="1414"/>
      <c r="AA383" s="1414"/>
      <c r="AB383" s="1414"/>
      <c r="AC383" s="1414"/>
      <c r="AD383" s="488">
        <f t="shared" si="28"/>
        <v>857060</v>
      </c>
      <c r="AE383" s="565">
        <f t="shared" si="29"/>
        <v>1</v>
      </c>
      <c r="AF383" s="566">
        <f t="shared" si="25"/>
        <v>163</v>
      </c>
    </row>
    <row r="384" spans="1:32" ht="15" customHeight="1" x14ac:dyDescent="0.3">
      <c r="A384" s="10" t="s">
        <v>4</v>
      </c>
      <c r="B384" s="11" t="s">
        <v>2845</v>
      </c>
      <c r="C384" s="485"/>
      <c r="D384" s="489"/>
      <c r="E384" s="489"/>
      <c r="F384" s="489"/>
      <c r="G384" s="489"/>
      <c r="H384" s="489"/>
      <c r="I384" s="489"/>
      <c r="J384" s="489"/>
      <c r="K384" s="489"/>
      <c r="L384" s="489"/>
      <c r="M384" s="489"/>
      <c r="N384" s="489"/>
      <c r="O384" s="489"/>
      <c r="P384" s="1494">
        <f t="shared" si="26"/>
        <v>0</v>
      </c>
      <c r="Q384" s="1439">
        <f t="shared" si="27"/>
        <v>0</v>
      </c>
      <c r="R384" s="1413"/>
      <c r="S384" s="1414"/>
      <c r="T384" s="1414"/>
      <c r="U384" s="1414"/>
      <c r="V384" s="1414"/>
      <c r="W384" s="1414"/>
      <c r="X384" s="1414"/>
      <c r="Y384" s="1414"/>
      <c r="Z384" s="1414"/>
      <c r="AA384" s="1414"/>
      <c r="AB384" s="1414"/>
      <c r="AC384" s="1414"/>
      <c r="AD384" s="488">
        <f t="shared" si="28"/>
        <v>0</v>
      </c>
      <c r="AE384" s="565">
        <f t="shared" si="29"/>
        <v>0</v>
      </c>
      <c r="AF384" s="566">
        <f t="shared" si="25"/>
        <v>240</v>
      </c>
    </row>
    <row r="385" spans="1:32" ht="15" customHeight="1" x14ac:dyDescent="0.3">
      <c r="A385" s="10" t="s">
        <v>4</v>
      </c>
      <c r="B385" s="11" t="s">
        <v>2846</v>
      </c>
      <c r="C385" s="485"/>
      <c r="D385" s="489"/>
      <c r="E385" s="489"/>
      <c r="F385" s="489"/>
      <c r="G385" s="489"/>
      <c r="H385" s="489"/>
      <c r="I385" s="489"/>
      <c r="J385" s="489"/>
      <c r="K385" s="489"/>
      <c r="L385" s="489"/>
      <c r="M385" s="489"/>
      <c r="N385" s="489"/>
      <c r="O385" s="489"/>
      <c r="P385" s="1494">
        <f t="shared" si="26"/>
        <v>0</v>
      </c>
      <c r="Q385" s="1439">
        <f t="shared" si="27"/>
        <v>0</v>
      </c>
      <c r="R385" s="1413"/>
      <c r="S385" s="1414"/>
      <c r="T385" s="1414"/>
      <c r="U385" s="1414"/>
      <c r="V385" s="1414"/>
      <c r="W385" s="1414">
        <v>22920</v>
      </c>
      <c r="X385" s="1414">
        <v>0</v>
      </c>
      <c r="Y385" s="1414">
        <v>0</v>
      </c>
      <c r="Z385" s="1414"/>
      <c r="AA385" s="1414"/>
      <c r="AB385" s="1414"/>
      <c r="AC385" s="1414"/>
      <c r="AD385" s="488">
        <f t="shared" si="28"/>
        <v>22920</v>
      </c>
      <c r="AE385" s="565">
        <f t="shared" si="29"/>
        <v>1</v>
      </c>
      <c r="AF385" s="566">
        <f t="shared" si="25"/>
        <v>239</v>
      </c>
    </row>
    <row r="386" spans="1:32" ht="15" customHeight="1" x14ac:dyDescent="0.3">
      <c r="A386" s="10" t="s">
        <v>4</v>
      </c>
      <c r="B386" s="11" t="s">
        <v>2892</v>
      </c>
      <c r="C386" s="485"/>
      <c r="D386" s="489"/>
      <c r="E386" s="489"/>
      <c r="F386" s="489"/>
      <c r="G386" s="489"/>
      <c r="H386" s="489"/>
      <c r="I386" s="489"/>
      <c r="J386" s="489"/>
      <c r="K386" s="489"/>
      <c r="L386" s="489"/>
      <c r="M386" s="489"/>
      <c r="N386" s="489"/>
      <c r="O386" s="489"/>
      <c r="P386" s="1494">
        <f t="shared" si="26"/>
        <v>0</v>
      </c>
      <c r="Q386" s="1439">
        <f t="shared" si="27"/>
        <v>0</v>
      </c>
      <c r="R386" s="1413"/>
      <c r="S386" s="1414"/>
      <c r="T386" s="1414"/>
      <c r="U386" s="1414"/>
      <c r="V386" s="1414"/>
      <c r="W386" s="1414">
        <v>46320</v>
      </c>
      <c r="X386" s="1414">
        <v>0</v>
      </c>
      <c r="Y386" s="1414">
        <v>0</v>
      </c>
      <c r="Z386" s="1414"/>
      <c r="AA386" s="1414"/>
      <c r="AB386" s="1414"/>
      <c r="AC386" s="1414"/>
      <c r="AD386" s="488">
        <f t="shared" si="28"/>
        <v>46320</v>
      </c>
      <c r="AE386" s="565">
        <f t="shared" si="29"/>
        <v>1</v>
      </c>
      <c r="AF386" s="566">
        <f t="shared" ref="AF386:AF394" si="30">IFERROR(_xlfn.RANK.EQ(AD386, $AD$2:$AD$450), "")</f>
        <v>222</v>
      </c>
    </row>
    <row r="387" spans="1:32" ht="15" customHeight="1" x14ac:dyDescent="0.3">
      <c r="A387" s="10" t="s">
        <v>4</v>
      </c>
      <c r="B387" s="11" t="s">
        <v>2918</v>
      </c>
      <c r="C387" s="485"/>
      <c r="D387" s="489"/>
      <c r="E387" s="489"/>
      <c r="F387" s="489"/>
      <c r="G387" s="489"/>
      <c r="H387" s="489"/>
      <c r="I387" s="489"/>
      <c r="J387" s="489"/>
      <c r="K387" s="489"/>
      <c r="L387" s="489"/>
      <c r="M387" s="489"/>
      <c r="N387" s="489"/>
      <c r="O387" s="489"/>
      <c r="P387" s="1494">
        <f t="shared" ref="P387:P402" si="31">SUM(C387:I387,K387)</f>
        <v>0</v>
      </c>
      <c r="Q387" s="1439">
        <f t="shared" ref="Q387:Q450" si="32">SUM(C387:J387,L387:O387)</f>
        <v>0</v>
      </c>
      <c r="R387" s="1413"/>
      <c r="S387" s="1414"/>
      <c r="T387" s="1414"/>
      <c r="U387" s="1414"/>
      <c r="V387" s="1414"/>
      <c r="W387" s="1414"/>
      <c r="X387" s="1414"/>
      <c r="Y387" s="1414"/>
      <c r="Z387" s="1414"/>
      <c r="AA387" s="1414"/>
      <c r="AB387" s="1414"/>
      <c r="AC387" s="1414"/>
      <c r="AD387" s="488">
        <f t="shared" si="28"/>
        <v>0</v>
      </c>
      <c r="AE387" s="565">
        <f t="shared" si="29"/>
        <v>0</v>
      </c>
      <c r="AF387" s="566">
        <f t="shared" si="30"/>
        <v>240</v>
      </c>
    </row>
    <row r="388" spans="1:32" ht="15" customHeight="1" x14ac:dyDescent="0.3">
      <c r="A388" s="10" t="s">
        <v>4</v>
      </c>
      <c r="B388" s="11" t="s">
        <v>2919</v>
      </c>
      <c r="C388" s="485"/>
      <c r="D388" s="489"/>
      <c r="E388" s="489"/>
      <c r="F388" s="489"/>
      <c r="G388" s="489"/>
      <c r="H388" s="489"/>
      <c r="I388" s="489"/>
      <c r="J388" s="489"/>
      <c r="K388" s="489"/>
      <c r="L388" s="489"/>
      <c r="M388" s="489"/>
      <c r="N388" s="489"/>
      <c r="O388" s="489"/>
      <c r="P388" s="1494">
        <f t="shared" si="31"/>
        <v>0</v>
      </c>
      <c r="Q388" s="1439">
        <f t="shared" si="32"/>
        <v>0</v>
      </c>
      <c r="R388" s="1413"/>
      <c r="S388" s="1414"/>
      <c r="T388" s="1414"/>
      <c r="U388" s="1414"/>
      <c r="V388" s="1414"/>
      <c r="W388" s="1414"/>
      <c r="X388" s="1414">
        <v>751820</v>
      </c>
      <c r="Y388" s="1414">
        <v>504620</v>
      </c>
      <c r="Z388" s="1414"/>
      <c r="AA388" s="1414"/>
      <c r="AB388" s="1414"/>
      <c r="AC388" s="1414"/>
      <c r="AD388" s="488">
        <f t="shared" si="28"/>
        <v>1256440</v>
      </c>
      <c r="AE388" s="565">
        <f t="shared" si="29"/>
        <v>1</v>
      </c>
      <c r="AF388" s="566">
        <f t="shared" si="30"/>
        <v>144</v>
      </c>
    </row>
    <row r="389" spans="1:32" ht="15" customHeight="1" x14ac:dyDescent="0.3">
      <c r="A389" s="10" t="s">
        <v>4</v>
      </c>
      <c r="B389" s="11" t="s">
        <v>2920</v>
      </c>
      <c r="C389" s="485"/>
      <c r="D389" s="489"/>
      <c r="E389" s="489"/>
      <c r="F389" s="489"/>
      <c r="G389" s="489"/>
      <c r="H389" s="489"/>
      <c r="I389" s="489"/>
      <c r="J389" s="489"/>
      <c r="K389" s="489"/>
      <c r="L389" s="489"/>
      <c r="M389" s="489"/>
      <c r="N389" s="489"/>
      <c r="O389" s="489"/>
      <c r="P389" s="1494">
        <f t="shared" si="31"/>
        <v>0</v>
      </c>
      <c r="Q389" s="1439">
        <f t="shared" si="32"/>
        <v>0</v>
      </c>
      <c r="R389" s="1413"/>
      <c r="S389" s="1414"/>
      <c r="T389" s="1414"/>
      <c r="U389" s="1414"/>
      <c r="V389" s="1414"/>
      <c r="W389" s="1414"/>
      <c r="X389" s="1414">
        <v>1468420</v>
      </c>
      <c r="Y389" s="1414">
        <v>0</v>
      </c>
      <c r="Z389" s="1414"/>
      <c r="AA389" s="1414"/>
      <c r="AB389" s="1414"/>
      <c r="AC389" s="1414"/>
      <c r="AD389" s="488">
        <f t="shared" si="28"/>
        <v>1468420</v>
      </c>
      <c r="AE389" s="565">
        <f t="shared" si="29"/>
        <v>1</v>
      </c>
      <c r="AF389" s="566">
        <f t="shared" si="30"/>
        <v>133</v>
      </c>
    </row>
    <row r="390" spans="1:32" ht="15" customHeight="1" x14ac:dyDescent="0.3">
      <c r="A390" s="10" t="s">
        <v>4</v>
      </c>
      <c r="B390" s="11" t="s">
        <v>2921</v>
      </c>
      <c r="C390" s="485"/>
      <c r="D390" s="489"/>
      <c r="E390" s="489"/>
      <c r="F390" s="489"/>
      <c r="G390" s="489"/>
      <c r="H390" s="489"/>
      <c r="I390" s="489"/>
      <c r="J390" s="489"/>
      <c r="K390" s="489"/>
      <c r="L390" s="489"/>
      <c r="M390" s="489"/>
      <c r="N390" s="489"/>
      <c r="O390" s="489"/>
      <c r="P390" s="1494">
        <f t="shared" si="31"/>
        <v>0</v>
      </c>
      <c r="Q390" s="1439">
        <f t="shared" si="32"/>
        <v>0</v>
      </c>
      <c r="R390" s="1413"/>
      <c r="S390" s="1414"/>
      <c r="T390" s="1414"/>
      <c r="U390" s="1414"/>
      <c r="V390" s="1414"/>
      <c r="W390" s="1414"/>
      <c r="X390" s="1414">
        <v>434850</v>
      </c>
      <c r="Y390" s="1414">
        <v>440100</v>
      </c>
      <c r="Z390" s="1414"/>
      <c r="AA390" s="1414"/>
      <c r="AB390" s="1414"/>
      <c r="AC390" s="1414"/>
      <c r="AD390" s="488">
        <f t="shared" si="28"/>
        <v>874950</v>
      </c>
      <c r="AE390" s="565">
        <f t="shared" si="29"/>
        <v>1</v>
      </c>
      <c r="AF390" s="566">
        <f t="shared" si="30"/>
        <v>161</v>
      </c>
    </row>
    <row r="391" spans="1:32" ht="15" customHeight="1" x14ac:dyDescent="0.3">
      <c r="A391" s="10" t="s">
        <v>4</v>
      </c>
      <c r="B391" s="11" t="s">
        <v>2922</v>
      </c>
      <c r="C391" s="485"/>
      <c r="D391" s="489"/>
      <c r="E391" s="489"/>
      <c r="F391" s="489"/>
      <c r="G391" s="489"/>
      <c r="H391" s="489"/>
      <c r="I391" s="489"/>
      <c r="J391" s="489"/>
      <c r="K391" s="489"/>
      <c r="L391" s="489"/>
      <c r="M391" s="489"/>
      <c r="N391" s="489"/>
      <c r="O391" s="489"/>
      <c r="P391" s="1494">
        <f t="shared" si="31"/>
        <v>0</v>
      </c>
      <c r="Q391" s="1439">
        <f t="shared" si="32"/>
        <v>0</v>
      </c>
      <c r="R391" s="1413"/>
      <c r="S391" s="1414"/>
      <c r="T391" s="1414"/>
      <c r="U391" s="1414"/>
      <c r="V391" s="1414"/>
      <c r="W391" s="1414"/>
      <c r="X391" s="1414">
        <v>1258680</v>
      </c>
      <c r="Y391" s="1414">
        <v>686420</v>
      </c>
      <c r="Z391" s="1414"/>
      <c r="AA391" s="1414"/>
      <c r="AB391" s="1414"/>
      <c r="AC391" s="1414"/>
      <c r="AD391" s="488">
        <f t="shared" si="28"/>
        <v>1945100</v>
      </c>
      <c r="AE391" s="565">
        <f t="shared" si="29"/>
        <v>1</v>
      </c>
      <c r="AF391" s="566">
        <f t="shared" si="30"/>
        <v>123</v>
      </c>
    </row>
    <row r="392" spans="1:32" ht="15" customHeight="1" x14ac:dyDescent="0.3">
      <c r="A392" s="10" t="s">
        <v>4</v>
      </c>
      <c r="B392" s="11" t="s">
        <v>2923</v>
      </c>
      <c r="C392" s="485"/>
      <c r="D392" s="489"/>
      <c r="E392" s="489"/>
      <c r="F392" s="489"/>
      <c r="G392" s="489"/>
      <c r="H392" s="489"/>
      <c r="I392" s="489"/>
      <c r="J392" s="489"/>
      <c r="K392" s="489"/>
      <c r="L392" s="489"/>
      <c r="M392" s="489"/>
      <c r="N392" s="489"/>
      <c r="O392" s="489"/>
      <c r="P392" s="1494">
        <f t="shared" si="31"/>
        <v>0</v>
      </c>
      <c r="Q392" s="1439">
        <f t="shared" si="32"/>
        <v>0</v>
      </c>
      <c r="R392" s="1413"/>
      <c r="S392" s="1414"/>
      <c r="T392" s="1414"/>
      <c r="U392" s="1414"/>
      <c r="V392" s="1414"/>
      <c r="W392" s="1414"/>
      <c r="X392" s="1414">
        <v>220230</v>
      </c>
      <c r="Y392" s="1414">
        <v>141120</v>
      </c>
      <c r="Z392" s="1414"/>
      <c r="AA392" s="1414"/>
      <c r="AB392" s="1414"/>
      <c r="AC392" s="1414"/>
      <c r="AD392" s="488">
        <f t="shared" si="28"/>
        <v>361350</v>
      </c>
      <c r="AE392" s="565">
        <f t="shared" si="29"/>
        <v>1</v>
      </c>
      <c r="AF392" s="566">
        <f t="shared" si="30"/>
        <v>190</v>
      </c>
    </row>
    <row r="393" spans="1:32" ht="15" customHeight="1" x14ac:dyDescent="0.3">
      <c r="A393" s="10" t="s">
        <v>4</v>
      </c>
      <c r="B393" s="11" t="s">
        <v>2924</v>
      </c>
      <c r="C393" s="485"/>
      <c r="D393" s="489"/>
      <c r="E393" s="489"/>
      <c r="F393" s="489"/>
      <c r="G393" s="489"/>
      <c r="H393" s="489"/>
      <c r="I393" s="489"/>
      <c r="J393" s="489"/>
      <c r="K393" s="489"/>
      <c r="L393" s="489"/>
      <c r="M393" s="489"/>
      <c r="N393" s="489"/>
      <c r="O393" s="489"/>
      <c r="P393" s="1494">
        <f t="shared" si="31"/>
        <v>0</v>
      </c>
      <c r="Q393" s="1439">
        <f t="shared" si="32"/>
        <v>0</v>
      </c>
      <c r="R393" s="1413"/>
      <c r="S393" s="1414"/>
      <c r="T393" s="1414"/>
      <c r="U393" s="1414"/>
      <c r="V393" s="1414"/>
      <c r="W393" s="1414"/>
      <c r="X393" s="1414">
        <v>46630</v>
      </c>
      <c r="Y393" s="1414">
        <v>0</v>
      </c>
      <c r="Z393" s="1414"/>
      <c r="AA393" s="1414"/>
      <c r="AB393" s="1414"/>
      <c r="AC393" s="1414"/>
      <c r="AD393" s="488">
        <f t="shared" si="28"/>
        <v>46630</v>
      </c>
      <c r="AE393" s="565">
        <f t="shared" si="29"/>
        <v>1</v>
      </c>
      <c r="AF393" s="566">
        <f t="shared" si="30"/>
        <v>221</v>
      </c>
    </row>
    <row r="394" spans="1:32" ht="15" customHeight="1" x14ac:dyDescent="0.3">
      <c r="A394" s="10" t="s">
        <v>4</v>
      </c>
      <c r="B394" s="11" t="s">
        <v>3009</v>
      </c>
      <c r="C394" s="485"/>
      <c r="D394" s="489"/>
      <c r="E394" s="489"/>
      <c r="F394" s="489"/>
      <c r="G394" s="489"/>
      <c r="H394" s="489"/>
      <c r="I394" s="489"/>
      <c r="J394" s="489"/>
      <c r="K394" s="489"/>
      <c r="L394" s="489"/>
      <c r="M394" s="489"/>
      <c r="N394" s="489"/>
      <c r="O394" s="489"/>
      <c r="P394" s="1494">
        <f t="shared" si="31"/>
        <v>0</v>
      </c>
      <c r="Q394" s="1439">
        <f t="shared" si="32"/>
        <v>0</v>
      </c>
      <c r="R394" s="1413"/>
      <c r="S394" s="1414"/>
      <c r="T394" s="1414"/>
      <c r="U394" s="1414"/>
      <c r="V394" s="1414"/>
      <c r="W394" s="1414"/>
      <c r="X394" s="1414"/>
      <c r="Y394" s="1414">
        <v>500900</v>
      </c>
      <c r="Z394" s="1414"/>
      <c r="AA394" s="1414"/>
      <c r="AB394" s="1414"/>
      <c r="AC394" s="1414"/>
      <c r="AD394" s="488">
        <f t="shared" si="28"/>
        <v>500900</v>
      </c>
      <c r="AE394" s="565">
        <f t="shared" si="29"/>
        <v>1</v>
      </c>
      <c r="AF394" s="566">
        <f t="shared" si="30"/>
        <v>179</v>
      </c>
    </row>
    <row r="395" spans="1:32" ht="15" customHeight="1" x14ac:dyDescent="0.3">
      <c r="A395" s="10" t="s">
        <v>4</v>
      </c>
      <c r="B395" s="11" t="s">
        <v>3010</v>
      </c>
      <c r="C395" s="485"/>
      <c r="D395" s="489"/>
      <c r="E395" s="489"/>
      <c r="F395" s="489"/>
      <c r="G395" s="489"/>
      <c r="H395" s="489"/>
      <c r="I395" s="489"/>
      <c r="J395" s="489"/>
      <c r="K395" s="489"/>
      <c r="L395" s="489"/>
      <c r="M395" s="489"/>
      <c r="N395" s="489"/>
      <c r="O395" s="489"/>
      <c r="P395" s="1494">
        <f t="shared" si="31"/>
        <v>0</v>
      </c>
      <c r="Q395" s="1439">
        <f t="shared" si="32"/>
        <v>0</v>
      </c>
      <c r="R395" s="1413"/>
      <c r="S395" s="1414"/>
      <c r="T395" s="1414"/>
      <c r="U395" s="1414"/>
      <c r="V395" s="1414"/>
      <c r="W395" s="1414"/>
      <c r="X395" s="1414"/>
      <c r="Y395" s="1414">
        <v>28300</v>
      </c>
      <c r="Z395" s="1414"/>
      <c r="AA395" s="1414"/>
      <c r="AB395" s="1414"/>
      <c r="AC395" s="1414"/>
      <c r="AD395" s="488">
        <f t="shared" si="28"/>
        <v>28300</v>
      </c>
      <c r="AE395" s="565">
        <f t="shared" si="29"/>
        <v>1</v>
      </c>
      <c r="AF395" s="566">
        <f t="shared" ref="AF395:AF398" si="33">IFERROR(_xlfn.RANK.EQ(AD395, $AD$2:$AD$450), "")</f>
        <v>237</v>
      </c>
    </row>
    <row r="396" spans="1:32" ht="15" customHeight="1" x14ac:dyDescent="0.3">
      <c r="A396" s="10" t="s">
        <v>4</v>
      </c>
      <c r="B396" s="11" t="s">
        <v>3011</v>
      </c>
      <c r="C396" s="485"/>
      <c r="D396" s="489"/>
      <c r="E396" s="489"/>
      <c r="F396" s="489"/>
      <c r="G396" s="489"/>
      <c r="H396" s="489"/>
      <c r="I396" s="489"/>
      <c r="J396" s="489"/>
      <c r="K396" s="489"/>
      <c r="L396" s="489"/>
      <c r="M396" s="489"/>
      <c r="N396" s="489"/>
      <c r="O396" s="489"/>
      <c r="P396" s="1494">
        <f t="shared" si="31"/>
        <v>0</v>
      </c>
      <c r="Q396" s="1439">
        <f t="shared" si="32"/>
        <v>0</v>
      </c>
      <c r="R396" s="1413"/>
      <c r="S396" s="1414"/>
      <c r="T396" s="1414"/>
      <c r="U396" s="1414"/>
      <c r="V396" s="1414"/>
      <c r="W396" s="1414"/>
      <c r="X396" s="1414"/>
      <c r="Y396" s="1414">
        <v>28300</v>
      </c>
      <c r="Z396" s="1414"/>
      <c r="AA396" s="1414"/>
      <c r="AB396" s="1414"/>
      <c r="AC396" s="1414"/>
      <c r="AD396" s="488">
        <f t="shared" si="28"/>
        <v>28300</v>
      </c>
      <c r="AE396" s="565">
        <f t="shared" si="29"/>
        <v>1</v>
      </c>
      <c r="AF396" s="566">
        <f t="shared" si="33"/>
        <v>237</v>
      </c>
    </row>
    <row r="397" spans="1:32" ht="15" customHeight="1" x14ac:dyDescent="0.3">
      <c r="A397" s="10" t="s">
        <v>4</v>
      </c>
      <c r="B397" s="11" t="s">
        <v>3039</v>
      </c>
      <c r="C397" s="485"/>
      <c r="D397" s="489"/>
      <c r="E397" s="489"/>
      <c r="F397" s="489"/>
      <c r="G397" s="489"/>
      <c r="H397" s="489"/>
      <c r="I397" s="489"/>
      <c r="J397" s="489"/>
      <c r="K397" s="489"/>
      <c r="L397" s="489"/>
      <c r="M397" s="489"/>
      <c r="N397" s="489"/>
      <c r="O397" s="489"/>
      <c r="P397" s="1494">
        <f t="shared" si="31"/>
        <v>0</v>
      </c>
      <c r="Q397" s="1439">
        <f t="shared" si="32"/>
        <v>0</v>
      </c>
      <c r="R397" s="1413"/>
      <c r="S397" s="1414"/>
      <c r="T397" s="1414"/>
      <c r="U397" s="1414"/>
      <c r="V397" s="1414"/>
      <c r="W397" s="1414"/>
      <c r="X397" s="1414"/>
      <c r="Y397" s="1414">
        <v>72430</v>
      </c>
      <c r="Z397" s="1414"/>
      <c r="AA397" s="1414"/>
      <c r="AB397" s="1414"/>
      <c r="AC397" s="1414"/>
      <c r="AD397" s="488">
        <f t="shared" si="28"/>
        <v>72430</v>
      </c>
      <c r="AE397" s="565">
        <f t="shared" si="29"/>
        <v>1</v>
      </c>
      <c r="AF397" s="566">
        <f t="shared" si="33"/>
        <v>214</v>
      </c>
    </row>
    <row r="398" spans="1:32" ht="15" customHeight="1" x14ac:dyDescent="0.3">
      <c r="A398" s="10" t="s">
        <v>4</v>
      </c>
      <c r="B398" s="11" t="s">
        <v>3040</v>
      </c>
      <c r="C398" s="485"/>
      <c r="D398" s="489"/>
      <c r="E398" s="489"/>
      <c r="F398" s="489"/>
      <c r="G398" s="489"/>
      <c r="H398" s="489"/>
      <c r="I398" s="489"/>
      <c r="J398" s="489"/>
      <c r="K398" s="489"/>
      <c r="L398" s="489"/>
      <c r="M398" s="489"/>
      <c r="N398" s="489"/>
      <c r="O398" s="489"/>
      <c r="P398" s="1494">
        <f t="shared" si="31"/>
        <v>0</v>
      </c>
      <c r="Q398" s="1439">
        <f t="shared" si="32"/>
        <v>0</v>
      </c>
      <c r="R398" s="1413"/>
      <c r="S398" s="1414"/>
      <c r="T398" s="1414"/>
      <c r="U398" s="1414"/>
      <c r="V398" s="1414"/>
      <c r="W398" s="1414"/>
      <c r="X398" s="1414"/>
      <c r="Y398" s="1414">
        <v>0</v>
      </c>
      <c r="Z398" s="1414"/>
      <c r="AA398" s="1414"/>
      <c r="AB398" s="1414"/>
      <c r="AC398" s="1414"/>
      <c r="AD398" s="488">
        <f t="shared" si="28"/>
        <v>0</v>
      </c>
      <c r="AE398" s="565">
        <f t="shared" si="29"/>
        <v>0</v>
      </c>
      <c r="AF398" s="566">
        <f t="shared" si="33"/>
        <v>240</v>
      </c>
    </row>
    <row r="399" spans="1:32" x14ac:dyDescent="0.3">
      <c r="A399" s="12" t="s">
        <v>231</v>
      </c>
      <c r="B399" s="13" t="s">
        <v>142</v>
      </c>
      <c r="C399" s="558"/>
      <c r="D399" s="560">
        <v>0</v>
      </c>
      <c r="E399" s="560">
        <v>5803730</v>
      </c>
      <c r="F399" s="560">
        <v>12337530</v>
      </c>
      <c r="G399" s="560">
        <v>0</v>
      </c>
      <c r="H399" s="560">
        <v>0</v>
      </c>
      <c r="I399" s="560">
        <v>2548930</v>
      </c>
      <c r="J399" s="560">
        <v>464550</v>
      </c>
      <c r="K399" s="560">
        <v>464550</v>
      </c>
      <c r="L399" s="560">
        <v>0</v>
      </c>
      <c r="M399" s="560">
        <v>0</v>
      </c>
      <c r="N399" s="560">
        <v>0</v>
      </c>
      <c r="O399" s="560">
        <v>0</v>
      </c>
      <c r="P399" s="1494">
        <f t="shared" si="31"/>
        <v>21154740</v>
      </c>
      <c r="Q399" s="490">
        <f t="shared" si="32"/>
        <v>21154740</v>
      </c>
      <c r="R399" s="558" t="s">
        <v>251</v>
      </c>
      <c r="S399" s="560" t="s">
        <v>251</v>
      </c>
      <c r="T399" s="560" t="s">
        <v>251</v>
      </c>
      <c r="U399" s="560"/>
      <c r="V399" s="560"/>
      <c r="W399" s="560"/>
      <c r="X399" s="560"/>
      <c r="Y399" s="560"/>
      <c r="Z399" s="560"/>
      <c r="AA399" s="560"/>
      <c r="AB399" s="560"/>
      <c r="AC399" s="560"/>
      <c r="AD399" s="490">
        <f t="shared" si="28"/>
        <v>0</v>
      </c>
      <c r="AE399" s="568">
        <f t="shared" si="29"/>
        <v>-1</v>
      </c>
      <c r="AF399" s="569">
        <f t="shared" ref="AF399:AF430" si="34">IFERROR(_xlfn.RANK.EQ(AD399, $AD$2:$AD$450), "")</f>
        <v>240</v>
      </c>
    </row>
    <row r="400" spans="1:32" x14ac:dyDescent="0.3">
      <c r="A400" s="12" t="s">
        <v>231</v>
      </c>
      <c r="B400" s="13" t="s">
        <v>602</v>
      </c>
      <c r="C400" s="558">
        <v>3241010</v>
      </c>
      <c r="D400" s="560">
        <v>344410</v>
      </c>
      <c r="E400" s="560">
        <v>587050</v>
      </c>
      <c r="F400" s="560">
        <v>0</v>
      </c>
      <c r="G400" s="560">
        <v>0</v>
      </c>
      <c r="H400" s="560">
        <v>0</v>
      </c>
      <c r="I400" s="560">
        <v>0</v>
      </c>
      <c r="J400" s="560">
        <v>0</v>
      </c>
      <c r="K400" s="560">
        <v>0</v>
      </c>
      <c r="L400" s="560">
        <v>0</v>
      </c>
      <c r="M400" s="560">
        <v>0</v>
      </c>
      <c r="N400" s="560">
        <v>0</v>
      </c>
      <c r="O400" s="560">
        <v>0</v>
      </c>
      <c r="P400" s="1494">
        <f t="shared" si="31"/>
        <v>4172470</v>
      </c>
      <c r="Q400" s="490">
        <f t="shared" si="32"/>
        <v>4172470</v>
      </c>
      <c r="R400" s="558" t="s">
        <v>251</v>
      </c>
      <c r="S400" s="560" t="s">
        <v>251</v>
      </c>
      <c r="T400" s="560" t="s">
        <v>251</v>
      </c>
      <c r="U400" s="560"/>
      <c r="V400" s="560"/>
      <c r="W400" s="560"/>
      <c r="X400" s="560"/>
      <c r="Y400" s="560"/>
      <c r="Z400" s="560"/>
      <c r="AA400" s="560"/>
      <c r="AB400" s="560"/>
      <c r="AC400" s="560"/>
      <c r="AD400" s="490">
        <f t="shared" si="28"/>
        <v>0</v>
      </c>
      <c r="AE400" s="568">
        <f t="shared" si="29"/>
        <v>-1</v>
      </c>
      <c r="AF400" s="569">
        <f t="shared" si="34"/>
        <v>240</v>
      </c>
    </row>
    <row r="401" spans="1:32" x14ac:dyDescent="0.3">
      <c r="A401" s="12" t="s">
        <v>231</v>
      </c>
      <c r="B401" s="13" t="s">
        <v>232</v>
      </c>
      <c r="C401" s="558"/>
      <c r="D401" s="560">
        <v>0</v>
      </c>
      <c r="E401" s="560">
        <v>0</v>
      </c>
      <c r="F401" s="560">
        <v>0</v>
      </c>
      <c r="G401" s="560">
        <v>3941820</v>
      </c>
      <c r="H401" s="560">
        <v>2574850</v>
      </c>
      <c r="I401" s="560">
        <v>4877750</v>
      </c>
      <c r="J401" s="560">
        <v>3421470</v>
      </c>
      <c r="K401" s="560">
        <v>3421470</v>
      </c>
      <c r="L401" s="560">
        <v>0</v>
      </c>
      <c r="M401" s="560">
        <v>0</v>
      </c>
      <c r="N401" s="560">
        <v>0</v>
      </c>
      <c r="O401" s="560">
        <v>0</v>
      </c>
      <c r="P401" s="1494">
        <f t="shared" si="31"/>
        <v>14815890</v>
      </c>
      <c r="Q401" s="490">
        <f t="shared" si="32"/>
        <v>14815890</v>
      </c>
      <c r="R401" s="558">
        <v>1275200</v>
      </c>
      <c r="S401" s="560">
        <v>137620</v>
      </c>
      <c r="T401" s="560">
        <v>0</v>
      </c>
      <c r="U401" s="560">
        <v>3741830</v>
      </c>
      <c r="V401" s="560">
        <v>1290260</v>
      </c>
      <c r="W401" s="560">
        <v>0</v>
      </c>
      <c r="X401" s="560">
        <v>0</v>
      </c>
      <c r="Y401" s="560">
        <v>0</v>
      </c>
      <c r="Z401" s="560"/>
      <c r="AA401" s="560"/>
      <c r="AB401" s="560"/>
      <c r="AC401" s="560"/>
      <c r="AD401" s="490">
        <f t="shared" si="28"/>
        <v>6444910</v>
      </c>
      <c r="AE401" s="568">
        <f t="shared" si="29"/>
        <v>-0.56500014511446828</v>
      </c>
      <c r="AF401" s="569">
        <f t="shared" si="34"/>
        <v>70</v>
      </c>
    </row>
    <row r="402" spans="1:32" x14ac:dyDescent="0.3">
      <c r="A402" s="12" t="s">
        <v>231</v>
      </c>
      <c r="B402" s="13" t="s">
        <v>25</v>
      </c>
      <c r="C402" s="558"/>
      <c r="D402" s="560">
        <v>478780</v>
      </c>
      <c r="E402" s="560">
        <v>851760</v>
      </c>
      <c r="F402" s="560">
        <v>469690</v>
      </c>
      <c r="G402" s="560">
        <v>0</v>
      </c>
      <c r="H402" s="560">
        <v>0</v>
      </c>
      <c r="I402" s="560">
        <v>0</v>
      </c>
      <c r="J402" s="560">
        <v>0</v>
      </c>
      <c r="K402" s="560">
        <v>0</v>
      </c>
      <c r="L402" s="560">
        <v>0</v>
      </c>
      <c r="M402" s="560">
        <v>0</v>
      </c>
      <c r="N402" s="560">
        <v>0</v>
      </c>
      <c r="O402" s="560">
        <v>0</v>
      </c>
      <c r="P402" s="1494">
        <f t="shared" si="31"/>
        <v>1800230</v>
      </c>
      <c r="Q402" s="490">
        <f t="shared" si="32"/>
        <v>1800230</v>
      </c>
      <c r="R402" s="558" t="s">
        <v>251</v>
      </c>
      <c r="S402" s="560" t="s">
        <v>251</v>
      </c>
      <c r="T402" s="560" t="s">
        <v>251</v>
      </c>
      <c r="U402" s="560"/>
      <c r="V402" s="560"/>
      <c r="W402" s="560"/>
      <c r="X402" s="560"/>
      <c r="Y402" s="560"/>
      <c r="Z402" s="560"/>
      <c r="AA402" s="560"/>
      <c r="AB402" s="560"/>
      <c r="AC402" s="560"/>
      <c r="AD402" s="490">
        <f t="shared" si="28"/>
        <v>0</v>
      </c>
      <c r="AE402" s="568">
        <f t="shared" si="29"/>
        <v>-1</v>
      </c>
      <c r="AF402" s="569">
        <f t="shared" si="34"/>
        <v>240</v>
      </c>
    </row>
    <row r="403" spans="1:32" x14ac:dyDescent="0.3">
      <c r="A403" s="12" t="s">
        <v>231</v>
      </c>
      <c r="B403" s="13" t="s">
        <v>233</v>
      </c>
      <c r="C403" s="558"/>
      <c r="D403" s="560">
        <v>1407200</v>
      </c>
      <c r="E403" s="560">
        <v>0</v>
      </c>
      <c r="F403" s="560">
        <v>0</v>
      </c>
      <c r="G403" s="560">
        <v>0</v>
      </c>
      <c r="H403" s="560">
        <v>1673320</v>
      </c>
      <c r="I403" s="560">
        <v>525620</v>
      </c>
      <c r="J403" s="560">
        <v>248550</v>
      </c>
      <c r="K403" s="560">
        <v>0</v>
      </c>
      <c r="L403" s="560">
        <v>0</v>
      </c>
      <c r="M403" s="560">
        <v>0</v>
      </c>
      <c r="N403" s="560">
        <v>0</v>
      </c>
      <c r="O403" s="560">
        <v>0</v>
      </c>
      <c r="P403" s="1494">
        <f t="shared" ref="P403:P450" si="35">SUM(C403:I403,K403)</f>
        <v>3606140</v>
      </c>
      <c r="Q403" s="490">
        <f t="shared" si="32"/>
        <v>3854690</v>
      </c>
      <c r="R403" s="558" t="s">
        <v>251</v>
      </c>
      <c r="S403" s="560" t="s">
        <v>251</v>
      </c>
      <c r="T403" s="560" t="s">
        <v>251</v>
      </c>
      <c r="U403" s="560"/>
      <c r="V403" s="560"/>
      <c r="W403" s="560"/>
      <c r="X403" s="560"/>
      <c r="Y403" s="560"/>
      <c r="Z403" s="560"/>
      <c r="AA403" s="560"/>
      <c r="AB403" s="560"/>
      <c r="AC403" s="560"/>
      <c r="AD403" s="490">
        <f t="shared" si="28"/>
        <v>0</v>
      </c>
      <c r="AE403" s="568">
        <f t="shared" si="29"/>
        <v>-1</v>
      </c>
      <c r="AF403" s="569">
        <f t="shared" si="34"/>
        <v>240</v>
      </c>
    </row>
    <row r="404" spans="1:32" x14ac:dyDescent="0.3">
      <c r="A404" s="12" t="s">
        <v>231</v>
      </c>
      <c r="B404" s="13" t="s">
        <v>100</v>
      </c>
      <c r="C404" s="558"/>
      <c r="D404" s="560">
        <v>0</v>
      </c>
      <c r="E404" s="560">
        <v>1081900</v>
      </c>
      <c r="F404" s="560">
        <v>0</v>
      </c>
      <c r="G404" s="560">
        <v>0</v>
      </c>
      <c r="H404" s="560">
        <v>0</v>
      </c>
      <c r="I404" s="560">
        <v>0</v>
      </c>
      <c r="J404" s="560">
        <v>0</v>
      </c>
      <c r="K404" s="560">
        <v>0</v>
      </c>
      <c r="L404" s="560">
        <v>0</v>
      </c>
      <c r="M404" s="560">
        <v>0</v>
      </c>
      <c r="N404" s="560">
        <v>0</v>
      </c>
      <c r="O404" s="560">
        <v>0</v>
      </c>
      <c r="P404" s="1494">
        <f t="shared" si="35"/>
        <v>1081900</v>
      </c>
      <c r="Q404" s="490">
        <f t="shared" si="32"/>
        <v>1081900</v>
      </c>
      <c r="R404" s="558" t="s">
        <v>251</v>
      </c>
      <c r="S404" s="560" t="s">
        <v>251</v>
      </c>
      <c r="T404" s="560" t="s">
        <v>251</v>
      </c>
      <c r="U404" s="560"/>
      <c r="V404" s="560"/>
      <c r="W404" s="560"/>
      <c r="X404" s="560"/>
      <c r="Y404" s="560"/>
      <c r="Z404" s="560"/>
      <c r="AA404" s="560"/>
      <c r="AB404" s="560"/>
      <c r="AC404" s="560"/>
      <c r="AD404" s="490">
        <f t="shared" si="28"/>
        <v>0</v>
      </c>
      <c r="AE404" s="568">
        <f t="shared" si="29"/>
        <v>-1</v>
      </c>
      <c r="AF404" s="569">
        <f t="shared" si="34"/>
        <v>240</v>
      </c>
    </row>
    <row r="405" spans="1:32" x14ac:dyDescent="0.3">
      <c r="A405" s="12" t="s">
        <v>231</v>
      </c>
      <c r="B405" s="13" t="s">
        <v>56</v>
      </c>
      <c r="C405" s="558">
        <v>354570</v>
      </c>
      <c r="D405" s="560">
        <v>686820</v>
      </c>
      <c r="E405" s="560">
        <v>0</v>
      </c>
      <c r="F405" s="560">
        <v>0</v>
      </c>
      <c r="G405" s="560">
        <v>0</v>
      </c>
      <c r="H405" s="560">
        <v>0</v>
      </c>
      <c r="I405" s="560">
        <v>0</v>
      </c>
      <c r="J405" s="560">
        <v>0</v>
      </c>
      <c r="K405" s="560">
        <v>0</v>
      </c>
      <c r="L405" s="560">
        <v>0</v>
      </c>
      <c r="M405" s="560">
        <v>0</v>
      </c>
      <c r="N405" s="560">
        <v>0</v>
      </c>
      <c r="O405" s="560">
        <v>0</v>
      </c>
      <c r="P405" s="1494">
        <f t="shared" si="35"/>
        <v>1041390</v>
      </c>
      <c r="Q405" s="490">
        <f t="shared" si="32"/>
        <v>1041390</v>
      </c>
      <c r="R405" s="558" t="s">
        <v>251</v>
      </c>
      <c r="S405" s="560" t="s">
        <v>251</v>
      </c>
      <c r="T405" s="560" t="s">
        <v>251</v>
      </c>
      <c r="U405" s="560"/>
      <c r="V405" s="560"/>
      <c r="W405" s="560"/>
      <c r="X405" s="560"/>
      <c r="Y405" s="560"/>
      <c r="Z405" s="560"/>
      <c r="AA405" s="560"/>
      <c r="AB405" s="560"/>
      <c r="AC405" s="560"/>
      <c r="AD405" s="490">
        <f t="shared" si="28"/>
        <v>0</v>
      </c>
      <c r="AE405" s="568">
        <f t="shared" si="29"/>
        <v>-1</v>
      </c>
      <c r="AF405" s="569">
        <f t="shared" si="34"/>
        <v>240</v>
      </c>
    </row>
    <row r="406" spans="1:32" x14ac:dyDescent="0.3">
      <c r="A406" s="12" t="s">
        <v>231</v>
      </c>
      <c r="B406" s="13" t="s">
        <v>126</v>
      </c>
      <c r="C406" s="558"/>
      <c r="D406" s="560">
        <v>387310</v>
      </c>
      <c r="E406" s="560">
        <v>0</v>
      </c>
      <c r="F406" s="560">
        <v>564930</v>
      </c>
      <c r="G406" s="560">
        <v>0</v>
      </c>
      <c r="H406" s="560">
        <v>0</v>
      </c>
      <c r="I406" s="560">
        <v>0</v>
      </c>
      <c r="J406" s="560">
        <v>0</v>
      </c>
      <c r="K406" s="560">
        <v>0</v>
      </c>
      <c r="L406" s="560">
        <v>0</v>
      </c>
      <c r="M406" s="560">
        <v>0</v>
      </c>
      <c r="N406" s="560">
        <v>0</v>
      </c>
      <c r="O406" s="560">
        <v>0</v>
      </c>
      <c r="P406" s="1494">
        <f t="shared" si="35"/>
        <v>952240</v>
      </c>
      <c r="Q406" s="490">
        <f t="shared" si="32"/>
        <v>952240</v>
      </c>
      <c r="R406" s="558" t="s">
        <v>251</v>
      </c>
      <c r="S406" s="560" t="s">
        <v>251</v>
      </c>
      <c r="T406" s="560" t="s">
        <v>251</v>
      </c>
      <c r="U406" s="560"/>
      <c r="V406" s="560"/>
      <c r="W406" s="560"/>
      <c r="X406" s="560"/>
      <c r="Y406" s="560"/>
      <c r="Z406" s="560"/>
      <c r="AA406" s="560"/>
      <c r="AB406" s="560"/>
      <c r="AC406" s="560"/>
      <c r="AD406" s="490">
        <f t="shared" si="28"/>
        <v>0</v>
      </c>
      <c r="AE406" s="568">
        <f t="shared" si="29"/>
        <v>-1</v>
      </c>
      <c r="AF406" s="569">
        <f t="shared" si="34"/>
        <v>240</v>
      </c>
    </row>
    <row r="407" spans="1:32" x14ac:dyDescent="0.3">
      <c r="A407" s="12" t="s">
        <v>231</v>
      </c>
      <c r="B407" s="13" t="s">
        <v>234</v>
      </c>
      <c r="C407" s="558">
        <v>429870</v>
      </c>
      <c r="D407" s="560">
        <v>0</v>
      </c>
      <c r="E407" s="560">
        <v>477540</v>
      </c>
      <c r="F407" s="560">
        <v>0</v>
      </c>
      <c r="G407" s="560">
        <v>0</v>
      </c>
      <c r="H407" s="560">
        <v>0</v>
      </c>
      <c r="I407" s="560">
        <v>0</v>
      </c>
      <c r="J407" s="560">
        <v>454740</v>
      </c>
      <c r="K407" s="560">
        <v>454740</v>
      </c>
      <c r="L407" s="560">
        <v>0</v>
      </c>
      <c r="M407" s="560">
        <v>0</v>
      </c>
      <c r="N407" s="560">
        <v>0</v>
      </c>
      <c r="O407" s="560">
        <v>556270</v>
      </c>
      <c r="P407" s="1494">
        <f t="shared" si="35"/>
        <v>1362150</v>
      </c>
      <c r="Q407" s="490">
        <f t="shared" si="32"/>
        <v>1918420</v>
      </c>
      <c r="R407" s="558" t="s">
        <v>251</v>
      </c>
      <c r="S407" s="560" t="s">
        <v>251</v>
      </c>
      <c r="T407" s="560" t="s">
        <v>251</v>
      </c>
      <c r="U407" s="560"/>
      <c r="V407" s="560"/>
      <c r="W407" s="560"/>
      <c r="X407" s="560"/>
      <c r="Y407" s="560"/>
      <c r="Z407" s="560"/>
      <c r="AA407" s="560"/>
      <c r="AB407" s="560"/>
      <c r="AC407" s="560"/>
      <c r="AD407" s="490">
        <f t="shared" si="28"/>
        <v>0</v>
      </c>
      <c r="AE407" s="568">
        <f t="shared" si="29"/>
        <v>-1</v>
      </c>
      <c r="AF407" s="569">
        <f t="shared" si="34"/>
        <v>240</v>
      </c>
    </row>
    <row r="408" spans="1:32" x14ac:dyDescent="0.3">
      <c r="A408" s="12" t="s">
        <v>231</v>
      </c>
      <c r="B408" s="13" t="s">
        <v>235</v>
      </c>
      <c r="C408" s="558"/>
      <c r="D408" s="560">
        <v>551360</v>
      </c>
      <c r="E408" s="560">
        <v>28920</v>
      </c>
      <c r="F408" s="560">
        <v>0</v>
      </c>
      <c r="G408" s="560">
        <v>0</v>
      </c>
      <c r="H408" s="560">
        <v>0</v>
      </c>
      <c r="I408" s="560">
        <v>0</v>
      </c>
      <c r="J408" s="560">
        <v>0</v>
      </c>
      <c r="K408" s="560">
        <v>0</v>
      </c>
      <c r="L408" s="560">
        <v>0</v>
      </c>
      <c r="M408" s="560">
        <v>0</v>
      </c>
      <c r="N408" s="560">
        <v>0</v>
      </c>
      <c r="O408" s="560">
        <v>0</v>
      </c>
      <c r="P408" s="1494">
        <f t="shared" si="35"/>
        <v>580280</v>
      </c>
      <c r="Q408" s="490">
        <f t="shared" si="32"/>
        <v>580280</v>
      </c>
      <c r="R408" s="558" t="s">
        <v>251</v>
      </c>
      <c r="S408" s="560" t="s">
        <v>251</v>
      </c>
      <c r="T408" s="560" t="s">
        <v>251</v>
      </c>
      <c r="U408" s="560"/>
      <c r="V408" s="560"/>
      <c r="W408" s="560"/>
      <c r="X408" s="560"/>
      <c r="Y408" s="560"/>
      <c r="Z408" s="560"/>
      <c r="AA408" s="560"/>
      <c r="AB408" s="560"/>
      <c r="AC408" s="560"/>
      <c r="AD408" s="490">
        <f t="shared" si="28"/>
        <v>0</v>
      </c>
      <c r="AE408" s="568">
        <f t="shared" si="29"/>
        <v>-1</v>
      </c>
      <c r="AF408" s="569">
        <f t="shared" si="34"/>
        <v>240</v>
      </c>
    </row>
    <row r="409" spans="1:32" x14ac:dyDescent="0.3">
      <c r="A409" s="12" t="s">
        <v>231</v>
      </c>
      <c r="B409" s="13" t="s">
        <v>236</v>
      </c>
      <c r="C409" s="558"/>
      <c r="D409" s="560">
        <v>528850</v>
      </c>
      <c r="E409" s="560">
        <v>0</v>
      </c>
      <c r="F409" s="560">
        <v>0</v>
      </c>
      <c r="G409" s="560">
        <v>0</v>
      </c>
      <c r="H409" s="560">
        <v>0</v>
      </c>
      <c r="I409" s="560">
        <v>0</v>
      </c>
      <c r="J409" s="560">
        <v>602740</v>
      </c>
      <c r="K409" s="560">
        <v>602740</v>
      </c>
      <c r="L409" s="560">
        <v>0</v>
      </c>
      <c r="M409" s="560">
        <v>0</v>
      </c>
      <c r="N409" s="560">
        <v>0</v>
      </c>
      <c r="O409" s="560">
        <v>0</v>
      </c>
      <c r="P409" s="1494">
        <f t="shared" si="35"/>
        <v>1131590</v>
      </c>
      <c r="Q409" s="490">
        <f t="shared" si="32"/>
        <v>1131590</v>
      </c>
      <c r="R409" s="558" t="s">
        <v>251</v>
      </c>
      <c r="S409" s="560" t="s">
        <v>251</v>
      </c>
      <c r="T409" s="560" t="s">
        <v>251</v>
      </c>
      <c r="U409" s="560"/>
      <c r="V409" s="560"/>
      <c r="W409" s="560"/>
      <c r="X409" s="560"/>
      <c r="Y409" s="560"/>
      <c r="Z409" s="560"/>
      <c r="AA409" s="560"/>
      <c r="AB409" s="560"/>
      <c r="AC409" s="560"/>
      <c r="AD409" s="490">
        <f t="shared" si="28"/>
        <v>0</v>
      </c>
      <c r="AE409" s="568">
        <f t="shared" si="29"/>
        <v>-1</v>
      </c>
      <c r="AF409" s="569">
        <f t="shared" si="34"/>
        <v>240</v>
      </c>
    </row>
    <row r="410" spans="1:32" x14ac:dyDescent="0.3">
      <c r="A410" s="12" t="s">
        <v>231</v>
      </c>
      <c r="B410" s="13" t="s">
        <v>237</v>
      </c>
      <c r="C410" s="558"/>
      <c r="D410" s="560">
        <v>0</v>
      </c>
      <c r="E410" s="560">
        <v>487830</v>
      </c>
      <c r="F410" s="560">
        <v>0</v>
      </c>
      <c r="G410" s="560">
        <v>0</v>
      </c>
      <c r="H410" s="560">
        <v>0</v>
      </c>
      <c r="I410" s="560">
        <v>0</v>
      </c>
      <c r="J410" s="560">
        <v>0</v>
      </c>
      <c r="K410" s="560">
        <v>0</v>
      </c>
      <c r="L410" s="560">
        <v>0</v>
      </c>
      <c r="M410" s="560">
        <v>0</v>
      </c>
      <c r="N410" s="560">
        <v>0</v>
      </c>
      <c r="O410" s="560">
        <v>0</v>
      </c>
      <c r="P410" s="1494">
        <f t="shared" si="35"/>
        <v>487830</v>
      </c>
      <c r="Q410" s="490">
        <f t="shared" si="32"/>
        <v>487830</v>
      </c>
      <c r="R410" s="558" t="s">
        <v>251</v>
      </c>
      <c r="S410" s="560" t="s">
        <v>251</v>
      </c>
      <c r="T410" s="560" t="s">
        <v>251</v>
      </c>
      <c r="U410" s="560"/>
      <c r="V410" s="560"/>
      <c r="W410" s="560"/>
      <c r="X410" s="560"/>
      <c r="Y410" s="560"/>
      <c r="Z410" s="560"/>
      <c r="AA410" s="560"/>
      <c r="AB410" s="560"/>
      <c r="AC410" s="560"/>
      <c r="AD410" s="490">
        <f t="shared" si="28"/>
        <v>0</v>
      </c>
      <c r="AE410" s="568">
        <f t="shared" si="29"/>
        <v>-1</v>
      </c>
      <c r="AF410" s="569">
        <f t="shared" si="34"/>
        <v>240</v>
      </c>
    </row>
    <row r="411" spans="1:32" x14ac:dyDescent="0.3">
      <c r="A411" s="12" t="s">
        <v>231</v>
      </c>
      <c r="B411" s="13" t="s">
        <v>238</v>
      </c>
      <c r="C411" s="558"/>
      <c r="D411" s="560">
        <v>0</v>
      </c>
      <c r="E411" s="560">
        <v>467810</v>
      </c>
      <c r="F411" s="560">
        <v>0</v>
      </c>
      <c r="G411" s="560">
        <v>0</v>
      </c>
      <c r="H411" s="560">
        <v>0</v>
      </c>
      <c r="I411" s="560">
        <v>0</v>
      </c>
      <c r="J411" s="560">
        <v>0</v>
      </c>
      <c r="K411" s="560">
        <v>0</v>
      </c>
      <c r="L411" s="560">
        <v>0</v>
      </c>
      <c r="M411" s="560">
        <v>0</v>
      </c>
      <c r="N411" s="560">
        <v>0</v>
      </c>
      <c r="O411" s="560">
        <v>0</v>
      </c>
      <c r="P411" s="1494">
        <f t="shared" si="35"/>
        <v>467810</v>
      </c>
      <c r="Q411" s="490">
        <f t="shared" si="32"/>
        <v>467810</v>
      </c>
      <c r="R411" s="558" t="s">
        <v>251</v>
      </c>
      <c r="S411" s="560">
        <v>549030</v>
      </c>
      <c r="T411" s="560">
        <v>0</v>
      </c>
      <c r="U411" s="560">
        <v>0</v>
      </c>
      <c r="V411" s="560">
        <v>0</v>
      </c>
      <c r="W411" s="560">
        <v>0</v>
      </c>
      <c r="X411" s="560">
        <v>0</v>
      </c>
      <c r="Y411" s="560">
        <v>0</v>
      </c>
      <c r="Z411" s="560"/>
      <c r="AA411" s="560"/>
      <c r="AB411" s="560"/>
      <c r="AC411" s="560"/>
      <c r="AD411" s="490">
        <f t="shared" si="28"/>
        <v>549030</v>
      </c>
      <c r="AE411" s="568">
        <f t="shared" si="29"/>
        <v>0.17361749428186657</v>
      </c>
      <c r="AF411" s="569">
        <f t="shared" si="34"/>
        <v>171</v>
      </c>
    </row>
    <row r="412" spans="1:32" x14ac:dyDescent="0.3">
      <c r="A412" s="12" t="s">
        <v>231</v>
      </c>
      <c r="B412" s="13" t="s">
        <v>239</v>
      </c>
      <c r="C412" s="558"/>
      <c r="D412" s="560">
        <v>0</v>
      </c>
      <c r="E412" s="560">
        <v>439210</v>
      </c>
      <c r="F412" s="560">
        <v>0</v>
      </c>
      <c r="G412" s="560">
        <v>0</v>
      </c>
      <c r="H412" s="560">
        <v>0</v>
      </c>
      <c r="I412" s="560">
        <v>0</v>
      </c>
      <c r="J412" s="560">
        <v>0</v>
      </c>
      <c r="K412" s="560">
        <v>0</v>
      </c>
      <c r="L412" s="560">
        <v>0</v>
      </c>
      <c r="M412" s="560">
        <v>0</v>
      </c>
      <c r="N412" s="560">
        <v>0</v>
      </c>
      <c r="O412" s="560">
        <v>0</v>
      </c>
      <c r="P412" s="1494">
        <f t="shared" si="35"/>
        <v>439210</v>
      </c>
      <c r="Q412" s="490">
        <f t="shared" si="32"/>
        <v>439210</v>
      </c>
      <c r="R412" s="558" t="s">
        <v>251</v>
      </c>
      <c r="S412" s="560" t="s">
        <v>251</v>
      </c>
      <c r="T412" s="560" t="s">
        <v>251</v>
      </c>
      <c r="U412" s="560"/>
      <c r="V412" s="560"/>
      <c r="W412" s="560"/>
      <c r="X412" s="560"/>
      <c r="Y412" s="560"/>
      <c r="Z412" s="560"/>
      <c r="AA412" s="560"/>
      <c r="AB412" s="560"/>
      <c r="AC412" s="560"/>
      <c r="AD412" s="490">
        <f t="shared" si="28"/>
        <v>0</v>
      </c>
      <c r="AE412" s="568">
        <f t="shared" si="29"/>
        <v>-1</v>
      </c>
      <c r="AF412" s="569">
        <f t="shared" si="34"/>
        <v>240</v>
      </c>
    </row>
    <row r="413" spans="1:32" x14ac:dyDescent="0.3">
      <c r="A413" s="12" t="s">
        <v>231</v>
      </c>
      <c r="B413" s="13" t="s">
        <v>240</v>
      </c>
      <c r="C413" s="558"/>
      <c r="D413" s="560">
        <v>0</v>
      </c>
      <c r="E413" s="560">
        <v>293200</v>
      </c>
      <c r="F413" s="560">
        <v>0</v>
      </c>
      <c r="G413" s="560">
        <v>0</v>
      </c>
      <c r="H413" s="560">
        <v>0</v>
      </c>
      <c r="I413" s="560">
        <v>0</v>
      </c>
      <c r="J413" s="560">
        <v>0</v>
      </c>
      <c r="K413" s="560">
        <v>0</v>
      </c>
      <c r="L413" s="560">
        <v>0</v>
      </c>
      <c r="M413" s="560">
        <v>0</v>
      </c>
      <c r="N413" s="560">
        <v>0</v>
      </c>
      <c r="O413" s="560">
        <v>0</v>
      </c>
      <c r="P413" s="1494">
        <f t="shared" si="35"/>
        <v>293200</v>
      </c>
      <c r="Q413" s="490">
        <f t="shared" si="32"/>
        <v>293200</v>
      </c>
      <c r="R413" s="558" t="s">
        <v>251</v>
      </c>
      <c r="S413" s="560" t="s">
        <v>251</v>
      </c>
      <c r="T413" s="560" t="s">
        <v>251</v>
      </c>
      <c r="U413" s="560"/>
      <c r="V413" s="560"/>
      <c r="W413" s="560"/>
      <c r="X413" s="560"/>
      <c r="Y413" s="560"/>
      <c r="Z413" s="560"/>
      <c r="AA413" s="560"/>
      <c r="AB413" s="560"/>
      <c r="AC413" s="560"/>
      <c r="AD413" s="490">
        <f t="shared" si="28"/>
        <v>0</v>
      </c>
      <c r="AE413" s="568">
        <f t="shared" si="29"/>
        <v>-1</v>
      </c>
      <c r="AF413" s="569">
        <f t="shared" si="34"/>
        <v>240</v>
      </c>
    </row>
    <row r="414" spans="1:32" x14ac:dyDescent="0.3">
      <c r="A414" s="12" t="s">
        <v>231</v>
      </c>
      <c r="B414" s="13" t="s">
        <v>83</v>
      </c>
      <c r="C414" s="558">
        <v>222090</v>
      </c>
      <c r="D414" s="560">
        <v>0</v>
      </c>
      <c r="E414" s="560">
        <v>0</v>
      </c>
      <c r="F414" s="560">
        <v>0</v>
      </c>
      <c r="G414" s="560">
        <v>0</v>
      </c>
      <c r="H414" s="560">
        <v>0</v>
      </c>
      <c r="I414" s="560">
        <v>0</v>
      </c>
      <c r="J414" s="560">
        <v>0</v>
      </c>
      <c r="K414" s="560">
        <v>0</v>
      </c>
      <c r="L414" s="560">
        <v>0</v>
      </c>
      <c r="M414" s="560">
        <v>0</v>
      </c>
      <c r="N414" s="560">
        <v>0</v>
      </c>
      <c r="O414" s="560">
        <v>0</v>
      </c>
      <c r="P414" s="1494">
        <f t="shared" si="35"/>
        <v>222090</v>
      </c>
      <c r="Q414" s="490">
        <f t="shared" si="32"/>
        <v>222090</v>
      </c>
      <c r="R414" s="558" t="s">
        <v>251</v>
      </c>
      <c r="S414" s="560" t="s">
        <v>251</v>
      </c>
      <c r="T414" s="560" t="s">
        <v>251</v>
      </c>
      <c r="U414" s="560"/>
      <c r="V414" s="560"/>
      <c r="W414" s="560"/>
      <c r="X414" s="560"/>
      <c r="Y414" s="560"/>
      <c r="Z414" s="560"/>
      <c r="AA414" s="560"/>
      <c r="AB414" s="560"/>
      <c r="AC414" s="560"/>
      <c r="AD414" s="490">
        <f t="shared" si="28"/>
        <v>0</v>
      </c>
      <c r="AE414" s="568">
        <f t="shared" si="29"/>
        <v>-1</v>
      </c>
      <c r="AF414" s="569">
        <f t="shared" si="34"/>
        <v>240</v>
      </c>
    </row>
    <row r="415" spans="1:32" x14ac:dyDescent="0.3">
      <c r="A415" s="12" t="s">
        <v>231</v>
      </c>
      <c r="B415" s="13" t="s">
        <v>241</v>
      </c>
      <c r="C415" s="558"/>
      <c r="D415" s="560">
        <v>0</v>
      </c>
      <c r="E415" s="560">
        <v>137200</v>
      </c>
      <c r="F415" s="560">
        <v>0</v>
      </c>
      <c r="G415" s="560">
        <v>0</v>
      </c>
      <c r="H415" s="560">
        <v>0</v>
      </c>
      <c r="I415" s="560">
        <v>0</v>
      </c>
      <c r="J415" s="560">
        <v>0</v>
      </c>
      <c r="K415" s="560">
        <v>0</v>
      </c>
      <c r="L415" s="560">
        <v>0</v>
      </c>
      <c r="M415" s="560">
        <v>0</v>
      </c>
      <c r="N415" s="560">
        <v>0</v>
      </c>
      <c r="O415" s="560">
        <v>0</v>
      </c>
      <c r="P415" s="1494">
        <f t="shared" si="35"/>
        <v>137200</v>
      </c>
      <c r="Q415" s="490">
        <f t="shared" si="32"/>
        <v>137200</v>
      </c>
      <c r="R415" s="558" t="s">
        <v>251</v>
      </c>
      <c r="S415" s="560" t="s">
        <v>251</v>
      </c>
      <c r="T415" s="560" t="s">
        <v>251</v>
      </c>
      <c r="U415" s="560"/>
      <c r="V415" s="560"/>
      <c r="W415" s="560"/>
      <c r="X415" s="560"/>
      <c r="Y415" s="560"/>
      <c r="Z415" s="560"/>
      <c r="AA415" s="560"/>
      <c r="AB415" s="560"/>
      <c r="AC415" s="560"/>
      <c r="AD415" s="490">
        <f t="shared" si="28"/>
        <v>0</v>
      </c>
      <c r="AE415" s="568">
        <f t="shared" si="29"/>
        <v>-1</v>
      </c>
      <c r="AF415" s="569">
        <f t="shared" si="34"/>
        <v>240</v>
      </c>
    </row>
    <row r="416" spans="1:32" x14ac:dyDescent="0.3">
      <c r="A416" s="12" t="s">
        <v>231</v>
      </c>
      <c r="B416" s="13" t="s">
        <v>242</v>
      </c>
      <c r="C416" s="558">
        <v>35280</v>
      </c>
      <c r="D416" s="560">
        <v>0</v>
      </c>
      <c r="E416" s="560">
        <v>0</v>
      </c>
      <c r="F416" s="560">
        <v>0</v>
      </c>
      <c r="G416" s="560">
        <v>0</v>
      </c>
      <c r="H416" s="560">
        <v>0</v>
      </c>
      <c r="I416" s="560">
        <v>0</v>
      </c>
      <c r="J416" s="560">
        <v>0</v>
      </c>
      <c r="K416" s="560">
        <v>0</v>
      </c>
      <c r="L416" s="560">
        <v>0</v>
      </c>
      <c r="M416" s="560">
        <v>0</v>
      </c>
      <c r="N416" s="560">
        <v>0</v>
      </c>
      <c r="O416" s="560">
        <v>0</v>
      </c>
      <c r="P416" s="1494">
        <f t="shared" si="35"/>
        <v>35280</v>
      </c>
      <c r="Q416" s="490">
        <f t="shared" si="32"/>
        <v>35280</v>
      </c>
      <c r="R416" s="558" t="s">
        <v>251</v>
      </c>
      <c r="S416" s="560" t="s">
        <v>251</v>
      </c>
      <c r="T416" s="560" t="s">
        <v>251</v>
      </c>
      <c r="U416" s="560"/>
      <c r="V416" s="560"/>
      <c r="W416" s="560"/>
      <c r="X416" s="560"/>
      <c r="Y416" s="560"/>
      <c r="Z416" s="560"/>
      <c r="AA416" s="560"/>
      <c r="AB416" s="560"/>
      <c r="AC416" s="560"/>
      <c r="AD416" s="490">
        <f t="shared" si="28"/>
        <v>0</v>
      </c>
      <c r="AE416" s="568">
        <f t="shared" si="29"/>
        <v>-1</v>
      </c>
      <c r="AF416" s="569">
        <f t="shared" si="34"/>
        <v>240</v>
      </c>
    </row>
    <row r="417" spans="1:32" x14ac:dyDescent="0.3">
      <c r="A417" s="12" t="s">
        <v>231</v>
      </c>
      <c r="B417" s="13" t="s">
        <v>10</v>
      </c>
      <c r="C417" s="558" t="s">
        <v>251</v>
      </c>
      <c r="D417" s="560" t="s">
        <v>251</v>
      </c>
      <c r="E417" s="560" t="s">
        <v>251</v>
      </c>
      <c r="F417" s="560" t="s">
        <v>251</v>
      </c>
      <c r="G417" s="560" t="s">
        <v>251</v>
      </c>
      <c r="H417" s="560" t="s">
        <v>251</v>
      </c>
      <c r="I417" s="560" t="s">
        <v>251</v>
      </c>
      <c r="J417" s="560" t="s">
        <v>251</v>
      </c>
      <c r="K417" s="560"/>
      <c r="L417" s="560" t="s">
        <v>251</v>
      </c>
      <c r="M417" s="560" t="s">
        <v>251</v>
      </c>
      <c r="N417" s="560" t="s">
        <v>251</v>
      </c>
      <c r="O417" s="560" t="s">
        <v>251</v>
      </c>
      <c r="P417" s="1494">
        <f t="shared" si="35"/>
        <v>0</v>
      </c>
      <c r="Q417" s="490">
        <f t="shared" si="32"/>
        <v>0</v>
      </c>
      <c r="R417" s="558" t="s">
        <v>251</v>
      </c>
      <c r="S417" s="560" t="s">
        <v>251</v>
      </c>
      <c r="T417" s="560" t="s">
        <v>251</v>
      </c>
      <c r="U417" s="560"/>
      <c r="V417" s="560"/>
      <c r="W417" s="560"/>
      <c r="X417" s="560"/>
      <c r="Y417" s="560"/>
      <c r="Z417" s="560"/>
      <c r="AA417" s="560"/>
      <c r="AB417" s="560"/>
      <c r="AC417" s="560"/>
      <c r="AD417" s="490">
        <f t="shared" si="28"/>
        <v>0</v>
      </c>
      <c r="AE417" s="568">
        <f t="shared" si="29"/>
        <v>0</v>
      </c>
      <c r="AF417" s="569">
        <f t="shared" si="34"/>
        <v>240</v>
      </c>
    </row>
    <row r="418" spans="1:32" x14ac:dyDescent="0.3">
      <c r="A418" s="12" t="s">
        <v>231</v>
      </c>
      <c r="B418" s="13" t="s">
        <v>143</v>
      </c>
      <c r="C418" s="558" t="s">
        <v>251</v>
      </c>
      <c r="D418" s="560" t="s">
        <v>251</v>
      </c>
      <c r="E418" s="560" t="s">
        <v>251</v>
      </c>
      <c r="F418" s="560" t="s">
        <v>251</v>
      </c>
      <c r="G418" s="560" t="s">
        <v>251</v>
      </c>
      <c r="H418" s="560" t="s">
        <v>251</v>
      </c>
      <c r="I418" s="560" t="s">
        <v>251</v>
      </c>
      <c r="J418" s="560" t="s">
        <v>251</v>
      </c>
      <c r="K418" s="560"/>
      <c r="L418" s="560" t="s">
        <v>251</v>
      </c>
      <c r="M418" s="560" t="s">
        <v>251</v>
      </c>
      <c r="N418" s="560" t="s">
        <v>251</v>
      </c>
      <c r="O418" s="560" t="s">
        <v>251</v>
      </c>
      <c r="P418" s="1494">
        <f t="shared" si="35"/>
        <v>0</v>
      </c>
      <c r="Q418" s="490">
        <f t="shared" si="32"/>
        <v>0</v>
      </c>
      <c r="R418" s="558" t="s">
        <v>251</v>
      </c>
      <c r="S418" s="560" t="s">
        <v>251</v>
      </c>
      <c r="T418" s="560" t="s">
        <v>251</v>
      </c>
      <c r="U418" s="560"/>
      <c r="V418" s="560"/>
      <c r="W418" s="560"/>
      <c r="X418" s="560"/>
      <c r="Y418" s="560"/>
      <c r="Z418" s="560"/>
      <c r="AA418" s="560"/>
      <c r="AB418" s="560"/>
      <c r="AC418" s="560"/>
      <c r="AD418" s="490">
        <f t="shared" si="28"/>
        <v>0</v>
      </c>
      <c r="AE418" s="568">
        <f t="shared" si="29"/>
        <v>0</v>
      </c>
      <c r="AF418" s="569">
        <f t="shared" si="34"/>
        <v>240</v>
      </c>
    </row>
    <row r="419" spans="1:32" x14ac:dyDescent="0.3">
      <c r="A419" s="12" t="s">
        <v>231</v>
      </c>
      <c r="B419" s="13" t="s">
        <v>15</v>
      </c>
      <c r="C419" s="558" t="str">
        <f>D431</f>
        <v/>
      </c>
      <c r="D419" s="560" t="s">
        <v>251</v>
      </c>
      <c r="E419" s="560" t="s">
        <v>251</v>
      </c>
      <c r="F419" s="560" t="s">
        <v>251</v>
      </c>
      <c r="G419" s="560" t="s">
        <v>251</v>
      </c>
      <c r="H419" s="560" t="s">
        <v>251</v>
      </c>
      <c r="I419" s="560" t="s">
        <v>251</v>
      </c>
      <c r="J419" s="560" t="s">
        <v>251</v>
      </c>
      <c r="K419" s="560"/>
      <c r="L419" s="560" t="s">
        <v>251</v>
      </c>
      <c r="M419" s="560" t="s">
        <v>251</v>
      </c>
      <c r="N419" s="560" t="s">
        <v>251</v>
      </c>
      <c r="O419" s="560" t="s">
        <v>251</v>
      </c>
      <c r="P419" s="1494">
        <f t="shared" si="35"/>
        <v>0</v>
      </c>
      <c r="Q419" s="490">
        <f t="shared" si="32"/>
        <v>0</v>
      </c>
      <c r="R419" s="558" t="s">
        <v>251</v>
      </c>
      <c r="S419" s="560" t="s">
        <v>251</v>
      </c>
      <c r="T419" s="560" t="s">
        <v>251</v>
      </c>
      <c r="U419" s="560"/>
      <c r="V419" s="560"/>
      <c r="W419" s="560"/>
      <c r="X419" s="560"/>
      <c r="Y419" s="560"/>
      <c r="Z419" s="560"/>
      <c r="AA419" s="560"/>
      <c r="AB419" s="560"/>
      <c r="AC419" s="560"/>
      <c r="AD419" s="490">
        <f t="shared" si="28"/>
        <v>0</v>
      </c>
      <c r="AE419" s="568">
        <f t="shared" ref="AE419:AE451" si="36">IF(OR(AD419="", P419=""), 0, IFERROR((AD419-P419)/P419, IF(AD419&lt;&gt;0, 1, 0)))</f>
        <v>0</v>
      </c>
      <c r="AF419" s="569">
        <f t="shared" si="34"/>
        <v>240</v>
      </c>
    </row>
    <row r="420" spans="1:32" x14ac:dyDescent="0.3">
      <c r="A420" s="12" t="s">
        <v>231</v>
      </c>
      <c r="B420" s="13" t="s">
        <v>33</v>
      </c>
      <c r="C420" s="558" t="s">
        <v>251</v>
      </c>
      <c r="D420" s="560" t="s">
        <v>251</v>
      </c>
      <c r="E420" s="560" t="s">
        <v>251</v>
      </c>
      <c r="F420" s="560" t="s">
        <v>251</v>
      </c>
      <c r="G420" s="560" t="s">
        <v>251</v>
      </c>
      <c r="H420" s="560" t="s">
        <v>251</v>
      </c>
      <c r="I420" s="560" t="s">
        <v>251</v>
      </c>
      <c r="J420" s="560" t="s">
        <v>251</v>
      </c>
      <c r="K420" s="560"/>
      <c r="L420" s="560" t="s">
        <v>251</v>
      </c>
      <c r="M420" s="560" t="s">
        <v>251</v>
      </c>
      <c r="N420" s="560" t="s">
        <v>251</v>
      </c>
      <c r="O420" s="560" t="s">
        <v>251</v>
      </c>
      <c r="P420" s="1494">
        <f t="shared" si="35"/>
        <v>0</v>
      </c>
      <c r="Q420" s="490">
        <f t="shared" si="32"/>
        <v>0</v>
      </c>
      <c r="R420" s="558" t="s">
        <v>251</v>
      </c>
      <c r="S420" s="560" t="s">
        <v>251</v>
      </c>
      <c r="T420" s="560" t="s">
        <v>251</v>
      </c>
      <c r="U420" s="560"/>
      <c r="V420" s="560"/>
      <c r="W420" s="560"/>
      <c r="X420" s="560"/>
      <c r="Y420" s="560"/>
      <c r="Z420" s="560"/>
      <c r="AA420" s="560"/>
      <c r="AB420" s="560"/>
      <c r="AC420" s="560"/>
      <c r="AD420" s="490">
        <f t="shared" si="28"/>
        <v>0</v>
      </c>
      <c r="AE420" s="568">
        <f t="shared" si="36"/>
        <v>0</v>
      </c>
      <c r="AF420" s="569">
        <f t="shared" si="34"/>
        <v>240</v>
      </c>
    </row>
    <row r="421" spans="1:32" x14ac:dyDescent="0.3">
      <c r="A421" s="12" t="s">
        <v>231</v>
      </c>
      <c r="B421" s="13" t="s">
        <v>44</v>
      </c>
      <c r="C421" s="558" t="s">
        <v>251</v>
      </c>
      <c r="D421" s="560" t="s">
        <v>251</v>
      </c>
      <c r="E421" s="560" t="s">
        <v>251</v>
      </c>
      <c r="F421" s="560" t="s">
        <v>251</v>
      </c>
      <c r="G421" s="560" t="s">
        <v>251</v>
      </c>
      <c r="H421" s="560" t="s">
        <v>251</v>
      </c>
      <c r="I421" s="560" t="s">
        <v>251</v>
      </c>
      <c r="J421" s="560" t="s">
        <v>251</v>
      </c>
      <c r="K421" s="560"/>
      <c r="L421" s="560" t="s">
        <v>251</v>
      </c>
      <c r="M421" s="560" t="s">
        <v>251</v>
      </c>
      <c r="N421" s="560" t="s">
        <v>251</v>
      </c>
      <c r="O421" s="560" t="s">
        <v>251</v>
      </c>
      <c r="P421" s="1494">
        <f t="shared" si="35"/>
        <v>0</v>
      </c>
      <c r="Q421" s="490">
        <f t="shared" si="32"/>
        <v>0</v>
      </c>
      <c r="R421" s="558" t="s">
        <v>251</v>
      </c>
      <c r="S421" s="560" t="s">
        <v>251</v>
      </c>
      <c r="T421" s="560" t="s">
        <v>251</v>
      </c>
      <c r="U421" s="560"/>
      <c r="V421" s="560"/>
      <c r="W421" s="560"/>
      <c r="X421" s="560"/>
      <c r="Y421" s="560"/>
      <c r="Z421" s="560"/>
      <c r="AA421" s="560"/>
      <c r="AB421" s="560"/>
      <c r="AC421" s="560"/>
      <c r="AD421" s="490">
        <f t="shared" si="28"/>
        <v>0</v>
      </c>
      <c r="AE421" s="568">
        <f t="shared" si="36"/>
        <v>0</v>
      </c>
      <c r="AF421" s="569">
        <f t="shared" si="34"/>
        <v>240</v>
      </c>
    </row>
    <row r="422" spans="1:32" x14ac:dyDescent="0.3">
      <c r="A422" s="12" t="s">
        <v>231</v>
      </c>
      <c r="B422" s="13" t="s">
        <v>173</v>
      </c>
      <c r="C422" s="558" t="s">
        <v>251</v>
      </c>
      <c r="D422" s="560" t="s">
        <v>251</v>
      </c>
      <c r="E422" s="560" t="s">
        <v>251</v>
      </c>
      <c r="F422" s="560" t="s">
        <v>251</v>
      </c>
      <c r="G422" s="560" t="s">
        <v>251</v>
      </c>
      <c r="H422" s="560" t="s">
        <v>251</v>
      </c>
      <c r="I422" s="560" t="s">
        <v>251</v>
      </c>
      <c r="J422" s="560" t="s">
        <v>251</v>
      </c>
      <c r="K422" s="560"/>
      <c r="L422" s="560" t="s">
        <v>251</v>
      </c>
      <c r="M422" s="560" t="s">
        <v>251</v>
      </c>
      <c r="N422" s="560" t="s">
        <v>251</v>
      </c>
      <c r="O422" s="560" t="s">
        <v>251</v>
      </c>
      <c r="P422" s="1494">
        <f t="shared" si="35"/>
        <v>0</v>
      </c>
      <c r="Q422" s="490">
        <f t="shared" si="32"/>
        <v>0</v>
      </c>
      <c r="R422" s="558" t="s">
        <v>251</v>
      </c>
      <c r="S422" s="560" t="s">
        <v>251</v>
      </c>
      <c r="T422" s="560" t="s">
        <v>251</v>
      </c>
      <c r="U422" s="560"/>
      <c r="V422" s="560"/>
      <c r="W422" s="560"/>
      <c r="X422" s="560"/>
      <c r="Y422" s="560"/>
      <c r="Z422" s="560"/>
      <c r="AA422" s="560"/>
      <c r="AB422" s="560"/>
      <c r="AC422" s="560"/>
      <c r="AD422" s="490">
        <f t="shared" si="28"/>
        <v>0</v>
      </c>
      <c r="AE422" s="568">
        <f t="shared" si="36"/>
        <v>0</v>
      </c>
      <c r="AF422" s="569">
        <f t="shared" si="34"/>
        <v>240</v>
      </c>
    </row>
    <row r="423" spans="1:32" x14ac:dyDescent="0.3">
      <c r="A423" s="12" t="s">
        <v>231</v>
      </c>
      <c r="B423" s="13" t="s">
        <v>175</v>
      </c>
      <c r="C423" s="558" t="s">
        <v>251</v>
      </c>
      <c r="D423" s="560" t="s">
        <v>251</v>
      </c>
      <c r="E423" s="560" t="s">
        <v>251</v>
      </c>
      <c r="F423" s="560" t="s">
        <v>251</v>
      </c>
      <c r="G423" s="560" t="s">
        <v>251</v>
      </c>
      <c r="H423" s="560" t="s">
        <v>251</v>
      </c>
      <c r="I423" s="560" t="s">
        <v>251</v>
      </c>
      <c r="J423" s="560" t="s">
        <v>251</v>
      </c>
      <c r="K423" s="560"/>
      <c r="L423" s="560" t="s">
        <v>251</v>
      </c>
      <c r="M423" s="560" t="s">
        <v>251</v>
      </c>
      <c r="N423" s="560" t="s">
        <v>251</v>
      </c>
      <c r="O423" s="560" t="s">
        <v>251</v>
      </c>
      <c r="P423" s="1494">
        <f t="shared" si="35"/>
        <v>0</v>
      </c>
      <c r="Q423" s="490">
        <f t="shared" si="32"/>
        <v>0</v>
      </c>
      <c r="R423" s="558" t="s">
        <v>251</v>
      </c>
      <c r="S423" s="560" t="s">
        <v>251</v>
      </c>
      <c r="T423" s="560" t="s">
        <v>251</v>
      </c>
      <c r="U423" s="560"/>
      <c r="V423" s="560"/>
      <c r="W423" s="560"/>
      <c r="X423" s="560"/>
      <c r="Y423" s="560"/>
      <c r="Z423" s="560"/>
      <c r="AA423" s="560"/>
      <c r="AB423" s="560"/>
      <c r="AC423" s="560"/>
      <c r="AD423" s="490">
        <f t="shared" si="28"/>
        <v>0</v>
      </c>
      <c r="AE423" s="568">
        <f t="shared" si="36"/>
        <v>0</v>
      </c>
      <c r="AF423" s="569">
        <f t="shared" si="34"/>
        <v>240</v>
      </c>
    </row>
    <row r="424" spans="1:32" x14ac:dyDescent="0.3">
      <c r="A424" s="12" t="s">
        <v>231</v>
      </c>
      <c r="B424" s="13" t="s">
        <v>243</v>
      </c>
      <c r="C424" s="558" t="s">
        <v>251</v>
      </c>
      <c r="D424" s="560" t="s">
        <v>251</v>
      </c>
      <c r="E424" s="560" t="s">
        <v>251</v>
      </c>
      <c r="F424" s="560" t="s">
        <v>251</v>
      </c>
      <c r="G424" s="560" t="s">
        <v>251</v>
      </c>
      <c r="H424" s="560" t="s">
        <v>251</v>
      </c>
      <c r="I424" s="560" t="s">
        <v>251</v>
      </c>
      <c r="J424" s="560" t="s">
        <v>251</v>
      </c>
      <c r="K424" s="560"/>
      <c r="L424" s="560" t="s">
        <v>251</v>
      </c>
      <c r="M424" s="560" t="s">
        <v>251</v>
      </c>
      <c r="N424" s="560" t="s">
        <v>251</v>
      </c>
      <c r="O424" s="560" t="s">
        <v>251</v>
      </c>
      <c r="P424" s="1494">
        <f t="shared" si="35"/>
        <v>0</v>
      </c>
      <c r="Q424" s="490">
        <f t="shared" si="32"/>
        <v>0</v>
      </c>
      <c r="R424" s="558" t="s">
        <v>251</v>
      </c>
      <c r="S424" s="560" t="s">
        <v>251</v>
      </c>
      <c r="T424" s="560" t="s">
        <v>251</v>
      </c>
      <c r="U424" s="560"/>
      <c r="V424" s="560"/>
      <c r="W424" s="560"/>
      <c r="X424" s="560"/>
      <c r="Y424" s="560"/>
      <c r="Z424" s="560"/>
      <c r="AA424" s="560"/>
      <c r="AB424" s="560"/>
      <c r="AC424" s="560"/>
      <c r="AD424" s="490">
        <f t="shared" si="28"/>
        <v>0</v>
      </c>
      <c r="AE424" s="568">
        <f t="shared" si="36"/>
        <v>0</v>
      </c>
      <c r="AF424" s="569">
        <f t="shared" si="34"/>
        <v>240</v>
      </c>
    </row>
    <row r="425" spans="1:32" x14ac:dyDescent="0.3">
      <c r="A425" s="12" t="s">
        <v>231</v>
      </c>
      <c r="B425" s="13" t="s">
        <v>180</v>
      </c>
      <c r="C425" s="558" t="s">
        <v>251</v>
      </c>
      <c r="D425" s="560" t="s">
        <v>251</v>
      </c>
      <c r="E425" s="560" t="s">
        <v>251</v>
      </c>
      <c r="F425" s="560" t="s">
        <v>251</v>
      </c>
      <c r="G425" s="560" t="s">
        <v>251</v>
      </c>
      <c r="H425" s="560" t="s">
        <v>251</v>
      </c>
      <c r="I425" s="560" t="s">
        <v>251</v>
      </c>
      <c r="J425" s="560" t="s">
        <v>251</v>
      </c>
      <c r="K425" s="560"/>
      <c r="L425" s="560" t="s">
        <v>251</v>
      </c>
      <c r="M425" s="560" t="s">
        <v>251</v>
      </c>
      <c r="N425" s="560" t="s">
        <v>251</v>
      </c>
      <c r="O425" s="560" t="s">
        <v>251</v>
      </c>
      <c r="P425" s="1494">
        <f t="shared" si="35"/>
        <v>0</v>
      </c>
      <c r="Q425" s="490">
        <f t="shared" si="32"/>
        <v>0</v>
      </c>
      <c r="R425" s="558" t="s">
        <v>251</v>
      </c>
      <c r="S425" s="560" t="s">
        <v>251</v>
      </c>
      <c r="T425" s="560" t="s">
        <v>251</v>
      </c>
      <c r="U425" s="560"/>
      <c r="V425" s="560"/>
      <c r="W425" s="560"/>
      <c r="X425" s="560"/>
      <c r="Y425" s="560"/>
      <c r="Z425" s="560"/>
      <c r="AA425" s="560"/>
      <c r="AB425" s="560"/>
      <c r="AC425" s="560"/>
      <c r="AD425" s="490">
        <f t="shared" si="28"/>
        <v>0</v>
      </c>
      <c r="AE425" s="568">
        <f t="shared" si="36"/>
        <v>0</v>
      </c>
      <c r="AF425" s="569">
        <f t="shared" si="34"/>
        <v>240</v>
      </c>
    </row>
    <row r="426" spans="1:32" x14ac:dyDescent="0.3">
      <c r="A426" s="12" t="s">
        <v>231</v>
      </c>
      <c r="B426" s="13" t="s">
        <v>244</v>
      </c>
      <c r="C426" s="558" t="s">
        <v>251</v>
      </c>
      <c r="D426" s="560" t="s">
        <v>251</v>
      </c>
      <c r="E426" s="560" t="s">
        <v>251</v>
      </c>
      <c r="F426" s="560" t="s">
        <v>251</v>
      </c>
      <c r="G426" s="560" t="s">
        <v>251</v>
      </c>
      <c r="H426" s="560" t="s">
        <v>251</v>
      </c>
      <c r="I426" s="560" t="s">
        <v>251</v>
      </c>
      <c r="J426" s="560" t="s">
        <v>251</v>
      </c>
      <c r="K426" s="560"/>
      <c r="L426" s="560" t="s">
        <v>251</v>
      </c>
      <c r="M426" s="560" t="s">
        <v>251</v>
      </c>
      <c r="N426" s="560" t="s">
        <v>251</v>
      </c>
      <c r="O426" s="560" t="s">
        <v>251</v>
      </c>
      <c r="P426" s="1494">
        <f t="shared" si="35"/>
        <v>0</v>
      </c>
      <c r="Q426" s="490">
        <f t="shared" si="32"/>
        <v>0</v>
      </c>
      <c r="R426" s="558" t="s">
        <v>251</v>
      </c>
      <c r="S426" s="560" t="s">
        <v>251</v>
      </c>
      <c r="T426" s="560" t="s">
        <v>251</v>
      </c>
      <c r="U426" s="560"/>
      <c r="V426" s="560"/>
      <c r="W426" s="560"/>
      <c r="X426" s="560"/>
      <c r="Y426" s="560"/>
      <c r="Z426" s="560"/>
      <c r="AA426" s="560"/>
      <c r="AB426" s="560"/>
      <c r="AC426" s="560"/>
      <c r="AD426" s="490">
        <f t="shared" si="28"/>
        <v>0</v>
      </c>
      <c r="AE426" s="568">
        <f t="shared" si="36"/>
        <v>0</v>
      </c>
      <c r="AF426" s="569">
        <f t="shared" si="34"/>
        <v>240</v>
      </c>
    </row>
    <row r="427" spans="1:32" x14ac:dyDescent="0.3">
      <c r="A427" s="12" t="s">
        <v>231</v>
      </c>
      <c r="B427" s="13" t="s">
        <v>112</v>
      </c>
      <c r="C427" s="558" t="s">
        <v>251</v>
      </c>
      <c r="D427" s="560" t="s">
        <v>251</v>
      </c>
      <c r="E427" s="560" t="s">
        <v>251</v>
      </c>
      <c r="F427" s="560" t="s">
        <v>251</v>
      </c>
      <c r="G427" s="560" t="s">
        <v>251</v>
      </c>
      <c r="H427" s="560" t="s">
        <v>251</v>
      </c>
      <c r="I427" s="560" t="s">
        <v>251</v>
      </c>
      <c r="J427" s="560" t="s">
        <v>251</v>
      </c>
      <c r="K427" s="560"/>
      <c r="L427" s="560" t="s">
        <v>251</v>
      </c>
      <c r="M427" s="560" t="s">
        <v>251</v>
      </c>
      <c r="N427" s="560" t="s">
        <v>251</v>
      </c>
      <c r="O427" s="560" t="s">
        <v>251</v>
      </c>
      <c r="P427" s="1494">
        <f t="shared" si="35"/>
        <v>0</v>
      </c>
      <c r="Q427" s="490">
        <f t="shared" si="32"/>
        <v>0</v>
      </c>
      <c r="R427" s="558" t="s">
        <v>251</v>
      </c>
      <c r="S427" s="560" t="s">
        <v>251</v>
      </c>
      <c r="T427" s="560" t="s">
        <v>251</v>
      </c>
      <c r="U427" s="560"/>
      <c r="V427" s="560"/>
      <c r="W427" s="560"/>
      <c r="X427" s="560"/>
      <c r="Y427" s="560"/>
      <c r="Z427" s="560"/>
      <c r="AA427" s="560"/>
      <c r="AB427" s="560"/>
      <c r="AC427" s="560"/>
      <c r="AD427" s="490">
        <f t="shared" si="28"/>
        <v>0</v>
      </c>
      <c r="AE427" s="568">
        <f t="shared" si="36"/>
        <v>0</v>
      </c>
      <c r="AF427" s="569">
        <f t="shared" si="34"/>
        <v>240</v>
      </c>
    </row>
    <row r="428" spans="1:32" x14ac:dyDescent="0.3">
      <c r="A428" s="12" t="s">
        <v>231</v>
      </c>
      <c r="B428" s="13" t="s">
        <v>30</v>
      </c>
      <c r="C428" s="558" t="s">
        <v>251</v>
      </c>
      <c r="D428" s="560" t="s">
        <v>251</v>
      </c>
      <c r="E428" s="560" t="s">
        <v>251</v>
      </c>
      <c r="F428" s="560" t="s">
        <v>251</v>
      </c>
      <c r="G428" s="560" t="s">
        <v>251</v>
      </c>
      <c r="H428" s="560" t="s">
        <v>251</v>
      </c>
      <c r="I428" s="560" t="s">
        <v>251</v>
      </c>
      <c r="J428" s="560" t="s">
        <v>251</v>
      </c>
      <c r="K428" s="560"/>
      <c r="L428" s="560" t="s">
        <v>251</v>
      </c>
      <c r="M428" s="560" t="s">
        <v>251</v>
      </c>
      <c r="N428" s="560" t="s">
        <v>251</v>
      </c>
      <c r="O428" s="560" t="s">
        <v>251</v>
      </c>
      <c r="P428" s="1494">
        <f t="shared" si="35"/>
        <v>0</v>
      </c>
      <c r="Q428" s="490">
        <f t="shared" si="32"/>
        <v>0</v>
      </c>
      <c r="R428" s="558" t="s">
        <v>251</v>
      </c>
      <c r="S428" s="560" t="s">
        <v>251</v>
      </c>
      <c r="T428" s="560" t="s">
        <v>251</v>
      </c>
      <c r="U428" s="560"/>
      <c r="V428" s="560"/>
      <c r="W428" s="560"/>
      <c r="X428" s="560"/>
      <c r="Y428" s="560"/>
      <c r="Z428" s="560"/>
      <c r="AA428" s="560"/>
      <c r="AB428" s="560"/>
      <c r="AC428" s="560"/>
      <c r="AD428" s="490">
        <f t="shared" si="28"/>
        <v>0</v>
      </c>
      <c r="AE428" s="568">
        <f t="shared" si="36"/>
        <v>0</v>
      </c>
      <c r="AF428" s="569">
        <f t="shared" si="34"/>
        <v>240</v>
      </c>
    </row>
    <row r="429" spans="1:32" x14ac:dyDescent="0.3">
      <c r="A429" s="12" t="s">
        <v>231</v>
      </c>
      <c r="B429" s="13" t="s">
        <v>190</v>
      </c>
      <c r="C429" s="558" t="s">
        <v>251</v>
      </c>
      <c r="D429" s="560" t="s">
        <v>251</v>
      </c>
      <c r="E429" s="560" t="s">
        <v>251</v>
      </c>
      <c r="F429" s="560" t="s">
        <v>251</v>
      </c>
      <c r="G429" s="560" t="s">
        <v>251</v>
      </c>
      <c r="H429" s="560" t="s">
        <v>251</v>
      </c>
      <c r="I429" s="560" t="s">
        <v>251</v>
      </c>
      <c r="J429" s="560" t="s">
        <v>251</v>
      </c>
      <c r="K429" s="560"/>
      <c r="L429" s="560" t="s">
        <v>251</v>
      </c>
      <c r="M429" s="560" t="s">
        <v>251</v>
      </c>
      <c r="N429" s="560" t="s">
        <v>251</v>
      </c>
      <c r="O429" s="560" t="s">
        <v>251</v>
      </c>
      <c r="P429" s="1494">
        <f t="shared" si="35"/>
        <v>0</v>
      </c>
      <c r="Q429" s="490">
        <f t="shared" si="32"/>
        <v>0</v>
      </c>
      <c r="R429" s="558" t="s">
        <v>251</v>
      </c>
      <c r="S429" s="560" t="s">
        <v>251</v>
      </c>
      <c r="T429" s="560" t="s">
        <v>251</v>
      </c>
      <c r="U429" s="560"/>
      <c r="V429" s="560"/>
      <c r="W429" s="560"/>
      <c r="X429" s="560"/>
      <c r="Y429" s="560"/>
      <c r="Z429" s="560"/>
      <c r="AA429" s="560"/>
      <c r="AB429" s="560"/>
      <c r="AC429" s="560"/>
      <c r="AD429" s="490">
        <f t="shared" si="28"/>
        <v>0</v>
      </c>
      <c r="AE429" s="568">
        <f t="shared" si="36"/>
        <v>0</v>
      </c>
      <c r="AF429" s="569">
        <f t="shared" si="34"/>
        <v>240</v>
      </c>
    </row>
    <row r="430" spans="1:32" x14ac:dyDescent="0.3">
      <c r="A430" s="12" t="s">
        <v>231</v>
      </c>
      <c r="B430" s="13" t="s">
        <v>129</v>
      </c>
      <c r="C430" s="558" t="s">
        <v>251</v>
      </c>
      <c r="D430" s="560">
        <v>0</v>
      </c>
      <c r="E430" s="560">
        <v>0</v>
      </c>
      <c r="F430" s="560">
        <v>0</v>
      </c>
      <c r="G430" s="560" t="s">
        <v>251</v>
      </c>
      <c r="H430" s="560">
        <v>0</v>
      </c>
      <c r="I430" s="560">
        <v>0</v>
      </c>
      <c r="J430" s="560">
        <v>0</v>
      </c>
      <c r="K430" s="560"/>
      <c r="L430" s="560">
        <v>0</v>
      </c>
      <c r="M430" s="560">
        <v>0</v>
      </c>
      <c r="N430" s="560">
        <v>909210</v>
      </c>
      <c r="O430" s="560">
        <v>1809710</v>
      </c>
      <c r="P430" s="1494">
        <f t="shared" si="35"/>
        <v>0</v>
      </c>
      <c r="Q430" s="490">
        <f t="shared" si="32"/>
        <v>2718920</v>
      </c>
      <c r="R430" s="558" t="s">
        <v>251</v>
      </c>
      <c r="S430" s="560" t="s">
        <v>251</v>
      </c>
      <c r="T430" s="560" t="s">
        <v>251</v>
      </c>
      <c r="U430" s="560"/>
      <c r="V430" s="560"/>
      <c r="W430" s="560"/>
      <c r="X430" s="560"/>
      <c r="Y430" s="560"/>
      <c r="Z430" s="560"/>
      <c r="AA430" s="560"/>
      <c r="AB430" s="560"/>
      <c r="AC430" s="560"/>
      <c r="AD430" s="490">
        <f t="shared" si="28"/>
        <v>0</v>
      </c>
      <c r="AE430" s="568">
        <f t="shared" si="36"/>
        <v>0</v>
      </c>
      <c r="AF430" s="569">
        <f t="shared" si="34"/>
        <v>240</v>
      </c>
    </row>
    <row r="431" spans="1:32" x14ac:dyDescent="0.3">
      <c r="A431" s="12" t="s">
        <v>231</v>
      </c>
      <c r="B431" s="13" t="s">
        <v>245</v>
      </c>
      <c r="C431" s="558" t="s">
        <v>251</v>
      </c>
      <c r="D431" s="560" t="s">
        <v>251</v>
      </c>
      <c r="E431" s="560" t="s">
        <v>251</v>
      </c>
      <c r="F431" s="560" t="s">
        <v>251</v>
      </c>
      <c r="G431" s="560" t="s">
        <v>251</v>
      </c>
      <c r="H431" s="560" t="s">
        <v>251</v>
      </c>
      <c r="I431" s="560" t="s">
        <v>251</v>
      </c>
      <c r="J431" s="560" t="s">
        <v>251</v>
      </c>
      <c r="K431" s="560"/>
      <c r="L431" s="560" t="s">
        <v>251</v>
      </c>
      <c r="M431" s="560" t="s">
        <v>251</v>
      </c>
      <c r="N431" s="560" t="s">
        <v>251</v>
      </c>
      <c r="O431" s="560" t="s">
        <v>251</v>
      </c>
      <c r="P431" s="1494">
        <f t="shared" si="35"/>
        <v>0</v>
      </c>
      <c r="Q431" s="490">
        <f t="shared" si="32"/>
        <v>0</v>
      </c>
      <c r="R431" s="558" t="s">
        <v>251</v>
      </c>
      <c r="S431" s="560" t="s">
        <v>251</v>
      </c>
      <c r="T431" s="560" t="s">
        <v>251</v>
      </c>
      <c r="U431" s="560"/>
      <c r="V431" s="560"/>
      <c r="W431" s="560"/>
      <c r="X431" s="560"/>
      <c r="Y431" s="560"/>
      <c r="Z431" s="560"/>
      <c r="AA431" s="560"/>
      <c r="AB431" s="560"/>
      <c r="AC431" s="560"/>
      <c r="AD431" s="490">
        <f t="shared" si="28"/>
        <v>0</v>
      </c>
      <c r="AE431" s="568">
        <f t="shared" si="36"/>
        <v>0</v>
      </c>
      <c r="AF431" s="569">
        <f t="shared" ref="AF431:AF450" si="37">IFERROR(_xlfn.RANK.EQ(AD431, $AD$2:$AD$450), "")</f>
        <v>240</v>
      </c>
    </row>
    <row r="432" spans="1:32" x14ac:dyDescent="0.3">
      <c r="A432" s="12" t="s">
        <v>231</v>
      </c>
      <c r="B432" s="13" t="s">
        <v>246</v>
      </c>
      <c r="C432" s="558" t="s">
        <v>251</v>
      </c>
      <c r="D432" s="560" t="s">
        <v>251</v>
      </c>
      <c r="E432" s="560" t="s">
        <v>251</v>
      </c>
      <c r="F432" s="560" t="s">
        <v>251</v>
      </c>
      <c r="G432" s="560" t="s">
        <v>251</v>
      </c>
      <c r="H432" s="560" t="s">
        <v>251</v>
      </c>
      <c r="I432" s="560" t="s">
        <v>251</v>
      </c>
      <c r="J432" s="560" t="s">
        <v>251</v>
      </c>
      <c r="K432" s="560"/>
      <c r="L432" s="560" t="s">
        <v>251</v>
      </c>
      <c r="M432" s="560" t="s">
        <v>251</v>
      </c>
      <c r="N432" s="560" t="s">
        <v>251</v>
      </c>
      <c r="O432" s="560" t="s">
        <v>251</v>
      </c>
      <c r="P432" s="1494">
        <f t="shared" si="35"/>
        <v>0</v>
      </c>
      <c r="Q432" s="490">
        <f t="shared" si="32"/>
        <v>0</v>
      </c>
      <c r="R432" s="558" t="s">
        <v>251</v>
      </c>
      <c r="S432" s="560" t="s">
        <v>251</v>
      </c>
      <c r="T432" s="560" t="s">
        <v>251</v>
      </c>
      <c r="U432" s="560"/>
      <c r="V432" s="560"/>
      <c r="W432" s="560"/>
      <c r="X432" s="560"/>
      <c r="Y432" s="560"/>
      <c r="Z432" s="560"/>
      <c r="AA432" s="560"/>
      <c r="AB432" s="560"/>
      <c r="AC432" s="560"/>
      <c r="AD432" s="490">
        <f t="shared" si="28"/>
        <v>0</v>
      </c>
      <c r="AE432" s="568">
        <f t="shared" si="36"/>
        <v>0</v>
      </c>
      <c r="AF432" s="569">
        <f t="shared" si="37"/>
        <v>240</v>
      </c>
    </row>
    <row r="433" spans="1:32" x14ac:dyDescent="0.3">
      <c r="A433" s="12" t="s">
        <v>231</v>
      </c>
      <c r="B433" s="13" t="s">
        <v>198</v>
      </c>
      <c r="C433" s="558" t="s">
        <v>251</v>
      </c>
      <c r="D433" s="560" t="s">
        <v>251</v>
      </c>
      <c r="E433" s="560" t="s">
        <v>251</v>
      </c>
      <c r="F433" s="560" t="s">
        <v>251</v>
      </c>
      <c r="G433" s="560" t="s">
        <v>251</v>
      </c>
      <c r="H433" s="560" t="s">
        <v>251</v>
      </c>
      <c r="I433" s="560" t="s">
        <v>251</v>
      </c>
      <c r="J433" s="560" t="s">
        <v>251</v>
      </c>
      <c r="K433" s="560"/>
      <c r="L433" s="560" t="s">
        <v>251</v>
      </c>
      <c r="M433" s="560" t="s">
        <v>251</v>
      </c>
      <c r="N433" s="560" t="s">
        <v>251</v>
      </c>
      <c r="O433" s="560" t="s">
        <v>251</v>
      </c>
      <c r="P433" s="1494">
        <f t="shared" si="35"/>
        <v>0</v>
      </c>
      <c r="Q433" s="490">
        <f t="shared" si="32"/>
        <v>0</v>
      </c>
      <c r="R433" s="558" t="s">
        <v>251</v>
      </c>
      <c r="S433" s="560" t="s">
        <v>251</v>
      </c>
      <c r="T433" s="560" t="s">
        <v>251</v>
      </c>
      <c r="U433" s="560"/>
      <c r="V433" s="560"/>
      <c r="W433" s="560"/>
      <c r="X433" s="560"/>
      <c r="Y433" s="560"/>
      <c r="Z433" s="560"/>
      <c r="AA433" s="560"/>
      <c r="AB433" s="560"/>
      <c r="AC433" s="560"/>
      <c r="AD433" s="490">
        <f t="shared" si="28"/>
        <v>0</v>
      </c>
      <c r="AE433" s="568">
        <f t="shared" si="36"/>
        <v>0</v>
      </c>
      <c r="AF433" s="569">
        <f t="shared" si="37"/>
        <v>240</v>
      </c>
    </row>
    <row r="434" spans="1:32" x14ac:dyDescent="0.3">
      <c r="A434" s="12" t="s">
        <v>231</v>
      </c>
      <c r="B434" s="13" t="s">
        <v>247</v>
      </c>
      <c r="C434" s="558" t="s">
        <v>251</v>
      </c>
      <c r="D434" s="560" t="s">
        <v>251</v>
      </c>
      <c r="E434" s="560" t="s">
        <v>251</v>
      </c>
      <c r="F434" s="560" t="s">
        <v>251</v>
      </c>
      <c r="G434" s="560" t="s">
        <v>251</v>
      </c>
      <c r="H434" s="560" t="s">
        <v>251</v>
      </c>
      <c r="I434" s="560" t="s">
        <v>251</v>
      </c>
      <c r="J434" s="560" t="s">
        <v>251</v>
      </c>
      <c r="K434" s="560"/>
      <c r="L434" s="560" t="s">
        <v>251</v>
      </c>
      <c r="M434" s="560" t="s">
        <v>251</v>
      </c>
      <c r="N434" s="560" t="s">
        <v>251</v>
      </c>
      <c r="O434" s="560" t="s">
        <v>251</v>
      </c>
      <c r="P434" s="1494">
        <f t="shared" si="35"/>
        <v>0</v>
      </c>
      <c r="Q434" s="490">
        <f t="shared" si="32"/>
        <v>0</v>
      </c>
      <c r="R434" s="558" t="s">
        <v>251</v>
      </c>
      <c r="S434" s="560" t="s">
        <v>251</v>
      </c>
      <c r="T434" s="560" t="s">
        <v>251</v>
      </c>
      <c r="U434" s="560"/>
      <c r="V434" s="560"/>
      <c r="W434" s="560"/>
      <c r="X434" s="560"/>
      <c r="Y434" s="560"/>
      <c r="Z434" s="560"/>
      <c r="AA434" s="560"/>
      <c r="AB434" s="560"/>
      <c r="AC434" s="560"/>
      <c r="AD434" s="490">
        <f t="shared" si="28"/>
        <v>0</v>
      </c>
      <c r="AE434" s="568">
        <f t="shared" si="36"/>
        <v>0</v>
      </c>
      <c r="AF434" s="569">
        <f t="shared" si="37"/>
        <v>240</v>
      </c>
    </row>
    <row r="435" spans="1:32" x14ac:dyDescent="0.3">
      <c r="A435" s="12" t="s">
        <v>231</v>
      </c>
      <c r="B435" s="13" t="s">
        <v>248</v>
      </c>
      <c r="C435" s="558" t="s">
        <v>251</v>
      </c>
      <c r="D435" s="560" t="s">
        <v>251</v>
      </c>
      <c r="E435" s="560" t="s">
        <v>251</v>
      </c>
      <c r="F435" s="560" t="s">
        <v>251</v>
      </c>
      <c r="G435" s="560" t="s">
        <v>251</v>
      </c>
      <c r="H435" s="560" t="s">
        <v>251</v>
      </c>
      <c r="I435" s="560" t="s">
        <v>251</v>
      </c>
      <c r="J435" s="560" t="s">
        <v>251</v>
      </c>
      <c r="K435" s="560"/>
      <c r="L435" s="560" t="s">
        <v>251</v>
      </c>
      <c r="M435" s="560" t="s">
        <v>251</v>
      </c>
      <c r="N435" s="560" t="s">
        <v>251</v>
      </c>
      <c r="O435" s="560" t="s">
        <v>251</v>
      </c>
      <c r="P435" s="1494">
        <f t="shared" si="35"/>
        <v>0</v>
      </c>
      <c r="Q435" s="490">
        <f t="shared" si="32"/>
        <v>0</v>
      </c>
      <c r="R435" s="558" t="s">
        <v>251</v>
      </c>
      <c r="S435" s="560" t="s">
        <v>251</v>
      </c>
      <c r="T435" s="560" t="s">
        <v>251</v>
      </c>
      <c r="U435" s="560"/>
      <c r="V435" s="560"/>
      <c r="W435" s="560"/>
      <c r="X435" s="560"/>
      <c r="Y435" s="560"/>
      <c r="Z435" s="560"/>
      <c r="AA435" s="560"/>
      <c r="AB435" s="560"/>
      <c r="AC435" s="560"/>
      <c r="AD435" s="490">
        <f t="shared" si="28"/>
        <v>0</v>
      </c>
      <c r="AE435" s="568">
        <f t="shared" si="36"/>
        <v>0</v>
      </c>
      <c r="AF435" s="569">
        <f t="shared" si="37"/>
        <v>240</v>
      </c>
    </row>
    <row r="436" spans="1:32" x14ac:dyDescent="0.3">
      <c r="A436" s="12" t="s">
        <v>231</v>
      </c>
      <c r="B436" s="13" t="s">
        <v>154</v>
      </c>
      <c r="C436" s="558" t="s">
        <v>251</v>
      </c>
      <c r="D436" s="560" t="s">
        <v>251</v>
      </c>
      <c r="E436" s="560" t="s">
        <v>251</v>
      </c>
      <c r="F436" s="560" t="s">
        <v>251</v>
      </c>
      <c r="G436" s="560" t="s">
        <v>251</v>
      </c>
      <c r="H436" s="560" t="s">
        <v>251</v>
      </c>
      <c r="I436" s="560" t="s">
        <v>251</v>
      </c>
      <c r="J436" s="560" t="s">
        <v>251</v>
      </c>
      <c r="K436" s="560"/>
      <c r="L436" s="560" t="s">
        <v>251</v>
      </c>
      <c r="M436" s="560" t="s">
        <v>251</v>
      </c>
      <c r="N436" s="560" t="s">
        <v>251</v>
      </c>
      <c r="O436" s="560" t="s">
        <v>251</v>
      </c>
      <c r="P436" s="1494">
        <f t="shared" si="35"/>
        <v>0</v>
      </c>
      <c r="Q436" s="490">
        <f t="shared" si="32"/>
        <v>0</v>
      </c>
      <c r="R436" s="558" t="s">
        <v>251</v>
      </c>
      <c r="S436" s="560" t="s">
        <v>251</v>
      </c>
      <c r="T436" s="560" t="s">
        <v>251</v>
      </c>
      <c r="U436" s="560"/>
      <c r="V436" s="560"/>
      <c r="W436" s="560"/>
      <c r="X436" s="560"/>
      <c r="Y436" s="560"/>
      <c r="Z436" s="560"/>
      <c r="AA436" s="560"/>
      <c r="AB436" s="560"/>
      <c r="AC436" s="560"/>
      <c r="AD436" s="490">
        <f t="shared" si="28"/>
        <v>0</v>
      </c>
      <c r="AE436" s="568">
        <f t="shared" si="36"/>
        <v>0</v>
      </c>
      <c r="AF436" s="569">
        <f t="shared" si="37"/>
        <v>240</v>
      </c>
    </row>
    <row r="437" spans="1:32" x14ac:dyDescent="0.3">
      <c r="A437" s="12" t="s">
        <v>231</v>
      </c>
      <c r="B437" s="13" t="s">
        <v>249</v>
      </c>
      <c r="C437" s="558" t="s">
        <v>251</v>
      </c>
      <c r="D437" s="560" t="s">
        <v>251</v>
      </c>
      <c r="E437" s="560" t="s">
        <v>251</v>
      </c>
      <c r="F437" s="560" t="s">
        <v>251</v>
      </c>
      <c r="G437" s="560" t="s">
        <v>251</v>
      </c>
      <c r="H437" s="560" t="s">
        <v>251</v>
      </c>
      <c r="I437" s="560" t="s">
        <v>251</v>
      </c>
      <c r="J437" s="560" t="s">
        <v>251</v>
      </c>
      <c r="K437" s="560"/>
      <c r="L437" s="560" t="s">
        <v>251</v>
      </c>
      <c r="M437" s="560" t="s">
        <v>251</v>
      </c>
      <c r="N437" s="560" t="s">
        <v>251</v>
      </c>
      <c r="O437" s="560" t="s">
        <v>251</v>
      </c>
      <c r="P437" s="1494">
        <f t="shared" si="35"/>
        <v>0</v>
      </c>
      <c r="Q437" s="490">
        <f t="shared" si="32"/>
        <v>0</v>
      </c>
      <c r="R437" s="558" t="s">
        <v>251</v>
      </c>
      <c r="S437" s="560" t="s">
        <v>251</v>
      </c>
      <c r="T437" s="560" t="s">
        <v>251</v>
      </c>
      <c r="U437" s="560"/>
      <c r="V437" s="560"/>
      <c r="W437" s="560"/>
      <c r="X437" s="560"/>
      <c r="Y437" s="560"/>
      <c r="Z437" s="560"/>
      <c r="AA437" s="560"/>
      <c r="AB437" s="560"/>
      <c r="AC437" s="560"/>
      <c r="AD437" s="490">
        <f t="shared" si="28"/>
        <v>0</v>
      </c>
      <c r="AE437" s="568">
        <f t="shared" si="36"/>
        <v>0</v>
      </c>
      <c r="AF437" s="569">
        <f t="shared" si="37"/>
        <v>240</v>
      </c>
    </row>
    <row r="438" spans="1:32" x14ac:dyDescent="0.3">
      <c r="A438" s="12" t="s">
        <v>231</v>
      </c>
      <c r="B438" s="13" t="s">
        <v>252</v>
      </c>
      <c r="C438" s="558" t="s">
        <v>251</v>
      </c>
      <c r="D438" s="560" t="s">
        <v>251</v>
      </c>
      <c r="E438" s="560" t="s">
        <v>251</v>
      </c>
      <c r="F438" s="560" t="s">
        <v>251</v>
      </c>
      <c r="G438" s="560" t="s">
        <v>251</v>
      </c>
      <c r="H438" s="560" t="s">
        <v>251</v>
      </c>
      <c r="I438" s="560" t="s">
        <v>251</v>
      </c>
      <c r="J438" s="560" t="s">
        <v>251</v>
      </c>
      <c r="K438" s="560"/>
      <c r="L438" s="560" t="s">
        <v>251</v>
      </c>
      <c r="M438" s="560" t="s">
        <v>251</v>
      </c>
      <c r="N438" s="560" t="s">
        <v>251</v>
      </c>
      <c r="O438" s="560" t="s">
        <v>251</v>
      </c>
      <c r="P438" s="1494">
        <f t="shared" si="35"/>
        <v>0</v>
      </c>
      <c r="Q438" s="490">
        <f t="shared" si="32"/>
        <v>0</v>
      </c>
      <c r="R438" s="558" t="s">
        <v>251</v>
      </c>
      <c r="S438" s="560" t="s">
        <v>251</v>
      </c>
      <c r="T438" s="560" t="s">
        <v>251</v>
      </c>
      <c r="U438" s="560"/>
      <c r="V438" s="560"/>
      <c r="W438" s="560"/>
      <c r="X438" s="560"/>
      <c r="Y438" s="560"/>
      <c r="Z438" s="560"/>
      <c r="AA438" s="560"/>
      <c r="AB438" s="560"/>
      <c r="AC438" s="560"/>
      <c r="AD438" s="490">
        <f t="shared" ref="AD438:AD450" si="38">SUM(R438:AC438)</f>
        <v>0</v>
      </c>
      <c r="AE438" s="568">
        <f t="shared" si="36"/>
        <v>0</v>
      </c>
      <c r="AF438" s="569">
        <f t="shared" si="37"/>
        <v>240</v>
      </c>
    </row>
    <row r="439" spans="1:32" x14ac:dyDescent="0.3">
      <c r="A439" s="12" t="s">
        <v>231</v>
      </c>
      <c r="B439" s="13" t="s">
        <v>552</v>
      </c>
      <c r="C439" s="558" t="s">
        <v>251</v>
      </c>
      <c r="D439" s="560" t="s">
        <v>251</v>
      </c>
      <c r="E439" s="560" t="s">
        <v>251</v>
      </c>
      <c r="F439" s="560" t="s">
        <v>251</v>
      </c>
      <c r="G439" s="560" t="s">
        <v>251</v>
      </c>
      <c r="H439" s="560" t="s">
        <v>251</v>
      </c>
      <c r="I439" s="560" t="s">
        <v>251</v>
      </c>
      <c r="J439" s="560" t="s">
        <v>251</v>
      </c>
      <c r="K439" s="560"/>
      <c r="L439" s="560" t="s">
        <v>251</v>
      </c>
      <c r="M439" s="560" t="s">
        <v>251</v>
      </c>
      <c r="N439" s="560" t="s">
        <v>251</v>
      </c>
      <c r="O439" s="560" t="s">
        <v>251</v>
      </c>
      <c r="P439" s="1494">
        <f t="shared" si="35"/>
        <v>0</v>
      </c>
      <c r="Q439" s="490">
        <f t="shared" si="32"/>
        <v>0</v>
      </c>
      <c r="R439" s="558" t="s">
        <v>251</v>
      </c>
      <c r="S439" s="560" t="s">
        <v>251</v>
      </c>
      <c r="T439" s="560" t="s">
        <v>251</v>
      </c>
      <c r="U439" s="560"/>
      <c r="V439" s="560"/>
      <c r="W439" s="560"/>
      <c r="X439" s="560"/>
      <c r="Y439" s="560"/>
      <c r="Z439" s="560"/>
      <c r="AA439" s="560"/>
      <c r="AB439" s="560"/>
      <c r="AC439" s="560"/>
      <c r="AD439" s="490">
        <f t="shared" si="38"/>
        <v>0</v>
      </c>
      <c r="AE439" s="568">
        <f t="shared" si="36"/>
        <v>0</v>
      </c>
      <c r="AF439" s="569">
        <f t="shared" si="37"/>
        <v>240</v>
      </c>
    </row>
    <row r="440" spans="1:32" x14ac:dyDescent="0.3">
      <c r="A440" s="12" t="s">
        <v>231</v>
      </c>
      <c r="B440" s="13" t="s">
        <v>553</v>
      </c>
      <c r="C440" s="559" t="s">
        <v>251</v>
      </c>
      <c r="D440" s="561" t="s">
        <v>251</v>
      </c>
      <c r="E440" s="561" t="s">
        <v>251</v>
      </c>
      <c r="F440" s="561" t="s">
        <v>251</v>
      </c>
      <c r="G440" s="561" t="s">
        <v>251</v>
      </c>
      <c r="H440" s="561" t="s">
        <v>251</v>
      </c>
      <c r="I440" s="561" t="s">
        <v>251</v>
      </c>
      <c r="J440" s="561" t="s">
        <v>251</v>
      </c>
      <c r="K440" s="561"/>
      <c r="L440" s="561" t="s">
        <v>251</v>
      </c>
      <c r="M440" s="561" t="s">
        <v>251</v>
      </c>
      <c r="N440" s="561" t="s">
        <v>251</v>
      </c>
      <c r="O440" s="561" t="s">
        <v>251</v>
      </c>
      <c r="P440" s="1494">
        <f t="shared" si="35"/>
        <v>0</v>
      </c>
      <c r="Q440" s="490">
        <f t="shared" si="32"/>
        <v>0</v>
      </c>
      <c r="R440" s="558" t="s">
        <v>251</v>
      </c>
      <c r="S440" s="560" t="s">
        <v>251</v>
      </c>
      <c r="T440" s="560" t="s">
        <v>251</v>
      </c>
      <c r="U440" s="560"/>
      <c r="V440" s="560"/>
      <c r="W440" s="560"/>
      <c r="X440" s="560"/>
      <c r="Y440" s="560"/>
      <c r="Z440" s="560"/>
      <c r="AA440" s="560"/>
      <c r="AB440" s="560"/>
      <c r="AC440" s="560"/>
      <c r="AD440" s="490">
        <f t="shared" si="38"/>
        <v>0</v>
      </c>
      <c r="AE440" s="568">
        <f t="shared" si="36"/>
        <v>0</v>
      </c>
      <c r="AF440" s="569">
        <f t="shared" si="37"/>
        <v>240</v>
      </c>
    </row>
    <row r="441" spans="1:32" x14ac:dyDescent="0.3">
      <c r="A441" s="12" t="s">
        <v>231</v>
      </c>
      <c r="B441" s="13" t="s">
        <v>1725</v>
      </c>
      <c r="C441" s="559"/>
      <c r="D441" s="561">
        <v>0</v>
      </c>
      <c r="E441" s="561">
        <v>0</v>
      </c>
      <c r="F441" s="561">
        <v>0</v>
      </c>
      <c r="G441" s="561"/>
      <c r="H441" s="561">
        <v>0</v>
      </c>
      <c r="I441" s="561">
        <v>0</v>
      </c>
      <c r="J441" s="561">
        <v>16321250</v>
      </c>
      <c r="K441" s="561">
        <v>12238510</v>
      </c>
      <c r="L441" s="561">
        <v>5497740</v>
      </c>
      <c r="M441" s="561">
        <v>2129150</v>
      </c>
      <c r="N441" s="561">
        <v>5977780</v>
      </c>
      <c r="O441" s="561">
        <v>0</v>
      </c>
      <c r="P441" s="1494">
        <f t="shared" si="35"/>
        <v>12238510</v>
      </c>
      <c r="Q441" s="490">
        <f t="shared" si="32"/>
        <v>29925920</v>
      </c>
      <c r="R441" s="558" t="s">
        <v>251</v>
      </c>
      <c r="S441" s="560" t="s">
        <v>251</v>
      </c>
      <c r="T441" s="560" t="s">
        <v>251</v>
      </c>
      <c r="U441" s="560"/>
      <c r="V441" s="560"/>
      <c r="W441" s="560"/>
      <c r="X441" s="560"/>
      <c r="Y441" s="560"/>
      <c r="Z441" s="560"/>
      <c r="AA441" s="560"/>
      <c r="AB441" s="560"/>
      <c r="AC441" s="560"/>
      <c r="AD441" s="490">
        <f t="shared" si="38"/>
        <v>0</v>
      </c>
      <c r="AE441" s="568">
        <f t="shared" si="36"/>
        <v>-1</v>
      </c>
      <c r="AF441" s="569">
        <f t="shared" si="37"/>
        <v>240</v>
      </c>
    </row>
    <row r="442" spans="1:32" x14ac:dyDescent="0.3">
      <c r="A442" s="12" t="s">
        <v>231</v>
      </c>
      <c r="B442" s="13" t="s">
        <v>1726</v>
      </c>
      <c r="C442" s="559"/>
      <c r="D442" s="561">
        <v>0</v>
      </c>
      <c r="E442" s="561">
        <v>0</v>
      </c>
      <c r="F442" s="561">
        <v>0</v>
      </c>
      <c r="G442" s="561"/>
      <c r="H442" s="561">
        <v>0</v>
      </c>
      <c r="I442" s="561">
        <v>0</v>
      </c>
      <c r="J442" s="561">
        <v>12053130</v>
      </c>
      <c r="K442" s="561">
        <v>7982840</v>
      </c>
      <c r="L442" s="561">
        <v>2043840</v>
      </c>
      <c r="M442" s="561">
        <v>0</v>
      </c>
      <c r="N442" s="561">
        <v>0</v>
      </c>
      <c r="O442" s="561">
        <v>0</v>
      </c>
      <c r="P442" s="1494">
        <f t="shared" si="35"/>
        <v>7982840</v>
      </c>
      <c r="Q442" s="490">
        <f t="shared" si="32"/>
        <v>14096970</v>
      </c>
      <c r="R442" s="558" t="s">
        <v>251</v>
      </c>
      <c r="S442" s="560" t="s">
        <v>251</v>
      </c>
      <c r="T442" s="560" t="s">
        <v>251</v>
      </c>
      <c r="U442" s="560"/>
      <c r="V442" s="560"/>
      <c r="W442" s="560"/>
      <c r="X442" s="560"/>
      <c r="Y442" s="560"/>
      <c r="Z442" s="560"/>
      <c r="AA442" s="560"/>
      <c r="AB442" s="560"/>
      <c r="AC442" s="560"/>
      <c r="AD442" s="490">
        <f t="shared" si="38"/>
        <v>0</v>
      </c>
      <c r="AE442" s="568">
        <f t="shared" si="36"/>
        <v>-1</v>
      </c>
      <c r="AF442" s="569">
        <f t="shared" si="37"/>
        <v>240</v>
      </c>
    </row>
    <row r="443" spans="1:32" x14ac:dyDescent="0.3">
      <c r="A443" s="12" t="s">
        <v>231</v>
      </c>
      <c r="B443" s="13" t="s">
        <v>1727</v>
      </c>
      <c r="C443" s="559"/>
      <c r="D443" s="561">
        <v>0</v>
      </c>
      <c r="E443" s="561">
        <v>0</v>
      </c>
      <c r="F443" s="561">
        <v>0</v>
      </c>
      <c r="G443" s="561"/>
      <c r="H443" s="561">
        <v>0</v>
      </c>
      <c r="I443" s="561">
        <v>0</v>
      </c>
      <c r="J443" s="561">
        <v>3200110</v>
      </c>
      <c r="K443" s="561">
        <v>3200110</v>
      </c>
      <c r="L443" s="561">
        <v>0</v>
      </c>
      <c r="M443" s="561">
        <v>607000</v>
      </c>
      <c r="N443" s="561">
        <v>0</v>
      </c>
      <c r="O443" s="561">
        <v>0</v>
      </c>
      <c r="P443" s="1494">
        <f t="shared" si="35"/>
        <v>3200110</v>
      </c>
      <c r="Q443" s="490">
        <f t="shared" si="32"/>
        <v>3807110</v>
      </c>
      <c r="R443" s="558" t="s">
        <v>251</v>
      </c>
      <c r="S443" s="560" t="s">
        <v>251</v>
      </c>
      <c r="T443" s="560" t="s">
        <v>251</v>
      </c>
      <c r="U443" s="560"/>
      <c r="V443" s="560"/>
      <c r="W443" s="560"/>
      <c r="X443" s="560"/>
      <c r="Y443" s="560"/>
      <c r="Z443" s="560"/>
      <c r="AA443" s="560"/>
      <c r="AB443" s="560"/>
      <c r="AC443" s="560"/>
      <c r="AD443" s="490">
        <f t="shared" si="38"/>
        <v>0</v>
      </c>
      <c r="AE443" s="568">
        <f t="shared" si="36"/>
        <v>-1</v>
      </c>
      <c r="AF443" s="569">
        <f t="shared" si="37"/>
        <v>240</v>
      </c>
    </row>
    <row r="444" spans="1:32" x14ac:dyDescent="0.3">
      <c r="A444" s="12" t="s">
        <v>231</v>
      </c>
      <c r="B444" s="13" t="s">
        <v>1728</v>
      </c>
      <c r="C444" s="559"/>
      <c r="D444" s="561">
        <v>0</v>
      </c>
      <c r="E444" s="561">
        <v>0</v>
      </c>
      <c r="F444" s="561">
        <v>0</v>
      </c>
      <c r="G444" s="561"/>
      <c r="H444" s="561">
        <v>0</v>
      </c>
      <c r="I444" s="561">
        <v>0</v>
      </c>
      <c r="J444" s="561">
        <v>2366220</v>
      </c>
      <c r="K444" s="561">
        <v>2242640</v>
      </c>
      <c r="L444" s="561">
        <v>270090</v>
      </c>
      <c r="M444" s="561">
        <v>403730</v>
      </c>
      <c r="N444" s="561">
        <v>1218140</v>
      </c>
      <c r="O444" s="561">
        <v>0</v>
      </c>
      <c r="P444" s="1494">
        <f t="shared" si="35"/>
        <v>2242640</v>
      </c>
      <c r="Q444" s="490">
        <f t="shared" si="32"/>
        <v>4258180</v>
      </c>
      <c r="R444" s="558" t="s">
        <v>251</v>
      </c>
      <c r="S444" s="560" t="s">
        <v>251</v>
      </c>
      <c r="T444" s="560" t="s">
        <v>251</v>
      </c>
      <c r="U444" s="560"/>
      <c r="V444" s="560"/>
      <c r="W444" s="560"/>
      <c r="X444" s="560"/>
      <c r="Y444" s="560"/>
      <c r="Z444" s="560"/>
      <c r="AA444" s="560"/>
      <c r="AB444" s="560"/>
      <c r="AC444" s="560"/>
      <c r="AD444" s="490">
        <f t="shared" si="38"/>
        <v>0</v>
      </c>
      <c r="AE444" s="568">
        <f t="shared" si="36"/>
        <v>-1</v>
      </c>
      <c r="AF444" s="569">
        <f t="shared" si="37"/>
        <v>240</v>
      </c>
    </row>
    <row r="445" spans="1:32" x14ac:dyDescent="0.3">
      <c r="A445" s="12" t="s">
        <v>231</v>
      </c>
      <c r="B445" s="13" t="s">
        <v>1729</v>
      </c>
      <c r="C445" s="559"/>
      <c r="D445" s="561">
        <v>0</v>
      </c>
      <c r="E445" s="561">
        <v>0</v>
      </c>
      <c r="F445" s="561">
        <v>0</v>
      </c>
      <c r="G445" s="561"/>
      <c r="H445" s="561">
        <v>0</v>
      </c>
      <c r="I445" s="561">
        <v>0</v>
      </c>
      <c r="J445" s="561">
        <v>1891880</v>
      </c>
      <c r="K445" s="561">
        <v>1891880</v>
      </c>
      <c r="L445" s="561">
        <v>0</v>
      </c>
      <c r="M445" s="561">
        <v>0</v>
      </c>
      <c r="N445" s="561">
        <v>0</v>
      </c>
      <c r="O445" s="561">
        <v>0</v>
      </c>
      <c r="P445" s="1494">
        <f t="shared" si="35"/>
        <v>1891880</v>
      </c>
      <c r="Q445" s="490">
        <f t="shared" si="32"/>
        <v>1891880</v>
      </c>
      <c r="R445" s="558" t="s">
        <v>251</v>
      </c>
      <c r="S445" s="560" t="s">
        <v>251</v>
      </c>
      <c r="T445" s="560" t="s">
        <v>251</v>
      </c>
      <c r="U445" s="560"/>
      <c r="V445" s="560"/>
      <c r="W445" s="560"/>
      <c r="X445" s="560"/>
      <c r="Y445" s="560"/>
      <c r="Z445" s="560"/>
      <c r="AA445" s="560"/>
      <c r="AB445" s="560"/>
      <c r="AC445" s="560"/>
      <c r="AD445" s="490">
        <f t="shared" si="38"/>
        <v>0</v>
      </c>
      <c r="AE445" s="568">
        <f t="shared" si="36"/>
        <v>-1</v>
      </c>
      <c r="AF445" s="569">
        <f t="shared" si="37"/>
        <v>240</v>
      </c>
    </row>
    <row r="446" spans="1:32" x14ac:dyDescent="0.3">
      <c r="A446" s="12" t="s">
        <v>231</v>
      </c>
      <c r="B446" s="13" t="s">
        <v>1730</v>
      </c>
      <c r="C446" s="559"/>
      <c r="D446" s="561">
        <v>0</v>
      </c>
      <c r="E446" s="561">
        <v>0</v>
      </c>
      <c r="F446" s="561">
        <v>0</v>
      </c>
      <c r="G446" s="561"/>
      <c r="H446" s="561">
        <v>0</v>
      </c>
      <c r="I446" s="561">
        <v>0</v>
      </c>
      <c r="J446" s="561">
        <v>952920</v>
      </c>
      <c r="K446" s="561">
        <v>810190</v>
      </c>
      <c r="L446" s="561">
        <v>0</v>
      </c>
      <c r="M446" s="561">
        <v>0</v>
      </c>
      <c r="N446" s="561">
        <v>0</v>
      </c>
      <c r="O446" s="561">
        <v>0</v>
      </c>
      <c r="P446" s="1494">
        <f t="shared" si="35"/>
        <v>810190</v>
      </c>
      <c r="Q446" s="490">
        <f t="shared" si="32"/>
        <v>952920</v>
      </c>
      <c r="R446" s="558" t="s">
        <v>251</v>
      </c>
      <c r="S446" s="560" t="s">
        <v>251</v>
      </c>
      <c r="T446" s="560" t="s">
        <v>251</v>
      </c>
      <c r="U446" s="560"/>
      <c r="V446" s="560"/>
      <c r="W446" s="560"/>
      <c r="X446" s="560"/>
      <c r="Y446" s="560"/>
      <c r="Z446" s="560"/>
      <c r="AA446" s="560"/>
      <c r="AB446" s="560"/>
      <c r="AC446" s="560"/>
      <c r="AD446" s="490">
        <f t="shared" si="38"/>
        <v>0</v>
      </c>
      <c r="AE446" s="568">
        <f t="shared" si="36"/>
        <v>-1</v>
      </c>
      <c r="AF446" s="569">
        <f t="shared" si="37"/>
        <v>240</v>
      </c>
    </row>
    <row r="447" spans="1:32" x14ac:dyDescent="0.3">
      <c r="A447" s="12" t="s">
        <v>231</v>
      </c>
      <c r="B447" s="13" t="s">
        <v>640</v>
      </c>
      <c r="C447" s="559"/>
      <c r="D447" s="561">
        <v>0</v>
      </c>
      <c r="E447" s="561">
        <v>0</v>
      </c>
      <c r="F447" s="561">
        <v>0</v>
      </c>
      <c r="G447" s="561"/>
      <c r="H447" s="561">
        <v>0</v>
      </c>
      <c r="I447" s="561">
        <v>0</v>
      </c>
      <c r="J447" s="561">
        <v>105190</v>
      </c>
      <c r="K447" s="561">
        <v>52520</v>
      </c>
      <c r="L447" s="561">
        <v>0</v>
      </c>
      <c r="M447" s="561">
        <v>0</v>
      </c>
      <c r="N447" s="561">
        <v>0</v>
      </c>
      <c r="O447" s="561">
        <v>0</v>
      </c>
      <c r="P447" s="1494">
        <f t="shared" si="35"/>
        <v>52520</v>
      </c>
      <c r="Q447" s="490">
        <f t="shared" si="32"/>
        <v>105190</v>
      </c>
      <c r="R447" s="558" t="s">
        <v>251</v>
      </c>
      <c r="S447" s="560" t="s">
        <v>251</v>
      </c>
      <c r="T447" s="560" t="s">
        <v>251</v>
      </c>
      <c r="U447" s="560"/>
      <c r="V447" s="560"/>
      <c r="W447" s="560"/>
      <c r="X447" s="560"/>
      <c r="Y447" s="560"/>
      <c r="Z447" s="560"/>
      <c r="AA447" s="560"/>
      <c r="AB447" s="560"/>
      <c r="AC447" s="560"/>
      <c r="AD447" s="490">
        <f t="shared" si="38"/>
        <v>0</v>
      </c>
      <c r="AE447" s="568">
        <f t="shared" si="36"/>
        <v>-1</v>
      </c>
      <c r="AF447" s="569">
        <f t="shared" si="37"/>
        <v>240</v>
      </c>
    </row>
    <row r="448" spans="1:32" x14ac:dyDescent="0.3">
      <c r="A448" s="12" t="s">
        <v>231</v>
      </c>
      <c r="B448" s="13" t="s">
        <v>1731</v>
      </c>
      <c r="C448" s="559"/>
      <c r="D448" s="561">
        <v>0</v>
      </c>
      <c r="E448" s="561">
        <v>0</v>
      </c>
      <c r="F448" s="561">
        <v>0</v>
      </c>
      <c r="G448" s="561"/>
      <c r="H448" s="561">
        <v>0</v>
      </c>
      <c r="I448" s="561">
        <v>0</v>
      </c>
      <c r="J448" s="561">
        <v>0</v>
      </c>
      <c r="K448" s="561"/>
      <c r="L448" s="561">
        <v>1830280</v>
      </c>
      <c r="M448" s="561">
        <v>0</v>
      </c>
      <c r="N448" s="561">
        <v>0</v>
      </c>
      <c r="O448" s="561">
        <v>0</v>
      </c>
      <c r="P448" s="1494">
        <f t="shared" si="35"/>
        <v>0</v>
      </c>
      <c r="Q448" s="490">
        <f t="shared" si="32"/>
        <v>1830280</v>
      </c>
      <c r="R448" s="558" t="s">
        <v>251</v>
      </c>
      <c r="S448" s="560" t="s">
        <v>251</v>
      </c>
      <c r="T448" s="560" t="s">
        <v>251</v>
      </c>
      <c r="U448" s="560"/>
      <c r="V448" s="560"/>
      <c r="W448" s="560"/>
      <c r="X448" s="560"/>
      <c r="Y448" s="560"/>
      <c r="Z448" s="560"/>
      <c r="AA448" s="560"/>
      <c r="AB448" s="560"/>
      <c r="AC448" s="560"/>
      <c r="AD448" s="490">
        <f t="shared" si="38"/>
        <v>0</v>
      </c>
      <c r="AE448" s="568">
        <f t="shared" si="36"/>
        <v>0</v>
      </c>
      <c r="AF448" s="569">
        <f t="shared" si="37"/>
        <v>240</v>
      </c>
    </row>
    <row r="449" spans="1:32" x14ac:dyDescent="0.3">
      <c r="A449" s="12" t="s">
        <v>231</v>
      </c>
      <c r="B449" s="13" t="s">
        <v>1732</v>
      </c>
      <c r="C449" s="559"/>
      <c r="D449" s="561">
        <v>0</v>
      </c>
      <c r="E449" s="561">
        <v>0</v>
      </c>
      <c r="F449" s="561">
        <v>0</v>
      </c>
      <c r="G449" s="561"/>
      <c r="H449" s="561">
        <v>0</v>
      </c>
      <c r="I449" s="561">
        <v>0</v>
      </c>
      <c r="J449" s="561">
        <v>0</v>
      </c>
      <c r="K449" s="561"/>
      <c r="L449" s="561">
        <v>799020</v>
      </c>
      <c r="M449" s="561">
        <v>0</v>
      </c>
      <c r="N449" s="561">
        <v>0</v>
      </c>
      <c r="O449" s="561">
        <v>1272160</v>
      </c>
      <c r="P449" s="1494">
        <f t="shared" si="35"/>
        <v>0</v>
      </c>
      <c r="Q449" s="490">
        <f t="shared" si="32"/>
        <v>2071180</v>
      </c>
      <c r="R449" s="558" t="s">
        <v>251</v>
      </c>
      <c r="S449" s="560" t="s">
        <v>251</v>
      </c>
      <c r="T449" s="560" t="s">
        <v>251</v>
      </c>
      <c r="U449" s="560"/>
      <c r="V449" s="560"/>
      <c r="W449" s="560"/>
      <c r="X449" s="560"/>
      <c r="Y449" s="560"/>
      <c r="Z449" s="560"/>
      <c r="AA449" s="560"/>
      <c r="AB449" s="560"/>
      <c r="AC449" s="560"/>
      <c r="AD449" s="490">
        <f t="shared" si="38"/>
        <v>0</v>
      </c>
      <c r="AE449" s="568">
        <f t="shared" si="36"/>
        <v>0</v>
      </c>
      <c r="AF449" s="569">
        <f t="shared" si="37"/>
        <v>240</v>
      </c>
    </row>
    <row r="450" spans="1:32" x14ac:dyDescent="0.3">
      <c r="A450" s="1508" t="s">
        <v>231</v>
      </c>
      <c r="B450" s="1509" t="s">
        <v>774</v>
      </c>
      <c r="C450" s="1510"/>
      <c r="D450" s="1511"/>
      <c r="E450" s="1511"/>
      <c r="F450" s="1511"/>
      <c r="G450" s="1511"/>
      <c r="H450" s="1511"/>
      <c r="I450" s="1511"/>
      <c r="J450" s="1511"/>
      <c r="K450" s="1511"/>
      <c r="L450" s="1511"/>
      <c r="M450" s="1511"/>
      <c r="N450" s="1511"/>
      <c r="O450" s="1511"/>
      <c r="P450" s="1494">
        <f t="shared" si="35"/>
        <v>0</v>
      </c>
      <c r="Q450" s="490">
        <f t="shared" si="32"/>
        <v>0</v>
      </c>
      <c r="R450" s="1512"/>
      <c r="S450" s="1513"/>
      <c r="T450" s="1513"/>
      <c r="U450" s="1513"/>
      <c r="V450" s="1513"/>
      <c r="W450" s="1513">
        <v>506100</v>
      </c>
      <c r="X450" s="1513">
        <v>278880</v>
      </c>
      <c r="Y450" s="1513">
        <v>0</v>
      </c>
      <c r="Z450" s="1513"/>
      <c r="AA450" s="1513"/>
      <c r="AB450" s="1513"/>
      <c r="AC450" s="1513"/>
      <c r="AD450" s="490">
        <f t="shared" si="38"/>
        <v>784980</v>
      </c>
      <c r="AE450" s="568">
        <f t="shared" si="36"/>
        <v>1</v>
      </c>
      <c r="AF450" s="569">
        <f t="shared" si="37"/>
        <v>167</v>
      </c>
    </row>
    <row r="451" spans="1:32" ht="17.25" thickBot="1" x14ac:dyDescent="0.35">
      <c r="A451" s="531" t="s">
        <v>2379</v>
      </c>
      <c r="B451" s="1025"/>
      <c r="C451" s="712">
        <f>SUM(C2:C450)</f>
        <v>308050060</v>
      </c>
      <c r="D451" s="712">
        <f t="shared" ref="D451:AD451" si="39">SUM(D2:D450)</f>
        <v>188289310</v>
      </c>
      <c r="E451" s="712">
        <f t="shared" si="39"/>
        <v>268045750</v>
      </c>
      <c r="F451" s="712">
        <f t="shared" si="39"/>
        <v>226046370</v>
      </c>
      <c r="G451" s="712">
        <f t="shared" si="39"/>
        <v>236457890</v>
      </c>
      <c r="H451" s="712">
        <f t="shared" si="39"/>
        <v>295724520</v>
      </c>
      <c r="I451" s="712">
        <f t="shared" si="39"/>
        <v>334375370</v>
      </c>
      <c r="J451" s="712">
        <f t="shared" si="39"/>
        <v>311363910</v>
      </c>
      <c r="K451" s="712">
        <f t="shared" si="39"/>
        <v>270389820</v>
      </c>
      <c r="L451" s="712">
        <f t="shared" si="39"/>
        <v>279311700</v>
      </c>
      <c r="M451" s="712">
        <f t="shared" si="39"/>
        <v>210888440</v>
      </c>
      <c r="N451" s="712">
        <f t="shared" si="39"/>
        <v>235772440</v>
      </c>
      <c r="O451" s="712">
        <f t="shared" si="39"/>
        <v>335888570</v>
      </c>
      <c r="P451" s="712">
        <f t="shared" si="39"/>
        <v>2127379090</v>
      </c>
      <c r="Q451" s="712">
        <f t="shared" si="39"/>
        <v>3230214330</v>
      </c>
      <c r="R451" s="712">
        <f t="shared" si="39"/>
        <v>364996440</v>
      </c>
      <c r="S451" s="712">
        <f t="shared" si="39"/>
        <v>142751560</v>
      </c>
      <c r="T451" s="712">
        <f t="shared" si="39"/>
        <v>212107300</v>
      </c>
      <c r="U451" s="712">
        <f t="shared" si="39"/>
        <v>279973380</v>
      </c>
      <c r="V451" s="712">
        <f t="shared" si="39"/>
        <v>253617350</v>
      </c>
      <c r="W451" s="712">
        <f t="shared" si="39"/>
        <v>301421920</v>
      </c>
      <c r="X451" s="712">
        <f t="shared" si="39"/>
        <v>351121720</v>
      </c>
      <c r="Y451" s="712">
        <f t="shared" si="39"/>
        <v>253772830</v>
      </c>
      <c r="Z451" s="712">
        <f t="shared" si="39"/>
        <v>0</v>
      </c>
      <c r="AA451" s="712">
        <f t="shared" si="39"/>
        <v>0</v>
      </c>
      <c r="AB451" s="712">
        <f t="shared" si="39"/>
        <v>0</v>
      </c>
      <c r="AC451" s="712">
        <f t="shared" si="39"/>
        <v>0</v>
      </c>
      <c r="AD451" s="712">
        <f t="shared" si="39"/>
        <v>2159762500</v>
      </c>
      <c r="AE451" s="567">
        <f t="shared" si="36"/>
        <v>1.5222209408855289E-2</v>
      </c>
      <c r="AF451" s="557"/>
    </row>
    <row r="452" spans="1:32" x14ac:dyDescent="0.3">
      <c r="E452" t="s">
        <v>251</v>
      </c>
    </row>
  </sheetData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215C-0C3F-4DD2-9852-F505F3A6FF5F}">
  <dimension ref="A1:AL484"/>
  <sheetViews>
    <sheetView zoomScale="70" zoomScaleNormal="70" workbookViewId="0">
      <selection activeCell="A9" sqref="A9"/>
    </sheetView>
  </sheetViews>
  <sheetFormatPr defaultRowHeight="16.5" x14ac:dyDescent="0.3"/>
  <cols>
    <col min="1" max="1" width="17.75" customWidth="1"/>
    <col min="2" max="2" width="48.125" customWidth="1"/>
    <col min="3" max="10" width="13.625" customWidth="1"/>
    <col min="11" max="11" width="13.625" hidden="1" customWidth="1"/>
    <col min="12" max="15" width="13.625" customWidth="1"/>
    <col min="16" max="16" width="13.625" hidden="1" customWidth="1"/>
    <col min="17" max="30" width="13.625" customWidth="1"/>
    <col min="31" max="31" width="10.25" customWidth="1"/>
    <col min="34" max="34" width="30.875" customWidth="1"/>
    <col min="35" max="38" width="20.625" customWidth="1"/>
  </cols>
  <sheetData>
    <row r="1" spans="1:38" ht="33.75" thickBot="1" x14ac:dyDescent="0.35">
      <c r="A1" s="35" t="s">
        <v>0</v>
      </c>
      <c r="B1" s="647" t="s">
        <v>1</v>
      </c>
      <c r="C1" s="715" t="s">
        <v>2366</v>
      </c>
      <c r="D1" s="715" t="s">
        <v>2367</v>
      </c>
      <c r="E1" s="715" t="s">
        <v>2368</v>
      </c>
      <c r="F1" s="715" t="s">
        <v>2369</v>
      </c>
      <c r="G1" s="715" t="s">
        <v>2370</v>
      </c>
      <c r="H1" s="715" t="s">
        <v>2371</v>
      </c>
      <c r="I1" s="715" t="s">
        <v>2372</v>
      </c>
      <c r="J1" s="715" t="s">
        <v>2373</v>
      </c>
      <c r="K1" s="1406" t="s">
        <v>3035</v>
      </c>
      <c r="L1" s="715" t="s">
        <v>2374</v>
      </c>
      <c r="M1" s="715" t="s">
        <v>2375</v>
      </c>
      <c r="N1" s="715" t="s">
        <v>2376</v>
      </c>
      <c r="O1" s="715" t="s">
        <v>2377</v>
      </c>
      <c r="P1" s="1495" t="s">
        <v>3037</v>
      </c>
      <c r="Q1" s="716" t="s">
        <v>2378</v>
      </c>
      <c r="R1" s="1366" t="s">
        <v>2527</v>
      </c>
      <c r="S1" s="1366" t="s">
        <v>2577</v>
      </c>
      <c r="T1" s="1366" t="s">
        <v>2634</v>
      </c>
      <c r="U1" s="1366" t="s">
        <v>2727</v>
      </c>
      <c r="V1" s="1366" t="s">
        <v>2805</v>
      </c>
      <c r="W1" s="1406" t="s">
        <v>2891</v>
      </c>
      <c r="X1" s="1366" t="s">
        <v>2979</v>
      </c>
      <c r="Y1" s="1406" t="s">
        <v>3038</v>
      </c>
      <c r="Z1" s="1031" t="s">
        <v>2407</v>
      </c>
      <c r="AA1" s="1031" t="s">
        <v>2408</v>
      </c>
      <c r="AB1" s="1031" t="s">
        <v>2409</v>
      </c>
      <c r="AC1" s="1031" t="s">
        <v>2410</v>
      </c>
      <c r="AD1" s="1036" t="s">
        <v>2411</v>
      </c>
      <c r="AE1" s="563" t="s">
        <v>515</v>
      </c>
      <c r="AF1" s="564" t="s">
        <v>516</v>
      </c>
    </row>
    <row r="2" spans="1:38" x14ac:dyDescent="0.3">
      <c r="A2" s="4" t="s">
        <v>253</v>
      </c>
      <c r="B2" s="648" t="s">
        <v>254</v>
      </c>
      <c r="C2" s="491">
        <v>451260</v>
      </c>
      <c r="D2" s="533">
        <v>2359350</v>
      </c>
      <c r="E2" s="533">
        <v>8945140</v>
      </c>
      <c r="F2" s="533">
        <v>5270000</v>
      </c>
      <c r="G2" s="533">
        <v>21723170</v>
      </c>
      <c r="H2" s="533">
        <v>6476690</v>
      </c>
      <c r="I2" s="533">
        <v>4077320</v>
      </c>
      <c r="J2" s="533">
        <v>7254600</v>
      </c>
      <c r="K2" s="533">
        <v>5885890</v>
      </c>
      <c r="L2" s="533">
        <v>1997350</v>
      </c>
      <c r="M2" s="533">
        <v>5524920</v>
      </c>
      <c r="N2" s="533">
        <v>6373480</v>
      </c>
      <c r="O2" s="533">
        <v>1959150</v>
      </c>
      <c r="P2" s="1496">
        <f>SUM(C2:I2,K2)</f>
        <v>55188820</v>
      </c>
      <c r="Q2" s="663">
        <f>SUM(C2:J2,L2:O2)</f>
        <v>72412430</v>
      </c>
      <c r="R2" s="1037">
        <v>3177530</v>
      </c>
      <c r="S2" s="1038">
        <v>652220</v>
      </c>
      <c r="T2" s="1038">
        <v>4654580</v>
      </c>
      <c r="U2" s="1038">
        <v>2796200</v>
      </c>
      <c r="V2" s="1038">
        <v>0</v>
      </c>
      <c r="W2" s="1038">
        <v>0</v>
      </c>
      <c r="X2" s="1038">
        <v>0</v>
      </c>
      <c r="Y2" s="1038">
        <v>0</v>
      </c>
      <c r="Z2" s="1038"/>
      <c r="AA2" s="1038"/>
      <c r="AB2" s="1038"/>
      <c r="AC2" s="1038"/>
      <c r="AD2" s="1039">
        <f>SUM(R2:AC2)</f>
        <v>11280530</v>
      </c>
      <c r="AE2" s="1064">
        <f>IF(OR(AD2="", P2=""), 0, IFERROR((AD2-P2)/P2, IF(AD2&lt;&gt;0, 1, 0)))</f>
        <v>-0.79560117429580846</v>
      </c>
      <c r="AF2" s="1065">
        <f t="shared" ref="AF2:AF65" si="0">IFERROR(_xlfn.RANK.EQ(AD2, $AD$2:$AD$483), "")</f>
        <v>3</v>
      </c>
    </row>
    <row r="3" spans="1:38" ht="17.25" thickBot="1" x14ac:dyDescent="0.35">
      <c r="A3" s="4" t="s">
        <v>253</v>
      </c>
      <c r="B3" s="648" t="s">
        <v>255</v>
      </c>
      <c r="C3" s="491">
        <v>5601510</v>
      </c>
      <c r="D3" s="533">
        <v>1790090</v>
      </c>
      <c r="E3" s="533">
        <v>1771370</v>
      </c>
      <c r="F3" s="533">
        <v>11102350</v>
      </c>
      <c r="G3" s="533">
        <v>3877860</v>
      </c>
      <c r="H3" s="533">
        <v>1434450</v>
      </c>
      <c r="I3" s="533">
        <v>5285910</v>
      </c>
      <c r="J3" s="533">
        <v>2880070</v>
      </c>
      <c r="K3" s="533">
        <v>2529570</v>
      </c>
      <c r="L3" s="533">
        <v>2320750</v>
      </c>
      <c r="M3" s="533">
        <v>2630770</v>
      </c>
      <c r="N3" s="533">
        <v>3219890</v>
      </c>
      <c r="O3" s="533">
        <v>1963690</v>
      </c>
      <c r="P3" s="1496">
        <f t="shared" ref="P3:P66" si="1">SUM(C3:I3,K3)</f>
        <v>33393110</v>
      </c>
      <c r="Q3" s="663">
        <f t="shared" ref="Q3:Q66" si="2">SUM(C3:J3,L3:O3)</f>
        <v>43878710</v>
      </c>
      <c r="R3" s="1040">
        <v>8076940</v>
      </c>
      <c r="S3" s="1041">
        <v>2652730</v>
      </c>
      <c r="T3" s="1041">
        <v>4256640</v>
      </c>
      <c r="U3" s="1041">
        <v>11776440</v>
      </c>
      <c r="V3" s="1041">
        <v>4106570</v>
      </c>
      <c r="W3" s="1041">
        <v>593970</v>
      </c>
      <c r="X3" s="1041">
        <v>0</v>
      </c>
      <c r="Y3" s="1041">
        <v>0</v>
      </c>
      <c r="Z3" s="1041"/>
      <c r="AA3" s="1041"/>
      <c r="AB3" s="1041"/>
      <c r="AC3" s="1041"/>
      <c r="AD3" s="663">
        <f>SUM(R3:AC3)</f>
        <v>31463290</v>
      </c>
      <c r="AE3" s="570">
        <f>IF(OR(AD3="", P3=""), 0, IFERROR((AD3-P3)/P3, IF(AD3&lt;&gt;0, 1, 0)))</f>
        <v>-5.7790963465217823E-2</v>
      </c>
      <c r="AF3" s="571">
        <f t="shared" si="0"/>
        <v>1</v>
      </c>
      <c r="AI3" s="30"/>
    </row>
    <row r="4" spans="1:38" x14ac:dyDescent="0.3">
      <c r="A4" s="4" t="s">
        <v>253</v>
      </c>
      <c r="B4" s="649" t="s">
        <v>556</v>
      </c>
      <c r="C4" s="491">
        <v>5851630</v>
      </c>
      <c r="D4" s="533">
        <v>328200</v>
      </c>
      <c r="E4" s="533">
        <v>2973230</v>
      </c>
      <c r="F4" s="533">
        <v>10588750</v>
      </c>
      <c r="G4" s="533">
        <v>1767940</v>
      </c>
      <c r="H4" s="533">
        <v>859070</v>
      </c>
      <c r="I4" s="533">
        <v>5139600</v>
      </c>
      <c r="J4" s="533">
        <v>2186300</v>
      </c>
      <c r="K4" s="533">
        <v>2010190</v>
      </c>
      <c r="L4" s="533">
        <v>545660</v>
      </c>
      <c r="M4" s="533">
        <v>3408000</v>
      </c>
      <c r="N4" s="533">
        <v>699720</v>
      </c>
      <c r="O4" s="533">
        <v>3092050</v>
      </c>
      <c r="P4" s="1496">
        <f t="shared" si="1"/>
        <v>29518610</v>
      </c>
      <c r="Q4" s="663">
        <f t="shared" si="2"/>
        <v>37440150</v>
      </c>
      <c r="R4" s="1040">
        <v>4804850</v>
      </c>
      <c r="S4" s="1041">
        <v>156890</v>
      </c>
      <c r="T4" s="1041">
        <v>2635530</v>
      </c>
      <c r="U4" s="1041">
        <v>2789070</v>
      </c>
      <c r="V4" s="1041">
        <v>0</v>
      </c>
      <c r="W4" s="1041">
        <v>0</v>
      </c>
      <c r="X4" s="1041">
        <v>0</v>
      </c>
      <c r="Y4" s="1041">
        <v>0</v>
      </c>
      <c r="Z4" s="1041"/>
      <c r="AA4" s="1041"/>
      <c r="AB4" s="1041"/>
      <c r="AC4" s="1041"/>
      <c r="AD4" s="663">
        <f t="shared" ref="AD4:AD70" si="3">SUM(R4:AC4)</f>
        <v>10386340</v>
      </c>
      <c r="AE4" s="570">
        <f t="shared" ref="AE4:AE70" si="4">IF(OR(AD4="", P4=""), 0, IFERROR((AD4-P4)/P4, IF(AD4&lt;&gt;0, 1, 0)))</f>
        <v>-0.64814264628314133</v>
      </c>
      <c r="AF4" s="571">
        <f t="shared" si="0"/>
        <v>4</v>
      </c>
      <c r="AH4" s="1428" t="s">
        <v>2477</v>
      </c>
      <c r="AI4" s="1429" t="s">
        <v>2479</v>
      </c>
      <c r="AJ4" s="1429" t="s">
        <v>2480</v>
      </c>
      <c r="AK4" s="1435" t="s">
        <v>784</v>
      </c>
      <c r="AL4" s="1436" t="s">
        <v>515</v>
      </c>
    </row>
    <row r="5" spans="1:38" x14ac:dyDescent="0.3">
      <c r="A5" s="4" t="s">
        <v>253</v>
      </c>
      <c r="B5" s="648" t="s">
        <v>256</v>
      </c>
      <c r="C5" s="491">
        <v>873940</v>
      </c>
      <c r="D5" s="533">
        <v>0</v>
      </c>
      <c r="E5" s="533">
        <v>2986110</v>
      </c>
      <c r="F5" s="533">
        <v>2550470</v>
      </c>
      <c r="G5" s="533">
        <v>27880</v>
      </c>
      <c r="H5" s="533">
        <v>0</v>
      </c>
      <c r="I5" s="533">
        <v>0</v>
      </c>
      <c r="J5" s="533">
        <v>0</v>
      </c>
      <c r="K5" s="533">
        <v>0</v>
      </c>
      <c r="L5" s="533">
        <v>0</v>
      </c>
      <c r="M5" s="533">
        <v>0</v>
      </c>
      <c r="N5" s="533">
        <v>0</v>
      </c>
      <c r="O5" s="533">
        <v>0</v>
      </c>
      <c r="P5" s="1496">
        <f t="shared" si="1"/>
        <v>6438400</v>
      </c>
      <c r="Q5" s="663">
        <f t="shared" si="2"/>
        <v>6438400</v>
      </c>
      <c r="R5" s="1040" t="s">
        <v>251</v>
      </c>
      <c r="S5" s="1041" t="s">
        <v>251</v>
      </c>
      <c r="T5" s="1041" t="s">
        <v>251</v>
      </c>
      <c r="U5" s="1041"/>
      <c r="V5" s="1041"/>
      <c r="W5" s="1041"/>
      <c r="X5" s="1041"/>
      <c r="Y5" s="1041"/>
      <c r="Z5" s="1041"/>
      <c r="AA5" s="1041"/>
      <c r="AB5" s="1041"/>
      <c r="AC5" s="1041"/>
      <c r="AD5" s="663">
        <f t="shared" si="3"/>
        <v>0</v>
      </c>
      <c r="AE5" s="570">
        <f t="shared" si="4"/>
        <v>-1</v>
      </c>
      <c r="AF5" s="571">
        <f t="shared" si="0"/>
        <v>189</v>
      </c>
      <c r="AH5" s="1418" t="s">
        <v>253</v>
      </c>
      <c r="AI5" s="1423">
        <v>172545210</v>
      </c>
      <c r="AJ5" s="1423">
        <v>78015170</v>
      </c>
      <c r="AK5" s="1415">
        <f>AJ5-AI5</f>
        <v>-94530040</v>
      </c>
      <c r="AL5" s="1419">
        <f>IFERROR((AJ5-AI5)/AI5, 0)</f>
        <v>-0.54785664580314919</v>
      </c>
    </row>
    <row r="6" spans="1:38" x14ac:dyDescent="0.3">
      <c r="A6" s="4" t="s">
        <v>253</v>
      </c>
      <c r="B6" s="648" t="s">
        <v>557</v>
      </c>
      <c r="C6" s="491"/>
      <c r="D6" s="533">
        <v>107370</v>
      </c>
      <c r="E6" s="533">
        <v>1630480</v>
      </c>
      <c r="F6" s="533">
        <v>2106670</v>
      </c>
      <c r="G6" s="533">
        <v>1696980</v>
      </c>
      <c r="H6" s="533">
        <v>287050</v>
      </c>
      <c r="I6" s="533">
        <v>486150</v>
      </c>
      <c r="J6" s="533">
        <v>894740</v>
      </c>
      <c r="K6" s="533">
        <v>223390</v>
      </c>
      <c r="L6" s="533">
        <v>728340</v>
      </c>
      <c r="M6" s="533">
        <v>505270</v>
      </c>
      <c r="N6" s="533">
        <v>967010</v>
      </c>
      <c r="O6" s="533">
        <v>312360</v>
      </c>
      <c r="P6" s="1496">
        <f t="shared" si="1"/>
        <v>6538090</v>
      </c>
      <c r="Q6" s="663">
        <f t="shared" si="2"/>
        <v>9722420</v>
      </c>
      <c r="R6" s="1040">
        <v>807940</v>
      </c>
      <c r="S6" s="1041">
        <v>217710</v>
      </c>
      <c r="T6" s="1041">
        <v>1827660</v>
      </c>
      <c r="U6" s="1041">
        <v>2007630</v>
      </c>
      <c r="V6" s="1041">
        <v>0</v>
      </c>
      <c r="W6" s="1041">
        <v>0</v>
      </c>
      <c r="X6" s="1041">
        <v>0</v>
      </c>
      <c r="Y6" s="1041">
        <v>0</v>
      </c>
      <c r="Z6" s="1041"/>
      <c r="AA6" s="1041"/>
      <c r="AB6" s="1041"/>
      <c r="AC6" s="1041"/>
      <c r="AD6" s="663">
        <f t="shared" si="3"/>
        <v>4860940</v>
      </c>
      <c r="AE6" s="570">
        <f t="shared" si="4"/>
        <v>-0.2565198704820521</v>
      </c>
      <c r="AF6" s="571">
        <f t="shared" si="0"/>
        <v>17</v>
      </c>
      <c r="AH6" s="1418" t="s">
        <v>339</v>
      </c>
      <c r="AI6" s="1423">
        <v>37955070</v>
      </c>
      <c r="AJ6" s="1423">
        <v>68042000</v>
      </c>
      <c r="AK6" s="1415">
        <f t="shared" ref="AK6:AK17" si="5">AJ6-AI6</f>
        <v>30086930</v>
      </c>
      <c r="AL6" s="1419">
        <f t="shared" ref="AL6:AL19" si="6">IFERROR((AJ6-AI6)/AI6, 0)</f>
        <v>0.79269857755498807</v>
      </c>
    </row>
    <row r="7" spans="1:38" x14ac:dyDescent="0.3">
      <c r="A7" s="4" t="s">
        <v>253</v>
      </c>
      <c r="B7" s="648" t="s">
        <v>257</v>
      </c>
      <c r="C7" s="491">
        <v>595240</v>
      </c>
      <c r="D7" s="533">
        <v>60880</v>
      </c>
      <c r="E7" s="533">
        <v>1309160</v>
      </c>
      <c r="F7" s="533">
        <v>1505400</v>
      </c>
      <c r="G7" s="533">
        <v>692430</v>
      </c>
      <c r="H7" s="533">
        <v>0</v>
      </c>
      <c r="I7" s="533">
        <v>1629660</v>
      </c>
      <c r="J7" s="533">
        <v>30890</v>
      </c>
      <c r="K7" s="533">
        <v>30890</v>
      </c>
      <c r="L7" s="533">
        <v>0</v>
      </c>
      <c r="M7" s="533">
        <v>586880</v>
      </c>
      <c r="N7" s="533">
        <v>1067780</v>
      </c>
      <c r="O7" s="533">
        <v>107900</v>
      </c>
      <c r="P7" s="1496">
        <f t="shared" si="1"/>
        <v>5823660</v>
      </c>
      <c r="Q7" s="663">
        <f t="shared" si="2"/>
        <v>7586220</v>
      </c>
      <c r="R7" s="1040">
        <v>1287200</v>
      </c>
      <c r="S7" s="1041">
        <v>987160</v>
      </c>
      <c r="T7" s="1041">
        <v>0</v>
      </c>
      <c r="U7" s="1041">
        <v>0</v>
      </c>
      <c r="V7" s="1041">
        <v>0</v>
      </c>
      <c r="W7" s="1041">
        <v>0</v>
      </c>
      <c r="X7" s="1041">
        <v>0</v>
      </c>
      <c r="Y7" s="1041">
        <v>0</v>
      </c>
      <c r="Z7" s="1041"/>
      <c r="AA7" s="1041"/>
      <c r="AB7" s="1041"/>
      <c r="AC7" s="1041"/>
      <c r="AD7" s="663">
        <f t="shared" si="3"/>
        <v>2274360</v>
      </c>
      <c r="AE7" s="570">
        <f t="shared" si="4"/>
        <v>-0.60946209085008396</v>
      </c>
      <c r="AF7" s="571">
        <f t="shared" si="0"/>
        <v>29</v>
      </c>
      <c r="AH7" s="1418" t="s">
        <v>358</v>
      </c>
      <c r="AI7" s="1423">
        <v>34469970</v>
      </c>
      <c r="AJ7" s="1423">
        <v>43366350</v>
      </c>
      <c r="AK7" s="1415">
        <f t="shared" si="5"/>
        <v>8896380</v>
      </c>
      <c r="AL7" s="1419">
        <f t="shared" si="6"/>
        <v>0.25809073811204364</v>
      </c>
    </row>
    <row r="8" spans="1:38" x14ac:dyDescent="0.3">
      <c r="A8" s="4" t="s">
        <v>253</v>
      </c>
      <c r="B8" s="648" t="s">
        <v>258</v>
      </c>
      <c r="C8" s="491">
        <v>608350</v>
      </c>
      <c r="D8" s="533">
        <v>0</v>
      </c>
      <c r="E8" s="533">
        <v>1404700</v>
      </c>
      <c r="F8" s="533">
        <v>1116040</v>
      </c>
      <c r="G8" s="533">
        <v>0</v>
      </c>
      <c r="H8" s="533">
        <v>0</v>
      </c>
      <c r="I8" s="533">
        <v>713500</v>
      </c>
      <c r="J8" s="533">
        <v>204290</v>
      </c>
      <c r="K8" s="533">
        <v>162560</v>
      </c>
      <c r="L8" s="533">
        <v>365530</v>
      </c>
      <c r="M8" s="533">
        <v>39790</v>
      </c>
      <c r="N8" s="533">
        <v>0</v>
      </c>
      <c r="O8" s="533">
        <v>0</v>
      </c>
      <c r="P8" s="1496">
        <f t="shared" si="1"/>
        <v>4005150</v>
      </c>
      <c r="Q8" s="663">
        <f t="shared" si="2"/>
        <v>4452200</v>
      </c>
      <c r="R8" s="1040" t="s">
        <v>251</v>
      </c>
      <c r="S8" s="1041" t="s">
        <v>251</v>
      </c>
      <c r="T8" s="1041" t="s">
        <v>251</v>
      </c>
      <c r="U8" s="1041"/>
      <c r="V8" s="1041"/>
      <c r="W8" s="1041"/>
      <c r="X8" s="1041"/>
      <c r="Y8" s="1041"/>
      <c r="Z8" s="1041"/>
      <c r="AA8" s="1041"/>
      <c r="AB8" s="1041"/>
      <c r="AC8" s="1041"/>
      <c r="AD8" s="663">
        <f t="shared" si="3"/>
        <v>0</v>
      </c>
      <c r="AE8" s="570">
        <f t="shared" si="4"/>
        <v>-1</v>
      </c>
      <c r="AF8" s="571">
        <f t="shared" si="0"/>
        <v>189</v>
      </c>
      <c r="AH8" s="1418" t="s">
        <v>407</v>
      </c>
      <c r="AI8" s="1423">
        <v>19700080</v>
      </c>
      <c r="AJ8" s="1423">
        <v>35686360</v>
      </c>
      <c r="AK8" s="1415">
        <f t="shared" si="5"/>
        <v>15986280</v>
      </c>
      <c r="AL8" s="1419">
        <f t="shared" si="6"/>
        <v>0.81148299905381094</v>
      </c>
    </row>
    <row r="9" spans="1:38" x14ac:dyDescent="0.3">
      <c r="A9" s="4" t="s">
        <v>253</v>
      </c>
      <c r="B9" s="648" t="s">
        <v>558</v>
      </c>
      <c r="C9" s="491">
        <v>1070390</v>
      </c>
      <c r="D9" s="533">
        <v>1133870</v>
      </c>
      <c r="E9" s="533">
        <v>70710</v>
      </c>
      <c r="F9" s="533">
        <v>0</v>
      </c>
      <c r="G9" s="533">
        <v>0</v>
      </c>
      <c r="H9" s="533">
        <v>678450</v>
      </c>
      <c r="I9" s="533">
        <v>0</v>
      </c>
      <c r="J9" s="533">
        <v>30280</v>
      </c>
      <c r="K9" s="533">
        <v>30280</v>
      </c>
      <c r="L9" s="533">
        <v>1037130</v>
      </c>
      <c r="M9" s="533">
        <v>678440</v>
      </c>
      <c r="N9" s="533">
        <v>0</v>
      </c>
      <c r="O9" s="533">
        <v>0</v>
      </c>
      <c r="P9" s="1496">
        <f t="shared" si="1"/>
        <v>2983700</v>
      </c>
      <c r="Q9" s="663">
        <f t="shared" si="2"/>
        <v>4699270</v>
      </c>
      <c r="R9" s="1040">
        <v>517730</v>
      </c>
      <c r="S9" s="1041" t="s">
        <v>251</v>
      </c>
      <c r="T9" s="1041">
        <v>30160</v>
      </c>
      <c r="U9" s="1041">
        <v>0</v>
      </c>
      <c r="V9" s="1041">
        <v>0</v>
      </c>
      <c r="W9" s="1041">
        <v>0</v>
      </c>
      <c r="X9" s="1041">
        <v>0</v>
      </c>
      <c r="Y9" s="1041">
        <v>0</v>
      </c>
      <c r="Z9" s="1041"/>
      <c r="AA9" s="1041"/>
      <c r="AB9" s="1041"/>
      <c r="AC9" s="1041"/>
      <c r="AD9" s="663">
        <f t="shared" si="3"/>
        <v>547890</v>
      </c>
      <c r="AE9" s="570">
        <f t="shared" si="4"/>
        <v>-0.81637228943928675</v>
      </c>
      <c r="AF9" s="571">
        <f t="shared" si="0"/>
        <v>85</v>
      </c>
      <c r="AH9" s="1418" t="s">
        <v>2405</v>
      </c>
      <c r="AI9" s="1423">
        <v>16536800</v>
      </c>
      <c r="AJ9" s="1423">
        <v>21607630</v>
      </c>
      <c r="AK9" s="1415">
        <f t="shared" si="5"/>
        <v>5070830</v>
      </c>
      <c r="AL9" s="1419">
        <f t="shared" si="6"/>
        <v>0.30663913211745925</v>
      </c>
    </row>
    <row r="10" spans="1:38" x14ac:dyDescent="0.3">
      <c r="A10" s="4" t="s">
        <v>253</v>
      </c>
      <c r="B10" s="648" t="s">
        <v>559</v>
      </c>
      <c r="C10" s="491">
        <v>87480</v>
      </c>
      <c r="D10" s="533">
        <v>516760</v>
      </c>
      <c r="E10" s="533">
        <v>662750</v>
      </c>
      <c r="F10" s="533">
        <v>69290</v>
      </c>
      <c r="G10" s="533">
        <v>861070</v>
      </c>
      <c r="H10" s="533">
        <v>250330</v>
      </c>
      <c r="I10" s="533">
        <v>332570</v>
      </c>
      <c r="J10" s="533">
        <v>27980</v>
      </c>
      <c r="K10" s="533">
        <v>27980</v>
      </c>
      <c r="L10" s="533">
        <v>0</v>
      </c>
      <c r="M10" s="533">
        <v>491080</v>
      </c>
      <c r="N10" s="533">
        <v>0</v>
      </c>
      <c r="O10" s="533">
        <v>125250</v>
      </c>
      <c r="P10" s="1496">
        <f t="shared" si="1"/>
        <v>2808230</v>
      </c>
      <c r="Q10" s="663">
        <f t="shared" si="2"/>
        <v>3424560</v>
      </c>
      <c r="R10" s="1040" t="s">
        <v>251</v>
      </c>
      <c r="S10" s="1041">
        <v>143650</v>
      </c>
      <c r="T10" s="1041">
        <v>704190</v>
      </c>
      <c r="U10" s="1041">
        <v>0</v>
      </c>
      <c r="V10" s="1041">
        <v>0</v>
      </c>
      <c r="W10" s="1041">
        <v>0</v>
      </c>
      <c r="X10" s="1041">
        <v>0</v>
      </c>
      <c r="Y10" s="1041">
        <v>0</v>
      </c>
      <c r="Z10" s="1041"/>
      <c r="AA10" s="1041"/>
      <c r="AB10" s="1041"/>
      <c r="AC10" s="1041"/>
      <c r="AD10" s="663">
        <f t="shared" si="3"/>
        <v>847840</v>
      </c>
      <c r="AE10" s="570">
        <f t="shared" si="4"/>
        <v>-0.69808740737047892</v>
      </c>
      <c r="AF10" s="571">
        <f t="shared" si="0"/>
        <v>63</v>
      </c>
      <c r="AH10" s="1418" t="s">
        <v>502</v>
      </c>
      <c r="AI10" s="1423">
        <v>5779910</v>
      </c>
      <c r="AJ10" s="1423">
        <v>12597370</v>
      </c>
      <c r="AK10" s="1415">
        <f t="shared" si="5"/>
        <v>6817460</v>
      </c>
      <c r="AL10" s="1419">
        <f t="shared" si="6"/>
        <v>1.179509715549204</v>
      </c>
    </row>
    <row r="11" spans="1:38" x14ac:dyDescent="0.3">
      <c r="A11" s="4" t="s">
        <v>253</v>
      </c>
      <c r="B11" s="648" t="s">
        <v>560</v>
      </c>
      <c r="C11" s="491">
        <v>116530</v>
      </c>
      <c r="D11" s="533">
        <v>0</v>
      </c>
      <c r="E11" s="533">
        <v>208630</v>
      </c>
      <c r="F11" s="533">
        <v>1183160</v>
      </c>
      <c r="G11" s="533">
        <v>556700</v>
      </c>
      <c r="H11" s="533">
        <v>191610</v>
      </c>
      <c r="I11" s="533">
        <v>603360</v>
      </c>
      <c r="J11" s="533">
        <v>495020</v>
      </c>
      <c r="K11" s="533">
        <v>307420</v>
      </c>
      <c r="L11" s="533">
        <v>180390</v>
      </c>
      <c r="M11" s="533">
        <v>298560</v>
      </c>
      <c r="N11" s="533">
        <v>208040</v>
      </c>
      <c r="O11" s="533">
        <v>28840</v>
      </c>
      <c r="P11" s="1496">
        <f t="shared" si="1"/>
        <v>3167410</v>
      </c>
      <c r="Q11" s="663">
        <f t="shared" si="2"/>
        <v>4070840</v>
      </c>
      <c r="R11" s="1040">
        <v>171060</v>
      </c>
      <c r="S11" s="1041">
        <v>218490</v>
      </c>
      <c r="T11" s="1041">
        <v>329420</v>
      </c>
      <c r="U11" s="1041">
        <v>335020</v>
      </c>
      <c r="V11" s="1041">
        <v>0</v>
      </c>
      <c r="W11" s="1041">
        <v>0</v>
      </c>
      <c r="X11" s="1041">
        <v>0</v>
      </c>
      <c r="Y11" s="1041">
        <v>0</v>
      </c>
      <c r="Z11" s="1041"/>
      <c r="AA11" s="1041"/>
      <c r="AB11" s="1041"/>
      <c r="AC11" s="1041"/>
      <c r="AD11" s="663">
        <f t="shared" si="3"/>
        <v>1053990</v>
      </c>
      <c r="AE11" s="570">
        <f t="shared" si="4"/>
        <v>-0.66723916385943094</v>
      </c>
      <c r="AF11" s="571">
        <f t="shared" si="0"/>
        <v>52</v>
      </c>
      <c r="AH11" s="1418" t="s">
        <v>482</v>
      </c>
      <c r="AI11" s="1423">
        <v>2167800</v>
      </c>
      <c r="AJ11" s="1423">
        <v>8544360</v>
      </c>
      <c r="AK11" s="1415">
        <f t="shared" si="5"/>
        <v>6376560</v>
      </c>
      <c r="AL11" s="1419">
        <f t="shared" si="6"/>
        <v>2.9414890672571272</v>
      </c>
    </row>
    <row r="12" spans="1:38" x14ac:dyDescent="0.3">
      <c r="A12" s="4" t="s">
        <v>253</v>
      </c>
      <c r="B12" s="648" t="s">
        <v>260</v>
      </c>
      <c r="C12" s="491">
        <v>109520</v>
      </c>
      <c r="D12" s="533">
        <v>452130</v>
      </c>
      <c r="E12" s="533">
        <v>274570</v>
      </c>
      <c r="F12" s="533">
        <v>598720</v>
      </c>
      <c r="G12" s="533">
        <v>593120</v>
      </c>
      <c r="H12" s="533">
        <v>141630</v>
      </c>
      <c r="I12" s="533">
        <v>650410</v>
      </c>
      <c r="J12" s="533">
        <v>349030</v>
      </c>
      <c r="K12" s="533">
        <v>349030</v>
      </c>
      <c r="L12" s="533">
        <v>0</v>
      </c>
      <c r="M12" s="533">
        <v>360930</v>
      </c>
      <c r="N12" s="533">
        <v>0</v>
      </c>
      <c r="O12" s="533">
        <v>3610690</v>
      </c>
      <c r="P12" s="1496">
        <f t="shared" si="1"/>
        <v>3169130</v>
      </c>
      <c r="Q12" s="663">
        <f t="shared" si="2"/>
        <v>7140750</v>
      </c>
      <c r="R12" s="1040">
        <v>1076010</v>
      </c>
      <c r="S12" s="1041">
        <v>549080</v>
      </c>
      <c r="T12" s="1041">
        <v>624470</v>
      </c>
      <c r="U12" s="1041">
        <v>0</v>
      </c>
      <c r="V12" s="1041">
        <v>0</v>
      </c>
      <c r="W12" s="1041">
        <v>0</v>
      </c>
      <c r="X12" s="1041">
        <v>0</v>
      </c>
      <c r="Y12" s="1041">
        <v>0</v>
      </c>
      <c r="Z12" s="1041"/>
      <c r="AA12" s="1041"/>
      <c r="AB12" s="1041"/>
      <c r="AC12" s="1041"/>
      <c r="AD12" s="663">
        <f t="shared" si="3"/>
        <v>2249560</v>
      </c>
      <c r="AE12" s="570">
        <f t="shared" si="4"/>
        <v>-0.29016480863833294</v>
      </c>
      <c r="AF12" s="571">
        <f t="shared" si="0"/>
        <v>30</v>
      </c>
      <c r="AH12" s="1418" t="s">
        <v>461</v>
      </c>
      <c r="AI12" s="1423">
        <v>9940140</v>
      </c>
      <c r="AJ12" s="1423">
        <v>7445780</v>
      </c>
      <c r="AK12" s="1415">
        <f t="shared" si="5"/>
        <v>-2494360</v>
      </c>
      <c r="AL12" s="1419">
        <f t="shared" si="6"/>
        <v>-0.2509381155597406</v>
      </c>
    </row>
    <row r="13" spans="1:38" x14ac:dyDescent="0.3">
      <c r="A13" s="4" t="s">
        <v>253</v>
      </c>
      <c r="B13" s="648" t="s">
        <v>261</v>
      </c>
      <c r="C13" s="491">
        <v>678790</v>
      </c>
      <c r="D13" s="533">
        <v>0</v>
      </c>
      <c r="E13" s="533">
        <v>111890</v>
      </c>
      <c r="F13" s="533">
        <v>732610</v>
      </c>
      <c r="G13" s="533">
        <v>0</v>
      </c>
      <c r="H13" s="533">
        <v>530040</v>
      </c>
      <c r="I13" s="533">
        <v>504220</v>
      </c>
      <c r="J13" s="533">
        <v>0</v>
      </c>
      <c r="K13" s="533">
        <v>0</v>
      </c>
      <c r="L13" s="533">
        <v>0</v>
      </c>
      <c r="M13" s="533">
        <v>0</v>
      </c>
      <c r="N13" s="533">
        <v>0</v>
      </c>
      <c r="O13" s="533">
        <v>171310</v>
      </c>
      <c r="P13" s="1496">
        <f t="shared" si="1"/>
        <v>2557550</v>
      </c>
      <c r="Q13" s="663">
        <f t="shared" si="2"/>
        <v>2728860</v>
      </c>
      <c r="R13" s="1040">
        <v>333980</v>
      </c>
      <c r="S13" s="1041" t="s">
        <v>251</v>
      </c>
      <c r="T13" s="1041">
        <v>0</v>
      </c>
      <c r="U13" s="1041">
        <v>392640</v>
      </c>
      <c r="V13" s="1041">
        <v>0</v>
      </c>
      <c r="W13" s="1041">
        <v>0</v>
      </c>
      <c r="X13" s="1041">
        <v>0</v>
      </c>
      <c r="Y13" s="1041">
        <v>0</v>
      </c>
      <c r="Z13" s="1041"/>
      <c r="AA13" s="1041"/>
      <c r="AB13" s="1041"/>
      <c r="AC13" s="1041"/>
      <c r="AD13" s="663">
        <f t="shared" si="3"/>
        <v>726620</v>
      </c>
      <c r="AE13" s="570">
        <f t="shared" si="4"/>
        <v>-0.71589216242106701</v>
      </c>
      <c r="AF13" s="571">
        <f t="shared" si="0"/>
        <v>71</v>
      </c>
      <c r="AH13" s="1418" t="s">
        <v>439</v>
      </c>
      <c r="AI13" s="1423">
        <v>10384920</v>
      </c>
      <c r="AJ13" s="1423">
        <v>6201190</v>
      </c>
      <c r="AK13" s="1415">
        <f t="shared" si="5"/>
        <v>-4183730</v>
      </c>
      <c r="AL13" s="1419">
        <f t="shared" si="6"/>
        <v>-0.40286588630437209</v>
      </c>
    </row>
    <row r="14" spans="1:38" x14ac:dyDescent="0.3">
      <c r="A14" s="4" t="s">
        <v>253</v>
      </c>
      <c r="B14" s="648" t="s">
        <v>262</v>
      </c>
      <c r="C14" s="491">
        <v>535910</v>
      </c>
      <c r="D14" s="533">
        <v>285090</v>
      </c>
      <c r="E14" s="533">
        <v>68520</v>
      </c>
      <c r="F14" s="533">
        <v>561940</v>
      </c>
      <c r="G14" s="533">
        <v>27560</v>
      </c>
      <c r="H14" s="533">
        <v>467010</v>
      </c>
      <c r="I14" s="533">
        <v>389450</v>
      </c>
      <c r="J14" s="533">
        <v>522140</v>
      </c>
      <c r="K14" s="533">
        <v>385730</v>
      </c>
      <c r="L14" s="533">
        <v>1041340</v>
      </c>
      <c r="M14" s="533">
        <v>598320</v>
      </c>
      <c r="N14" s="533">
        <v>312840</v>
      </c>
      <c r="O14" s="533">
        <v>982540</v>
      </c>
      <c r="P14" s="1496">
        <f t="shared" si="1"/>
        <v>2721210</v>
      </c>
      <c r="Q14" s="663">
        <f t="shared" si="2"/>
        <v>5792660</v>
      </c>
      <c r="R14" s="1040">
        <v>1620080</v>
      </c>
      <c r="S14" s="1041">
        <v>1190930</v>
      </c>
      <c r="T14" s="1041">
        <v>66420</v>
      </c>
      <c r="U14" s="1041">
        <v>0</v>
      </c>
      <c r="V14" s="1041">
        <v>0</v>
      </c>
      <c r="W14" s="1041">
        <v>0</v>
      </c>
      <c r="X14" s="1041">
        <v>0</v>
      </c>
      <c r="Y14" s="1041">
        <v>0</v>
      </c>
      <c r="Z14" s="1041"/>
      <c r="AA14" s="1041"/>
      <c r="AB14" s="1041"/>
      <c r="AC14" s="1041"/>
      <c r="AD14" s="663">
        <f t="shared" si="3"/>
        <v>2877430</v>
      </c>
      <c r="AE14" s="570">
        <f t="shared" si="4"/>
        <v>5.74082852848549E-2</v>
      </c>
      <c r="AF14" s="571">
        <f t="shared" si="0"/>
        <v>26</v>
      </c>
      <c r="AH14" s="1418" t="s">
        <v>491</v>
      </c>
      <c r="AI14" s="1423">
        <v>1418830</v>
      </c>
      <c r="AJ14" s="1423">
        <v>2132590</v>
      </c>
      <c r="AK14" s="1415">
        <f t="shared" si="5"/>
        <v>713760</v>
      </c>
      <c r="AL14" s="1419">
        <f t="shared" si="6"/>
        <v>0.50306238238548662</v>
      </c>
    </row>
    <row r="15" spans="1:38" x14ac:dyDescent="0.3">
      <c r="A15" s="4" t="s">
        <v>253</v>
      </c>
      <c r="B15" s="648" t="s">
        <v>561</v>
      </c>
      <c r="C15" s="491">
        <v>273600</v>
      </c>
      <c r="D15" s="533">
        <v>0</v>
      </c>
      <c r="E15" s="533">
        <v>802560</v>
      </c>
      <c r="F15" s="533">
        <v>38800</v>
      </c>
      <c r="G15" s="533">
        <v>0</v>
      </c>
      <c r="H15" s="533">
        <v>0</v>
      </c>
      <c r="I15" s="533">
        <v>0</v>
      </c>
      <c r="J15" s="533">
        <v>0</v>
      </c>
      <c r="K15" s="533">
        <v>0</v>
      </c>
      <c r="L15" s="533">
        <v>32780</v>
      </c>
      <c r="M15" s="533">
        <v>365420</v>
      </c>
      <c r="N15" s="533">
        <v>58150</v>
      </c>
      <c r="O15" s="533">
        <v>0</v>
      </c>
      <c r="P15" s="1496">
        <f t="shared" si="1"/>
        <v>1114960</v>
      </c>
      <c r="Q15" s="663">
        <f t="shared" si="2"/>
        <v>1571310</v>
      </c>
      <c r="R15" s="1040">
        <v>28970</v>
      </c>
      <c r="S15" s="1041">
        <v>87630</v>
      </c>
      <c r="T15" s="1041">
        <v>210970</v>
      </c>
      <c r="U15" s="1041">
        <v>850270</v>
      </c>
      <c r="V15" s="1041">
        <v>0</v>
      </c>
      <c r="W15" s="1041">
        <v>0</v>
      </c>
      <c r="X15" s="1041">
        <v>0</v>
      </c>
      <c r="Y15" s="1041">
        <v>0</v>
      </c>
      <c r="Z15" s="1041"/>
      <c r="AA15" s="1041"/>
      <c r="AB15" s="1041"/>
      <c r="AC15" s="1041"/>
      <c r="AD15" s="663">
        <f t="shared" si="3"/>
        <v>1177840</v>
      </c>
      <c r="AE15" s="570">
        <f t="shared" si="4"/>
        <v>5.6396642032001149E-2</v>
      </c>
      <c r="AF15" s="571">
        <f t="shared" si="0"/>
        <v>49</v>
      </c>
      <c r="AH15" s="1418" t="s">
        <v>498</v>
      </c>
      <c r="AI15" s="1423">
        <v>1729130</v>
      </c>
      <c r="AJ15" s="1423">
        <v>32220</v>
      </c>
      <c r="AK15" s="1415">
        <f t="shared" si="5"/>
        <v>-1696910</v>
      </c>
      <c r="AL15" s="1419">
        <f t="shared" si="6"/>
        <v>-0.98136635186481058</v>
      </c>
    </row>
    <row r="16" spans="1:38" x14ac:dyDescent="0.3">
      <c r="A16" s="4" t="s">
        <v>253</v>
      </c>
      <c r="B16" s="648" t="s">
        <v>562</v>
      </c>
      <c r="C16" s="491"/>
      <c r="D16" s="533">
        <v>0</v>
      </c>
      <c r="E16" s="533">
        <v>460760</v>
      </c>
      <c r="F16" s="533">
        <v>428180</v>
      </c>
      <c r="G16" s="533">
        <v>210610</v>
      </c>
      <c r="H16" s="533">
        <v>27270</v>
      </c>
      <c r="I16" s="533">
        <v>355370</v>
      </c>
      <c r="J16" s="533">
        <v>0</v>
      </c>
      <c r="K16" s="533">
        <v>0</v>
      </c>
      <c r="L16" s="533">
        <v>57970</v>
      </c>
      <c r="M16" s="533">
        <v>0</v>
      </c>
      <c r="N16" s="533">
        <v>0</v>
      </c>
      <c r="O16" s="533">
        <v>684350</v>
      </c>
      <c r="P16" s="1496">
        <f t="shared" si="1"/>
        <v>1482190</v>
      </c>
      <c r="Q16" s="663">
        <f t="shared" si="2"/>
        <v>2224510</v>
      </c>
      <c r="R16" s="1040">
        <v>460610</v>
      </c>
      <c r="S16" s="1041" t="s">
        <v>251</v>
      </c>
      <c r="T16" s="1041">
        <v>469800</v>
      </c>
      <c r="U16" s="1041">
        <v>0</v>
      </c>
      <c r="V16" s="1041">
        <v>0</v>
      </c>
      <c r="W16" s="1041">
        <v>0</v>
      </c>
      <c r="X16" s="1041">
        <v>0</v>
      </c>
      <c r="Y16" s="1041">
        <v>0</v>
      </c>
      <c r="Z16" s="1041"/>
      <c r="AA16" s="1041"/>
      <c r="AB16" s="1041"/>
      <c r="AC16" s="1041"/>
      <c r="AD16" s="663">
        <f t="shared" si="3"/>
        <v>930410</v>
      </c>
      <c r="AE16" s="570">
        <f t="shared" si="4"/>
        <v>-0.3722734602176509</v>
      </c>
      <c r="AF16" s="571">
        <f t="shared" si="0"/>
        <v>58</v>
      </c>
      <c r="AH16" s="1418" t="s">
        <v>303</v>
      </c>
      <c r="AI16" s="1423">
        <v>47027820</v>
      </c>
      <c r="AJ16" s="1423">
        <v>0</v>
      </c>
      <c r="AK16" s="1415">
        <f t="shared" si="5"/>
        <v>-47027820</v>
      </c>
      <c r="AL16" s="1419">
        <f t="shared" si="6"/>
        <v>-1</v>
      </c>
    </row>
    <row r="17" spans="1:38" x14ac:dyDescent="0.3">
      <c r="A17" s="4" t="s">
        <v>253</v>
      </c>
      <c r="B17" s="648" t="s">
        <v>263</v>
      </c>
      <c r="C17" s="491">
        <v>105890</v>
      </c>
      <c r="D17" s="533">
        <v>283470</v>
      </c>
      <c r="E17" s="533">
        <v>0</v>
      </c>
      <c r="F17" s="533">
        <v>85350</v>
      </c>
      <c r="G17" s="533">
        <v>485150</v>
      </c>
      <c r="H17" s="533">
        <v>0</v>
      </c>
      <c r="I17" s="533">
        <v>92950</v>
      </c>
      <c r="J17" s="533">
        <v>445990</v>
      </c>
      <c r="K17" s="533">
        <v>390350</v>
      </c>
      <c r="L17" s="533">
        <v>0</v>
      </c>
      <c r="M17" s="533">
        <v>260630</v>
      </c>
      <c r="N17" s="533">
        <v>387530</v>
      </c>
      <c r="O17" s="533">
        <v>0</v>
      </c>
      <c r="P17" s="1496">
        <f t="shared" si="1"/>
        <v>1443160</v>
      </c>
      <c r="Q17" s="663">
        <f t="shared" si="2"/>
        <v>2146960</v>
      </c>
      <c r="R17" s="1040">
        <v>756520</v>
      </c>
      <c r="S17" s="1041">
        <v>28860</v>
      </c>
      <c r="T17" s="1041">
        <v>0</v>
      </c>
      <c r="U17" s="1041">
        <v>0</v>
      </c>
      <c r="V17" s="1041">
        <v>0</v>
      </c>
      <c r="W17" s="1041">
        <v>0</v>
      </c>
      <c r="X17" s="1041">
        <v>0</v>
      </c>
      <c r="Y17" s="1041">
        <v>0</v>
      </c>
      <c r="Z17" s="1041"/>
      <c r="AA17" s="1041"/>
      <c r="AB17" s="1041"/>
      <c r="AC17" s="1041"/>
      <c r="AD17" s="663">
        <f t="shared" si="3"/>
        <v>785380</v>
      </c>
      <c r="AE17" s="570">
        <f t="shared" si="4"/>
        <v>-0.45579145763463513</v>
      </c>
      <c r="AF17" s="571">
        <f t="shared" si="0"/>
        <v>67</v>
      </c>
      <c r="AH17" s="1418" t="s">
        <v>497</v>
      </c>
      <c r="AI17" s="1423">
        <v>281050</v>
      </c>
      <c r="AJ17" s="1423">
        <v>0</v>
      </c>
      <c r="AK17" s="1415">
        <f t="shared" si="5"/>
        <v>-281050</v>
      </c>
      <c r="AL17" s="1419">
        <f t="shared" si="6"/>
        <v>-1</v>
      </c>
    </row>
    <row r="18" spans="1:38" x14ac:dyDescent="0.3">
      <c r="A18" s="4" t="s">
        <v>253</v>
      </c>
      <c r="B18" s="648" t="s">
        <v>264</v>
      </c>
      <c r="C18" s="491">
        <v>976170</v>
      </c>
      <c r="D18" s="533">
        <v>0</v>
      </c>
      <c r="E18" s="533">
        <v>0</v>
      </c>
      <c r="F18" s="533">
        <v>0</v>
      </c>
      <c r="G18" s="533">
        <v>0</v>
      </c>
      <c r="H18" s="533">
        <v>0</v>
      </c>
      <c r="I18" s="533">
        <v>0</v>
      </c>
      <c r="J18" s="533">
        <v>0</v>
      </c>
      <c r="K18" s="533">
        <v>0</v>
      </c>
      <c r="L18" s="533">
        <v>0</v>
      </c>
      <c r="M18" s="533">
        <v>0</v>
      </c>
      <c r="N18" s="533">
        <v>0</v>
      </c>
      <c r="O18" s="533">
        <v>0</v>
      </c>
      <c r="P18" s="1496">
        <f t="shared" si="1"/>
        <v>976170</v>
      </c>
      <c r="Q18" s="663">
        <f t="shared" si="2"/>
        <v>976170</v>
      </c>
      <c r="R18" s="1040" t="s">
        <v>251</v>
      </c>
      <c r="S18" s="1041" t="s">
        <v>251</v>
      </c>
      <c r="T18" s="1041" t="s">
        <v>251</v>
      </c>
      <c r="U18" s="1041"/>
      <c r="V18" s="1041"/>
      <c r="W18" s="1041"/>
      <c r="X18" s="1041"/>
      <c r="Y18" s="1041"/>
      <c r="Z18" s="1041"/>
      <c r="AA18" s="1041"/>
      <c r="AB18" s="1041"/>
      <c r="AC18" s="1041"/>
      <c r="AD18" s="663">
        <f t="shared" si="3"/>
        <v>0</v>
      </c>
      <c r="AE18" s="570">
        <f t="shared" si="4"/>
        <v>-1</v>
      </c>
      <c r="AF18" s="571">
        <f t="shared" si="0"/>
        <v>189</v>
      </c>
      <c r="AH18" s="1418" t="s">
        <v>500</v>
      </c>
      <c r="AI18" s="1423">
        <v>0</v>
      </c>
      <c r="AJ18" s="1423">
        <v>0</v>
      </c>
      <c r="AK18" s="1423">
        <f t="shared" ref="AK18:AK19" si="7">AJ18-AI18</f>
        <v>0</v>
      </c>
      <c r="AL18" s="1419">
        <f t="shared" si="6"/>
        <v>0</v>
      </c>
    </row>
    <row r="19" spans="1:38" x14ac:dyDescent="0.3">
      <c r="A19" s="4" t="s">
        <v>253</v>
      </c>
      <c r="B19" s="648" t="s">
        <v>265</v>
      </c>
      <c r="C19" s="491"/>
      <c r="D19" s="533">
        <v>0</v>
      </c>
      <c r="E19" s="533">
        <v>384970</v>
      </c>
      <c r="F19" s="533">
        <v>28600</v>
      </c>
      <c r="G19" s="533">
        <v>330790</v>
      </c>
      <c r="H19" s="533">
        <v>551280</v>
      </c>
      <c r="I19" s="533">
        <v>0</v>
      </c>
      <c r="J19" s="533">
        <v>0</v>
      </c>
      <c r="K19" s="533">
        <v>0</v>
      </c>
      <c r="L19" s="533">
        <v>27870</v>
      </c>
      <c r="M19" s="533">
        <v>0</v>
      </c>
      <c r="N19" s="533">
        <v>0</v>
      </c>
      <c r="O19" s="533">
        <v>0</v>
      </c>
      <c r="P19" s="1496">
        <f t="shared" si="1"/>
        <v>1295640</v>
      </c>
      <c r="Q19" s="663">
        <f t="shared" si="2"/>
        <v>1323510</v>
      </c>
      <c r="R19" s="1040" t="s">
        <v>251</v>
      </c>
      <c r="S19" s="1041" t="s">
        <v>251</v>
      </c>
      <c r="T19" s="1041" t="s">
        <v>251</v>
      </c>
      <c r="U19" s="1041"/>
      <c r="V19" s="1041"/>
      <c r="W19" s="1041"/>
      <c r="X19" s="1041"/>
      <c r="Y19" s="1041"/>
      <c r="Z19" s="1041"/>
      <c r="AA19" s="1041"/>
      <c r="AB19" s="1041"/>
      <c r="AC19" s="1041"/>
      <c r="AD19" s="663">
        <f t="shared" si="3"/>
        <v>0</v>
      </c>
      <c r="AE19" s="570">
        <f t="shared" si="4"/>
        <v>-1</v>
      </c>
      <c r="AF19" s="571">
        <f t="shared" si="0"/>
        <v>189</v>
      </c>
      <c r="AH19" s="1418" t="s">
        <v>1745</v>
      </c>
      <c r="AI19" s="1423">
        <v>0</v>
      </c>
      <c r="AJ19" s="1423">
        <v>0</v>
      </c>
      <c r="AK19" s="1423">
        <f t="shared" si="7"/>
        <v>0</v>
      </c>
      <c r="AL19" s="1419">
        <f t="shared" si="6"/>
        <v>0</v>
      </c>
    </row>
    <row r="20" spans="1:38" ht="17.25" thickBot="1" x14ac:dyDescent="0.3">
      <c r="A20" s="4" t="s">
        <v>253</v>
      </c>
      <c r="B20" s="648" t="s">
        <v>210</v>
      </c>
      <c r="C20" s="491"/>
      <c r="D20" s="533">
        <v>130100</v>
      </c>
      <c r="E20" s="533">
        <v>0</v>
      </c>
      <c r="F20" s="533">
        <v>606260</v>
      </c>
      <c r="G20" s="533">
        <v>0</v>
      </c>
      <c r="H20" s="533">
        <v>0</v>
      </c>
      <c r="I20" s="533">
        <v>194630</v>
      </c>
      <c r="J20" s="533">
        <v>298480</v>
      </c>
      <c r="K20" s="533">
        <v>298480</v>
      </c>
      <c r="L20" s="533">
        <v>616780</v>
      </c>
      <c r="M20" s="533">
        <v>206880</v>
      </c>
      <c r="N20" s="533">
        <v>0</v>
      </c>
      <c r="O20" s="533">
        <v>0</v>
      </c>
      <c r="P20" s="1496">
        <f t="shared" si="1"/>
        <v>1229470</v>
      </c>
      <c r="Q20" s="663">
        <f t="shared" si="2"/>
        <v>2053130</v>
      </c>
      <c r="R20" s="1040">
        <v>283440</v>
      </c>
      <c r="S20" s="1041">
        <v>162830</v>
      </c>
      <c r="T20" s="1041">
        <v>0</v>
      </c>
      <c r="U20" s="1041">
        <v>156570</v>
      </c>
      <c r="V20" s="1041">
        <v>0</v>
      </c>
      <c r="W20" s="1041">
        <v>0</v>
      </c>
      <c r="X20" s="1041">
        <v>0</v>
      </c>
      <c r="Y20" s="1041">
        <v>0</v>
      </c>
      <c r="Z20" s="1041"/>
      <c r="AA20" s="1041"/>
      <c r="AB20" s="1041"/>
      <c r="AC20" s="1041"/>
      <c r="AD20" s="663">
        <f t="shared" si="3"/>
        <v>602840</v>
      </c>
      <c r="AE20" s="570">
        <f t="shared" si="4"/>
        <v>-0.50967490056691089</v>
      </c>
      <c r="AF20" s="571">
        <f t="shared" si="0"/>
        <v>82</v>
      </c>
      <c r="AH20" s="1420" t="s">
        <v>783</v>
      </c>
      <c r="AI20" s="1424">
        <v>359936730</v>
      </c>
      <c r="AJ20" s="1424">
        <v>283671020</v>
      </c>
      <c r="AK20" s="1437">
        <f t="shared" ref="AK20" si="8">AJ20-AI20</f>
        <v>-76265710</v>
      </c>
      <c r="AL20" s="1438">
        <f t="shared" ref="AL20" si="9">IFERROR((AJ20-AI20)/AI20, 0)</f>
        <v>-0.21188643348512945</v>
      </c>
    </row>
    <row r="21" spans="1:38" x14ac:dyDescent="0.3">
      <c r="A21" s="4" t="s">
        <v>253</v>
      </c>
      <c r="B21" s="648" t="s">
        <v>266</v>
      </c>
      <c r="C21" s="491"/>
      <c r="D21" s="533">
        <v>0</v>
      </c>
      <c r="E21" s="533">
        <v>0</v>
      </c>
      <c r="F21" s="533">
        <v>480060</v>
      </c>
      <c r="G21" s="533">
        <v>172810</v>
      </c>
      <c r="H21" s="533">
        <v>110800</v>
      </c>
      <c r="I21" s="533">
        <v>1082930</v>
      </c>
      <c r="J21" s="533">
        <v>95540</v>
      </c>
      <c r="K21" s="533">
        <v>109410</v>
      </c>
      <c r="L21" s="533">
        <v>684390</v>
      </c>
      <c r="M21" s="533">
        <v>181890</v>
      </c>
      <c r="N21" s="533">
        <v>136970</v>
      </c>
      <c r="O21" s="533">
        <v>239100</v>
      </c>
      <c r="P21" s="1496">
        <f t="shared" si="1"/>
        <v>1956010</v>
      </c>
      <c r="Q21" s="663">
        <f t="shared" si="2"/>
        <v>3184490</v>
      </c>
      <c r="R21" s="1040">
        <v>261000</v>
      </c>
      <c r="S21" s="1041">
        <v>29280</v>
      </c>
      <c r="T21" s="1041">
        <v>338260</v>
      </c>
      <c r="U21" s="1041">
        <v>787200</v>
      </c>
      <c r="V21" s="1041">
        <v>0</v>
      </c>
      <c r="W21" s="1041">
        <v>0</v>
      </c>
      <c r="X21" s="1041">
        <v>0</v>
      </c>
      <c r="Y21" s="1041">
        <v>0</v>
      </c>
      <c r="Z21" s="1041"/>
      <c r="AA21" s="1041"/>
      <c r="AB21" s="1041"/>
      <c r="AC21" s="1041"/>
      <c r="AD21" s="663">
        <f t="shared" si="3"/>
        <v>1415740</v>
      </c>
      <c r="AE21" s="570">
        <f t="shared" si="4"/>
        <v>-0.27621024432390429</v>
      </c>
      <c r="AF21" s="571">
        <f t="shared" si="0"/>
        <v>45</v>
      </c>
    </row>
    <row r="22" spans="1:38" x14ac:dyDescent="0.3">
      <c r="A22" s="4" t="s">
        <v>253</v>
      </c>
      <c r="B22" s="648" t="s">
        <v>563</v>
      </c>
      <c r="C22" s="491"/>
      <c r="D22" s="533">
        <v>0</v>
      </c>
      <c r="E22" s="533">
        <v>140780</v>
      </c>
      <c r="F22" s="533">
        <v>276180</v>
      </c>
      <c r="G22" s="533">
        <v>206410</v>
      </c>
      <c r="H22" s="533">
        <v>0</v>
      </c>
      <c r="I22" s="533">
        <v>0</v>
      </c>
      <c r="J22" s="533">
        <v>0</v>
      </c>
      <c r="K22" s="533">
        <v>0</v>
      </c>
      <c r="L22" s="533">
        <v>0</v>
      </c>
      <c r="M22" s="533">
        <v>0</v>
      </c>
      <c r="N22" s="533">
        <v>0</v>
      </c>
      <c r="O22" s="533">
        <v>0</v>
      </c>
      <c r="P22" s="1496">
        <f t="shared" si="1"/>
        <v>623370</v>
      </c>
      <c r="Q22" s="663">
        <f t="shared" si="2"/>
        <v>623370</v>
      </c>
      <c r="R22" s="1040" t="s">
        <v>251</v>
      </c>
      <c r="S22" s="1041" t="s">
        <v>251</v>
      </c>
      <c r="T22" s="1041" t="s">
        <v>251</v>
      </c>
      <c r="U22" s="1041"/>
      <c r="V22" s="1041"/>
      <c r="W22" s="1041"/>
      <c r="X22" s="1041"/>
      <c r="Y22" s="1041"/>
      <c r="Z22" s="1041"/>
      <c r="AA22" s="1041"/>
      <c r="AB22" s="1041"/>
      <c r="AC22" s="1041"/>
      <c r="AD22" s="663">
        <f t="shared" si="3"/>
        <v>0</v>
      </c>
      <c r="AE22" s="570">
        <f t="shared" si="4"/>
        <v>-1</v>
      </c>
      <c r="AF22" s="571">
        <f t="shared" si="0"/>
        <v>189</v>
      </c>
    </row>
    <row r="23" spans="1:38" x14ac:dyDescent="0.3">
      <c r="A23" s="4" t="s">
        <v>253</v>
      </c>
      <c r="B23" s="648" t="s">
        <v>564</v>
      </c>
      <c r="C23" s="491"/>
      <c r="D23" s="533">
        <v>0</v>
      </c>
      <c r="E23" s="533">
        <v>48770</v>
      </c>
      <c r="F23" s="533">
        <v>231860</v>
      </c>
      <c r="G23" s="533">
        <v>317030</v>
      </c>
      <c r="H23" s="533">
        <v>0</v>
      </c>
      <c r="I23" s="533">
        <v>0</v>
      </c>
      <c r="J23" s="533">
        <v>0</v>
      </c>
      <c r="K23" s="533">
        <v>0</v>
      </c>
      <c r="L23" s="533">
        <v>0</v>
      </c>
      <c r="M23" s="533">
        <v>0</v>
      </c>
      <c r="N23" s="533">
        <v>0</v>
      </c>
      <c r="O23" s="533">
        <v>0</v>
      </c>
      <c r="P23" s="1496">
        <f t="shared" si="1"/>
        <v>597660</v>
      </c>
      <c r="Q23" s="663">
        <f t="shared" si="2"/>
        <v>597660</v>
      </c>
      <c r="R23" s="1040" t="s">
        <v>251</v>
      </c>
      <c r="S23" s="1041" t="s">
        <v>251</v>
      </c>
      <c r="T23" s="1041" t="s">
        <v>251</v>
      </c>
      <c r="U23" s="1041"/>
      <c r="V23" s="1041"/>
      <c r="W23" s="1041"/>
      <c r="X23" s="1041"/>
      <c r="Y23" s="1041"/>
      <c r="Z23" s="1041"/>
      <c r="AA23" s="1041"/>
      <c r="AB23" s="1041"/>
      <c r="AC23" s="1041"/>
      <c r="AD23" s="663">
        <f t="shared" si="3"/>
        <v>0</v>
      </c>
      <c r="AE23" s="570">
        <f t="shared" si="4"/>
        <v>-1</v>
      </c>
      <c r="AF23" s="571">
        <f t="shared" si="0"/>
        <v>189</v>
      </c>
    </row>
    <row r="24" spans="1:38" x14ac:dyDescent="0.3">
      <c r="A24" s="4" t="s">
        <v>253</v>
      </c>
      <c r="B24" s="648" t="s">
        <v>54</v>
      </c>
      <c r="C24" s="491"/>
      <c r="D24" s="533">
        <v>0</v>
      </c>
      <c r="E24" s="533">
        <v>0</v>
      </c>
      <c r="F24" s="533">
        <v>222520</v>
      </c>
      <c r="G24" s="533">
        <v>0</v>
      </c>
      <c r="H24" s="533">
        <v>174180</v>
      </c>
      <c r="I24" s="533">
        <v>0</v>
      </c>
      <c r="J24" s="533">
        <v>0</v>
      </c>
      <c r="K24" s="533">
        <v>0</v>
      </c>
      <c r="L24" s="533">
        <v>320500</v>
      </c>
      <c r="M24" s="533">
        <v>0</v>
      </c>
      <c r="N24" s="533">
        <v>87320</v>
      </c>
      <c r="O24" s="533">
        <v>0</v>
      </c>
      <c r="P24" s="1496">
        <f t="shared" si="1"/>
        <v>396700</v>
      </c>
      <c r="Q24" s="663">
        <f t="shared" si="2"/>
        <v>804520</v>
      </c>
      <c r="R24" s="1040" t="s">
        <v>251</v>
      </c>
      <c r="S24" s="1041" t="s">
        <v>251</v>
      </c>
      <c r="T24" s="1041" t="s">
        <v>251</v>
      </c>
      <c r="U24" s="1041"/>
      <c r="V24" s="1041"/>
      <c r="W24" s="1041"/>
      <c r="X24" s="1041"/>
      <c r="Y24" s="1041"/>
      <c r="Z24" s="1041"/>
      <c r="AA24" s="1041"/>
      <c r="AB24" s="1041"/>
      <c r="AC24" s="1041"/>
      <c r="AD24" s="663">
        <f t="shared" si="3"/>
        <v>0</v>
      </c>
      <c r="AE24" s="570">
        <f t="shared" si="4"/>
        <v>-1</v>
      </c>
      <c r="AF24" s="571">
        <f t="shared" si="0"/>
        <v>189</v>
      </c>
    </row>
    <row r="25" spans="1:38" x14ac:dyDescent="0.3">
      <c r="A25" s="4" t="s">
        <v>253</v>
      </c>
      <c r="B25" s="648" t="s">
        <v>268</v>
      </c>
      <c r="C25" s="491"/>
      <c r="D25" s="533">
        <v>0</v>
      </c>
      <c r="E25" s="533">
        <v>0</v>
      </c>
      <c r="F25" s="533">
        <v>166120</v>
      </c>
      <c r="G25" s="533">
        <v>28110</v>
      </c>
      <c r="H25" s="533">
        <v>0</v>
      </c>
      <c r="I25" s="533">
        <v>0</v>
      </c>
      <c r="J25" s="533">
        <v>0</v>
      </c>
      <c r="K25" s="533">
        <v>0</v>
      </c>
      <c r="L25" s="533">
        <v>0</v>
      </c>
      <c r="M25" s="533">
        <v>0</v>
      </c>
      <c r="N25" s="533">
        <v>0</v>
      </c>
      <c r="O25" s="533">
        <v>0</v>
      </c>
      <c r="P25" s="1496">
        <f t="shared" si="1"/>
        <v>194230</v>
      </c>
      <c r="Q25" s="663">
        <f t="shared" si="2"/>
        <v>194230</v>
      </c>
      <c r="R25" s="1040" t="s">
        <v>251</v>
      </c>
      <c r="S25" s="1041" t="s">
        <v>251</v>
      </c>
      <c r="T25" s="1041" t="s">
        <v>251</v>
      </c>
      <c r="U25" s="1041"/>
      <c r="V25" s="1041"/>
      <c r="W25" s="1041"/>
      <c r="X25" s="1041"/>
      <c r="Y25" s="1041"/>
      <c r="Z25" s="1041"/>
      <c r="AA25" s="1041"/>
      <c r="AB25" s="1041"/>
      <c r="AC25" s="1041"/>
      <c r="AD25" s="663">
        <f t="shared" si="3"/>
        <v>0</v>
      </c>
      <c r="AE25" s="570">
        <f t="shared" si="4"/>
        <v>-1</v>
      </c>
      <c r="AF25" s="571">
        <f t="shared" si="0"/>
        <v>189</v>
      </c>
    </row>
    <row r="26" spans="1:38" x14ac:dyDescent="0.3">
      <c r="A26" s="4" t="s">
        <v>253</v>
      </c>
      <c r="B26" s="648" t="s">
        <v>565</v>
      </c>
      <c r="C26" s="491"/>
      <c r="D26" s="533">
        <v>29010</v>
      </c>
      <c r="E26" s="533">
        <v>0</v>
      </c>
      <c r="F26" s="533">
        <v>114900</v>
      </c>
      <c r="G26" s="533">
        <v>43250</v>
      </c>
      <c r="H26" s="533">
        <v>329890</v>
      </c>
      <c r="I26" s="533">
        <v>626310</v>
      </c>
      <c r="J26" s="533">
        <v>27980</v>
      </c>
      <c r="K26" s="533">
        <v>27980</v>
      </c>
      <c r="L26" s="533">
        <v>175110</v>
      </c>
      <c r="M26" s="533">
        <v>47120</v>
      </c>
      <c r="N26" s="533">
        <v>0</v>
      </c>
      <c r="O26" s="533">
        <v>199870</v>
      </c>
      <c r="P26" s="1496">
        <f t="shared" si="1"/>
        <v>1171340</v>
      </c>
      <c r="Q26" s="663">
        <f t="shared" si="2"/>
        <v>1593440</v>
      </c>
      <c r="R26" s="1040">
        <v>46570</v>
      </c>
      <c r="S26" s="1041" t="s">
        <v>251</v>
      </c>
      <c r="T26" s="1041">
        <v>302270</v>
      </c>
      <c r="U26" s="1041">
        <v>0</v>
      </c>
      <c r="V26" s="1041">
        <v>0</v>
      </c>
      <c r="W26" s="1041">
        <v>0</v>
      </c>
      <c r="X26" s="1041">
        <v>0</v>
      </c>
      <c r="Y26" s="1041">
        <v>0</v>
      </c>
      <c r="Z26" s="1041"/>
      <c r="AA26" s="1041"/>
      <c r="AB26" s="1041"/>
      <c r="AC26" s="1041"/>
      <c r="AD26" s="663">
        <f t="shared" si="3"/>
        <v>348840</v>
      </c>
      <c r="AE26" s="570">
        <f t="shared" si="4"/>
        <v>-0.7021872385473048</v>
      </c>
      <c r="AF26" s="571">
        <f t="shared" si="0"/>
        <v>109</v>
      </c>
    </row>
    <row r="27" spans="1:38" x14ac:dyDescent="0.3">
      <c r="A27" s="4" t="s">
        <v>253</v>
      </c>
      <c r="B27" s="648" t="s">
        <v>269</v>
      </c>
      <c r="C27" s="491">
        <v>136310</v>
      </c>
      <c r="D27" s="533">
        <v>0</v>
      </c>
      <c r="E27" s="533">
        <v>0</v>
      </c>
      <c r="F27" s="533">
        <v>0</v>
      </c>
      <c r="G27" s="533">
        <v>33800</v>
      </c>
      <c r="H27" s="533">
        <v>0</v>
      </c>
      <c r="I27" s="533">
        <v>0</v>
      </c>
      <c r="J27" s="533">
        <v>0</v>
      </c>
      <c r="K27" s="533">
        <v>0</v>
      </c>
      <c r="L27" s="533">
        <v>0</v>
      </c>
      <c r="M27" s="533">
        <v>37980</v>
      </c>
      <c r="N27" s="533">
        <v>194740</v>
      </c>
      <c r="O27" s="533">
        <v>0</v>
      </c>
      <c r="P27" s="1496">
        <f t="shared" si="1"/>
        <v>170110</v>
      </c>
      <c r="Q27" s="663">
        <f t="shared" si="2"/>
        <v>402830</v>
      </c>
      <c r="R27" s="1040">
        <v>425820</v>
      </c>
      <c r="S27" s="1041" t="s">
        <v>251</v>
      </c>
      <c r="T27" s="1041">
        <v>0</v>
      </c>
      <c r="U27" s="1041">
        <v>97880</v>
      </c>
      <c r="V27" s="1041">
        <v>0</v>
      </c>
      <c r="W27" s="1041">
        <v>0</v>
      </c>
      <c r="X27" s="1041">
        <v>0</v>
      </c>
      <c r="Y27" s="1041">
        <v>0</v>
      </c>
      <c r="Z27" s="1041"/>
      <c r="AA27" s="1041"/>
      <c r="AB27" s="1041"/>
      <c r="AC27" s="1041"/>
      <c r="AD27" s="663">
        <f t="shared" si="3"/>
        <v>523700</v>
      </c>
      <c r="AE27" s="570">
        <f t="shared" si="4"/>
        <v>2.0785962024572338</v>
      </c>
      <c r="AF27" s="571">
        <f t="shared" si="0"/>
        <v>89</v>
      </c>
    </row>
    <row r="28" spans="1:38" x14ac:dyDescent="0.3">
      <c r="A28" s="4" t="s">
        <v>253</v>
      </c>
      <c r="B28" s="648" t="s">
        <v>566</v>
      </c>
      <c r="C28" s="491"/>
      <c r="D28" s="533">
        <v>0</v>
      </c>
      <c r="E28" s="533">
        <v>0</v>
      </c>
      <c r="F28" s="533">
        <v>150070</v>
      </c>
      <c r="G28" s="533">
        <v>0</v>
      </c>
      <c r="H28" s="533">
        <v>0</v>
      </c>
      <c r="I28" s="533">
        <v>148580</v>
      </c>
      <c r="J28" s="533">
        <v>0</v>
      </c>
      <c r="K28" s="533">
        <v>0</v>
      </c>
      <c r="L28" s="533">
        <v>0</v>
      </c>
      <c r="M28" s="533">
        <v>287150</v>
      </c>
      <c r="N28" s="533">
        <v>158830</v>
      </c>
      <c r="O28" s="533">
        <v>0</v>
      </c>
      <c r="P28" s="1496">
        <f t="shared" si="1"/>
        <v>298650</v>
      </c>
      <c r="Q28" s="663">
        <f t="shared" si="2"/>
        <v>744630</v>
      </c>
      <c r="R28" s="1040">
        <v>29340</v>
      </c>
      <c r="S28" s="1041">
        <v>277850</v>
      </c>
      <c r="T28" s="1041">
        <v>1095350</v>
      </c>
      <c r="U28" s="1041">
        <v>0</v>
      </c>
      <c r="V28" s="1041">
        <v>0</v>
      </c>
      <c r="W28" s="1041">
        <v>0</v>
      </c>
      <c r="X28" s="1041">
        <v>0</v>
      </c>
      <c r="Y28" s="1041">
        <v>0</v>
      </c>
      <c r="Z28" s="1041"/>
      <c r="AA28" s="1041"/>
      <c r="AB28" s="1041"/>
      <c r="AC28" s="1041"/>
      <c r="AD28" s="663">
        <f t="shared" si="3"/>
        <v>1402540</v>
      </c>
      <c r="AE28" s="570">
        <f t="shared" si="4"/>
        <v>3.696266532730621</v>
      </c>
      <c r="AF28" s="571">
        <f t="shared" si="0"/>
        <v>46</v>
      </c>
    </row>
    <row r="29" spans="1:38" x14ac:dyDescent="0.3">
      <c r="A29" s="4" t="s">
        <v>253</v>
      </c>
      <c r="B29" s="648" t="s">
        <v>270</v>
      </c>
      <c r="C29" s="491"/>
      <c r="D29" s="533">
        <v>0</v>
      </c>
      <c r="E29" s="533">
        <v>29180</v>
      </c>
      <c r="F29" s="533">
        <v>60270</v>
      </c>
      <c r="G29" s="533">
        <v>0</v>
      </c>
      <c r="H29" s="533">
        <v>0</v>
      </c>
      <c r="I29" s="533">
        <v>0</v>
      </c>
      <c r="J29" s="533">
        <v>149020</v>
      </c>
      <c r="K29" s="533">
        <v>149020</v>
      </c>
      <c r="L29" s="533">
        <v>42910</v>
      </c>
      <c r="M29" s="533">
        <v>0</v>
      </c>
      <c r="N29" s="533">
        <v>0</v>
      </c>
      <c r="O29" s="533">
        <v>44920</v>
      </c>
      <c r="P29" s="1496">
        <f t="shared" si="1"/>
        <v>238470</v>
      </c>
      <c r="Q29" s="663">
        <f t="shared" si="2"/>
        <v>326300</v>
      </c>
      <c r="R29" s="1040" t="s">
        <v>251</v>
      </c>
      <c r="S29" s="1041" t="s">
        <v>251</v>
      </c>
      <c r="T29" s="1041">
        <v>30160</v>
      </c>
      <c r="U29" s="1041">
        <v>0</v>
      </c>
      <c r="V29" s="1041">
        <v>0</v>
      </c>
      <c r="W29" s="1041">
        <v>0</v>
      </c>
      <c r="X29" s="1041">
        <v>0</v>
      </c>
      <c r="Y29" s="1041">
        <v>0</v>
      </c>
      <c r="Z29" s="1041"/>
      <c r="AA29" s="1041"/>
      <c r="AB29" s="1041"/>
      <c r="AC29" s="1041"/>
      <c r="AD29" s="663">
        <f t="shared" si="3"/>
        <v>30160</v>
      </c>
      <c r="AE29" s="570">
        <f t="shared" si="4"/>
        <v>-0.87352706839434735</v>
      </c>
      <c r="AF29" s="571">
        <f t="shared" si="0"/>
        <v>180</v>
      </c>
    </row>
    <row r="30" spans="1:38" x14ac:dyDescent="0.3">
      <c r="A30" s="4" t="s">
        <v>253</v>
      </c>
      <c r="B30" s="648" t="s">
        <v>271</v>
      </c>
      <c r="C30" s="491">
        <v>58570</v>
      </c>
      <c r="D30" s="533">
        <v>0</v>
      </c>
      <c r="E30" s="533">
        <v>0</v>
      </c>
      <c r="F30" s="533">
        <v>0</v>
      </c>
      <c r="G30" s="533">
        <v>0</v>
      </c>
      <c r="H30" s="533">
        <v>0</v>
      </c>
      <c r="I30" s="533">
        <v>0</v>
      </c>
      <c r="J30" s="533">
        <v>544100</v>
      </c>
      <c r="K30" s="533">
        <v>544100</v>
      </c>
      <c r="L30" s="533">
        <v>0</v>
      </c>
      <c r="M30" s="533">
        <v>0</v>
      </c>
      <c r="N30" s="533">
        <v>0</v>
      </c>
      <c r="O30" s="533">
        <v>167960</v>
      </c>
      <c r="P30" s="1496">
        <f t="shared" si="1"/>
        <v>602670</v>
      </c>
      <c r="Q30" s="663">
        <f t="shared" si="2"/>
        <v>770630</v>
      </c>
      <c r="R30" s="1040">
        <v>286380</v>
      </c>
      <c r="S30" s="1041" t="s">
        <v>251</v>
      </c>
      <c r="T30" s="1041" t="s">
        <v>251</v>
      </c>
      <c r="U30" s="1041">
        <v>0</v>
      </c>
      <c r="V30" s="1041">
        <v>0</v>
      </c>
      <c r="W30" s="1041">
        <v>0</v>
      </c>
      <c r="X30" s="1041">
        <v>0</v>
      </c>
      <c r="Y30" s="1041">
        <v>0</v>
      </c>
      <c r="Z30" s="1041"/>
      <c r="AA30" s="1041"/>
      <c r="AB30" s="1041"/>
      <c r="AC30" s="1041"/>
      <c r="AD30" s="663">
        <f t="shared" si="3"/>
        <v>286380</v>
      </c>
      <c r="AE30" s="570">
        <f t="shared" si="4"/>
        <v>-0.52481457514062424</v>
      </c>
      <c r="AF30" s="571">
        <f t="shared" si="0"/>
        <v>119</v>
      </c>
    </row>
    <row r="31" spans="1:38" x14ac:dyDescent="0.3">
      <c r="A31" s="4" t="s">
        <v>253</v>
      </c>
      <c r="B31" s="648" t="s">
        <v>272</v>
      </c>
      <c r="C31" s="491"/>
      <c r="D31" s="533">
        <v>0</v>
      </c>
      <c r="E31" s="533">
        <v>48150</v>
      </c>
      <c r="F31" s="533">
        <v>0</v>
      </c>
      <c r="G31" s="533">
        <v>0</v>
      </c>
      <c r="H31" s="533">
        <v>0</v>
      </c>
      <c r="I31" s="533">
        <v>0</v>
      </c>
      <c r="J31" s="533">
        <v>0</v>
      </c>
      <c r="K31" s="533">
        <v>0</v>
      </c>
      <c r="L31" s="533">
        <v>0</v>
      </c>
      <c r="M31" s="533">
        <v>0</v>
      </c>
      <c r="N31" s="533">
        <v>0</v>
      </c>
      <c r="O31" s="533">
        <v>0</v>
      </c>
      <c r="P31" s="1496">
        <f t="shared" si="1"/>
        <v>48150</v>
      </c>
      <c r="Q31" s="663">
        <f t="shared" si="2"/>
        <v>48150</v>
      </c>
      <c r="R31" s="1040" t="s">
        <v>251</v>
      </c>
      <c r="S31" s="1041" t="s">
        <v>251</v>
      </c>
      <c r="T31" s="1041" t="s">
        <v>251</v>
      </c>
      <c r="U31" s="1041"/>
      <c r="V31" s="1041"/>
      <c r="W31" s="1041"/>
      <c r="X31" s="1041"/>
      <c r="Y31" s="1041"/>
      <c r="Z31" s="1041"/>
      <c r="AA31" s="1041"/>
      <c r="AB31" s="1041"/>
      <c r="AC31" s="1041"/>
      <c r="AD31" s="663">
        <f t="shared" si="3"/>
        <v>0</v>
      </c>
      <c r="AE31" s="570">
        <f t="shared" si="4"/>
        <v>-1</v>
      </c>
      <c r="AF31" s="571">
        <f t="shared" si="0"/>
        <v>189</v>
      </c>
    </row>
    <row r="32" spans="1:38" x14ac:dyDescent="0.3">
      <c r="A32" s="4" t="s">
        <v>253</v>
      </c>
      <c r="B32" s="648" t="s">
        <v>234</v>
      </c>
      <c r="C32" s="491"/>
      <c r="D32" s="533" t="s">
        <v>251</v>
      </c>
      <c r="E32" s="533" t="s">
        <v>251</v>
      </c>
      <c r="F32" s="533" t="s">
        <v>251</v>
      </c>
      <c r="G32" s="533" t="s">
        <v>251</v>
      </c>
      <c r="H32" s="533" t="s">
        <v>251</v>
      </c>
      <c r="I32" s="533" t="s">
        <v>251</v>
      </c>
      <c r="J32" s="533" t="s">
        <v>251</v>
      </c>
      <c r="K32" s="533"/>
      <c r="L32" s="533" t="s">
        <v>251</v>
      </c>
      <c r="M32" s="533" t="s">
        <v>251</v>
      </c>
      <c r="N32" s="533" t="s">
        <v>251</v>
      </c>
      <c r="O32" s="533" t="s">
        <v>251</v>
      </c>
      <c r="P32" s="1496">
        <f t="shared" si="1"/>
        <v>0</v>
      </c>
      <c r="Q32" s="663">
        <f t="shared" si="2"/>
        <v>0</v>
      </c>
      <c r="R32" s="1040" t="s">
        <v>251</v>
      </c>
      <c r="S32" s="1041" t="s">
        <v>251</v>
      </c>
      <c r="T32" s="1041" t="s">
        <v>251</v>
      </c>
      <c r="U32" s="1041"/>
      <c r="V32" s="1041"/>
      <c r="W32" s="1041"/>
      <c r="X32" s="1041"/>
      <c r="Y32" s="1041"/>
      <c r="Z32" s="1041"/>
      <c r="AA32" s="1041"/>
      <c r="AB32" s="1041"/>
      <c r="AC32" s="1041"/>
      <c r="AD32" s="663">
        <f t="shared" si="3"/>
        <v>0</v>
      </c>
      <c r="AE32" s="570">
        <f t="shared" si="4"/>
        <v>0</v>
      </c>
      <c r="AF32" s="571">
        <f t="shared" si="0"/>
        <v>189</v>
      </c>
    </row>
    <row r="33" spans="1:32" x14ac:dyDescent="0.3">
      <c r="A33" s="4" t="s">
        <v>253</v>
      </c>
      <c r="B33" s="648" t="s">
        <v>273</v>
      </c>
      <c r="C33" s="491"/>
      <c r="D33" s="533" t="s">
        <v>251</v>
      </c>
      <c r="E33" s="533" t="s">
        <v>251</v>
      </c>
      <c r="F33" s="533" t="s">
        <v>251</v>
      </c>
      <c r="G33" s="533" t="s">
        <v>251</v>
      </c>
      <c r="H33" s="533" t="s">
        <v>251</v>
      </c>
      <c r="I33" s="533" t="s">
        <v>251</v>
      </c>
      <c r="J33" s="533" t="s">
        <v>251</v>
      </c>
      <c r="K33" s="533"/>
      <c r="L33" s="533" t="s">
        <v>251</v>
      </c>
      <c r="M33" s="533" t="s">
        <v>251</v>
      </c>
      <c r="N33" s="533" t="s">
        <v>251</v>
      </c>
      <c r="O33" s="533" t="s">
        <v>251</v>
      </c>
      <c r="P33" s="1496">
        <f t="shared" si="1"/>
        <v>0</v>
      </c>
      <c r="Q33" s="663">
        <f t="shared" si="2"/>
        <v>0</v>
      </c>
      <c r="R33" s="1040" t="s">
        <v>251</v>
      </c>
      <c r="S33" s="1041" t="s">
        <v>251</v>
      </c>
      <c r="T33" s="1041" t="s">
        <v>251</v>
      </c>
      <c r="U33" s="1041"/>
      <c r="V33" s="1041"/>
      <c r="W33" s="1041"/>
      <c r="X33" s="1041"/>
      <c r="Y33" s="1041"/>
      <c r="Z33" s="1041"/>
      <c r="AA33" s="1041"/>
      <c r="AB33" s="1041"/>
      <c r="AC33" s="1041"/>
      <c r="AD33" s="663">
        <f t="shared" si="3"/>
        <v>0</v>
      </c>
      <c r="AE33" s="570">
        <f t="shared" si="4"/>
        <v>0</v>
      </c>
      <c r="AF33" s="571">
        <f t="shared" si="0"/>
        <v>189</v>
      </c>
    </row>
    <row r="34" spans="1:32" x14ac:dyDescent="0.3">
      <c r="A34" s="4" t="s">
        <v>253</v>
      </c>
      <c r="B34" s="648" t="s">
        <v>274</v>
      </c>
      <c r="C34" s="491"/>
      <c r="D34" s="533">
        <v>0</v>
      </c>
      <c r="E34" s="533">
        <v>0</v>
      </c>
      <c r="F34" s="533">
        <v>0</v>
      </c>
      <c r="G34" s="533">
        <v>0</v>
      </c>
      <c r="H34" s="533">
        <v>0</v>
      </c>
      <c r="I34" s="533">
        <v>178360</v>
      </c>
      <c r="J34" s="533">
        <v>0</v>
      </c>
      <c r="K34" s="533">
        <v>0</v>
      </c>
      <c r="L34" s="533">
        <v>482150</v>
      </c>
      <c r="M34" s="533">
        <v>189240</v>
      </c>
      <c r="N34" s="533">
        <v>0</v>
      </c>
      <c r="O34" s="533">
        <v>362530</v>
      </c>
      <c r="P34" s="1496">
        <f t="shared" si="1"/>
        <v>178360</v>
      </c>
      <c r="Q34" s="663">
        <f t="shared" si="2"/>
        <v>1212280</v>
      </c>
      <c r="R34" s="1040" t="s">
        <v>251</v>
      </c>
      <c r="S34" s="1041" t="s">
        <v>251</v>
      </c>
      <c r="T34" s="1041" t="s">
        <v>251</v>
      </c>
      <c r="U34" s="1041">
        <v>619540</v>
      </c>
      <c r="V34" s="1041">
        <v>0</v>
      </c>
      <c r="W34" s="1041">
        <v>0</v>
      </c>
      <c r="X34" s="1041">
        <v>0</v>
      </c>
      <c r="Y34" s="1041">
        <v>0</v>
      </c>
      <c r="Z34" s="1041"/>
      <c r="AA34" s="1041"/>
      <c r="AB34" s="1041"/>
      <c r="AC34" s="1041"/>
      <c r="AD34" s="663">
        <f t="shared" si="3"/>
        <v>619540</v>
      </c>
      <c r="AE34" s="570">
        <f t="shared" si="4"/>
        <v>2.4735366674142183</v>
      </c>
      <c r="AF34" s="571">
        <f t="shared" si="0"/>
        <v>81</v>
      </c>
    </row>
    <row r="35" spans="1:32" x14ac:dyDescent="0.3">
      <c r="A35" s="4" t="s">
        <v>253</v>
      </c>
      <c r="B35" s="648" t="s">
        <v>275</v>
      </c>
      <c r="C35" s="491"/>
      <c r="D35" s="533">
        <v>0</v>
      </c>
      <c r="E35" s="533">
        <v>0</v>
      </c>
      <c r="F35" s="533">
        <v>0</v>
      </c>
      <c r="G35" s="533">
        <v>0</v>
      </c>
      <c r="H35" s="533">
        <v>27330</v>
      </c>
      <c r="I35" s="533">
        <v>0</v>
      </c>
      <c r="J35" s="533">
        <v>0</v>
      </c>
      <c r="K35" s="533">
        <v>0</v>
      </c>
      <c r="L35" s="533">
        <v>0</v>
      </c>
      <c r="M35" s="533">
        <v>0</v>
      </c>
      <c r="N35" s="533">
        <v>0</v>
      </c>
      <c r="O35" s="533">
        <v>0</v>
      </c>
      <c r="P35" s="1496">
        <f t="shared" si="1"/>
        <v>27330</v>
      </c>
      <c r="Q35" s="663">
        <f t="shared" si="2"/>
        <v>27330</v>
      </c>
      <c r="R35" s="1040" t="s">
        <v>251</v>
      </c>
      <c r="S35" s="1041" t="s">
        <v>251</v>
      </c>
      <c r="T35" s="1041" t="s">
        <v>251</v>
      </c>
      <c r="U35" s="1041"/>
      <c r="V35" s="1041"/>
      <c r="W35" s="1041"/>
      <c r="X35" s="1041"/>
      <c r="Y35" s="1041"/>
      <c r="Z35" s="1041"/>
      <c r="AA35" s="1041"/>
      <c r="AB35" s="1041"/>
      <c r="AC35" s="1041"/>
      <c r="AD35" s="663">
        <f t="shared" si="3"/>
        <v>0</v>
      </c>
      <c r="AE35" s="570">
        <f t="shared" si="4"/>
        <v>-1</v>
      </c>
      <c r="AF35" s="571">
        <f t="shared" si="0"/>
        <v>189</v>
      </c>
    </row>
    <row r="36" spans="1:32" x14ac:dyDescent="0.3">
      <c r="A36" s="4" t="s">
        <v>253</v>
      </c>
      <c r="B36" s="648" t="s">
        <v>276</v>
      </c>
      <c r="C36" s="491"/>
      <c r="D36" s="533">
        <v>0</v>
      </c>
      <c r="E36" s="533">
        <v>0</v>
      </c>
      <c r="F36" s="533">
        <v>0</v>
      </c>
      <c r="G36" s="533">
        <v>0</v>
      </c>
      <c r="H36" s="533">
        <v>0</v>
      </c>
      <c r="I36" s="533">
        <v>0</v>
      </c>
      <c r="J36" s="533">
        <v>0</v>
      </c>
      <c r="K36" s="533"/>
      <c r="L36" s="533">
        <v>803980</v>
      </c>
      <c r="M36" s="533">
        <v>0</v>
      </c>
      <c r="N36" s="533">
        <v>0</v>
      </c>
      <c r="O36" s="533">
        <v>0</v>
      </c>
      <c r="P36" s="1496">
        <f t="shared" si="1"/>
        <v>0</v>
      </c>
      <c r="Q36" s="663">
        <f t="shared" si="2"/>
        <v>803980</v>
      </c>
      <c r="R36" s="1040" t="s">
        <v>251</v>
      </c>
      <c r="S36" s="1041" t="s">
        <v>251</v>
      </c>
      <c r="T36" s="1041">
        <v>29290</v>
      </c>
      <c r="U36" s="1041">
        <v>196980</v>
      </c>
      <c r="V36" s="1041">
        <v>0</v>
      </c>
      <c r="W36" s="1041">
        <v>0</v>
      </c>
      <c r="X36" s="1041">
        <v>0</v>
      </c>
      <c r="Y36" s="1041">
        <v>0</v>
      </c>
      <c r="Z36" s="1041"/>
      <c r="AA36" s="1041"/>
      <c r="AB36" s="1041"/>
      <c r="AC36" s="1041"/>
      <c r="AD36" s="663">
        <f t="shared" si="3"/>
        <v>226270</v>
      </c>
      <c r="AE36" s="570">
        <f t="shared" si="4"/>
        <v>1</v>
      </c>
      <c r="AF36" s="571">
        <f t="shared" si="0"/>
        <v>127</v>
      </c>
    </row>
    <row r="37" spans="1:32" x14ac:dyDescent="0.3">
      <c r="A37" s="4" t="s">
        <v>253</v>
      </c>
      <c r="B37" s="648" t="s">
        <v>277</v>
      </c>
      <c r="C37" s="491"/>
      <c r="D37" s="533" t="s">
        <v>251</v>
      </c>
      <c r="E37" s="533" t="s">
        <v>251</v>
      </c>
      <c r="F37" s="533" t="s">
        <v>251</v>
      </c>
      <c r="G37" s="533" t="s">
        <v>251</v>
      </c>
      <c r="H37" s="533" t="s">
        <v>251</v>
      </c>
      <c r="I37" s="533" t="s">
        <v>251</v>
      </c>
      <c r="J37" s="533" t="s">
        <v>251</v>
      </c>
      <c r="K37" s="533"/>
      <c r="L37" s="533" t="s">
        <v>251</v>
      </c>
      <c r="M37" s="533" t="s">
        <v>251</v>
      </c>
      <c r="N37" s="533" t="s">
        <v>251</v>
      </c>
      <c r="O37" s="533" t="s">
        <v>251</v>
      </c>
      <c r="P37" s="1496">
        <f t="shared" si="1"/>
        <v>0</v>
      </c>
      <c r="Q37" s="663">
        <f t="shared" si="2"/>
        <v>0</v>
      </c>
      <c r="R37" s="1040" t="s">
        <v>251</v>
      </c>
      <c r="S37" s="1041" t="s">
        <v>251</v>
      </c>
      <c r="T37" s="1041" t="s">
        <v>251</v>
      </c>
      <c r="U37" s="1041"/>
      <c r="V37" s="1041"/>
      <c r="W37" s="1041"/>
      <c r="X37" s="1041"/>
      <c r="Y37" s="1041"/>
      <c r="Z37" s="1041"/>
      <c r="AA37" s="1041"/>
      <c r="AB37" s="1041"/>
      <c r="AC37" s="1041"/>
      <c r="AD37" s="663">
        <f t="shared" si="3"/>
        <v>0</v>
      </c>
      <c r="AE37" s="570">
        <f t="shared" si="4"/>
        <v>0</v>
      </c>
      <c r="AF37" s="571">
        <f t="shared" si="0"/>
        <v>189</v>
      </c>
    </row>
    <row r="38" spans="1:32" x14ac:dyDescent="0.3">
      <c r="A38" s="4" t="s">
        <v>253</v>
      </c>
      <c r="B38" s="648" t="s">
        <v>278</v>
      </c>
      <c r="C38" s="491"/>
      <c r="D38" s="533" t="s">
        <v>251</v>
      </c>
      <c r="E38" s="533" t="s">
        <v>251</v>
      </c>
      <c r="F38" s="533" t="s">
        <v>251</v>
      </c>
      <c r="G38" s="533" t="s">
        <v>251</v>
      </c>
      <c r="H38" s="533" t="s">
        <v>251</v>
      </c>
      <c r="I38" s="533" t="s">
        <v>251</v>
      </c>
      <c r="J38" s="533" t="s">
        <v>251</v>
      </c>
      <c r="K38" s="533"/>
      <c r="L38" s="533" t="s">
        <v>251</v>
      </c>
      <c r="M38" s="533" t="s">
        <v>251</v>
      </c>
      <c r="N38" s="533" t="s">
        <v>251</v>
      </c>
      <c r="O38" s="533" t="s">
        <v>251</v>
      </c>
      <c r="P38" s="1496">
        <f t="shared" si="1"/>
        <v>0</v>
      </c>
      <c r="Q38" s="663">
        <f t="shared" si="2"/>
        <v>0</v>
      </c>
      <c r="R38" s="1040" t="s">
        <v>251</v>
      </c>
      <c r="S38" s="1041" t="s">
        <v>251</v>
      </c>
      <c r="T38" s="1041" t="s">
        <v>251</v>
      </c>
      <c r="U38" s="1041"/>
      <c r="V38" s="1041"/>
      <c r="W38" s="1041"/>
      <c r="X38" s="1041"/>
      <c r="Y38" s="1041"/>
      <c r="Z38" s="1041"/>
      <c r="AA38" s="1041"/>
      <c r="AB38" s="1041"/>
      <c r="AC38" s="1041"/>
      <c r="AD38" s="663">
        <f t="shared" si="3"/>
        <v>0</v>
      </c>
      <c r="AE38" s="570">
        <f t="shared" si="4"/>
        <v>0</v>
      </c>
      <c r="AF38" s="571">
        <f t="shared" si="0"/>
        <v>189</v>
      </c>
    </row>
    <row r="39" spans="1:32" x14ac:dyDescent="0.3">
      <c r="A39" s="4" t="s">
        <v>253</v>
      </c>
      <c r="B39" s="648" t="s">
        <v>279</v>
      </c>
      <c r="C39" s="491"/>
      <c r="D39" s="533" t="s">
        <v>251</v>
      </c>
      <c r="E39" s="533" t="s">
        <v>251</v>
      </c>
      <c r="F39" s="533" t="s">
        <v>251</v>
      </c>
      <c r="G39" s="533" t="s">
        <v>251</v>
      </c>
      <c r="H39" s="533" t="s">
        <v>251</v>
      </c>
      <c r="I39" s="533" t="s">
        <v>251</v>
      </c>
      <c r="J39" s="533" t="s">
        <v>251</v>
      </c>
      <c r="K39" s="533"/>
      <c r="L39" s="533" t="s">
        <v>251</v>
      </c>
      <c r="M39" s="533" t="s">
        <v>251</v>
      </c>
      <c r="N39" s="533" t="s">
        <v>251</v>
      </c>
      <c r="O39" s="533" t="s">
        <v>251</v>
      </c>
      <c r="P39" s="1496">
        <f t="shared" si="1"/>
        <v>0</v>
      </c>
      <c r="Q39" s="663">
        <f t="shared" si="2"/>
        <v>0</v>
      </c>
      <c r="R39" s="1040" t="s">
        <v>251</v>
      </c>
      <c r="S39" s="1041" t="s">
        <v>251</v>
      </c>
      <c r="T39" s="1041" t="s">
        <v>251</v>
      </c>
      <c r="U39" s="1041"/>
      <c r="V39" s="1041"/>
      <c r="W39" s="1041"/>
      <c r="X39" s="1041"/>
      <c r="Y39" s="1041"/>
      <c r="Z39" s="1041"/>
      <c r="AA39" s="1041"/>
      <c r="AB39" s="1041"/>
      <c r="AC39" s="1041"/>
      <c r="AD39" s="663">
        <f t="shared" si="3"/>
        <v>0</v>
      </c>
      <c r="AE39" s="570">
        <f t="shared" si="4"/>
        <v>0</v>
      </c>
      <c r="AF39" s="571">
        <f t="shared" si="0"/>
        <v>189</v>
      </c>
    </row>
    <row r="40" spans="1:32" x14ac:dyDescent="0.3">
      <c r="A40" s="4" t="s">
        <v>253</v>
      </c>
      <c r="B40" s="648" t="s">
        <v>280</v>
      </c>
      <c r="C40" s="491"/>
      <c r="D40" s="533" t="s">
        <v>251</v>
      </c>
      <c r="E40" s="533" t="s">
        <v>251</v>
      </c>
      <c r="F40" s="533" t="s">
        <v>251</v>
      </c>
      <c r="G40" s="533" t="s">
        <v>251</v>
      </c>
      <c r="H40" s="533" t="s">
        <v>251</v>
      </c>
      <c r="I40" s="533" t="s">
        <v>251</v>
      </c>
      <c r="J40" s="533" t="s">
        <v>251</v>
      </c>
      <c r="K40" s="533"/>
      <c r="L40" s="533" t="s">
        <v>251</v>
      </c>
      <c r="M40" s="533" t="s">
        <v>251</v>
      </c>
      <c r="N40" s="533" t="s">
        <v>251</v>
      </c>
      <c r="O40" s="533" t="s">
        <v>251</v>
      </c>
      <c r="P40" s="1496">
        <f t="shared" si="1"/>
        <v>0</v>
      </c>
      <c r="Q40" s="663">
        <f t="shared" si="2"/>
        <v>0</v>
      </c>
      <c r="R40" s="1040" t="s">
        <v>251</v>
      </c>
      <c r="S40" s="1041" t="s">
        <v>251</v>
      </c>
      <c r="T40" s="1041" t="s">
        <v>251</v>
      </c>
      <c r="U40" s="1041"/>
      <c r="V40" s="1041"/>
      <c r="W40" s="1041"/>
      <c r="X40" s="1041"/>
      <c r="Y40" s="1041"/>
      <c r="Z40" s="1041"/>
      <c r="AA40" s="1041"/>
      <c r="AB40" s="1041"/>
      <c r="AC40" s="1041"/>
      <c r="AD40" s="663">
        <f t="shared" si="3"/>
        <v>0</v>
      </c>
      <c r="AE40" s="570">
        <f t="shared" si="4"/>
        <v>0</v>
      </c>
      <c r="AF40" s="571">
        <f t="shared" si="0"/>
        <v>189</v>
      </c>
    </row>
    <row r="41" spans="1:32" x14ac:dyDescent="0.3">
      <c r="A41" s="4" t="s">
        <v>253</v>
      </c>
      <c r="B41" s="648" t="s">
        <v>281</v>
      </c>
      <c r="C41" s="491"/>
      <c r="D41" s="533" t="s">
        <v>251</v>
      </c>
      <c r="E41" s="533" t="s">
        <v>251</v>
      </c>
      <c r="F41" s="533" t="s">
        <v>251</v>
      </c>
      <c r="G41" s="533" t="s">
        <v>251</v>
      </c>
      <c r="H41" s="533" t="s">
        <v>251</v>
      </c>
      <c r="I41" s="533" t="s">
        <v>251</v>
      </c>
      <c r="J41" s="533" t="s">
        <v>251</v>
      </c>
      <c r="K41" s="533"/>
      <c r="L41" s="533" t="s">
        <v>251</v>
      </c>
      <c r="M41" s="533" t="s">
        <v>251</v>
      </c>
      <c r="N41" s="533" t="s">
        <v>251</v>
      </c>
      <c r="O41" s="533" t="s">
        <v>251</v>
      </c>
      <c r="P41" s="1496">
        <f t="shared" si="1"/>
        <v>0</v>
      </c>
      <c r="Q41" s="663">
        <f t="shared" si="2"/>
        <v>0</v>
      </c>
      <c r="R41" s="1040" t="s">
        <v>251</v>
      </c>
      <c r="S41" s="1041" t="s">
        <v>251</v>
      </c>
      <c r="T41" s="1041" t="s">
        <v>251</v>
      </c>
      <c r="U41" s="1041"/>
      <c r="V41" s="1041"/>
      <c r="W41" s="1041"/>
      <c r="X41" s="1041"/>
      <c r="Y41" s="1041"/>
      <c r="Z41" s="1041"/>
      <c r="AA41" s="1041"/>
      <c r="AB41" s="1041"/>
      <c r="AC41" s="1041"/>
      <c r="AD41" s="663">
        <f t="shared" si="3"/>
        <v>0</v>
      </c>
      <c r="AE41" s="570">
        <f t="shared" si="4"/>
        <v>0</v>
      </c>
      <c r="AF41" s="571">
        <f t="shared" si="0"/>
        <v>189</v>
      </c>
    </row>
    <row r="42" spans="1:32" x14ac:dyDescent="0.3">
      <c r="A42" s="4" t="s">
        <v>253</v>
      </c>
      <c r="B42" s="648" t="s">
        <v>282</v>
      </c>
      <c r="C42" s="491"/>
      <c r="D42" s="533">
        <v>0</v>
      </c>
      <c r="E42" s="533">
        <v>0</v>
      </c>
      <c r="F42" s="533">
        <v>0</v>
      </c>
      <c r="G42" s="533">
        <v>0</v>
      </c>
      <c r="H42" s="533">
        <v>0</v>
      </c>
      <c r="I42" s="533">
        <v>0</v>
      </c>
      <c r="J42" s="533">
        <v>0</v>
      </c>
      <c r="K42" s="533"/>
      <c r="L42" s="533">
        <v>0</v>
      </c>
      <c r="M42" s="533">
        <v>415170</v>
      </c>
      <c r="N42" s="533">
        <v>0</v>
      </c>
      <c r="O42" s="533">
        <v>0</v>
      </c>
      <c r="P42" s="1496">
        <f t="shared" si="1"/>
        <v>0</v>
      </c>
      <c r="Q42" s="663">
        <f t="shared" si="2"/>
        <v>415170</v>
      </c>
      <c r="R42" s="1040">
        <v>380890</v>
      </c>
      <c r="S42" s="1041" t="s">
        <v>251</v>
      </c>
      <c r="T42" s="1041">
        <v>0</v>
      </c>
      <c r="U42" s="1041">
        <v>150850</v>
      </c>
      <c r="V42" s="1041">
        <v>0</v>
      </c>
      <c r="W42" s="1041">
        <v>0</v>
      </c>
      <c r="X42" s="1041">
        <v>0</v>
      </c>
      <c r="Y42" s="1041">
        <v>0</v>
      </c>
      <c r="Z42" s="1041"/>
      <c r="AA42" s="1041"/>
      <c r="AB42" s="1041"/>
      <c r="AC42" s="1041"/>
      <c r="AD42" s="663">
        <f t="shared" si="3"/>
        <v>531740</v>
      </c>
      <c r="AE42" s="570">
        <f t="shared" si="4"/>
        <v>1</v>
      </c>
      <c r="AF42" s="571">
        <f t="shared" si="0"/>
        <v>87</v>
      </c>
    </row>
    <row r="43" spans="1:32" x14ac:dyDescent="0.3">
      <c r="A43" s="4" t="s">
        <v>253</v>
      </c>
      <c r="B43" s="648" t="s">
        <v>283</v>
      </c>
      <c r="C43" s="491"/>
      <c r="D43" s="533" t="s">
        <v>251</v>
      </c>
      <c r="E43" s="533" t="s">
        <v>251</v>
      </c>
      <c r="F43" s="533" t="s">
        <v>251</v>
      </c>
      <c r="G43" s="533" t="s">
        <v>251</v>
      </c>
      <c r="H43" s="533" t="s">
        <v>251</v>
      </c>
      <c r="I43" s="533" t="s">
        <v>251</v>
      </c>
      <c r="J43" s="533" t="s">
        <v>251</v>
      </c>
      <c r="K43" s="533"/>
      <c r="L43" s="533" t="s">
        <v>251</v>
      </c>
      <c r="M43" s="533" t="s">
        <v>251</v>
      </c>
      <c r="N43" s="533" t="s">
        <v>251</v>
      </c>
      <c r="O43" s="533" t="s">
        <v>251</v>
      </c>
      <c r="P43" s="1496">
        <f t="shared" si="1"/>
        <v>0</v>
      </c>
      <c r="Q43" s="663">
        <f t="shared" si="2"/>
        <v>0</v>
      </c>
      <c r="R43" s="1040" t="s">
        <v>251</v>
      </c>
      <c r="S43" s="1041" t="s">
        <v>251</v>
      </c>
      <c r="T43" s="1041" t="s">
        <v>251</v>
      </c>
      <c r="U43" s="1041"/>
      <c r="V43" s="1041"/>
      <c r="W43" s="1041"/>
      <c r="X43" s="1041"/>
      <c r="Y43" s="1041"/>
      <c r="Z43" s="1041"/>
      <c r="AA43" s="1041"/>
      <c r="AB43" s="1041"/>
      <c r="AC43" s="1041"/>
      <c r="AD43" s="663">
        <f t="shared" si="3"/>
        <v>0</v>
      </c>
      <c r="AE43" s="570">
        <f t="shared" si="4"/>
        <v>0</v>
      </c>
      <c r="AF43" s="571">
        <f t="shared" si="0"/>
        <v>189</v>
      </c>
    </row>
    <row r="44" spans="1:32" x14ac:dyDescent="0.3">
      <c r="A44" s="4" t="s">
        <v>253</v>
      </c>
      <c r="B44" s="648" t="s">
        <v>284</v>
      </c>
      <c r="C44" s="491"/>
      <c r="D44" s="533" t="s">
        <v>251</v>
      </c>
      <c r="E44" s="533" t="s">
        <v>251</v>
      </c>
      <c r="F44" s="533" t="s">
        <v>251</v>
      </c>
      <c r="G44" s="533" t="s">
        <v>251</v>
      </c>
      <c r="H44" s="533" t="s">
        <v>251</v>
      </c>
      <c r="I44" s="533" t="s">
        <v>251</v>
      </c>
      <c r="J44" s="533" t="s">
        <v>251</v>
      </c>
      <c r="K44" s="533"/>
      <c r="L44" s="533" t="s">
        <v>251</v>
      </c>
      <c r="M44" s="533" t="s">
        <v>251</v>
      </c>
      <c r="N44" s="533" t="s">
        <v>251</v>
      </c>
      <c r="O44" s="533" t="s">
        <v>251</v>
      </c>
      <c r="P44" s="1496">
        <f t="shared" si="1"/>
        <v>0</v>
      </c>
      <c r="Q44" s="663">
        <f t="shared" si="2"/>
        <v>0</v>
      </c>
      <c r="R44" s="1040" t="s">
        <v>251</v>
      </c>
      <c r="S44" s="1041" t="s">
        <v>251</v>
      </c>
      <c r="T44" s="1041" t="s">
        <v>251</v>
      </c>
      <c r="U44" s="1041"/>
      <c r="V44" s="1041"/>
      <c r="W44" s="1041"/>
      <c r="X44" s="1041"/>
      <c r="Y44" s="1041"/>
      <c r="Z44" s="1041"/>
      <c r="AA44" s="1041"/>
      <c r="AB44" s="1041"/>
      <c r="AC44" s="1041"/>
      <c r="AD44" s="663">
        <f t="shared" si="3"/>
        <v>0</v>
      </c>
      <c r="AE44" s="570">
        <f t="shared" si="4"/>
        <v>0</v>
      </c>
      <c r="AF44" s="571">
        <f t="shared" si="0"/>
        <v>189</v>
      </c>
    </row>
    <row r="45" spans="1:32" x14ac:dyDescent="0.3">
      <c r="A45" s="4" t="s">
        <v>253</v>
      </c>
      <c r="B45" s="648" t="s">
        <v>285</v>
      </c>
      <c r="C45" s="491"/>
      <c r="D45" s="533" t="s">
        <v>251</v>
      </c>
      <c r="E45" s="533" t="s">
        <v>251</v>
      </c>
      <c r="F45" s="533" t="s">
        <v>251</v>
      </c>
      <c r="G45" s="533" t="s">
        <v>251</v>
      </c>
      <c r="H45" s="533" t="s">
        <v>251</v>
      </c>
      <c r="I45" s="533" t="s">
        <v>251</v>
      </c>
      <c r="J45" s="533" t="s">
        <v>251</v>
      </c>
      <c r="K45" s="533"/>
      <c r="L45" s="533" t="s">
        <v>251</v>
      </c>
      <c r="M45" s="533" t="s">
        <v>251</v>
      </c>
      <c r="N45" s="533" t="s">
        <v>251</v>
      </c>
      <c r="O45" s="533" t="s">
        <v>251</v>
      </c>
      <c r="P45" s="1496">
        <f t="shared" si="1"/>
        <v>0</v>
      </c>
      <c r="Q45" s="663">
        <f t="shared" si="2"/>
        <v>0</v>
      </c>
      <c r="R45" s="1040" t="s">
        <v>251</v>
      </c>
      <c r="S45" s="1041" t="s">
        <v>251</v>
      </c>
      <c r="T45" s="1041" t="s">
        <v>251</v>
      </c>
      <c r="U45" s="1041"/>
      <c r="V45" s="1041"/>
      <c r="W45" s="1041"/>
      <c r="X45" s="1041"/>
      <c r="Y45" s="1041"/>
      <c r="Z45" s="1041"/>
      <c r="AA45" s="1041"/>
      <c r="AB45" s="1041"/>
      <c r="AC45" s="1041"/>
      <c r="AD45" s="663">
        <f t="shared" si="3"/>
        <v>0</v>
      </c>
      <c r="AE45" s="570">
        <f t="shared" si="4"/>
        <v>0</v>
      </c>
      <c r="AF45" s="571">
        <f t="shared" si="0"/>
        <v>189</v>
      </c>
    </row>
    <row r="46" spans="1:32" x14ac:dyDescent="0.3">
      <c r="A46" s="4" t="s">
        <v>253</v>
      </c>
      <c r="B46" s="648" t="s">
        <v>286</v>
      </c>
      <c r="C46" s="491"/>
      <c r="D46" s="533" t="s">
        <v>251</v>
      </c>
      <c r="E46" s="533" t="s">
        <v>251</v>
      </c>
      <c r="F46" s="533" t="s">
        <v>251</v>
      </c>
      <c r="G46" s="533" t="s">
        <v>251</v>
      </c>
      <c r="H46" s="533" t="s">
        <v>251</v>
      </c>
      <c r="I46" s="533" t="s">
        <v>251</v>
      </c>
      <c r="J46" s="533" t="s">
        <v>251</v>
      </c>
      <c r="K46" s="533"/>
      <c r="L46" s="533" t="s">
        <v>251</v>
      </c>
      <c r="M46" s="533" t="s">
        <v>251</v>
      </c>
      <c r="N46" s="533" t="s">
        <v>251</v>
      </c>
      <c r="O46" s="533" t="s">
        <v>251</v>
      </c>
      <c r="P46" s="1496">
        <f t="shared" si="1"/>
        <v>0</v>
      </c>
      <c r="Q46" s="663">
        <f t="shared" si="2"/>
        <v>0</v>
      </c>
      <c r="R46" s="1040" t="s">
        <v>251</v>
      </c>
      <c r="S46" s="1041" t="s">
        <v>251</v>
      </c>
      <c r="T46" s="1041" t="s">
        <v>251</v>
      </c>
      <c r="U46" s="1041"/>
      <c r="V46" s="1041"/>
      <c r="W46" s="1041"/>
      <c r="X46" s="1041"/>
      <c r="Y46" s="1041"/>
      <c r="Z46" s="1041"/>
      <c r="AA46" s="1041"/>
      <c r="AB46" s="1041"/>
      <c r="AC46" s="1041"/>
      <c r="AD46" s="663">
        <f t="shared" si="3"/>
        <v>0</v>
      </c>
      <c r="AE46" s="570">
        <f t="shared" si="4"/>
        <v>0</v>
      </c>
      <c r="AF46" s="571">
        <f t="shared" si="0"/>
        <v>189</v>
      </c>
    </row>
    <row r="47" spans="1:32" x14ac:dyDescent="0.3">
      <c r="A47" s="4" t="s">
        <v>253</v>
      </c>
      <c r="B47" s="648" t="s">
        <v>287</v>
      </c>
      <c r="C47" s="491"/>
      <c r="D47" s="533" t="s">
        <v>251</v>
      </c>
      <c r="E47" s="533" t="s">
        <v>251</v>
      </c>
      <c r="F47" s="533" t="s">
        <v>251</v>
      </c>
      <c r="G47" s="533" t="s">
        <v>251</v>
      </c>
      <c r="H47" s="533" t="s">
        <v>251</v>
      </c>
      <c r="I47" s="533" t="s">
        <v>251</v>
      </c>
      <c r="J47" s="533" t="s">
        <v>251</v>
      </c>
      <c r="K47" s="533"/>
      <c r="L47" s="533" t="s">
        <v>251</v>
      </c>
      <c r="M47" s="533" t="s">
        <v>251</v>
      </c>
      <c r="N47" s="533" t="s">
        <v>251</v>
      </c>
      <c r="O47" s="533" t="s">
        <v>251</v>
      </c>
      <c r="P47" s="1496">
        <f t="shared" si="1"/>
        <v>0</v>
      </c>
      <c r="Q47" s="663">
        <f t="shared" si="2"/>
        <v>0</v>
      </c>
      <c r="R47" s="1040" t="s">
        <v>251</v>
      </c>
      <c r="S47" s="1041" t="s">
        <v>251</v>
      </c>
      <c r="T47" s="1041" t="s">
        <v>251</v>
      </c>
      <c r="U47" s="1041"/>
      <c r="V47" s="1041"/>
      <c r="W47" s="1041"/>
      <c r="X47" s="1041"/>
      <c r="Y47" s="1041"/>
      <c r="Z47" s="1041"/>
      <c r="AA47" s="1041"/>
      <c r="AB47" s="1041"/>
      <c r="AC47" s="1041"/>
      <c r="AD47" s="663">
        <f t="shared" si="3"/>
        <v>0</v>
      </c>
      <c r="AE47" s="570">
        <f t="shared" si="4"/>
        <v>0</v>
      </c>
      <c r="AF47" s="571">
        <f t="shared" si="0"/>
        <v>189</v>
      </c>
    </row>
    <row r="48" spans="1:32" x14ac:dyDescent="0.3">
      <c r="A48" s="4" t="s">
        <v>253</v>
      </c>
      <c r="B48" s="648" t="s">
        <v>288</v>
      </c>
      <c r="C48" s="491"/>
      <c r="D48" s="533">
        <v>0</v>
      </c>
      <c r="E48" s="533">
        <v>0</v>
      </c>
      <c r="F48" s="533">
        <v>0</v>
      </c>
      <c r="G48" s="533">
        <v>0</v>
      </c>
      <c r="H48" s="533">
        <v>160030</v>
      </c>
      <c r="I48" s="533">
        <v>0</v>
      </c>
      <c r="J48" s="533">
        <v>0</v>
      </c>
      <c r="K48" s="533">
        <v>0</v>
      </c>
      <c r="L48" s="533">
        <v>0</v>
      </c>
      <c r="M48" s="533">
        <v>0</v>
      </c>
      <c r="N48" s="533">
        <v>0</v>
      </c>
      <c r="O48" s="533">
        <v>0</v>
      </c>
      <c r="P48" s="1496">
        <f t="shared" si="1"/>
        <v>160030</v>
      </c>
      <c r="Q48" s="663">
        <f t="shared" si="2"/>
        <v>160030</v>
      </c>
      <c r="R48" s="1040">
        <v>168860</v>
      </c>
      <c r="S48" s="1041" t="s">
        <v>251</v>
      </c>
      <c r="T48" s="1041">
        <v>0</v>
      </c>
      <c r="U48" s="1041">
        <v>0</v>
      </c>
      <c r="V48" s="1041">
        <v>0</v>
      </c>
      <c r="W48" s="1041">
        <v>0</v>
      </c>
      <c r="X48" s="1041">
        <v>0</v>
      </c>
      <c r="Y48" s="1041">
        <v>0</v>
      </c>
      <c r="Z48" s="1041"/>
      <c r="AA48" s="1041"/>
      <c r="AB48" s="1041"/>
      <c r="AC48" s="1041"/>
      <c r="AD48" s="663">
        <f t="shared" si="3"/>
        <v>168860</v>
      </c>
      <c r="AE48" s="570">
        <f t="shared" si="4"/>
        <v>5.5177154283571832E-2</v>
      </c>
      <c r="AF48" s="571">
        <f t="shared" si="0"/>
        <v>137</v>
      </c>
    </row>
    <row r="49" spans="1:32" x14ac:dyDescent="0.3">
      <c r="A49" s="4" t="s">
        <v>253</v>
      </c>
      <c r="B49" s="648" t="s">
        <v>289</v>
      </c>
      <c r="C49" s="491"/>
      <c r="D49" s="533" t="s">
        <v>251</v>
      </c>
      <c r="E49" s="533" t="s">
        <v>251</v>
      </c>
      <c r="F49" s="533" t="s">
        <v>251</v>
      </c>
      <c r="G49" s="533" t="s">
        <v>251</v>
      </c>
      <c r="H49" s="533" t="s">
        <v>251</v>
      </c>
      <c r="I49" s="533" t="s">
        <v>251</v>
      </c>
      <c r="J49" s="533" t="s">
        <v>251</v>
      </c>
      <c r="K49" s="533"/>
      <c r="L49" s="533" t="s">
        <v>251</v>
      </c>
      <c r="M49" s="533" t="s">
        <v>251</v>
      </c>
      <c r="N49" s="533" t="s">
        <v>251</v>
      </c>
      <c r="O49" s="533" t="s">
        <v>251</v>
      </c>
      <c r="P49" s="1496">
        <f t="shared" si="1"/>
        <v>0</v>
      </c>
      <c r="Q49" s="663">
        <f t="shared" si="2"/>
        <v>0</v>
      </c>
      <c r="R49" s="1040" t="s">
        <v>251</v>
      </c>
      <c r="S49" s="1041" t="s">
        <v>251</v>
      </c>
      <c r="T49" s="1041" t="s">
        <v>251</v>
      </c>
      <c r="U49" s="1041"/>
      <c r="V49" s="1041"/>
      <c r="W49" s="1041"/>
      <c r="X49" s="1041"/>
      <c r="Y49" s="1041"/>
      <c r="Z49" s="1041"/>
      <c r="AA49" s="1041"/>
      <c r="AB49" s="1041"/>
      <c r="AC49" s="1041"/>
      <c r="AD49" s="663">
        <f t="shared" si="3"/>
        <v>0</v>
      </c>
      <c r="AE49" s="570">
        <f t="shared" si="4"/>
        <v>0</v>
      </c>
      <c r="AF49" s="571">
        <f t="shared" si="0"/>
        <v>189</v>
      </c>
    </row>
    <row r="50" spans="1:32" x14ac:dyDescent="0.3">
      <c r="A50" s="4" t="s">
        <v>253</v>
      </c>
      <c r="B50" s="648" t="s">
        <v>290</v>
      </c>
      <c r="C50" s="491"/>
      <c r="D50" s="533" t="s">
        <v>251</v>
      </c>
      <c r="E50" s="533" t="s">
        <v>251</v>
      </c>
      <c r="F50" s="533" t="s">
        <v>251</v>
      </c>
      <c r="G50" s="533" t="s">
        <v>251</v>
      </c>
      <c r="H50" s="533" t="s">
        <v>251</v>
      </c>
      <c r="I50" s="533" t="s">
        <v>251</v>
      </c>
      <c r="J50" s="533" t="s">
        <v>251</v>
      </c>
      <c r="K50" s="533"/>
      <c r="L50" s="533" t="s">
        <v>251</v>
      </c>
      <c r="M50" s="533" t="s">
        <v>251</v>
      </c>
      <c r="N50" s="533" t="s">
        <v>251</v>
      </c>
      <c r="O50" s="533" t="s">
        <v>251</v>
      </c>
      <c r="P50" s="1496">
        <f t="shared" si="1"/>
        <v>0</v>
      </c>
      <c r="Q50" s="663">
        <f t="shared" si="2"/>
        <v>0</v>
      </c>
      <c r="R50" s="1040" t="s">
        <v>251</v>
      </c>
      <c r="S50" s="1041" t="s">
        <v>251</v>
      </c>
      <c r="T50" s="1041" t="s">
        <v>251</v>
      </c>
      <c r="U50" s="1041"/>
      <c r="V50" s="1041"/>
      <c r="W50" s="1041"/>
      <c r="X50" s="1041"/>
      <c r="Y50" s="1041"/>
      <c r="Z50" s="1041"/>
      <c r="AA50" s="1041"/>
      <c r="AB50" s="1041"/>
      <c r="AC50" s="1041"/>
      <c r="AD50" s="663">
        <f t="shared" si="3"/>
        <v>0</v>
      </c>
      <c r="AE50" s="570">
        <f t="shared" si="4"/>
        <v>0</v>
      </c>
      <c r="AF50" s="571">
        <f t="shared" si="0"/>
        <v>189</v>
      </c>
    </row>
    <row r="51" spans="1:32" x14ac:dyDescent="0.3">
      <c r="A51" s="4" t="s">
        <v>253</v>
      </c>
      <c r="B51" s="648" t="s">
        <v>291</v>
      </c>
      <c r="C51" s="491"/>
      <c r="D51" s="533" t="s">
        <v>251</v>
      </c>
      <c r="E51" s="533" t="s">
        <v>251</v>
      </c>
      <c r="F51" s="533" t="s">
        <v>251</v>
      </c>
      <c r="G51" s="533" t="s">
        <v>251</v>
      </c>
      <c r="H51" s="533" t="s">
        <v>251</v>
      </c>
      <c r="I51" s="533" t="s">
        <v>251</v>
      </c>
      <c r="J51" s="533" t="s">
        <v>251</v>
      </c>
      <c r="K51" s="533"/>
      <c r="L51" s="533" t="s">
        <v>251</v>
      </c>
      <c r="M51" s="533" t="s">
        <v>251</v>
      </c>
      <c r="N51" s="533" t="s">
        <v>251</v>
      </c>
      <c r="O51" s="533" t="s">
        <v>251</v>
      </c>
      <c r="P51" s="1496">
        <f t="shared" si="1"/>
        <v>0</v>
      </c>
      <c r="Q51" s="663">
        <f t="shared" si="2"/>
        <v>0</v>
      </c>
      <c r="R51" s="1040" t="s">
        <v>251</v>
      </c>
      <c r="S51" s="1041" t="s">
        <v>251</v>
      </c>
      <c r="T51" s="1041" t="s">
        <v>251</v>
      </c>
      <c r="U51" s="1041"/>
      <c r="V51" s="1041"/>
      <c r="W51" s="1041"/>
      <c r="X51" s="1041"/>
      <c r="Y51" s="1041"/>
      <c r="Z51" s="1041"/>
      <c r="AA51" s="1041"/>
      <c r="AB51" s="1041"/>
      <c r="AC51" s="1041"/>
      <c r="AD51" s="663">
        <f t="shared" si="3"/>
        <v>0</v>
      </c>
      <c r="AE51" s="570">
        <f t="shared" si="4"/>
        <v>0</v>
      </c>
      <c r="AF51" s="571">
        <f t="shared" si="0"/>
        <v>189</v>
      </c>
    </row>
    <row r="52" spans="1:32" x14ac:dyDescent="0.3">
      <c r="A52" s="4" t="s">
        <v>253</v>
      </c>
      <c r="B52" s="648" t="s">
        <v>36</v>
      </c>
      <c r="C52" s="491"/>
      <c r="D52" s="533" t="s">
        <v>251</v>
      </c>
      <c r="E52" s="533" t="s">
        <v>251</v>
      </c>
      <c r="F52" s="533" t="s">
        <v>251</v>
      </c>
      <c r="G52" s="533" t="s">
        <v>251</v>
      </c>
      <c r="H52" s="533" t="s">
        <v>251</v>
      </c>
      <c r="I52" s="533" t="s">
        <v>251</v>
      </c>
      <c r="J52" s="533" t="s">
        <v>251</v>
      </c>
      <c r="K52" s="533"/>
      <c r="L52" s="533" t="s">
        <v>251</v>
      </c>
      <c r="M52" s="533" t="s">
        <v>251</v>
      </c>
      <c r="N52" s="533" t="s">
        <v>251</v>
      </c>
      <c r="O52" s="533" t="s">
        <v>251</v>
      </c>
      <c r="P52" s="1496">
        <f t="shared" si="1"/>
        <v>0</v>
      </c>
      <c r="Q52" s="663">
        <f t="shared" si="2"/>
        <v>0</v>
      </c>
      <c r="R52" s="1040" t="s">
        <v>251</v>
      </c>
      <c r="S52" s="1041" t="s">
        <v>251</v>
      </c>
      <c r="T52" s="1041" t="s">
        <v>251</v>
      </c>
      <c r="U52" s="1041"/>
      <c r="V52" s="1041"/>
      <c r="W52" s="1041"/>
      <c r="X52" s="1041"/>
      <c r="Y52" s="1041"/>
      <c r="Z52" s="1041"/>
      <c r="AA52" s="1041"/>
      <c r="AB52" s="1041"/>
      <c r="AC52" s="1041"/>
      <c r="AD52" s="663">
        <f t="shared" si="3"/>
        <v>0</v>
      </c>
      <c r="AE52" s="570">
        <f t="shared" si="4"/>
        <v>0</v>
      </c>
      <c r="AF52" s="571">
        <f t="shared" si="0"/>
        <v>189</v>
      </c>
    </row>
    <row r="53" spans="1:32" x14ac:dyDescent="0.3">
      <c r="A53" s="4" t="s">
        <v>253</v>
      </c>
      <c r="B53" s="648" t="s">
        <v>292</v>
      </c>
      <c r="C53" s="491"/>
      <c r="D53" s="533" t="s">
        <v>251</v>
      </c>
      <c r="E53" s="533" t="s">
        <v>251</v>
      </c>
      <c r="F53" s="533" t="s">
        <v>251</v>
      </c>
      <c r="G53" s="533" t="s">
        <v>251</v>
      </c>
      <c r="H53" s="533" t="s">
        <v>251</v>
      </c>
      <c r="I53" s="533" t="s">
        <v>251</v>
      </c>
      <c r="J53" s="533" t="s">
        <v>251</v>
      </c>
      <c r="K53" s="533"/>
      <c r="L53" s="533" t="s">
        <v>251</v>
      </c>
      <c r="M53" s="533" t="s">
        <v>251</v>
      </c>
      <c r="N53" s="533" t="s">
        <v>251</v>
      </c>
      <c r="O53" s="533" t="s">
        <v>251</v>
      </c>
      <c r="P53" s="1496">
        <f t="shared" si="1"/>
        <v>0</v>
      </c>
      <c r="Q53" s="663">
        <f t="shared" si="2"/>
        <v>0</v>
      </c>
      <c r="R53" s="1040" t="s">
        <v>251</v>
      </c>
      <c r="S53" s="1041" t="s">
        <v>251</v>
      </c>
      <c r="T53" s="1041" t="s">
        <v>251</v>
      </c>
      <c r="U53" s="1041"/>
      <c r="V53" s="1041"/>
      <c r="W53" s="1041"/>
      <c r="X53" s="1041"/>
      <c r="Y53" s="1041"/>
      <c r="Z53" s="1041"/>
      <c r="AA53" s="1041"/>
      <c r="AB53" s="1041"/>
      <c r="AC53" s="1041"/>
      <c r="AD53" s="663">
        <f t="shared" si="3"/>
        <v>0</v>
      </c>
      <c r="AE53" s="570">
        <f t="shared" si="4"/>
        <v>0</v>
      </c>
      <c r="AF53" s="571">
        <f t="shared" si="0"/>
        <v>189</v>
      </c>
    </row>
    <row r="54" spans="1:32" x14ac:dyDescent="0.3">
      <c r="A54" s="4" t="s">
        <v>253</v>
      </c>
      <c r="B54" s="648" t="s">
        <v>293</v>
      </c>
      <c r="C54" s="491"/>
      <c r="D54" s="533" t="s">
        <v>251</v>
      </c>
      <c r="E54" s="533" t="s">
        <v>251</v>
      </c>
      <c r="F54" s="533" t="s">
        <v>251</v>
      </c>
      <c r="G54" s="533" t="s">
        <v>251</v>
      </c>
      <c r="H54" s="533" t="s">
        <v>251</v>
      </c>
      <c r="I54" s="533" t="s">
        <v>251</v>
      </c>
      <c r="J54" s="533" t="s">
        <v>251</v>
      </c>
      <c r="K54" s="533"/>
      <c r="L54" s="533" t="s">
        <v>251</v>
      </c>
      <c r="M54" s="533" t="s">
        <v>251</v>
      </c>
      <c r="N54" s="533" t="s">
        <v>251</v>
      </c>
      <c r="O54" s="533" t="s">
        <v>251</v>
      </c>
      <c r="P54" s="1496">
        <f t="shared" si="1"/>
        <v>0</v>
      </c>
      <c r="Q54" s="663">
        <f t="shared" si="2"/>
        <v>0</v>
      </c>
      <c r="R54" s="1040" t="s">
        <v>251</v>
      </c>
      <c r="S54" s="1041" t="s">
        <v>251</v>
      </c>
      <c r="T54" s="1041" t="s">
        <v>251</v>
      </c>
      <c r="U54" s="1041"/>
      <c r="V54" s="1041"/>
      <c r="W54" s="1041"/>
      <c r="X54" s="1041"/>
      <c r="Y54" s="1041"/>
      <c r="Z54" s="1041"/>
      <c r="AA54" s="1041"/>
      <c r="AB54" s="1041"/>
      <c r="AC54" s="1041"/>
      <c r="AD54" s="663">
        <f t="shared" si="3"/>
        <v>0</v>
      </c>
      <c r="AE54" s="570">
        <f t="shared" si="4"/>
        <v>0</v>
      </c>
      <c r="AF54" s="571">
        <f t="shared" si="0"/>
        <v>189</v>
      </c>
    </row>
    <row r="55" spans="1:32" x14ac:dyDescent="0.3">
      <c r="A55" s="4" t="s">
        <v>253</v>
      </c>
      <c r="B55" s="648" t="s">
        <v>294</v>
      </c>
      <c r="C55" s="491"/>
      <c r="D55" s="533" t="s">
        <v>251</v>
      </c>
      <c r="E55" s="533" t="s">
        <v>251</v>
      </c>
      <c r="F55" s="533" t="s">
        <v>251</v>
      </c>
      <c r="G55" s="533" t="s">
        <v>251</v>
      </c>
      <c r="H55" s="533" t="s">
        <v>251</v>
      </c>
      <c r="I55" s="533" t="s">
        <v>251</v>
      </c>
      <c r="J55" s="533" t="s">
        <v>251</v>
      </c>
      <c r="K55" s="533"/>
      <c r="L55" s="533" t="s">
        <v>251</v>
      </c>
      <c r="M55" s="533" t="s">
        <v>251</v>
      </c>
      <c r="N55" s="533" t="s">
        <v>251</v>
      </c>
      <c r="O55" s="533" t="s">
        <v>251</v>
      </c>
      <c r="P55" s="1496">
        <f t="shared" si="1"/>
        <v>0</v>
      </c>
      <c r="Q55" s="663">
        <f t="shared" si="2"/>
        <v>0</v>
      </c>
      <c r="R55" s="1040" t="s">
        <v>251</v>
      </c>
      <c r="S55" s="1041" t="s">
        <v>251</v>
      </c>
      <c r="T55" s="1041" t="s">
        <v>251</v>
      </c>
      <c r="U55" s="1041"/>
      <c r="V55" s="1041"/>
      <c r="W55" s="1041"/>
      <c r="X55" s="1041"/>
      <c r="Y55" s="1041"/>
      <c r="Z55" s="1041"/>
      <c r="AA55" s="1041"/>
      <c r="AB55" s="1041"/>
      <c r="AC55" s="1041"/>
      <c r="AD55" s="663">
        <f t="shared" si="3"/>
        <v>0</v>
      </c>
      <c r="AE55" s="570">
        <f t="shared" si="4"/>
        <v>0</v>
      </c>
      <c r="AF55" s="571">
        <f t="shared" si="0"/>
        <v>189</v>
      </c>
    </row>
    <row r="56" spans="1:32" x14ac:dyDescent="0.3">
      <c r="A56" s="4" t="s">
        <v>253</v>
      </c>
      <c r="B56" s="648" t="s">
        <v>295</v>
      </c>
      <c r="C56" s="491"/>
      <c r="D56" s="533" t="s">
        <v>251</v>
      </c>
      <c r="E56" s="533" t="s">
        <v>251</v>
      </c>
      <c r="F56" s="533" t="s">
        <v>251</v>
      </c>
      <c r="G56" s="533" t="s">
        <v>251</v>
      </c>
      <c r="H56" s="533" t="s">
        <v>251</v>
      </c>
      <c r="I56" s="533" t="s">
        <v>251</v>
      </c>
      <c r="J56" s="533" t="s">
        <v>251</v>
      </c>
      <c r="K56" s="533"/>
      <c r="L56" s="533" t="s">
        <v>251</v>
      </c>
      <c r="M56" s="533" t="s">
        <v>251</v>
      </c>
      <c r="N56" s="533" t="s">
        <v>251</v>
      </c>
      <c r="O56" s="533" t="s">
        <v>251</v>
      </c>
      <c r="P56" s="1496">
        <f t="shared" si="1"/>
        <v>0</v>
      </c>
      <c r="Q56" s="663">
        <f t="shared" si="2"/>
        <v>0</v>
      </c>
      <c r="R56" s="1040" t="s">
        <v>251</v>
      </c>
      <c r="S56" s="1041" t="s">
        <v>251</v>
      </c>
      <c r="T56" s="1041" t="s">
        <v>251</v>
      </c>
      <c r="U56" s="1041"/>
      <c r="V56" s="1041"/>
      <c r="W56" s="1041"/>
      <c r="X56" s="1041"/>
      <c r="Y56" s="1041"/>
      <c r="Z56" s="1041"/>
      <c r="AA56" s="1041"/>
      <c r="AB56" s="1041"/>
      <c r="AC56" s="1041"/>
      <c r="AD56" s="663">
        <f t="shared" si="3"/>
        <v>0</v>
      </c>
      <c r="AE56" s="570">
        <f t="shared" si="4"/>
        <v>0</v>
      </c>
      <c r="AF56" s="571">
        <f t="shared" si="0"/>
        <v>189</v>
      </c>
    </row>
    <row r="57" spans="1:32" x14ac:dyDescent="0.3">
      <c r="A57" s="4" t="s">
        <v>253</v>
      </c>
      <c r="B57" s="648" t="s">
        <v>296</v>
      </c>
      <c r="C57" s="491"/>
      <c r="D57" s="533">
        <v>0</v>
      </c>
      <c r="E57" s="533">
        <v>0</v>
      </c>
      <c r="F57" s="533">
        <v>0</v>
      </c>
      <c r="G57" s="533">
        <v>0</v>
      </c>
      <c r="H57" s="533">
        <v>0</v>
      </c>
      <c r="I57" s="533">
        <v>0</v>
      </c>
      <c r="J57" s="533">
        <v>0</v>
      </c>
      <c r="K57" s="533"/>
      <c r="L57" s="533">
        <v>181330</v>
      </c>
      <c r="M57" s="533">
        <v>458590</v>
      </c>
      <c r="N57" s="533">
        <v>270820</v>
      </c>
      <c r="O57" s="533">
        <v>29380</v>
      </c>
      <c r="P57" s="1496">
        <f t="shared" si="1"/>
        <v>0</v>
      </c>
      <c r="Q57" s="663">
        <f t="shared" si="2"/>
        <v>940120</v>
      </c>
      <c r="R57" s="1040" t="s">
        <v>251</v>
      </c>
      <c r="S57" s="1041" t="s">
        <v>251</v>
      </c>
      <c r="T57" s="1041" t="s">
        <v>251</v>
      </c>
      <c r="U57" s="1041"/>
      <c r="V57" s="1041"/>
      <c r="W57" s="1041"/>
      <c r="X57" s="1041"/>
      <c r="Y57" s="1041"/>
      <c r="Z57" s="1041"/>
      <c r="AA57" s="1041"/>
      <c r="AB57" s="1041"/>
      <c r="AC57" s="1041"/>
      <c r="AD57" s="663">
        <f t="shared" si="3"/>
        <v>0</v>
      </c>
      <c r="AE57" s="570">
        <f t="shared" si="4"/>
        <v>0</v>
      </c>
      <c r="AF57" s="571">
        <f t="shared" si="0"/>
        <v>189</v>
      </c>
    </row>
    <row r="58" spans="1:32" x14ac:dyDescent="0.3">
      <c r="A58" s="4" t="s">
        <v>253</v>
      </c>
      <c r="B58" s="648" t="s">
        <v>297</v>
      </c>
      <c r="C58" s="491"/>
      <c r="D58" s="533">
        <v>0</v>
      </c>
      <c r="E58" s="533">
        <v>0</v>
      </c>
      <c r="F58" s="533">
        <v>0</v>
      </c>
      <c r="G58" s="533">
        <v>0</v>
      </c>
      <c r="H58" s="533">
        <v>0</v>
      </c>
      <c r="I58" s="533">
        <v>0</v>
      </c>
      <c r="J58" s="533">
        <v>0</v>
      </c>
      <c r="K58" s="533"/>
      <c r="L58" s="533">
        <v>526930</v>
      </c>
      <c r="M58" s="533">
        <v>0</v>
      </c>
      <c r="N58" s="533">
        <v>0</v>
      </c>
      <c r="O58" s="533">
        <v>0</v>
      </c>
      <c r="P58" s="1496">
        <f t="shared" si="1"/>
        <v>0</v>
      </c>
      <c r="Q58" s="663">
        <f t="shared" si="2"/>
        <v>526930</v>
      </c>
      <c r="R58" s="1040" t="s">
        <v>251</v>
      </c>
      <c r="S58" s="1041" t="s">
        <v>251</v>
      </c>
      <c r="T58" s="1041" t="s">
        <v>251</v>
      </c>
      <c r="U58" s="1041"/>
      <c r="V58" s="1041"/>
      <c r="W58" s="1041"/>
      <c r="X58" s="1041"/>
      <c r="Y58" s="1041"/>
      <c r="Z58" s="1041"/>
      <c r="AA58" s="1041"/>
      <c r="AB58" s="1041"/>
      <c r="AC58" s="1041"/>
      <c r="AD58" s="663">
        <f t="shared" si="3"/>
        <v>0</v>
      </c>
      <c r="AE58" s="570">
        <f t="shared" si="4"/>
        <v>0</v>
      </c>
      <c r="AF58" s="571">
        <f t="shared" si="0"/>
        <v>189</v>
      </c>
    </row>
    <row r="59" spans="1:32" x14ac:dyDescent="0.3">
      <c r="A59" s="4" t="s">
        <v>253</v>
      </c>
      <c r="B59" s="648" t="s">
        <v>298</v>
      </c>
      <c r="C59" s="491"/>
      <c r="D59" s="533">
        <v>0</v>
      </c>
      <c r="E59" s="533">
        <v>0</v>
      </c>
      <c r="F59" s="533">
        <v>0</v>
      </c>
      <c r="G59" s="533">
        <v>0</v>
      </c>
      <c r="H59" s="533">
        <v>0</v>
      </c>
      <c r="I59" s="533">
        <v>0</v>
      </c>
      <c r="J59" s="533">
        <v>0</v>
      </c>
      <c r="K59" s="533"/>
      <c r="L59" s="533">
        <v>269960</v>
      </c>
      <c r="M59" s="533">
        <v>0</v>
      </c>
      <c r="N59" s="533">
        <v>0</v>
      </c>
      <c r="O59" s="533">
        <v>0</v>
      </c>
      <c r="P59" s="1496">
        <f t="shared" si="1"/>
        <v>0</v>
      </c>
      <c r="Q59" s="663">
        <f t="shared" si="2"/>
        <v>269960</v>
      </c>
      <c r="R59" s="1040" t="s">
        <v>251</v>
      </c>
      <c r="S59" s="1041" t="s">
        <v>251</v>
      </c>
      <c r="T59" s="1041" t="s">
        <v>251</v>
      </c>
      <c r="U59" s="1041"/>
      <c r="V59" s="1041"/>
      <c r="W59" s="1041"/>
      <c r="X59" s="1041"/>
      <c r="Y59" s="1041"/>
      <c r="Z59" s="1041"/>
      <c r="AA59" s="1041"/>
      <c r="AB59" s="1041"/>
      <c r="AC59" s="1041"/>
      <c r="AD59" s="663">
        <f t="shared" si="3"/>
        <v>0</v>
      </c>
      <c r="AE59" s="570">
        <f t="shared" si="4"/>
        <v>0</v>
      </c>
      <c r="AF59" s="571">
        <f t="shared" si="0"/>
        <v>189</v>
      </c>
    </row>
    <row r="60" spans="1:32" x14ac:dyDescent="0.3">
      <c r="A60" s="4" t="s">
        <v>253</v>
      </c>
      <c r="B60" s="648" t="s">
        <v>299</v>
      </c>
      <c r="C60" s="491"/>
      <c r="D60" s="533">
        <v>0</v>
      </c>
      <c r="E60" s="533">
        <v>0</v>
      </c>
      <c r="F60" s="533">
        <v>0</v>
      </c>
      <c r="G60" s="533">
        <v>0</v>
      </c>
      <c r="H60" s="533">
        <v>27470</v>
      </c>
      <c r="I60" s="533">
        <v>0</v>
      </c>
      <c r="J60" s="533">
        <v>0</v>
      </c>
      <c r="K60" s="533">
        <v>0</v>
      </c>
      <c r="L60" s="533">
        <v>0</v>
      </c>
      <c r="M60" s="533">
        <v>0</v>
      </c>
      <c r="N60" s="533">
        <v>0</v>
      </c>
      <c r="O60" s="533">
        <v>0</v>
      </c>
      <c r="P60" s="1496">
        <f t="shared" si="1"/>
        <v>27470</v>
      </c>
      <c r="Q60" s="663">
        <f t="shared" si="2"/>
        <v>27470</v>
      </c>
      <c r="R60" s="1040" t="s">
        <v>251</v>
      </c>
      <c r="S60" s="1041" t="s">
        <v>251</v>
      </c>
      <c r="T60" s="1041" t="s">
        <v>251</v>
      </c>
      <c r="U60" s="1041"/>
      <c r="V60" s="1041"/>
      <c r="W60" s="1041"/>
      <c r="X60" s="1041"/>
      <c r="Y60" s="1041"/>
      <c r="Z60" s="1041"/>
      <c r="AA60" s="1041"/>
      <c r="AB60" s="1041"/>
      <c r="AC60" s="1041"/>
      <c r="AD60" s="663">
        <f t="shared" si="3"/>
        <v>0</v>
      </c>
      <c r="AE60" s="570">
        <f t="shared" si="4"/>
        <v>-1</v>
      </c>
      <c r="AF60" s="571">
        <f t="shared" si="0"/>
        <v>189</v>
      </c>
    </row>
    <row r="61" spans="1:32" x14ac:dyDescent="0.3">
      <c r="A61" s="4" t="s">
        <v>253</v>
      </c>
      <c r="B61" s="648" t="s">
        <v>1740</v>
      </c>
      <c r="C61" s="491"/>
      <c r="D61" s="533" t="s">
        <v>251</v>
      </c>
      <c r="E61" s="533" t="s">
        <v>251</v>
      </c>
      <c r="F61" s="533" t="s">
        <v>251</v>
      </c>
      <c r="G61" s="533" t="s">
        <v>251</v>
      </c>
      <c r="H61" s="533" t="s">
        <v>251</v>
      </c>
      <c r="I61" s="533" t="s">
        <v>251</v>
      </c>
      <c r="J61" s="533" t="s">
        <v>251</v>
      </c>
      <c r="K61" s="533"/>
      <c r="L61" s="533" t="s">
        <v>251</v>
      </c>
      <c r="M61" s="533" t="s">
        <v>251</v>
      </c>
      <c r="N61" s="533" t="s">
        <v>251</v>
      </c>
      <c r="O61" s="533" t="s">
        <v>251</v>
      </c>
      <c r="P61" s="1496">
        <f t="shared" si="1"/>
        <v>0</v>
      </c>
      <c r="Q61" s="663">
        <f t="shared" si="2"/>
        <v>0</v>
      </c>
      <c r="R61" s="1040" t="s">
        <v>251</v>
      </c>
      <c r="S61" s="1041" t="s">
        <v>251</v>
      </c>
      <c r="T61" s="1041" t="s">
        <v>251</v>
      </c>
      <c r="U61" s="1041"/>
      <c r="V61" s="1041"/>
      <c r="W61" s="1041"/>
      <c r="X61" s="1041"/>
      <c r="Y61" s="1041"/>
      <c r="Z61" s="1041"/>
      <c r="AA61" s="1041"/>
      <c r="AB61" s="1041"/>
      <c r="AC61" s="1041"/>
      <c r="AD61" s="663">
        <f t="shared" si="3"/>
        <v>0</v>
      </c>
      <c r="AE61" s="570">
        <f t="shared" si="4"/>
        <v>0</v>
      </c>
      <c r="AF61" s="571">
        <f t="shared" si="0"/>
        <v>189</v>
      </c>
    </row>
    <row r="62" spans="1:32" x14ac:dyDescent="0.3">
      <c r="A62" s="4" t="s">
        <v>253</v>
      </c>
      <c r="B62" s="648" t="s">
        <v>1373</v>
      </c>
      <c r="C62" s="491"/>
      <c r="D62" s="533" t="s">
        <v>251</v>
      </c>
      <c r="E62" s="533" t="s">
        <v>251</v>
      </c>
      <c r="F62" s="533" t="s">
        <v>251</v>
      </c>
      <c r="G62" s="533" t="s">
        <v>251</v>
      </c>
      <c r="H62" s="533" t="s">
        <v>251</v>
      </c>
      <c r="I62" s="533" t="s">
        <v>251</v>
      </c>
      <c r="J62" s="533" t="s">
        <v>251</v>
      </c>
      <c r="K62" s="533"/>
      <c r="L62" s="533" t="s">
        <v>251</v>
      </c>
      <c r="M62" s="533" t="s">
        <v>251</v>
      </c>
      <c r="N62" s="533" t="s">
        <v>251</v>
      </c>
      <c r="O62" s="533" t="s">
        <v>251</v>
      </c>
      <c r="P62" s="1496">
        <f t="shared" si="1"/>
        <v>0</v>
      </c>
      <c r="Q62" s="663">
        <f t="shared" si="2"/>
        <v>0</v>
      </c>
      <c r="R62" s="1040" t="s">
        <v>251</v>
      </c>
      <c r="S62" s="1041" t="s">
        <v>251</v>
      </c>
      <c r="T62" s="1041" t="s">
        <v>251</v>
      </c>
      <c r="U62" s="1041"/>
      <c r="V62" s="1041"/>
      <c r="W62" s="1041"/>
      <c r="X62" s="1041"/>
      <c r="Y62" s="1041"/>
      <c r="Z62" s="1041"/>
      <c r="AA62" s="1041"/>
      <c r="AB62" s="1041"/>
      <c r="AC62" s="1041"/>
      <c r="AD62" s="663">
        <f t="shared" si="3"/>
        <v>0</v>
      </c>
      <c r="AE62" s="570">
        <f t="shared" si="4"/>
        <v>0</v>
      </c>
      <c r="AF62" s="571">
        <f t="shared" si="0"/>
        <v>189</v>
      </c>
    </row>
    <row r="63" spans="1:32" x14ac:dyDescent="0.3">
      <c r="A63" s="4" t="s">
        <v>253</v>
      </c>
      <c r="B63" s="648" t="s">
        <v>1758</v>
      </c>
      <c r="C63" s="491"/>
      <c r="D63" s="533" t="s">
        <v>251</v>
      </c>
      <c r="E63" s="533" t="s">
        <v>251</v>
      </c>
      <c r="F63" s="533" t="s">
        <v>251</v>
      </c>
      <c r="G63" s="533" t="s">
        <v>251</v>
      </c>
      <c r="H63" s="533" t="s">
        <v>251</v>
      </c>
      <c r="I63" s="533" t="s">
        <v>251</v>
      </c>
      <c r="J63" s="533" t="s">
        <v>251</v>
      </c>
      <c r="K63" s="533"/>
      <c r="L63" s="533" t="s">
        <v>251</v>
      </c>
      <c r="M63" s="533" t="s">
        <v>251</v>
      </c>
      <c r="N63" s="533" t="s">
        <v>251</v>
      </c>
      <c r="O63" s="533" t="s">
        <v>251</v>
      </c>
      <c r="P63" s="1496">
        <f t="shared" si="1"/>
        <v>0</v>
      </c>
      <c r="Q63" s="663">
        <f t="shared" si="2"/>
        <v>0</v>
      </c>
      <c r="R63" s="1040" t="s">
        <v>251</v>
      </c>
      <c r="S63" s="1041" t="s">
        <v>251</v>
      </c>
      <c r="T63" s="1041" t="s">
        <v>251</v>
      </c>
      <c r="U63" s="1041"/>
      <c r="V63" s="1041"/>
      <c r="W63" s="1041"/>
      <c r="X63" s="1041"/>
      <c r="Y63" s="1041"/>
      <c r="Z63" s="1041"/>
      <c r="AA63" s="1041"/>
      <c r="AB63" s="1041"/>
      <c r="AC63" s="1041"/>
      <c r="AD63" s="663">
        <f t="shared" si="3"/>
        <v>0</v>
      </c>
      <c r="AE63" s="570">
        <f t="shared" si="4"/>
        <v>0</v>
      </c>
      <c r="AF63" s="571">
        <f t="shared" si="0"/>
        <v>189</v>
      </c>
    </row>
    <row r="64" spans="1:32" x14ac:dyDescent="0.3">
      <c r="A64" s="4" t="s">
        <v>253</v>
      </c>
      <c r="B64" s="648" t="s">
        <v>1767</v>
      </c>
      <c r="C64" s="491"/>
      <c r="D64" s="533" t="s">
        <v>251</v>
      </c>
      <c r="E64" s="533" t="s">
        <v>251</v>
      </c>
      <c r="F64" s="533" t="s">
        <v>251</v>
      </c>
      <c r="G64" s="533" t="s">
        <v>251</v>
      </c>
      <c r="H64" s="533" t="s">
        <v>251</v>
      </c>
      <c r="I64" s="533" t="s">
        <v>251</v>
      </c>
      <c r="J64" s="533" t="s">
        <v>251</v>
      </c>
      <c r="K64" s="533"/>
      <c r="L64" s="533" t="s">
        <v>251</v>
      </c>
      <c r="M64" s="533" t="s">
        <v>251</v>
      </c>
      <c r="N64" s="533" t="s">
        <v>251</v>
      </c>
      <c r="O64" s="533" t="s">
        <v>251</v>
      </c>
      <c r="P64" s="1496">
        <f t="shared" si="1"/>
        <v>0</v>
      </c>
      <c r="Q64" s="663">
        <f t="shared" si="2"/>
        <v>0</v>
      </c>
      <c r="R64" s="1040" t="s">
        <v>251</v>
      </c>
      <c r="S64" s="1041" t="s">
        <v>251</v>
      </c>
      <c r="T64" s="1041" t="s">
        <v>251</v>
      </c>
      <c r="U64" s="1041"/>
      <c r="V64" s="1041"/>
      <c r="W64" s="1041"/>
      <c r="X64" s="1041"/>
      <c r="Y64" s="1041"/>
      <c r="Z64" s="1041"/>
      <c r="AA64" s="1041"/>
      <c r="AB64" s="1041"/>
      <c r="AC64" s="1041"/>
      <c r="AD64" s="663">
        <f t="shared" si="3"/>
        <v>0</v>
      </c>
      <c r="AE64" s="570">
        <f t="shared" si="4"/>
        <v>0</v>
      </c>
      <c r="AF64" s="571">
        <f t="shared" si="0"/>
        <v>189</v>
      </c>
    </row>
    <row r="65" spans="1:32" x14ac:dyDescent="0.3">
      <c r="A65" s="4" t="s">
        <v>253</v>
      </c>
      <c r="B65" s="648" t="s">
        <v>1775</v>
      </c>
      <c r="C65" s="491"/>
      <c r="D65" s="533" t="s">
        <v>251</v>
      </c>
      <c r="E65" s="533" t="s">
        <v>251</v>
      </c>
      <c r="F65" s="533" t="s">
        <v>251</v>
      </c>
      <c r="G65" s="533" t="s">
        <v>251</v>
      </c>
      <c r="H65" s="533" t="s">
        <v>251</v>
      </c>
      <c r="I65" s="533" t="s">
        <v>251</v>
      </c>
      <c r="J65" s="533" t="s">
        <v>251</v>
      </c>
      <c r="K65" s="533"/>
      <c r="L65" s="533" t="s">
        <v>251</v>
      </c>
      <c r="M65" s="533" t="s">
        <v>251</v>
      </c>
      <c r="N65" s="533" t="s">
        <v>251</v>
      </c>
      <c r="O65" s="533" t="s">
        <v>251</v>
      </c>
      <c r="P65" s="1496">
        <f t="shared" si="1"/>
        <v>0</v>
      </c>
      <c r="Q65" s="663">
        <f t="shared" si="2"/>
        <v>0</v>
      </c>
      <c r="R65" s="1040" t="s">
        <v>251</v>
      </c>
      <c r="S65" s="1041" t="s">
        <v>251</v>
      </c>
      <c r="T65" s="1041" t="s">
        <v>251</v>
      </c>
      <c r="U65" s="1041"/>
      <c r="V65" s="1041"/>
      <c r="W65" s="1041"/>
      <c r="X65" s="1041"/>
      <c r="Y65" s="1041"/>
      <c r="Z65" s="1041"/>
      <c r="AA65" s="1041"/>
      <c r="AB65" s="1041"/>
      <c r="AC65" s="1041"/>
      <c r="AD65" s="663">
        <f t="shared" si="3"/>
        <v>0</v>
      </c>
      <c r="AE65" s="570">
        <f t="shared" si="4"/>
        <v>0</v>
      </c>
      <c r="AF65" s="571">
        <f t="shared" si="0"/>
        <v>189</v>
      </c>
    </row>
    <row r="66" spans="1:32" x14ac:dyDescent="0.3">
      <c r="A66" s="4" t="s">
        <v>253</v>
      </c>
      <c r="B66" s="648" t="s">
        <v>1776</v>
      </c>
      <c r="C66" s="491"/>
      <c r="D66" s="533" t="s">
        <v>251</v>
      </c>
      <c r="E66" s="533" t="s">
        <v>251</v>
      </c>
      <c r="F66" s="533" t="s">
        <v>251</v>
      </c>
      <c r="G66" s="533" t="s">
        <v>251</v>
      </c>
      <c r="H66" s="533" t="s">
        <v>251</v>
      </c>
      <c r="I66" s="533" t="s">
        <v>251</v>
      </c>
      <c r="J66" s="533" t="s">
        <v>251</v>
      </c>
      <c r="K66" s="533"/>
      <c r="L66" s="533" t="s">
        <v>251</v>
      </c>
      <c r="M66" s="533" t="s">
        <v>251</v>
      </c>
      <c r="N66" s="533" t="s">
        <v>251</v>
      </c>
      <c r="O66" s="533" t="s">
        <v>251</v>
      </c>
      <c r="P66" s="1496">
        <f t="shared" si="1"/>
        <v>0</v>
      </c>
      <c r="Q66" s="663">
        <f t="shared" si="2"/>
        <v>0</v>
      </c>
      <c r="R66" s="1040" t="s">
        <v>251</v>
      </c>
      <c r="S66" s="1041" t="s">
        <v>251</v>
      </c>
      <c r="T66" s="1041" t="s">
        <v>251</v>
      </c>
      <c r="U66" s="1041"/>
      <c r="V66" s="1041"/>
      <c r="W66" s="1041"/>
      <c r="X66" s="1041"/>
      <c r="Y66" s="1041"/>
      <c r="Z66" s="1041"/>
      <c r="AA66" s="1041"/>
      <c r="AB66" s="1041"/>
      <c r="AC66" s="1041"/>
      <c r="AD66" s="663">
        <f t="shared" si="3"/>
        <v>0</v>
      </c>
      <c r="AE66" s="570">
        <f t="shared" si="4"/>
        <v>0</v>
      </c>
      <c r="AF66" s="571">
        <f t="shared" ref="AF66:AF129" si="10">IFERROR(_xlfn.RANK.EQ(AD66, $AD$2:$AD$483), "")</f>
        <v>189</v>
      </c>
    </row>
    <row r="67" spans="1:32" x14ac:dyDescent="0.3">
      <c r="A67" s="4" t="s">
        <v>253</v>
      </c>
      <c r="B67" s="648" t="s">
        <v>1332</v>
      </c>
      <c r="C67" s="491"/>
      <c r="D67" s="533"/>
      <c r="E67" s="533"/>
      <c r="F67" s="533"/>
      <c r="G67" s="533"/>
      <c r="H67" s="533"/>
      <c r="I67" s="533"/>
      <c r="J67" s="533"/>
      <c r="K67" s="533"/>
      <c r="L67" s="533"/>
      <c r="M67" s="533"/>
      <c r="N67" s="533"/>
      <c r="O67" s="533"/>
      <c r="P67" s="1496">
        <f t="shared" ref="P67:P130" si="11">SUM(C67:I67,K67)</f>
        <v>0</v>
      </c>
      <c r="Q67" s="663">
        <f t="shared" ref="Q67:Q68" si="12">SUM(C67:J67,L67:O67)</f>
        <v>0</v>
      </c>
      <c r="R67" s="1040">
        <v>29470</v>
      </c>
      <c r="S67" s="1041" t="s">
        <v>251</v>
      </c>
      <c r="T67" s="1041">
        <v>0</v>
      </c>
      <c r="U67" s="1041">
        <v>0</v>
      </c>
      <c r="V67" s="1041">
        <v>0</v>
      </c>
      <c r="W67" s="1041">
        <v>0</v>
      </c>
      <c r="X67" s="1041">
        <v>0</v>
      </c>
      <c r="Y67" s="1041">
        <v>0</v>
      </c>
      <c r="Z67" s="1041"/>
      <c r="AA67" s="1041"/>
      <c r="AB67" s="1041"/>
      <c r="AC67" s="1041"/>
      <c r="AD67" s="663">
        <f t="shared" si="3"/>
        <v>29470</v>
      </c>
      <c r="AE67" s="570">
        <f t="shared" si="4"/>
        <v>1</v>
      </c>
      <c r="AF67" s="571">
        <f t="shared" si="10"/>
        <v>182</v>
      </c>
    </row>
    <row r="68" spans="1:32" x14ac:dyDescent="0.3">
      <c r="A68" s="4" t="s">
        <v>253</v>
      </c>
      <c r="B68" s="648" t="s">
        <v>2847</v>
      </c>
      <c r="C68" s="491"/>
      <c r="D68" s="533"/>
      <c r="E68" s="533"/>
      <c r="F68" s="533"/>
      <c r="G68" s="533"/>
      <c r="H68" s="533"/>
      <c r="I68" s="533"/>
      <c r="J68" s="533"/>
      <c r="K68" s="533"/>
      <c r="L68" s="533"/>
      <c r="M68" s="533"/>
      <c r="N68" s="533"/>
      <c r="O68" s="533"/>
      <c r="P68" s="1496">
        <f t="shared" si="11"/>
        <v>0</v>
      </c>
      <c r="Q68" s="663">
        <f t="shared" si="12"/>
        <v>0</v>
      </c>
      <c r="R68" s="1040"/>
      <c r="S68" s="1041"/>
      <c r="T68" s="1041"/>
      <c r="U68" s="1041"/>
      <c r="V68" s="1041"/>
      <c r="W68" s="1041">
        <v>366670</v>
      </c>
      <c r="X68" s="1041">
        <v>0</v>
      </c>
      <c r="Y68" s="1041">
        <v>0</v>
      </c>
      <c r="Z68" s="1041"/>
      <c r="AA68" s="1041"/>
      <c r="AB68" s="1041"/>
      <c r="AC68" s="1041"/>
      <c r="AD68" s="663">
        <f t="shared" si="3"/>
        <v>366670</v>
      </c>
      <c r="AE68" s="570">
        <f t="shared" si="4"/>
        <v>1</v>
      </c>
      <c r="AF68" s="571">
        <f t="shared" si="10"/>
        <v>106</v>
      </c>
    </row>
    <row r="69" spans="1:32" x14ac:dyDescent="0.3">
      <c r="A69" s="5" t="s">
        <v>300</v>
      </c>
      <c r="B69" s="650" t="s">
        <v>301</v>
      </c>
      <c r="C69" s="492">
        <v>6547160</v>
      </c>
      <c r="D69" s="534">
        <v>1340650</v>
      </c>
      <c r="E69" s="534">
        <v>1238080</v>
      </c>
      <c r="F69" s="534">
        <v>0</v>
      </c>
      <c r="G69" s="534">
        <v>0</v>
      </c>
      <c r="H69" s="534">
        <v>0</v>
      </c>
      <c r="I69" s="534">
        <v>0</v>
      </c>
      <c r="J69" s="534">
        <v>0</v>
      </c>
      <c r="K69" s="534">
        <v>0</v>
      </c>
      <c r="L69" s="534">
        <v>0</v>
      </c>
      <c r="M69" s="534">
        <v>0</v>
      </c>
      <c r="N69" s="534">
        <v>0</v>
      </c>
      <c r="O69" s="534">
        <v>0</v>
      </c>
      <c r="P69" s="1496">
        <f t="shared" si="11"/>
        <v>9125890</v>
      </c>
      <c r="Q69" s="664">
        <f>SUM(C69:J69,L69:O69)</f>
        <v>9125890</v>
      </c>
      <c r="R69" s="1042" t="s">
        <v>251</v>
      </c>
      <c r="S69" s="1043" t="s">
        <v>251</v>
      </c>
      <c r="T69" s="1043" t="s">
        <v>251</v>
      </c>
      <c r="U69" s="1043"/>
      <c r="V69" s="1043"/>
      <c r="W69" s="1043"/>
      <c r="X69" s="1043"/>
      <c r="Y69" s="1043"/>
      <c r="Z69" s="1043"/>
      <c r="AA69" s="1043"/>
      <c r="AB69" s="1043"/>
      <c r="AC69" s="1043"/>
      <c r="AD69" s="664">
        <f>SUM(R69:AC69)</f>
        <v>0</v>
      </c>
      <c r="AE69" s="572">
        <f>IF(OR(AD69="", P69=""), 0, IFERROR((AD69-P69)/P69, IF(AD69&lt;&gt;0, 1, 0)))</f>
        <v>-1</v>
      </c>
      <c r="AF69" s="573">
        <f t="shared" si="10"/>
        <v>189</v>
      </c>
    </row>
    <row r="70" spans="1:32" x14ac:dyDescent="0.3">
      <c r="A70" s="5" t="s">
        <v>300</v>
      </c>
      <c r="B70" s="650" t="s">
        <v>302</v>
      </c>
      <c r="C70" s="492">
        <v>7386580</v>
      </c>
      <c r="D70" s="534">
        <v>0</v>
      </c>
      <c r="E70" s="534">
        <v>0</v>
      </c>
      <c r="F70" s="534">
        <v>0</v>
      </c>
      <c r="G70" s="534">
        <v>0</v>
      </c>
      <c r="H70" s="534">
        <v>0</v>
      </c>
      <c r="I70" s="534">
        <v>0</v>
      </c>
      <c r="J70" s="534">
        <v>0</v>
      </c>
      <c r="K70" s="534">
        <v>0</v>
      </c>
      <c r="L70" s="534">
        <v>0</v>
      </c>
      <c r="M70" s="534">
        <v>0</v>
      </c>
      <c r="N70" s="534">
        <v>0</v>
      </c>
      <c r="O70" s="534">
        <v>0</v>
      </c>
      <c r="P70" s="1496">
        <f t="shared" si="11"/>
        <v>7386580</v>
      </c>
      <c r="Q70" s="664">
        <f t="shared" ref="Q70:Q133" si="13">SUM(C70:J70,L70:O70)</f>
        <v>7386580</v>
      </c>
      <c r="R70" s="1042" t="s">
        <v>251</v>
      </c>
      <c r="S70" s="1043" t="s">
        <v>251</v>
      </c>
      <c r="T70" s="1043" t="s">
        <v>251</v>
      </c>
      <c r="U70" s="1043"/>
      <c r="V70" s="1043"/>
      <c r="W70" s="1043"/>
      <c r="X70" s="1043"/>
      <c r="Y70" s="1043"/>
      <c r="Z70" s="1043"/>
      <c r="AA70" s="1043"/>
      <c r="AB70" s="1043"/>
      <c r="AC70" s="1043"/>
      <c r="AD70" s="664">
        <f t="shared" si="3"/>
        <v>0</v>
      </c>
      <c r="AE70" s="572">
        <f t="shared" si="4"/>
        <v>-1</v>
      </c>
      <c r="AF70" s="573">
        <f t="shared" si="10"/>
        <v>189</v>
      </c>
    </row>
    <row r="71" spans="1:32" x14ac:dyDescent="0.3">
      <c r="A71" s="5" t="s">
        <v>303</v>
      </c>
      <c r="B71" s="650" t="s">
        <v>304</v>
      </c>
      <c r="C71" s="492">
        <v>5580480</v>
      </c>
      <c r="D71" s="534">
        <v>1468720</v>
      </c>
      <c r="E71" s="534">
        <v>0</v>
      </c>
      <c r="F71" s="534">
        <v>0</v>
      </c>
      <c r="G71" s="534">
        <v>0</v>
      </c>
      <c r="H71" s="534">
        <v>0</v>
      </c>
      <c r="I71" s="534">
        <v>0</v>
      </c>
      <c r="J71" s="534">
        <v>0</v>
      </c>
      <c r="K71" s="534">
        <v>0</v>
      </c>
      <c r="L71" s="534">
        <v>0</v>
      </c>
      <c r="M71" s="534">
        <v>0</v>
      </c>
      <c r="N71" s="534">
        <v>0</v>
      </c>
      <c r="O71" s="534">
        <v>0</v>
      </c>
      <c r="P71" s="1496">
        <f t="shared" si="11"/>
        <v>7049200</v>
      </c>
      <c r="Q71" s="664">
        <f t="shared" si="13"/>
        <v>7049200</v>
      </c>
      <c r="R71" s="1042" t="s">
        <v>251</v>
      </c>
      <c r="S71" s="1043" t="s">
        <v>251</v>
      </c>
      <c r="T71" s="1043" t="s">
        <v>251</v>
      </c>
      <c r="U71" s="1043"/>
      <c r="V71" s="1043"/>
      <c r="W71" s="1043"/>
      <c r="X71" s="1043"/>
      <c r="Y71" s="1043"/>
      <c r="Z71" s="1043"/>
      <c r="AA71" s="1043"/>
      <c r="AB71" s="1043"/>
      <c r="AC71" s="1043"/>
      <c r="AD71" s="664">
        <f t="shared" ref="AD71:AD133" si="14">SUM(R71:AC71)</f>
        <v>0</v>
      </c>
      <c r="AE71" s="572">
        <f t="shared" ref="AE71:AE133" si="15">IF(OR(AD71="", P71=""), 0, IFERROR((AD71-P71)/P71, IF(AD71&lt;&gt;0, 1, 0)))</f>
        <v>-1</v>
      </c>
      <c r="AF71" s="573">
        <f t="shared" si="10"/>
        <v>189</v>
      </c>
    </row>
    <row r="72" spans="1:32" x14ac:dyDescent="0.3">
      <c r="A72" s="5" t="s">
        <v>303</v>
      </c>
      <c r="B72" s="650" t="s">
        <v>567</v>
      </c>
      <c r="C72" s="492">
        <v>5730840</v>
      </c>
      <c r="D72" s="534">
        <v>424330</v>
      </c>
      <c r="E72" s="534">
        <v>0</v>
      </c>
      <c r="F72" s="534">
        <v>0</v>
      </c>
      <c r="G72" s="534">
        <v>0</v>
      </c>
      <c r="H72" s="534">
        <v>0</v>
      </c>
      <c r="I72" s="534">
        <v>0</v>
      </c>
      <c r="J72" s="534">
        <v>0</v>
      </c>
      <c r="K72" s="534">
        <v>0</v>
      </c>
      <c r="L72" s="534">
        <v>0</v>
      </c>
      <c r="M72" s="534">
        <v>0</v>
      </c>
      <c r="N72" s="534">
        <v>0</v>
      </c>
      <c r="O72" s="534">
        <v>0</v>
      </c>
      <c r="P72" s="1496">
        <f t="shared" si="11"/>
        <v>6155170</v>
      </c>
      <c r="Q72" s="664">
        <f t="shared" si="13"/>
        <v>6155170</v>
      </c>
      <c r="R72" s="1042" t="s">
        <v>251</v>
      </c>
      <c r="S72" s="1043" t="s">
        <v>251</v>
      </c>
      <c r="T72" s="1043" t="s">
        <v>251</v>
      </c>
      <c r="U72" s="1043"/>
      <c r="V72" s="1043"/>
      <c r="W72" s="1043"/>
      <c r="X72" s="1043"/>
      <c r="Y72" s="1043"/>
      <c r="Z72" s="1043"/>
      <c r="AA72" s="1043"/>
      <c r="AB72" s="1043"/>
      <c r="AC72" s="1043"/>
      <c r="AD72" s="664">
        <f t="shared" si="14"/>
        <v>0</v>
      </c>
      <c r="AE72" s="572">
        <f t="shared" si="15"/>
        <v>-1</v>
      </c>
      <c r="AF72" s="573">
        <f t="shared" si="10"/>
        <v>189</v>
      </c>
    </row>
    <row r="73" spans="1:32" x14ac:dyDescent="0.3">
      <c r="A73" s="5" t="s">
        <v>303</v>
      </c>
      <c r="B73" s="650" t="s">
        <v>305</v>
      </c>
      <c r="C73" s="492">
        <v>3638570</v>
      </c>
      <c r="D73" s="534">
        <v>1602260</v>
      </c>
      <c r="E73" s="534">
        <v>0</v>
      </c>
      <c r="F73" s="534">
        <v>0</v>
      </c>
      <c r="G73" s="534">
        <v>0</v>
      </c>
      <c r="H73" s="534">
        <v>0</v>
      </c>
      <c r="I73" s="534">
        <v>0</v>
      </c>
      <c r="J73" s="534">
        <v>0</v>
      </c>
      <c r="K73" s="534">
        <v>0</v>
      </c>
      <c r="L73" s="534">
        <v>0</v>
      </c>
      <c r="M73" s="534">
        <v>0</v>
      </c>
      <c r="N73" s="534">
        <v>0</v>
      </c>
      <c r="O73" s="534">
        <v>0</v>
      </c>
      <c r="P73" s="1496">
        <f t="shared" si="11"/>
        <v>5240830</v>
      </c>
      <c r="Q73" s="664">
        <f t="shared" si="13"/>
        <v>5240830</v>
      </c>
      <c r="R73" s="1042" t="s">
        <v>251</v>
      </c>
      <c r="S73" s="1043" t="s">
        <v>251</v>
      </c>
      <c r="T73" s="1043" t="s">
        <v>251</v>
      </c>
      <c r="U73" s="1043"/>
      <c r="V73" s="1043"/>
      <c r="W73" s="1043"/>
      <c r="X73" s="1043"/>
      <c r="Y73" s="1043"/>
      <c r="Z73" s="1043"/>
      <c r="AA73" s="1043"/>
      <c r="AB73" s="1043"/>
      <c r="AC73" s="1043"/>
      <c r="AD73" s="664">
        <f t="shared" si="14"/>
        <v>0</v>
      </c>
      <c r="AE73" s="572">
        <f t="shared" si="15"/>
        <v>-1</v>
      </c>
      <c r="AF73" s="573">
        <f t="shared" si="10"/>
        <v>189</v>
      </c>
    </row>
    <row r="74" spans="1:32" x14ac:dyDescent="0.3">
      <c r="A74" s="5" t="s">
        <v>303</v>
      </c>
      <c r="B74" s="650" t="s">
        <v>568</v>
      </c>
      <c r="C74" s="492">
        <v>3096880</v>
      </c>
      <c r="D74" s="534">
        <v>492720</v>
      </c>
      <c r="E74" s="534">
        <v>138920</v>
      </c>
      <c r="F74" s="534">
        <v>0</v>
      </c>
      <c r="G74" s="534">
        <v>0</v>
      </c>
      <c r="H74" s="534">
        <v>0</v>
      </c>
      <c r="I74" s="534">
        <v>0</v>
      </c>
      <c r="J74" s="534">
        <v>0</v>
      </c>
      <c r="K74" s="534">
        <v>0</v>
      </c>
      <c r="L74" s="534">
        <v>0</v>
      </c>
      <c r="M74" s="534">
        <v>0</v>
      </c>
      <c r="N74" s="534">
        <v>0</v>
      </c>
      <c r="O74" s="534">
        <v>0</v>
      </c>
      <c r="P74" s="1496">
        <f t="shared" si="11"/>
        <v>3728520</v>
      </c>
      <c r="Q74" s="664">
        <f t="shared" si="13"/>
        <v>3728520</v>
      </c>
      <c r="R74" s="1042" t="s">
        <v>251</v>
      </c>
      <c r="S74" s="1043" t="s">
        <v>251</v>
      </c>
      <c r="T74" s="1043" t="s">
        <v>251</v>
      </c>
      <c r="U74" s="1043"/>
      <c r="V74" s="1043"/>
      <c r="W74" s="1043"/>
      <c r="X74" s="1043"/>
      <c r="Y74" s="1043"/>
      <c r="Z74" s="1043"/>
      <c r="AA74" s="1043"/>
      <c r="AB74" s="1043"/>
      <c r="AC74" s="1043"/>
      <c r="AD74" s="664">
        <f t="shared" si="14"/>
        <v>0</v>
      </c>
      <c r="AE74" s="572">
        <f t="shared" si="15"/>
        <v>-1</v>
      </c>
      <c r="AF74" s="573">
        <f t="shared" si="10"/>
        <v>189</v>
      </c>
    </row>
    <row r="75" spans="1:32" x14ac:dyDescent="0.3">
      <c r="A75" s="5" t="s">
        <v>303</v>
      </c>
      <c r="B75" s="650" t="s">
        <v>306</v>
      </c>
      <c r="C75" s="492">
        <v>2881050</v>
      </c>
      <c r="D75" s="534">
        <v>464870</v>
      </c>
      <c r="E75" s="534">
        <v>0</v>
      </c>
      <c r="F75" s="534">
        <v>0</v>
      </c>
      <c r="G75" s="534">
        <v>0</v>
      </c>
      <c r="H75" s="534">
        <v>0</v>
      </c>
      <c r="I75" s="534">
        <v>0</v>
      </c>
      <c r="J75" s="534">
        <v>0</v>
      </c>
      <c r="K75" s="534">
        <v>0</v>
      </c>
      <c r="L75" s="534">
        <v>0</v>
      </c>
      <c r="M75" s="534">
        <v>0</v>
      </c>
      <c r="N75" s="534">
        <v>0</v>
      </c>
      <c r="O75" s="534">
        <v>0</v>
      </c>
      <c r="P75" s="1496">
        <f t="shared" si="11"/>
        <v>3345920</v>
      </c>
      <c r="Q75" s="664">
        <f t="shared" si="13"/>
        <v>3345920</v>
      </c>
      <c r="R75" s="1042" t="s">
        <v>251</v>
      </c>
      <c r="S75" s="1043" t="s">
        <v>251</v>
      </c>
      <c r="T75" s="1043" t="s">
        <v>251</v>
      </c>
      <c r="U75" s="1043"/>
      <c r="V75" s="1043"/>
      <c r="W75" s="1043"/>
      <c r="X75" s="1043"/>
      <c r="Y75" s="1043"/>
      <c r="Z75" s="1043"/>
      <c r="AA75" s="1043"/>
      <c r="AB75" s="1043"/>
      <c r="AC75" s="1043"/>
      <c r="AD75" s="664">
        <f t="shared" si="14"/>
        <v>0</v>
      </c>
      <c r="AE75" s="572">
        <f t="shared" si="15"/>
        <v>-1</v>
      </c>
      <c r="AF75" s="573">
        <f t="shared" si="10"/>
        <v>189</v>
      </c>
    </row>
    <row r="76" spans="1:32" x14ac:dyDescent="0.3">
      <c r="A76" s="5" t="s">
        <v>303</v>
      </c>
      <c r="B76" s="650" t="s">
        <v>307</v>
      </c>
      <c r="C76" s="492">
        <v>1104560</v>
      </c>
      <c r="D76" s="534">
        <v>0</v>
      </c>
      <c r="E76" s="534">
        <v>0</v>
      </c>
      <c r="F76" s="534">
        <v>0</v>
      </c>
      <c r="G76" s="534">
        <v>0</v>
      </c>
      <c r="H76" s="534">
        <v>0</v>
      </c>
      <c r="I76" s="534">
        <v>0</v>
      </c>
      <c r="J76" s="534">
        <v>0</v>
      </c>
      <c r="K76" s="534">
        <v>0</v>
      </c>
      <c r="L76" s="534">
        <v>0</v>
      </c>
      <c r="M76" s="534">
        <v>0</v>
      </c>
      <c r="N76" s="534">
        <v>0</v>
      </c>
      <c r="O76" s="534">
        <v>0</v>
      </c>
      <c r="P76" s="1496">
        <f t="shared" si="11"/>
        <v>1104560</v>
      </c>
      <c r="Q76" s="664">
        <f t="shared" si="13"/>
        <v>1104560</v>
      </c>
      <c r="R76" s="1042" t="s">
        <v>251</v>
      </c>
      <c r="S76" s="1043" t="s">
        <v>251</v>
      </c>
      <c r="T76" s="1043" t="s">
        <v>251</v>
      </c>
      <c r="U76" s="1043"/>
      <c r="V76" s="1043"/>
      <c r="W76" s="1043"/>
      <c r="X76" s="1043"/>
      <c r="Y76" s="1043"/>
      <c r="Z76" s="1043"/>
      <c r="AA76" s="1043"/>
      <c r="AB76" s="1043"/>
      <c r="AC76" s="1043"/>
      <c r="AD76" s="664">
        <f t="shared" si="14"/>
        <v>0</v>
      </c>
      <c r="AE76" s="572">
        <f t="shared" si="15"/>
        <v>-1</v>
      </c>
      <c r="AF76" s="573">
        <f t="shared" si="10"/>
        <v>189</v>
      </c>
    </row>
    <row r="77" spans="1:32" x14ac:dyDescent="0.3">
      <c r="A77" s="5" t="s">
        <v>303</v>
      </c>
      <c r="B77" s="650" t="s">
        <v>569</v>
      </c>
      <c r="C77" s="492">
        <v>758770</v>
      </c>
      <c r="D77" s="534">
        <v>0</v>
      </c>
      <c r="E77" s="534">
        <v>0</v>
      </c>
      <c r="F77" s="534">
        <v>0</v>
      </c>
      <c r="G77" s="534">
        <v>0</v>
      </c>
      <c r="H77" s="534">
        <v>0</v>
      </c>
      <c r="I77" s="534">
        <v>0</v>
      </c>
      <c r="J77" s="534">
        <v>0</v>
      </c>
      <c r="K77" s="534">
        <v>0</v>
      </c>
      <c r="L77" s="534">
        <v>0</v>
      </c>
      <c r="M77" s="534">
        <v>0</v>
      </c>
      <c r="N77" s="534">
        <v>0</v>
      </c>
      <c r="O77" s="534">
        <v>0</v>
      </c>
      <c r="P77" s="1496">
        <f t="shared" si="11"/>
        <v>758770</v>
      </c>
      <c r="Q77" s="664">
        <f t="shared" si="13"/>
        <v>758770</v>
      </c>
      <c r="R77" s="1042" t="s">
        <v>251</v>
      </c>
      <c r="S77" s="1043" t="s">
        <v>251</v>
      </c>
      <c r="T77" s="1043" t="s">
        <v>251</v>
      </c>
      <c r="U77" s="1043"/>
      <c r="V77" s="1043"/>
      <c r="W77" s="1043"/>
      <c r="X77" s="1043"/>
      <c r="Y77" s="1043"/>
      <c r="Z77" s="1043"/>
      <c r="AA77" s="1043"/>
      <c r="AB77" s="1043"/>
      <c r="AC77" s="1043"/>
      <c r="AD77" s="664">
        <f t="shared" si="14"/>
        <v>0</v>
      </c>
      <c r="AE77" s="572">
        <f t="shared" si="15"/>
        <v>-1</v>
      </c>
      <c r="AF77" s="573">
        <f t="shared" si="10"/>
        <v>189</v>
      </c>
    </row>
    <row r="78" spans="1:32" x14ac:dyDescent="0.3">
      <c r="A78" s="5" t="s">
        <v>303</v>
      </c>
      <c r="B78" s="650" t="s">
        <v>308</v>
      </c>
      <c r="C78" s="492">
        <v>711420</v>
      </c>
      <c r="D78" s="534">
        <v>43600</v>
      </c>
      <c r="E78" s="534">
        <v>0</v>
      </c>
      <c r="F78" s="534">
        <v>0</v>
      </c>
      <c r="G78" s="534">
        <v>0</v>
      </c>
      <c r="H78" s="534">
        <v>0</v>
      </c>
      <c r="I78" s="534">
        <v>0</v>
      </c>
      <c r="J78" s="534">
        <v>0</v>
      </c>
      <c r="K78" s="534">
        <v>0</v>
      </c>
      <c r="L78" s="534">
        <v>0</v>
      </c>
      <c r="M78" s="534">
        <v>0</v>
      </c>
      <c r="N78" s="534">
        <v>0</v>
      </c>
      <c r="O78" s="534">
        <v>0</v>
      </c>
      <c r="P78" s="1496">
        <f t="shared" si="11"/>
        <v>755020</v>
      </c>
      <c r="Q78" s="664">
        <f t="shared" si="13"/>
        <v>755020</v>
      </c>
      <c r="R78" s="1042" t="s">
        <v>251</v>
      </c>
      <c r="S78" s="1043" t="s">
        <v>251</v>
      </c>
      <c r="T78" s="1043" t="s">
        <v>251</v>
      </c>
      <c r="U78" s="1043"/>
      <c r="V78" s="1043"/>
      <c r="W78" s="1043"/>
      <c r="X78" s="1043"/>
      <c r="Y78" s="1043"/>
      <c r="Z78" s="1043"/>
      <c r="AA78" s="1043"/>
      <c r="AB78" s="1043"/>
      <c r="AC78" s="1043"/>
      <c r="AD78" s="664">
        <f t="shared" si="14"/>
        <v>0</v>
      </c>
      <c r="AE78" s="572">
        <f t="shared" si="15"/>
        <v>-1</v>
      </c>
      <c r="AF78" s="573">
        <f t="shared" si="10"/>
        <v>189</v>
      </c>
    </row>
    <row r="79" spans="1:32" x14ac:dyDescent="0.3">
      <c r="A79" s="5" t="s">
        <v>303</v>
      </c>
      <c r="B79" s="650" t="s">
        <v>570</v>
      </c>
      <c r="C79" s="492">
        <v>165460</v>
      </c>
      <c r="D79" s="534">
        <v>324180</v>
      </c>
      <c r="E79" s="534">
        <v>0</v>
      </c>
      <c r="F79" s="534">
        <v>0</v>
      </c>
      <c r="G79" s="534">
        <v>0</v>
      </c>
      <c r="H79" s="534">
        <v>0</v>
      </c>
      <c r="I79" s="534">
        <v>0</v>
      </c>
      <c r="J79" s="534">
        <v>0</v>
      </c>
      <c r="K79" s="534">
        <v>0</v>
      </c>
      <c r="L79" s="534">
        <v>0</v>
      </c>
      <c r="M79" s="534">
        <v>0</v>
      </c>
      <c r="N79" s="534">
        <v>0</v>
      </c>
      <c r="O79" s="534">
        <v>0</v>
      </c>
      <c r="P79" s="1496">
        <f t="shared" si="11"/>
        <v>489640</v>
      </c>
      <c r="Q79" s="664">
        <f t="shared" si="13"/>
        <v>489640</v>
      </c>
      <c r="R79" s="1042" t="s">
        <v>251</v>
      </c>
      <c r="S79" s="1043" t="s">
        <v>251</v>
      </c>
      <c r="T79" s="1043" t="s">
        <v>251</v>
      </c>
      <c r="U79" s="1043"/>
      <c r="V79" s="1043"/>
      <c r="W79" s="1043"/>
      <c r="X79" s="1043"/>
      <c r="Y79" s="1043"/>
      <c r="Z79" s="1043"/>
      <c r="AA79" s="1043"/>
      <c r="AB79" s="1043"/>
      <c r="AC79" s="1043"/>
      <c r="AD79" s="664">
        <f t="shared" si="14"/>
        <v>0</v>
      </c>
      <c r="AE79" s="572">
        <f t="shared" si="15"/>
        <v>-1</v>
      </c>
      <c r="AF79" s="573">
        <f t="shared" si="10"/>
        <v>189</v>
      </c>
    </row>
    <row r="80" spans="1:32" x14ac:dyDescent="0.3">
      <c r="A80" s="5" t="s">
        <v>303</v>
      </c>
      <c r="B80" s="650" t="s">
        <v>309</v>
      </c>
      <c r="C80" s="492">
        <v>471820</v>
      </c>
      <c r="D80" s="534">
        <v>0</v>
      </c>
      <c r="E80" s="534">
        <v>0</v>
      </c>
      <c r="F80" s="534">
        <v>0</v>
      </c>
      <c r="G80" s="534">
        <v>0</v>
      </c>
      <c r="H80" s="534">
        <v>0</v>
      </c>
      <c r="I80" s="534">
        <v>0</v>
      </c>
      <c r="J80" s="534">
        <v>0</v>
      </c>
      <c r="K80" s="534">
        <v>0</v>
      </c>
      <c r="L80" s="534">
        <v>0</v>
      </c>
      <c r="M80" s="534">
        <v>0</v>
      </c>
      <c r="N80" s="534">
        <v>0</v>
      </c>
      <c r="O80" s="534">
        <v>0</v>
      </c>
      <c r="P80" s="1496">
        <f t="shared" si="11"/>
        <v>471820</v>
      </c>
      <c r="Q80" s="664">
        <f t="shared" si="13"/>
        <v>471820</v>
      </c>
      <c r="R80" s="1042" t="s">
        <v>251</v>
      </c>
      <c r="S80" s="1043" t="s">
        <v>251</v>
      </c>
      <c r="T80" s="1043" t="s">
        <v>251</v>
      </c>
      <c r="U80" s="1043"/>
      <c r="V80" s="1043"/>
      <c r="W80" s="1043"/>
      <c r="X80" s="1043"/>
      <c r="Y80" s="1043"/>
      <c r="Z80" s="1043"/>
      <c r="AA80" s="1043"/>
      <c r="AB80" s="1043"/>
      <c r="AC80" s="1043"/>
      <c r="AD80" s="664">
        <f t="shared" si="14"/>
        <v>0</v>
      </c>
      <c r="AE80" s="572">
        <f t="shared" si="15"/>
        <v>-1</v>
      </c>
      <c r="AF80" s="573">
        <f t="shared" si="10"/>
        <v>189</v>
      </c>
    </row>
    <row r="81" spans="1:32" x14ac:dyDescent="0.3">
      <c r="A81" s="5" t="s">
        <v>303</v>
      </c>
      <c r="B81" s="650" t="s">
        <v>310</v>
      </c>
      <c r="C81" s="492">
        <v>444780</v>
      </c>
      <c r="D81" s="534">
        <v>0</v>
      </c>
      <c r="E81" s="534">
        <v>0</v>
      </c>
      <c r="F81" s="534">
        <v>0</v>
      </c>
      <c r="G81" s="534">
        <v>0</v>
      </c>
      <c r="H81" s="534">
        <v>0</v>
      </c>
      <c r="I81" s="534">
        <v>0</v>
      </c>
      <c r="J81" s="534">
        <v>0</v>
      </c>
      <c r="K81" s="534">
        <v>0</v>
      </c>
      <c r="L81" s="534">
        <v>0</v>
      </c>
      <c r="M81" s="534">
        <v>0</v>
      </c>
      <c r="N81" s="534">
        <v>0</v>
      </c>
      <c r="O81" s="534">
        <v>0</v>
      </c>
      <c r="P81" s="1496">
        <f t="shared" si="11"/>
        <v>444780</v>
      </c>
      <c r="Q81" s="664">
        <f t="shared" si="13"/>
        <v>444780</v>
      </c>
      <c r="R81" s="1042" t="s">
        <v>251</v>
      </c>
      <c r="S81" s="1043" t="s">
        <v>251</v>
      </c>
      <c r="T81" s="1043" t="s">
        <v>251</v>
      </c>
      <c r="U81" s="1043"/>
      <c r="V81" s="1043"/>
      <c r="W81" s="1043"/>
      <c r="X81" s="1043"/>
      <c r="Y81" s="1043"/>
      <c r="Z81" s="1043"/>
      <c r="AA81" s="1043"/>
      <c r="AB81" s="1043"/>
      <c r="AC81" s="1043"/>
      <c r="AD81" s="664">
        <f t="shared" si="14"/>
        <v>0</v>
      </c>
      <c r="AE81" s="572">
        <f t="shared" si="15"/>
        <v>-1</v>
      </c>
      <c r="AF81" s="573">
        <f t="shared" si="10"/>
        <v>189</v>
      </c>
    </row>
    <row r="82" spans="1:32" x14ac:dyDescent="0.3">
      <c r="A82" s="5" t="s">
        <v>303</v>
      </c>
      <c r="B82" s="650" t="s">
        <v>311</v>
      </c>
      <c r="C82" s="492">
        <v>211680</v>
      </c>
      <c r="D82" s="534">
        <v>0</v>
      </c>
      <c r="E82" s="534">
        <v>0</v>
      </c>
      <c r="F82" s="534">
        <v>0</v>
      </c>
      <c r="G82" s="534">
        <v>0</v>
      </c>
      <c r="H82" s="534">
        <v>0</v>
      </c>
      <c r="I82" s="534">
        <v>0</v>
      </c>
      <c r="J82" s="534">
        <v>0</v>
      </c>
      <c r="K82" s="534">
        <v>0</v>
      </c>
      <c r="L82" s="534">
        <v>0</v>
      </c>
      <c r="M82" s="534">
        <v>0</v>
      </c>
      <c r="N82" s="534">
        <v>0</v>
      </c>
      <c r="O82" s="534">
        <v>0</v>
      </c>
      <c r="P82" s="1496">
        <f t="shared" si="11"/>
        <v>211680</v>
      </c>
      <c r="Q82" s="664">
        <f t="shared" si="13"/>
        <v>211680</v>
      </c>
      <c r="R82" s="1042" t="s">
        <v>251</v>
      </c>
      <c r="S82" s="1043" t="s">
        <v>251</v>
      </c>
      <c r="T82" s="1043" t="s">
        <v>251</v>
      </c>
      <c r="U82" s="1043"/>
      <c r="V82" s="1043"/>
      <c r="W82" s="1043"/>
      <c r="X82" s="1043"/>
      <c r="Y82" s="1043"/>
      <c r="Z82" s="1043"/>
      <c r="AA82" s="1043"/>
      <c r="AB82" s="1043"/>
      <c r="AC82" s="1043"/>
      <c r="AD82" s="664">
        <f t="shared" si="14"/>
        <v>0</v>
      </c>
      <c r="AE82" s="572">
        <f t="shared" si="15"/>
        <v>-1</v>
      </c>
      <c r="AF82" s="573">
        <f t="shared" si="10"/>
        <v>189</v>
      </c>
    </row>
    <row r="83" spans="1:32" x14ac:dyDescent="0.3">
      <c r="A83" s="5" t="s">
        <v>303</v>
      </c>
      <c r="B83" s="650" t="s">
        <v>312</v>
      </c>
      <c r="C83" s="492">
        <v>190840</v>
      </c>
      <c r="D83" s="534">
        <v>0</v>
      </c>
      <c r="E83" s="534">
        <v>0</v>
      </c>
      <c r="F83" s="534">
        <v>0</v>
      </c>
      <c r="G83" s="534">
        <v>0</v>
      </c>
      <c r="H83" s="534">
        <v>0</v>
      </c>
      <c r="I83" s="534">
        <v>0</v>
      </c>
      <c r="J83" s="534">
        <v>0</v>
      </c>
      <c r="K83" s="534">
        <v>0</v>
      </c>
      <c r="L83" s="534">
        <v>0</v>
      </c>
      <c r="M83" s="534">
        <v>0</v>
      </c>
      <c r="N83" s="534">
        <v>0</v>
      </c>
      <c r="O83" s="534">
        <v>0</v>
      </c>
      <c r="P83" s="1496">
        <f t="shared" si="11"/>
        <v>190840</v>
      </c>
      <c r="Q83" s="664">
        <f t="shared" si="13"/>
        <v>190840</v>
      </c>
      <c r="R83" s="1042" t="s">
        <v>251</v>
      </c>
      <c r="S83" s="1043" t="s">
        <v>251</v>
      </c>
      <c r="T83" s="1043" t="s">
        <v>251</v>
      </c>
      <c r="U83" s="1043"/>
      <c r="V83" s="1043"/>
      <c r="W83" s="1043"/>
      <c r="X83" s="1043"/>
      <c r="Y83" s="1043"/>
      <c r="Z83" s="1043"/>
      <c r="AA83" s="1043"/>
      <c r="AB83" s="1043"/>
      <c r="AC83" s="1043"/>
      <c r="AD83" s="664">
        <f t="shared" si="14"/>
        <v>0</v>
      </c>
      <c r="AE83" s="572">
        <f t="shared" si="15"/>
        <v>-1</v>
      </c>
      <c r="AF83" s="573">
        <f t="shared" si="10"/>
        <v>189</v>
      </c>
    </row>
    <row r="84" spans="1:32" x14ac:dyDescent="0.3">
      <c r="A84" s="5" t="s">
        <v>303</v>
      </c>
      <c r="B84" s="650" t="s">
        <v>313</v>
      </c>
      <c r="C84" s="492">
        <v>176360</v>
      </c>
      <c r="D84" s="534">
        <v>0</v>
      </c>
      <c r="E84" s="534">
        <v>0</v>
      </c>
      <c r="F84" s="534">
        <v>0</v>
      </c>
      <c r="G84" s="534">
        <v>0</v>
      </c>
      <c r="H84" s="534">
        <v>0</v>
      </c>
      <c r="I84" s="534">
        <v>0</v>
      </c>
      <c r="J84" s="534">
        <v>0</v>
      </c>
      <c r="K84" s="534">
        <v>0</v>
      </c>
      <c r="L84" s="534">
        <v>0</v>
      </c>
      <c r="M84" s="534">
        <v>0</v>
      </c>
      <c r="N84" s="534">
        <v>0</v>
      </c>
      <c r="O84" s="534">
        <v>0</v>
      </c>
      <c r="P84" s="1496">
        <f t="shared" si="11"/>
        <v>176360</v>
      </c>
      <c r="Q84" s="664">
        <f t="shared" si="13"/>
        <v>176360</v>
      </c>
      <c r="R84" s="1042" t="s">
        <v>251</v>
      </c>
      <c r="S84" s="1043" t="s">
        <v>251</v>
      </c>
      <c r="T84" s="1043" t="s">
        <v>251</v>
      </c>
      <c r="U84" s="1043"/>
      <c r="V84" s="1043"/>
      <c r="W84" s="1043"/>
      <c r="X84" s="1043"/>
      <c r="Y84" s="1043"/>
      <c r="Z84" s="1043"/>
      <c r="AA84" s="1043"/>
      <c r="AB84" s="1043"/>
      <c r="AC84" s="1043"/>
      <c r="AD84" s="664">
        <f t="shared" si="14"/>
        <v>0</v>
      </c>
      <c r="AE84" s="572">
        <f t="shared" si="15"/>
        <v>-1</v>
      </c>
      <c r="AF84" s="573">
        <f t="shared" si="10"/>
        <v>189</v>
      </c>
    </row>
    <row r="85" spans="1:32" x14ac:dyDescent="0.3">
      <c r="A85" s="5" t="s">
        <v>303</v>
      </c>
      <c r="B85" s="650" t="s">
        <v>314</v>
      </c>
      <c r="C85" s="492"/>
      <c r="D85" s="534">
        <v>149710</v>
      </c>
      <c r="E85" s="534">
        <v>0</v>
      </c>
      <c r="F85" s="534">
        <v>0</v>
      </c>
      <c r="G85" s="534">
        <v>0</v>
      </c>
      <c r="H85" s="534">
        <v>0</v>
      </c>
      <c r="I85" s="534">
        <v>0</v>
      </c>
      <c r="J85" s="534">
        <v>0</v>
      </c>
      <c r="K85" s="534">
        <v>0</v>
      </c>
      <c r="L85" s="534">
        <v>0</v>
      </c>
      <c r="M85" s="534">
        <v>0</v>
      </c>
      <c r="N85" s="534">
        <v>0</v>
      </c>
      <c r="O85" s="534">
        <v>0</v>
      </c>
      <c r="P85" s="1496">
        <f t="shared" si="11"/>
        <v>149710</v>
      </c>
      <c r="Q85" s="664">
        <f t="shared" si="13"/>
        <v>149710</v>
      </c>
      <c r="R85" s="1042" t="s">
        <v>251</v>
      </c>
      <c r="S85" s="1043" t="s">
        <v>251</v>
      </c>
      <c r="T85" s="1043" t="s">
        <v>251</v>
      </c>
      <c r="U85" s="1043"/>
      <c r="V85" s="1043"/>
      <c r="W85" s="1043"/>
      <c r="X85" s="1043"/>
      <c r="Y85" s="1043"/>
      <c r="Z85" s="1043"/>
      <c r="AA85" s="1043"/>
      <c r="AB85" s="1043"/>
      <c r="AC85" s="1043"/>
      <c r="AD85" s="664">
        <f t="shared" si="14"/>
        <v>0</v>
      </c>
      <c r="AE85" s="572">
        <f t="shared" si="15"/>
        <v>-1</v>
      </c>
      <c r="AF85" s="573">
        <f t="shared" si="10"/>
        <v>189</v>
      </c>
    </row>
    <row r="86" spans="1:32" x14ac:dyDescent="0.3">
      <c r="A86" s="5" t="s">
        <v>303</v>
      </c>
      <c r="B86" s="650" t="s">
        <v>315</v>
      </c>
      <c r="C86" s="492">
        <v>136760</v>
      </c>
      <c r="D86" s="534">
        <v>0</v>
      </c>
      <c r="E86" s="534">
        <v>0</v>
      </c>
      <c r="F86" s="534">
        <v>0</v>
      </c>
      <c r="G86" s="534">
        <v>0</v>
      </c>
      <c r="H86" s="534">
        <v>0</v>
      </c>
      <c r="I86" s="534">
        <v>0</v>
      </c>
      <c r="J86" s="534">
        <v>0</v>
      </c>
      <c r="K86" s="534">
        <v>0</v>
      </c>
      <c r="L86" s="534">
        <v>0</v>
      </c>
      <c r="M86" s="534">
        <v>0</v>
      </c>
      <c r="N86" s="534">
        <v>0</v>
      </c>
      <c r="O86" s="534">
        <v>0</v>
      </c>
      <c r="P86" s="1496">
        <f t="shared" si="11"/>
        <v>136760</v>
      </c>
      <c r="Q86" s="664">
        <f t="shared" si="13"/>
        <v>136760</v>
      </c>
      <c r="R86" s="1042" t="s">
        <v>251</v>
      </c>
      <c r="S86" s="1043" t="s">
        <v>251</v>
      </c>
      <c r="T86" s="1043" t="s">
        <v>251</v>
      </c>
      <c r="U86" s="1043"/>
      <c r="V86" s="1043"/>
      <c r="W86" s="1043"/>
      <c r="X86" s="1043"/>
      <c r="Y86" s="1043"/>
      <c r="Z86" s="1043"/>
      <c r="AA86" s="1043"/>
      <c r="AB86" s="1043"/>
      <c r="AC86" s="1043"/>
      <c r="AD86" s="664">
        <f t="shared" si="14"/>
        <v>0</v>
      </c>
      <c r="AE86" s="572">
        <f t="shared" si="15"/>
        <v>-1</v>
      </c>
      <c r="AF86" s="573">
        <f t="shared" si="10"/>
        <v>189</v>
      </c>
    </row>
    <row r="87" spans="1:32" x14ac:dyDescent="0.3">
      <c r="A87" s="5" t="s">
        <v>303</v>
      </c>
      <c r="B87" s="650" t="s">
        <v>316</v>
      </c>
      <c r="C87" s="492"/>
      <c r="D87" s="534">
        <v>0</v>
      </c>
      <c r="E87" s="534">
        <v>74020</v>
      </c>
      <c r="F87" s="534">
        <v>0</v>
      </c>
      <c r="G87" s="534">
        <v>0</v>
      </c>
      <c r="H87" s="534">
        <v>0</v>
      </c>
      <c r="I87" s="534">
        <v>0</v>
      </c>
      <c r="J87" s="534">
        <v>0</v>
      </c>
      <c r="K87" s="534">
        <v>0</v>
      </c>
      <c r="L87" s="534">
        <v>0</v>
      </c>
      <c r="M87" s="534">
        <v>0</v>
      </c>
      <c r="N87" s="534">
        <v>0</v>
      </c>
      <c r="O87" s="534">
        <v>0</v>
      </c>
      <c r="P87" s="1496">
        <f t="shared" si="11"/>
        <v>74020</v>
      </c>
      <c r="Q87" s="664">
        <f t="shared" si="13"/>
        <v>74020</v>
      </c>
      <c r="R87" s="1042" t="s">
        <v>251</v>
      </c>
      <c r="S87" s="1043" t="s">
        <v>251</v>
      </c>
      <c r="T87" s="1043" t="s">
        <v>251</v>
      </c>
      <c r="U87" s="1043"/>
      <c r="V87" s="1043"/>
      <c r="W87" s="1043"/>
      <c r="X87" s="1043"/>
      <c r="Y87" s="1043"/>
      <c r="Z87" s="1043"/>
      <c r="AA87" s="1043"/>
      <c r="AB87" s="1043"/>
      <c r="AC87" s="1043"/>
      <c r="AD87" s="664">
        <f t="shared" si="14"/>
        <v>0</v>
      </c>
      <c r="AE87" s="572">
        <f t="shared" si="15"/>
        <v>-1</v>
      </c>
      <c r="AF87" s="573">
        <f t="shared" si="10"/>
        <v>189</v>
      </c>
    </row>
    <row r="88" spans="1:32" x14ac:dyDescent="0.3">
      <c r="A88" s="5" t="s">
        <v>303</v>
      </c>
      <c r="B88" s="650" t="s">
        <v>317</v>
      </c>
      <c r="C88" s="492">
        <v>31750</v>
      </c>
      <c r="D88" s="534">
        <v>0</v>
      </c>
      <c r="E88" s="534">
        <v>0</v>
      </c>
      <c r="F88" s="534">
        <v>0</v>
      </c>
      <c r="G88" s="534">
        <v>0</v>
      </c>
      <c r="H88" s="534">
        <v>0</v>
      </c>
      <c r="I88" s="534">
        <v>0</v>
      </c>
      <c r="J88" s="534">
        <v>0</v>
      </c>
      <c r="K88" s="534">
        <v>0</v>
      </c>
      <c r="L88" s="534">
        <v>0</v>
      </c>
      <c r="M88" s="534">
        <v>0</v>
      </c>
      <c r="N88" s="534">
        <v>0</v>
      </c>
      <c r="O88" s="534">
        <v>0</v>
      </c>
      <c r="P88" s="1496">
        <f t="shared" si="11"/>
        <v>31750</v>
      </c>
      <c r="Q88" s="664">
        <f t="shared" si="13"/>
        <v>31750</v>
      </c>
      <c r="R88" s="1042" t="s">
        <v>251</v>
      </c>
      <c r="S88" s="1043" t="s">
        <v>251</v>
      </c>
      <c r="T88" s="1043" t="s">
        <v>251</v>
      </c>
      <c r="U88" s="1043"/>
      <c r="V88" s="1043"/>
      <c r="W88" s="1043"/>
      <c r="X88" s="1043"/>
      <c r="Y88" s="1043"/>
      <c r="Z88" s="1043"/>
      <c r="AA88" s="1043"/>
      <c r="AB88" s="1043"/>
      <c r="AC88" s="1043"/>
      <c r="AD88" s="664">
        <f t="shared" si="14"/>
        <v>0</v>
      </c>
      <c r="AE88" s="572">
        <f t="shared" si="15"/>
        <v>-1</v>
      </c>
      <c r="AF88" s="573">
        <f t="shared" si="10"/>
        <v>189</v>
      </c>
    </row>
    <row r="89" spans="1:32" x14ac:dyDescent="0.3">
      <c r="A89" s="5" t="s">
        <v>303</v>
      </c>
      <c r="B89" s="650" t="s">
        <v>571</v>
      </c>
      <c r="C89" s="492"/>
      <c r="D89" s="534" t="s">
        <v>251</v>
      </c>
      <c r="E89" s="534" t="s">
        <v>251</v>
      </c>
      <c r="F89" s="534" t="s">
        <v>251</v>
      </c>
      <c r="G89" s="534" t="s">
        <v>251</v>
      </c>
      <c r="H89" s="534" t="s">
        <v>251</v>
      </c>
      <c r="I89" s="534" t="s">
        <v>251</v>
      </c>
      <c r="J89" s="534" t="s">
        <v>251</v>
      </c>
      <c r="K89" s="534"/>
      <c r="L89" s="534" t="s">
        <v>251</v>
      </c>
      <c r="M89" s="534" t="s">
        <v>251</v>
      </c>
      <c r="N89" s="534" t="s">
        <v>251</v>
      </c>
      <c r="O89" s="534" t="s">
        <v>251</v>
      </c>
      <c r="P89" s="1496">
        <f t="shared" si="11"/>
        <v>0</v>
      </c>
      <c r="Q89" s="664">
        <f t="shared" si="13"/>
        <v>0</v>
      </c>
      <c r="R89" s="1042" t="s">
        <v>251</v>
      </c>
      <c r="S89" s="1043" t="s">
        <v>251</v>
      </c>
      <c r="T89" s="1043" t="s">
        <v>251</v>
      </c>
      <c r="U89" s="1043"/>
      <c r="V89" s="1043"/>
      <c r="W89" s="1043"/>
      <c r="X89" s="1043"/>
      <c r="Y89" s="1043"/>
      <c r="Z89" s="1043"/>
      <c r="AA89" s="1043"/>
      <c r="AB89" s="1043"/>
      <c r="AC89" s="1043"/>
      <c r="AD89" s="664">
        <f t="shared" si="14"/>
        <v>0</v>
      </c>
      <c r="AE89" s="572">
        <f t="shared" si="15"/>
        <v>0</v>
      </c>
      <c r="AF89" s="573">
        <f t="shared" si="10"/>
        <v>189</v>
      </c>
    </row>
    <row r="90" spans="1:32" x14ac:dyDescent="0.3">
      <c r="A90" s="5" t="s">
        <v>303</v>
      </c>
      <c r="B90" s="650" t="s">
        <v>318</v>
      </c>
      <c r="C90" s="492"/>
      <c r="D90" s="534" t="s">
        <v>251</v>
      </c>
      <c r="E90" s="534" t="s">
        <v>251</v>
      </c>
      <c r="F90" s="534" t="s">
        <v>251</v>
      </c>
      <c r="G90" s="534" t="s">
        <v>251</v>
      </c>
      <c r="H90" s="534" t="s">
        <v>251</v>
      </c>
      <c r="I90" s="534" t="s">
        <v>251</v>
      </c>
      <c r="J90" s="534" t="s">
        <v>251</v>
      </c>
      <c r="K90" s="534"/>
      <c r="L90" s="534" t="s">
        <v>251</v>
      </c>
      <c r="M90" s="534" t="s">
        <v>251</v>
      </c>
      <c r="N90" s="534" t="s">
        <v>251</v>
      </c>
      <c r="O90" s="534" t="s">
        <v>251</v>
      </c>
      <c r="P90" s="1496">
        <f t="shared" si="11"/>
        <v>0</v>
      </c>
      <c r="Q90" s="664">
        <f t="shared" si="13"/>
        <v>0</v>
      </c>
      <c r="R90" s="1042" t="s">
        <v>251</v>
      </c>
      <c r="S90" s="1043" t="s">
        <v>251</v>
      </c>
      <c r="T90" s="1043" t="s">
        <v>251</v>
      </c>
      <c r="U90" s="1043"/>
      <c r="V90" s="1043"/>
      <c r="W90" s="1043"/>
      <c r="X90" s="1043"/>
      <c r="Y90" s="1043"/>
      <c r="Z90" s="1043"/>
      <c r="AA90" s="1043"/>
      <c r="AB90" s="1043"/>
      <c r="AC90" s="1043"/>
      <c r="AD90" s="664">
        <f t="shared" si="14"/>
        <v>0</v>
      </c>
      <c r="AE90" s="572">
        <f t="shared" si="15"/>
        <v>0</v>
      </c>
      <c r="AF90" s="573">
        <f t="shared" si="10"/>
        <v>189</v>
      </c>
    </row>
    <row r="91" spans="1:32" x14ac:dyDescent="0.3">
      <c r="A91" s="5" t="s">
        <v>303</v>
      </c>
      <c r="B91" s="650" t="s">
        <v>319</v>
      </c>
      <c r="C91" s="492"/>
      <c r="D91" s="534" t="s">
        <v>251</v>
      </c>
      <c r="E91" s="534" t="s">
        <v>251</v>
      </c>
      <c r="F91" s="534" t="s">
        <v>251</v>
      </c>
      <c r="G91" s="534" t="s">
        <v>251</v>
      </c>
      <c r="H91" s="534" t="s">
        <v>251</v>
      </c>
      <c r="I91" s="534" t="s">
        <v>251</v>
      </c>
      <c r="J91" s="534" t="s">
        <v>251</v>
      </c>
      <c r="K91" s="534"/>
      <c r="L91" s="534" t="s">
        <v>251</v>
      </c>
      <c r="M91" s="534" t="s">
        <v>251</v>
      </c>
      <c r="N91" s="534" t="s">
        <v>251</v>
      </c>
      <c r="O91" s="534" t="s">
        <v>251</v>
      </c>
      <c r="P91" s="1496">
        <f t="shared" si="11"/>
        <v>0</v>
      </c>
      <c r="Q91" s="664">
        <f t="shared" si="13"/>
        <v>0</v>
      </c>
      <c r="R91" s="1042" t="s">
        <v>251</v>
      </c>
      <c r="S91" s="1043" t="s">
        <v>251</v>
      </c>
      <c r="T91" s="1043" t="s">
        <v>251</v>
      </c>
      <c r="U91" s="1043"/>
      <c r="V91" s="1043"/>
      <c r="W91" s="1043"/>
      <c r="X91" s="1043"/>
      <c r="Y91" s="1043"/>
      <c r="Z91" s="1043"/>
      <c r="AA91" s="1043"/>
      <c r="AB91" s="1043"/>
      <c r="AC91" s="1043"/>
      <c r="AD91" s="664">
        <f t="shared" si="14"/>
        <v>0</v>
      </c>
      <c r="AE91" s="572">
        <f t="shared" si="15"/>
        <v>0</v>
      </c>
      <c r="AF91" s="573">
        <f t="shared" si="10"/>
        <v>189</v>
      </c>
    </row>
    <row r="92" spans="1:32" x14ac:dyDescent="0.3">
      <c r="A92" s="5" t="s">
        <v>303</v>
      </c>
      <c r="B92" s="650" t="s">
        <v>320</v>
      </c>
      <c r="C92" s="492"/>
      <c r="D92" s="534" t="s">
        <v>251</v>
      </c>
      <c r="E92" s="534" t="s">
        <v>251</v>
      </c>
      <c r="F92" s="534" t="s">
        <v>251</v>
      </c>
      <c r="G92" s="534" t="s">
        <v>251</v>
      </c>
      <c r="H92" s="534" t="s">
        <v>251</v>
      </c>
      <c r="I92" s="534" t="s">
        <v>251</v>
      </c>
      <c r="J92" s="534" t="s">
        <v>251</v>
      </c>
      <c r="K92" s="534"/>
      <c r="L92" s="534" t="s">
        <v>251</v>
      </c>
      <c r="M92" s="534" t="s">
        <v>251</v>
      </c>
      <c r="N92" s="534" t="s">
        <v>251</v>
      </c>
      <c r="O92" s="534" t="s">
        <v>251</v>
      </c>
      <c r="P92" s="1496">
        <f t="shared" si="11"/>
        <v>0</v>
      </c>
      <c r="Q92" s="664">
        <f t="shared" si="13"/>
        <v>0</v>
      </c>
      <c r="R92" s="1042" t="s">
        <v>251</v>
      </c>
      <c r="S92" s="1043" t="s">
        <v>251</v>
      </c>
      <c r="T92" s="1043" t="s">
        <v>251</v>
      </c>
      <c r="U92" s="1043"/>
      <c r="V92" s="1043"/>
      <c r="W92" s="1043"/>
      <c r="X92" s="1043"/>
      <c r="Y92" s="1043"/>
      <c r="Z92" s="1043"/>
      <c r="AA92" s="1043"/>
      <c r="AB92" s="1043"/>
      <c r="AC92" s="1043"/>
      <c r="AD92" s="664">
        <f t="shared" si="14"/>
        <v>0</v>
      </c>
      <c r="AE92" s="572">
        <f t="shared" si="15"/>
        <v>0</v>
      </c>
      <c r="AF92" s="573">
        <f t="shared" si="10"/>
        <v>189</v>
      </c>
    </row>
    <row r="93" spans="1:32" x14ac:dyDescent="0.3">
      <c r="A93" s="5" t="s">
        <v>303</v>
      </c>
      <c r="B93" s="650" t="s">
        <v>572</v>
      </c>
      <c r="C93" s="492"/>
      <c r="D93" s="534" t="s">
        <v>251</v>
      </c>
      <c r="E93" s="534" t="s">
        <v>251</v>
      </c>
      <c r="F93" s="534" t="s">
        <v>251</v>
      </c>
      <c r="G93" s="534" t="s">
        <v>251</v>
      </c>
      <c r="H93" s="534" t="s">
        <v>251</v>
      </c>
      <c r="I93" s="534" t="s">
        <v>251</v>
      </c>
      <c r="J93" s="534" t="s">
        <v>251</v>
      </c>
      <c r="K93" s="534"/>
      <c r="L93" s="534" t="s">
        <v>251</v>
      </c>
      <c r="M93" s="534" t="s">
        <v>251</v>
      </c>
      <c r="N93" s="534" t="s">
        <v>251</v>
      </c>
      <c r="O93" s="534" t="s">
        <v>251</v>
      </c>
      <c r="P93" s="1496">
        <f t="shared" si="11"/>
        <v>0</v>
      </c>
      <c r="Q93" s="664">
        <f t="shared" si="13"/>
        <v>0</v>
      </c>
      <c r="R93" s="1042" t="s">
        <v>251</v>
      </c>
      <c r="S93" s="1043" t="s">
        <v>251</v>
      </c>
      <c r="T93" s="1043" t="s">
        <v>251</v>
      </c>
      <c r="U93" s="1043"/>
      <c r="V93" s="1043"/>
      <c r="W93" s="1043"/>
      <c r="X93" s="1043"/>
      <c r="Y93" s="1043"/>
      <c r="Z93" s="1043"/>
      <c r="AA93" s="1043"/>
      <c r="AB93" s="1043"/>
      <c r="AC93" s="1043"/>
      <c r="AD93" s="664">
        <f t="shared" si="14"/>
        <v>0</v>
      </c>
      <c r="AE93" s="572">
        <f t="shared" si="15"/>
        <v>0</v>
      </c>
      <c r="AF93" s="573">
        <f t="shared" si="10"/>
        <v>189</v>
      </c>
    </row>
    <row r="94" spans="1:32" x14ac:dyDescent="0.3">
      <c r="A94" s="5" t="s">
        <v>303</v>
      </c>
      <c r="B94" s="650" t="s">
        <v>321</v>
      </c>
      <c r="C94" s="492"/>
      <c r="D94" s="534" t="s">
        <v>251</v>
      </c>
      <c r="E94" s="534" t="s">
        <v>251</v>
      </c>
      <c r="F94" s="534" t="s">
        <v>251</v>
      </c>
      <c r="G94" s="534" t="s">
        <v>251</v>
      </c>
      <c r="H94" s="534" t="s">
        <v>251</v>
      </c>
      <c r="I94" s="534" t="s">
        <v>251</v>
      </c>
      <c r="J94" s="534" t="s">
        <v>251</v>
      </c>
      <c r="K94" s="534"/>
      <c r="L94" s="534" t="s">
        <v>251</v>
      </c>
      <c r="M94" s="534" t="s">
        <v>251</v>
      </c>
      <c r="N94" s="534" t="s">
        <v>251</v>
      </c>
      <c r="O94" s="534" t="s">
        <v>251</v>
      </c>
      <c r="P94" s="1496">
        <f t="shared" si="11"/>
        <v>0</v>
      </c>
      <c r="Q94" s="664">
        <f t="shared" si="13"/>
        <v>0</v>
      </c>
      <c r="R94" s="1042" t="s">
        <v>251</v>
      </c>
      <c r="S94" s="1043" t="s">
        <v>251</v>
      </c>
      <c r="T94" s="1043" t="s">
        <v>251</v>
      </c>
      <c r="U94" s="1043"/>
      <c r="V94" s="1043"/>
      <c r="W94" s="1043"/>
      <c r="X94" s="1043"/>
      <c r="Y94" s="1043"/>
      <c r="Z94" s="1043"/>
      <c r="AA94" s="1043"/>
      <c r="AB94" s="1043"/>
      <c r="AC94" s="1043"/>
      <c r="AD94" s="664">
        <f t="shared" si="14"/>
        <v>0</v>
      </c>
      <c r="AE94" s="572">
        <f t="shared" si="15"/>
        <v>0</v>
      </c>
      <c r="AF94" s="573">
        <f t="shared" si="10"/>
        <v>189</v>
      </c>
    </row>
    <row r="95" spans="1:32" x14ac:dyDescent="0.3">
      <c r="A95" s="5" t="s">
        <v>303</v>
      </c>
      <c r="B95" s="650" t="s">
        <v>573</v>
      </c>
      <c r="C95" s="492"/>
      <c r="D95" s="534" t="s">
        <v>251</v>
      </c>
      <c r="E95" s="534" t="s">
        <v>251</v>
      </c>
      <c r="F95" s="534" t="s">
        <v>251</v>
      </c>
      <c r="G95" s="534" t="s">
        <v>251</v>
      </c>
      <c r="H95" s="534" t="s">
        <v>251</v>
      </c>
      <c r="I95" s="534" t="s">
        <v>251</v>
      </c>
      <c r="J95" s="534" t="s">
        <v>251</v>
      </c>
      <c r="K95" s="534"/>
      <c r="L95" s="534" t="s">
        <v>251</v>
      </c>
      <c r="M95" s="534" t="s">
        <v>251</v>
      </c>
      <c r="N95" s="534" t="s">
        <v>251</v>
      </c>
      <c r="O95" s="534" t="s">
        <v>251</v>
      </c>
      <c r="P95" s="1496">
        <f t="shared" si="11"/>
        <v>0</v>
      </c>
      <c r="Q95" s="664">
        <f t="shared" si="13"/>
        <v>0</v>
      </c>
      <c r="R95" s="1042" t="s">
        <v>251</v>
      </c>
      <c r="S95" s="1043" t="s">
        <v>251</v>
      </c>
      <c r="T95" s="1043" t="s">
        <v>251</v>
      </c>
      <c r="U95" s="1043"/>
      <c r="V95" s="1043"/>
      <c r="W95" s="1043"/>
      <c r="X95" s="1043"/>
      <c r="Y95" s="1043"/>
      <c r="Z95" s="1043"/>
      <c r="AA95" s="1043"/>
      <c r="AB95" s="1043"/>
      <c r="AC95" s="1043"/>
      <c r="AD95" s="664">
        <f t="shared" si="14"/>
        <v>0</v>
      </c>
      <c r="AE95" s="572">
        <f t="shared" si="15"/>
        <v>0</v>
      </c>
      <c r="AF95" s="573">
        <f t="shared" si="10"/>
        <v>189</v>
      </c>
    </row>
    <row r="96" spans="1:32" x14ac:dyDescent="0.3">
      <c r="A96" s="5" t="s">
        <v>303</v>
      </c>
      <c r="B96" s="650" t="s">
        <v>322</v>
      </c>
      <c r="C96" s="492"/>
      <c r="D96" s="534" t="s">
        <v>251</v>
      </c>
      <c r="E96" s="534" t="s">
        <v>251</v>
      </c>
      <c r="F96" s="534" t="s">
        <v>251</v>
      </c>
      <c r="G96" s="534" t="s">
        <v>251</v>
      </c>
      <c r="H96" s="534" t="s">
        <v>251</v>
      </c>
      <c r="I96" s="534" t="s">
        <v>251</v>
      </c>
      <c r="J96" s="534" t="s">
        <v>251</v>
      </c>
      <c r="K96" s="534"/>
      <c r="L96" s="534" t="s">
        <v>251</v>
      </c>
      <c r="M96" s="534" t="s">
        <v>251</v>
      </c>
      <c r="N96" s="534" t="s">
        <v>251</v>
      </c>
      <c r="O96" s="534" t="s">
        <v>251</v>
      </c>
      <c r="P96" s="1496">
        <f t="shared" si="11"/>
        <v>0</v>
      </c>
      <c r="Q96" s="664">
        <f t="shared" si="13"/>
        <v>0</v>
      </c>
      <c r="R96" s="1042" t="s">
        <v>251</v>
      </c>
      <c r="S96" s="1043" t="s">
        <v>251</v>
      </c>
      <c r="T96" s="1043" t="s">
        <v>251</v>
      </c>
      <c r="U96" s="1043"/>
      <c r="V96" s="1043"/>
      <c r="W96" s="1043"/>
      <c r="X96" s="1043"/>
      <c r="Y96" s="1043"/>
      <c r="Z96" s="1043"/>
      <c r="AA96" s="1043"/>
      <c r="AB96" s="1043"/>
      <c r="AC96" s="1043"/>
      <c r="AD96" s="664">
        <f t="shared" si="14"/>
        <v>0</v>
      </c>
      <c r="AE96" s="572">
        <f t="shared" si="15"/>
        <v>0</v>
      </c>
      <c r="AF96" s="573">
        <f t="shared" si="10"/>
        <v>189</v>
      </c>
    </row>
    <row r="97" spans="1:32" x14ac:dyDescent="0.3">
      <c r="A97" s="5" t="s">
        <v>303</v>
      </c>
      <c r="B97" s="650" t="s">
        <v>323</v>
      </c>
      <c r="C97" s="492"/>
      <c r="D97" s="534" t="s">
        <v>251</v>
      </c>
      <c r="E97" s="534" t="s">
        <v>251</v>
      </c>
      <c r="F97" s="534" t="s">
        <v>251</v>
      </c>
      <c r="G97" s="534" t="s">
        <v>251</v>
      </c>
      <c r="H97" s="534" t="s">
        <v>251</v>
      </c>
      <c r="I97" s="534" t="s">
        <v>251</v>
      </c>
      <c r="J97" s="534" t="s">
        <v>251</v>
      </c>
      <c r="K97" s="534"/>
      <c r="L97" s="534" t="s">
        <v>251</v>
      </c>
      <c r="M97" s="534" t="s">
        <v>251</v>
      </c>
      <c r="N97" s="534" t="s">
        <v>251</v>
      </c>
      <c r="O97" s="534" t="s">
        <v>251</v>
      </c>
      <c r="P97" s="1496">
        <f t="shared" si="11"/>
        <v>0</v>
      </c>
      <c r="Q97" s="664">
        <f t="shared" si="13"/>
        <v>0</v>
      </c>
      <c r="R97" s="1042" t="s">
        <v>251</v>
      </c>
      <c r="S97" s="1043" t="s">
        <v>251</v>
      </c>
      <c r="T97" s="1043" t="s">
        <v>251</v>
      </c>
      <c r="U97" s="1043"/>
      <c r="V97" s="1043"/>
      <c r="W97" s="1043"/>
      <c r="X97" s="1043"/>
      <c r="Y97" s="1043"/>
      <c r="Z97" s="1043"/>
      <c r="AA97" s="1043"/>
      <c r="AB97" s="1043"/>
      <c r="AC97" s="1043"/>
      <c r="AD97" s="664">
        <f t="shared" si="14"/>
        <v>0</v>
      </c>
      <c r="AE97" s="572">
        <f t="shared" si="15"/>
        <v>0</v>
      </c>
      <c r="AF97" s="573">
        <f t="shared" si="10"/>
        <v>189</v>
      </c>
    </row>
    <row r="98" spans="1:32" x14ac:dyDescent="0.3">
      <c r="A98" s="5" t="s">
        <v>303</v>
      </c>
      <c r="B98" s="650" t="s">
        <v>574</v>
      </c>
      <c r="C98" s="492"/>
      <c r="D98" s="534" t="s">
        <v>251</v>
      </c>
      <c r="E98" s="534" t="s">
        <v>251</v>
      </c>
      <c r="F98" s="534" t="s">
        <v>251</v>
      </c>
      <c r="G98" s="534" t="s">
        <v>251</v>
      </c>
      <c r="H98" s="534" t="s">
        <v>251</v>
      </c>
      <c r="I98" s="534" t="s">
        <v>251</v>
      </c>
      <c r="J98" s="534" t="s">
        <v>251</v>
      </c>
      <c r="K98" s="534"/>
      <c r="L98" s="534" t="s">
        <v>251</v>
      </c>
      <c r="M98" s="534" t="s">
        <v>251</v>
      </c>
      <c r="N98" s="534" t="s">
        <v>251</v>
      </c>
      <c r="O98" s="534" t="s">
        <v>251</v>
      </c>
      <c r="P98" s="1496">
        <f t="shared" si="11"/>
        <v>0</v>
      </c>
      <c r="Q98" s="664">
        <f t="shared" si="13"/>
        <v>0</v>
      </c>
      <c r="R98" s="1042" t="s">
        <v>251</v>
      </c>
      <c r="S98" s="1043" t="s">
        <v>251</v>
      </c>
      <c r="T98" s="1043" t="s">
        <v>251</v>
      </c>
      <c r="U98" s="1043"/>
      <c r="V98" s="1043"/>
      <c r="W98" s="1043"/>
      <c r="X98" s="1043"/>
      <c r="Y98" s="1043"/>
      <c r="Z98" s="1043"/>
      <c r="AA98" s="1043"/>
      <c r="AB98" s="1043"/>
      <c r="AC98" s="1043"/>
      <c r="AD98" s="664">
        <f t="shared" si="14"/>
        <v>0</v>
      </c>
      <c r="AE98" s="572">
        <f t="shared" si="15"/>
        <v>0</v>
      </c>
      <c r="AF98" s="573">
        <f t="shared" si="10"/>
        <v>189</v>
      </c>
    </row>
    <row r="99" spans="1:32" x14ac:dyDescent="0.3">
      <c r="A99" s="5" t="s">
        <v>303</v>
      </c>
      <c r="B99" s="650" t="s">
        <v>324</v>
      </c>
      <c r="C99" s="492"/>
      <c r="D99" s="534" t="s">
        <v>251</v>
      </c>
      <c r="E99" s="534" t="s">
        <v>251</v>
      </c>
      <c r="F99" s="534" t="s">
        <v>251</v>
      </c>
      <c r="G99" s="534" t="s">
        <v>251</v>
      </c>
      <c r="H99" s="534" t="s">
        <v>251</v>
      </c>
      <c r="I99" s="534" t="s">
        <v>251</v>
      </c>
      <c r="J99" s="534" t="s">
        <v>251</v>
      </c>
      <c r="K99" s="534"/>
      <c r="L99" s="534" t="s">
        <v>251</v>
      </c>
      <c r="M99" s="534" t="s">
        <v>251</v>
      </c>
      <c r="N99" s="534" t="s">
        <v>251</v>
      </c>
      <c r="O99" s="534" t="s">
        <v>251</v>
      </c>
      <c r="P99" s="1496">
        <f t="shared" si="11"/>
        <v>0</v>
      </c>
      <c r="Q99" s="664">
        <f t="shared" si="13"/>
        <v>0</v>
      </c>
      <c r="R99" s="1042" t="s">
        <v>251</v>
      </c>
      <c r="S99" s="1043" t="s">
        <v>251</v>
      </c>
      <c r="T99" s="1043" t="s">
        <v>251</v>
      </c>
      <c r="U99" s="1043"/>
      <c r="V99" s="1043"/>
      <c r="W99" s="1043"/>
      <c r="X99" s="1043"/>
      <c r="Y99" s="1043"/>
      <c r="Z99" s="1043"/>
      <c r="AA99" s="1043"/>
      <c r="AB99" s="1043"/>
      <c r="AC99" s="1043"/>
      <c r="AD99" s="664">
        <f t="shared" si="14"/>
        <v>0</v>
      </c>
      <c r="AE99" s="572">
        <f t="shared" si="15"/>
        <v>0</v>
      </c>
      <c r="AF99" s="573">
        <f t="shared" si="10"/>
        <v>189</v>
      </c>
    </row>
    <row r="100" spans="1:32" x14ac:dyDescent="0.3">
      <c r="A100" s="5" t="s">
        <v>303</v>
      </c>
      <c r="B100" s="650" t="s">
        <v>325</v>
      </c>
      <c r="C100" s="492"/>
      <c r="D100" s="534" t="s">
        <v>251</v>
      </c>
      <c r="E100" s="534" t="s">
        <v>251</v>
      </c>
      <c r="F100" s="534" t="s">
        <v>251</v>
      </c>
      <c r="G100" s="534" t="s">
        <v>251</v>
      </c>
      <c r="H100" s="534" t="s">
        <v>251</v>
      </c>
      <c r="I100" s="534" t="s">
        <v>251</v>
      </c>
      <c r="J100" s="534" t="s">
        <v>251</v>
      </c>
      <c r="K100" s="534"/>
      <c r="L100" s="534" t="s">
        <v>251</v>
      </c>
      <c r="M100" s="534" t="s">
        <v>251</v>
      </c>
      <c r="N100" s="534" t="s">
        <v>251</v>
      </c>
      <c r="O100" s="534" t="s">
        <v>251</v>
      </c>
      <c r="P100" s="1496">
        <f t="shared" si="11"/>
        <v>0</v>
      </c>
      <c r="Q100" s="664">
        <f t="shared" si="13"/>
        <v>0</v>
      </c>
      <c r="R100" s="1042" t="s">
        <v>251</v>
      </c>
      <c r="S100" s="1043" t="s">
        <v>251</v>
      </c>
      <c r="T100" s="1043" t="s">
        <v>251</v>
      </c>
      <c r="U100" s="1043"/>
      <c r="V100" s="1043"/>
      <c r="W100" s="1043"/>
      <c r="X100" s="1043"/>
      <c r="Y100" s="1043"/>
      <c r="Z100" s="1043"/>
      <c r="AA100" s="1043"/>
      <c r="AB100" s="1043"/>
      <c r="AC100" s="1043"/>
      <c r="AD100" s="664">
        <f t="shared" si="14"/>
        <v>0</v>
      </c>
      <c r="AE100" s="572">
        <f t="shared" si="15"/>
        <v>0</v>
      </c>
      <c r="AF100" s="573">
        <f t="shared" si="10"/>
        <v>189</v>
      </c>
    </row>
    <row r="101" spans="1:32" x14ac:dyDescent="0.3">
      <c r="A101" s="5" t="s">
        <v>303</v>
      </c>
      <c r="B101" s="650" t="s">
        <v>326</v>
      </c>
      <c r="C101" s="492"/>
      <c r="D101" s="534" t="s">
        <v>251</v>
      </c>
      <c r="E101" s="534" t="s">
        <v>251</v>
      </c>
      <c r="F101" s="534" t="s">
        <v>251</v>
      </c>
      <c r="G101" s="534" t="s">
        <v>251</v>
      </c>
      <c r="H101" s="534" t="s">
        <v>251</v>
      </c>
      <c r="I101" s="534" t="s">
        <v>251</v>
      </c>
      <c r="J101" s="534" t="s">
        <v>251</v>
      </c>
      <c r="K101" s="534"/>
      <c r="L101" s="534" t="s">
        <v>251</v>
      </c>
      <c r="M101" s="534" t="s">
        <v>251</v>
      </c>
      <c r="N101" s="534" t="s">
        <v>251</v>
      </c>
      <c r="O101" s="534" t="s">
        <v>251</v>
      </c>
      <c r="P101" s="1496">
        <f t="shared" si="11"/>
        <v>0</v>
      </c>
      <c r="Q101" s="664">
        <f t="shared" si="13"/>
        <v>0</v>
      </c>
      <c r="R101" s="1042" t="s">
        <v>251</v>
      </c>
      <c r="S101" s="1043" t="s">
        <v>251</v>
      </c>
      <c r="T101" s="1043" t="s">
        <v>251</v>
      </c>
      <c r="U101" s="1043"/>
      <c r="V101" s="1043"/>
      <c r="W101" s="1043"/>
      <c r="X101" s="1043"/>
      <c r="Y101" s="1043"/>
      <c r="Z101" s="1043"/>
      <c r="AA101" s="1043"/>
      <c r="AB101" s="1043"/>
      <c r="AC101" s="1043"/>
      <c r="AD101" s="664">
        <f t="shared" si="14"/>
        <v>0</v>
      </c>
      <c r="AE101" s="572">
        <f t="shared" si="15"/>
        <v>0</v>
      </c>
      <c r="AF101" s="573">
        <f t="shared" si="10"/>
        <v>189</v>
      </c>
    </row>
    <row r="102" spans="1:32" x14ac:dyDescent="0.3">
      <c r="A102" s="5" t="s">
        <v>303</v>
      </c>
      <c r="B102" s="650" t="s">
        <v>327</v>
      </c>
      <c r="C102" s="492"/>
      <c r="D102" s="534" t="s">
        <v>251</v>
      </c>
      <c r="E102" s="534" t="s">
        <v>251</v>
      </c>
      <c r="F102" s="534" t="s">
        <v>251</v>
      </c>
      <c r="G102" s="534" t="s">
        <v>251</v>
      </c>
      <c r="H102" s="534" t="s">
        <v>251</v>
      </c>
      <c r="I102" s="534" t="s">
        <v>251</v>
      </c>
      <c r="J102" s="534" t="s">
        <v>251</v>
      </c>
      <c r="K102" s="534"/>
      <c r="L102" s="534" t="s">
        <v>251</v>
      </c>
      <c r="M102" s="534" t="s">
        <v>251</v>
      </c>
      <c r="N102" s="534" t="s">
        <v>251</v>
      </c>
      <c r="O102" s="534" t="s">
        <v>251</v>
      </c>
      <c r="P102" s="1496">
        <f t="shared" si="11"/>
        <v>0</v>
      </c>
      <c r="Q102" s="664">
        <f t="shared" si="13"/>
        <v>0</v>
      </c>
      <c r="R102" s="1042" t="s">
        <v>251</v>
      </c>
      <c r="S102" s="1043" t="s">
        <v>251</v>
      </c>
      <c r="T102" s="1043" t="s">
        <v>251</v>
      </c>
      <c r="U102" s="1043"/>
      <c r="V102" s="1043"/>
      <c r="W102" s="1043"/>
      <c r="X102" s="1043"/>
      <c r="Y102" s="1043"/>
      <c r="Z102" s="1043"/>
      <c r="AA102" s="1043"/>
      <c r="AB102" s="1043"/>
      <c r="AC102" s="1043"/>
      <c r="AD102" s="664">
        <f t="shared" si="14"/>
        <v>0</v>
      </c>
      <c r="AE102" s="572">
        <f t="shared" si="15"/>
        <v>0</v>
      </c>
      <c r="AF102" s="573">
        <f t="shared" si="10"/>
        <v>189</v>
      </c>
    </row>
    <row r="103" spans="1:32" x14ac:dyDescent="0.3">
      <c r="A103" s="5" t="s">
        <v>303</v>
      </c>
      <c r="B103" s="650" t="s">
        <v>328</v>
      </c>
      <c r="C103" s="492"/>
      <c r="D103" s="534" t="s">
        <v>251</v>
      </c>
      <c r="E103" s="534" t="s">
        <v>251</v>
      </c>
      <c r="F103" s="534" t="s">
        <v>251</v>
      </c>
      <c r="G103" s="534" t="s">
        <v>251</v>
      </c>
      <c r="H103" s="534" t="s">
        <v>251</v>
      </c>
      <c r="I103" s="534" t="s">
        <v>251</v>
      </c>
      <c r="J103" s="534" t="s">
        <v>251</v>
      </c>
      <c r="K103" s="534"/>
      <c r="L103" s="534" t="s">
        <v>251</v>
      </c>
      <c r="M103" s="534" t="s">
        <v>251</v>
      </c>
      <c r="N103" s="534" t="s">
        <v>251</v>
      </c>
      <c r="O103" s="534" t="s">
        <v>251</v>
      </c>
      <c r="P103" s="1496">
        <f t="shared" si="11"/>
        <v>0</v>
      </c>
      <c r="Q103" s="664">
        <f t="shared" si="13"/>
        <v>0</v>
      </c>
      <c r="R103" s="1042" t="s">
        <v>251</v>
      </c>
      <c r="S103" s="1043" t="s">
        <v>251</v>
      </c>
      <c r="T103" s="1043" t="s">
        <v>251</v>
      </c>
      <c r="U103" s="1043"/>
      <c r="V103" s="1043"/>
      <c r="W103" s="1043"/>
      <c r="X103" s="1043"/>
      <c r="Y103" s="1043"/>
      <c r="Z103" s="1043"/>
      <c r="AA103" s="1043"/>
      <c r="AB103" s="1043"/>
      <c r="AC103" s="1043"/>
      <c r="AD103" s="664">
        <f t="shared" si="14"/>
        <v>0</v>
      </c>
      <c r="AE103" s="572">
        <f t="shared" si="15"/>
        <v>0</v>
      </c>
      <c r="AF103" s="573">
        <f t="shared" si="10"/>
        <v>189</v>
      </c>
    </row>
    <row r="104" spans="1:32" x14ac:dyDescent="0.3">
      <c r="A104" s="5" t="s">
        <v>303</v>
      </c>
      <c r="B104" s="650" t="s">
        <v>329</v>
      </c>
      <c r="C104" s="492"/>
      <c r="D104" s="534" t="s">
        <v>251</v>
      </c>
      <c r="E104" s="534" t="s">
        <v>251</v>
      </c>
      <c r="F104" s="534" t="s">
        <v>251</v>
      </c>
      <c r="G104" s="534" t="s">
        <v>251</v>
      </c>
      <c r="H104" s="534" t="s">
        <v>251</v>
      </c>
      <c r="I104" s="534" t="s">
        <v>251</v>
      </c>
      <c r="J104" s="534" t="s">
        <v>251</v>
      </c>
      <c r="K104" s="534"/>
      <c r="L104" s="534" t="s">
        <v>251</v>
      </c>
      <c r="M104" s="534" t="s">
        <v>251</v>
      </c>
      <c r="N104" s="534" t="s">
        <v>251</v>
      </c>
      <c r="O104" s="534" t="s">
        <v>251</v>
      </c>
      <c r="P104" s="1496">
        <f t="shared" si="11"/>
        <v>0</v>
      </c>
      <c r="Q104" s="664">
        <f t="shared" si="13"/>
        <v>0</v>
      </c>
      <c r="R104" s="1042" t="s">
        <v>251</v>
      </c>
      <c r="S104" s="1043" t="s">
        <v>251</v>
      </c>
      <c r="T104" s="1043" t="s">
        <v>251</v>
      </c>
      <c r="U104" s="1043"/>
      <c r="V104" s="1043"/>
      <c r="W104" s="1043"/>
      <c r="X104" s="1043"/>
      <c r="Y104" s="1043"/>
      <c r="Z104" s="1043"/>
      <c r="AA104" s="1043"/>
      <c r="AB104" s="1043"/>
      <c r="AC104" s="1043"/>
      <c r="AD104" s="664">
        <f t="shared" si="14"/>
        <v>0</v>
      </c>
      <c r="AE104" s="572">
        <f t="shared" si="15"/>
        <v>0</v>
      </c>
      <c r="AF104" s="573">
        <f t="shared" si="10"/>
        <v>189</v>
      </c>
    </row>
    <row r="105" spans="1:32" x14ac:dyDescent="0.3">
      <c r="A105" s="5" t="s">
        <v>303</v>
      </c>
      <c r="B105" s="650" t="s">
        <v>330</v>
      </c>
      <c r="C105" s="492"/>
      <c r="D105" s="534" t="s">
        <v>251</v>
      </c>
      <c r="E105" s="534" t="s">
        <v>251</v>
      </c>
      <c r="F105" s="534" t="s">
        <v>251</v>
      </c>
      <c r="G105" s="534" t="s">
        <v>251</v>
      </c>
      <c r="H105" s="534" t="s">
        <v>251</v>
      </c>
      <c r="I105" s="534" t="s">
        <v>251</v>
      </c>
      <c r="J105" s="534" t="s">
        <v>251</v>
      </c>
      <c r="K105" s="534"/>
      <c r="L105" s="534" t="s">
        <v>251</v>
      </c>
      <c r="M105" s="534" t="s">
        <v>251</v>
      </c>
      <c r="N105" s="534" t="s">
        <v>251</v>
      </c>
      <c r="O105" s="534" t="s">
        <v>251</v>
      </c>
      <c r="P105" s="1496">
        <f t="shared" si="11"/>
        <v>0</v>
      </c>
      <c r="Q105" s="664">
        <f t="shared" si="13"/>
        <v>0</v>
      </c>
      <c r="R105" s="1042" t="s">
        <v>251</v>
      </c>
      <c r="S105" s="1043" t="s">
        <v>251</v>
      </c>
      <c r="T105" s="1043" t="s">
        <v>251</v>
      </c>
      <c r="U105" s="1043"/>
      <c r="V105" s="1043"/>
      <c r="W105" s="1043"/>
      <c r="X105" s="1043"/>
      <c r="Y105" s="1043"/>
      <c r="Z105" s="1043"/>
      <c r="AA105" s="1043"/>
      <c r="AB105" s="1043"/>
      <c r="AC105" s="1043"/>
      <c r="AD105" s="664">
        <f t="shared" si="14"/>
        <v>0</v>
      </c>
      <c r="AE105" s="572">
        <f t="shared" si="15"/>
        <v>0</v>
      </c>
      <c r="AF105" s="573">
        <f t="shared" si="10"/>
        <v>189</v>
      </c>
    </row>
    <row r="106" spans="1:32" x14ac:dyDescent="0.3">
      <c r="A106" s="5" t="s">
        <v>303</v>
      </c>
      <c r="B106" s="650" t="s">
        <v>331</v>
      </c>
      <c r="C106" s="492"/>
      <c r="D106" s="534" t="s">
        <v>251</v>
      </c>
      <c r="E106" s="534" t="s">
        <v>251</v>
      </c>
      <c r="F106" s="534" t="s">
        <v>251</v>
      </c>
      <c r="G106" s="534" t="s">
        <v>251</v>
      </c>
      <c r="H106" s="534" t="s">
        <v>251</v>
      </c>
      <c r="I106" s="534" t="s">
        <v>251</v>
      </c>
      <c r="J106" s="534" t="s">
        <v>251</v>
      </c>
      <c r="K106" s="534"/>
      <c r="L106" s="534" t="s">
        <v>251</v>
      </c>
      <c r="M106" s="534" t="s">
        <v>251</v>
      </c>
      <c r="N106" s="534" t="s">
        <v>251</v>
      </c>
      <c r="O106" s="534" t="s">
        <v>251</v>
      </c>
      <c r="P106" s="1496">
        <f t="shared" si="11"/>
        <v>0</v>
      </c>
      <c r="Q106" s="664">
        <f t="shared" si="13"/>
        <v>0</v>
      </c>
      <c r="R106" s="1042" t="s">
        <v>251</v>
      </c>
      <c r="S106" s="1043" t="s">
        <v>251</v>
      </c>
      <c r="T106" s="1043" t="s">
        <v>251</v>
      </c>
      <c r="U106" s="1043"/>
      <c r="V106" s="1043"/>
      <c r="W106" s="1043"/>
      <c r="X106" s="1043"/>
      <c r="Y106" s="1043"/>
      <c r="Z106" s="1043"/>
      <c r="AA106" s="1043"/>
      <c r="AB106" s="1043"/>
      <c r="AC106" s="1043"/>
      <c r="AD106" s="664">
        <f t="shared" si="14"/>
        <v>0</v>
      </c>
      <c r="AE106" s="572">
        <f t="shared" si="15"/>
        <v>0</v>
      </c>
      <c r="AF106" s="573">
        <f t="shared" si="10"/>
        <v>189</v>
      </c>
    </row>
    <row r="107" spans="1:32" x14ac:dyDescent="0.3">
      <c r="A107" s="5" t="s">
        <v>303</v>
      </c>
      <c r="B107" s="650" t="s">
        <v>332</v>
      </c>
      <c r="C107" s="492"/>
      <c r="D107" s="534" t="s">
        <v>251</v>
      </c>
      <c r="E107" s="534" t="s">
        <v>251</v>
      </c>
      <c r="F107" s="534" t="s">
        <v>251</v>
      </c>
      <c r="G107" s="534" t="s">
        <v>251</v>
      </c>
      <c r="H107" s="534" t="s">
        <v>251</v>
      </c>
      <c r="I107" s="534" t="s">
        <v>251</v>
      </c>
      <c r="J107" s="534" t="s">
        <v>251</v>
      </c>
      <c r="K107" s="534"/>
      <c r="L107" s="534" t="s">
        <v>251</v>
      </c>
      <c r="M107" s="534" t="s">
        <v>251</v>
      </c>
      <c r="N107" s="534" t="s">
        <v>251</v>
      </c>
      <c r="O107" s="534" t="s">
        <v>251</v>
      </c>
      <c r="P107" s="1496">
        <f t="shared" si="11"/>
        <v>0</v>
      </c>
      <c r="Q107" s="664">
        <f t="shared" si="13"/>
        <v>0</v>
      </c>
      <c r="R107" s="1042" t="s">
        <v>251</v>
      </c>
      <c r="S107" s="1043" t="s">
        <v>251</v>
      </c>
      <c r="T107" s="1043" t="s">
        <v>251</v>
      </c>
      <c r="U107" s="1043"/>
      <c r="V107" s="1043"/>
      <c r="W107" s="1043"/>
      <c r="X107" s="1043"/>
      <c r="Y107" s="1043"/>
      <c r="Z107" s="1043"/>
      <c r="AA107" s="1043"/>
      <c r="AB107" s="1043"/>
      <c r="AC107" s="1043"/>
      <c r="AD107" s="664">
        <f t="shared" si="14"/>
        <v>0</v>
      </c>
      <c r="AE107" s="572">
        <f t="shared" si="15"/>
        <v>0</v>
      </c>
      <c r="AF107" s="573">
        <f t="shared" si="10"/>
        <v>189</v>
      </c>
    </row>
    <row r="108" spans="1:32" x14ac:dyDescent="0.3">
      <c r="A108" s="5" t="s">
        <v>303</v>
      </c>
      <c r="B108" s="650" t="s">
        <v>333</v>
      </c>
      <c r="C108" s="492"/>
      <c r="D108" s="534" t="s">
        <v>251</v>
      </c>
      <c r="E108" s="534" t="s">
        <v>251</v>
      </c>
      <c r="F108" s="534" t="s">
        <v>251</v>
      </c>
      <c r="G108" s="534" t="s">
        <v>251</v>
      </c>
      <c r="H108" s="534" t="s">
        <v>251</v>
      </c>
      <c r="I108" s="534" t="s">
        <v>251</v>
      </c>
      <c r="J108" s="534" t="s">
        <v>251</v>
      </c>
      <c r="K108" s="534"/>
      <c r="L108" s="534" t="s">
        <v>251</v>
      </c>
      <c r="M108" s="534" t="s">
        <v>251</v>
      </c>
      <c r="N108" s="534" t="s">
        <v>251</v>
      </c>
      <c r="O108" s="534" t="s">
        <v>251</v>
      </c>
      <c r="P108" s="1496">
        <f t="shared" si="11"/>
        <v>0</v>
      </c>
      <c r="Q108" s="664">
        <f t="shared" si="13"/>
        <v>0</v>
      </c>
      <c r="R108" s="1042" t="s">
        <v>251</v>
      </c>
      <c r="S108" s="1043" t="s">
        <v>251</v>
      </c>
      <c r="T108" s="1043" t="s">
        <v>251</v>
      </c>
      <c r="U108" s="1043"/>
      <c r="V108" s="1043"/>
      <c r="W108" s="1043"/>
      <c r="X108" s="1043"/>
      <c r="Y108" s="1043"/>
      <c r="Z108" s="1043"/>
      <c r="AA108" s="1043"/>
      <c r="AB108" s="1043"/>
      <c r="AC108" s="1043"/>
      <c r="AD108" s="664">
        <f t="shared" si="14"/>
        <v>0</v>
      </c>
      <c r="AE108" s="572">
        <f t="shared" si="15"/>
        <v>0</v>
      </c>
      <c r="AF108" s="573">
        <f t="shared" si="10"/>
        <v>189</v>
      </c>
    </row>
    <row r="109" spans="1:32" x14ac:dyDescent="0.3">
      <c r="A109" s="5" t="s">
        <v>303</v>
      </c>
      <c r="B109" s="650" t="s">
        <v>334</v>
      </c>
      <c r="C109" s="492"/>
      <c r="D109" s="534" t="s">
        <v>251</v>
      </c>
      <c r="E109" s="534" t="s">
        <v>251</v>
      </c>
      <c r="F109" s="534" t="s">
        <v>251</v>
      </c>
      <c r="G109" s="534" t="s">
        <v>251</v>
      </c>
      <c r="H109" s="534" t="s">
        <v>251</v>
      </c>
      <c r="I109" s="534" t="s">
        <v>251</v>
      </c>
      <c r="J109" s="534" t="s">
        <v>251</v>
      </c>
      <c r="K109" s="534"/>
      <c r="L109" s="534" t="s">
        <v>251</v>
      </c>
      <c r="M109" s="534" t="s">
        <v>251</v>
      </c>
      <c r="N109" s="534" t="s">
        <v>251</v>
      </c>
      <c r="O109" s="534" t="s">
        <v>251</v>
      </c>
      <c r="P109" s="1496">
        <f t="shared" si="11"/>
        <v>0</v>
      </c>
      <c r="Q109" s="664">
        <f t="shared" si="13"/>
        <v>0</v>
      </c>
      <c r="R109" s="1042" t="s">
        <v>251</v>
      </c>
      <c r="S109" s="1043" t="s">
        <v>251</v>
      </c>
      <c r="T109" s="1043" t="s">
        <v>251</v>
      </c>
      <c r="U109" s="1043"/>
      <c r="V109" s="1043"/>
      <c r="W109" s="1043"/>
      <c r="X109" s="1043"/>
      <c r="Y109" s="1043"/>
      <c r="Z109" s="1043"/>
      <c r="AA109" s="1043"/>
      <c r="AB109" s="1043"/>
      <c r="AC109" s="1043"/>
      <c r="AD109" s="664">
        <f t="shared" si="14"/>
        <v>0</v>
      </c>
      <c r="AE109" s="572">
        <f t="shared" si="15"/>
        <v>0</v>
      </c>
      <c r="AF109" s="573">
        <f t="shared" si="10"/>
        <v>189</v>
      </c>
    </row>
    <row r="110" spans="1:32" x14ac:dyDescent="0.3">
      <c r="A110" s="5" t="s">
        <v>303</v>
      </c>
      <c r="B110" s="650" t="s">
        <v>335</v>
      </c>
      <c r="C110" s="492"/>
      <c r="D110" s="534" t="s">
        <v>251</v>
      </c>
      <c r="E110" s="534" t="s">
        <v>251</v>
      </c>
      <c r="F110" s="534" t="s">
        <v>251</v>
      </c>
      <c r="G110" s="534" t="s">
        <v>251</v>
      </c>
      <c r="H110" s="534" t="s">
        <v>251</v>
      </c>
      <c r="I110" s="534" t="s">
        <v>251</v>
      </c>
      <c r="J110" s="534" t="s">
        <v>251</v>
      </c>
      <c r="K110" s="534"/>
      <c r="L110" s="534" t="s">
        <v>251</v>
      </c>
      <c r="M110" s="534" t="s">
        <v>251</v>
      </c>
      <c r="N110" s="534" t="s">
        <v>251</v>
      </c>
      <c r="O110" s="534" t="s">
        <v>251</v>
      </c>
      <c r="P110" s="1496">
        <f t="shared" si="11"/>
        <v>0</v>
      </c>
      <c r="Q110" s="664">
        <f t="shared" si="13"/>
        <v>0</v>
      </c>
      <c r="R110" s="1042" t="s">
        <v>251</v>
      </c>
      <c r="S110" s="1043" t="s">
        <v>251</v>
      </c>
      <c r="T110" s="1043" t="s">
        <v>251</v>
      </c>
      <c r="U110" s="1043"/>
      <c r="V110" s="1043"/>
      <c r="W110" s="1043"/>
      <c r="X110" s="1043"/>
      <c r="Y110" s="1043"/>
      <c r="Z110" s="1043"/>
      <c r="AA110" s="1043"/>
      <c r="AB110" s="1043"/>
      <c r="AC110" s="1043"/>
      <c r="AD110" s="664">
        <f t="shared" si="14"/>
        <v>0</v>
      </c>
      <c r="AE110" s="572">
        <f t="shared" si="15"/>
        <v>0</v>
      </c>
      <c r="AF110" s="573">
        <f t="shared" si="10"/>
        <v>189</v>
      </c>
    </row>
    <row r="111" spans="1:32" x14ac:dyDescent="0.3">
      <c r="A111" s="5" t="s">
        <v>303</v>
      </c>
      <c r="B111" s="650" t="s">
        <v>336</v>
      </c>
      <c r="C111" s="492"/>
      <c r="D111" s="534" t="s">
        <v>251</v>
      </c>
      <c r="E111" s="534" t="s">
        <v>251</v>
      </c>
      <c r="F111" s="534" t="s">
        <v>251</v>
      </c>
      <c r="G111" s="534" t="s">
        <v>251</v>
      </c>
      <c r="H111" s="534" t="s">
        <v>251</v>
      </c>
      <c r="I111" s="534" t="s">
        <v>251</v>
      </c>
      <c r="J111" s="534" t="s">
        <v>251</v>
      </c>
      <c r="K111" s="534"/>
      <c r="L111" s="534" t="s">
        <v>251</v>
      </c>
      <c r="M111" s="534" t="s">
        <v>251</v>
      </c>
      <c r="N111" s="534" t="s">
        <v>251</v>
      </c>
      <c r="O111" s="534" t="s">
        <v>251</v>
      </c>
      <c r="P111" s="1496">
        <f t="shared" si="11"/>
        <v>0</v>
      </c>
      <c r="Q111" s="664">
        <f t="shared" si="13"/>
        <v>0</v>
      </c>
      <c r="R111" s="1042" t="s">
        <v>251</v>
      </c>
      <c r="S111" s="1043" t="s">
        <v>251</v>
      </c>
      <c r="T111" s="1043" t="s">
        <v>251</v>
      </c>
      <c r="U111" s="1043"/>
      <c r="V111" s="1043"/>
      <c r="W111" s="1043"/>
      <c r="X111" s="1043"/>
      <c r="Y111" s="1043"/>
      <c r="Z111" s="1043"/>
      <c r="AA111" s="1043"/>
      <c r="AB111" s="1043"/>
      <c r="AC111" s="1043"/>
      <c r="AD111" s="664">
        <f t="shared" si="14"/>
        <v>0</v>
      </c>
      <c r="AE111" s="572">
        <f t="shared" si="15"/>
        <v>0</v>
      </c>
      <c r="AF111" s="573">
        <f t="shared" si="10"/>
        <v>189</v>
      </c>
    </row>
    <row r="112" spans="1:32" x14ac:dyDescent="0.3">
      <c r="A112" s="5" t="s">
        <v>303</v>
      </c>
      <c r="B112" s="650" t="s">
        <v>337</v>
      </c>
      <c r="C112" s="492"/>
      <c r="D112" s="534" t="s">
        <v>251</v>
      </c>
      <c r="E112" s="534" t="s">
        <v>251</v>
      </c>
      <c r="F112" s="534" t="s">
        <v>251</v>
      </c>
      <c r="G112" s="534" t="s">
        <v>251</v>
      </c>
      <c r="H112" s="534" t="s">
        <v>251</v>
      </c>
      <c r="I112" s="534" t="s">
        <v>251</v>
      </c>
      <c r="J112" s="534" t="s">
        <v>251</v>
      </c>
      <c r="K112" s="534"/>
      <c r="L112" s="534" t="s">
        <v>251</v>
      </c>
      <c r="M112" s="534" t="s">
        <v>251</v>
      </c>
      <c r="N112" s="534" t="s">
        <v>251</v>
      </c>
      <c r="O112" s="534" t="s">
        <v>251</v>
      </c>
      <c r="P112" s="1496">
        <f t="shared" si="11"/>
        <v>0</v>
      </c>
      <c r="Q112" s="664">
        <f t="shared" si="13"/>
        <v>0</v>
      </c>
      <c r="R112" s="1042" t="s">
        <v>251</v>
      </c>
      <c r="S112" s="1043" t="s">
        <v>251</v>
      </c>
      <c r="T112" s="1043" t="s">
        <v>251</v>
      </c>
      <c r="U112" s="1043"/>
      <c r="V112" s="1043"/>
      <c r="W112" s="1043"/>
      <c r="X112" s="1043"/>
      <c r="Y112" s="1043"/>
      <c r="Z112" s="1043"/>
      <c r="AA112" s="1043"/>
      <c r="AB112" s="1043"/>
      <c r="AC112" s="1043"/>
      <c r="AD112" s="664">
        <f t="shared" si="14"/>
        <v>0</v>
      </c>
      <c r="AE112" s="572">
        <f t="shared" si="15"/>
        <v>0</v>
      </c>
      <c r="AF112" s="573">
        <f t="shared" si="10"/>
        <v>189</v>
      </c>
    </row>
    <row r="113" spans="1:32" x14ac:dyDescent="0.3">
      <c r="A113" s="5" t="s">
        <v>303</v>
      </c>
      <c r="B113" s="650" t="s">
        <v>575</v>
      </c>
      <c r="C113" s="492"/>
      <c r="D113" s="534" t="s">
        <v>251</v>
      </c>
      <c r="E113" s="534" t="s">
        <v>251</v>
      </c>
      <c r="F113" s="534" t="s">
        <v>251</v>
      </c>
      <c r="G113" s="534" t="s">
        <v>251</v>
      </c>
      <c r="H113" s="534" t="s">
        <v>251</v>
      </c>
      <c r="I113" s="534" t="s">
        <v>251</v>
      </c>
      <c r="J113" s="534" t="s">
        <v>251</v>
      </c>
      <c r="K113" s="534"/>
      <c r="L113" s="534" t="s">
        <v>251</v>
      </c>
      <c r="M113" s="534" t="s">
        <v>251</v>
      </c>
      <c r="N113" s="534" t="s">
        <v>251</v>
      </c>
      <c r="O113" s="534" t="s">
        <v>251</v>
      </c>
      <c r="P113" s="1496">
        <f t="shared" si="11"/>
        <v>0</v>
      </c>
      <c r="Q113" s="664">
        <f t="shared" si="13"/>
        <v>0</v>
      </c>
      <c r="R113" s="1042" t="s">
        <v>251</v>
      </c>
      <c r="S113" s="1043" t="s">
        <v>251</v>
      </c>
      <c r="T113" s="1043" t="s">
        <v>251</v>
      </c>
      <c r="U113" s="1043"/>
      <c r="V113" s="1043"/>
      <c r="W113" s="1043"/>
      <c r="X113" s="1043"/>
      <c r="Y113" s="1043"/>
      <c r="Z113" s="1043"/>
      <c r="AA113" s="1043"/>
      <c r="AB113" s="1043"/>
      <c r="AC113" s="1043"/>
      <c r="AD113" s="664">
        <f t="shared" si="14"/>
        <v>0</v>
      </c>
      <c r="AE113" s="572">
        <f t="shared" si="15"/>
        <v>0</v>
      </c>
      <c r="AF113" s="573">
        <f t="shared" si="10"/>
        <v>189</v>
      </c>
    </row>
    <row r="114" spans="1:32" x14ac:dyDescent="0.3">
      <c r="A114" s="5" t="s">
        <v>303</v>
      </c>
      <c r="B114" s="650" t="s">
        <v>338</v>
      </c>
      <c r="C114" s="492"/>
      <c r="D114" s="534" t="s">
        <v>251</v>
      </c>
      <c r="E114" s="534" t="s">
        <v>251</v>
      </c>
      <c r="F114" s="534" t="s">
        <v>251</v>
      </c>
      <c r="G114" s="534" t="s">
        <v>251</v>
      </c>
      <c r="H114" s="534" t="s">
        <v>251</v>
      </c>
      <c r="I114" s="534" t="s">
        <v>251</v>
      </c>
      <c r="J114" s="534" t="s">
        <v>251</v>
      </c>
      <c r="K114" s="534"/>
      <c r="L114" s="534" t="s">
        <v>251</v>
      </c>
      <c r="M114" s="534" t="s">
        <v>251</v>
      </c>
      <c r="N114" s="534" t="s">
        <v>251</v>
      </c>
      <c r="O114" s="534" t="s">
        <v>251</v>
      </c>
      <c r="P114" s="1496">
        <f t="shared" si="11"/>
        <v>0</v>
      </c>
      <c r="Q114" s="664">
        <f t="shared" si="13"/>
        <v>0</v>
      </c>
      <c r="R114" s="1042" t="s">
        <v>251</v>
      </c>
      <c r="S114" s="1043" t="s">
        <v>251</v>
      </c>
      <c r="T114" s="1043" t="s">
        <v>251</v>
      </c>
      <c r="U114" s="1043"/>
      <c r="V114" s="1043"/>
      <c r="W114" s="1043"/>
      <c r="X114" s="1043"/>
      <c r="Y114" s="1043"/>
      <c r="Z114" s="1043"/>
      <c r="AA114" s="1043"/>
      <c r="AB114" s="1043"/>
      <c r="AC114" s="1043"/>
      <c r="AD114" s="664">
        <f t="shared" si="14"/>
        <v>0</v>
      </c>
      <c r="AE114" s="572">
        <f t="shared" si="15"/>
        <v>0</v>
      </c>
      <c r="AF114" s="573">
        <f t="shared" si="10"/>
        <v>189</v>
      </c>
    </row>
    <row r="115" spans="1:32" x14ac:dyDescent="0.3">
      <c r="A115" s="5" t="s">
        <v>300</v>
      </c>
      <c r="B115" s="650" t="s">
        <v>1734</v>
      </c>
      <c r="C115" s="492"/>
      <c r="D115" s="534" t="s">
        <v>251</v>
      </c>
      <c r="E115" s="534" t="s">
        <v>251</v>
      </c>
      <c r="F115" s="534" t="s">
        <v>251</v>
      </c>
      <c r="G115" s="534" t="s">
        <v>251</v>
      </c>
      <c r="H115" s="534" t="s">
        <v>251</v>
      </c>
      <c r="I115" s="534" t="s">
        <v>251</v>
      </c>
      <c r="J115" s="534" t="s">
        <v>251</v>
      </c>
      <c r="K115" s="534"/>
      <c r="L115" s="534" t="s">
        <v>251</v>
      </c>
      <c r="M115" s="534" t="s">
        <v>251</v>
      </c>
      <c r="N115" s="534" t="s">
        <v>251</v>
      </c>
      <c r="O115" s="534" t="s">
        <v>251</v>
      </c>
      <c r="P115" s="1496">
        <f t="shared" si="11"/>
        <v>0</v>
      </c>
      <c r="Q115" s="664">
        <f t="shared" si="13"/>
        <v>0</v>
      </c>
      <c r="R115" s="1042" t="s">
        <v>251</v>
      </c>
      <c r="S115" s="1043" t="s">
        <v>251</v>
      </c>
      <c r="T115" s="1043" t="s">
        <v>251</v>
      </c>
      <c r="U115" s="1043"/>
      <c r="V115" s="1043"/>
      <c r="W115" s="1043"/>
      <c r="X115" s="1043"/>
      <c r="Y115" s="1043"/>
      <c r="Z115" s="1043"/>
      <c r="AA115" s="1043"/>
      <c r="AB115" s="1043"/>
      <c r="AC115" s="1043"/>
      <c r="AD115" s="664">
        <f t="shared" si="14"/>
        <v>0</v>
      </c>
      <c r="AE115" s="572">
        <f t="shared" si="15"/>
        <v>0</v>
      </c>
      <c r="AF115" s="573">
        <f t="shared" si="10"/>
        <v>189</v>
      </c>
    </row>
    <row r="116" spans="1:32" x14ac:dyDescent="0.3">
      <c r="A116" s="5" t="s">
        <v>300</v>
      </c>
      <c r="B116" s="650" t="s">
        <v>1742</v>
      </c>
      <c r="C116" s="492"/>
      <c r="D116" s="534" t="s">
        <v>251</v>
      </c>
      <c r="E116" s="534" t="s">
        <v>251</v>
      </c>
      <c r="F116" s="534" t="s">
        <v>251</v>
      </c>
      <c r="G116" s="534" t="s">
        <v>251</v>
      </c>
      <c r="H116" s="534" t="s">
        <v>251</v>
      </c>
      <c r="I116" s="534" t="s">
        <v>251</v>
      </c>
      <c r="J116" s="534" t="s">
        <v>251</v>
      </c>
      <c r="K116" s="534"/>
      <c r="L116" s="534" t="s">
        <v>251</v>
      </c>
      <c r="M116" s="534" t="s">
        <v>251</v>
      </c>
      <c r="N116" s="534" t="s">
        <v>251</v>
      </c>
      <c r="O116" s="534" t="s">
        <v>251</v>
      </c>
      <c r="P116" s="1496">
        <f t="shared" si="11"/>
        <v>0</v>
      </c>
      <c r="Q116" s="664">
        <f t="shared" si="13"/>
        <v>0</v>
      </c>
      <c r="R116" s="1042" t="s">
        <v>251</v>
      </c>
      <c r="S116" s="1043" t="s">
        <v>251</v>
      </c>
      <c r="T116" s="1043" t="s">
        <v>251</v>
      </c>
      <c r="U116" s="1043"/>
      <c r="V116" s="1043"/>
      <c r="W116" s="1043"/>
      <c r="X116" s="1043"/>
      <c r="Y116" s="1043"/>
      <c r="Z116" s="1043"/>
      <c r="AA116" s="1043"/>
      <c r="AB116" s="1043"/>
      <c r="AC116" s="1043"/>
      <c r="AD116" s="664">
        <f t="shared" si="14"/>
        <v>0</v>
      </c>
      <c r="AE116" s="572">
        <f t="shared" si="15"/>
        <v>0</v>
      </c>
      <c r="AF116" s="573">
        <f t="shared" si="10"/>
        <v>189</v>
      </c>
    </row>
    <row r="117" spans="1:32" x14ac:dyDescent="0.3">
      <c r="A117" s="5" t="s">
        <v>300</v>
      </c>
      <c r="B117" s="650" t="s">
        <v>1744</v>
      </c>
      <c r="C117" s="492"/>
      <c r="D117" s="534" t="s">
        <v>251</v>
      </c>
      <c r="E117" s="534" t="s">
        <v>251</v>
      </c>
      <c r="F117" s="534" t="s">
        <v>251</v>
      </c>
      <c r="G117" s="534" t="s">
        <v>251</v>
      </c>
      <c r="H117" s="534" t="s">
        <v>251</v>
      </c>
      <c r="I117" s="534" t="s">
        <v>251</v>
      </c>
      <c r="J117" s="534" t="s">
        <v>251</v>
      </c>
      <c r="K117" s="534"/>
      <c r="L117" s="534" t="s">
        <v>251</v>
      </c>
      <c r="M117" s="534" t="s">
        <v>251</v>
      </c>
      <c r="N117" s="534" t="s">
        <v>251</v>
      </c>
      <c r="O117" s="534" t="s">
        <v>251</v>
      </c>
      <c r="P117" s="1496">
        <f t="shared" si="11"/>
        <v>0</v>
      </c>
      <c r="Q117" s="664">
        <f t="shared" si="13"/>
        <v>0</v>
      </c>
      <c r="R117" s="1042" t="s">
        <v>251</v>
      </c>
      <c r="S117" s="1043" t="s">
        <v>251</v>
      </c>
      <c r="T117" s="1043" t="s">
        <v>251</v>
      </c>
      <c r="U117" s="1043"/>
      <c r="V117" s="1043"/>
      <c r="W117" s="1043"/>
      <c r="X117" s="1043"/>
      <c r="Y117" s="1043"/>
      <c r="Z117" s="1043"/>
      <c r="AA117" s="1043"/>
      <c r="AB117" s="1043"/>
      <c r="AC117" s="1043"/>
      <c r="AD117" s="664">
        <f t="shared" si="14"/>
        <v>0</v>
      </c>
      <c r="AE117" s="572">
        <f t="shared" si="15"/>
        <v>0</v>
      </c>
      <c r="AF117" s="573">
        <f t="shared" si="10"/>
        <v>189</v>
      </c>
    </row>
    <row r="118" spans="1:32" x14ac:dyDescent="0.3">
      <c r="A118" s="5" t="s">
        <v>300</v>
      </c>
      <c r="B118" s="650" t="s">
        <v>1757</v>
      </c>
      <c r="C118" s="492"/>
      <c r="D118" s="534" t="s">
        <v>251</v>
      </c>
      <c r="E118" s="534" t="s">
        <v>251</v>
      </c>
      <c r="F118" s="534" t="s">
        <v>251</v>
      </c>
      <c r="G118" s="534" t="s">
        <v>251</v>
      </c>
      <c r="H118" s="534" t="s">
        <v>251</v>
      </c>
      <c r="I118" s="534" t="s">
        <v>251</v>
      </c>
      <c r="J118" s="534" t="s">
        <v>251</v>
      </c>
      <c r="K118" s="534"/>
      <c r="L118" s="534" t="s">
        <v>251</v>
      </c>
      <c r="M118" s="534" t="s">
        <v>251</v>
      </c>
      <c r="N118" s="534" t="s">
        <v>251</v>
      </c>
      <c r="O118" s="534" t="s">
        <v>251</v>
      </c>
      <c r="P118" s="1496">
        <f t="shared" si="11"/>
        <v>0</v>
      </c>
      <c r="Q118" s="664">
        <f t="shared" si="13"/>
        <v>0</v>
      </c>
      <c r="R118" s="1042" t="s">
        <v>251</v>
      </c>
      <c r="S118" s="1043" t="s">
        <v>251</v>
      </c>
      <c r="T118" s="1043" t="s">
        <v>251</v>
      </c>
      <c r="U118" s="1043"/>
      <c r="V118" s="1043"/>
      <c r="W118" s="1043"/>
      <c r="X118" s="1043"/>
      <c r="Y118" s="1043"/>
      <c r="Z118" s="1043"/>
      <c r="AA118" s="1043"/>
      <c r="AB118" s="1043"/>
      <c r="AC118" s="1043"/>
      <c r="AD118" s="664">
        <f t="shared" si="14"/>
        <v>0</v>
      </c>
      <c r="AE118" s="572">
        <f t="shared" si="15"/>
        <v>0</v>
      </c>
      <c r="AF118" s="573">
        <f t="shared" si="10"/>
        <v>189</v>
      </c>
    </row>
    <row r="119" spans="1:32" x14ac:dyDescent="0.3">
      <c r="A119" s="5" t="s">
        <v>300</v>
      </c>
      <c r="B119" s="650" t="s">
        <v>1759</v>
      </c>
      <c r="C119" s="492"/>
      <c r="D119" s="534" t="s">
        <v>251</v>
      </c>
      <c r="E119" s="534" t="s">
        <v>251</v>
      </c>
      <c r="F119" s="534" t="s">
        <v>251</v>
      </c>
      <c r="G119" s="534" t="s">
        <v>251</v>
      </c>
      <c r="H119" s="534" t="s">
        <v>251</v>
      </c>
      <c r="I119" s="534" t="s">
        <v>251</v>
      </c>
      <c r="J119" s="534" t="s">
        <v>251</v>
      </c>
      <c r="K119" s="534"/>
      <c r="L119" s="534" t="s">
        <v>251</v>
      </c>
      <c r="M119" s="534" t="s">
        <v>251</v>
      </c>
      <c r="N119" s="534" t="s">
        <v>251</v>
      </c>
      <c r="O119" s="534" t="s">
        <v>251</v>
      </c>
      <c r="P119" s="1496">
        <f t="shared" si="11"/>
        <v>0</v>
      </c>
      <c r="Q119" s="664">
        <f t="shared" si="13"/>
        <v>0</v>
      </c>
      <c r="R119" s="1042" t="s">
        <v>251</v>
      </c>
      <c r="S119" s="1043" t="s">
        <v>251</v>
      </c>
      <c r="T119" s="1043" t="s">
        <v>251</v>
      </c>
      <c r="U119" s="1043"/>
      <c r="V119" s="1043"/>
      <c r="W119" s="1043"/>
      <c r="X119" s="1043"/>
      <c r="Y119" s="1043"/>
      <c r="Z119" s="1043"/>
      <c r="AA119" s="1043"/>
      <c r="AB119" s="1043"/>
      <c r="AC119" s="1043"/>
      <c r="AD119" s="664">
        <f t="shared" si="14"/>
        <v>0</v>
      </c>
      <c r="AE119" s="572">
        <f t="shared" si="15"/>
        <v>0</v>
      </c>
      <c r="AF119" s="573">
        <f t="shared" si="10"/>
        <v>189</v>
      </c>
    </row>
    <row r="120" spans="1:32" x14ac:dyDescent="0.3">
      <c r="A120" s="5" t="s">
        <v>300</v>
      </c>
      <c r="B120" s="650" t="s">
        <v>1761</v>
      </c>
      <c r="C120" s="492"/>
      <c r="D120" s="534" t="s">
        <v>251</v>
      </c>
      <c r="E120" s="534" t="s">
        <v>251</v>
      </c>
      <c r="F120" s="534" t="s">
        <v>251</v>
      </c>
      <c r="G120" s="534" t="s">
        <v>251</v>
      </c>
      <c r="H120" s="534" t="s">
        <v>251</v>
      </c>
      <c r="I120" s="534" t="s">
        <v>251</v>
      </c>
      <c r="J120" s="534" t="s">
        <v>251</v>
      </c>
      <c r="K120" s="534"/>
      <c r="L120" s="534" t="s">
        <v>251</v>
      </c>
      <c r="M120" s="534" t="s">
        <v>251</v>
      </c>
      <c r="N120" s="534" t="s">
        <v>251</v>
      </c>
      <c r="O120" s="534" t="s">
        <v>251</v>
      </c>
      <c r="P120" s="1496">
        <f t="shared" si="11"/>
        <v>0</v>
      </c>
      <c r="Q120" s="664">
        <f t="shared" si="13"/>
        <v>0</v>
      </c>
      <c r="R120" s="1042" t="s">
        <v>251</v>
      </c>
      <c r="S120" s="1043" t="s">
        <v>251</v>
      </c>
      <c r="T120" s="1043" t="s">
        <v>251</v>
      </c>
      <c r="U120" s="1043"/>
      <c r="V120" s="1043"/>
      <c r="W120" s="1043"/>
      <c r="X120" s="1043"/>
      <c r="Y120" s="1043"/>
      <c r="Z120" s="1043"/>
      <c r="AA120" s="1043"/>
      <c r="AB120" s="1043"/>
      <c r="AC120" s="1043"/>
      <c r="AD120" s="664">
        <f t="shared" si="14"/>
        <v>0</v>
      </c>
      <c r="AE120" s="572">
        <f t="shared" si="15"/>
        <v>0</v>
      </c>
      <c r="AF120" s="573">
        <f t="shared" si="10"/>
        <v>189</v>
      </c>
    </row>
    <row r="121" spans="1:32" x14ac:dyDescent="0.3">
      <c r="A121" s="5" t="s">
        <v>300</v>
      </c>
      <c r="B121" s="650" t="s">
        <v>359</v>
      </c>
      <c r="C121" s="492"/>
      <c r="D121" s="534" t="s">
        <v>251</v>
      </c>
      <c r="E121" s="534" t="s">
        <v>251</v>
      </c>
      <c r="F121" s="534" t="s">
        <v>251</v>
      </c>
      <c r="G121" s="534" t="s">
        <v>251</v>
      </c>
      <c r="H121" s="534" t="s">
        <v>251</v>
      </c>
      <c r="I121" s="534" t="s">
        <v>251</v>
      </c>
      <c r="J121" s="534" t="s">
        <v>251</v>
      </c>
      <c r="K121" s="534"/>
      <c r="L121" s="534" t="s">
        <v>251</v>
      </c>
      <c r="M121" s="534" t="s">
        <v>251</v>
      </c>
      <c r="N121" s="534" t="s">
        <v>251</v>
      </c>
      <c r="O121" s="534" t="s">
        <v>251</v>
      </c>
      <c r="P121" s="1496">
        <f t="shared" si="11"/>
        <v>0</v>
      </c>
      <c r="Q121" s="664">
        <f t="shared" si="13"/>
        <v>0</v>
      </c>
      <c r="R121" s="1042" t="s">
        <v>251</v>
      </c>
      <c r="S121" s="1043" t="s">
        <v>251</v>
      </c>
      <c r="T121" s="1043" t="s">
        <v>251</v>
      </c>
      <c r="U121" s="1043"/>
      <c r="V121" s="1043"/>
      <c r="W121" s="1043"/>
      <c r="X121" s="1043"/>
      <c r="Y121" s="1043"/>
      <c r="Z121" s="1043"/>
      <c r="AA121" s="1043"/>
      <c r="AB121" s="1043"/>
      <c r="AC121" s="1043"/>
      <c r="AD121" s="664">
        <f t="shared" si="14"/>
        <v>0</v>
      </c>
      <c r="AE121" s="572">
        <f t="shared" si="15"/>
        <v>0</v>
      </c>
      <c r="AF121" s="573">
        <f t="shared" si="10"/>
        <v>189</v>
      </c>
    </row>
    <row r="122" spans="1:32" x14ac:dyDescent="0.3">
      <c r="A122" s="6" t="s">
        <v>339</v>
      </c>
      <c r="B122" s="651" t="s">
        <v>340</v>
      </c>
      <c r="C122" s="493">
        <v>29330</v>
      </c>
      <c r="D122" s="535">
        <v>638570</v>
      </c>
      <c r="E122" s="535">
        <v>5687640</v>
      </c>
      <c r="F122" s="535">
        <v>1081750</v>
      </c>
      <c r="G122" s="535">
        <v>204580</v>
      </c>
      <c r="H122" s="535">
        <v>1214920</v>
      </c>
      <c r="I122" s="535">
        <v>0</v>
      </c>
      <c r="J122" s="535">
        <v>101040</v>
      </c>
      <c r="K122" s="535">
        <v>101040</v>
      </c>
      <c r="L122" s="535">
        <v>228460</v>
      </c>
      <c r="M122" s="535">
        <v>2293650</v>
      </c>
      <c r="N122" s="535">
        <v>402530</v>
      </c>
      <c r="O122" s="535">
        <v>0</v>
      </c>
      <c r="P122" s="1496">
        <f t="shared" si="11"/>
        <v>8957830</v>
      </c>
      <c r="Q122" s="665">
        <f t="shared" si="13"/>
        <v>11882470</v>
      </c>
      <c r="R122" s="1044">
        <v>228610</v>
      </c>
      <c r="S122" s="1045" t="s">
        <v>251</v>
      </c>
      <c r="T122" s="1045">
        <v>3524630</v>
      </c>
      <c r="U122" s="1045">
        <v>2154670</v>
      </c>
      <c r="V122" s="1045">
        <v>1818000</v>
      </c>
      <c r="W122" s="1045">
        <v>5595890</v>
      </c>
      <c r="X122" s="1045">
        <v>7476510</v>
      </c>
      <c r="Y122" s="1045">
        <v>87760</v>
      </c>
      <c r="Z122" s="1045"/>
      <c r="AA122" s="1045"/>
      <c r="AB122" s="1045"/>
      <c r="AC122" s="1045"/>
      <c r="AD122" s="665">
        <f t="shared" si="14"/>
        <v>20886070</v>
      </c>
      <c r="AE122" s="574">
        <f t="shared" si="15"/>
        <v>1.3315992824154956</v>
      </c>
      <c r="AF122" s="575">
        <f t="shared" si="10"/>
        <v>2</v>
      </c>
    </row>
    <row r="123" spans="1:32" x14ac:dyDescent="0.3">
      <c r="A123" s="6" t="s">
        <v>339</v>
      </c>
      <c r="B123" s="651" t="s">
        <v>341</v>
      </c>
      <c r="C123" s="493"/>
      <c r="D123" s="535">
        <v>0</v>
      </c>
      <c r="E123" s="535">
        <v>0</v>
      </c>
      <c r="F123" s="535">
        <v>0</v>
      </c>
      <c r="G123" s="535">
        <v>4590160</v>
      </c>
      <c r="H123" s="535">
        <v>1871690</v>
      </c>
      <c r="I123" s="535">
        <v>276520</v>
      </c>
      <c r="J123" s="535">
        <v>0</v>
      </c>
      <c r="K123" s="535">
        <v>0</v>
      </c>
      <c r="L123" s="535">
        <v>0</v>
      </c>
      <c r="M123" s="535">
        <v>87950</v>
      </c>
      <c r="N123" s="535">
        <v>44770</v>
      </c>
      <c r="O123" s="535">
        <v>0</v>
      </c>
      <c r="P123" s="1496">
        <f t="shared" si="11"/>
        <v>6738370</v>
      </c>
      <c r="Q123" s="665">
        <f t="shared" si="13"/>
        <v>6871090</v>
      </c>
      <c r="R123" s="1044" t="s">
        <v>251</v>
      </c>
      <c r="S123" s="1045" t="s">
        <v>251</v>
      </c>
      <c r="T123" s="1045" t="s">
        <v>251</v>
      </c>
      <c r="U123" s="1045"/>
      <c r="V123" s="1045">
        <v>1277930</v>
      </c>
      <c r="W123" s="1045">
        <v>1048150</v>
      </c>
      <c r="X123" s="1045">
        <v>3822060</v>
      </c>
      <c r="Y123" s="1045">
        <v>191810</v>
      </c>
      <c r="Z123" s="1045"/>
      <c r="AA123" s="1045"/>
      <c r="AB123" s="1045"/>
      <c r="AC123" s="1045"/>
      <c r="AD123" s="665">
        <f t="shared" si="14"/>
        <v>6339950</v>
      </c>
      <c r="AE123" s="574">
        <f t="shared" si="15"/>
        <v>-5.9127058917809498E-2</v>
      </c>
      <c r="AF123" s="575">
        <f t="shared" si="10"/>
        <v>10</v>
      </c>
    </row>
    <row r="124" spans="1:32" x14ac:dyDescent="0.3">
      <c r="A124" s="6" t="s">
        <v>339</v>
      </c>
      <c r="B124" s="651" t="s">
        <v>342</v>
      </c>
      <c r="C124" s="493"/>
      <c r="D124" s="535">
        <v>1811460</v>
      </c>
      <c r="E124" s="535">
        <v>860900</v>
      </c>
      <c r="F124" s="535">
        <v>200810</v>
      </c>
      <c r="G124" s="535">
        <v>371790</v>
      </c>
      <c r="H124" s="535">
        <v>91190</v>
      </c>
      <c r="I124" s="535">
        <v>0</v>
      </c>
      <c r="J124" s="535">
        <v>0</v>
      </c>
      <c r="K124" s="535">
        <v>0</v>
      </c>
      <c r="L124" s="535">
        <v>226990</v>
      </c>
      <c r="M124" s="535">
        <v>281600</v>
      </c>
      <c r="N124" s="535">
        <v>0</v>
      </c>
      <c r="O124" s="535">
        <v>0</v>
      </c>
      <c r="P124" s="1496">
        <f t="shared" si="11"/>
        <v>3336150</v>
      </c>
      <c r="Q124" s="665">
        <f t="shared" si="13"/>
        <v>3844740</v>
      </c>
      <c r="R124" s="1044" t="s">
        <v>251</v>
      </c>
      <c r="S124" s="1045" t="s">
        <v>251</v>
      </c>
      <c r="T124" s="1045">
        <v>1261910</v>
      </c>
      <c r="U124" s="1045">
        <v>2281630</v>
      </c>
      <c r="V124" s="1045">
        <v>414590</v>
      </c>
      <c r="W124" s="1045">
        <v>1569140</v>
      </c>
      <c r="X124" s="1045">
        <v>1411370</v>
      </c>
      <c r="Y124" s="1045">
        <v>0</v>
      </c>
      <c r="Z124" s="1045"/>
      <c r="AA124" s="1045"/>
      <c r="AB124" s="1045"/>
      <c r="AC124" s="1045"/>
      <c r="AD124" s="665">
        <f t="shared" si="14"/>
        <v>6938640</v>
      </c>
      <c r="AE124" s="574">
        <f t="shared" si="15"/>
        <v>1.0798345398138574</v>
      </c>
      <c r="AF124" s="575">
        <f t="shared" si="10"/>
        <v>9</v>
      </c>
    </row>
    <row r="125" spans="1:32" x14ac:dyDescent="0.3">
      <c r="A125" s="6" t="s">
        <v>339</v>
      </c>
      <c r="B125" s="651" t="s">
        <v>343</v>
      </c>
      <c r="C125" s="493"/>
      <c r="D125" s="535">
        <v>0</v>
      </c>
      <c r="E125" s="535">
        <v>1121930</v>
      </c>
      <c r="F125" s="535">
        <v>1184160</v>
      </c>
      <c r="G125" s="535">
        <v>427970</v>
      </c>
      <c r="H125" s="535">
        <v>156460</v>
      </c>
      <c r="I125" s="535">
        <v>911280</v>
      </c>
      <c r="J125" s="535">
        <v>99900</v>
      </c>
      <c r="K125" s="535">
        <v>99900</v>
      </c>
      <c r="L125" s="535">
        <v>63820</v>
      </c>
      <c r="M125" s="535">
        <v>0</v>
      </c>
      <c r="N125" s="535">
        <v>0</v>
      </c>
      <c r="O125" s="535">
        <v>0</v>
      </c>
      <c r="P125" s="1496">
        <f t="shared" si="11"/>
        <v>3901700</v>
      </c>
      <c r="Q125" s="665">
        <f t="shared" si="13"/>
        <v>3965520</v>
      </c>
      <c r="R125" s="1044" t="s">
        <v>251</v>
      </c>
      <c r="S125" s="1045" t="s">
        <v>251</v>
      </c>
      <c r="T125" s="1045">
        <v>143110</v>
      </c>
      <c r="U125" s="1045">
        <v>1302830</v>
      </c>
      <c r="V125" s="1045">
        <v>1390140</v>
      </c>
      <c r="W125" s="1045">
        <v>410450</v>
      </c>
      <c r="X125" s="1045">
        <v>257070</v>
      </c>
      <c r="Y125" s="1045">
        <v>745680</v>
      </c>
      <c r="Z125" s="1045"/>
      <c r="AA125" s="1045"/>
      <c r="AB125" s="1045"/>
      <c r="AC125" s="1045"/>
      <c r="AD125" s="665">
        <f t="shared" si="14"/>
        <v>4249280</v>
      </c>
      <c r="AE125" s="574">
        <f t="shared" si="15"/>
        <v>8.9084245328959172E-2</v>
      </c>
      <c r="AF125" s="575">
        <f t="shared" si="10"/>
        <v>20</v>
      </c>
    </row>
    <row r="126" spans="1:32" x14ac:dyDescent="0.3">
      <c r="A126" s="6" t="s">
        <v>339</v>
      </c>
      <c r="B126" s="651" t="s">
        <v>344</v>
      </c>
      <c r="C126" s="493"/>
      <c r="D126" s="535">
        <v>0</v>
      </c>
      <c r="E126" s="535">
        <v>2645300</v>
      </c>
      <c r="F126" s="535">
        <v>0</v>
      </c>
      <c r="G126" s="535">
        <v>0</v>
      </c>
      <c r="H126" s="535">
        <v>1994900</v>
      </c>
      <c r="I126" s="535">
        <v>382620</v>
      </c>
      <c r="J126" s="535">
        <v>0</v>
      </c>
      <c r="K126" s="535">
        <v>0</v>
      </c>
      <c r="L126" s="535">
        <v>1364230</v>
      </c>
      <c r="M126" s="535">
        <v>148460</v>
      </c>
      <c r="N126" s="535">
        <v>0</v>
      </c>
      <c r="O126" s="535">
        <v>0</v>
      </c>
      <c r="P126" s="1496">
        <f t="shared" si="11"/>
        <v>5022820</v>
      </c>
      <c r="Q126" s="665">
        <f t="shared" si="13"/>
        <v>6535510</v>
      </c>
      <c r="R126" s="1044" t="s">
        <v>251</v>
      </c>
      <c r="S126" s="1045" t="s">
        <v>251</v>
      </c>
      <c r="T126" s="1045" t="s">
        <v>251</v>
      </c>
      <c r="U126" s="1045">
        <v>1267960</v>
      </c>
      <c r="V126" s="1045">
        <v>2589900</v>
      </c>
      <c r="W126" s="1045">
        <v>1473660</v>
      </c>
      <c r="X126" s="1045">
        <v>4168330</v>
      </c>
      <c r="Y126" s="1045">
        <v>502890</v>
      </c>
      <c r="Z126" s="1045"/>
      <c r="AA126" s="1045"/>
      <c r="AB126" s="1045"/>
      <c r="AC126" s="1045"/>
      <c r="AD126" s="665">
        <f t="shared" si="14"/>
        <v>10002740</v>
      </c>
      <c r="AE126" s="574">
        <f t="shared" si="15"/>
        <v>0.99145898120975862</v>
      </c>
      <c r="AF126" s="575">
        <f t="shared" si="10"/>
        <v>5</v>
      </c>
    </row>
    <row r="127" spans="1:32" x14ac:dyDescent="0.3">
      <c r="A127" s="6" t="s">
        <v>339</v>
      </c>
      <c r="B127" s="651" t="s">
        <v>345</v>
      </c>
      <c r="C127" s="493">
        <v>520690</v>
      </c>
      <c r="D127" s="535">
        <v>0</v>
      </c>
      <c r="E127" s="535">
        <v>0</v>
      </c>
      <c r="F127" s="535">
        <v>497550</v>
      </c>
      <c r="G127" s="535">
        <v>881800</v>
      </c>
      <c r="H127" s="535">
        <v>0</v>
      </c>
      <c r="I127" s="535">
        <v>0</v>
      </c>
      <c r="J127" s="535">
        <v>0</v>
      </c>
      <c r="K127" s="535">
        <v>0</v>
      </c>
      <c r="L127" s="535">
        <v>0</v>
      </c>
      <c r="M127" s="535">
        <v>387570</v>
      </c>
      <c r="N127" s="535">
        <v>0</v>
      </c>
      <c r="O127" s="535">
        <v>0</v>
      </c>
      <c r="P127" s="1496">
        <f t="shared" si="11"/>
        <v>1900040</v>
      </c>
      <c r="Q127" s="665">
        <f t="shared" si="13"/>
        <v>2287610</v>
      </c>
      <c r="R127" s="1044" t="s">
        <v>251</v>
      </c>
      <c r="S127" s="1045" t="s">
        <v>251</v>
      </c>
      <c r="T127" s="1045" t="s">
        <v>251</v>
      </c>
      <c r="U127" s="1045"/>
      <c r="V127" s="1045">
        <v>1680000</v>
      </c>
      <c r="W127" s="1045">
        <v>568960</v>
      </c>
      <c r="X127" s="1045">
        <v>338400</v>
      </c>
      <c r="Y127" s="1045">
        <v>89380</v>
      </c>
      <c r="Z127" s="1045"/>
      <c r="AA127" s="1045"/>
      <c r="AB127" s="1045"/>
      <c r="AC127" s="1045"/>
      <c r="AD127" s="665">
        <f t="shared" si="14"/>
        <v>2676740</v>
      </c>
      <c r="AE127" s="574">
        <f t="shared" si="15"/>
        <v>0.40878086777120481</v>
      </c>
      <c r="AF127" s="575">
        <f t="shared" si="10"/>
        <v>27</v>
      </c>
    </row>
    <row r="128" spans="1:32" x14ac:dyDescent="0.3">
      <c r="A128" s="6" t="s">
        <v>339</v>
      </c>
      <c r="B128" s="651" t="s">
        <v>346</v>
      </c>
      <c r="C128" s="493">
        <v>599440</v>
      </c>
      <c r="D128" s="535">
        <v>0</v>
      </c>
      <c r="E128" s="535">
        <v>685060</v>
      </c>
      <c r="F128" s="535">
        <v>93140</v>
      </c>
      <c r="G128" s="535">
        <v>494220</v>
      </c>
      <c r="H128" s="535">
        <v>629970</v>
      </c>
      <c r="I128" s="535">
        <v>845510</v>
      </c>
      <c r="J128" s="535">
        <v>168670</v>
      </c>
      <c r="K128" s="535">
        <v>168670</v>
      </c>
      <c r="L128" s="535">
        <v>0</v>
      </c>
      <c r="M128" s="535">
        <v>0</v>
      </c>
      <c r="N128" s="535">
        <v>0</v>
      </c>
      <c r="O128" s="535">
        <v>0</v>
      </c>
      <c r="P128" s="1496">
        <f t="shared" si="11"/>
        <v>3516010</v>
      </c>
      <c r="Q128" s="665">
        <f t="shared" si="13"/>
        <v>3516010</v>
      </c>
      <c r="R128" s="1044" t="s">
        <v>251</v>
      </c>
      <c r="S128" s="1045" t="s">
        <v>251</v>
      </c>
      <c r="T128" s="1045" t="s">
        <v>251</v>
      </c>
      <c r="U128" s="1045"/>
      <c r="V128" s="1045">
        <v>2965250</v>
      </c>
      <c r="W128" s="1045">
        <v>1786040</v>
      </c>
      <c r="X128" s="1045">
        <v>414790</v>
      </c>
      <c r="Y128" s="1045">
        <v>0</v>
      </c>
      <c r="Z128" s="1045"/>
      <c r="AA128" s="1045"/>
      <c r="AB128" s="1045"/>
      <c r="AC128" s="1045"/>
      <c r="AD128" s="665">
        <f t="shared" si="14"/>
        <v>5166080</v>
      </c>
      <c r="AE128" s="574">
        <f t="shared" si="15"/>
        <v>0.46930185067733027</v>
      </c>
      <c r="AF128" s="575">
        <f t="shared" si="10"/>
        <v>13</v>
      </c>
    </row>
    <row r="129" spans="1:32" x14ac:dyDescent="0.3">
      <c r="A129" s="6" t="s">
        <v>339</v>
      </c>
      <c r="B129" s="651" t="s">
        <v>347</v>
      </c>
      <c r="C129" s="493"/>
      <c r="D129" s="535">
        <v>0</v>
      </c>
      <c r="E129" s="535">
        <v>288960</v>
      </c>
      <c r="F129" s="535">
        <v>290040</v>
      </c>
      <c r="G129" s="535">
        <v>696990</v>
      </c>
      <c r="H129" s="535">
        <v>0</v>
      </c>
      <c r="I129" s="535">
        <v>0</v>
      </c>
      <c r="J129" s="535">
        <v>0</v>
      </c>
      <c r="K129" s="535">
        <v>0</v>
      </c>
      <c r="L129" s="535">
        <v>0</v>
      </c>
      <c r="M129" s="535">
        <v>0</v>
      </c>
      <c r="N129" s="535">
        <v>0</v>
      </c>
      <c r="O129" s="535">
        <v>0</v>
      </c>
      <c r="P129" s="1496">
        <f t="shared" si="11"/>
        <v>1275990</v>
      </c>
      <c r="Q129" s="665">
        <f t="shared" si="13"/>
        <v>1275990</v>
      </c>
      <c r="R129" s="1044" t="s">
        <v>251</v>
      </c>
      <c r="S129" s="1045" t="s">
        <v>251</v>
      </c>
      <c r="T129" s="1045" t="s">
        <v>251</v>
      </c>
      <c r="U129" s="1045"/>
      <c r="V129" s="1045"/>
      <c r="W129" s="1045"/>
      <c r="X129" s="1045"/>
      <c r="Y129" s="1045"/>
      <c r="Z129" s="1045"/>
      <c r="AA129" s="1045"/>
      <c r="AB129" s="1045"/>
      <c r="AC129" s="1045"/>
      <c r="AD129" s="665">
        <f t="shared" si="14"/>
        <v>0</v>
      </c>
      <c r="AE129" s="574">
        <f t="shared" si="15"/>
        <v>-1</v>
      </c>
      <c r="AF129" s="575">
        <f t="shared" si="10"/>
        <v>189</v>
      </c>
    </row>
    <row r="130" spans="1:32" x14ac:dyDescent="0.3">
      <c r="A130" s="6" t="s">
        <v>339</v>
      </c>
      <c r="B130" s="651" t="s">
        <v>348</v>
      </c>
      <c r="C130" s="493"/>
      <c r="D130" s="535">
        <v>0</v>
      </c>
      <c r="E130" s="535">
        <v>0</v>
      </c>
      <c r="F130" s="535">
        <v>675440</v>
      </c>
      <c r="G130" s="535">
        <v>383390</v>
      </c>
      <c r="H130" s="535">
        <v>601110</v>
      </c>
      <c r="I130" s="535">
        <v>0</v>
      </c>
      <c r="J130" s="535">
        <v>0</v>
      </c>
      <c r="K130" s="535">
        <v>0</v>
      </c>
      <c r="L130" s="535">
        <v>0</v>
      </c>
      <c r="M130" s="535">
        <v>803510</v>
      </c>
      <c r="N130" s="535">
        <v>29080</v>
      </c>
      <c r="O130" s="535">
        <v>0</v>
      </c>
      <c r="P130" s="1496">
        <f t="shared" si="11"/>
        <v>1659940</v>
      </c>
      <c r="Q130" s="665">
        <f t="shared" si="13"/>
        <v>2492530</v>
      </c>
      <c r="R130" s="1044" t="s">
        <v>251</v>
      </c>
      <c r="S130" s="1045" t="s">
        <v>251</v>
      </c>
      <c r="T130" s="1045" t="s">
        <v>251</v>
      </c>
      <c r="U130" s="1045">
        <v>767510</v>
      </c>
      <c r="V130" s="1045">
        <v>494950</v>
      </c>
      <c r="W130" s="1045">
        <v>385410</v>
      </c>
      <c r="X130" s="1045">
        <v>2216980</v>
      </c>
      <c r="Y130" s="1045">
        <v>185220</v>
      </c>
      <c r="Z130" s="1045"/>
      <c r="AA130" s="1045"/>
      <c r="AB130" s="1045"/>
      <c r="AC130" s="1045"/>
      <c r="AD130" s="665">
        <f t="shared" si="14"/>
        <v>4050070</v>
      </c>
      <c r="AE130" s="574">
        <f t="shared" si="15"/>
        <v>1.4398893935925394</v>
      </c>
      <c r="AF130" s="575">
        <f t="shared" ref="AF130:AF193" si="16">IFERROR(_xlfn.RANK.EQ(AD130, $AD$2:$AD$483), "")</f>
        <v>21</v>
      </c>
    </row>
    <row r="131" spans="1:32" x14ac:dyDescent="0.3">
      <c r="A131" s="6" t="s">
        <v>339</v>
      </c>
      <c r="B131" s="651" t="s">
        <v>349</v>
      </c>
      <c r="C131" s="493"/>
      <c r="D131" s="535" t="s">
        <v>251</v>
      </c>
      <c r="E131" s="535" t="s">
        <v>251</v>
      </c>
      <c r="F131" s="535" t="s">
        <v>251</v>
      </c>
      <c r="G131" s="535" t="s">
        <v>251</v>
      </c>
      <c r="H131" s="535" t="s">
        <v>251</v>
      </c>
      <c r="I131" s="535" t="s">
        <v>251</v>
      </c>
      <c r="J131" s="535" t="s">
        <v>251</v>
      </c>
      <c r="K131" s="535"/>
      <c r="L131" s="535" t="s">
        <v>251</v>
      </c>
      <c r="M131" s="535" t="s">
        <v>251</v>
      </c>
      <c r="N131" s="535" t="s">
        <v>251</v>
      </c>
      <c r="O131" s="535" t="s">
        <v>251</v>
      </c>
      <c r="P131" s="1496">
        <f t="shared" ref="P131:P195" si="17">SUM(C131:I131,K131)</f>
        <v>0</v>
      </c>
      <c r="Q131" s="665">
        <f t="shared" si="13"/>
        <v>0</v>
      </c>
      <c r="R131" s="1044" t="s">
        <v>251</v>
      </c>
      <c r="S131" s="1045" t="s">
        <v>251</v>
      </c>
      <c r="T131" s="1045" t="s">
        <v>251</v>
      </c>
      <c r="U131" s="1045"/>
      <c r="V131" s="1045"/>
      <c r="W131" s="1045"/>
      <c r="X131" s="1045"/>
      <c r="Y131" s="1045"/>
      <c r="Z131" s="1045"/>
      <c r="AA131" s="1045"/>
      <c r="AB131" s="1045"/>
      <c r="AC131" s="1045"/>
      <c r="AD131" s="665">
        <f t="shared" si="14"/>
        <v>0</v>
      </c>
      <c r="AE131" s="574">
        <f t="shared" si="15"/>
        <v>0</v>
      </c>
      <c r="AF131" s="575">
        <f t="shared" si="16"/>
        <v>189</v>
      </c>
    </row>
    <row r="132" spans="1:32" x14ac:dyDescent="0.3">
      <c r="A132" s="6" t="s">
        <v>339</v>
      </c>
      <c r="B132" s="651" t="s">
        <v>350</v>
      </c>
      <c r="C132" s="493"/>
      <c r="D132" s="535">
        <v>229100</v>
      </c>
      <c r="E132" s="535">
        <v>104430</v>
      </c>
      <c r="F132" s="535">
        <v>0</v>
      </c>
      <c r="G132" s="535">
        <v>0</v>
      </c>
      <c r="H132" s="535">
        <v>0</v>
      </c>
      <c r="I132" s="535">
        <v>0</v>
      </c>
      <c r="J132" s="535">
        <v>0</v>
      </c>
      <c r="K132" s="535">
        <v>0</v>
      </c>
      <c r="L132" s="535">
        <v>152920</v>
      </c>
      <c r="M132" s="535">
        <v>336560</v>
      </c>
      <c r="N132" s="535">
        <v>0</v>
      </c>
      <c r="O132" s="535">
        <v>0</v>
      </c>
      <c r="P132" s="1496">
        <f t="shared" si="17"/>
        <v>333530</v>
      </c>
      <c r="Q132" s="665">
        <f t="shared" si="13"/>
        <v>823010</v>
      </c>
      <c r="R132" s="1044" t="s">
        <v>251</v>
      </c>
      <c r="S132" s="1045" t="s">
        <v>251</v>
      </c>
      <c r="T132" s="1045">
        <v>131370</v>
      </c>
      <c r="U132" s="1045">
        <v>0</v>
      </c>
      <c r="V132" s="1045">
        <v>92910</v>
      </c>
      <c r="W132" s="1045">
        <v>469050</v>
      </c>
      <c r="X132" s="1045">
        <v>0</v>
      </c>
      <c r="Y132" s="1045">
        <v>0</v>
      </c>
      <c r="Z132" s="1045"/>
      <c r="AA132" s="1045"/>
      <c r="AB132" s="1045"/>
      <c r="AC132" s="1045"/>
      <c r="AD132" s="665">
        <f t="shared" si="14"/>
        <v>693330</v>
      </c>
      <c r="AE132" s="574">
        <f t="shared" si="15"/>
        <v>1.0787635295175846</v>
      </c>
      <c r="AF132" s="575">
        <f t="shared" si="16"/>
        <v>76</v>
      </c>
    </row>
    <row r="133" spans="1:32" x14ac:dyDescent="0.3">
      <c r="A133" s="6" t="s">
        <v>339</v>
      </c>
      <c r="B133" s="651" t="s">
        <v>351</v>
      </c>
      <c r="C133" s="493">
        <v>90270</v>
      </c>
      <c r="D133" s="535">
        <v>0</v>
      </c>
      <c r="E133" s="535">
        <v>0</v>
      </c>
      <c r="F133" s="535">
        <v>0</v>
      </c>
      <c r="G133" s="535">
        <v>0</v>
      </c>
      <c r="H133" s="535">
        <v>0</v>
      </c>
      <c r="I133" s="535">
        <v>0</v>
      </c>
      <c r="J133" s="535">
        <v>0</v>
      </c>
      <c r="K133" s="535">
        <v>0</v>
      </c>
      <c r="L133" s="535">
        <v>0</v>
      </c>
      <c r="M133" s="535">
        <v>0</v>
      </c>
      <c r="N133" s="535">
        <v>0</v>
      </c>
      <c r="O133" s="535">
        <v>0</v>
      </c>
      <c r="P133" s="1496">
        <f t="shared" si="17"/>
        <v>90270</v>
      </c>
      <c r="Q133" s="665">
        <f t="shared" si="13"/>
        <v>90270</v>
      </c>
      <c r="R133" s="1044" t="s">
        <v>251</v>
      </c>
      <c r="S133" s="1045" t="s">
        <v>251</v>
      </c>
      <c r="T133" s="1045" t="s">
        <v>251</v>
      </c>
      <c r="U133" s="1045"/>
      <c r="V133" s="1045"/>
      <c r="W133" s="1045"/>
      <c r="X133" s="1045"/>
      <c r="Y133" s="1045"/>
      <c r="Z133" s="1045"/>
      <c r="AA133" s="1045"/>
      <c r="AB133" s="1045"/>
      <c r="AC133" s="1045"/>
      <c r="AD133" s="665">
        <f t="shared" si="14"/>
        <v>0</v>
      </c>
      <c r="AE133" s="574">
        <f t="shared" si="15"/>
        <v>-1</v>
      </c>
      <c r="AF133" s="575">
        <f t="shared" si="16"/>
        <v>189</v>
      </c>
    </row>
    <row r="134" spans="1:32" x14ac:dyDescent="0.3">
      <c r="A134" s="6" t="s">
        <v>339</v>
      </c>
      <c r="B134" s="651" t="s">
        <v>352</v>
      </c>
      <c r="C134" s="493"/>
      <c r="D134" s="535" t="s">
        <v>251</v>
      </c>
      <c r="E134" s="535" t="s">
        <v>251</v>
      </c>
      <c r="F134" s="535" t="s">
        <v>251</v>
      </c>
      <c r="G134" s="535" t="s">
        <v>251</v>
      </c>
      <c r="H134" s="535" t="s">
        <v>251</v>
      </c>
      <c r="I134" s="535" t="s">
        <v>251</v>
      </c>
      <c r="J134" s="535" t="s">
        <v>251</v>
      </c>
      <c r="K134" s="535"/>
      <c r="L134" s="535" t="s">
        <v>251</v>
      </c>
      <c r="M134" s="535" t="s">
        <v>251</v>
      </c>
      <c r="N134" s="535" t="s">
        <v>251</v>
      </c>
      <c r="O134" s="535" t="s">
        <v>251</v>
      </c>
      <c r="P134" s="1496">
        <f t="shared" si="17"/>
        <v>0</v>
      </c>
      <c r="Q134" s="665">
        <f t="shared" ref="Q134:Q135" si="18">SUM(C134:J134,L134:O134)</f>
        <v>0</v>
      </c>
      <c r="R134" s="1044" t="s">
        <v>251</v>
      </c>
      <c r="S134" s="1045" t="s">
        <v>251</v>
      </c>
      <c r="T134" s="1045" t="s">
        <v>251</v>
      </c>
      <c r="U134" s="1045">
        <v>1518730</v>
      </c>
      <c r="V134" s="1045">
        <v>0</v>
      </c>
      <c r="W134" s="1045">
        <v>0</v>
      </c>
      <c r="X134" s="1045">
        <v>0</v>
      </c>
      <c r="Y134" s="1045">
        <v>0</v>
      </c>
      <c r="Z134" s="1045"/>
      <c r="AA134" s="1045"/>
      <c r="AB134" s="1045"/>
      <c r="AC134" s="1045"/>
      <c r="AD134" s="665">
        <f>SUM(R134:AC134)</f>
        <v>1518730</v>
      </c>
      <c r="AE134" s="574">
        <f>IF(OR(AD134="", P134=""), 0, IFERROR((AD134-P134)/P134, IF(AD134&lt;&gt;0, 1, 0)))</f>
        <v>1</v>
      </c>
      <c r="AF134" s="575">
        <f t="shared" si="16"/>
        <v>44</v>
      </c>
    </row>
    <row r="135" spans="1:32" x14ac:dyDescent="0.3">
      <c r="A135" s="6" t="s">
        <v>339</v>
      </c>
      <c r="B135" s="651" t="s">
        <v>353</v>
      </c>
      <c r="C135" s="493"/>
      <c r="D135" s="535" t="s">
        <v>251</v>
      </c>
      <c r="E135" s="535" t="s">
        <v>251</v>
      </c>
      <c r="F135" s="535" t="s">
        <v>251</v>
      </c>
      <c r="G135" s="535" t="s">
        <v>251</v>
      </c>
      <c r="H135" s="535" t="s">
        <v>251</v>
      </c>
      <c r="I135" s="535" t="s">
        <v>251</v>
      </c>
      <c r="J135" s="535" t="s">
        <v>251</v>
      </c>
      <c r="K135" s="535"/>
      <c r="L135" s="535" t="s">
        <v>251</v>
      </c>
      <c r="M135" s="535" t="s">
        <v>251</v>
      </c>
      <c r="N135" s="535" t="s">
        <v>251</v>
      </c>
      <c r="O135" s="535" t="s">
        <v>251</v>
      </c>
      <c r="P135" s="1496">
        <f t="shared" si="17"/>
        <v>0</v>
      </c>
      <c r="Q135" s="665">
        <f t="shared" si="18"/>
        <v>0</v>
      </c>
      <c r="R135" s="1044" t="s">
        <v>251</v>
      </c>
      <c r="S135" s="1045" t="s">
        <v>251</v>
      </c>
      <c r="T135" s="1045" t="s">
        <v>251</v>
      </c>
      <c r="U135" s="1045"/>
      <c r="V135" s="1045"/>
      <c r="W135" s="1045"/>
      <c r="X135" s="1045"/>
      <c r="Y135" s="1045"/>
      <c r="Z135" s="1045"/>
      <c r="AA135" s="1045"/>
      <c r="AB135" s="1045"/>
      <c r="AC135" s="1045"/>
      <c r="AD135" s="665">
        <f t="shared" ref="AD135:AD201" si="19">SUM(R135:AC135)</f>
        <v>0</v>
      </c>
      <c r="AE135" s="574">
        <f t="shared" ref="AE135:AE200" si="20">IF(OR(AD135="", P135=""), 0, IFERROR((AD135-P135)/P135, IF(AD135&lt;&gt;0, 1, 0)))</f>
        <v>0</v>
      </c>
      <c r="AF135" s="575">
        <f t="shared" si="16"/>
        <v>189</v>
      </c>
    </row>
    <row r="136" spans="1:32" x14ac:dyDescent="0.3">
      <c r="A136" s="6" t="s">
        <v>339</v>
      </c>
      <c r="B136" s="651" t="s">
        <v>354</v>
      </c>
      <c r="C136" s="493"/>
      <c r="D136" s="535" t="s">
        <v>251</v>
      </c>
      <c r="E136" s="535" t="s">
        <v>251</v>
      </c>
      <c r="F136" s="535" t="s">
        <v>251</v>
      </c>
      <c r="G136" s="535" t="s">
        <v>251</v>
      </c>
      <c r="H136" s="535" t="s">
        <v>251</v>
      </c>
      <c r="I136" s="535" t="s">
        <v>251</v>
      </c>
      <c r="J136" s="535" t="s">
        <v>251</v>
      </c>
      <c r="K136" s="535"/>
      <c r="L136" s="535" t="s">
        <v>251</v>
      </c>
      <c r="M136" s="535" t="s">
        <v>251</v>
      </c>
      <c r="N136" s="535" t="s">
        <v>251</v>
      </c>
      <c r="O136" s="535" t="s">
        <v>251</v>
      </c>
      <c r="P136" s="1496">
        <f t="shared" si="17"/>
        <v>0</v>
      </c>
      <c r="Q136" s="665">
        <f>SUM(C136:J136,L136:O136)</f>
        <v>0</v>
      </c>
      <c r="R136" s="1044" t="s">
        <v>251</v>
      </c>
      <c r="S136" s="1045" t="s">
        <v>251</v>
      </c>
      <c r="T136" s="1045" t="s">
        <v>251</v>
      </c>
      <c r="U136" s="1045"/>
      <c r="V136" s="1045"/>
      <c r="W136" s="1045"/>
      <c r="X136" s="1045"/>
      <c r="Y136" s="1045"/>
      <c r="Z136" s="1045"/>
      <c r="AA136" s="1045"/>
      <c r="AB136" s="1045"/>
      <c r="AC136" s="1045"/>
      <c r="AD136" s="665">
        <f t="shared" si="19"/>
        <v>0</v>
      </c>
      <c r="AE136" s="574">
        <f t="shared" si="20"/>
        <v>0</v>
      </c>
      <c r="AF136" s="575">
        <f t="shared" si="16"/>
        <v>189</v>
      </c>
    </row>
    <row r="137" spans="1:32" x14ac:dyDescent="0.3">
      <c r="A137" s="6" t="s">
        <v>339</v>
      </c>
      <c r="B137" s="651" t="s">
        <v>355</v>
      </c>
      <c r="C137" s="493"/>
      <c r="D137" s="535" t="s">
        <v>251</v>
      </c>
      <c r="E137" s="535" t="s">
        <v>251</v>
      </c>
      <c r="F137" s="535" t="s">
        <v>251</v>
      </c>
      <c r="G137" s="535" t="s">
        <v>251</v>
      </c>
      <c r="H137" s="535" t="s">
        <v>251</v>
      </c>
      <c r="I137" s="535" t="s">
        <v>251</v>
      </c>
      <c r="J137" s="535" t="s">
        <v>251</v>
      </c>
      <c r="K137" s="535"/>
      <c r="L137" s="535" t="s">
        <v>251</v>
      </c>
      <c r="M137" s="535" t="s">
        <v>251</v>
      </c>
      <c r="N137" s="535" t="s">
        <v>251</v>
      </c>
      <c r="O137" s="535" t="s">
        <v>251</v>
      </c>
      <c r="P137" s="1496">
        <f t="shared" si="17"/>
        <v>0</v>
      </c>
      <c r="Q137" s="665">
        <f t="shared" ref="Q137:Q201" si="21">SUM(C137:J137,L137:O137)</f>
        <v>0</v>
      </c>
      <c r="R137" s="1044" t="s">
        <v>251</v>
      </c>
      <c r="S137" s="1045" t="s">
        <v>251</v>
      </c>
      <c r="T137" s="1045" t="s">
        <v>251</v>
      </c>
      <c r="U137" s="1045"/>
      <c r="V137" s="1045"/>
      <c r="W137" s="1045"/>
      <c r="X137" s="1045"/>
      <c r="Y137" s="1045"/>
      <c r="Z137" s="1045"/>
      <c r="AA137" s="1045"/>
      <c r="AB137" s="1045"/>
      <c r="AC137" s="1045"/>
      <c r="AD137" s="665">
        <f t="shared" si="19"/>
        <v>0</v>
      </c>
      <c r="AE137" s="574">
        <f t="shared" si="20"/>
        <v>0</v>
      </c>
      <c r="AF137" s="575">
        <f t="shared" si="16"/>
        <v>189</v>
      </c>
    </row>
    <row r="138" spans="1:32" x14ac:dyDescent="0.3">
      <c r="A138" s="6" t="s">
        <v>339</v>
      </c>
      <c r="B138" s="651" t="s">
        <v>356</v>
      </c>
      <c r="C138" s="493"/>
      <c r="D138" s="535">
        <v>0</v>
      </c>
      <c r="E138" s="535">
        <v>0</v>
      </c>
      <c r="F138" s="535">
        <v>713990</v>
      </c>
      <c r="G138" s="535">
        <v>40380</v>
      </c>
      <c r="H138" s="535">
        <v>468050</v>
      </c>
      <c r="I138" s="535">
        <v>0</v>
      </c>
      <c r="J138" s="535">
        <v>0</v>
      </c>
      <c r="K138" s="535">
        <v>0</v>
      </c>
      <c r="L138" s="535">
        <v>0</v>
      </c>
      <c r="M138" s="535">
        <v>0</v>
      </c>
      <c r="N138" s="535">
        <v>0</v>
      </c>
      <c r="O138" s="535">
        <v>0</v>
      </c>
      <c r="P138" s="1496">
        <f t="shared" si="17"/>
        <v>1222420</v>
      </c>
      <c r="Q138" s="665">
        <f t="shared" si="21"/>
        <v>1222420</v>
      </c>
      <c r="R138" s="1044" t="s">
        <v>251</v>
      </c>
      <c r="S138" s="1045" t="s">
        <v>251</v>
      </c>
      <c r="T138" s="1045">
        <v>97990</v>
      </c>
      <c r="U138" s="1045">
        <v>429350</v>
      </c>
      <c r="V138" s="1045">
        <v>0</v>
      </c>
      <c r="W138" s="1045">
        <v>0</v>
      </c>
      <c r="X138" s="1045">
        <v>0</v>
      </c>
      <c r="Y138" s="1045">
        <v>0</v>
      </c>
      <c r="Z138" s="1045"/>
      <c r="AA138" s="1045"/>
      <c r="AB138" s="1045"/>
      <c r="AC138" s="1045"/>
      <c r="AD138" s="665">
        <f t="shared" si="19"/>
        <v>527340</v>
      </c>
      <c r="AE138" s="574">
        <f t="shared" si="20"/>
        <v>-0.56860980677672157</v>
      </c>
      <c r="AF138" s="575">
        <f t="shared" si="16"/>
        <v>88</v>
      </c>
    </row>
    <row r="139" spans="1:32" x14ac:dyDescent="0.3">
      <c r="A139" s="6" t="s">
        <v>339</v>
      </c>
      <c r="B139" s="651" t="s">
        <v>357</v>
      </c>
      <c r="C139" s="493"/>
      <c r="D139" s="535">
        <v>0</v>
      </c>
      <c r="E139" s="535">
        <v>0</v>
      </c>
      <c r="F139" s="535">
        <v>0</v>
      </c>
      <c r="G139" s="535">
        <v>0</v>
      </c>
      <c r="H139" s="535">
        <v>0</v>
      </c>
      <c r="I139" s="535">
        <v>0</v>
      </c>
      <c r="J139" s="535">
        <v>0</v>
      </c>
      <c r="K139" s="535"/>
      <c r="L139" s="535">
        <v>131720</v>
      </c>
      <c r="M139" s="535">
        <v>0</v>
      </c>
      <c r="N139" s="535">
        <v>0</v>
      </c>
      <c r="O139" s="535">
        <v>0</v>
      </c>
      <c r="P139" s="1496">
        <f t="shared" si="17"/>
        <v>0</v>
      </c>
      <c r="Q139" s="665">
        <f t="shared" si="21"/>
        <v>131720</v>
      </c>
      <c r="R139" s="1044" t="s">
        <v>251</v>
      </c>
      <c r="S139" s="1045" t="s">
        <v>251</v>
      </c>
      <c r="T139" s="1045" t="s">
        <v>251</v>
      </c>
      <c r="U139" s="1045"/>
      <c r="V139" s="1045"/>
      <c r="W139" s="1045"/>
      <c r="X139" s="1045"/>
      <c r="Y139" s="1045"/>
      <c r="Z139" s="1045"/>
      <c r="AA139" s="1045"/>
      <c r="AB139" s="1045"/>
      <c r="AC139" s="1045"/>
      <c r="AD139" s="665">
        <f t="shared" si="19"/>
        <v>0</v>
      </c>
      <c r="AE139" s="574">
        <f t="shared" si="20"/>
        <v>0</v>
      </c>
      <c r="AF139" s="575">
        <f t="shared" si="16"/>
        <v>189</v>
      </c>
    </row>
    <row r="140" spans="1:32" x14ac:dyDescent="0.3">
      <c r="A140" s="6" t="s">
        <v>339</v>
      </c>
      <c r="B140" s="651" t="s">
        <v>510</v>
      </c>
      <c r="C140" s="493"/>
      <c r="D140" s="535" t="s">
        <v>251</v>
      </c>
      <c r="E140" s="535" t="s">
        <v>251</v>
      </c>
      <c r="F140" s="535" t="s">
        <v>251</v>
      </c>
      <c r="G140" s="535" t="s">
        <v>251</v>
      </c>
      <c r="H140" s="535" t="s">
        <v>251</v>
      </c>
      <c r="I140" s="535" t="s">
        <v>251</v>
      </c>
      <c r="J140" s="535" t="s">
        <v>251</v>
      </c>
      <c r="K140" s="535"/>
      <c r="L140" s="535" t="s">
        <v>251</v>
      </c>
      <c r="M140" s="535" t="s">
        <v>251</v>
      </c>
      <c r="N140" s="535" t="s">
        <v>251</v>
      </c>
      <c r="O140" s="535" t="s">
        <v>251</v>
      </c>
      <c r="P140" s="1496">
        <f t="shared" si="17"/>
        <v>0</v>
      </c>
      <c r="Q140" s="665">
        <f t="shared" si="21"/>
        <v>0</v>
      </c>
      <c r="R140" s="1044" t="s">
        <v>251</v>
      </c>
      <c r="S140" s="1045" t="s">
        <v>251</v>
      </c>
      <c r="T140" s="1045" t="s">
        <v>251</v>
      </c>
      <c r="U140" s="1045"/>
      <c r="V140" s="1045"/>
      <c r="W140" s="1045"/>
      <c r="X140" s="1045"/>
      <c r="Y140" s="1045"/>
      <c r="Z140" s="1045"/>
      <c r="AA140" s="1045"/>
      <c r="AB140" s="1045"/>
      <c r="AC140" s="1045"/>
      <c r="AD140" s="665">
        <f t="shared" si="19"/>
        <v>0</v>
      </c>
      <c r="AE140" s="574">
        <f t="shared" si="20"/>
        <v>0</v>
      </c>
      <c r="AF140" s="575">
        <f t="shared" si="16"/>
        <v>189</v>
      </c>
    </row>
    <row r="141" spans="1:32" x14ac:dyDescent="0.3">
      <c r="A141" s="6" t="s">
        <v>339</v>
      </c>
      <c r="B141" s="651" t="s">
        <v>2579</v>
      </c>
      <c r="C141" s="493"/>
      <c r="D141" s="535"/>
      <c r="E141" s="535"/>
      <c r="F141" s="535"/>
      <c r="G141" s="535"/>
      <c r="H141" s="535"/>
      <c r="I141" s="535"/>
      <c r="J141" s="535"/>
      <c r="K141" s="535"/>
      <c r="L141" s="535"/>
      <c r="M141" s="535"/>
      <c r="N141" s="535"/>
      <c r="O141" s="535"/>
      <c r="P141" s="1496">
        <f t="shared" si="17"/>
        <v>0</v>
      </c>
      <c r="Q141" s="665">
        <f t="shared" si="21"/>
        <v>0</v>
      </c>
      <c r="R141" s="1044"/>
      <c r="S141" s="1045">
        <v>373780</v>
      </c>
      <c r="T141" s="1045">
        <v>1118270</v>
      </c>
      <c r="U141" s="1045">
        <v>215150</v>
      </c>
      <c r="V141" s="1045">
        <v>0</v>
      </c>
      <c r="W141" s="1045">
        <v>0</v>
      </c>
      <c r="X141" s="1045">
        <v>1248170</v>
      </c>
      <c r="Y141" s="1045">
        <v>0</v>
      </c>
      <c r="Z141" s="1045"/>
      <c r="AA141" s="1045"/>
      <c r="AB141" s="1045"/>
      <c r="AC141" s="1045"/>
      <c r="AD141" s="665">
        <f t="shared" si="19"/>
        <v>2955370</v>
      </c>
      <c r="AE141" s="574">
        <f t="shared" si="20"/>
        <v>1</v>
      </c>
      <c r="AF141" s="575">
        <f t="shared" si="16"/>
        <v>24</v>
      </c>
    </row>
    <row r="142" spans="1:32" x14ac:dyDescent="0.3">
      <c r="A142" s="6" t="s">
        <v>339</v>
      </c>
      <c r="B142" s="651" t="s">
        <v>2731</v>
      </c>
      <c r="C142" s="493"/>
      <c r="D142" s="535"/>
      <c r="E142" s="535"/>
      <c r="F142" s="535"/>
      <c r="G142" s="535"/>
      <c r="H142" s="535"/>
      <c r="I142" s="535"/>
      <c r="J142" s="535"/>
      <c r="K142" s="535"/>
      <c r="L142" s="535"/>
      <c r="M142" s="535"/>
      <c r="N142" s="535"/>
      <c r="O142" s="535"/>
      <c r="P142" s="1496">
        <f t="shared" si="17"/>
        <v>0</v>
      </c>
      <c r="Q142" s="665">
        <f t="shared" si="21"/>
        <v>0</v>
      </c>
      <c r="R142" s="1044"/>
      <c r="S142" s="1045"/>
      <c r="T142" s="1045"/>
      <c r="U142" s="1045">
        <v>515050</v>
      </c>
      <c r="V142" s="1045">
        <v>0</v>
      </c>
      <c r="W142" s="1045">
        <v>848890</v>
      </c>
      <c r="X142" s="1045">
        <v>0</v>
      </c>
      <c r="Y142" s="1045">
        <v>0</v>
      </c>
      <c r="Z142" s="1045"/>
      <c r="AA142" s="1045"/>
      <c r="AB142" s="1045"/>
      <c r="AC142" s="1045"/>
      <c r="AD142" s="665">
        <f t="shared" si="19"/>
        <v>1363940</v>
      </c>
      <c r="AE142" s="574">
        <f t="shared" si="20"/>
        <v>1</v>
      </c>
      <c r="AF142" s="575">
        <f t="shared" si="16"/>
        <v>47</v>
      </c>
    </row>
    <row r="143" spans="1:32" x14ac:dyDescent="0.3">
      <c r="A143" s="6" t="s">
        <v>339</v>
      </c>
      <c r="B143" s="651" t="s">
        <v>2935</v>
      </c>
      <c r="C143" s="493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5"/>
      <c r="P143" s="1496">
        <f t="shared" si="17"/>
        <v>0</v>
      </c>
      <c r="Q143" s="665">
        <f t="shared" si="21"/>
        <v>0</v>
      </c>
      <c r="R143" s="1044"/>
      <c r="S143" s="1045"/>
      <c r="T143" s="1045"/>
      <c r="U143" s="1045"/>
      <c r="V143" s="1045"/>
      <c r="W143" s="1045"/>
      <c r="X143" s="1045">
        <v>369800</v>
      </c>
      <c r="Y143" s="1045">
        <v>0</v>
      </c>
      <c r="Z143" s="1045"/>
      <c r="AA143" s="1045"/>
      <c r="AB143" s="1045"/>
      <c r="AC143" s="1045"/>
      <c r="AD143" s="665">
        <f t="shared" si="19"/>
        <v>369800</v>
      </c>
      <c r="AE143" s="574">
        <f t="shared" si="20"/>
        <v>1</v>
      </c>
      <c r="AF143" s="575">
        <f t="shared" si="16"/>
        <v>105</v>
      </c>
    </row>
    <row r="144" spans="1:32" x14ac:dyDescent="0.3">
      <c r="A144" s="6" t="s">
        <v>339</v>
      </c>
      <c r="B144" s="651" t="s">
        <v>3012</v>
      </c>
      <c r="C144" s="493"/>
      <c r="D144" s="535"/>
      <c r="E144" s="535"/>
      <c r="F144" s="535"/>
      <c r="G144" s="535"/>
      <c r="H144" s="535"/>
      <c r="I144" s="535"/>
      <c r="J144" s="535"/>
      <c r="K144" s="535"/>
      <c r="L144" s="535"/>
      <c r="M144" s="535"/>
      <c r="N144" s="535"/>
      <c r="O144" s="535"/>
      <c r="P144" s="1496">
        <f t="shared" si="17"/>
        <v>0</v>
      </c>
      <c r="Q144" s="665">
        <f t="shared" si="21"/>
        <v>0</v>
      </c>
      <c r="R144" s="1044"/>
      <c r="S144" s="1045"/>
      <c r="T144" s="1045"/>
      <c r="U144" s="1045"/>
      <c r="V144" s="1045"/>
      <c r="W144" s="1045"/>
      <c r="X144" s="1045"/>
      <c r="Y144" s="1045">
        <v>303920</v>
      </c>
      <c r="Z144" s="1045"/>
      <c r="AA144" s="1045"/>
      <c r="AB144" s="1045"/>
      <c r="AC144" s="1045"/>
      <c r="AD144" s="665">
        <f t="shared" si="19"/>
        <v>303920</v>
      </c>
      <c r="AE144" s="574">
        <f t="shared" si="20"/>
        <v>1</v>
      </c>
      <c r="AF144" s="575">
        <f t="shared" si="16"/>
        <v>116</v>
      </c>
    </row>
    <row r="145" spans="1:32" x14ac:dyDescent="0.3">
      <c r="A145" s="7" t="s">
        <v>358</v>
      </c>
      <c r="B145" s="652" t="s">
        <v>576</v>
      </c>
      <c r="C145" s="494">
        <v>1043890</v>
      </c>
      <c r="D145" s="536">
        <v>2050930</v>
      </c>
      <c r="E145" s="536">
        <v>0</v>
      </c>
      <c r="F145" s="536">
        <v>3400190</v>
      </c>
      <c r="G145" s="536">
        <v>1093760</v>
      </c>
      <c r="H145" s="536">
        <v>2843960</v>
      </c>
      <c r="I145" s="536">
        <v>0</v>
      </c>
      <c r="J145" s="536">
        <v>0</v>
      </c>
      <c r="K145" s="536">
        <v>0</v>
      </c>
      <c r="L145" s="536">
        <v>0</v>
      </c>
      <c r="M145" s="536">
        <v>0</v>
      </c>
      <c r="N145" s="536">
        <v>0</v>
      </c>
      <c r="O145" s="536">
        <v>1918820</v>
      </c>
      <c r="P145" s="1496">
        <f t="shared" si="17"/>
        <v>10432730</v>
      </c>
      <c r="Q145" s="666">
        <f t="shared" si="21"/>
        <v>12351550</v>
      </c>
      <c r="R145" s="1046">
        <v>1462960</v>
      </c>
      <c r="S145" s="1047">
        <v>1464550</v>
      </c>
      <c r="T145" s="1047">
        <v>1322950</v>
      </c>
      <c r="U145" s="1047">
        <v>0</v>
      </c>
      <c r="V145" s="1047">
        <v>1654300</v>
      </c>
      <c r="W145" s="1047">
        <v>1928810</v>
      </c>
      <c r="X145" s="1047">
        <v>0</v>
      </c>
      <c r="Y145" s="1047">
        <v>0</v>
      </c>
      <c r="Z145" s="1047"/>
      <c r="AA145" s="1047"/>
      <c r="AB145" s="1047"/>
      <c r="AC145" s="1047"/>
      <c r="AD145" s="666">
        <f t="shared" si="19"/>
        <v>7833570</v>
      </c>
      <c r="AE145" s="576">
        <f t="shared" si="20"/>
        <v>-0.24913517363144641</v>
      </c>
      <c r="AF145" s="577">
        <f t="shared" si="16"/>
        <v>8</v>
      </c>
    </row>
    <row r="146" spans="1:32" x14ac:dyDescent="0.3">
      <c r="A146" s="7" t="s">
        <v>358</v>
      </c>
      <c r="B146" s="652" t="s">
        <v>359</v>
      </c>
      <c r="C146" s="494"/>
      <c r="D146" s="536">
        <v>0</v>
      </c>
      <c r="E146" s="536">
        <v>926450</v>
      </c>
      <c r="F146" s="536">
        <v>893490</v>
      </c>
      <c r="G146" s="536">
        <v>1340720</v>
      </c>
      <c r="H146" s="536">
        <v>2887040</v>
      </c>
      <c r="I146" s="536">
        <v>1258220</v>
      </c>
      <c r="J146" s="536">
        <v>1846400</v>
      </c>
      <c r="K146" s="536">
        <v>1846400</v>
      </c>
      <c r="L146" s="536">
        <v>1290280</v>
      </c>
      <c r="M146" s="536">
        <v>0</v>
      </c>
      <c r="N146" s="536">
        <v>0</v>
      </c>
      <c r="O146" s="536">
        <v>279770</v>
      </c>
      <c r="P146" s="1496">
        <f t="shared" si="17"/>
        <v>9152320</v>
      </c>
      <c r="Q146" s="666">
        <f t="shared" si="21"/>
        <v>10722370</v>
      </c>
      <c r="R146" s="1046" t="s">
        <v>251</v>
      </c>
      <c r="S146" s="1047" t="s">
        <v>251</v>
      </c>
      <c r="T146" s="1047" t="s">
        <v>251</v>
      </c>
      <c r="U146" s="1047"/>
      <c r="V146" s="1047"/>
      <c r="W146" s="1047"/>
      <c r="X146" s="1047"/>
      <c r="Y146" s="1047"/>
      <c r="Z146" s="1047"/>
      <c r="AA146" s="1047"/>
      <c r="AB146" s="1047"/>
      <c r="AC146" s="1047"/>
      <c r="AD146" s="666">
        <f t="shared" si="19"/>
        <v>0</v>
      </c>
      <c r="AE146" s="576">
        <f t="shared" si="20"/>
        <v>-1</v>
      </c>
      <c r="AF146" s="577">
        <f t="shared" si="16"/>
        <v>189</v>
      </c>
    </row>
    <row r="147" spans="1:32" x14ac:dyDescent="0.3">
      <c r="A147" s="7" t="s">
        <v>358</v>
      </c>
      <c r="B147" s="652" t="s">
        <v>360</v>
      </c>
      <c r="C147" s="494">
        <v>87640</v>
      </c>
      <c r="D147" s="536">
        <v>0</v>
      </c>
      <c r="E147" s="536">
        <v>454610</v>
      </c>
      <c r="F147" s="536">
        <v>1567130</v>
      </c>
      <c r="G147" s="536">
        <v>426830</v>
      </c>
      <c r="H147" s="536">
        <v>395240</v>
      </c>
      <c r="I147" s="536">
        <v>0</v>
      </c>
      <c r="J147" s="536">
        <v>83730</v>
      </c>
      <c r="K147" s="536">
        <v>83730</v>
      </c>
      <c r="L147" s="536">
        <v>139270</v>
      </c>
      <c r="M147" s="536">
        <v>0</v>
      </c>
      <c r="N147" s="536">
        <v>6538710</v>
      </c>
      <c r="O147" s="536">
        <v>0</v>
      </c>
      <c r="P147" s="1496">
        <f t="shared" si="17"/>
        <v>3015180</v>
      </c>
      <c r="Q147" s="666">
        <f t="shared" si="21"/>
        <v>9693160</v>
      </c>
      <c r="R147" s="1046" t="s">
        <v>251</v>
      </c>
      <c r="S147" s="1047" t="s">
        <v>251</v>
      </c>
      <c r="T147" s="1047" t="s">
        <v>251</v>
      </c>
      <c r="U147" s="1047"/>
      <c r="V147" s="1047"/>
      <c r="W147" s="1047"/>
      <c r="X147" s="1047"/>
      <c r="Y147" s="1047"/>
      <c r="Z147" s="1047"/>
      <c r="AA147" s="1047"/>
      <c r="AB147" s="1047"/>
      <c r="AC147" s="1047"/>
      <c r="AD147" s="666">
        <f t="shared" si="19"/>
        <v>0</v>
      </c>
      <c r="AE147" s="576">
        <f t="shared" si="20"/>
        <v>-1</v>
      </c>
      <c r="AF147" s="577">
        <f t="shared" si="16"/>
        <v>189</v>
      </c>
    </row>
    <row r="148" spans="1:32" x14ac:dyDescent="0.3">
      <c r="A148" s="7" t="s">
        <v>358</v>
      </c>
      <c r="B148" s="652" t="s">
        <v>361</v>
      </c>
      <c r="C148" s="494"/>
      <c r="D148" s="536">
        <v>504410</v>
      </c>
      <c r="E148" s="536">
        <v>123540</v>
      </c>
      <c r="F148" s="536">
        <v>0</v>
      </c>
      <c r="G148" s="536">
        <v>454810</v>
      </c>
      <c r="H148" s="536">
        <v>0</v>
      </c>
      <c r="I148" s="536">
        <v>1866220</v>
      </c>
      <c r="J148" s="536">
        <v>296920</v>
      </c>
      <c r="K148" s="536">
        <v>296920</v>
      </c>
      <c r="L148" s="536">
        <v>0</v>
      </c>
      <c r="M148" s="536">
        <v>0</v>
      </c>
      <c r="N148" s="536">
        <v>0</v>
      </c>
      <c r="O148" s="536">
        <v>281940</v>
      </c>
      <c r="P148" s="1496">
        <f t="shared" si="17"/>
        <v>3245900</v>
      </c>
      <c r="Q148" s="666">
        <f t="shared" si="21"/>
        <v>3527840</v>
      </c>
      <c r="R148" s="1046">
        <v>154560</v>
      </c>
      <c r="S148" s="1047" t="s">
        <v>251</v>
      </c>
      <c r="T148" s="1047">
        <v>303070</v>
      </c>
      <c r="U148" s="1047">
        <v>156960</v>
      </c>
      <c r="V148" s="1047">
        <v>0</v>
      </c>
      <c r="W148" s="1047">
        <v>0</v>
      </c>
      <c r="X148" s="1047">
        <v>0</v>
      </c>
      <c r="Y148" s="1047">
        <v>493740</v>
      </c>
      <c r="Z148" s="1047"/>
      <c r="AA148" s="1047"/>
      <c r="AB148" s="1047"/>
      <c r="AC148" s="1047"/>
      <c r="AD148" s="666">
        <f t="shared" si="19"/>
        <v>1108330</v>
      </c>
      <c r="AE148" s="576">
        <f t="shared" si="20"/>
        <v>-0.65854462552758863</v>
      </c>
      <c r="AF148" s="577">
        <f t="shared" si="16"/>
        <v>50</v>
      </c>
    </row>
    <row r="149" spans="1:32" x14ac:dyDescent="0.3">
      <c r="A149" s="7" t="s">
        <v>358</v>
      </c>
      <c r="B149" s="652" t="s">
        <v>577</v>
      </c>
      <c r="C149" s="494">
        <v>144130</v>
      </c>
      <c r="D149" s="536">
        <v>85830</v>
      </c>
      <c r="E149" s="536">
        <v>128120</v>
      </c>
      <c r="F149" s="536">
        <v>92110</v>
      </c>
      <c r="G149" s="536">
        <v>536560</v>
      </c>
      <c r="H149" s="536">
        <v>218650</v>
      </c>
      <c r="I149" s="536">
        <v>0</v>
      </c>
      <c r="J149" s="536">
        <v>221920</v>
      </c>
      <c r="K149" s="536">
        <v>221920</v>
      </c>
      <c r="L149" s="536">
        <v>55740</v>
      </c>
      <c r="M149" s="536">
        <v>190360</v>
      </c>
      <c r="N149" s="536">
        <v>318460</v>
      </c>
      <c r="O149" s="536">
        <v>571960</v>
      </c>
      <c r="P149" s="1496">
        <f t="shared" si="17"/>
        <v>1427320</v>
      </c>
      <c r="Q149" s="666">
        <f t="shared" si="21"/>
        <v>2563840</v>
      </c>
      <c r="R149" s="1046">
        <v>205380</v>
      </c>
      <c r="S149" s="1047">
        <v>339520</v>
      </c>
      <c r="T149" s="1047">
        <v>29790</v>
      </c>
      <c r="U149" s="1047">
        <v>444000</v>
      </c>
      <c r="V149" s="1047">
        <v>239200</v>
      </c>
      <c r="W149" s="1047">
        <v>81770</v>
      </c>
      <c r="X149" s="1047">
        <v>0</v>
      </c>
      <c r="Y149" s="1047">
        <v>730800</v>
      </c>
      <c r="Z149" s="1047"/>
      <c r="AA149" s="1047"/>
      <c r="AB149" s="1047"/>
      <c r="AC149" s="1047"/>
      <c r="AD149" s="666">
        <f t="shared" si="19"/>
        <v>2070460</v>
      </c>
      <c r="AE149" s="576">
        <f t="shared" si="20"/>
        <v>0.45059271922203853</v>
      </c>
      <c r="AF149" s="577">
        <f t="shared" si="16"/>
        <v>32</v>
      </c>
    </row>
    <row r="150" spans="1:32" x14ac:dyDescent="0.3">
      <c r="A150" s="7" t="s">
        <v>358</v>
      </c>
      <c r="B150" s="652" t="s">
        <v>578</v>
      </c>
      <c r="C150" s="494">
        <v>289730</v>
      </c>
      <c r="D150" s="536">
        <v>203360</v>
      </c>
      <c r="E150" s="536">
        <v>286360</v>
      </c>
      <c r="F150" s="536">
        <v>28530</v>
      </c>
      <c r="G150" s="536">
        <v>0</v>
      </c>
      <c r="H150" s="536">
        <v>0</v>
      </c>
      <c r="I150" s="536">
        <v>0</v>
      </c>
      <c r="J150" s="536">
        <v>0</v>
      </c>
      <c r="K150" s="536">
        <v>0</v>
      </c>
      <c r="L150" s="536">
        <v>275930</v>
      </c>
      <c r="M150" s="536">
        <v>0</v>
      </c>
      <c r="N150" s="536">
        <v>0</v>
      </c>
      <c r="O150" s="536">
        <v>0</v>
      </c>
      <c r="P150" s="1496">
        <f t="shared" si="17"/>
        <v>807980</v>
      </c>
      <c r="Q150" s="666">
        <f t="shared" si="21"/>
        <v>1083910</v>
      </c>
      <c r="R150" s="1046" t="s">
        <v>251</v>
      </c>
      <c r="S150" s="1047">
        <v>348830</v>
      </c>
      <c r="T150" s="1047">
        <v>148950</v>
      </c>
      <c r="U150" s="1047">
        <v>0</v>
      </c>
      <c r="V150" s="1047">
        <v>0</v>
      </c>
      <c r="W150" s="1047">
        <v>0</v>
      </c>
      <c r="X150" s="1047">
        <v>0</v>
      </c>
      <c r="Y150" s="1047">
        <v>0</v>
      </c>
      <c r="Z150" s="1047"/>
      <c r="AA150" s="1047"/>
      <c r="AB150" s="1047"/>
      <c r="AC150" s="1047"/>
      <c r="AD150" s="666">
        <f t="shared" si="19"/>
        <v>497780</v>
      </c>
      <c r="AE150" s="576">
        <f t="shared" si="20"/>
        <v>-0.38392039406916012</v>
      </c>
      <c r="AF150" s="577">
        <f t="shared" si="16"/>
        <v>93</v>
      </c>
    </row>
    <row r="151" spans="1:32" x14ac:dyDescent="0.3">
      <c r="A151" s="7" t="s">
        <v>358</v>
      </c>
      <c r="B151" s="652" t="s">
        <v>579</v>
      </c>
      <c r="C151" s="494"/>
      <c r="D151" s="536">
        <v>0</v>
      </c>
      <c r="E151" s="536">
        <v>0</v>
      </c>
      <c r="F151" s="536">
        <v>0</v>
      </c>
      <c r="G151" s="536">
        <v>699210</v>
      </c>
      <c r="H151" s="536">
        <v>172690</v>
      </c>
      <c r="I151" s="536">
        <v>0</v>
      </c>
      <c r="J151" s="536">
        <v>0</v>
      </c>
      <c r="K151" s="536">
        <v>0</v>
      </c>
      <c r="L151" s="536">
        <v>116560</v>
      </c>
      <c r="M151" s="536">
        <v>0</v>
      </c>
      <c r="N151" s="536">
        <v>0</v>
      </c>
      <c r="O151" s="536">
        <v>0</v>
      </c>
      <c r="P151" s="1496">
        <f t="shared" si="17"/>
        <v>871900</v>
      </c>
      <c r="Q151" s="666">
        <f t="shared" si="21"/>
        <v>988460</v>
      </c>
      <c r="R151" s="1046" t="s">
        <v>251</v>
      </c>
      <c r="S151" s="1047">
        <v>370410</v>
      </c>
      <c r="T151" s="1047">
        <v>160480</v>
      </c>
      <c r="U151" s="1047">
        <v>0</v>
      </c>
      <c r="V151" s="1047">
        <v>0</v>
      </c>
      <c r="W151" s="1047">
        <v>0</v>
      </c>
      <c r="X151" s="1047">
        <v>30530</v>
      </c>
      <c r="Y151" s="1047">
        <v>28590</v>
      </c>
      <c r="Z151" s="1047"/>
      <c r="AA151" s="1047"/>
      <c r="AB151" s="1047"/>
      <c r="AC151" s="1047"/>
      <c r="AD151" s="666">
        <f t="shared" si="19"/>
        <v>590010</v>
      </c>
      <c r="AE151" s="576">
        <f t="shared" si="20"/>
        <v>-0.32330542493405207</v>
      </c>
      <c r="AF151" s="577">
        <f t="shared" si="16"/>
        <v>84</v>
      </c>
    </row>
    <row r="152" spans="1:32" x14ac:dyDescent="0.3">
      <c r="A152" s="7" t="s">
        <v>358</v>
      </c>
      <c r="B152" s="652" t="s">
        <v>362</v>
      </c>
      <c r="C152" s="494"/>
      <c r="D152" s="536">
        <v>164350</v>
      </c>
      <c r="E152" s="536">
        <v>166320</v>
      </c>
      <c r="F152" s="536">
        <v>0</v>
      </c>
      <c r="G152" s="536">
        <v>0</v>
      </c>
      <c r="H152" s="536">
        <v>0</v>
      </c>
      <c r="I152" s="536">
        <v>157980</v>
      </c>
      <c r="J152" s="536">
        <v>0</v>
      </c>
      <c r="K152" s="536">
        <v>0</v>
      </c>
      <c r="L152" s="536">
        <v>0</v>
      </c>
      <c r="M152" s="536">
        <v>0</v>
      </c>
      <c r="N152" s="536">
        <v>167210</v>
      </c>
      <c r="O152" s="536">
        <v>338660</v>
      </c>
      <c r="P152" s="1496">
        <f t="shared" si="17"/>
        <v>488650</v>
      </c>
      <c r="Q152" s="666">
        <f t="shared" si="21"/>
        <v>994520</v>
      </c>
      <c r="R152" s="1046">
        <v>337440</v>
      </c>
      <c r="S152" s="1047" t="s">
        <v>251</v>
      </c>
      <c r="T152" s="1047">
        <v>0</v>
      </c>
      <c r="U152" s="1047">
        <v>169340</v>
      </c>
      <c r="V152" s="1047">
        <v>0</v>
      </c>
      <c r="W152" s="1047">
        <v>0</v>
      </c>
      <c r="X152" s="1047">
        <v>168980</v>
      </c>
      <c r="Y152" s="1047">
        <v>164240</v>
      </c>
      <c r="Z152" s="1047"/>
      <c r="AA152" s="1047"/>
      <c r="AB152" s="1047"/>
      <c r="AC152" s="1047"/>
      <c r="AD152" s="666">
        <f t="shared" si="19"/>
        <v>840000</v>
      </c>
      <c r="AE152" s="576">
        <f t="shared" si="20"/>
        <v>0.7190217947406119</v>
      </c>
      <c r="AF152" s="577">
        <f t="shared" si="16"/>
        <v>64</v>
      </c>
    </row>
    <row r="153" spans="1:32" x14ac:dyDescent="0.3">
      <c r="A153" s="7" t="s">
        <v>358</v>
      </c>
      <c r="B153" s="652" t="s">
        <v>363</v>
      </c>
      <c r="C153" s="494"/>
      <c r="D153" s="536">
        <v>289420</v>
      </c>
      <c r="E153" s="536">
        <v>0</v>
      </c>
      <c r="F153" s="536">
        <v>0</v>
      </c>
      <c r="G153" s="536">
        <v>0</v>
      </c>
      <c r="H153" s="536">
        <v>0</v>
      </c>
      <c r="I153" s="536">
        <v>0</v>
      </c>
      <c r="J153" s="536">
        <v>0</v>
      </c>
      <c r="K153" s="536">
        <v>0</v>
      </c>
      <c r="L153" s="536">
        <v>0</v>
      </c>
      <c r="M153" s="536">
        <v>0</v>
      </c>
      <c r="N153" s="536">
        <v>0</v>
      </c>
      <c r="O153" s="536">
        <v>0</v>
      </c>
      <c r="P153" s="1496">
        <f t="shared" si="17"/>
        <v>289420</v>
      </c>
      <c r="Q153" s="666">
        <f t="shared" si="21"/>
        <v>289420</v>
      </c>
      <c r="R153" s="1046" t="s">
        <v>251</v>
      </c>
      <c r="S153" s="1047" t="s">
        <v>251</v>
      </c>
      <c r="T153" s="1047" t="s">
        <v>251</v>
      </c>
      <c r="U153" s="1047"/>
      <c r="V153" s="1047"/>
      <c r="W153" s="1047"/>
      <c r="X153" s="1047"/>
      <c r="Y153" s="1047"/>
      <c r="Z153" s="1047"/>
      <c r="AA153" s="1047"/>
      <c r="AB153" s="1047"/>
      <c r="AC153" s="1047"/>
      <c r="AD153" s="666">
        <f t="shared" si="19"/>
        <v>0</v>
      </c>
      <c r="AE153" s="576">
        <f t="shared" si="20"/>
        <v>-1</v>
      </c>
      <c r="AF153" s="577">
        <f t="shared" si="16"/>
        <v>189</v>
      </c>
    </row>
    <row r="154" spans="1:32" x14ac:dyDescent="0.3">
      <c r="A154" s="7" t="s">
        <v>358</v>
      </c>
      <c r="B154" s="652" t="s">
        <v>364</v>
      </c>
      <c r="C154" s="494"/>
      <c r="D154" s="536">
        <v>0</v>
      </c>
      <c r="E154" s="536">
        <v>0</v>
      </c>
      <c r="F154" s="536">
        <v>242180</v>
      </c>
      <c r="G154" s="536">
        <v>0</v>
      </c>
      <c r="H154" s="536">
        <v>0</v>
      </c>
      <c r="I154" s="536">
        <v>0</v>
      </c>
      <c r="J154" s="536">
        <v>0</v>
      </c>
      <c r="K154" s="536">
        <v>0</v>
      </c>
      <c r="L154" s="536">
        <v>0</v>
      </c>
      <c r="M154" s="536">
        <v>0</v>
      </c>
      <c r="N154" s="536">
        <v>0</v>
      </c>
      <c r="O154" s="536">
        <v>0</v>
      </c>
      <c r="P154" s="1496">
        <f t="shared" si="17"/>
        <v>242180</v>
      </c>
      <c r="Q154" s="666">
        <f t="shared" si="21"/>
        <v>242180</v>
      </c>
      <c r="R154" s="1046" t="s">
        <v>251</v>
      </c>
      <c r="S154" s="1047" t="s">
        <v>251</v>
      </c>
      <c r="T154" s="1047" t="s">
        <v>251</v>
      </c>
      <c r="U154" s="1047"/>
      <c r="V154" s="1047"/>
      <c r="W154" s="1047"/>
      <c r="X154" s="1047"/>
      <c r="Y154" s="1047"/>
      <c r="Z154" s="1047"/>
      <c r="AA154" s="1047"/>
      <c r="AB154" s="1047"/>
      <c r="AC154" s="1047"/>
      <c r="AD154" s="666">
        <f t="shared" si="19"/>
        <v>0</v>
      </c>
      <c r="AE154" s="576">
        <f t="shared" si="20"/>
        <v>-1</v>
      </c>
      <c r="AF154" s="577">
        <f t="shared" si="16"/>
        <v>189</v>
      </c>
    </row>
    <row r="155" spans="1:32" x14ac:dyDescent="0.3">
      <c r="A155" s="7" t="s">
        <v>358</v>
      </c>
      <c r="B155" s="652" t="s">
        <v>365</v>
      </c>
      <c r="C155" s="494"/>
      <c r="D155" s="536">
        <v>0</v>
      </c>
      <c r="E155" s="536">
        <v>0</v>
      </c>
      <c r="F155" s="536">
        <v>213940</v>
      </c>
      <c r="G155" s="536">
        <v>0</v>
      </c>
      <c r="H155" s="536">
        <v>0</v>
      </c>
      <c r="I155" s="536">
        <v>0</v>
      </c>
      <c r="J155" s="536">
        <v>0</v>
      </c>
      <c r="K155" s="536">
        <v>0</v>
      </c>
      <c r="L155" s="536">
        <v>0</v>
      </c>
      <c r="M155" s="536">
        <v>0</v>
      </c>
      <c r="N155" s="536">
        <v>0</v>
      </c>
      <c r="O155" s="536">
        <v>0</v>
      </c>
      <c r="P155" s="1496">
        <f t="shared" si="17"/>
        <v>213940</v>
      </c>
      <c r="Q155" s="666">
        <f t="shared" si="21"/>
        <v>213940</v>
      </c>
      <c r="R155" s="1046" t="s">
        <v>251</v>
      </c>
      <c r="S155" s="1047" t="s">
        <v>251</v>
      </c>
      <c r="T155" s="1047" t="s">
        <v>251</v>
      </c>
      <c r="U155" s="1047"/>
      <c r="V155" s="1047"/>
      <c r="W155" s="1047"/>
      <c r="X155" s="1047"/>
      <c r="Y155" s="1047"/>
      <c r="Z155" s="1047"/>
      <c r="AA155" s="1047"/>
      <c r="AB155" s="1047"/>
      <c r="AC155" s="1047"/>
      <c r="AD155" s="666">
        <f t="shared" si="19"/>
        <v>0</v>
      </c>
      <c r="AE155" s="576">
        <f t="shared" si="20"/>
        <v>-1</v>
      </c>
      <c r="AF155" s="577">
        <f t="shared" si="16"/>
        <v>189</v>
      </c>
    </row>
    <row r="156" spans="1:32" x14ac:dyDescent="0.3">
      <c r="A156" s="7" t="s">
        <v>358</v>
      </c>
      <c r="B156" s="652" t="s">
        <v>366</v>
      </c>
      <c r="C156" s="494"/>
      <c r="D156" s="536">
        <v>57440</v>
      </c>
      <c r="E156" s="536">
        <v>96810</v>
      </c>
      <c r="F156" s="536">
        <v>0</v>
      </c>
      <c r="G156" s="536">
        <v>0</v>
      </c>
      <c r="H156" s="536">
        <v>0</v>
      </c>
      <c r="I156" s="536">
        <v>0</v>
      </c>
      <c r="J156" s="536">
        <v>0</v>
      </c>
      <c r="K156" s="536"/>
      <c r="L156" s="536">
        <v>0</v>
      </c>
      <c r="M156" s="536">
        <v>0</v>
      </c>
      <c r="N156" s="536">
        <v>0</v>
      </c>
      <c r="O156" s="536">
        <v>0</v>
      </c>
      <c r="P156" s="1496">
        <f t="shared" si="17"/>
        <v>154250</v>
      </c>
      <c r="Q156" s="666">
        <f t="shared" si="21"/>
        <v>154250</v>
      </c>
      <c r="R156" s="1046" t="s">
        <v>251</v>
      </c>
      <c r="S156" s="1047" t="s">
        <v>251</v>
      </c>
      <c r="T156" s="1047" t="s">
        <v>251</v>
      </c>
      <c r="U156" s="1047"/>
      <c r="V156" s="1047"/>
      <c r="W156" s="1047">
        <v>50230</v>
      </c>
      <c r="X156" s="1047"/>
      <c r="Y156" s="1047"/>
      <c r="Z156" s="1047"/>
      <c r="AA156" s="1047"/>
      <c r="AB156" s="1047"/>
      <c r="AC156" s="1047"/>
      <c r="AD156" s="666">
        <f t="shared" si="19"/>
        <v>50230</v>
      </c>
      <c r="AE156" s="576">
        <f t="shared" si="20"/>
        <v>-0.67435980551053487</v>
      </c>
      <c r="AF156" s="577">
        <f t="shared" si="16"/>
        <v>173</v>
      </c>
    </row>
    <row r="157" spans="1:32" x14ac:dyDescent="0.3">
      <c r="A157" s="7" t="s">
        <v>358</v>
      </c>
      <c r="B157" s="652" t="s">
        <v>367</v>
      </c>
      <c r="C157" s="494"/>
      <c r="D157" s="536">
        <v>0</v>
      </c>
      <c r="E157" s="536">
        <v>0</v>
      </c>
      <c r="F157" s="536">
        <v>0</v>
      </c>
      <c r="G157" s="536">
        <v>146930</v>
      </c>
      <c r="H157" s="536">
        <v>0</v>
      </c>
      <c r="I157" s="536">
        <v>0</v>
      </c>
      <c r="J157" s="536">
        <v>0</v>
      </c>
      <c r="K157" s="536">
        <v>0</v>
      </c>
      <c r="L157" s="536">
        <v>0</v>
      </c>
      <c r="M157" s="536">
        <v>0</v>
      </c>
      <c r="N157" s="536">
        <v>0</v>
      </c>
      <c r="O157" s="536">
        <v>0</v>
      </c>
      <c r="P157" s="1496">
        <f t="shared" si="17"/>
        <v>146930</v>
      </c>
      <c r="Q157" s="666">
        <f t="shared" si="21"/>
        <v>146930</v>
      </c>
      <c r="R157" s="1046" t="s">
        <v>251</v>
      </c>
      <c r="S157" s="1047" t="s">
        <v>251</v>
      </c>
      <c r="T157" s="1047" t="s">
        <v>251</v>
      </c>
      <c r="U157" s="1047"/>
      <c r="V157" s="1047"/>
      <c r="W157" s="1047"/>
      <c r="X157" s="1047">
        <v>667910</v>
      </c>
      <c r="Y157" s="1047">
        <v>392620</v>
      </c>
      <c r="Z157" s="1047"/>
      <c r="AA157" s="1047"/>
      <c r="AB157" s="1047"/>
      <c r="AC157" s="1047"/>
      <c r="AD157" s="666">
        <f t="shared" si="19"/>
        <v>1060530</v>
      </c>
      <c r="AE157" s="576">
        <f t="shared" si="20"/>
        <v>6.217926903967876</v>
      </c>
      <c r="AF157" s="577">
        <f t="shared" si="16"/>
        <v>51</v>
      </c>
    </row>
    <row r="158" spans="1:32" x14ac:dyDescent="0.3">
      <c r="A158" s="7" t="s">
        <v>358</v>
      </c>
      <c r="B158" s="652" t="s">
        <v>368</v>
      </c>
      <c r="C158" s="494"/>
      <c r="D158" s="536">
        <v>0</v>
      </c>
      <c r="E158" s="536">
        <v>0</v>
      </c>
      <c r="F158" s="536">
        <v>124210</v>
      </c>
      <c r="G158" s="536">
        <v>0</v>
      </c>
      <c r="H158" s="536">
        <v>0</v>
      </c>
      <c r="I158" s="536">
        <v>0</v>
      </c>
      <c r="J158" s="536">
        <v>0</v>
      </c>
      <c r="K158" s="536">
        <v>0</v>
      </c>
      <c r="L158" s="536">
        <v>0</v>
      </c>
      <c r="M158" s="536">
        <v>0</v>
      </c>
      <c r="N158" s="536">
        <v>0</v>
      </c>
      <c r="O158" s="536">
        <v>0</v>
      </c>
      <c r="P158" s="1496">
        <f t="shared" si="17"/>
        <v>124210</v>
      </c>
      <c r="Q158" s="666">
        <f t="shared" si="21"/>
        <v>124210</v>
      </c>
      <c r="R158" s="1046" t="s">
        <v>251</v>
      </c>
      <c r="S158" s="1047" t="s">
        <v>251</v>
      </c>
      <c r="T158" s="1047" t="s">
        <v>251</v>
      </c>
      <c r="U158" s="1047"/>
      <c r="V158" s="1047"/>
      <c r="W158" s="1047"/>
      <c r="X158" s="1047"/>
      <c r="Y158" s="1047"/>
      <c r="Z158" s="1047"/>
      <c r="AA158" s="1047"/>
      <c r="AB158" s="1047"/>
      <c r="AC158" s="1047"/>
      <c r="AD158" s="666">
        <f t="shared" si="19"/>
        <v>0</v>
      </c>
      <c r="AE158" s="576">
        <f t="shared" si="20"/>
        <v>-1</v>
      </c>
      <c r="AF158" s="577">
        <f t="shared" si="16"/>
        <v>189</v>
      </c>
    </row>
    <row r="159" spans="1:32" x14ac:dyDescent="0.3">
      <c r="A159" s="7" t="s">
        <v>358</v>
      </c>
      <c r="B159" s="652" t="s">
        <v>369</v>
      </c>
      <c r="C159" s="494"/>
      <c r="D159" s="536">
        <v>0</v>
      </c>
      <c r="E159" s="536">
        <v>0</v>
      </c>
      <c r="F159" s="536">
        <v>121320</v>
      </c>
      <c r="G159" s="536">
        <v>0</v>
      </c>
      <c r="H159" s="536">
        <v>366740</v>
      </c>
      <c r="I159" s="536">
        <v>0</v>
      </c>
      <c r="J159" s="536">
        <v>0</v>
      </c>
      <c r="K159" s="536">
        <v>0</v>
      </c>
      <c r="L159" s="536">
        <v>0</v>
      </c>
      <c r="M159" s="536">
        <v>0</v>
      </c>
      <c r="N159" s="536">
        <v>0</v>
      </c>
      <c r="O159" s="536">
        <v>58760</v>
      </c>
      <c r="P159" s="1496">
        <f t="shared" si="17"/>
        <v>488060</v>
      </c>
      <c r="Q159" s="666">
        <f t="shared" si="21"/>
        <v>546820</v>
      </c>
      <c r="R159" s="1046" t="s">
        <v>251</v>
      </c>
      <c r="S159" s="1047" t="s">
        <v>251</v>
      </c>
      <c r="T159" s="1047">
        <v>131390</v>
      </c>
      <c r="U159" s="1047">
        <v>272620</v>
      </c>
      <c r="V159" s="1047">
        <v>147040</v>
      </c>
      <c r="W159" s="1047">
        <v>30400</v>
      </c>
      <c r="X159" s="1047">
        <v>143840</v>
      </c>
      <c r="Y159" s="1047">
        <v>0</v>
      </c>
      <c r="Z159" s="1047"/>
      <c r="AA159" s="1047"/>
      <c r="AB159" s="1047"/>
      <c r="AC159" s="1047"/>
      <c r="AD159" s="666">
        <f t="shared" si="19"/>
        <v>725290</v>
      </c>
      <c r="AE159" s="576">
        <f t="shared" si="20"/>
        <v>0.48606728680899891</v>
      </c>
      <c r="AF159" s="577">
        <f t="shared" si="16"/>
        <v>72</v>
      </c>
    </row>
    <row r="160" spans="1:32" x14ac:dyDescent="0.3">
      <c r="A160" s="7" t="s">
        <v>358</v>
      </c>
      <c r="B160" s="652" t="s">
        <v>580</v>
      </c>
      <c r="C160" s="494"/>
      <c r="D160" s="536">
        <v>0</v>
      </c>
      <c r="E160" s="536">
        <v>117140</v>
      </c>
      <c r="F160" s="536">
        <v>0</v>
      </c>
      <c r="G160" s="536">
        <v>0</v>
      </c>
      <c r="H160" s="536">
        <v>0</v>
      </c>
      <c r="I160" s="536">
        <v>0</v>
      </c>
      <c r="J160" s="536">
        <v>0</v>
      </c>
      <c r="K160" s="536">
        <v>0</v>
      </c>
      <c r="L160" s="536">
        <v>0</v>
      </c>
      <c r="M160" s="536">
        <v>0</v>
      </c>
      <c r="N160" s="536">
        <v>0</v>
      </c>
      <c r="O160" s="536">
        <v>0</v>
      </c>
      <c r="P160" s="1496">
        <f t="shared" si="17"/>
        <v>117140</v>
      </c>
      <c r="Q160" s="666">
        <f t="shared" si="21"/>
        <v>117140</v>
      </c>
      <c r="R160" s="1046" t="s">
        <v>251</v>
      </c>
      <c r="S160" s="1047" t="s">
        <v>251</v>
      </c>
      <c r="T160" s="1047" t="s">
        <v>251</v>
      </c>
      <c r="U160" s="1047"/>
      <c r="V160" s="1047"/>
      <c r="W160" s="1047"/>
      <c r="X160" s="1047"/>
      <c r="Y160" s="1047"/>
      <c r="Z160" s="1047"/>
      <c r="AA160" s="1047"/>
      <c r="AB160" s="1047"/>
      <c r="AC160" s="1047"/>
      <c r="AD160" s="666">
        <f t="shared" si="19"/>
        <v>0</v>
      </c>
      <c r="AE160" s="576">
        <f t="shared" si="20"/>
        <v>-1</v>
      </c>
      <c r="AF160" s="577">
        <f t="shared" si="16"/>
        <v>189</v>
      </c>
    </row>
    <row r="161" spans="1:32" x14ac:dyDescent="0.3">
      <c r="A161" s="7" t="s">
        <v>358</v>
      </c>
      <c r="B161" s="652" t="s">
        <v>370</v>
      </c>
      <c r="C161" s="494"/>
      <c r="D161" s="536">
        <v>115440</v>
      </c>
      <c r="E161" s="536">
        <v>0</v>
      </c>
      <c r="F161" s="536">
        <v>0</v>
      </c>
      <c r="G161" s="536">
        <v>0</v>
      </c>
      <c r="H161" s="536">
        <v>0</v>
      </c>
      <c r="I161" s="536">
        <v>0</v>
      </c>
      <c r="J161" s="536">
        <v>0</v>
      </c>
      <c r="K161" s="536">
        <v>0</v>
      </c>
      <c r="L161" s="536">
        <v>0</v>
      </c>
      <c r="M161" s="536">
        <v>0</v>
      </c>
      <c r="N161" s="536">
        <v>0</v>
      </c>
      <c r="O161" s="536">
        <v>0</v>
      </c>
      <c r="P161" s="1496">
        <f t="shared" si="17"/>
        <v>115440</v>
      </c>
      <c r="Q161" s="666">
        <f t="shared" si="21"/>
        <v>115440</v>
      </c>
      <c r="R161" s="1046" t="s">
        <v>251</v>
      </c>
      <c r="S161" s="1047" t="s">
        <v>251</v>
      </c>
      <c r="T161" s="1047" t="s">
        <v>251</v>
      </c>
      <c r="U161" s="1047"/>
      <c r="V161" s="1047"/>
      <c r="W161" s="1047"/>
      <c r="X161" s="1047"/>
      <c r="Y161" s="1047"/>
      <c r="Z161" s="1047"/>
      <c r="AA161" s="1047"/>
      <c r="AB161" s="1047"/>
      <c r="AC161" s="1047"/>
      <c r="AD161" s="666">
        <f t="shared" si="19"/>
        <v>0</v>
      </c>
      <c r="AE161" s="576">
        <f t="shared" si="20"/>
        <v>-1</v>
      </c>
      <c r="AF161" s="577">
        <f t="shared" si="16"/>
        <v>189</v>
      </c>
    </row>
    <row r="162" spans="1:32" x14ac:dyDescent="0.3">
      <c r="A162" s="7" t="s">
        <v>358</v>
      </c>
      <c r="B162" s="652" t="s">
        <v>371</v>
      </c>
      <c r="C162" s="494">
        <v>29330</v>
      </c>
      <c r="D162" s="536">
        <v>28780</v>
      </c>
      <c r="E162" s="536">
        <v>0</v>
      </c>
      <c r="F162" s="536">
        <v>0</v>
      </c>
      <c r="G162" s="536">
        <v>27960</v>
      </c>
      <c r="H162" s="536">
        <v>0</v>
      </c>
      <c r="I162" s="536">
        <v>0</v>
      </c>
      <c r="J162" s="536">
        <v>0</v>
      </c>
      <c r="K162" s="536">
        <v>0</v>
      </c>
      <c r="L162" s="536">
        <v>0</v>
      </c>
      <c r="M162" s="536">
        <v>0</v>
      </c>
      <c r="N162" s="536">
        <v>0</v>
      </c>
      <c r="O162" s="536">
        <v>0</v>
      </c>
      <c r="P162" s="1496">
        <f t="shared" si="17"/>
        <v>86070</v>
      </c>
      <c r="Q162" s="666">
        <f t="shared" si="21"/>
        <v>86070</v>
      </c>
      <c r="R162" s="1046" t="s">
        <v>251</v>
      </c>
      <c r="S162" s="1047" t="s">
        <v>251</v>
      </c>
      <c r="T162" s="1047" t="s">
        <v>251</v>
      </c>
      <c r="U162" s="1047"/>
      <c r="V162" s="1047"/>
      <c r="W162" s="1047"/>
      <c r="X162" s="1047"/>
      <c r="Y162" s="1047"/>
      <c r="Z162" s="1047"/>
      <c r="AA162" s="1047"/>
      <c r="AB162" s="1047"/>
      <c r="AC162" s="1047"/>
      <c r="AD162" s="666">
        <f t="shared" si="19"/>
        <v>0</v>
      </c>
      <c r="AE162" s="576">
        <f t="shared" si="20"/>
        <v>-1</v>
      </c>
      <c r="AF162" s="577">
        <f t="shared" si="16"/>
        <v>189</v>
      </c>
    </row>
    <row r="163" spans="1:32" x14ac:dyDescent="0.3">
      <c r="A163" s="7" t="s">
        <v>358</v>
      </c>
      <c r="B163" s="652" t="s">
        <v>581</v>
      </c>
      <c r="C163" s="494">
        <v>29260</v>
      </c>
      <c r="D163" s="536">
        <v>0</v>
      </c>
      <c r="E163" s="536">
        <v>0</v>
      </c>
      <c r="F163" s="536">
        <v>0</v>
      </c>
      <c r="G163" s="536">
        <v>56150</v>
      </c>
      <c r="H163" s="536">
        <v>0</v>
      </c>
      <c r="I163" s="536">
        <v>0</v>
      </c>
      <c r="J163" s="536">
        <v>0</v>
      </c>
      <c r="K163" s="536">
        <v>0</v>
      </c>
      <c r="L163" s="536">
        <v>0</v>
      </c>
      <c r="M163" s="536">
        <v>0</v>
      </c>
      <c r="N163" s="536">
        <v>0</v>
      </c>
      <c r="O163" s="536">
        <v>0</v>
      </c>
      <c r="P163" s="1496">
        <f t="shared" si="17"/>
        <v>85410</v>
      </c>
      <c r="Q163" s="666">
        <f t="shared" si="21"/>
        <v>85410</v>
      </c>
      <c r="R163" s="1046" t="s">
        <v>251</v>
      </c>
      <c r="S163" s="1047" t="s">
        <v>251</v>
      </c>
      <c r="T163" s="1047" t="s">
        <v>251</v>
      </c>
      <c r="U163" s="1047"/>
      <c r="V163" s="1047"/>
      <c r="W163" s="1047"/>
      <c r="X163" s="1047"/>
      <c r="Y163" s="1047"/>
      <c r="Z163" s="1047"/>
      <c r="AA163" s="1047"/>
      <c r="AB163" s="1047"/>
      <c r="AC163" s="1047"/>
      <c r="AD163" s="666">
        <f t="shared" si="19"/>
        <v>0</v>
      </c>
      <c r="AE163" s="576">
        <f t="shared" si="20"/>
        <v>-1</v>
      </c>
      <c r="AF163" s="577">
        <f t="shared" si="16"/>
        <v>189</v>
      </c>
    </row>
    <row r="164" spans="1:32" x14ac:dyDescent="0.3">
      <c r="A164" s="7" t="s">
        <v>358</v>
      </c>
      <c r="B164" s="652" t="s">
        <v>582</v>
      </c>
      <c r="C164" s="494"/>
      <c r="D164" s="536">
        <v>0</v>
      </c>
      <c r="E164" s="536">
        <v>0</v>
      </c>
      <c r="F164" s="536">
        <v>0</v>
      </c>
      <c r="G164" s="536">
        <v>67180</v>
      </c>
      <c r="H164" s="536">
        <v>0</v>
      </c>
      <c r="I164" s="536">
        <v>0</v>
      </c>
      <c r="J164" s="536">
        <v>0</v>
      </c>
      <c r="K164" s="536">
        <v>0</v>
      </c>
      <c r="L164" s="536">
        <v>0</v>
      </c>
      <c r="M164" s="536">
        <v>0</v>
      </c>
      <c r="N164" s="536">
        <v>0</v>
      </c>
      <c r="O164" s="536">
        <v>0</v>
      </c>
      <c r="P164" s="1496">
        <f t="shared" si="17"/>
        <v>67180</v>
      </c>
      <c r="Q164" s="666">
        <f t="shared" si="21"/>
        <v>67180</v>
      </c>
      <c r="R164" s="1046" t="s">
        <v>251</v>
      </c>
      <c r="S164" s="1047" t="s">
        <v>251</v>
      </c>
      <c r="T164" s="1047" t="s">
        <v>251</v>
      </c>
      <c r="U164" s="1047"/>
      <c r="V164" s="1047"/>
      <c r="W164" s="1047"/>
      <c r="X164" s="1047"/>
      <c r="Y164" s="1047"/>
      <c r="Z164" s="1047"/>
      <c r="AA164" s="1047"/>
      <c r="AB164" s="1047"/>
      <c r="AC164" s="1047"/>
      <c r="AD164" s="666">
        <f t="shared" si="19"/>
        <v>0</v>
      </c>
      <c r="AE164" s="576">
        <f t="shared" si="20"/>
        <v>-1</v>
      </c>
      <c r="AF164" s="577">
        <f t="shared" si="16"/>
        <v>189</v>
      </c>
    </row>
    <row r="165" spans="1:32" x14ac:dyDescent="0.3">
      <c r="A165" s="7" t="s">
        <v>358</v>
      </c>
      <c r="B165" s="652" t="s">
        <v>373</v>
      </c>
      <c r="C165" s="494"/>
      <c r="D165" s="536" t="s">
        <v>251</v>
      </c>
      <c r="E165" s="536" t="s">
        <v>251</v>
      </c>
      <c r="F165" s="536" t="s">
        <v>251</v>
      </c>
      <c r="G165" s="536" t="s">
        <v>251</v>
      </c>
      <c r="H165" s="536" t="s">
        <v>251</v>
      </c>
      <c r="I165" s="536" t="s">
        <v>251</v>
      </c>
      <c r="J165" s="536" t="s">
        <v>251</v>
      </c>
      <c r="K165" s="536"/>
      <c r="L165" s="536" t="s">
        <v>251</v>
      </c>
      <c r="M165" s="536" t="s">
        <v>251</v>
      </c>
      <c r="N165" s="536" t="s">
        <v>251</v>
      </c>
      <c r="O165" s="536" t="s">
        <v>251</v>
      </c>
      <c r="P165" s="1496">
        <f t="shared" si="17"/>
        <v>0</v>
      </c>
      <c r="Q165" s="666">
        <f t="shared" si="21"/>
        <v>0</v>
      </c>
      <c r="R165" s="1046" t="s">
        <v>251</v>
      </c>
      <c r="S165" s="1047" t="s">
        <v>251</v>
      </c>
      <c r="T165" s="1047" t="s">
        <v>251</v>
      </c>
      <c r="U165" s="1047"/>
      <c r="V165" s="1047"/>
      <c r="W165" s="1047"/>
      <c r="X165" s="1047"/>
      <c r="Y165" s="1047"/>
      <c r="Z165" s="1047"/>
      <c r="AA165" s="1047"/>
      <c r="AB165" s="1047"/>
      <c r="AC165" s="1047"/>
      <c r="AD165" s="666">
        <f t="shared" si="19"/>
        <v>0</v>
      </c>
      <c r="AE165" s="576">
        <f t="shared" si="20"/>
        <v>0</v>
      </c>
      <c r="AF165" s="577">
        <f t="shared" si="16"/>
        <v>189</v>
      </c>
    </row>
    <row r="166" spans="1:32" x14ac:dyDescent="0.3">
      <c r="A166" s="7" t="s">
        <v>358</v>
      </c>
      <c r="B166" s="652" t="s">
        <v>374</v>
      </c>
      <c r="C166" s="494"/>
      <c r="D166" s="536">
        <v>0</v>
      </c>
      <c r="E166" s="536">
        <v>0</v>
      </c>
      <c r="F166" s="536">
        <v>57320</v>
      </c>
      <c r="G166" s="536">
        <v>0</v>
      </c>
      <c r="H166" s="536">
        <v>0</v>
      </c>
      <c r="I166" s="536">
        <v>0</v>
      </c>
      <c r="J166" s="536">
        <v>0</v>
      </c>
      <c r="K166" s="536">
        <v>0</v>
      </c>
      <c r="L166" s="536">
        <v>0</v>
      </c>
      <c r="M166" s="536">
        <v>0</v>
      </c>
      <c r="N166" s="536">
        <v>0</v>
      </c>
      <c r="O166" s="536">
        <v>0</v>
      </c>
      <c r="P166" s="1496">
        <f t="shared" si="17"/>
        <v>57320</v>
      </c>
      <c r="Q166" s="666">
        <f t="shared" si="21"/>
        <v>57320</v>
      </c>
      <c r="R166" s="1046" t="s">
        <v>251</v>
      </c>
      <c r="S166" s="1047" t="s">
        <v>251</v>
      </c>
      <c r="T166" s="1047" t="s">
        <v>251</v>
      </c>
      <c r="U166" s="1047"/>
      <c r="V166" s="1047"/>
      <c r="W166" s="1047"/>
      <c r="X166" s="1047"/>
      <c r="Y166" s="1047"/>
      <c r="Z166" s="1047"/>
      <c r="AA166" s="1047"/>
      <c r="AB166" s="1047"/>
      <c r="AC166" s="1047"/>
      <c r="AD166" s="666">
        <f t="shared" si="19"/>
        <v>0</v>
      </c>
      <c r="AE166" s="576">
        <f t="shared" si="20"/>
        <v>-1</v>
      </c>
      <c r="AF166" s="577">
        <f t="shared" si="16"/>
        <v>189</v>
      </c>
    </row>
    <row r="167" spans="1:32" x14ac:dyDescent="0.3">
      <c r="A167" s="7" t="s">
        <v>358</v>
      </c>
      <c r="B167" s="652" t="s">
        <v>375</v>
      </c>
      <c r="C167" s="494"/>
      <c r="D167" s="536">
        <v>0</v>
      </c>
      <c r="E167" s="536">
        <v>48160</v>
      </c>
      <c r="F167" s="536">
        <v>0</v>
      </c>
      <c r="G167" s="536">
        <v>0</v>
      </c>
      <c r="H167" s="536">
        <v>0</v>
      </c>
      <c r="I167" s="536">
        <v>0</v>
      </c>
      <c r="J167" s="536">
        <v>0</v>
      </c>
      <c r="K167" s="536">
        <v>0</v>
      </c>
      <c r="L167" s="536">
        <v>0</v>
      </c>
      <c r="M167" s="536">
        <v>0</v>
      </c>
      <c r="N167" s="536">
        <v>0</v>
      </c>
      <c r="O167" s="536">
        <v>0</v>
      </c>
      <c r="P167" s="1496">
        <f t="shared" si="17"/>
        <v>48160</v>
      </c>
      <c r="Q167" s="666">
        <f t="shared" si="21"/>
        <v>48160</v>
      </c>
      <c r="R167" s="1046" t="s">
        <v>251</v>
      </c>
      <c r="S167" s="1047" t="s">
        <v>251</v>
      </c>
      <c r="T167" s="1047" t="s">
        <v>251</v>
      </c>
      <c r="U167" s="1047"/>
      <c r="V167" s="1047"/>
      <c r="W167" s="1047"/>
      <c r="X167" s="1047"/>
      <c r="Y167" s="1047"/>
      <c r="Z167" s="1047"/>
      <c r="AA167" s="1047"/>
      <c r="AB167" s="1047"/>
      <c r="AC167" s="1047"/>
      <c r="AD167" s="666">
        <f t="shared" si="19"/>
        <v>0</v>
      </c>
      <c r="AE167" s="576">
        <f t="shared" si="20"/>
        <v>-1</v>
      </c>
      <c r="AF167" s="577">
        <f t="shared" si="16"/>
        <v>189</v>
      </c>
    </row>
    <row r="168" spans="1:32" x14ac:dyDescent="0.3">
      <c r="A168" s="7" t="s">
        <v>358</v>
      </c>
      <c r="B168" s="652" t="s">
        <v>560</v>
      </c>
      <c r="C168" s="494"/>
      <c r="D168" s="536">
        <v>0</v>
      </c>
      <c r="E168" s="536">
        <v>0</v>
      </c>
      <c r="F168" s="536">
        <v>36390</v>
      </c>
      <c r="G168" s="536">
        <v>0</v>
      </c>
      <c r="H168" s="536">
        <v>0</v>
      </c>
      <c r="I168" s="536">
        <v>27470</v>
      </c>
      <c r="J168" s="536">
        <v>349340</v>
      </c>
      <c r="K168" s="536">
        <v>229370</v>
      </c>
      <c r="L168" s="536">
        <v>0</v>
      </c>
      <c r="M168" s="536">
        <v>129040</v>
      </c>
      <c r="N168" s="536">
        <v>101140</v>
      </c>
      <c r="O168" s="536">
        <v>324270</v>
      </c>
      <c r="P168" s="1496">
        <f t="shared" si="17"/>
        <v>293230</v>
      </c>
      <c r="Q168" s="666">
        <f t="shared" si="21"/>
        <v>967650</v>
      </c>
      <c r="R168" s="1046">
        <v>409660</v>
      </c>
      <c r="S168" s="1047">
        <v>150690</v>
      </c>
      <c r="T168" s="1047">
        <v>67630</v>
      </c>
      <c r="U168" s="1047">
        <v>100730</v>
      </c>
      <c r="V168" s="1047">
        <v>0</v>
      </c>
      <c r="W168" s="1047">
        <v>0</v>
      </c>
      <c r="X168" s="1047">
        <v>0</v>
      </c>
      <c r="Y168" s="1047">
        <v>131210</v>
      </c>
      <c r="Z168" s="1047"/>
      <c r="AA168" s="1047"/>
      <c r="AB168" s="1047"/>
      <c r="AC168" s="1047"/>
      <c r="AD168" s="666">
        <f t="shared" si="19"/>
        <v>859920</v>
      </c>
      <c r="AE168" s="576">
        <f t="shared" si="20"/>
        <v>1.9325785219793337</v>
      </c>
      <c r="AF168" s="577">
        <f t="shared" si="16"/>
        <v>60</v>
      </c>
    </row>
    <row r="169" spans="1:32" x14ac:dyDescent="0.3">
      <c r="A169" s="7" t="s">
        <v>358</v>
      </c>
      <c r="B169" s="652" t="s">
        <v>583</v>
      </c>
      <c r="C169" s="494"/>
      <c r="D169" s="536">
        <v>0</v>
      </c>
      <c r="E169" s="536">
        <v>0</v>
      </c>
      <c r="F169" s="536">
        <v>0</v>
      </c>
      <c r="G169" s="536">
        <v>28110</v>
      </c>
      <c r="H169" s="536">
        <v>0</v>
      </c>
      <c r="I169" s="536">
        <v>288960</v>
      </c>
      <c r="J169" s="536">
        <v>0</v>
      </c>
      <c r="K169" s="536">
        <v>0</v>
      </c>
      <c r="L169" s="536">
        <v>0</v>
      </c>
      <c r="M169" s="536">
        <v>0</v>
      </c>
      <c r="N169" s="536">
        <v>0</v>
      </c>
      <c r="O169" s="536">
        <v>0</v>
      </c>
      <c r="P169" s="1496">
        <f t="shared" si="17"/>
        <v>317070</v>
      </c>
      <c r="Q169" s="666">
        <f t="shared" si="21"/>
        <v>317070</v>
      </c>
      <c r="R169" s="1046" t="s">
        <v>251</v>
      </c>
      <c r="S169" s="1047" t="s">
        <v>251</v>
      </c>
      <c r="T169" s="1047" t="s">
        <v>251</v>
      </c>
      <c r="U169" s="1047"/>
      <c r="V169" s="1047"/>
      <c r="W169" s="1047"/>
      <c r="X169" s="1047">
        <v>589100</v>
      </c>
      <c r="Y169" s="1047">
        <v>12730</v>
      </c>
      <c r="Z169" s="1047"/>
      <c r="AA169" s="1047"/>
      <c r="AB169" s="1047"/>
      <c r="AC169" s="1047"/>
      <c r="AD169" s="666">
        <f t="shared" si="19"/>
        <v>601830</v>
      </c>
      <c r="AE169" s="576">
        <f t="shared" si="20"/>
        <v>0.8980982117513483</v>
      </c>
      <c r="AF169" s="577">
        <f t="shared" si="16"/>
        <v>83</v>
      </c>
    </row>
    <row r="170" spans="1:32" x14ac:dyDescent="0.3">
      <c r="A170" s="7" t="s">
        <v>358</v>
      </c>
      <c r="B170" s="652" t="s">
        <v>376</v>
      </c>
      <c r="C170" s="494"/>
      <c r="D170" s="536">
        <v>0</v>
      </c>
      <c r="E170" s="536">
        <v>0</v>
      </c>
      <c r="F170" s="536">
        <v>0</v>
      </c>
      <c r="G170" s="536">
        <v>82570</v>
      </c>
      <c r="H170" s="536">
        <v>0</v>
      </c>
      <c r="I170" s="536">
        <v>0</v>
      </c>
      <c r="J170" s="536">
        <v>0</v>
      </c>
      <c r="K170" s="536">
        <v>0</v>
      </c>
      <c r="L170" s="536">
        <v>0</v>
      </c>
      <c r="M170" s="536">
        <v>0</v>
      </c>
      <c r="N170" s="536">
        <v>0</v>
      </c>
      <c r="O170" s="536">
        <v>0</v>
      </c>
      <c r="P170" s="1496">
        <f t="shared" si="17"/>
        <v>82570</v>
      </c>
      <c r="Q170" s="666">
        <f t="shared" si="21"/>
        <v>82570</v>
      </c>
      <c r="R170" s="1046" t="s">
        <v>251</v>
      </c>
      <c r="S170" s="1047" t="s">
        <v>251</v>
      </c>
      <c r="T170" s="1047" t="s">
        <v>251</v>
      </c>
      <c r="U170" s="1047"/>
      <c r="V170" s="1047"/>
      <c r="W170" s="1047"/>
      <c r="X170" s="1047"/>
      <c r="Y170" s="1047"/>
      <c r="Z170" s="1047"/>
      <c r="AA170" s="1047"/>
      <c r="AB170" s="1047"/>
      <c r="AC170" s="1047"/>
      <c r="AD170" s="666">
        <f t="shared" si="19"/>
        <v>0</v>
      </c>
      <c r="AE170" s="576">
        <f t="shared" si="20"/>
        <v>-1</v>
      </c>
      <c r="AF170" s="577">
        <f t="shared" si="16"/>
        <v>189</v>
      </c>
    </row>
    <row r="171" spans="1:32" x14ac:dyDescent="0.3">
      <c r="A171" s="7" t="s">
        <v>358</v>
      </c>
      <c r="B171" s="652" t="s">
        <v>377</v>
      </c>
      <c r="C171" s="494"/>
      <c r="D171" s="536">
        <v>0</v>
      </c>
      <c r="E171" s="536">
        <v>0</v>
      </c>
      <c r="F171" s="536">
        <v>0</v>
      </c>
      <c r="G171" s="536">
        <v>27920</v>
      </c>
      <c r="H171" s="536">
        <v>0</v>
      </c>
      <c r="I171" s="536">
        <v>0</v>
      </c>
      <c r="J171" s="536">
        <v>0</v>
      </c>
      <c r="K171" s="536">
        <v>0</v>
      </c>
      <c r="L171" s="536">
        <v>0</v>
      </c>
      <c r="M171" s="536">
        <v>0</v>
      </c>
      <c r="N171" s="536">
        <v>0</v>
      </c>
      <c r="O171" s="536">
        <v>0</v>
      </c>
      <c r="P171" s="1496">
        <f t="shared" si="17"/>
        <v>27920</v>
      </c>
      <c r="Q171" s="666">
        <f t="shared" si="21"/>
        <v>27920</v>
      </c>
      <c r="R171" s="1046" t="s">
        <v>251</v>
      </c>
      <c r="S171" s="1047" t="s">
        <v>251</v>
      </c>
      <c r="T171" s="1047" t="s">
        <v>251</v>
      </c>
      <c r="U171" s="1047"/>
      <c r="V171" s="1047"/>
      <c r="W171" s="1047"/>
      <c r="X171" s="1047"/>
      <c r="Y171" s="1047"/>
      <c r="Z171" s="1047"/>
      <c r="AA171" s="1047"/>
      <c r="AB171" s="1047"/>
      <c r="AC171" s="1047"/>
      <c r="AD171" s="666">
        <f t="shared" si="19"/>
        <v>0</v>
      </c>
      <c r="AE171" s="576">
        <f t="shared" si="20"/>
        <v>-1</v>
      </c>
      <c r="AF171" s="577">
        <f t="shared" si="16"/>
        <v>189</v>
      </c>
    </row>
    <row r="172" spans="1:32" x14ac:dyDescent="0.3">
      <c r="A172" s="7" t="s">
        <v>358</v>
      </c>
      <c r="B172" s="652" t="s">
        <v>557</v>
      </c>
      <c r="C172" s="494"/>
      <c r="D172" s="536">
        <v>0</v>
      </c>
      <c r="E172" s="536">
        <v>0</v>
      </c>
      <c r="F172" s="536">
        <v>0</v>
      </c>
      <c r="G172" s="536">
        <v>0</v>
      </c>
      <c r="H172" s="536">
        <v>0</v>
      </c>
      <c r="I172" s="536">
        <v>0</v>
      </c>
      <c r="J172" s="536">
        <v>0</v>
      </c>
      <c r="K172" s="536"/>
      <c r="L172" s="536">
        <v>73530</v>
      </c>
      <c r="M172" s="536">
        <v>0</v>
      </c>
      <c r="N172" s="536">
        <v>29470</v>
      </c>
      <c r="O172" s="536">
        <v>0</v>
      </c>
      <c r="P172" s="1496">
        <f t="shared" si="17"/>
        <v>0</v>
      </c>
      <c r="Q172" s="666">
        <f t="shared" si="21"/>
        <v>103000</v>
      </c>
      <c r="R172" s="1046" t="s">
        <v>251</v>
      </c>
      <c r="S172" s="1047" t="s">
        <v>251</v>
      </c>
      <c r="T172" s="1047" t="s">
        <v>251</v>
      </c>
      <c r="U172" s="1047"/>
      <c r="V172" s="1047"/>
      <c r="W172" s="1047"/>
      <c r="X172" s="1047"/>
      <c r="Y172" s="1047"/>
      <c r="Z172" s="1047"/>
      <c r="AA172" s="1047"/>
      <c r="AB172" s="1047"/>
      <c r="AC172" s="1047"/>
      <c r="AD172" s="666">
        <f t="shared" si="19"/>
        <v>0</v>
      </c>
      <c r="AE172" s="576">
        <f t="shared" si="20"/>
        <v>0</v>
      </c>
      <c r="AF172" s="577">
        <f t="shared" si="16"/>
        <v>189</v>
      </c>
    </row>
    <row r="173" spans="1:32" x14ac:dyDescent="0.3">
      <c r="A173" s="7" t="s">
        <v>358</v>
      </c>
      <c r="B173" s="652" t="s">
        <v>558</v>
      </c>
      <c r="C173" s="494"/>
      <c r="D173" s="536" t="s">
        <v>251</v>
      </c>
      <c r="E173" s="536" t="s">
        <v>251</v>
      </c>
      <c r="F173" s="536" t="s">
        <v>251</v>
      </c>
      <c r="G173" s="536" t="s">
        <v>251</v>
      </c>
      <c r="H173" s="536" t="s">
        <v>251</v>
      </c>
      <c r="I173" s="536" t="s">
        <v>251</v>
      </c>
      <c r="J173" s="536" t="s">
        <v>251</v>
      </c>
      <c r="K173" s="536"/>
      <c r="L173" s="536" t="s">
        <v>251</v>
      </c>
      <c r="M173" s="536" t="s">
        <v>251</v>
      </c>
      <c r="N173" s="536" t="s">
        <v>251</v>
      </c>
      <c r="O173" s="536" t="s">
        <v>251</v>
      </c>
      <c r="P173" s="1496">
        <f t="shared" si="17"/>
        <v>0</v>
      </c>
      <c r="Q173" s="666">
        <f t="shared" si="21"/>
        <v>0</v>
      </c>
      <c r="R173" s="1046" t="s">
        <v>251</v>
      </c>
      <c r="S173" s="1047" t="s">
        <v>251</v>
      </c>
      <c r="T173" s="1047" t="s">
        <v>251</v>
      </c>
      <c r="U173" s="1047"/>
      <c r="V173" s="1047"/>
      <c r="W173" s="1047"/>
      <c r="X173" s="1047">
        <v>678700</v>
      </c>
      <c r="Y173" s="1047">
        <v>0</v>
      </c>
      <c r="Z173" s="1047"/>
      <c r="AA173" s="1047"/>
      <c r="AB173" s="1047"/>
      <c r="AC173" s="1047"/>
      <c r="AD173" s="666">
        <f t="shared" si="19"/>
        <v>678700</v>
      </c>
      <c r="AE173" s="576">
        <f t="shared" si="20"/>
        <v>1</v>
      </c>
      <c r="AF173" s="577">
        <f t="shared" si="16"/>
        <v>78</v>
      </c>
    </row>
    <row r="174" spans="1:32" x14ac:dyDescent="0.3">
      <c r="A174" s="7" t="s">
        <v>358</v>
      </c>
      <c r="B174" s="652" t="s">
        <v>574</v>
      </c>
      <c r="C174" s="494"/>
      <c r="D174" s="536">
        <v>0</v>
      </c>
      <c r="E174" s="536">
        <v>0</v>
      </c>
      <c r="F174" s="536">
        <v>0</v>
      </c>
      <c r="G174" s="536">
        <v>0</v>
      </c>
      <c r="H174" s="536">
        <v>0</v>
      </c>
      <c r="I174" s="536">
        <v>0</v>
      </c>
      <c r="J174" s="536">
        <v>27720</v>
      </c>
      <c r="K174" s="536">
        <v>27720</v>
      </c>
      <c r="L174" s="536">
        <v>0</v>
      </c>
      <c r="M174" s="536">
        <v>0</v>
      </c>
      <c r="N174" s="536">
        <v>0</v>
      </c>
      <c r="O174" s="536">
        <v>0</v>
      </c>
      <c r="P174" s="1496">
        <f t="shared" si="17"/>
        <v>27720</v>
      </c>
      <c r="Q174" s="666">
        <f t="shared" si="21"/>
        <v>27720</v>
      </c>
      <c r="R174" s="1046" t="s">
        <v>251</v>
      </c>
      <c r="S174" s="1047" t="s">
        <v>251</v>
      </c>
      <c r="T174" s="1047" t="s">
        <v>251</v>
      </c>
      <c r="U174" s="1047"/>
      <c r="V174" s="1047"/>
      <c r="W174" s="1047"/>
      <c r="X174" s="1047"/>
      <c r="Y174" s="1047"/>
      <c r="Z174" s="1047"/>
      <c r="AA174" s="1047"/>
      <c r="AB174" s="1047"/>
      <c r="AC174" s="1047"/>
      <c r="AD174" s="666">
        <f t="shared" si="19"/>
        <v>0</v>
      </c>
      <c r="AE174" s="576">
        <f t="shared" si="20"/>
        <v>-1</v>
      </c>
      <c r="AF174" s="577">
        <f t="shared" si="16"/>
        <v>189</v>
      </c>
    </row>
    <row r="175" spans="1:32" x14ac:dyDescent="0.3">
      <c r="A175" s="7" t="s">
        <v>358</v>
      </c>
      <c r="B175" s="652" t="s">
        <v>584</v>
      </c>
      <c r="C175" s="494"/>
      <c r="D175" s="536" t="s">
        <v>251</v>
      </c>
      <c r="E175" s="536" t="s">
        <v>251</v>
      </c>
      <c r="F175" s="536" t="s">
        <v>251</v>
      </c>
      <c r="G175" s="536" t="s">
        <v>251</v>
      </c>
      <c r="H175" s="536" t="s">
        <v>251</v>
      </c>
      <c r="I175" s="536" t="s">
        <v>251</v>
      </c>
      <c r="J175" s="536" t="s">
        <v>251</v>
      </c>
      <c r="K175" s="536"/>
      <c r="L175" s="536" t="s">
        <v>251</v>
      </c>
      <c r="M175" s="536" t="s">
        <v>251</v>
      </c>
      <c r="N175" s="536" t="s">
        <v>251</v>
      </c>
      <c r="O175" s="536" t="s">
        <v>251</v>
      </c>
      <c r="P175" s="1496">
        <f t="shared" si="17"/>
        <v>0</v>
      </c>
      <c r="Q175" s="666">
        <f t="shared" si="21"/>
        <v>0</v>
      </c>
      <c r="R175" s="1046" t="s">
        <v>251</v>
      </c>
      <c r="S175" s="1047" t="s">
        <v>251</v>
      </c>
      <c r="T175" s="1047" t="s">
        <v>251</v>
      </c>
      <c r="U175" s="1047"/>
      <c r="V175" s="1047"/>
      <c r="W175" s="1047"/>
      <c r="X175" s="1047"/>
      <c r="Y175" s="1047"/>
      <c r="Z175" s="1047"/>
      <c r="AA175" s="1047"/>
      <c r="AB175" s="1047"/>
      <c r="AC175" s="1047"/>
      <c r="AD175" s="666">
        <f t="shared" si="19"/>
        <v>0</v>
      </c>
      <c r="AE175" s="576">
        <f t="shared" si="20"/>
        <v>0</v>
      </c>
      <c r="AF175" s="577">
        <f t="shared" si="16"/>
        <v>189</v>
      </c>
    </row>
    <row r="176" spans="1:32" x14ac:dyDescent="0.3">
      <c r="A176" s="7" t="s">
        <v>358</v>
      </c>
      <c r="B176" s="652" t="s">
        <v>378</v>
      </c>
      <c r="C176" s="494"/>
      <c r="D176" s="536" t="s">
        <v>251</v>
      </c>
      <c r="E176" s="536" t="s">
        <v>251</v>
      </c>
      <c r="F176" s="536" t="s">
        <v>251</v>
      </c>
      <c r="G176" s="536" t="s">
        <v>251</v>
      </c>
      <c r="H176" s="536" t="s">
        <v>251</v>
      </c>
      <c r="I176" s="536" t="s">
        <v>251</v>
      </c>
      <c r="J176" s="536" t="s">
        <v>251</v>
      </c>
      <c r="K176" s="536"/>
      <c r="L176" s="536" t="s">
        <v>251</v>
      </c>
      <c r="M176" s="536" t="s">
        <v>251</v>
      </c>
      <c r="N176" s="536" t="s">
        <v>251</v>
      </c>
      <c r="O176" s="536" t="s">
        <v>251</v>
      </c>
      <c r="P176" s="1496">
        <f t="shared" si="17"/>
        <v>0</v>
      </c>
      <c r="Q176" s="666">
        <f t="shared" si="21"/>
        <v>0</v>
      </c>
      <c r="R176" s="1046" t="s">
        <v>251</v>
      </c>
      <c r="S176" s="1047" t="s">
        <v>251</v>
      </c>
      <c r="T176" s="1047" t="s">
        <v>251</v>
      </c>
      <c r="U176" s="1047"/>
      <c r="V176" s="1047"/>
      <c r="W176" s="1047"/>
      <c r="X176" s="1047"/>
      <c r="Y176" s="1047"/>
      <c r="Z176" s="1047"/>
      <c r="AA176" s="1047"/>
      <c r="AB176" s="1047"/>
      <c r="AC176" s="1047"/>
      <c r="AD176" s="666">
        <f t="shared" si="19"/>
        <v>0</v>
      </c>
      <c r="AE176" s="576">
        <f t="shared" si="20"/>
        <v>0</v>
      </c>
      <c r="AF176" s="577">
        <f t="shared" si="16"/>
        <v>189</v>
      </c>
    </row>
    <row r="177" spans="1:32" x14ac:dyDescent="0.3">
      <c r="A177" s="7" t="s">
        <v>358</v>
      </c>
      <c r="B177" s="652" t="s">
        <v>379</v>
      </c>
      <c r="C177" s="494"/>
      <c r="D177" s="536">
        <v>0</v>
      </c>
      <c r="E177" s="536">
        <v>0</v>
      </c>
      <c r="F177" s="536">
        <v>0</v>
      </c>
      <c r="G177" s="536">
        <v>0</v>
      </c>
      <c r="H177" s="536">
        <v>0</v>
      </c>
      <c r="I177" s="536">
        <v>0</v>
      </c>
      <c r="J177" s="536">
        <v>0</v>
      </c>
      <c r="K177" s="536"/>
      <c r="L177" s="536">
        <v>200730</v>
      </c>
      <c r="M177" s="536">
        <v>182270</v>
      </c>
      <c r="N177" s="536">
        <v>0</v>
      </c>
      <c r="O177" s="536">
        <v>0</v>
      </c>
      <c r="P177" s="1496">
        <f t="shared" si="17"/>
        <v>0</v>
      </c>
      <c r="Q177" s="666">
        <f t="shared" si="21"/>
        <v>383000</v>
      </c>
      <c r="R177" s="1046" t="s">
        <v>251</v>
      </c>
      <c r="S177" s="1047" t="s">
        <v>251</v>
      </c>
      <c r="T177" s="1047" t="s">
        <v>251</v>
      </c>
      <c r="U177" s="1047"/>
      <c r="V177" s="1047">
        <v>415460</v>
      </c>
      <c r="W177" s="1047">
        <v>0</v>
      </c>
      <c r="X177" s="1047">
        <v>0</v>
      </c>
      <c r="Y177" s="1047">
        <v>0</v>
      </c>
      <c r="Z177" s="1047"/>
      <c r="AA177" s="1047"/>
      <c r="AB177" s="1047"/>
      <c r="AC177" s="1047"/>
      <c r="AD177" s="666">
        <f t="shared" si="19"/>
        <v>415460</v>
      </c>
      <c r="AE177" s="576">
        <f t="shared" si="20"/>
        <v>1</v>
      </c>
      <c r="AF177" s="577">
        <f t="shared" si="16"/>
        <v>99</v>
      </c>
    </row>
    <row r="178" spans="1:32" x14ac:dyDescent="0.3">
      <c r="A178" s="7" t="s">
        <v>358</v>
      </c>
      <c r="B178" s="652" t="s">
        <v>380</v>
      </c>
      <c r="C178" s="494"/>
      <c r="D178" s="536" t="s">
        <v>251</v>
      </c>
      <c r="E178" s="536" t="s">
        <v>251</v>
      </c>
      <c r="F178" s="536" t="s">
        <v>251</v>
      </c>
      <c r="G178" s="536" t="s">
        <v>251</v>
      </c>
      <c r="H178" s="536" t="s">
        <v>251</v>
      </c>
      <c r="I178" s="536" t="s">
        <v>251</v>
      </c>
      <c r="J178" s="536" t="s">
        <v>251</v>
      </c>
      <c r="K178" s="536"/>
      <c r="L178" s="536" t="s">
        <v>251</v>
      </c>
      <c r="M178" s="536" t="s">
        <v>251</v>
      </c>
      <c r="N178" s="536" t="s">
        <v>251</v>
      </c>
      <c r="O178" s="536" t="s">
        <v>251</v>
      </c>
      <c r="P178" s="1496">
        <f t="shared" si="17"/>
        <v>0</v>
      </c>
      <c r="Q178" s="666">
        <f t="shared" si="21"/>
        <v>0</v>
      </c>
      <c r="R178" s="1046" t="s">
        <v>251</v>
      </c>
      <c r="S178" s="1047" t="s">
        <v>251</v>
      </c>
      <c r="T178" s="1047" t="s">
        <v>251</v>
      </c>
      <c r="U178" s="1047"/>
      <c r="V178" s="1047"/>
      <c r="W178" s="1047"/>
      <c r="X178" s="1047"/>
      <c r="Y178" s="1047"/>
      <c r="Z178" s="1047"/>
      <c r="AA178" s="1047"/>
      <c r="AB178" s="1047"/>
      <c r="AC178" s="1047"/>
      <c r="AD178" s="666">
        <f t="shared" si="19"/>
        <v>0</v>
      </c>
      <c r="AE178" s="576">
        <f t="shared" si="20"/>
        <v>0</v>
      </c>
      <c r="AF178" s="577">
        <f t="shared" si="16"/>
        <v>189</v>
      </c>
    </row>
    <row r="179" spans="1:32" x14ac:dyDescent="0.3">
      <c r="A179" s="7" t="s">
        <v>358</v>
      </c>
      <c r="B179" s="652" t="s">
        <v>381</v>
      </c>
      <c r="C179" s="494"/>
      <c r="D179" s="536" t="s">
        <v>251</v>
      </c>
      <c r="E179" s="536" t="s">
        <v>251</v>
      </c>
      <c r="F179" s="536" t="s">
        <v>251</v>
      </c>
      <c r="G179" s="536" t="s">
        <v>251</v>
      </c>
      <c r="H179" s="536" t="s">
        <v>251</v>
      </c>
      <c r="I179" s="536" t="s">
        <v>251</v>
      </c>
      <c r="J179" s="536" t="s">
        <v>251</v>
      </c>
      <c r="K179" s="536"/>
      <c r="L179" s="536" t="s">
        <v>251</v>
      </c>
      <c r="M179" s="536" t="s">
        <v>251</v>
      </c>
      <c r="N179" s="536" t="s">
        <v>251</v>
      </c>
      <c r="O179" s="536" t="s">
        <v>251</v>
      </c>
      <c r="P179" s="1496">
        <f t="shared" si="17"/>
        <v>0</v>
      </c>
      <c r="Q179" s="666">
        <f t="shared" si="21"/>
        <v>0</v>
      </c>
      <c r="R179" s="1046" t="s">
        <v>251</v>
      </c>
      <c r="S179" s="1047" t="s">
        <v>251</v>
      </c>
      <c r="T179" s="1047" t="s">
        <v>251</v>
      </c>
      <c r="U179" s="1047"/>
      <c r="V179" s="1047"/>
      <c r="W179" s="1047"/>
      <c r="X179" s="1047"/>
      <c r="Y179" s="1047"/>
      <c r="Z179" s="1047"/>
      <c r="AA179" s="1047"/>
      <c r="AB179" s="1047"/>
      <c r="AC179" s="1047"/>
      <c r="AD179" s="666">
        <f t="shared" si="19"/>
        <v>0</v>
      </c>
      <c r="AE179" s="576">
        <f t="shared" si="20"/>
        <v>0</v>
      </c>
      <c r="AF179" s="577">
        <f t="shared" si="16"/>
        <v>189</v>
      </c>
    </row>
    <row r="180" spans="1:32" x14ac:dyDescent="0.3">
      <c r="A180" s="7" t="s">
        <v>358</v>
      </c>
      <c r="B180" s="652" t="s">
        <v>6</v>
      </c>
      <c r="C180" s="494"/>
      <c r="D180" s="536" t="s">
        <v>251</v>
      </c>
      <c r="E180" s="536" t="s">
        <v>251</v>
      </c>
      <c r="F180" s="536" t="s">
        <v>251</v>
      </c>
      <c r="G180" s="536" t="s">
        <v>251</v>
      </c>
      <c r="H180" s="536" t="s">
        <v>251</v>
      </c>
      <c r="I180" s="536" t="s">
        <v>251</v>
      </c>
      <c r="J180" s="536" t="s">
        <v>251</v>
      </c>
      <c r="K180" s="536"/>
      <c r="L180" s="536" t="s">
        <v>251</v>
      </c>
      <c r="M180" s="536" t="s">
        <v>251</v>
      </c>
      <c r="N180" s="536" t="s">
        <v>251</v>
      </c>
      <c r="O180" s="536" t="s">
        <v>251</v>
      </c>
      <c r="P180" s="1496">
        <f t="shared" si="17"/>
        <v>0</v>
      </c>
      <c r="Q180" s="666">
        <f t="shared" si="21"/>
        <v>0</v>
      </c>
      <c r="R180" s="1046" t="s">
        <v>251</v>
      </c>
      <c r="S180" s="1047" t="s">
        <v>251</v>
      </c>
      <c r="T180" s="1047" t="s">
        <v>251</v>
      </c>
      <c r="U180" s="1047"/>
      <c r="V180" s="1047"/>
      <c r="W180" s="1047"/>
      <c r="X180" s="1047"/>
      <c r="Y180" s="1047"/>
      <c r="Z180" s="1047"/>
      <c r="AA180" s="1047"/>
      <c r="AB180" s="1047"/>
      <c r="AC180" s="1047"/>
      <c r="AD180" s="666">
        <f t="shared" si="19"/>
        <v>0</v>
      </c>
      <c r="AE180" s="576">
        <f t="shared" si="20"/>
        <v>0</v>
      </c>
      <c r="AF180" s="577">
        <f t="shared" si="16"/>
        <v>189</v>
      </c>
    </row>
    <row r="181" spans="1:32" x14ac:dyDescent="0.3">
      <c r="A181" s="7" t="s">
        <v>358</v>
      </c>
      <c r="B181" s="652" t="s">
        <v>382</v>
      </c>
      <c r="C181" s="494"/>
      <c r="D181" s="536" t="s">
        <v>251</v>
      </c>
      <c r="E181" s="536" t="s">
        <v>251</v>
      </c>
      <c r="F181" s="536" t="s">
        <v>251</v>
      </c>
      <c r="G181" s="536" t="s">
        <v>251</v>
      </c>
      <c r="H181" s="536" t="s">
        <v>251</v>
      </c>
      <c r="I181" s="536" t="s">
        <v>251</v>
      </c>
      <c r="J181" s="536" t="s">
        <v>251</v>
      </c>
      <c r="K181" s="536"/>
      <c r="L181" s="536" t="s">
        <v>251</v>
      </c>
      <c r="M181" s="536" t="s">
        <v>251</v>
      </c>
      <c r="N181" s="536" t="s">
        <v>251</v>
      </c>
      <c r="O181" s="536" t="s">
        <v>251</v>
      </c>
      <c r="P181" s="1496">
        <f t="shared" si="17"/>
        <v>0</v>
      </c>
      <c r="Q181" s="666">
        <f t="shared" si="21"/>
        <v>0</v>
      </c>
      <c r="R181" s="1046" t="s">
        <v>251</v>
      </c>
      <c r="S181" s="1047" t="s">
        <v>251</v>
      </c>
      <c r="T181" s="1047" t="s">
        <v>251</v>
      </c>
      <c r="U181" s="1047"/>
      <c r="V181" s="1047"/>
      <c r="W181" s="1047"/>
      <c r="X181" s="1047"/>
      <c r="Y181" s="1047"/>
      <c r="Z181" s="1047"/>
      <c r="AA181" s="1047"/>
      <c r="AB181" s="1047"/>
      <c r="AC181" s="1047"/>
      <c r="AD181" s="666">
        <f t="shared" si="19"/>
        <v>0</v>
      </c>
      <c r="AE181" s="576">
        <f t="shared" si="20"/>
        <v>0</v>
      </c>
      <c r="AF181" s="577">
        <f t="shared" si="16"/>
        <v>189</v>
      </c>
    </row>
    <row r="182" spans="1:32" x14ac:dyDescent="0.3">
      <c r="A182" s="7" t="s">
        <v>358</v>
      </c>
      <c r="B182" s="652" t="s">
        <v>383</v>
      </c>
      <c r="C182" s="494"/>
      <c r="D182" s="536" t="s">
        <v>251</v>
      </c>
      <c r="E182" s="536" t="s">
        <v>251</v>
      </c>
      <c r="F182" s="536" t="s">
        <v>251</v>
      </c>
      <c r="G182" s="536" t="s">
        <v>251</v>
      </c>
      <c r="H182" s="536" t="s">
        <v>251</v>
      </c>
      <c r="I182" s="536" t="s">
        <v>251</v>
      </c>
      <c r="J182" s="536" t="s">
        <v>251</v>
      </c>
      <c r="K182" s="536"/>
      <c r="L182" s="536" t="s">
        <v>251</v>
      </c>
      <c r="M182" s="536" t="s">
        <v>251</v>
      </c>
      <c r="N182" s="536" t="s">
        <v>251</v>
      </c>
      <c r="O182" s="536" t="s">
        <v>251</v>
      </c>
      <c r="P182" s="1496">
        <f t="shared" si="17"/>
        <v>0</v>
      </c>
      <c r="Q182" s="666">
        <f t="shared" si="21"/>
        <v>0</v>
      </c>
      <c r="R182" s="1046" t="s">
        <v>251</v>
      </c>
      <c r="S182" s="1047" t="s">
        <v>251</v>
      </c>
      <c r="T182" s="1047" t="s">
        <v>251</v>
      </c>
      <c r="U182" s="1047"/>
      <c r="V182" s="1047"/>
      <c r="W182" s="1047"/>
      <c r="X182" s="1047"/>
      <c r="Y182" s="1047"/>
      <c r="Z182" s="1047"/>
      <c r="AA182" s="1047"/>
      <c r="AB182" s="1047"/>
      <c r="AC182" s="1047"/>
      <c r="AD182" s="666">
        <f t="shared" si="19"/>
        <v>0</v>
      </c>
      <c r="AE182" s="576">
        <f t="shared" si="20"/>
        <v>0</v>
      </c>
      <c r="AF182" s="577">
        <f t="shared" si="16"/>
        <v>189</v>
      </c>
    </row>
    <row r="183" spans="1:32" x14ac:dyDescent="0.3">
      <c r="A183" s="7" t="s">
        <v>358</v>
      </c>
      <c r="B183" s="652" t="s">
        <v>565</v>
      </c>
      <c r="C183" s="494"/>
      <c r="D183" s="536" t="s">
        <v>251</v>
      </c>
      <c r="E183" s="536" t="s">
        <v>251</v>
      </c>
      <c r="F183" s="536" t="s">
        <v>251</v>
      </c>
      <c r="G183" s="536" t="s">
        <v>251</v>
      </c>
      <c r="H183" s="536" t="s">
        <v>251</v>
      </c>
      <c r="I183" s="536" t="s">
        <v>251</v>
      </c>
      <c r="J183" s="536" t="s">
        <v>251</v>
      </c>
      <c r="K183" s="536"/>
      <c r="L183" s="536" t="s">
        <v>251</v>
      </c>
      <c r="M183" s="536" t="s">
        <v>251</v>
      </c>
      <c r="N183" s="536" t="s">
        <v>251</v>
      </c>
      <c r="O183" s="536" t="s">
        <v>251</v>
      </c>
      <c r="P183" s="1496">
        <f t="shared" si="17"/>
        <v>0</v>
      </c>
      <c r="Q183" s="666">
        <f t="shared" si="21"/>
        <v>0</v>
      </c>
      <c r="R183" s="1046" t="s">
        <v>251</v>
      </c>
      <c r="S183" s="1047" t="s">
        <v>251</v>
      </c>
      <c r="T183" s="1047" t="s">
        <v>251</v>
      </c>
      <c r="U183" s="1047"/>
      <c r="V183" s="1047"/>
      <c r="W183" s="1047"/>
      <c r="X183" s="1047"/>
      <c r="Y183" s="1047"/>
      <c r="Z183" s="1047"/>
      <c r="AA183" s="1047"/>
      <c r="AB183" s="1047"/>
      <c r="AC183" s="1047"/>
      <c r="AD183" s="666">
        <f t="shared" si="19"/>
        <v>0</v>
      </c>
      <c r="AE183" s="576">
        <f t="shared" si="20"/>
        <v>0</v>
      </c>
      <c r="AF183" s="577">
        <f t="shared" si="16"/>
        <v>189</v>
      </c>
    </row>
    <row r="184" spans="1:32" x14ac:dyDescent="0.3">
      <c r="A184" s="7" t="s">
        <v>358</v>
      </c>
      <c r="B184" s="652" t="s">
        <v>384</v>
      </c>
      <c r="C184" s="494"/>
      <c r="D184" s="536">
        <v>0</v>
      </c>
      <c r="E184" s="536">
        <v>0</v>
      </c>
      <c r="F184" s="536">
        <v>0</v>
      </c>
      <c r="G184" s="536">
        <v>0</v>
      </c>
      <c r="H184" s="536">
        <v>0</v>
      </c>
      <c r="I184" s="536">
        <v>116770</v>
      </c>
      <c r="J184" s="536">
        <v>0</v>
      </c>
      <c r="K184" s="536">
        <v>0</v>
      </c>
      <c r="L184" s="536">
        <v>0</v>
      </c>
      <c r="M184" s="536">
        <v>0</v>
      </c>
      <c r="N184" s="536">
        <v>0</v>
      </c>
      <c r="O184" s="536">
        <v>0</v>
      </c>
      <c r="P184" s="1496">
        <f t="shared" si="17"/>
        <v>116770</v>
      </c>
      <c r="Q184" s="666">
        <f t="shared" si="21"/>
        <v>116770</v>
      </c>
      <c r="R184" s="1046" t="s">
        <v>251</v>
      </c>
      <c r="S184" s="1047" t="s">
        <v>251</v>
      </c>
      <c r="T184" s="1047" t="s">
        <v>251</v>
      </c>
      <c r="U184" s="1047"/>
      <c r="V184" s="1047"/>
      <c r="W184" s="1047"/>
      <c r="X184" s="1047"/>
      <c r="Y184" s="1047"/>
      <c r="Z184" s="1047"/>
      <c r="AA184" s="1047"/>
      <c r="AB184" s="1047"/>
      <c r="AC184" s="1047"/>
      <c r="AD184" s="666">
        <f t="shared" si="19"/>
        <v>0</v>
      </c>
      <c r="AE184" s="576">
        <f t="shared" si="20"/>
        <v>-1</v>
      </c>
      <c r="AF184" s="577">
        <f t="shared" si="16"/>
        <v>189</v>
      </c>
    </row>
    <row r="185" spans="1:32" x14ac:dyDescent="0.3">
      <c r="A185" s="7" t="s">
        <v>358</v>
      </c>
      <c r="B185" s="652" t="s">
        <v>385</v>
      </c>
      <c r="C185" s="494"/>
      <c r="D185" s="536" t="s">
        <v>251</v>
      </c>
      <c r="E185" s="536" t="s">
        <v>251</v>
      </c>
      <c r="F185" s="536" t="s">
        <v>251</v>
      </c>
      <c r="G185" s="536" t="s">
        <v>251</v>
      </c>
      <c r="H185" s="536" t="s">
        <v>251</v>
      </c>
      <c r="I185" s="536" t="s">
        <v>251</v>
      </c>
      <c r="J185" s="536" t="s">
        <v>251</v>
      </c>
      <c r="K185" s="536"/>
      <c r="L185" s="536" t="s">
        <v>251</v>
      </c>
      <c r="M185" s="536" t="s">
        <v>251</v>
      </c>
      <c r="N185" s="536" t="s">
        <v>251</v>
      </c>
      <c r="O185" s="536" t="s">
        <v>251</v>
      </c>
      <c r="P185" s="1496">
        <f t="shared" si="17"/>
        <v>0</v>
      </c>
      <c r="Q185" s="666">
        <f t="shared" si="21"/>
        <v>0</v>
      </c>
      <c r="R185" s="1046" t="s">
        <v>251</v>
      </c>
      <c r="S185" s="1047" t="s">
        <v>251</v>
      </c>
      <c r="T185" s="1047" t="s">
        <v>251</v>
      </c>
      <c r="U185" s="1047"/>
      <c r="V185" s="1047"/>
      <c r="W185" s="1047"/>
      <c r="X185" s="1047"/>
      <c r="Y185" s="1047"/>
      <c r="Z185" s="1047"/>
      <c r="AA185" s="1047"/>
      <c r="AB185" s="1047"/>
      <c r="AC185" s="1047"/>
      <c r="AD185" s="666">
        <f t="shared" si="19"/>
        <v>0</v>
      </c>
      <c r="AE185" s="576">
        <f t="shared" si="20"/>
        <v>0</v>
      </c>
      <c r="AF185" s="577">
        <f t="shared" si="16"/>
        <v>189</v>
      </c>
    </row>
    <row r="186" spans="1:32" x14ac:dyDescent="0.3">
      <c r="A186" s="7" t="s">
        <v>358</v>
      </c>
      <c r="B186" s="652" t="s">
        <v>585</v>
      </c>
      <c r="C186" s="494"/>
      <c r="D186" s="536">
        <v>0</v>
      </c>
      <c r="E186" s="536">
        <v>0</v>
      </c>
      <c r="F186" s="536">
        <v>0</v>
      </c>
      <c r="G186" s="536">
        <v>0</v>
      </c>
      <c r="H186" s="536">
        <v>0</v>
      </c>
      <c r="I186" s="536">
        <v>0</v>
      </c>
      <c r="J186" s="536">
        <v>0</v>
      </c>
      <c r="K186" s="536"/>
      <c r="L186" s="536">
        <v>0</v>
      </c>
      <c r="M186" s="536">
        <v>269200</v>
      </c>
      <c r="N186" s="536">
        <v>29070</v>
      </c>
      <c r="O186" s="536">
        <v>88130</v>
      </c>
      <c r="P186" s="1496">
        <f t="shared" si="17"/>
        <v>0</v>
      </c>
      <c r="Q186" s="666">
        <f t="shared" si="21"/>
        <v>386400</v>
      </c>
      <c r="R186" s="1046">
        <v>68470</v>
      </c>
      <c r="S186" s="1047">
        <v>58310</v>
      </c>
      <c r="T186" s="1047">
        <v>0</v>
      </c>
      <c r="U186" s="1047">
        <v>30370</v>
      </c>
      <c r="V186" s="1047">
        <v>0</v>
      </c>
      <c r="W186" s="1047">
        <v>0</v>
      </c>
      <c r="X186" s="1047">
        <v>0</v>
      </c>
      <c r="Y186" s="1047">
        <v>0</v>
      </c>
      <c r="Z186" s="1047"/>
      <c r="AA186" s="1047"/>
      <c r="AB186" s="1047"/>
      <c r="AC186" s="1047"/>
      <c r="AD186" s="666">
        <f t="shared" si="19"/>
        <v>157150</v>
      </c>
      <c r="AE186" s="576">
        <f t="shared" si="20"/>
        <v>1</v>
      </c>
      <c r="AF186" s="577">
        <f t="shared" si="16"/>
        <v>141</v>
      </c>
    </row>
    <row r="187" spans="1:32" x14ac:dyDescent="0.3">
      <c r="A187" s="7" t="s">
        <v>358</v>
      </c>
      <c r="B187" s="652" t="s">
        <v>386</v>
      </c>
      <c r="C187" s="494"/>
      <c r="D187" s="536" t="s">
        <v>251</v>
      </c>
      <c r="E187" s="536" t="s">
        <v>251</v>
      </c>
      <c r="F187" s="536" t="s">
        <v>251</v>
      </c>
      <c r="G187" s="536" t="s">
        <v>251</v>
      </c>
      <c r="H187" s="536" t="s">
        <v>251</v>
      </c>
      <c r="I187" s="536" t="s">
        <v>251</v>
      </c>
      <c r="J187" s="536" t="s">
        <v>251</v>
      </c>
      <c r="K187" s="536"/>
      <c r="L187" s="536" t="s">
        <v>251</v>
      </c>
      <c r="M187" s="536" t="s">
        <v>251</v>
      </c>
      <c r="N187" s="536" t="s">
        <v>251</v>
      </c>
      <c r="O187" s="536" t="s">
        <v>251</v>
      </c>
      <c r="P187" s="1496">
        <f t="shared" si="17"/>
        <v>0</v>
      </c>
      <c r="Q187" s="666">
        <f t="shared" si="21"/>
        <v>0</v>
      </c>
      <c r="R187" s="1046" t="s">
        <v>251</v>
      </c>
      <c r="S187" s="1047" t="s">
        <v>251</v>
      </c>
      <c r="T187" s="1047" t="s">
        <v>251</v>
      </c>
      <c r="U187" s="1047"/>
      <c r="V187" s="1047"/>
      <c r="W187" s="1047"/>
      <c r="X187" s="1047"/>
      <c r="Y187" s="1047"/>
      <c r="Z187" s="1047"/>
      <c r="AA187" s="1047"/>
      <c r="AB187" s="1047"/>
      <c r="AC187" s="1047"/>
      <c r="AD187" s="666">
        <f t="shared" si="19"/>
        <v>0</v>
      </c>
      <c r="AE187" s="576">
        <f t="shared" si="20"/>
        <v>0</v>
      </c>
      <c r="AF187" s="577">
        <f t="shared" si="16"/>
        <v>189</v>
      </c>
    </row>
    <row r="188" spans="1:32" x14ac:dyDescent="0.3">
      <c r="A188" s="7" t="s">
        <v>358</v>
      </c>
      <c r="B188" s="652" t="s">
        <v>387</v>
      </c>
      <c r="C188" s="494"/>
      <c r="D188" s="536" t="s">
        <v>251</v>
      </c>
      <c r="E188" s="536" t="s">
        <v>251</v>
      </c>
      <c r="F188" s="536" t="s">
        <v>251</v>
      </c>
      <c r="G188" s="536" t="s">
        <v>251</v>
      </c>
      <c r="H188" s="536" t="s">
        <v>251</v>
      </c>
      <c r="I188" s="536" t="s">
        <v>251</v>
      </c>
      <c r="J188" s="536" t="s">
        <v>251</v>
      </c>
      <c r="K188" s="536"/>
      <c r="L188" s="536" t="s">
        <v>251</v>
      </c>
      <c r="M188" s="536" t="s">
        <v>251</v>
      </c>
      <c r="N188" s="536" t="s">
        <v>251</v>
      </c>
      <c r="O188" s="536" t="s">
        <v>251</v>
      </c>
      <c r="P188" s="1496">
        <f t="shared" si="17"/>
        <v>0</v>
      </c>
      <c r="Q188" s="666">
        <f t="shared" si="21"/>
        <v>0</v>
      </c>
      <c r="R188" s="1046" t="s">
        <v>251</v>
      </c>
      <c r="S188" s="1047" t="s">
        <v>251</v>
      </c>
      <c r="T188" s="1047" t="s">
        <v>251</v>
      </c>
      <c r="U188" s="1047"/>
      <c r="V188" s="1047"/>
      <c r="W188" s="1047"/>
      <c r="X188" s="1047"/>
      <c r="Y188" s="1047"/>
      <c r="Z188" s="1047"/>
      <c r="AA188" s="1047"/>
      <c r="AB188" s="1047"/>
      <c r="AC188" s="1047"/>
      <c r="AD188" s="666">
        <f t="shared" si="19"/>
        <v>0</v>
      </c>
      <c r="AE188" s="576">
        <f t="shared" si="20"/>
        <v>0</v>
      </c>
      <c r="AF188" s="577">
        <f t="shared" si="16"/>
        <v>189</v>
      </c>
    </row>
    <row r="189" spans="1:32" x14ac:dyDescent="0.3">
      <c r="A189" s="7" t="s">
        <v>358</v>
      </c>
      <c r="B189" s="652" t="s">
        <v>388</v>
      </c>
      <c r="C189" s="494"/>
      <c r="D189" s="536" t="s">
        <v>251</v>
      </c>
      <c r="E189" s="536" t="s">
        <v>251</v>
      </c>
      <c r="F189" s="536" t="s">
        <v>251</v>
      </c>
      <c r="G189" s="536" t="s">
        <v>251</v>
      </c>
      <c r="H189" s="536" t="s">
        <v>251</v>
      </c>
      <c r="I189" s="536" t="s">
        <v>251</v>
      </c>
      <c r="J189" s="536" t="s">
        <v>251</v>
      </c>
      <c r="K189" s="536"/>
      <c r="L189" s="536" t="s">
        <v>251</v>
      </c>
      <c r="M189" s="536" t="s">
        <v>251</v>
      </c>
      <c r="N189" s="536" t="s">
        <v>251</v>
      </c>
      <c r="O189" s="536" t="s">
        <v>251</v>
      </c>
      <c r="P189" s="1496">
        <f t="shared" si="17"/>
        <v>0</v>
      </c>
      <c r="Q189" s="666">
        <f t="shared" si="21"/>
        <v>0</v>
      </c>
      <c r="R189" s="1046" t="s">
        <v>251</v>
      </c>
      <c r="S189" s="1047" t="s">
        <v>251</v>
      </c>
      <c r="T189" s="1047" t="s">
        <v>251</v>
      </c>
      <c r="U189" s="1047"/>
      <c r="V189" s="1047"/>
      <c r="W189" s="1047"/>
      <c r="X189" s="1047"/>
      <c r="Y189" s="1047"/>
      <c r="Z189" s="1047"/>
      <c r="AA189" s="1047"/>
      <c r="AB189" s="1047"/>
      <c r="AC189" s="1047"/>
      <c r="AD189" s="666">
        <f t="shared" si="19"/>
        <v>0</v>
      </c>
      <c r="AE189" s="576">
        <f t="shared" si="20"/>
        <v>0</v>
      </c>
      <c r="AF189" s="577">
        <f t="shared" si="16"/>
        <v>189</v>
      </c>
    </row>
    <row r="190" spans="1:32" x14ac:dyDescent="0.3">
      <c r="A190" s="7" t="s">
        <v>358</v>
      </c>
      <c r="B190" s="652" t="s">
        <v>389</v>
      </c>
      <c r="C190" s="494"/>
      <c r="D190" s="536" t="s">
        <v>251</v>
      </c>
      <c r="E190" s="536" t="s">
        <v>251</v>
      </c>
      <c r="F190" s="536" t="s">
        <v>251</v>
      </c>
      <c r="G190" s="536" t="s">
        <v>251</v>
      </c>
      <c r="H190" s="536" t="s">
        <v>251</v>
      </c>
      <c r="I190" s="536" t="s">
        <v>251</v>
      </c>
      <c r="J190" s="536" t="s">
        <v>251</v>
      </c>
      <c r="K190" s="536"/>
      <c r="L190" s="536" t="s">
        <v>251</v>
      </c>
      <c r="M190" s="536" t="s">
        <v>251</v>
      </c>
      <c r="N190" s="536" t="s">
        <v>251</v>
      </c>
      <c r="O190" s="536" t="s">
        <v>251</v>
      </c>
      <c r="P190" s="1496">
        <f t="shared" si="17"/>
        <v>0</v>
      </c>
      <c r="Q190" s="666">
        <f t="shared" si="21"/>
        <v>0</v>
      </c>
      <c r="R190" s="1046" t="s">
        <v>251</v>
      </c>
      <c r="S190" s="1047" t="s">
        <v>251</v>
      </c>
      <c r="T190" s="1047" t="s">
        <v>251</v>
      </c>
      <c r="U190" s="1047"/>
      <c r="V190" s="1047"/>
      <c r="W190" s="1047"/>
      <c r="X190" s="1047"/>
      <c r="Y190" s="1047"/>
      <c r="Z190" s="1047"/>
      <c r="AA190" s="1047"/>
      <c r="AB190" s="1047"/>
      <c r="AC190" s="1047"/>
      <c r="AD190" s="666">
        <f t="shared" si="19"/>
        <v>0</v>
      </c>
      <c r="AE190" s="576">
        <f t="shared" si="20"/>
        <v>0</v>
      </c>
      <c r="AF190" s="577">
        <f t="shared" si="16"/>
        <v>189</v>
      </c>
    </row>
    <row r="191" spans="1:32" x14ac:dyDescent="0.3">
      <c r="A191" s="7" t="s">
        <v>358</v>
      </c>
      <c r="B191" s="652" t="s">
        <v>390</v>
      </c>
      <c r="C191" s="494"/>
      <c r="D191" s="536">
        <v>0</v>
      </c>
      <c r="E191" s="536">
        <v>0</v>
      </c>
      <c r="F191" s="536">
        <v>0</v>
      </c>
      <c r="G191" s="536">
        <v>0</v>
      </c>
      <c r="H191" s="536">
        <v>222860</v>
      </c>
      <c r="I191" s="536">
        <v>0</v>
      </c>
      <c r="J191" s="536">
        <v>0</v>
      </c>
      <c r="K191" s="536">
        <v>0</v>
      </c>
      <c r="L191" s="536">
        <v>0</v>
      </c>
      <c r="M191" s="536">
        <v>0</v>
      </c>
      <c r="N191" s="536">
        <v>0</v>
      </c>
      <c r="O191" s="536">
        <v>294240</v>
      </c>
      <c r="P191" s="1496">
        <f t="shared" si="17"/>
        <v>222860</v>
      </c>
      <c r="Q191" s="666">
        <f t="shared" si="21"/>
        <v>517100</v>
      </c>
      <c r="R191" s="1046" t="s">
        <v>251</v>
      </c>
      <c r="S191" s="1047" t="s">
        <v>251</v>
      </c>
      <c r="T191" s="1047" t="s">
        <v>251</v>
      </c>
      <c r="U191" s="1047"/>
      <c r="V191" s="1047"/>
      <c r="W191" s="1047"/>
      <c r="X191" s="1047"/>
      <c r="Y191" s="1047"/>
      <c r="Z191" s="1047"/>
      <c r="AA191" s="1047"/>
      <c r="AB191" s="1047"/>
      <c r="AC191" s="1047"/>
      <c r="AD191" s="666">
        <f t="shared" si="19"/>
        <v>0</v>
      </c>
      <c r="AE191" s="576">
        <f t="shared" si="20"/>
        <v>-1</v>
      </c>
      <c r="AF191" s="577">
        <f t="shared" si="16"/>
        <v>189</v>
      </c>
    </row>
    <row r="192" spans="1:32" x14ac:dyDescent="0.3">
      <c r="A192" s="7" t="s">
        <v>358</v>
      </c>
      <c r="B192" s="652" t="s">
        <v>391</v>
      </c>
      <c r="C192" s="494"/>
      <c r="D192" s="536">
        <v>0</v>
      </c>
      <c r="E192" s="536">
        <v>0</v>
      </c>
      <c r="F192" s="536">
        <v>0</v>
      </c>
      <c r="G192" s="536">
        <v>0</v>
      </c>
      <c r="H192" s="536">
        <v>0</v>
      </c>
      <c r="I192" s="536">
        <v>303390</v>
      </c>
      <c r="J192" s="536">
        <v>152920</v>
      </c>
      <c r="K192" s="536">
        <v>152920</v>
      </c>
      <c r="L192" s="536">
        <v>896350</v>
      </c>
      <c r="M192" s="536">
        <v>0</v>
      </c>
      <c r="N192" s="536">
        <v>0</v>
      </c>
      <c r="O192" s="536">
        <v>0</v>
      </c>
      <c r="P192" s="1496">
        <f t="shared" si="17"/>
        <v>456310</v>
      </c>
      <c r="Q192" s="666">
        <f t="shared" si="21"/>
        <v>1352660</v>
      </c>
      <c r="R192" s="1046" t="s">
        <v>251</v>
      </c>
      <c r="S192" s="1047" t="s">
        <v>251</v>
      </c>
      <c r="T192" s="1047" t="s">
        <v>251</v>
      </c>
      <c r="U192" s="1047"/>
      <c r="V192" s="1047"/>
      <c r="W192" s="1047"/>
      <c r="X192" s="1047"/>
      <c r="Y192" s="1047"/>
      <c r="Z192" s="1047"/>
      <c r="AA192" s="1047"/>
      <c r="AB192" s="1047"/>
      <c r="AC192" s="1047"/>
      <c r="AD192" s="666">
        <f t="shared" si="19"/>
        <v>0</v>
      </c>
      <c r="AE192" s="576">
        <f t="shared" si="20"/>
        <v>-1</v>
      </c>
      <c r="AF192" s="577">
        <f t="shared" si="16"/>
        <v>189</v>
      </c>
    </row>
    <row r="193" spans="1:32" x14ac:dyDescent="0.3">
      <c r="A193" s="7" t="s">
        <v>358</v>
      </c>
      <c r="B193" s="652" t="s">
        <v>586</v>
      </c>
      <c r="C193" s="494"/>
      <c r="D193" s="536">
        <v>0</v>
      </c>
      <c r="E193" s="536">
        <v>0</v>
      </c>
      <c r="F193" s="536">
        <v>0</v>
      </c>
      <c r="G193" s="536">
        <v>0</v>
      </c>
      <c r="H193" s="536">
        <v>0</v>
      </c>
      <c r="I193" s="536">
        <v>137960</v>
      </c>
      <c r="J193" s="536">
        <v>0</v>
      </c>
      <c r="K193" s="536">
        <v>0</v>
      </c>
      <c r="L193" s="536">
        <v>0</v>
      </c>
      <c r="M193" s="536">
        <v>0</v>
      </c>
      <c r="N193" s="536">
        <v>0</v>
      </c>
      <c r="O193" s="536">
        <v>0</v>
      </c>
      <c r="P193" s="1496">
        <f t="shared" si="17"/>
        <v>137960</v>
      </c>
      <c r="Q193" s="666">
        <f t="shared" si="21"/>
        <v>137960</v>
      </c>
      <c r="R193" s="1046" t="s">
        <v>251</v>
      </c>
      <c r="S193" s="1047" t="s">
        <v>251</v>
      </c>
      <c r="T193" s="1047" t="s">
        <v>251</v>
      </c>
      <c r="U193" s="1047"/>
      <c r="V193" s="1047"/>
      <c r="W193" s="1047"/>
      <c r="X193" s="1047"/>
      <c r="Y193" s="1047"/>
      <c r="Z193" s="1047"/>
      <c r="AA193" s="1047"/>
      <c r="AB193" s="1047"/>
      <c r="AC193" s="1047"/>
      <c r="AD193" s="666">
        <f t="shared" si="19"/>
        <v>0</v>
      </c>
      <c r="AE193" s="576">
        <f t="shared" si="20"/>
        <v>-1</v>
      </c>
      <c r="AF193" s="577">
        <f t="shared" si="16"/>
        <v>189</v>
      </c>
    </row>
    <row r="194" spans="1:32" x14ac:dyDescent="0.3">
      <c r="A194" s="7" t="s">
        <v>358</v>
      </c>
      <c r="B194" s="652" t="s">
        <v>392</v>
      </c>
      <c r="C194" s="494"/>
      <c r="D194" s="536">
        <v>0</v>
      </c>
      <c r="E194" s="536">
        <v>0</v>
      </c>
      <c r="F194" s="536">
        <v>0</v>
      </c>
      <c r="G194" s="536">
        <v>0</v>
      </c>
      <c r="H194" s="536">
        <v>0</v>
      </c>
      <c r="I194" s="536">
        <v>0</v>
      </c>
      <c r="J194" s="536">
        <v>0</v>
      </c>
      <c r="K194" s="536"/>
      <c r="L194" s="536">
        <v>0</v>
      </c>
      <c r="M194" s="536">
        <v>476640</v>
      </c>
      <c r="N194" s="536">
        <v>0</v>
      </c>
      <c r="O194" s="536">
        <v>250250</v>
      </c>
      <c r="P194" s="1496">
        <f t="shared" si="17"/>
        <v>0</v>
      </c>
      <c r="Q194" s="666">
        <f t="shared" si="21"/>
        <v>726890</v>
      </c>
      <c r="R194" s="1046" t="s">
        <v>251</v>
      </c>
      <c r="S194" s="1047" t="s">
        <v>251</v>
      </c>
      <c r="T194" s="1047" t="s">
        <v>251</v>
      </c>
      <c r="U194" s="1047"/>
      <c r="V194" s="1047"/>
      <c r="W194" s="1047"/>
      <c r="X194" s="1047"/>
      <c r="Y194" s="1047"/>
      <c r="Z194" s="1047"/>
      <c r="AA194" s="1047"/>
      <c r="AB194" s="1047"/>
      <c r="AC194" s="1047"/>
      <c r="AD194" s="666">
        <f t="shared" si="19"/>
        <v>0</v>
      </c>
      <c r="AE194" s="576">
        <f t="shared" si="20"/>
        <v>0</v>
      </c>
      <c r="AF194" s="577">
        <f t="shared" ref="AF194:AF257" si="22">IFERROR(_xlfn.RANK.EQ(AD194, $AD$2:$AD$483), "")</f>
        <v>189</v>
      </c>
    </row>
    <row r="195" spans="1:32" x14ac:dyDescent="0.3">
      <c r="A195" s="7" t="s">
        <v>358</v>
      </c>
      <c r="B195" s="652" t="s">
        <v>393</v>
      </c>
      <c r="C195" s="494"/>
      <c r="D195" s="536">
        <v>0</v>
      </c>
      <c r="E195" s="536">
        <v>58670</v>
      </c>
      <c r="F195" s="536">
        <v>0</v>
      </c>
      <c r="G195" s="536">
        <v>0</v>
      </c>
      <c r="H195" s="536">
        <v>271250</v>
      </c>
      <c r="I195" s="536">
        <v>0</v>
      </c>
      <c r="J195" s="536">
        <v>0</v>
      </c>
      <c r="K195" s="536">
        <v>0</v>
      </c>
      <c r="L195" s="536">
        <v>139350</v>
      </c>
      <c r="M195" s="536">
        <v>0</v>
      </c>
      <c r="N195" s="536">
        <v>0</v>
      </c>
      <c r="O195" s="536">
        <v>0</v>
      </c>
      <c r="P195" s="1496">
        <f t="shared" si="17"/>
        <v>329920</v>
      </c>
      <c r="Q195" s="666">
        <f t="shared" si="21"/>
        <v>469270</v>
      </c>
      <c r="R195" s="1046" t="s">
        <v>251</v>
      </c>
      <c r="S195" s="1047" t="s">
        <v>251</v>
      </c>
      <c r="T195" s="1047" t="s">
        <v>251</v>
      </c>
      <c r="U195" s="1047"/>
      <c r="V195" s="1047"/>
      <c r="W195" s="1047"/>
      <c r="X195" s="1047"/>
      <c r="Y195" s="1047"/>
      <c r="Z195" s="1047"/>
      <c r="AA195" s="1047"/>
      <c r="AB195" s="1047"/>
      <c r="AC195" s="1047"/>
      <c r="AD195" s="666">
        <f t="shared" si="19"/>
        <v>0</v>
      </c>
      <c r="AE195" s="576">
        <f t="shared" si="20"/>
        <v>-1</v>
      </c>
      <c r="AF195" s="577">
        <f t="shared" si="22"/>
        <v>189</v>
      </c>
    </row>
    <row r="196" spans="1:32" x14ac:dyDescent="0.3">
      <c r="A196" s="7" t="s">
        <v>358</v>
      </c>
      <c r="B196" s="652" t="s">
        <v>394</v>
      </c>
      <c r="C196" s="494"/>
      <c r="D196" s="536">
        <v>0</v>
      </c>
      <c r="E196" s="536">
        <v>0</v>
      </c>
      <c r="F196" s="536">
        <v>0</v>
      </c>
      <c r="G196" s="536">
        <v>0</v>
      </c>
      <c r="H196" s="536">
        <v>0</v>
      </c>
      <c r="I196" s="536">
        <v>83220</v>
      </c>
      <c r="J196" s="536">
        <v>0</v>
      </c>
      <c r="K196" s="536">
        <v>0</v>
      </c>
      <c r="L196" s="536">
        <v>0</v>
      </c>
      <c r="M196" s="536">
        <v>359470</v>
      </c>
      <c r="N196" s="536">
        <v>0</v>
      </c>
      <c r="O196" s="536">
        <v>0</v>
      </c>
      <c r="P196" s="1496">
        <f t="shared" ref="P196:P259" si="23">SUM(C196:I196,K196)</f>
        <v>83220</v>
      </c>
      <c r="Q196" s="666">
        <f t="shared" si="21"/>
        <v>442690</v>
      </c>
      <c r="R196" s="1046" t="s">
        <v>251</v>
      </c>
      <c r="S196" s="1047" t="s">
        <v>251</v>
      </c>
      <c r="T196" s="1047" t="s">
        <v>251</v>
      </c>
      <c r="U196" s="1047"/>
      <c r="V196" s="1047"/>
      <c r="W196" s="1047"/>
      <c r="X196" s="1047"/>
      <c r="Y196" s="1047"/>
      <c r="Z196" s="1047"/>
      <c r="AA196" s="1047"/>
      <c r="AB196" s="1047"/>
      <c r="AC196" s="1047"/>
      <c r="AD196" s="666">
        <f t="shared" si="19"/>
        <v>0</v>
      </c>
      <c r="AE196" s="576">
        <f t="shared" si="20"/>
        <v>-1</v>
      </c>
      <c r="AF196" s="577">
        <f t="shared" si="22"/>
        <v>189</v>
      </c>
    </row>
    <row r="197" spans="1:32" x14ac:dyDescent="0.3">
      <c r="A197" s="7" t="s">
        <v>358</v>
      </c>
      <c r="B197" s="652" t="s">
        <v>395</v>
      </c>
      <c r="C197" s="494"/>
      <c r="D197" s="536">
        <v>0</v>
      </c>
      <c r="E197" s="536">
        <v>0</v>
      </c>
      <c r="F197" s="536">
        <v>0</v>
      </c>
      <c r="G197" s="536">
        <v>0</v>
      </c>
      <c r="H197" s="536">
        <v>0</v>
      </c>
      <c r="I197" s="536">
        <v>400630</v>
      </c>
      <c r="J197" s="536">
        <v>0</v>
      </c>
      <c r="K197" s="536">
        <v>0</v>
      </c>
      <c r="L197" s="536">
        <v>0</v>
      </c>
      <c r="M197" s="536">
        <v>0</v>
      </c>
      <c r="N197" s="536">
        <v>0</v>
      </c>
      <c r="O197" s="536">
        <v>0</v>
      </c>
      <c r="P197" s="1496">
        <f t="shared" si="23"/>
        <v>400630</v>
      </c>
      <c r="Q197" s="666">
        <f t="shared" si="21"/>
        <v>400630</v>
      </c>
      <c r="R197" s="1046" t="s">
        <v>251</v>
      </c>
      <c r="S197" s="1047" t="s">
        <v>251</v>
      </c>
      <c r="T197" s="1047" t="s">
        <v>251</v>
      </c>
      <c r="U197" s="1047"/>
      <c r="V197" s="1047"/>
      <c r="W197" s="1047"/>
      <c r="X197" s="1047"/>
      <c r="Y197" s="1047"/>
      <c r="Z197" s="1047"/>
      <c r="AA197" s="1047"/>
      <c r="AB197" s="1047"/>
      <c r="AC197" s="1047"/>
      <c r="AD197" s="666">
        <f t="shared" si="19"/>
        <v>0</v>
      </c>
      <c r="AE197" s="576">
        <f t="shared" si="20"/>
        <v>-1</v>
      </c>
      <c r="AF197" s="577">
        <f t="shared" si="22"/>
        <v>189</v>
      </c>
    </row>
    <row r="198" spans="1:32" x14ac:dyDescent="0.3">
      <c r="A198" s="7" t="s">
        <v>358</v>
      </c>
      <c r="B198" s="652" t="s">
        <v>587</v>
      </c>
      <c r="C198" s="494"/>
      <c r="D198" s="536">
        <v>0</v>
      </c>
      <c r="E198" s="536">
        <v>0</v>
      </c>
      <c r="F198" s="536">
        <v>0</v>
      </c>
      <c r="G198" s="536">
        <v>0</v>
      </c>
      <c r="H198" s="536">
        <v>0</v>
      </c>
      <c r="I198" s="536">
        <v>0</v>
      </c>
      <c r="J198" s="536">
        <v>0</v>
      </c>
      <c r="K198" s="536"/>
      <c r="L198" s="536">
        <v>0</v>
      </c>
      <c r="M198" s="536">
        <v>271010</v>
      </c>
      <c r="N198" s="536">
        <v>44240</v>
      </c>
      <c r="O198" s="536">
        <v>49950</v>
      </c>
      <c r="P198" s="1496">
        <f t="shared" si="23"/>
        <v>0</v>
      </c>
      <c r="Q198" s="666">
        <f t="shared" si="21"/>
        <v>365200</v>
      </c>
      <c r="R198" s="1046" t="s">
        <v>251</v>
      </c>
      <c r="S198" s="1047" t="s">
        <v>251</v>
      </c>
      <c r="T198" s="1047" t="s">
        <v>251</v>
      </c>
      <c r="U198" s="1047"/>
      <c r="V198" s="1047"/>
      <c r="W198" s="1047"/>
      <c r="X198" s="1047"/>
      <c r="Y198" s="1047"/>
      <c r="Z198" s="1047"/>
      <c r="AA198" s="1047"/>
      <c r="AB198" s="1047"/>
      <c r="AC198" s="1047"/>
      <c r="AD198" s="666">
        <f t="shared" si="19"/>
        <v>0</v>
      </c>
      <c r="AE198" s="576">
        <f t="shared" si="20"/>
        <v>0</v>
      </c>
      <c r="AF198" s="577">
        <f t="shared" si="22"/>
        <v>189</v>
      </c>
    </row>
    <row r="199" spans="1:32" x14ac:dyDescent="0.3">
      <c r="A199" s="7" t="s">
        <v>358</v>
      </c>
      <c r="B199" s="652" t="s">
        <v>396</v>
      </c>
      <c r="C199" s="494"/>
      <c r="D199" s="536">
        <v>0</v>
      </c>
      <c r="E199" s="536">
        <v>0</v>
      </c>
      <c r="F199" s="536">
        <v>0</v>
      </c>
      <c r="G199" s="536">
        <v>0</v>
      </c>
      <c r="H199" s="536">
        <v>0</v>
      </c>
      <c r="I199" s="536">
        <v>0</v>
      </c>
      <c r="J199" s="536">
        <v>0</v>
      </c>
      <c r="K199" s="536"/>
      <c r="L199" s="536">
        <v>219900</v>
      </c>
      <c r="M199" s="536">
        <v>0</v>
      </c>
      <c r="N199" s="536">
        <v>0</v>
      </c>
      <c r="O199" s="536">
        <v>0</v>
      </c>
      <c r="P199" s="1496">
        <f t="shared" si="23"/>
        <v>0</v>
      </c>
      <c r="Q199" s="666">
        <f t="shared" si="21"/>
        <v>219900</v>
      </c>
      <c r="R199" s="1046" t="s">
        <v>251</v>
      </c>
      <c r="S199" s="1047" t="s">
        <v>251</v>
      </c>
      <c r="T199" s="1047" t="s">
        <v>251</v>
      </c>
      <c r="U199" s="1047"/>
      <c r="V199" s="1047"/>
      <c r="W199" s="1047"/>
      <c r="X199" s="1047"/>
      <c r="Y199" s="1047"/>
      <c r="Z199" s="1047"/>
      <c r="AA199" s="1047"/>
      <c r="AB199" s="1047"/>
      <c r="AC199" s="1047"/>
      <c r="AD199" s="666">
        <f t="shared" si="19"/>
        <v>0</v>
      </c>
      <c r="AE199" s="576">
        <f t="shared" si="20"/>
        <v>0</v>
      </c>
      <c r="AF199" s="577">
        <f t="shared" si="22"/>
        <v>189</v>
      </c>
    </row>
    <row r="200" spans="1:32" x14ac:dyDescent="0.3">
      <c r="A200" s="7" t="s">
        <v>358</v>
      </c>
      <c r="B200" s="652" t="s">
        <v>397</v>
      </c>
      <c r="C200" s="494"/>
      <c r="D200" s="536">
        <v>0</v>
      </c>
      <c r="E200" s="536">
        <v>0</v>
      </c>
      <c r="F200" s="536">
        <v>0</v>
      </c>
      <c r="G200" s="536">
        <v>0</v>
      </c>
      <c r="H200" s="536">
        <v>0</v>
      </c>
      <c r="I200" s="536">
        <v>0</v>
      </c>
      <c r="J200" s="536">
        <v>27670</v>
      </c>
      <c r="K200" s="536">
        <v>27670</v>
      </c>
      <c r="L200" s="536">
        <v>97060</v>
      </c>
      <c r="M200" s="536">
        <v>0</v>
      </c>
      <c r="N200" s="536">
        <v>0</v>
      </c>
      <c r="O200" s="536">
        <v>0</v>
      </c>
      <c r="P200" s="1496">
        <f t="shared" si="23"/>
        <v>27670</v>
      </c>
      <c r="Q200" s="666">
        <f t="shared" si="21"/>
        <v>124730</v>
      </c>
      <c r="R200" s="1046" t="s">
        <v>251</v>
      </c>
      <c r="S200" s="1047" t="s">
        <v>251</v>
      </c>
      <c r="T200" s="1047" t="s">
        <v>251</v>
      </c>
      <c r="U200" s="1047"/>
      <c r="V200" s="1047"/>
      <c r="W200" s="1047"/>
      <c r="X200" s="1047"/>
      <c r="Y200" s="1047"/>
      <c r="Z200" s="1047"/>
      <c r="AA200" s="1047"/>
      <c r="AB200" s="1047"/>
      <c r="AC200" s="1047"/>
      <c r="AD200" s="666">
        <f t="shared" si="19"/>
        <v>0</v>
      </c>
      <c r="AE200" s="576">
        <f t="shared" si="20"/>
        <v>-1</v>
      </c>
      <c r="AF200" s="577">
        <f t="shared" si="22"/>
        <v>189</v>
      </c>
    </row>
    <row r="201" spans="1:32" x14ac:dyDescent="0.3">
      <c r="A201" s="7" t="s">
        <v>358</v>
      </c>
      <c r="B201" s="652" t="s">
        <v>398</v>
      </c>
      <c r="C201" s="494"/>
      <c r="D201" s="536">
        <v>0</v>
      </c>
      <c r="E201" s="536">
        <v>0</v>
      </c>
      <c r="F201" s="536">
        <v>0</v>
      </c>
      <c r="G201" s="536">
        <v>0</v>
      </c>
      <c r="H201" s="536">
        <v>0</v>
      </c>
      <c r="I201" s="536">
        <v>0</v>
      </c>
      <c r="J201" s="536">
        <v>0</v>
      </c>
      <c r="K201" s="536"/>
      <c r="L201" s="536">
        <v>109950</v>
      </c>
      <c r="M201" s="536">
        <v>0</v>
      </c>
      <c r="N201" s="536">
        <v>0</v>
      </c>
      <c r="O201" s="536">
        <v>0</v>
      </c>
      <c r="P201" s="1496">
        <f t="shared" si="23"/>
        <v>0</v>
      </c>
      <c r="Q201" s="666">
        <f t="shared" si="21"/>
        <v>109950</v>
      </c>
      <c r="R201" s="1046" t="s">
        <v>251</v>
      </c>
      <c r="S201" s="1047" t="s">
        <v>251</v>
      </c>
      <c r="T201" s="1047" t="s">
        <v>251</v>
      </c>
      <c r="U201" s="1047"/>
      <c r="V201" s="1047"/>
      <c r="W201" s="1047"/>
      <c r="X201" s="1047"/>
      <c r="Y201" s="1047"/>
      <c r="Z201" s="1047"/>
      <c r="AA201" s="1047"/>
      <c r="AB201" s="1047"/>
      <c r="AC201" s="1047"/>
      <c r="AD201" s="666">
        <f t="shared" si="19"/>
        <v>0</v>
      </c>
      <c r="AE201" s="576">
        <f>IF(OR(AD201="", P201=""), 0, IFERROR((AD201-P201)/P201, IF(AD201&lt;&gt;0, 1, 0)))</f>
        <v>0</v>
      </c>
      <c r="AF201" s="577">
        <f t="shared" si="22"/>
        <v>189</v>
      </c>
    </row>
    <row r="202" spans="1:32" x14ac:dyDescent="0.3">
      <c r="A202" s="7" t="s">
        <v>358</v>
      </c>
      <c r="B202" s="652" t="s">
        <v>399</v>
      </c>
      <c r="C202" s="494"/>
      <c r="D202" s="536">
        <v>0</v>
      </c>
      <c r="E202" s="536">
        <v>0</v>
      </c>
      <c r="F202" s="536">
        <v>0</v>
      </c>
      <c r="G202" s="536">
        <v>0</v>
      </c>
      <c r="H202" s="536">
        <v>0</v>
      </c>
      <c r="I202" s="536">
        <v>54740</v>
      </c>
      <c r="J202" s="536">
        <v>27800</v>
      </c>
      <c r="K202" s="536">
        <v>27800</v>
      </c>
      <c r="L202" s="536">
        <v>0</v>
      </c>
      <c r="M202" s="536">
        <v>0</v>
      </c>
      <c r="N202" s="536">
        <v>0</v>
      </c>
      <c r="O202" s="536">
        <v>0</v>
      </c>
      <c r="P202" s="1496">
        <f t="shared" si="23"/>
        <v>82540</v>
      </c>
      <c r="Q202" s="666">
        <f t="shared" ref="Q202:Q203" si="24">SUM(C202:J202,L202:O202)</f>
        <v>82540</v>
      </c>
      <c r="R202" s="1046">
        <v>214050</v>
      </c>
      <c r="S202" s="1047" t="s">
        <v>251</v>
      </c>
      <c r="T202" s="1047">
        <v>58560</v>
      </c>
      <c r="U202" s="1047">
        <v>0</v>
      </c>
      <c r="V202" s="1047">
        <v>0</v>
      </c>
      <c r="W202" s="1047">
        <v>0</v>
      </c>
      <c r="X202" s="1047">
        <v>0</v>
      </c>
      <c r="Y202" s="1047">
        <v>0</v>
      </c>
      <c r="Z202" s="1047"/>
      <c r="AA202" s="1047"/>
      <c r="AB202" s="1047"/>
      <c r="AC202" s="1047"/>
      <c r="AD202" s="666">
        <f>SUM(R202:AC202)</f>
        <v>272610</v>
      </c>
      <c r="AE202" s="576">
        <f t="shared" ref="AE202:AE298" si="25">IF(OR(AD202="", P202=""), 0, IFERROR((AD202-P202)/P202, IF(AD202&lt;&gt;0, 1, 0)))</f>
        <v>2.3027622970680883</v>
      </c>
      <c r="AF202" s="577">
        <f t="shared" si="22"/>
        <v>120</v>
      </c>
    </row>
    <row r="203" spans="1:32" x14ac:dyDescent="0.3">
      <c r="A203" s="7" t="s">
        <v>358</v>
      </c>
      <c r="B203" s="652" t="s">
        <v>400</v>
      </c>
      <c r="C203" s="494"/>
      <c r="D203" s="536">
        <v>0</v>
      </c>
      <c r="E203" s="536">
        <v>0</v>
      </c>
      <c r="F203" s="536">
        <v>0</v>
      </c>
      <c r="G203" s="536">
        <v>0</v>
      </c>
      <c r="H203" s="536">
        <v>0</v>
      </c>
      <c r="I203" s="536">
        <v>72760</v>
      </c>
      <c r="J203" s="536">
        <v>0</v>
      </c>
      <c r="K203" s="536">
        <v>0</v>
      </c>
      <c r="L203" s="536">
        <v>0</v>
      </c>
      <c r="M203" s="536">
        <v>0</v>
      </c>
      <c r="N203" s="536">
        <v>0</v>
      </c>
      <c r="O203" s="536">
        <v>0</v>
      </c>
      <c r="P203" s="1496">
        <f t="shared" si="23"/>
        <v>72760</v>
      </c>
      <c r="Q203" s="666">
        <f t="shared" si="24"/>
        <v>72760</v>
      </c>
      <c r="R203" s="1046" t="s">
        <v>251</v>
      </c>
      <c r="S203" s="1047" t="s">
        <v>251</v>
      </c>
      <c r="T203" s="1047" t="s">
        <v>251</v>
      </c>
      <c r="U203" s="1047"/>
      <c r="V203" s="1047"/>
      <c r="W203" s="1047"/>
      <c r="X203" s="1047"/>
      <c r="Y203" s="1047"/>
      <c r="Z203" s="1047"/>
      <c r="AA203" s="1047"/>
      <c r="AB203" s="1047"/>
      <c r="AC203" s="1047"/>
      <c r="AD203" s="666">
        <f t="shared" ref="AD203:AD302" si="26">SUM(R203:AC203)</f>
        <v>0</v>
      </c>
      <c r="AE203" s="576">
        <f t="shared" si="25"/>
        <v>-1</v>
      </c>
      <c r="AF203" s="577">
        <f t="shared" si="22"/>
        <v>189</v>
      </c>
    </row>
    <row r="204" spans="1:32" x14ac:dyDescent="0.3">
      <c r="A204" s="7" t="s">
        <v>358</v>
      </c>
      <c r="B204" s="652" t="s">
        <v>401</v>
      </c>
      <c r="C204" s="494"/>
      <c r="D204" s="536">
        <v>0</v>
      </c>
      <c r="E204" s="536">
        <v>0</v>
      </c>
      <c r="F204" s="536">
        <v>0</v>
      </c>
      <c r="G204" s="536">
        <v>0</v>
      </c>
      <c r="H204" s="536">
        <v>0</v>
      </c>
      <c r="I204" s="536">
        <v>0</v>
      </c>
      <c r="J204" s="536">
        <v>0</v>
      </c>
      <c r="K204" s="536"/>
      <c r="L204" s="536">
        <v>55700</v>
      </c>
      <c r="M204" s="536">
        <v>0</v>
      </c>
      <c r="N204" s="536">
        <v>0</v>
      </c>
      <c r="O204" s="536">
        <v>0</v>
      </c>
      <c r="P204" s="1496">
        <f t="shared" si="23"/>
        <v>0</v>
      </c>
      <c r="Q204" s="666">
        <f>SUM(C204:J204,L204:O204)</f>
        <v>55700</v>
      </c>
      <c r="R204" s="1046" t="s">
        <v>251</v>
      </c>
      <c r="S204" s="1047" t="s">
        <v>251</v>
      </c>
      <c r="T204" s="1047" t="s">
        <v>251</v>
      </c>
      <c r="U204" s="1047"/>
      <c r="V204" s="1047"/>
      <c r="W204" s="1047"/>
      <c r="X204" s="1047"/>
      <c r="Y204" s="1047"/>
      <c r="Z204" s="1047"/>
      <c r="AA204" s="1047"/>
      <c r="AB204" s="1047"/>
      <c r="AC204" s="1047"/>
      <c r="AD204" s="666">
        <f t="shared" si="26"/>
        <v>0</v>
      </c>
      <c r="AE204" s="576">
        <f t="shared" si="25"/>
        <v>0</v>
      </c>
      <c r="AF204" s="577">
        <f t="shared" si="22"/>
        <v>189</v>
      </c>
    </row>
    <row r="205" spans="1:32" x14ac:dyDescent="0.3">
      <c r="A205" s="7" t="s">
        <v>358</v>
      </c>
      <c r="B205" s="652" t="s">
        <v>402</v>
      </c>
      <c r="C205" s="494"/>
      <c r="D205" s="536">
        <v>0</v>
      </c>
      <c r="E205" s="536">
        <v>0</v>
      </c>
      <c r="F205" s="536">
        <v>0</v>
      </c>
      <c r="G205" s="536">
        <v>0</v>
      </c>
      <c r="H205" s="536">
        <v>0</v>
      </c>
      <c r="I205" s="536">
        <v>42970</v>
      </c>
      <c r="J205" s="536">
        <v>0</v>
      </c>
      <c r="K205" s="536">
        <v>0</v>
      </c>
      <c r="L205" s="536">
        <v>0</v>
      </c>
      <c r="M205" s="536">
        <v>0</v>
      </c>
      <c r="N205" s="536">
        <v>0</v>
      </c>
      <c r="O205" s="536">
        <v>0</v>
      </c>
      <c r="P205" s="1496">
        <f t="shared" si="23"/>
        <v>42970</v>
      </c>
      <c r="Q205" s="666">
        <f t="shared" ref="Q205:Q268" si="27">SUM(C205:J205,L205:O205)</f>
        <v>42970</v>
      </c>
      <c r="R205" s="1046" t="s">
        <v>251</v>
      </c>
      <c r="S205" s="1047" t="s">
        <v>251</v>
      </c>
      <c r="T205" s="1047" t="s">
        <v>251</v>
      </c>
      <c r="U205" s="1047"/>
      <c r="V205" s="1047"/>
      <c r="W205" s="1047"/>
      <c r="X205" s="1047"/>
      <c r="Y205" s="1047"/>
      <c r="Z205" s="1047"/>
      <c r="AA205" s="1047"/>
      <c r="AB205" s="1047"/>
      <c r="AC205" s="1047"/>
      <c r="AD205" s="666">
        <f t="shared" si="26"/>
        <v>0</v>
      </c>
      <c r="AE205" s="576">
        <f t="shared" si="25"/>
        <v>-1</v>
      </c>
      <c r="AF205" s="577">
        <f t="shared" si="22"/>
        <v>189</v>
      </c>
    </row>
    <row r="206" spans="1:32" x14ac:dyDescent="0.3">
      <c r="A206" s="7" t="s">
        <v>358</v>
      </c>
      <c r="B206" s="652" t="s">
        <v>403</v>
      </c>
      <c r="C206" s="494"/>
      <c r="D206" s="536">
        <v>0</v>
      </c>
      <c r="E206" s="536">
        <v>0</v>
      </c>
      <c r="F206" s="536">
        <v>0</v>
      </c>
      <c r="G206" s="536">
        <v>0</v>
      </c>
      <c r="H206" s="536">
        <v>42830</v>
      </c>
      <c r="I206" s="536">
        <v>0</v>
      </c>
      <c r="J206" s="536">
        <v>0</v>
      </c>
      <c r="K206" s="536">
        <v>0</v>
      </c>
      <c r="L206" s="536">
        <v>0</v>
      </c>
      <c r="M206" s="536">
        <v>0</v>
      </c>
      <c r="N206" s="536">
        <v>0</v>
      </c>
      <c r="O206" s="536">
        <v>0</v>
      </c>
      <c r="P206" s="1496">
        <f t="shared" si="23"/>
        <v>42830</v>
      </c>
      <c r="Q206" s="666">
        <f t="shared" si="27"/>
        <v>42830</v>
      </c>
      <c r="R206" s="1046" t="s">
        <v>251</v>
      </c>
      <c r="S206" s="1047" t="s">
        <v>251</v>
      </c>
      <c r="T206" s="1047" t="s">
        <v>251</v>
      </c>
      <c r="U206" s="1047"/>
      <c r="V206" s="1047"/>
      <c r="W206" s="1047"/>
      <c r="X206" s="1047"/>
      <c r="Y206" s="1047"/>
      <c r="Z206" s="1047"/>
      <c r="AA206" s="1047"/>
      <c r="AB206" s="1047"/>
      <c r="AC206" s="1047"/>
      <c r="AD206" s="666">
        <f t="shared" si="26"/>
        <v>0</v>
      </c>
      <c r="AE206" s="576">
        <f t="shared" si="25"/>
        <v>-1</v>
      </c>
      <c r="AF206" s="577">
        <f t="shared" si="22"/>
        <v>189</v>
      </c>
    </row>
    <row r="207" spans="1:32" x14ac:dyDescent="0.3">
      <c r="A207" s="7" t="s">
        <v>358</v>
      </c>
      <c r="B207" s="652" t="s">
        <v>404</v>
      </c>
      <c r="C207" s="494"/>
      <c r="D207" s="536">
        <v>0</v>
      </c>
      <c r="E207" s="536">
        <v>0</v>
      </c>
      <c r="F207" s="536">
        <v>0</v>
      </c>
      <c r="G207" s="536">
        <v>0</v>
      </c>
      <c r="H207" s="536">
        <v>0</v>
      </c>
      <c r="I207" s="536">
        <v>0</v>
      </c>
      <c r="J207" s="536">
        <v>0</v>
      </c>
      <c r="K207" s="536"/>
      <c r="L207" s="536">
        <v>30620</v>
      </c>
      <c r="M207" s="536">
        <v>0</v>
      </c>
      <c r="N207" s="536">
        <v>0</v>
      </c>
      <c r="O207" s="536">
        <v>0</v>
      </c>
      <c r="P207" s="1496">
        <f t="shared" si="23"/>
        <v>0</v>
      </c>
      <c r="Q207" s="666">
        <f t="shared" si="27"/>
        <v>30620</v>
      </c>
      <c r="R207" s="1046" t="s">
        <v>251</v>
      </c>
      <c r="S207" s="1047" t="s">
        <v>251</v>
      </c>
      <c r="T207" s="1047" t="s">
        <v>251</v>
      </c>
      <c r="U207" s="1047">
        <v>29460</v>
      </c>
      <c r="V207" s="1047">
        <v>0</v>
      </c>
      <c r="W207" s="1047">
        <v>0</v>
      </c>
      <c r="X207" s="1047">
        <v>0</v>
      </c>
      <c r="Y207" s="1047">
        <v>0</v>
      </c>
      <c r="Z207" s="1047"/>
      <c r="AA207" s="1047"/>
      <c r="AB207" s="1047"/>
      <c r="AC207" s="1047"/>
      <c r="AD207" s="666">
        <f t="shared" si="26"/>
        <v>29460</v>
      </c>
      <c r="AE207" s="576">
        <f t="shared" si="25"/>
        <v>1</v>
      </c>
      <c r="AF207" s="577">
        <f t="shared" si="22"/>
        <v>184</v>
      </c>
    </row>
    <row r="208" spans="1:32" x14ac:dyDescent="0.3">
      <c r="A208" s="7" t="s">
        <v>358</v>
      </c>
      <c r="B208" s="652" t="s">
        <v>405</v>
      </c>
      <c r="C208" s="494"/>
      <c r="D208" s="536">
        <v>0</v>
      </c>
      <c r="E208" s="536">
        <v>0</v>
      </c>
      <c r="F208" s="536">
        <v>0</v>
      </c>
      <c r="G208" s="536">
        <v>0</v>
      </c>
      <c r="H208" s="536">
        <v>0</v>
      </c>
      <c r="I208" s="536">
        <v>0</v>
      </c>
      <c r="J208" s="536">
        <v>0</v>
      </c>
      <c r="K208" s="536"/>
      <c r="L208" s="536">
        <v>0</v>
      </c>
      <c r="M208" s="536">
        <v>28730</v>
      </c>
      <c r="N208" s="536">
        <v>0</v>
      </c>
      <c r="O208" s="536">
        <v>0</v>
      </c>
      <c r="P208" s="1496">
        <f t="shared" si="23"/>
        <v>0</v>
      </c>
      <c r="Q208" s="666">
        <f t="shared" si="27"/>
        <v>28730</v>
      </c>
      <c r="R208" s="1046" t="s">
        <v>251</v>
      </c>
      <c r="S208" s="1047" t="s">
        <v>251</v>
      </c>
      <c r="T208" s="1047" t="s">
        <v>251</v>
      </c>
      <c r="U208" s="1047"/>
      <c r="V208" s="1047"/>
      <c r="W208" s="1047"/>
      <c r="X208" s="1047"/>
      <c r="Y208" s="1047"/>
      <c r="Z208" s="1047"/>
      <c r="AA208" s="1047"/>
      <c r="AB208" s="1047"/>
      <c r="AC208" s="1047"/>
      <c r="AD208" s="666">
        <f t="shared" si="26"/>
        <v>0</v>
      </c>
      <c r="AE208" s="576">
        <f t="shared" si="25"/>
        <v>0</v>
      </c>
      <c r="AF208" s="577">
        <f t="shared" si="22"/>
        <v>189</v>
      </c>
    </row>
    <row r="209" spans="1:32" x14ac:dyDescent="0.3">
      <c r="A209" s="7" t="s">
        <v>358</v>
      </c>
      <c r="B209" s="652" t="s">
        <v>406</v>
      </c>
      <c r="C209" s="494"/>
      <c r="D209" s="536">
        <v>0</v>
      </c>
      <c r="E209" s="536">
        <v>0</v>
      </c>
      <c r="F209" s="536">
        <v>0</v>
      </c>
      <c r="G209" s="536">
        <v>0</v>
      </c>
      <c r="H209" s="536">
        <v>27330</v>
      </c>
      <c r="I209" s="536">
        <v>0</v>
      </c>
      <c r="J209" s="536">
        <v>0</v>
      </c>
      <c r="K209" s="536">
        <v>0</v>
      </c>
      <c r="L209" s="536">
        <v>0</v>
      </c>
      <c r="M209" s="536">
        <v>0</v>
      </c>
      <c r="N209" s="536">
        <v>0</v>
      </c>
      <c r="O209" s="536">
        <v>0</v>
      </c>
      <c r="P209" s="1496">
        <f t="shared" si="23"/>
        <v>27330</v>
      </c>
      <c r="Q209" s="666">
        <f t="shared" si="27"/>
        <v>27330</v>
      </c>
      <c r="R209" s="1046" t="s">
        <v>251</v>
      </c>
      <c r="S209" s="1047" t="s">
        <v>251</v>
      </c>
      <c r="T209" s="1047" t="s">
        <v>251</v>
      </c>
      <c r="U209" s="1047"/>
      <c r="V209" s="1047"/>
      <c r="W209" s="1047"/>
      <c r="X209" s="1047"/>
      <c r="Y209" s="1047"/>
      <c r="Z209" s="1047"/>
      <c r="AA209" s="1047"/>
      <c r="AB209" s="1047"/>
      <c r="AC209" s="1047"/>
      <c r="AD209" s="666">
        <f t="shared" si="26"/>
        <v>0</v>
      </c>
      <c r="AE209" s="576">
        <f t="shared" si="25"/>
        <v>-1</v>
      </c>
      <c r="AF209" s="577">
        <f t="shared" si="22"/>
        <v>189</v>
      </c>
    </row>
    <row r="210" spans="1:32" x14ac:dyDescent="0.3">
      <c r="A210" s="7" t="s">
        <v>358</v>
      </c>
      <c r="B210" s="652" t="s">
        <v>1191</v>
      </c>
      <c r="C210" s="494"/>
      <c r="D210" s="536" t="s">
        <v>251</v>
      </c>
      <c r="E210" s="536" t="s">
        <v>251</v>
      </c>
      <c r="F210" s="536" t="s">
        <v>251</v>
      </c>
      <c r="G210" s="536" t="s">
        <v>251</v>
      </c>
      <c r="H210" s="536" t="s">
        <v>251</v>
      </c>
      <c r="I210" s="536" t="s">
        <v>251</v>
      </c>
      <c r="J210" s="536" t="s">
        <v>251</v>
      </c>
      <c r="K210" s="536"/>
      <c r="L210" s="536" t="s">
        <v>251</v>
      </c>
      <c r="M210" s="536" t="s">
        <v>251</v>
      </c>
      <c r="N210" s="536" t="s">
        <v>251</v>
      </c>
      <c r="O210" s="536" t="s">
        <v>251</v>
      </c>
      <c r="P210" s="1496">
        <f t="shared" si="23"/>
        <v>0</v>
      </c>
      <c r="Q210" s="666">
        <f t="shared" si="27"/>
        <v>0</v>
      </c>
      <c r="R210" s="1046" t="s">
        <v>251</v>
      </c>
      <c r="S210" s="1047" t="s">
        <v>251</v>
      </c>
      <c r="T210" s="1047" t="s">
        <v>251</v>
      </c>
      <c r="U210" s="1047"/>
      <c r="V210" s="1047"/>
      <c r="W210" s="1047"/>
      <c r="X210" s="1047"/>
      <c r="Y210" s="1047"/>
      <c r="Z210" s="1047"/>
      <c r="AA210" s="1047"/>
      <c r="AB210" s="1047"/>
      <c r="AC210" s="1047"/>
      <c r="AD210" s="666">
        <f t="shared" si="26"/>
        <v>0</v>
      </c>
      <c r="AE210" s="576">
        <f t="shared" si="25"/>
        <v>0</v>
      </c>
      <c r="AF210" s="577">
        <f t="shared" si="22"/>
        <v>189</v>
      </c>
    </row>
    <row r="211" spans="1:32" x14ac:dyDescent="0.3">
      <c r="A211" s="7" t="s">
        <v>358</v>
      </c>
      <c r="B211" s="652" t="s">
        <v>1736</v>
      </c>
      <c r="C211" s="494"/>
      <c r="D211" s="536" t="s">
        <v>251</v>
      </c>
      <c r="E211" s="536" t="s">
        <v>251</v>
      </c>
      <c r="F211" s="536" t="s">
        <v>251</v>
      </c>
      <c r="G211" s="536" t="s">
        <v>251</v>
      </c>
      <c r="H211" s="536" t="s">
        <v>251</v>
      </c>
      <c r="I211" s="536" t="s">
        <v>251</v>
      </c>
      <c r="J211" s="536" t="s">
        <v>251</v>
      </c>
      <c r="K211" s="536"/>
      <c r="L211" s="536" t="s">
        <v>251</v>
      </c>
      <c r="M211" s="536" t="s">
        <v>251</v>
      </c>
      <c r="N211" s="536" t="s">
        <v>251</v>
      </c>
      <c r="O211" s="536" t="s">
        <v>251</v>
      </c>
      <c r="P211" s="1496">
        <f t="shared" si="23"/>
        <v>0</v>
      </c>
      <c r="Q211" s="666">
        <f t="shared" si="27"/>
        <v>0</v>
      </c>
      <c r="R211" s="1046" t="s">
        <v>251</v>
      </c>
      <c r="S211" s="1047" t="s">
        <v>251</v>
      </c>
      <c r="T211" s="1047" t="s">
        <v>251</v>
      </c>
      <c r="U211" s="1047"/>
      <c r="V211" s="1047"/>
      <c r="W211" s="1047"/>
      <c r="X211" s="1047"/>
      <c r="Y211" s="1047"/>
      <c r="Z211" s="1047"/>
      <c r="AA211" s="1047"/>
      <c r="AB211" s="1047"/>
      <c r="AC211" s="1047"/>
      <c r="AD211" s="666">
        <f t="shared" si="26"/>
        <v>0</v>
      </c>
      <c r="AE211" s="576">
        <f t="shared" si="25"/>
        <v>0</v>
      </c>
      <c r="AF211" s="577">
        <f t="shared" si="22"/>
        <v>189</v>
      </c>
    </row>
    <row r="212" spans="1:32" x14ac:dyDescent="0.3">
      <c r="A212" s="7" t="s">
        <v>358</v>
      </c>
      <c r="B212" s="652" t="s">
        <v>1738</v>
      </c>
      <c r="C212" s="494"/>
      <c r="D212" s="536" t="s">
        <v>251</v>
      </c>
      <c r="E212" s="536" t="s">
        <v>251</v>
      </c>
      <c r="F212" s="536" t="s">
        <v>251</v>
      </c>
      <c r="G212" s="536" t="s">
        <v>251</v>
      </c>
      <c r="H212" s="536" t="s">
        <v>251</v>
      </c>
      <c r="I212" s="536" t="s">
        <v>251</v>
      </c>
      <c r="J212" s="536" t="s">
        <v>251</v>
      </c>
      <c r="K212" s="536"/>
      <c r="L212" s="536" t="s">
        <v>251</v>
      </c>
      <c r="M212" s="536" t="s">
        <v>251</v>
      </c>
      <c r="N212" s="536" t="s">
        <v>251</v>
      </c>
      <c r="O212" s="536" t="s">
        <v>251</v>
      </c>
      <c r="P212" s="1496">
        <f t="shared" si="23"/>
        <v>0</v>
      </c>
      <c r="Q212" s="666">
        <f t="shared" si="27"/>
        <v>0</v>
      </c>
      <c r="R212" s="1046" t="s">
        <v>251</v>
      </c>
      <c r="S212" s="1047" t="s">
        <v>251</v>
      </c>
      <c r="T212" s="1047" t="s">
        <v>251</v>
      </c>
      <c r="U212" s="1047"/>
      <c r="V212" s="1047"/>
      <c r="W212" s="1047"/>
      <c r="X212" s="1047"/>
      <c r="Y212" s="1047"/>
      <c r="Z212" s="1047"/>
      <c r="AA212" s="1047"/>
      <c r="AB212" s="1047"/>
      <c r="AC212" s="1047"/>
      <c r="AD212" s="666">
        <f t="shared" si="26"/>
        <v>0</v>
      </c>
      <c r="AE212" s="576">
        <f t="shared" si="25"/>
        <v>0</v>
      </c>
      <c r="AF212" s="577">
        <f t="shared" si="22"/>
        <v>189</v>
      </c>
    </row>
    <row r="213" spans="1:32" x14ac:dyDescent="0.3">
      <c r="A213" s="7" t="s">
        <v>358</v>
      </c>
      <c r="B213" s="652" t="s">
        <v>1741</v>
      </c>
      <c r="C213" s="494"/>
      <c r="D213" s="536" t="s">
        <v>251</v>
      </c>
      <c r="E213" s="536" t="s">
        <v>251</v>
      </c>
      <c r="F213" s="536" t="s">
        <v>251</v>
      </c>
      <c r="G213" s="536" t="s">
        <v>251</v>
      </c>
      <c r="H213" s="536" t="s">
        <v>251</v>
      </c>
      <c r="I213" s="536" t="s">
        <v>251</v>
      </c>
      <c r="J213" s="536" t="s">
        <v>251</v>
      </c>
      <c r="K213" s="536"/>
      <c r="L213" s="536" t="s">
        <v>251</v>
      </c>
      <c r="M213" s="536" t="s">
        <v>251</v>
      </c>
      <c r="N213" s="536" t="s">
        <v>251</v>
      </c>
      <c r="O213" s="536" t="s">
        <v>251</v>
      </c>
      <c r="P213" s="1496">
        <f t="shared" si="23"/>
        <v>0</v>
      </c>
      <c r="Q213" s="666">
        <f t="shared" si="27"/>
        <v>0</v>
      </c>
      <c r="R213" s="1046" t="s">
        <v>251</v>
      </c>
      <c r="S213" s="1047" t="s">
        <v>251</v>
      </c>
      <c r="T213" s="1047" t="s">
        <v>251</v>
      </c>
      <c r="U213" s="1047">
        <v>110950</v>
      </c>
      <c r="V213" s="1047">
        <v>126790</v>
      </c>
      <c r="W213" s="1047">
        <v>0</v>
      </c>
      <c r="X213" s="1047">
        <v>29680</v>
      </c>
      <c r="Y213" s="1047">
        <v>0</v>
      </c>
      <c r="Z213" s="1047"/>
      <c r="AA213" s="1047"/>
      <c r="AB213" s="1047"/>
      <c r="AC213" s="1047"/>
      <c r="AD213" s="666">
        <f t="shared" si="26"/>
        <v>267420</v>
      </c>
      <c r="AE213" s="576">
        <f t="shared" si="25"/>
        <v>1</v>
      </c>
      <c r="AF213" s="577">
        <f t="shared" si="22"/>
        <v>122</v>
      </c>
    </row>
    <row r="214" spans="1:32" x14ac:dyDescent="0.3">
      <c r="A214" s="7" t="s">
        <v>358</v>
      </c>
      <c r="B214" s="652" t="s">
        <v>326</v>
      </c>
      <c r="C214" s="494"/>
      <c r="D214" s="536" t="s">
        <v>251</v>
      </c>
      <c r="E214" s="536" t="s">
        <v>251</v>
      </c>
      <c r="F214" s="536" t="s">
        <v>251</v>
      </c>
      <c r="G214" s="536" t="s">
        <v>251</v>
      </c>
      <c r="H214" s="536" t="s">
        <v>251</v>
      </c>
      <c r="I214" s="536" t="s">
        <v>251</v>
      </c>
      <c r="J214" s="536" t="s">
        <v>251</v>
      </c>
      <c r="K214" s="536"/>
      <c r="L214" s="536" t="s">
        <v>251</v>
      </c>
      <c r="M214" s="536" t="s">
        <v>251</v>
      </c>
      <c r="N214" s="536" t="s">
        <v>251</v>
      </c>
      <c r="O214" s="536" t="s">
        <v>251</v>
      </c>
      <c r="P214" s="1496">
        <f t="shared" si="23"/>
        <v>0</v>
      </c>
      <c r="Q214" s="666">
        <f t="shared" si="27"/>
        <v>0</v>
      </c>
      <c r="R214" s="1046" t="s">
        <v>251</v>
      </c>
      <c r="S214" s="1047" t="s">
        <v>251</v>
      </c>
      <c r="T214" s="1047" t="s">
        <v>251</v>
      </c>
      <c r="U214" s="1047"/>
      <c r="V214" s="1047"/>
      <c r="W214" s="1047"/>
      <c r="X214" s="1047"/>
      <c r="Y214" s="1047"/>
      <c r="Z214" s="1047"/>
      <c r="AA214" s="1047"/>
      <c r="AB214" s="1047"/>
      <c r="AC214" s="1047"/>
      <c r="AD214" s="666">
        <f t="shared" si="26"/>
        <v>0</v>
      </c>
      <c r="AE214" s="576">
        <f t="shared" si="25"/>
        <v>0</v>
      </c>
      <c r="AF214" s="577">
        <f t="shared" si="22"/>
        <v>189</v>
      </c>
    </row>
    <row r="215" spans="1:32" x14ac:dyDescent="0.3">
      <c r="A215" s="7" t="s">
        <v>358</v>
      </c>
      <c r="B215" s="652" t="s">
        <v>528</v>
      </c>
      <c r="C215" s="494"/>
      <c r="D215" s="536" t="s">
        <v>251</v>
      </c>
      <c r="E215" s="536" t="s">
        <v>251</v>
      </c>
      <c r="F215" s="536" t="s">
        <v>251</v>
      </c>
      <c r="G215" s="536" t="s">
        <v>251</v>
      </c>
      <c r="H215" s="536" t="s">
        <v>251</v>
      </c>
      <c r="I215" s="536" t="s">
        <v>251</v>
      </c>
      <c r="J215" s="536" t="s">
        <v>251</v>
      </c>
      <c r="K215" s="536"/>
      <c r="L215" s="536" t="s">
        <v>251</v>
      </c>
      <c r="M215" s="536" t="s">
        <v>251</v>
      </c>
      <c r="N215" s="536" t="s">
        <v>251</v>
      </c>
      <c r="O215" s="536" t="s">
        <v>251</v>
      </c>
      <c r="P215" s="1496">
        <f t="shared" si="23"/>
        <v>0</v>
      </c>
      <c r="Q215" s="666">
        <f t="shared" si="27"/>
        <v>0</v>
      </c>
      <c r="R215" s="1046" t="s">
        <v>251</v>
      </c>
      <c r="S215" s="1047" t="s">
        <v>251</v>
      </c>
      <c r="T215" s="1047" t="s">
        <v>251</v>
      </c>
      <c r="U215" s="1047"/>
      <c r="V215" s="1047"/>
      <c r="W215" s="1047"/>
      <c r="X215" s="1047"/>
      <c r="Y215" s="1047"/>
      <c r="Z215" s="1047"/>
      <c r="AA215" s="1047"/>
      <c r="AB215" s="1047"/>
      <c r="AC215" s="1047"/>
      <c r="AD215" s="666">
        <f t="shared" si="26"/>
        <v>0</v>
      </c>
      <c r="AE215" s="576">
        <f t="shared" si="25"/>
        <v>0</v>
      </c>
      <c r="AF215" s="577">
        <f t="shared" si="22"/>
        <v>189</v>
      </c>
    </row>
    <row r="216" spans="1:32" x14ac:dyDescent="0.3">
      <c r="A216" s="7" t="s">
        <v>358</v>
      </c>
      <c r="B216" s="652" t="s">
        <v>1338</v>
      </c>
      <c r="C216" s="494"/>
      <c r="D216" s="536" t="s">
        <v>251</v>
      </c>
      <c r="E216" s="536" t="s">
        <v>251</v>
      </c>
      <c r="F216" s="536" t="s">
        <v>251</v>
      </c>
      <c r="G216" s="536" t="s">
        <v>251</v>
      </c>
      <c r="H216" s="536" t="s">
        <v>251</v>
      </c>
      <c r="I216" s="536" t="s">
        <v>251</v>
      </c>
      <c r="J216" s="536" t="s">
        <v>251</v>
      </c>
      <c r="K216" s="536"/>
      <c r="L216" s="536" t="s">
        <v>251</v>
      </c>
      <c r="M216" s="536" t="s">
        <v>251</v>
      </c>
      <c r="N216" s="536" t="s">
        <v>251</v>
      </c>
      <c r="O216" s="536" t="s">
        <v>251</v>
      </c>
      <c r="P216" s="1496">
        <f t="shared" si="23"/>
        <v>0</v>
      </c>
      <c r="Q216" s="666">
        <f t="shared" si="27"/>
        <v>0</v>
      </c>
      <c r="R216" s="1046" t="s">
        <v>251</v>
      </c>
      <c r="S216" s="1047" t="s">
        <v>251</v>
      </c>
      <c r="T216" s="1047" t="s">
        <v>251</v>
      </c>
      <c r="U216" s="1047"/>
      <c r="V216" s="1047"/>
      <c r="W216" s="1047"/>
      <c r="X216" s="1047"/>
      <c r="Y216" s="1047"/>
      <c r="Z216" s="1047"/>
      <c r="AA216" s="1047"/>
      <c r="AB216" s="1047"/>
      <c r="AC216" s="1047"/>
      <c r="AD216" s="666">
        <f t="shared" si="26"/>
        <v>0</v>
      </c>
      <c r="AE216" s="576">
        <f t="shared" si="25"/>
        <v>0</v>
      </c>
      <c r="AF216" s="577">
        <f t="shared" si="22"/>
        <v>189</v>
      </c>
    </row>
    <row r="217" spans="1:32" x14ac:dyDescent="0.3">
      <c r="A217" s="7" t="s">
        <v>358</v>
      </c>
      <c r="B217" s="652" t="s">
        <v>1747</v>
      </c>
      <c r="C217" s="494"/>
      <c r="D217" s="536" t="s">
        <v>251</v>
      </c>
      <c r="E217" s="536" t="s">
        <v>251</v>
      </c>
      <c r="F217" s="536" t="s">
        <v>251</v>
      </c>
      <c r="G217" s="536" t="s">
        <v>251</v>
      </c>
      <c r="H217" s="536" t="s">
        <v>251</v>
      </c>
      <c r="I217" s="536" t="s">
        <v>251</v>
      </c>
      <c r="J217" s="536" t="s">
        <v>251</v>
      </c>
      <c r="K217" s="536"/>
      <c r="L217" s="536" t="s">
        <v>251</v>
      </c>
      <c r="M217" s="536" t="s">
        <v>251</v>
      </c>
      <c r="N217" s="536" t="s">
        <v>251</v>
      </c>
      <c r="O217" s="536" t="s">
        <v>251</v>
      </c>
      <c r="P217" s="1496">
        <f t="shared" si="23"/>
        <v>0</v>
      </c>
      <c r="Q217" s="666">
        <f t="shared" si="27"/>
        <v>0</v>
      </c>
      <c r="R217" s="1046" t="s">
        <v>251</v>
      </c>
      <c r="S217" s="1047" t="s">
        <v>251</v>
      </c>
      <c r="T217" s="1047" t="s">
        <v>251</v>
      </c>
      <c r="U217" s="1047"/>
      <c r="V217" s="1047"/>
      <c r="W217" s="1047"/>
      <c r="X217" s="1047"/>
      <c r="Y217" s="1047"/>
      <c r="Z217" s="1047"/>
      <c r="AA217" s="1047"/>
      <c r="AB217" s="1047"/>
      <c r="AC217" s="1047"/>
      <c r="AD217" s="666">
        <f t="shared" si="26"/>
        <v>0</v>
      </c>
      <c r="AE217" s="576">
        <f t="shared" si="25"/>
        <v>0</v>
      </c>
      <c r="AF217" s="577">
        <f t="shared" si="22"/>
        <v>189</v>
      </c>
    </row>
    <row r="218" spans="1:32" x14ac:dyDescent="0.3">
      <c r="A218" s="7" t="s">
        <v>358</v>
      </c>
      <c r="B218" s="652" t="s">
        <v>1748</v>
      </c>
      <c r="C218" s="494"/>
      <c r="D218" s="536" t="s">
        <v>251</v>
      </c>
      <c r="E218" s="536" t="s">
        <v>251</v>
      </c>
      <c r="F218" s="536" t="s">
        <v>251</v>
      </c>
      <c r="G218" s="536" t="s">
        <v>251</v>
      </c>
      <c r="H218" s="536" t="s">
        <v>251</v>
      </c>
      <c r="I218" s="536" t="s">
        <v>251</v>
      </c>
      <c r="J218" s="536" t="s">
        <v>251</v>
      </c>
      <c r="K218" s="536"/>
      <c r="L218" s="536" t="s">
        <v>251</v>
      </c>
      <c r="M218" s="536" t="s">
        <v>251</v>
      </c>
      <c r="N218" s="536" t="s">
        <v>251</v>
      </c>
      <c r="O218" s="536" t="s">
        <v>251</v>
      </c>
      <c r="P218" s="1496">
        <f t="shared" si="23"/>
        <v>0</v>
      </c>
      <c r="Q218" s="666">
        <f t="shared" si="27"/>
        <v>0</v>
      </c>
      <c r="R218" s="1046" t="s">
        <v>251</v>
      </c>
      <c r="S218" s="1047" t="s">
        <v>251</v>
      </c>
      <c r="T218" s="1047" t="s">
        <v>251</v>
      </c>
      <c r="U218" s="1047"/>
      <c r="V218" s="1047"/>
      <c r="W218" s="1047"/>
      <c r="X218" s="1047"/>
      <c r="Y218" s="1047"/>
      <c r="Z218" s="1047"/>
      <c r="AA218" s="1047"/>
      <c r="AB218" s="1047"/>
      <c r="AC218" s="1047"/>
      <c r="AD218" s="666">
        <f t="shared" si="26"/>
        <v>0</v>
      </c>
      <c r="AE218" s="576">
        <f t="shared" si="25"/>
        <v>0</v>
      </c>
      <c r="AF218" s="577">
        <f t="shared" si="22"/>
        <v>189</v>
      </c>
    </row>
    <row r="219" spans="1:32" x14ac:dyDescent="0.3">
      <c r="A219" s="7" t="s">
        <v>358</v>
      </c>
      <c r="B219" s="652" t="s">
        <v>1749</v>
      </c>
      <c r="C219" s="494"/>
      <c r="D219" s="536" t="s">
        <v>251</v>
      </c>
      <c r="E219" s="536" t="s">
        <v>251</v>
      </c>
      <c r="F219" s="536" t="s">
        <v>251</v>
      </c>
      <c r="G219" s="536" t="s">
        <v>251</v>
      </c>
      <c r="H219" s="536" t="s">
        <v>251</v>
      </c>
      <c r="I219" s="536" t="s">
        <v>251</v>
      </c>
      <c r="J219" s="536" t="s">
        <v>251</v>
      </c>
      <c r="K219" s="536"/>
      <c r="L219" s="536" t="s">
        <v>251</v>
      </c>
      <c r="M219" s="536" t="s">
        <v>251</v>
      </c>
      <c r="N219" s="536" t="s">
        <v>251</v>
      </c>
      <c r="O219" s="536" t="s">
        <v>251</v>
      </c>
      <c r="P219" s="1496">
        <f t="shared" si="23"/>
        <v>0</v>
      </c>
      <c r="Q219" s="666">
        <f t="shared" si="27"/>
        <v>0</v>
      </c>
      <c r="R219" s="1046" t="s">
        <v>251</v>
      </c>
      <c r="S219" s="1047" t="s">
        <v>251</v>
      </c>
      <c r="T219" s="1047" t="s">
        <v>251</v>
      </c>
      <c r="U219" s="1047"/>
      <c r="V219" s="1047"/>
      <c r="W219" s="1047"/>
      <c r="X219" s="1047"/>
      <c r="Y219" s="1047"/>
      <c r="Z219" s="1047"/>
      <c r="AA219" s="1047"/>
      <c r="AB219" s="1047"/>
      <c r="AC219" s="1047"/>
      <c r="AD219" s="666">
        <f t="shared" si="26"/>
        <v>0</v>
      </c>
      <c r="AE219" s="576">
        <f t="shared" si="25"/>
        <v>0</v>
      </c>
      <c r="AF219" s="577">
        <f t="shared" si="22"/>
        <v>189</v>
      </c>
    </row>
    <row r="220" spans="1:32" x14ac:dyDescent="0.3">
      <c r="A220" s="7" t="s">
        <v>358</v>
      </c>
      <c r="B220" s="652" t="s">
        <v>1752</v>
      </c>
      <c r="C220" s="494"/>
      <c r="D220" s="536" t="s">
        <v>251</v>
      </c>
      <c r="E220" s="536" t="s">
        <v>251</v>
      </c>
      <c r="F220" s="536" t="s">
        <v>251</v>
      </c>
      <c r="G220" s="536" t="s">
        <v>251</v>
      </c>
      <c r="H220" s="536" t="s">
        <v>251</v>
      </c>
      <c r="I220" s="536" t="s">
        <v>251</v>
      </c>
      <c r="J220" s="536" t="s">
        <v>251</v>
      </c>
      <c r="K220" s="536"/>
      <c r="L220" s="536" t="s">
        <v>251</v>
      </c>
      <c r="M220" s="536" t="s">
        <v>251</v>
      </c>
      <c r="N220" s="536" t="s">
        <v>251</v>
      </c>
      <c r="O220" s="536" t="s">
        <v>251</v>
      </c>
      <c r="P220" s="1496">
        <f t="shared" si="23"/>
        <v>0</v>
      </c>
      <c r="Q220" s="666">
        <f t="shared" si="27"/>
        <v>0</v>
      </c>
      <c r="R220" s="1046" t="s">
        <v>251</v>
      </c>
      <c r="S220" s="1047" t="s">
        <v>251</v>
      </c>
      <c r="T220" s="1047" t="s">
        <v>251</v>
      </c>
      <c r="U220" s="1047"/>
      <c r="V220" s="1047"/>
      <c r="W220" s="1047"/>
      <c r="X220" s="1047"/>
      <c r="Y220" s="1047"/>
      <c r="Z220" s="1047"/>
      <c r="AA220" s="1047"/>
      <c r="AB220" s="1047"/>
      <c r="AC220" s="1047"/>
      <c r="AD220" s="666">
        <f t="shared" si="26"/>
        <v>0</v>
      </c>
      <c r="AE220" s="576">
        <f t="shared" si="25"/>
        <v>0</v>
      </c>
      <c r="AF220" s="577">
        <f t="shared" si="22"/>
        <v>189</v>
      </c>
    </row>
    <row r="221" spans="1:32" x14ac:dyDescent="0.3">
      <c r="A221" s="7" t="s">
        <v>358</v>
      </c>
      <c r="B221" s="652" t="s">
        <v>1582</v>
      </c>
      <c r="C221" s="494"/>
      <c r="D221" s="536" t="s">
        <v>251</v>
      </c>
      <c r="E221" s="536" t="s">
        <v>251</v>
      </c>
      <c r="F221" s="536" t="s">
        <v>251</v>
      </c>
      <c r="G221" s="536" t="s">
        <v>251</v>
      </c>
      <c r="H221" s="536" t="s">
        <v>251</v>
      </c>
      <c r="I221" s="536" t="s">
        <v>251</v>
      </c>
      <c r="J221" s="536" t="s">
        <v>251</v>
      </c>
      <c r="K221" s="536"/>
      <c r="L221" s="536" t="s">
        <v>251</v>
      </c>
      <c r="M221" s="536" t="s">
        <v>251</v>
      </c>
      <c r="N221" s="536" t="s">
        <v>251</v>
      </c>
      <c r="O221" s="536" t="s">
        <v>251</v>
      </c>
      <c r="P221" s="1496">
        <f t="shared" si="23"/>
        <v>0</v>
      </c>
      <c r="Q221" s="666">
        <f t="shared" si="27"/>
        <v>0</v>
      </c>
      <c r="R221" s="1046" t="s">
        <v>251</v>
      </c>
      <c r="S221" s="1047" t="s">
        <v>251</v>
      </c>
      <c r="T221" s="1047" t="s">
        <v>251</v>
      </c>
      <c r="U221" s="1047"/>
      <c r="V221" s="1047"/>
      <c r="W221" s="1047"/>
      <c r="X221" s="1047"/>
      <c r="Y221" s="1047"/>
      <c r="Z221" s="1047"/>
      <c r="AA221" s="1047"/>
      <c r="AB221" s="1047"/>
      <c r="AC221" s="1047"/>
      <c r="AD221" s="666">
        <f t="shared" si="26"/>
        <v>0</v>
      </c>
      <c r="AE221" s="576">
        <f t="shared" si="25"/>
        <v>0</v>
      </c>
      <c r="AF221" s="577">
        <f t="shared" si="22"/>
        <v>189</v>
      </c>
    </row>
    <row r="222" spans="1:32" x14ac:dyDescent="0.3">
      <c r="A222" s="7" t="s">
        <v>358</v>
      </c>
      <c r="B222" s="652" t="s">
        <v>1756</v>
      </c>
      <c r="C222" s="494"/>
      <c r="D222" s="536" t="s">
        <v>251</v>
      </c>
      <c r="E222" s="536" t="s">
        <v>251</v>
      </c>
      <c r="F222" s="536" t="s">
        <v>251</v>
      </c>
      <c r="G222" s="536" t="s">
        <v>251</v>
      </c>
      <c r="H222" s="536" t="s">
        <v>251</v>
      </c>
      <c r="I222" s="536" t="s">
        <v>251</v>
      </c>
      <c r="J222" s="536" t="s">
        <v>251</v>
      </c>
      <c r="K222" s="536"/>
      <c r="L222" s="536" t="s">
        <v>251</v>
      </c>
      <c r="M222" s="536" t="s">
        <v>251</v>
      </c>
      <c r="N222" s="536" t="s">
        <v>251</v>
      </c>
      <c r="O222" s="536" t="s">
        <v>251</v>
      </c>
      <c r="P222" s="1496">
        <f t="shared" si="23"/>
        <v>0</v>
      </c>
      <c r="Q222" s="666">
        <f t="shared" si="27"/>
        <v>0</v>
      </c>
      <c r="R222" s="1046" t="s">
        <v>251</v>
      </c>
      <c r="S222" s="1047" t="s">
        <v>251</v>
      </c>
      <c r="T222" s="1047" t="s">
        <v>251</v>
      </c>
      <c r="U222" s="1047">
        <v>220740</v>
      </c>
      <c r="V222" s="1047">
        <v>0</v>
      </c>
      <c r="W222" s="1047">
        <v>182860</v>
      </c>
      <c r="X222" s="1047">
        <v>0</v>
      </c>
      <c r="Y222" s="1047">
        <v>103210</v>
      </c>
      <c r="Z222" s="1047"/>
      <c r="AA222" s="1047"/>
      <c r="AB222" s="1047"/>
      <c r="AC222" s="1047"/>
      <c r="AD222" s="666">
        <f t="shared" si="26"/>
        <v>506810</v>
      </c>
      <c r="AE222" s="576">
        <f t="shared" si="25"/>
        <v>1</v>
      </c>
      <c r="AF222" s="577">
        <f t="shared" si="22"/>
        <v>91</v>
      </c>
    </row>
    <row r="223" spans="1:32" x14ac:dyDescent="0.3">
      <c r="A223" s="7" t="s">
        <v>358</v>
      </c>
      <c r="B223" s="652" t="s">
        <v>1760</v>
      </c>
      <c r="C223" s="494"/>
      <c r="D223" s="536" t="s">
        <v>251</v>
      </c>
      <c r="E223" s="536" t="s">
        <v>251</v>
      </c>
      <c r="F223" s="536" t="s">
        <v>251</v>
      </c>
      <c r="G223" s="536" t="s">
        <v>251</v>
      </c>
      <c r="H223" s="536" t="s">
        <v>251</v>
      </c>
      <c r="I223" s="536" t="s">
        <v>251</v>
      </c>
      <c r="J223" s="536" t="s">
        <v>251</v>
      </c>
      <c r="K223" s="536"/>
      <c r="L223" s="536" t="s">
        <v>251</v>
      </c>
      <c r="M223" s="536" t="s">
        <v>251</v>
      </c>
      <c r="N223" s="536" t="s">
        <v>251</v>
      </c>
      <c r="O223" s="536" t="s">
        <v>251</v>
      </c>
      <c r="P223" s="1496">
        <f t="shared" si="23"/>
        <v>0</v>
      </c>
      <c r="Q223" s="666">
        <f t="shared" si="27"/>
        <v>0</v>
      </c>
      <c r="R223" s="1046" t="s">
        <v>251</v>
      </c>
      <c r="S223" s="1047" t="s">
        <v>251</v>
      </c>
      <c r="T223" s="1047" t="s">
        <v>251</v>
      </c>
      <c r="U223" s="1047"/>
      <c r="V223" s="1047"/>
      <c r="W223" s="1047"/>
      <c r="X223" s="1047"/>
      <c r="Y223" s="1047"/>
      <c r="Z223" s="1047"/>
      <c r="AA223" s="1047"/>
      <c r="AB223" s="1047"/>
      <c r="AC223" s="1047"/>
      <c r="AD223" s="666">
        <f t="shared" si="26"/>
        <v>0</v>
      </c>
      <c r="AE223" s="576">
        <f t="shared" si="25"/>
        <v>0</v>
      </c>
      <c r="AF223" s="577">
        <f t="shared" si="22"/>
        <v>189</v>
      </c>
    </row>
    <row r="224" spans="1:32" x14ac:dyDescent="0.3">
      <c r="A224" s="7" t="s">
        <v>358</v>
      </c>
      <c r="B224" s="652" t="s">
        <v>1763</v>
      </c>
      <c r="C224" s="494"/>
      <c r="D224" s="536" t="s">
        <v>251</v>
      </c>
      <c r="E224" s="536" t="s">
        <v>251</v>
      </c>
      <c r="F224" s="536" t="s">
        <v>251</v>
      </c>
      <c r="G224" s="536" t="s">
        <v>251</v>
      </c>
      <c r="H224" s="536" t="s">
        <v>251</v>
      </c>
      <c r="I224" s="536" t="s">
        <v>251</v>
      </c>
      <c r="J224" s="536" t="s">
        <v>251</v>
      </c>
      <c r="K224" s="536"/>
      <c r="L224" s="536" t="s">
        <v>251</v>
      </c>
      <c r="M224" s="536" t="s">
        <v>251</v>
      </c>
      <c r="N224" s="536" t="s">
        <v>251</v>
      </c>
      <c r="O224" s="536" t="s">
        <v>251</v>
      </c>
      <c r="P224" s="1496">
        <f t="shared" si="23"/>
        <v>0</v>
      </c>
      <c r="Q224" s="666">
        <f t="shared" si="27"/>
        <v>0</v>
      </c>
      <c r="R224" s="1046" t="s">
        <v>251</v>
      </c>
      <c r="S224" s="1047" t="s">
        <v>251</v>
      </c>
      <c r="T224" s="1047" t="s">
        <v>251</v>
      </c>
      <c r="U224" s="1047"/>
      <c r="V224" s="1047"/>
      <c r="W224" s="1047"/>
      <c r="X224" s="1047">
        <v>640110</v>
      </c>
      <c r="Y224" s="1047">
        <v>56590</v>
      </c>
      <c r="Z224" s="1047"/>
      <c r="AA224" s="1047"/>
      <c r="AB224" s="1047"/>
      <c r="AC224" s="1047"/>
      <c r="AD224" s="666">
        <f t="shared" si="26"/>
        <v>696700</v>
      </c>
      <c r="AE224" s="576">
        <f t="shared" si="25"/>
        <v>1</v>
      </c>
      <c r="AF224" s="577">
        <f t="shared" si="22"/>
        <v>75</v>
      </c>
    </row>
    <row r="225" spans="1:32" x14ac:dyDescent="0.3">
      <c r="A225" s="7" t="s">
        <v>358</v>
      </c>
      <c r="B225" s="652" t="s">
        <v>1764</v>
      </c>
      <c r="C225" s="494"/>
      <c r="D225" s="536" t="s">
        <v>251</v>
      </c>
      <c r="E225" s="536" t="s">
        <v>251</v>
      </c>
      <c r="F225" s="536" t="s">
        <v>251</v>
      </c>
      <c r="G225" s="536" t="s">
        <v>251</v>
      </c>
      <c r="H225" s="536" t="s">
        <v>251</v>
      </c>
      <c r="I225" s="536" t="s">
        <v>251</v>
      </c>
      <c r="J225" s="536" t="s">
        <v>251</v>
      </c>
      <c r="K225" s="536"/>
      <c r="L225" s="536" t="s">
        <v>251</v>
      </c>
      <c r="M225" s="536" t="s">
        <v>251</v>
      </c>
      <c r="N225" s="536" t="s">
        <v>251</v>
      </c>
      <c r="O225" s="536" t="s">
        <v>251</v>
      </c>
      <c r="P225" s="1496">
        <f t="shared" si="23"/>
        <v>0</v>
      </c>
      <c r="Q225" s="666">
        <f t="shared" si="27"/>
        <v>0</v>
      </c>
      <c r="R225" s="1046" t="s">
        <v>251</v>
      </c>
      <c r="S225" s="1047" t="s">
        <v>251</v>
      </c>
      <c r="T225" s="1047" t="s">
        <v>251</v>
      </c>
      <c r="U225" s="1047"/>
      <c r="V225" s="1047"/>
      <c r="W225" s="1047"/>
      <c r="X225" s="1047"/>
      <c r="Y225" s="1047"/>
      <c r="Z225" s="1047"/>
      <c r="AA225" s="1047"/>
      <c r="AB225" s="1047"/>
      <c r="AC225" s="1047"/>
      <c r="AD225" s="666">
        <f t="shared" si="26"/>
        <v>0</v>
      </c>
      <c r="AE225" s="576">
        <f t="shared" si="25"/>
        <v>0</v>
      </c>
      <c r="AF225" s="577">
        <f t="shared" si="22"/>
        <v>189</v>
      </c>
    </row>
    <row r="226" spans="1:32" x14ac:dyDescent="0.3">
      <c r="A226" s="7" t="s">
        <v>358</v>
      </c>
      <c r="B226" s="652" t="s">
        <v>1766</v>
      </c>
      <c r="C226" s="494"/>
      <c r="D226" s="536" t="s">
        <v>251</v>
      </c>
      <c r="E226" s="536" t="s">
        <v>251</v>
      </c>
      <c r="F226" s="536" t="s">
        <v>251</v>
      </c>
      <c r="G226" s="536" t="s">
        <v>251</v>
      </c>
      <c r="H226" s="536" t="s">
        <v>251</v>
      </c>
      <c r="I226" s="536" t="s">
        <v>251</v>
      </c>
      <c r="J226" s="536" t="s">
        <v>251</v>
      </c>
      <c r="K226" s="536"/>
      <c r="L226" s="536" t="s">
        <v>251</v>
      </c>
      <c r="M226" s="536" t="s">
        <v>251</v>
      </c>
      <c r="N226" s="536" t="s">
        <v>251</v>
      </c>
      <c r="O226" s="536" t="s">
        <v>251</v>
      </c>
      <c r="P226" s="1496">
        <f t="shared" si="23"/>
        <v>0</v>
      </c>
      <c r="Q226" s="666">
        <f t="shared" si="27"/>
        <v>0</v>
      </c>
      <c r="R226" s="1046" t="s">
        <v>251</v>
      </c>
      <c r="S226" s="1047" t="s">
        <v>251</v>
      </c>
      <c r="T226" s="1047" t="s">
        <v>251</v>
      </c>
      <c r="U226" s="1047"/>
      <c r="V226" s="1047"/>
      <c r="W226" s="1047"/>
      <c r="X226" s="1047"/>
      <c r="Y226" s="1047"/>
      <c r="Z226" s="1047"/>
      <c r="AA226" s="1047"/>
      <c r="AB226" s="1047"/>
      <c r="AC226" s="1047"/>
      <c r="AD226" s="666">
        <f t="shared" si="26"/>
        <v>0</v>
      </c>
      <c r="AE226" s="576">
        <f t="shared" si="25"/>
        <v>0</v>
      </c>
      <c r="AF226" s="577">
        <f t="shared" si="22"/>
        <v>189</v>
      </c>
    </row>
    <row r="227" spans="1:32" x14ac:dyDescent="0.3">
      <c r="A227" s="7" t="s">
        <v>358</v>
      </c>
      <c r="B227" s="652" t="s">
        <v>1768</v>
      </c>
      <c r="C227" s="494"/>
      <c r="D227" s="536" t="s">
        <v>251</v>
      </c>
      <c r="E227" s="536" t="s">
        <v>251</v>
      </c>
      <c r="F227" s="536" t="s">
        <v>251</v>
      </c>
      <c r="G227" s="536" t="s">
        <v>251</v>
      </c>
      <c r="H227" s="536" t="s">
        <v>251</v>
      </c>
      <c r="I227" s="536" t="s">
        <v>251</v>
      </c>
      <c r="J227" s="536" t="s">
        <v>251</v>
      </c>
      <c r="K227" s="536"/>
      <c r="L227" s="536" t="s">
        <v>251</v>
      </c>
      <c r="M227" s="536" t="s">
        <v>251</v>
      </c>
      <c r="N227" s="536" t="s">
        <v>251</v>
      </c>
      <c r="O227" s="536" t="s">
        <v>251</v>
      </c>
      <c r="P227" s="1496">
        <f t="shared" si="23"/>
        <v>0</v>
      </c>
      <c r="Q227" s="666">
        <f t="shared" si="27"/>
        <v>0</v>
      </c>
      <c r="R227" s="1046" t="s">
        <v>251</v>
      </c>
      <c r="S227" s="1047" t="s">
        <v>251</v>
      </c>
      <c r="T227" s="1047" t="s">
        <v>251</v>
      </c>
      <c r="U227" s="1047"/>
      <c r="V227" s="1047"/>
      <c r="W227" s="1047"/>
      <c r="X227" s="1047"/>
      <c r="Y227" s="1047"/>
      <c r="Z227" s="1047"/>
      <c r="AA227" s="1047"/>
      <c r="AB227" s="1047"/>
      <c r="AC227" s="1047"/>
      <c r="AD227" s="666">
        <f t="shared" si="26"/>
        <v>0</v>
      </c>
      <c r="AE227" s="576">
        <f t="shared" si="25"/>
        <v>0</v>
      </c>
      <c r="AF227" s="577">
        <f t="shared" si="22"/>
        <v>189</v>
      </c>
    </row>
    <row r="228" spans="1:32" x14ac:dyDescent="0.3">
      <c r="A228" s="7" t="s">
        <v>358</v>
      </c>
      <c r="B228" s="652" t="s">
        <v>1769</v>
      </c>
      <c r="C228" s="494"/>
      <c r="D228" s="536" t="s">
        <v>251</v>
      </c>
      <c r="E228" s="536" t="s">
        <v>251</v>
      </c>
      <c r="F228" s="536" t="s">
        <v>251</v>
      </c>
      <c r="G228" s="536" t="s">
        <v>251</v>
      </c>
      <c r="H228" s="536" t="s">
        <v>251</v>
      </c>
      <c r="I228" s="536" t="s">
        <v>251</v>
      </c>
      <c r="J228" s="536" t="s">
        <v>251</v>
      </c>
      <c r="K228" s="536"/>
      <c r="L228" s="536" t="s">
        <v>251</v>
      </c>
      <c r="M228" s="536" t="s">
        <v>251</v>
      </c>
      <c r="N228" s="536" t="s">
        <v>251</v>
      </c>
      <c r="O228" s="536" t="s">
        <v>251</v>
      </c>
      <c r="P228" s="1496">
        <f t="shared" si="23"/>
        <v>0</v>
      </c>
      <c r="Q228" s="666">
        <f t="shared" si="27"/>
        <v>0</v>
      </c>
      <c r="R228" s="1046" t="s">
        <v>251</v>
      </c>
      <c r="S228" s="1047" t="s">
        <v>251</v>
      </c>
      <c r="T228" s="1047" t="s">
        <v>251</v>
      </c>
      <c r="U228" s="1047"/>
      <c r="V228" s="1047"/>
      <c r="W228" s="1047"/>
      <c r="X228" s="1047"/>
      <c r="Y228" s="1047"/>
      <c r="Z228" s="1047"/>
      <c r="AA228" s="1047"/>
      <c r="AB228" s="1047"/>
      <c r="AC228" s="1047"/>
      <c r="AD228" s="666">
        <f t="shared" si="26"/>
        <v>0</v>
      </c>
      <c r="AE228" s="576">
        <f t="shared" si="25"/>
        <v>0</v>
      </c>
      <c r="AF228" s="577">
        <f t="shared" si="22"/>
        <v>189</v>
      </c>
    </row>
    <row r="229" spans="1:32" x14ac:dyDescent="0.3">
      <c r="A229" s="7" t="s">
        <v>358</v>
      </c>
      <c r="B229" s="652" t="s">
        <v>1770</v>
      </c>
      <c r="C229" s="494"/>
      <c r="D229" s="536" t="s">
        <v>251</v>
      </c>
      <c r="E229" s="536" t="s">
        <v>251</v>
      </c>
      <c r="F229" s="536" t="s">
        <v>251</v>
      </c>
      <c r="G229" s="536" t="s">
        <v>251</v>
      </c>
      <c r="H229" s="536" t="s">
        <v>251</v>
      </c>
      <c r="I229" s="536" t="s">
        <v>251</v>
      </c>
      <c r="J229" s="536" t="s">
        <v>251</v>
      </c>
      <c r="K229" s="536"/>
      <c r="L229" s="536" t="s">
        <v>251</v>
      </c>
      <c r="M229" s="536" t="s">
        <v>251</v>
      </c>
      <c r="N229" s="536" t="s">
        <v>251</v>
      </c>
      <c r="O229" s="536" t="s">
        <v>251</v>
      </c>
      <c r="P229" s="1496">
        <f t="shared" si="23"/>
        <v>0</v>
      </c>
      <c r="Q229" s="666">
        <f t="shared" si="27"/>
        <v>0</v>
      </c>
      <c r="R229" s="1046" t="s">
        <v>251</v>
      </c>
      <c r="S229" s="1047" t="s">
        <v>251</v>
      </c>
      <c r="T229" s="1047" t="s">
        <v>251</v>
      </c>
      <c r="U229" s="1047"/>
      <c r="V229" s="1047"/>
      <c r="W229" s="1047"/>
      <c r="X229" s="1047"/>
      <c r="Y229" s="1047"/>
      <c r="Z229" s="1047"/>
      <c r="AA229" s="1047"/>
      <c r="AB229" s="1047"/>
      <c r="AC229" s="1047"/>
      <c r="AD229" s="666">
        <f t="shared" si="26"/>
        <v>0</v>
      </c>
      <c r="AE229" s="576">
        <f t="shared" si="25"/>
        <v>0</v>
      </c>
      <c r="AF229" s="577">
        <f t="shared" si="22"/>
        <v>189</v>
      </c>
    </row>
    <row r="230" spans="1:32" x14ac:dyDescent="0.3">
      <c r="A230" s="7" t="s">
        <v>358</v>
      </c>
      <c r="B230" s="652" t="s">
        <v>1771</v>
      </c>
      <c r="C230" s="494"/>
      <c r="D230" s="536" t="s">
        <v>251</v>
      </c>
      <c r="E230" s="536" t="s">
        <v>251</v>
      </c>
      <c r="F230" s="536" t="s">
        <v>251</v>
      </c>
      <c r="G230" s="536" t="s">
        <v>251</v>
      </c>
      <c r="H230" s="536" t="s">
        <v>251</v>
      </c>
      <c r="I230" s="536" t="s">
        <v>251</v>
      </c>
      <c r="J230" s="536" t="s">
        <v>251</v>
      </c>
      <c r="K230" s="536"/>
      <c r="L230" s="536" t="s">
        <v>251</v>
      </c>
      <c r="M230" s="536" t="s">
        <v>251</v>
      </c>
      <c r="N230" s="536" t="s">
        <v>251</v>
      </c>
      <c r="O230" s="536" t="s">
        <v>251</v>
      </c>
      <c r="P230" s="1496">
        <f t="shared" si="23"/>
        <v>0</v>
      </c>
      <c r="Q230" s="666">
        <f t="shared" si="27"/>
        <v>0</v>
      </c>
      <c r="R230" s="1046" t="s">
        <v>251</v>
      </c>
      <c r="S230" s="1047" t="s">
        <v>251</v>
      </c>
      <c r="T230" s="1047" t="s">
        <v>251</v>
      </c>
      <c r="U230" s="1047"/>
      <c r="V230" s="1047"/>
      <c r="W230" s="1047"/>
      <c r="X230" s="1047"/>
      <c r="Y230" s="1047"/>
      <c r="Z230" s="1047"/>
      <c r="AA230" s="1047"/>
      <c r="AB230" s="1047"/>
      <c r="AC230" s="1047"/>
      <c r="AD230" s="666">
        <f t="shared" si="26"/>
        <v>0</v>
      </c>
      <c r="AE230" s="576">
        <f t="shared" si="25"/>
        <v>0</v>
      </c>
      <c r="AF230" s="577">
        <f t="shared" si="22"/>
        <v>189</v>
      </c>
    </row>
    <row r="231" spans="1:32" x14ac:dyDescent="0.3">
      <c r="A231" s="7" t="s">
        <v>358</v>
      </c>
      <c r="B231" s="652" t="s">
        <v>1772</v>
      </c>
      <c r="C231" s="494"/>
      <c r="D231" s="536" t="s">
        <v>251</v>
      </c>
      <c r="E231" s="536" t="s">
        <v>251</v>
      </c>
      <c r="F231" s="536" t="s">
        <v>251</v>
      </c>
      <c r="G231" s="536" t="s">
        <v>251</v>
      </c>
      <c r="H231" s="536" t="s">
        <v>251</v>
      </c>
      <c r="I231" s="536" t="s">
        <v>251</v>
      </c>
      <c r="J231" s="536" t="s">
        <v>251</v>
      </c>
      <c r="K231" s="536"/>
      <c r="L231" s="536" t="s">
        <v>251</v>
      </c>
      <c r="M231" s="536" t="s">
        <v>251</v>
      </c>
      <c r="N231" s="536" t="s">
        <v>251</v>
      </c>
      <c r="O231" s="536" t="s">
        <v>251</v>
      </c>
      <c r="P231" s="1496">
        <f t="shared" si="23"/>
        <v>0</v>
      </c>
      <c r="Q231" s="666">
        <f t="shared" si="27"/>
        <v>0</v>
      </c>
      <c r="R231" s="1046" t="s">
        <v>251</v>
      </c>
      <c r="S231" s="1047" t="s">
        <v>251</v>
      </c>
      <c r="T231" s="1047" t="s">
        <v>251</v>
      </c>
      <c r="U231" s="1047"/>
      <c r="V231" s="1047"/>
      <c r="W231" s="1047"/>
      <c r="X231" s="1047"/>
      <c r="Y231" s="1047"/>
      <c r="Z231" s="1047"/>
      <c r="AA231" s="1047"/>
      <c r="AB231" s="1047"/>
      <c r="AC231" s="1047"/>
      <c r="AD231" s="666">
        <f t="shared" si="26"/>
        <v>0</v>
      </c>
      <c r="AE231" s="576">
        <f t="shared" si="25"/>
        <v>0</v>
      </c>
      <c r="AF231" s="577">
        <f t="shared" si="22"/>
        <v>189</v>
      </c>
    </row>
    <row r="232" spans="1:32" x14ac:dyDescent="0.3">
      <c r="A232" s="7" t="s">
        <v>358</v>
      </c>
      <c r="B232" s="652" t="s">
        <v>179</v>
      </c>
      <c r="C232" s="494"/>
      <c r="D232" s="536" t="s">
        <v>251</v>
      </c>
      <c r="E232" s="536" t="s">
        <v>251</v>
      </c>
      <c r="F232" s="536" t="s">
        <v>251</v>
      </c>
      <c r="G232" s="536" t="s">
        <v>251</v>
      </c>
      <c r="H232" s="536" t="s">
        <v>251</v>
      </c>
      <c r="I232" s="536" t="s">
        <v>251</v>
      </c>
      <c r="J232" s="536" t="s">
        <v>251</v>
      </c>
      <c r="K232" s="536"/>
      <c r="L232" s="536" t="s">
        <v>251</v>
      </c>
      <c r="M232" s="536" t="s">
        <v>251</v>
      </c>
      <c r="N232" s="536" t="s">
        <v>251</v>
      </c>
      <c r="O232" s="536" t="s">
        <v>251</v>
      </c>
      <c r="P232" s="1496">
        <f t="shared" si="23"/>
        <v>0</v>
      </c>
      <c r="Q232" s="666">
        <f t="shared" si="27"/>
        <v>0</v>
      </c>
      <c r="R232" s="1046" t="s">
        <v>251</v>
      </c>
      <c r="S232" s="1047" t="s">
        <v>251</v>
      </c>
      <c r="T232" s="1047" t="s">
        <v>251</v>
      </c>
      <c r="U232" s="1047"/>
      <c r="V232" s="1047"/>
      <c r="W232" s="1047"/>
      <c r="X232" s="1047"/>
      <c r="Y232" s="1047"/>
      <c r="Z232" s="1047"/>
      <c r="AA232" s="1047"/>
      <c r="AB232" s="1047"/>
      <c r="AC232" s="1047"/>
      <c r="AD232" s="666">
        <f t="shared" si="26"/>
        <v>0</v>
      </c>
      <c r="AE232" s="576">
        <f t="shared" si="25"/>
        <v>0</v>
      </c>
      <c r="AF232" s="577">
        <f t="shared" si="22"/>
        <v>189</v>
      </c>
    </row>
    <row r="233" spans="1:32" x14ac:dyDescent="0.3">
      <c r="A233" s="7" t="s">
        <v>358</v>
      </c>
      <c r="B233" s="652" t="s">
        <v>507</v>
      </c>
      <c r="C233" s="494"/>
      <c r="D233" s="536" t="s">
        <v>251</v>
      </c>
      <c r="E233" s="536" t="s">
        <v>251</v>
      </c>
      <c r="F233" s="536" t="s">
        <v>251</v>
      </c>
      <c r="G233" s="536" t="s">
        <v>251</v>
      </c>
      <c r="H233" s="536" t="s">
        <v>251</v>
      </c>
      <c r="I233" s="536" t="s">
        <v>251</v>
      </c>
      <c r="J233" s="536" t="s">
        <v>251</v>
      </c>
      <c r="K233" s="536"/>
      <c r="L233" s="536" t="s">
        <v>251</v>
      </c>
      <c r="M233" s="536" t="s">
        <v>251</v>
      </c>
      <c r="N233" s="536" t="s">
        <v>251</v>
      </c>
      <c r="O233" s="536" t="s">
        <v>251</v>
      </c>
      <c r="P233" s="1496">
        <f t="shared" si="23"/>
        <v>0</v>
      </c>
      <c r="Q233" s="666">
        <f t="shared" si="27"/>
        <v>0</v>
      </c>
      <c r="R233" s="1046" t="s">
        <v>251</v>
      </c>
      <c r="S233" s="1047" t="s">
        <v>251</v>
      </c>
      <c r="T233" s="1047" t="s">
        <v>251</v>
      </c>
      <c r="U233" s="1047"/>
      <c r="V233" s="1047"/>
      <c r="W233" s="1047"/>
      <c r="X233" s="1047"/>
      <c r="Y233" s="1047"/>
      <c r="Z233" s="1047"/>
      <c r="AA233" s="1047"/>
      <c r="AB233" s="1047"/>
      <c r="AC233" s="1047"/>
      <c r="AD233" s="666">
        <f t="shared" si="26"/>
        <v>0</v>
      </c>
      <c r="AE233" s="576">
        <f t="shared" si="25"/>
        <v>0</v>
      </c>
      <c r="AF233" s="577">
        <f t="shared" si="22"/>
        <v>189</v>
      </c>
    </row>
    <row r="234" spans="1:32" x14ac:dyDescent="0.3">
      <c r="A234" s="7" t="s">
        <v>358</v>
      </c>
      <c r="B234" s="652" t="s">
        <v>1779</v>
      </c>
      <c r="C234" s="494"/>
      <c r="D234" s="536" t="s">
        <v>251</v>
      </c>
      <c r="E234" s="536" t="s">
        <v>251</v>
      </c>
      <c r="F234" s="536" t="s">
        <v>251</v>
      </c>
      <c r="G234" s="536" t="s">
        <v>251</v>
      </c>
      <c r="H234" s="536" t="s">
        <v>251</v>
      </c>
      <c r="I234" s="536" t="s">
        <v>251</v>
      </c>
      <c r="J234" s="536" t="s">
        <v>251</v>
      </c>
      <c r="K234" s="536"/>
      <c r="L234" s="536" t="s">
        <v>251</v>
      </c>
      <c r="M234" s="536" t="s">
        <v>251</v>
      </c>
      <c r="N234" s="536" t="s">
        <v>251</v>
      </c>
      <c r="O234" s="536" t="s">
        <v>251</v>
      </c>
      <c r="P234" s="1496">
        <f t="shared" si="23"/>
        <v>0</v>
      </c>
      <c r="Q234" s="666">
        <f t="shared" si="27"/>
        <v>0</v>
      </c>
      <c r="R234" s="1046" t="s">
        <v>251</v>
      </c>
      <c r="S234" s="1047" t="s">
        <v>251</v>
      </c>
      <c r="T234" s="1047" t="s">
        <v>251</v>
      </c>
      <c r="U234" s="1047"/>
      <c r="V234" s="1047"/>
      <c r="W234" s="1047"/>
      <c r="X234" s="1047"/>
      <c r="Y234" s="1047"/>
      <c r="Z234" s="1047"/>
      <c r="AA234" s="1047"/>
      <c r="AB234" s="1047"/>
      <c r="AC234" s="1047"/>
      <c r="AD234" s="666">
        <f t="shared" si="26"/>
        <v>0</v>
      </c>
      <c r="AE234" s="576">
        <f t="shared" si="25"/>
        <v>0</v>
      </c>
      <c r="AF234" s="577">
        <f t="shared" si="22"/>
        <v>189</v>
      </c>
    </row>
    <row r="235" spans="1:32" x14ac:dyDescent="0.3">
      <c r="A235" s="7" t="s">
        <v>358</v>
      </c>
      <c r="B235" s="652" t="s">
        <v>431</v>
      </c>
      <c r="C235" s="494"/>
      <c r="D235" s="536" t="s">
        <v>251</v>
      </c>
      <c r="E235" s="536" t="s">
        <v>251</v>
      </c>
      <c r="F235" s="536" t="s">
        <v>251</v>
      </c>
      <c r="G235" s="536" t="s">
        <v>251</v>
      </c>
      <c r="H235" s="536" t="s">
        <v>251</v>
      </c>
      <c r="I235" s="536" t="s">
        <v>251</v>
      </c>
      <c r="J235" s="536" t="s">
        <v>251</v>
      </c>
      <c r="K235" s="536"/>
      <c r="L235" s="536" t="s">
        <v>251</v>
      </c>
      <c r="M235" s="536" t="s">
        <v>251</v>
      </c>
      <c r="N235" s="536" t="s">
        <v>251</v>
      </c>
      <c r="O235" s="536" t="s">
        <v>251</v>
      </c>
      <c r="P235" s="1496">
        <f t="shared" si="23"/>
        <v>0</v>
      </c>
      <c r="Q235" s="666">
        <f t="shared" si="27"/>
        <v>0</v>
      </c>
      <c r="R235" s="1046" t="s">
        <v>251</v>
      </c>
      <c r="S235" s="1047" t="s">
        <v>251</v>
      </c>
      <c r="T235" s="1047" t="s">
        <v>251</v>
      </c>
      <c r="U235" s="1047"/>
      <c r="V235" s="1047"/>
      <c r="W235" s="1047"/>
      <c r="X235" s="1047"/>
      <c r="Y235" s="1047"/>
      <c r="Z235" s="1047"/>
      <c r="AA235" s="1047"/>
      <c r="AB235" s="1047"/>
      <c r="AC235" s="1047"/>
      <c r="AD235" s="666">
        <f t="shared" si="26"/>
        <v>0</v>
      </c>
      <c r="AE235" s="576">
        <f t="shared" si="25"/>
        <v>0</v>
      </c>
      <c r="AF235" s="577">
        <f t="shared" si="22"/>
        <v>189</v>
      </c>
    </row>
    <row r="236" spans="1:32" x14ac:dyDescent="0.3">
      <c r="A236" s="7" t="s">
        <v>358</v>
      </c>
      <c r="B236" s="652" t="s">
        <v>1781</v>
      </c>
      <c r="C236" s="494"/>
      <c r="D236" s="536" t="s">
        <v>251</v>
      </c>
      <c r="E236" s="536" t="s">
        <v>251</v>
      </c>
      <c r="F236" s="536" t="s">
        <v>251</v>
      </c>
      <c r="G236" s="536" t="s">
        <v>251</v>
      </c>
      <c r="H236" s="536" t="s">
        <v>251</v>
      </c>
      <c r="I236" s="536" t="s">
        <v>251</v>
      </c>
      <c r="J236" s="536" t="s">
        <v>251</v>
      </c>
      <c r="K236" s="536"/>
      <c r="L236" s="536" t="s">
        <v>251</v>
      </c>
      <c r="M236" s="536" t="s">
        <v>251</v>
      </c>
      <c r="N236" s="536" t="s">
        <v>251</v>
      </c>
      <c r="O236" s="536" t="s">
        <v>251</v>
      </c>
      <c r="P236" s="1496">
        <f t="shared" si="23"/>
        <v>0</v>
      </c>
      <c r="Q236" s="666">
        <f t="shared" si="27"/>
        <v>0</v>
      </c>
      <c r="R236" s="1046" t="s">
        <v>251</v>
      </c>
      <c r="S236" s="1047" t="s">
        <v>251</v>
      </c>
      <c r="T236" s="1047" t="s">
        <v>251</v>
      </c>
      <c r="U236" s="1047"/>
      <c r="V236" s="1047"/>
      <c r="W236" s="1047"/>
      <c r="X236" s="1047"/>
      <c r="Y236" s="1047"/>
      <c r="Z236" s="1047"/>
      <c r="AA236" s="1047"/>
      <c r="AB236" s="1047"/>
      <c r="AC236" s="1047"/>
      <c r="AD236" s="666">
        <f t="shared" si="26"/>
        <v>0</v>
      </c>
      <c r="AE236" s="576">
        <f t="shared" si="25"/>
        <v>0</v>
      </c>
      <c r="AF236" s="577">
        <f t="shared" si="22"/>
        <v>189</v>
      </c>
    </row>
    <row r="237" spans="1:32" x14ac:dyDescent="0.3">
      <c r="A237" s="7" t="s">
        <v>358</v>
      </c>
      <c r="B237" s="652" t="s">
        <v>1780</v>
      </c>
      <c r="C237" s="494"/>
      <c r="D237" s="536" t="s">
        <v>251</v>
      </c>
      <c r="E237" s="536" t="s">
        <v>251</v>
      </c>
      <c r="F237" s="536" t="s">
        <v>251</v>
      </c>
      <c r="G237" s="536" t="s">
        <v>251</v>
      </c>
      <c r="H237" s="536" t="s">
        <v>251</v>
      </c>
      <c r="I237" s="536" t="s">
        <v>251</v>
      </c>
      <c r="J237" s="536" t="s">
        <v>251</v>
      </c>
      <c r="K237" s="536"/>
      <c r="L237" s="536" t="s">
        <v>251</v>
      </c>
      <c r="M237" s="536" t="s">
        <v>251</v>
      </c>
      <c r="N237" s="536" t="s">
        <v>251</v>
      </c>
      <c r="O237" s="536" t="s">
        <v>251</v>
      </c>
      <c r="P237" s="1496">
        <f t="shared" si="23"/>
        <v>0</v>
      </c>
      <c r="Q237" s="666">
        <f t="shared" si="27"/>
        <v>0</v>
      </c>
      <c r="R237" s="1046" t="s">
        <v>251</v>
      </c>
      <c r="S237" s="1047" t="s">
        <v>251</v>
      </c>
      <c r="T237" s="1047" t="s">
        <v>251</v>
      </c>
      <c r="U237" s="1047"/>
      <c r="V237" s="1047"/>
      <c r="W237" s="1047"/>
      <c r="X237" s="1047"/>
      <c r="Y237" s="1047"/>
      <c r="Z237" s="1047"/>
      <c r="AA237" s="1047"/>
      <c r="AB237" s="1047"/>
      <c r="AC237" s="1047"/>
      <c r="AD237" s="666">
        <f t="shared" si="26"/>
        <v>0</v>
      </c>
      <c r="AE237" s="576">
        <f t="shared" si="25"/>
        <v>0</v>
      </c>
      <c r="AF237" s="577">
        <f t="shared" si="22"/>
        <v>189</v>
      </c>
    </row>
    <row r="238" spans="1:32" x14ac:dyDescent="0.3">
      <c r="A238" s="7" t="s">
        <v>358</v>
      </c>
      <c r="B238" s="652" t="s">
        <v>1784</v>
      </c>
      <c r="C238" s="494"/>
      <c r="D238" s="536" t="s">
        <v>251</v>
      </c>
      <c r="E238" s="536" t="s">
        <v>251</v>
      </c>
      <c r="F238" s="536" t="s">
        <v>251</v>
      </c>
      <c r="G238" s="536" t="s">
        <v>251</v>
      </c>
      <c r="H238" s="536" t="s">
        <v>251</v>
      </c>
      <c r="I238" s="536" t="s">
        <v>251</v>
      </c>
      <c r="J238" s="536" t="s">
        <v>251</v>
      </c>
      <c r="K238" s="536"/>
      <c r="L238" s="536" t="s">
        <v>251</v>
      </c>
      <c r="M238" s="536" t="s">
        <v>251</v>
      </c>
      <c r="N238" s="536" t="s">
        <v>251</v>
      </c>
      <c r="O238" s="536" t="s">
        <v>251</v>
      </c>
      <c r="P238" s="1496">
        <f t="shared" si="23"/>
        <v>0</v>
      </c>
      <c r="Q238" s="666">
        <f t="shared" si="27"/>
        <v>0</v>
      </c>
      <c r="R238" s="1046" t="s">
        <v>251</v>
      </c>
      <c r="S238" s="1047" t="s">
        <v>251</v>
      </c>
      <c r="T238" s="1047" t="s">
        <v>251</v>
      </c>
      <c r="U238" s="1047"/>
      <c r="V238" s="1047"/>
      <c r="W238" s="1047"/>
      <c r="X238" s="1047"/>
      <c r="Y238" s="1047"/>
      <c r="Z238" s="1047"/>
      <c r="AA238" s="1047"/>
      <c r="AB238" s="1047"/>
      <c r="AC238" s="1047"/>
      <c r="AD238" s="666">
        <f t="shared" si="26"/>
        <v>0</v>
      </c>
      <c r="AE238" s="576">
        <f t="shared" si="25"/>
        <v>0</v>
      </c>
      <c r="AF238" s="577">
        <f t="shared" si="22"/>
        <v>189</v>
      </c>
    </row>
    <row r="239" spans="1:32" x14ac:dyDescent="0.3">
      <c r="A239" s="7" t="s">
        <v>358</v>
      </c>
      <c r="B239" s="652" t="s">
        <v>1785</v>
      </c>
      <c r="C239" s="494"/>
      <c r="D239" s="536">
        <v>0</v>
      </c>
      <c r="E239" s="536">
        <v>0</v>
      </c>
      <c r="F239" s="536">
        <v>0</v>
      </c>
      <c r="G239" s="536">
        <v>0</v>
      </c>
      <c r="H239" s="536">
        <v>0</v>
      </c>
      <c r="I239" s="536">
        <v>0</v>
      </c>
      <c r="J239" s="536"/>
      <c r="K239" s="536"/>
      <c r="L239" s="536">
        <v>0</v>
      </c>
      <c r="M239" s="536">
        <v>0</v>
      </c>
      <c r="N239" s="536">
        <v>49430</v>
      </c>
      <c r="O239" s="536">
        <v>2140070</v>
      </c>
      <c r="P239" s="1496">
        <f t="shared" si="23"/>
        <v>0</v>
      </c>
      <c r="Q239" s="666">
        <f t="shared" si="27"/>
        <v>2189500</v>
      </c>
      <c r="R239" s="1046" t="s">
        <v>251</v>
      </c>
      <c r="S239" s="1047" t="s">
        <v>251</v>
      </c>
      <c r="T239" s="1047" t="s">
        <v>251</v>
      </c>
      <c r="U239" s="1047"/>
      <c r="V239" s="1047"/>
      <c r="W239" s="1047"/>
      <c r="X239" s="1047"/>
      <c r="Y239" s="1047"/>
      <c r="Z239" s="1047"/>
      <c r="AA239" s="1047"/>
      <c r="AB239" s="1047"/>
      <c r="AC239" s="1047"/>
      <c r="AD239" s="666">
        <f t="shared" si="26"/>
        <v>0</v>
      </c>
      <c r="AE239" s="576">
        <f t="shared" si="25"/>
        <v>0</v>
      </c>
      <c r="AF239" s="577">
        <f t="shared" si="22"/>
        <v>189</v>
      </c>
    </row>
    <row r="240" spans="1:32" x14ac:dyDescent="0.3">
      <c r="A240" s="7" t="s">
        <v>358</v>
      </c>
      <c r="B240" s="652" t="s">
        <v>443</v>
      </c>
      <c r="C240" s="494"/>
      <c r="D240" s="536">
        <v>0</v>
      </c>
      <c r="E240" s="536">
        <v>0</v>
      </c>
      <c r="F240" s="536">
        <v>0</v>
      </c>
      <c r="G240" s="536">
        <v>0</v>
      </c>
      <c r="H240" s="536">
        <v>0</v>
      </c>
      <c r="I240" s="536">
        <v>0</v>
      </c>
      <c r="J240" s="536"/>
      <c r="K240" s="536"/>
      <c r="L240" s="536">
        <v>0</v>
      </c>
      <c r="M240" s="536">
        <v>0</v>
      </c>
      <c r="N240" s="536">
        <v>0</v>
      </c>
      <c r="O240" s="536">
        <v>353400</v>
      </c>
      <c r="P240" s="1496">
        <f t="shared" si="23"/>
        <v>0</v>
      </c>
      <c r="Q240" s="666">
        <f t="shared" si="27"/>
        <v>353400</v>
      </c>
      <c r="R240" s="1046" t="s">
        <v>251</v>
      </c>
      <c r="S240" s="1047" t="s">
        <v>251</v>
      </c>
      <c r="T240" s="1047">
        <v>363200</v>
      </c>
      <c r="U240" s="1047">
        <v>0</v>
      </c>
      <c r="V240" s="1047">
        <v>0</v>
      </c>
      <c r="W240" s="1047">
        <v>0</v>
      </c>
      <c r="X240" s="1047">
        <v>0</v>
      </c>
      <c r="Y240" s="1047">
        <v>0</v>
      </c>
      <c r="Z240" s="1047"/>
      <c r="AA240" s="1047"/>
      <c r="AB240" s="1047"/>
      <c r="AC240" s="1047"/>
      <c r="AD240" s="666">
        <f t="shared" si="26"/>
        <v>363200</v>
      </c>
      <c r="AE240" s="576">
        <f t="shared" si="25"/>
        <v>1</v>
      </c>
      <c r="AF240" s="577">
        <f t="shared" si="22"/>
        <v>107</v>
      </c>
    </row>
    <row r="241" spans="1:32" x14ac:dyDescent="0.3">
      <c r="A241" s="7" t="s">
        <v>358</v>
      </c>
      <c r="B241" s="652" t="s">
        <v>1955</v>
      </c>
      <c r="C241" s="494"/>
      <c r="D241" s="536">
        <v>0</v>
      </c>
      <c r="E241" s="536">
        <v>0</v>
      </c>
      <c r="F241" s="536">
        <v>0</v>
      </c>
      <c r="G241" s="536">
        <v>0</v>
      </c>
      <c r="H241" s="536">
        <v>0</v>
      </c>
      <c r="I241" s="536">
        <v>0</v>
      </c>
      <c r="J241" s="536"/>
      <c r="K241" s="536"/>
      <c r="L241" s="536">
        <v>0</v>
      </c>
      <c r="M241" s="536">
        <v>0</v>
      </c>
      <c r="N241" s="536">
        <v>0</v>
      </c>
      <c r="O241" s="536">
        <v>476140</v>
      </c>
      <c r="P241" s="1496">
        <f t="shared" si="23"/>
        <v>0</v>
      </c>
      <c r="Q241" s="666">
        <f t="shared" si="27"/>
        <v>476140</v>
      </c>
      <c r="R241" s="1046" t="s">
        <v>251</v>
      </c>
      <c r="S241" s="1047" t="s">
        <v>251</v>
      </c>
      <c r="T241" s="1047" t="s">
        <v>251</v>
      </c>
      <c r="U241" s="1047">
        <v>97750</v>
      </c>
      <c r="V241" s="1047">
        <v>0</v>
      </c>
      <c r="W241" s="1047">
        <v>0</v>
      </c>
      <c r="X241" s="1047">
        <v>0</v>
      </c>
      <c r="Y241" s="1047">
        <v>0</v>
      </c>
      <c r="Z241" s="1047"/>
      <c r="AA241" s="1047"/>
      <c r="AB241" s="1047"/>
      <c r="AC241" s="1047"/>
      <c r="AD241" s="666">
        <f t="shared" si="26"/>
        <v>97750</v>
      </c>
      <c r="AE241" s="576">
        <f t="shared" si="25"/>
        <v>1</v>
      </c>
      <c r="AF241" s="577">
        <f t="shared" si="22"/>
        <v>156</v>
      </c>
    </row>
    <row r="242" spans="1:32" x14ac:dyDescent="0.3">
      <c r="A242" s="7" t="s">
        <v>358</v>
      </c>
      <c r="B242" s="652" t="s">
        <v>1956</v>
      </c>
      <c r="C242" s="494"/>
      <c r="D242" s="536">
        <v>0</v>
      </c>
      <c r="E242" s="536">
        <v>0</v>
      </c>
      <c r="F242" s="536">
        <v>0</v>
      </c>
      <c r="G242" s="536">
        <v>0</v>
      </c>
      <c r="H242" s="536">
        <v>0</v>
      </c>
      <c r="I242" s="536">
        <v>0</v>
      </c>
      <c r="J242" s="536"/>
      <c r="K242" s="536"/>
      <c r="L242" s="536">
        <v>0</v>
      </c>
      <c r="M242" s="536">
        <v>0</v>
      </c>
      <c r="N242" s="536">
        <v>0</v>
      </c>
      <c r="O242" s="536">
        <v>176280</v>
      </c>
      <c r="P242" s="1496">
        <f t="shared" si="23"/>
        <v>0</v>
      </c>
      <c r="Q242" s="666">
        <f t="shared" si="27"/>
        <v>176280</v>
      </c>
      <c r="R242" s="1046" t="s">
        <v>251</v>
      </c>
      <c r="S242" s="1047" t="s">
        <v>251</v>
      </c>
      <c r="T242" s="1047" t="s">
        <v>251</v>
      </c>
      <c r="U242" s="1047"/>
      <c r="V242" s="1047"/>
      <c r="W242" s="1047"/>
      <c r="X242" s="1047"/>
      <c r="Y242" s="1047"/>
      <c r="Z242" s="1047"/>
      <c r="AA242" s="1047"/>
      <c r="AB242" s="1047"/>
      <c r="AC242" s="1047"/>
      <c r="AD242" s="666">
        <f t="shared" si="26"/>
        <v>0</v>
      </c>
      <c r="AE242" s="576">
        <f t="shared" si="25"/>
        <v>0</v>
      </c>
      <c r="AF242" s="577">
        <f t="shared" si="22"/>
        <v>189</v>
      </c>
    </row>
    <row r="243" spans="1:32" x14ac:dyDescent="0.3">
      <c r="A243" s="7" t="s">
        <v>358</v>
      </c>
      <c r="B243" s="652" t="s">
        <v>2261</v>
      </c>
      <c r="C243" s="494"/>
      <c r="D243" s="536">
        <v>0</v>
      </c>
      <c r="E243" s="536">
        <v>0</v>
      </c>
      <c r="F243" s="536">
        <v>0</v>
      </c>
      <c r="G243" s="536">
        <v>0</v>
      </c>
      <c r="H243" s="536"/>
      <c r="I243" s="536"/>
      <c r="J243" s="536"/>
      <c r="K243" s="536"/>
      <c r="L243" s="536"/>
      <c r="M243" s="536"/>
      <c r="N243" s="536">
        <v>0</v>
      </c>
      <c r="O243" s="536">
        <v>143490</v>
      </c>
      <c r="P243" s="1496">
        <f t="shared" si="23"/>
        <v>0</v>
      </c>
      <c r="Q243" s="666">
        <f t="shared" si="27"/>
        <v>143490</v>
      </c>
      <c r="R243" s="1046" t="s">
        <v>251</v>
      </c>
      <c r="S243" s="1047" t="s">
        <v>251</v>
      </c>
      <c r="T243" s="1047" t="s">
        <v>251</v>
      </c>
      <c r="U243" s="1047">
        <v>73650</v>
      </c>
      <c r="V243" s="1047">
        <v>0</v>
      </c>
      <c r="W243" s="1047">
        <v>0</v>
      </c>
      <c r="X243" s="1047">
        <v>0</v>
      </c>
      <c r="Y243" s="1047">
        <v>0</v>
      </c>
      <c r="Z243" s="1047"/>
      <c r="AA243" s="1047"/>
      <c r="AB243" s="1047"/>
      <c r="AC243" s="1047"/>
      <c r="AD243" s="666">
        <f t="shared" si="26"/>
        <v>73650</v>
      </c>
      <c r="AE243" s="576">
        <f t="shared" si="25"/>
        <v>1</v>
      </c>
      <c r="AF243" s="577">
        <f t="shared" si="22"/>
        <v>162</v>
      </c>
    </row>
    <row r="244" spans="1:32" x14ac:dyDescent="0.3">
      <c r="A244" s="7" t="s">
        <v>358</v>
      </c>
      <c r="B244" s="652" t="s">
        <v>217</v>
      </c>
      <c r="C244" s="494"/>
      <c r="D244" s="536"/>
      <c r="E244" s="536"/>
      <c r="F244" s="536"/>
      <c r="G244" s="536"/>
      <c r="H244" s="536"/>
      <c r="I244" s="536"/>
      <c r="J244" s="536"/>
      <c r="K244" s="536"/>
      <c r="L244" s="536"/>
      <c r="M244" s="536"/>
      <c r="N244" s="536"/>
      <c r="O244" s="536"/>
      <c r="P244" s="1496">
        <f t="shared" si="23"/>
        <v>0</v>
      </c>
      <c r="Q244" s="666">
        <f t="shared" si="27"/>
        <v>0</v>
      </c>
      <c r="R244" s="1046">
        <v>83840</v>
      </c>
      <c r="S244" s="1047" t="s">
        <v>251</v>
      </c>
      <c r="T244" s="1047">
        <v>0</v>
      </c>
      <c r="U244" s="1047">
        <v>0</v>
      </c>
      <c r="V244" s="1047">
        <v>0</v>
      </c>
      <c r="W244" s="1047">
        <v>0</v>
      </c>
      <c r="X244" s="1047">
        <v>0</v>
      </c>
      <c r="Y244" s="1047">
        <v>0</v>
      </c>
      <c r="Z244" s="1047"/>
      <c r="AA244" s="1047"/>
      <c r="AB244" s="1047"/>
      <c r="AC244" s="1047"/>
      <c r="AD244" s="666">
        <f t="shared" si="26"/>
        <v>83840</v>
      </c>
      <c r="AE244" s="576">
        <f t="shared" si="25"/>
        <v>1</v>
      </c>
      <c r="AF244" s="577">
        <f t="shared" si="22"/>
        <v>159</v>
      </c>
    </row>
    <row r="245" spans="1:32" x14ac:dyDescent="0.3">
      <c r="A245" s="7" t="s">
        <v>358</v>
      </c>
      <c r="B245" s="652" t="s">
        <v>1702</v>
      </c>
      <c r="C245" s="494"/>
      <c r="D245" s="536"/>
      <c r="E245" s="536"/>
      <c r="F245" s="536"/>
      <c r="G245" s="536"/>
      <c r="H245" s="536"/>
      <c r="I245" s="536"/>
      <c r="J245" s="536"/>
      <c r="K245" s="536"/>
      <c r="L245" s="536"/>
      <c r="M245" s="536"/>
      <c r="N245" s="536"/>
      <c r="O245" s="536"/>
      <c r="P245" s="1496">
        <f t="shared" si="23"/>
        <v>0</v>
      </c>
      <c r="Q245" s="666">
        <f t="shared" si="27"/>
        <v>0</v>
      </c>
      <c r="R245" s="1046">
        <v>58090</v>
      </c>
      <c r="S245" s="1047" t="s">
        <v>251</v>
      </c>
      <c r="T245" s="1047">
        <v>0</v>
      </c>
      <c r="U245" s="1047">
        <v>0</v>
      </c>
      <c r="V245" s="1047">
        <v>0</v>
      </c>
      <c r="W245" s="1047">
        <v>0</v>
      </c>
      <c r="X245" s="1047">
        <v>58760</v>
      </c>
      <c r="Y245" s="1047">
        <v>0</v>
      </c>
      <c r="Z245" s="1047"/>
      <c r="AA245" s="1047"/>
      <c r="AB245" s="1047"/>
      <c r="AC245" s="1047"/>
      <c r="AD245" s="666">
        <f t="shared" si="26"/>
        <v>116850</v>
      </c>
      <c r="AE245" s="576">
        <f t="shared" si="25"/>
        <v>1</v>
      </c>
      <c r="AF245" s="577">
        <f t="shared" si="22"/>
        <v>153</v>
      </c>
    </row>
    <row r="246" spans="1:32" x14ac:dyDescent="0.3">
      <c r="A246" s="7" t="s">
        <v>358</v>
      </c>
      <c r="B246" s="652" t="s">
        <v>47</v>
      </c>
      <c r="C246" s="494"/>
      <c r="D246" s="536"/>
      <c r="E246" s="536"/>
      <c r="F246" s="536"/>
      <c r="G246" s="536"/>
      <c r="H246" s="536"/>
      <c r="I246" s="536"/>
      <c r="J246" s="536"/>
      <c r="K246" s="536"/>
      <c r="L246" s="536"/>
      <c r="M246" s="536"/>
      <c r="N246" s="536"/>
      <c r="O246" s="536"/>
      <c r="P246" s="1496">
        <f t="shared" si="23"/>
        <v>0</v>
      </c>
      <c r="Q246" s="666">
        <f t="shared" si="27"/>
        <v>0</v>
      </c>
      <c r="R246" s="1046">
        <v>40550</v>
      </c>
      <c r="S246" s="1047" t="s">
        <v>251</v>
      </c>
      <c r="T246" s="1047">
        <v>0</v>
      </c>
      <c r="U246" s="1047">
        <v>0</v>
      </c>
      <c r="V246" s="1047">
        <v>0</v>
      </c>
      <c r="W246" s="1047">
        <v>0</v>
      </c>
      <c r="X246" s="1047">
        <v>0</v>
      </c>
      <c r="Y246" s="1047">
        <v>0</v>
      </c>
      <c r="Z246" s="1047"/>
      <c r="AA246" s="1047"/>
      <c r="AB246" s="1047"/>
      <c r="AC246" s="1047"/>
      <c r="AD246" s="666">
        <f t="shared" si="26"/>
        <v>40550</v>
      </c>
      <c r="AE246" s="576">
        <f t="shared" si="25"/>
        <v>1</v>
      </c>
      <c r="AF246" s="577">
        <f t="shared" si="22"/>
        <v>176</v>
      </c>
    </row>
    <row r="247" spans="1:32" x14ac:dyDescent="0.3">
      <c r="A247" s="7" t="s">
        <v>358</v>
      </c>
      <c r="B247" s="652" t="s">
        <v>2487</v>
      </c>
      <c r="C247" s="494"/>
      <c r="D247" s="536"/>
      <c r="E247" s="536"/>
      <c r="F247" s="536"/>
      <c r="G247" s="536"/>
      <c r="H247" s="536"/>
      <c r="I247" s="536"/>
      <c r="J247" s="536"/>
      <c r="K247" s="536"/>
      <c r="L247" s="536"/>
      <c r="M247" s="536"/>
      <c r="N247" s="536"/>
      <c r="O247" s="536"/>
      <c r="P247" s="1496">
        <f t="shared" si="23"/>
        <v>0</v>
      </c>
      <c r="Q247" s="666">
        <f t="shared" si="27"/>
        <v>0</v>
      </c>
      <c r="R247" s="1046">
        <v>29390</v>
      </c>
      <c r="S247" s="1047" t="s">
        <v>251</v>
      </c>
      <c r="T247" s="1047">
        <v>0</v>
      </c>
      <c r="U247" s="1047">
        <v>0</v>
      </c>
      <c r="V247" s="1047">
        <v>0</v>
      </c>
      <c r="W247" s="1047">
        <v>0</v>
      </c>
      <c r="X247" s="1047">
        <v>0</v>
      </c>
      <c r="Y247" s="1047">
        <v>0</v>
      </c>
      <c r="Z247" s="1047"/>
      <c r="AA247" s="1047"/>
      <c r="AB247" s="1047"/>
      <c r="AC247" s="1047"/>
      <c r="AD247" s="666">
        <f t="shared" si="26"/>
        <v>29390</v>
      </c>
      <c r="AE247" s="576">
        <f t="shared" si="25"/>
        <v>1</v>
      </c>
      <c r="AF247" s="577">
        <f t="shared" si="22"/>
        <v>185</v>
      </c>
    </row>
    <row r="248" spans="1:32" x14ac:dyDescent="0.3">
      <c r="A248" s="7" t="s">
        <v>358</v>
      </c>
      <c r="B248" s="652" t="s">
        <v>646</v>
      </c>
      <c r="C248" s="494"/>
      <c r="D248" s="536"/>
      <c r="E248" s="536"/>
      <c r="F248" s="536"/>
      <c r="G248" s="536"/>
      <c r="H248" s="536"/>
      <c r="I248" s="536"/>
      <c r="J248" s="536"/>
      <c r="K248" s="536"/>
      <c r="L248" s="536"/>
      <c r="M248" s="536"/>
      <c r="N248" s="536"/>
      <c r="O248" s="536"/>
      <c r="P248" s="1496">
        <f t="shared" si="23"/>
        <v>0</v>
      </c>
      <c r="Q248" s="666">
        <f t="shared" si="27"/>
        <v>0</v>
      </c>
      <c r="R248" s="1046"/>
      <c r="S248" s="1047">
        <v>46850</v>
      </c>
      <c r="T248" s="1047">
        <v>80380</v>
      </c>
      <c r="U248" s="1047">
        <v>0</v>
      </c>
      <c r="V248" s="1047">
        <v>90560</v>
      </c>
      <c r="W248" s="1047">
        <v>0</v>
      </c>
      <c r="X248" s="1047">
        <v>85780</v>
      </c>
      <c r="Y248" s="1047">
        <v>0</v>
      </c>
      <c r="Z248" s="1047"/>
      <c r="AA248" s="1047"/>
      <c r="AB248" s="1047"/>
      <c r="AC248" s="1047"/>
      <c r="AD248" s="666">
        <f t="shared" si="26"/>
        <v>303570</v>
      </c>
      <c r="AE248" s="576">
        <f t="shared" si="25"/>
        <v>1</v>
      </c>
      <c r="AF248" s="577">
        <f t="shared" si="22"/>
        <v>117</v>
      </c>
    </row>
    <row r="249" spans="1:32" x14ac:dyDescent="0.3">
      <c r="A249" s="7" t="s">
        <v>358</v>
      </c>
      <c r="B249" s="652" t="s">
        <v>2578</v>
      </c>
      <c r="C249" s="494"/>
      <c r="D249" s="536"/>
      <c r="E249" s="536"/>
      <c r="F249" s="536"/>
      <c r="G249" s="536"/>
      <c r="H249" s="536"/>
      <c r="I249" s="536"/>
      <c r="J249" s="536"/>
      <c r="K249" s="536"/>
      <c r="L249" s="536"/>
      <c r="M249" s="536"/>
      <c r="N249" s="536"/>
      <c r="O249" s="536"/>
      <c r="P249" s="1496">
        <f t="shared" si="23"/>
        <v>0</v>
      </c>
      <c r="Q249" s="666">
        <f t="shared" si="27"/>
        <v>0</v>
      </c>
      <c r="R249" s="1046"/>
      <c r="S249" s="1047">
        <v>665060</v>
      </c>
      <c r="T249" s="1047">
        <v>0</v>
      </c>
      <c r="U249" s="1047">
        <v>0</v>
      </c>
      <c r="V249" s="1047">
        <v>0</v>
      </c>
      <c r="W249" s="1047">
        <v>0</v>
      </c>
      <c r="X249" s="1047">
        <v>0</v>
      </c>
      <c r="Y249" s="1047">
        <v>0</v>
      </c>
      <c r="Z249" s="1047"/>
      <c r="AA249" s="1047"/>
      <c r="AB249" s="1047"/>
      <c r="AC249" s="1047"/>
      <c r="AD249" s="666">
        <f t="shared" si="26"/>
        <v>665060</v>
      </c>
      <c r="AE249" s="576">
        <f t="shared" si="25"/>
        <v>1</v>
      </c>
      <c r="AF249" s="577">
        <f t="shared" si="22"/>
        <v>79</v>
      </c>
    </row>
    <row r="250" spans="1:32" x14ac:dyDescent="0.3">
      <c r="A250" s="7" t="s">
        <v>358</v>
      </c>
      <c r="B250" s="652" t="s">
        <v>2589</v>
      </c>
      <c r="C250" s="494"/>
      <c r="D250" s="536"/>
      <c r="E250" s="536"/>
      <c r="F250" s="536"/>
      <c r="G250" s="536"/>
      <c r="H250" s="536"/>
      <c r="I250" s="536"/>
      <c r="J250" s="536"/>
      <c r="K250" s="536"/>
      <c r="L250" s="536"/>
      <c r="M250" s="536"/>
      <c r="N250" s="536"/>
      <c r="O250" s="536"/>
      <c r="P250" s="1496">
        <f t="shared" si="23"/>
        <v>0</v>
      </c>
      <c r="Q250" s="666">
        <f t="shared" si="27"/>
        <v>0</v>
      </c>
      <c r="R250" s="1046"/>
      <c r="S250" s="1047"/>
      <c r="T250" s="1047">
        <v>357980</v>
      </c>
      <c r="U250" s="1047">
        <v>0</v>
      </c>
      <c r="V250" s="1047">
        <v>0</v>
      </c>
      <c r="W250" s="1047">
        <v>0</v>
      </c>
      <c r="X250" s="1047">
        <v>0</v>
      </c>
      <c r="Y250" s="1047">
        <v>0</v>
      </c>
      <c r="Z250" s="1047"/>
      <c r="AA250" s="1047"/>
      <c r="AB250" s="1047"/>
      <c r="AC250" s="1047"/>
      <c r="AD250" s="666">
        <f t="shared" si="26"/>
        <v>357980</v>
      </c>
      <c r="AE250" s="576">
        <f t="shared" si="25"/>
        <v>1</v>
      </c>
      <c r="AF250" s="577">
        <f t="shared" si="22"/>
        <v>108</v>
      </c>
    </row>
    <row r="251" spans="1:32" x14ac:dyDescent="0.3">
      <c r="A251" s="7" t="s">
        <v>358</v>
      </c>
      <c r="B251" s="652" t="s">
        <v>14</v>
      </c>
      <c r="C251" s="494"/>
      <c r="D251" s="536"/>
      <c r="E251" s="536"/>
      <c r="F251" s="536"/>
      <c r="G251" s="536"/>
      <c r="H251" s="536"/>
      <c r="I251" s="536"/>
      <c r="J251" s="536"/>
      <c r="K251" s="536"/>
      <c r="L251" s="536"/>
      <c r="M251" s="536"/>
      <c r="N251" s="536"/>
      <c r="O251" s="536"/>
      <c r="P251" s="1496">
        <f t="shared" si="23"/>
        <v>0</v>
      </c>
      <c r="Q251" s="666">
        <f t="shared" si="27"/>
        <v>0</v>
      </c>
      <c r="R251" s="1046"/>
      <c r="S251" s="1047"/>
      <c r="T251" s="1047">
        <v>130150</v>
      </c>
      <c r="U251" s="1047">
        <v>0</v>
      </c>
      <c r="V251" s="1047">
        <v>0</v>
      </c>
      <c r="W251" s="1047">
        <v>0</v>
      </c>
      <c r="X251" s="1047">
        <v>0</v>
      </c>
      <c r="Y251" s="1047">
        <v>0</v>
      </c>
      <c r="Z251" s="1047"/>
      <c r="AA251" s="1047"/>
      <c r="AB251" s="1047"/>
      <c r="AC251" s="1047"/>
      <c r="AD251" s="666">
        <f t="shared" si="26"/>
        <v>130150</v>
      </c>
      <c r="AE251" s="576">
        <f t="shared" si="25"/>
        <v>1</v>
      </c>
      <c r="AF251" s="577">
        <f t="shared" si="22"/>
        <v>146</v>
      </c>
    </row>
    <row r="252" spans="1:32" x14ac:dyDescent="0.3">
      <c r="A252" s="7" t="s">
        <v>358</v>
      </c>
      <c r="B252" s="652" t="s">
        <v>62</v>
      </c>
      <c r="C252" s="494"/>
      <c r="D252" s="536"/>
      <c r="E252" s="536"/>
      <c r="F252" s="536"/>
      <c r="G252" s="536"/>
      <c r="H252" s="536"/>
      <c r="I252" s="536"/>
      <c r="J252" s="536"/>
      <c r="K252" s="536"/>
      <c r="L252" s="536"/>
      <c r="M252" s="536"/>
      <c r="N252" s="536"/>
      <c r="O252" s="536"/>
      <c r="P252" s="1496">
        <f t="shared" si="23"/>
        <v>0</v>
      </c>
      <c r="Q252" s="666">
        <f t="shared" si="27"/>
        <v>0</v>
      </c>
      <c r="R252" s="1046"/>
      <c r="S252" s="1047"/>
      <c r="T252" s="1047"/>
      <c r="U252" s="1047">
        <v>103110</v>
      </c>
      <c r="V252" s="1047">
        <v>0</v>
      </c>
      <c r="W252" s="1047">
        <v>0</v>
      </c>
      <c r="X252" s="1047">
        <v>0</v>
      </c>
      <c r="Y252" s="1047">
        <v>0</v>
      </c>
      <c r="Z252" s="1047"/>
      <c r="AA252" s="1047"/>
      <c r="AB252" s="1047"/>
      <c r="AC252" s="1047"/>
      <c r="AD252" s="666">
        <f t="shared" si="26"/>
        <v>103110</v>
      </c>
      <c r="AE252" s="576">
        <f t="shared" si="25"/>
        <v>1</v>
      </c>
      <c r="AF252" s="577">
        <f t="shared" si="22"/>
        <v>155</v>
      </c>
    </row>
    <row r="253" spans="1:32" x14ac:dyDescent="0.3">
      <c r="A253" s="7" t="s">
        <v>358</v>
      </c>
      <c r="B253" s="652" t="s">
        <v>285</v>
      </c>
      <c r="C253" s="494"/>
      <c r="D253" s="536"/>
      <c r="E253" s="536"/>
      <c r="F253" s="536"/>
      <c r="G253" s="536"/>
      <c r="H253" s="536"/>
      <c r="I253" s="536"/>
      <c r="J253" s="536"/>
      <c r="K253" s="536"/>
      <c r="L253" s="536"/>
      <c r="M253" s="536"/>
      <c r="N253" s="536"/>
      <c r="O253" s="536"/>
      <c r="P253" s="1496">
        <f t="shared" si="23"/>
        <v>0</v>
      </c>
      <c r="Q253" s="666">
        <f t="shared" si="27"/>
        <v>0</v>
      </c>
      <c r="R253" s="1046"/>
      <c r="S253" s="1047"/>
      <c r="T253" s="1047"/>
      <c r="U253" s="1047">
        <v>29460</v>
      </c>
      <c r="V253" s="1047">
        <v>138950</v>
      </c>
      <c r="W253" s="1047">
        <v>0</v>
      </c>
      <c r="X253" s="1047">
        <v>0</v>
      </c>
      <c r="Y253" s="1047">
        <v>0</v>
      </c>
      <c r="Z253" s="1047"/>
      <c r="AA253" s="1047"/>
      <c r="AB253" s="1047"/>
      <c r="AC253" s="1047"/>
      <c r="AD253" s="666">
        <f t="shared" si="26"/>
        <v>168410</v>
      </c>
      <c r="AE253" s="576">
        <f t="shared" si="25"/>
        <v>1</v>
      </c>
      <c r="AF253" s="577">
        <f t="shared" si="22"/>
        <v>138</v>
      </c>
    </row>
    <row r="254" spans="1:32" x14ac:dyDescent="0.3">
      <c r="A254" s="7" t="s">
        <v>358</v>
      </c>
      <c r="B254" s="652" t="s">
        <v>435</v>
      </c>
      <c r="C254" s="494"/>
      <c r="D254" s="536"/>
      <c r="E254" s="536"/>
      <c r="F254" s="536"/>
      <c r="G254" s="536"/>
      <c r="H254" s="536"/>
      <c r="I254" s="536"/>
      <c r="J254" s="536"/>
      <c r="K254" s="536"/>
      <c r="L254" s="536"/>
      <c r="M254" s="536"/>
      <c r="N254" s="536"/>
      <c r="O254" s="536"/>
      <c r="P254" s="1496">
        <f t="shared" si="23"/>
        <v>0</v>
      </c>
      <c r="Q254" s="666">
        <f t="shared" si="27"/>
        <v>0</v>
      </c>
      <c r="R254" s="1046"/>
      <c r="S254" s="1047"/>
      <c r="T254" s="1047"/>
      <c r="U254" s="1047"/>
      <c r="V254" s="1047">
        <v>149470</v>
      </c>
      <c r="W254" s="1047">
        <v>0</v>
      </c>
      <c r="X254" s="1047">
        <v>0</v>
      </c>
      <c r="Y254" s="1047">
        <v>0</v>
      </c>
      <c r="Z254" s="1047"/>
      <c r="AA254" s="1047"/>
      <c r="AB254" s="1047"/>
      <c r="AC254" s="1047"/>
      <c r="AD254" s="666">
        <f t="shared" si="26"/>
        <v>149470</v>
      </c>
      <c r="AE254" s="576">
        <f t="shared" si="25"/>
        <v>1</v>
      </c>
      <c r="AF254" s="577">
        <f t="shared" si="22"/>
        <v>143</v>
      </c>
    </row>
    <row r="255" spans="1:32" x14ac:dyDescent="0.3">
      <c r="A255" s="7" t="s">
        <v>358</v>
      </c>
      <c r="B255" s="652" t="s">
        <v>2771</v>
      </c>
      <c r="C255" s="494"/>
      <c r="D255" s="536"/>
      <c r="E255" s="536"/>
      <c r="F255" s="536"/>
      <c r="G255" s="536"/>
      <c r="H255" s="536"/>
      <c r="I255" s="536"/>
      <c r="J255" s="536"/>
      <c r="K255" s="536"/>
      <c r="L255" s="536"/>
      <c r="M255" s="536"/>
      <c r="N255" s="536"/>
      <c r="O255" s="536"/>
      <c r="P255" s="1496">
        <f t="shared" si="23"/>
        <v>0</v>
      </c>
      <c r="Q255" s="666">
        <f t="shared" si="27"/>
        <v>0</v>
      </c>
      <c r="R255" s="1046"/>
      <c r="S255" s="1047"/>
      <c r="T255" s="1047"/>
      <c r="U255" s="1047"/>
      <c r="V255" s="1047">
        <v>554070</v>
      </c>
      <c r="W255" s="1047">
        <v>304080</v>
      </c>
      <c r="X255" s="1047">
        <v>0</v>
      </c>
      <c r="Y255" s="1047">
        <v>0</v>
      </c>
      <c r="Z255" s="1047"/>
      <c r="AA255" s="1047"/>
      <c r="AB255" s="1047"/>
      <c r="AC255" s="1047"/>
      <c r="AD255" s="666">
        <f t="shared" si="26"/>
        <v>858150</v>
      </c>
      <c r="AE255" s="576">
        <f t="shared" si="25"/>
        <v>1</v>
      </c>
      <c r="AF255" s="577">
        <f t="shared" si="22"/>
        <v>62</v>
      </c>
    </row>
    <row r="256" spans="1:32" x14ac:dyDescent="0.3">
      <c r="A256" s="7" t="s">
        <v>358</v>
      </c>
      <c r="B256" s="652" t="s">
        <v>238</v>
      </c>
      <c r="C256" s="494"/>
      <c r="D256" s="536"/>
      <c r="E256" s="536"/>
      <c r="F256" s="536"/>
      <c r="G256" s="536"/>
      <c r="H256" s="536"/>
      <c r="I256" s="536"/>
      <c r="J256" s="536"/>
      <c r="K256" s="536"/>
      <c r="L256" s="536"/>
      <c r="M256" s="536"/>
      <c r="N256" s="536"/>
      <c r="O256" s="536"/>
      <c r="P256" s="1496">
        <f t="shared" si="23"/>
        <v>0</v>
      </c>
      <c r="Q256" s="666">
        <f t="shared" si="27"/>
        <v>0</v>
      </c>
      <c r="R256" s="1046"/>
      <c r="S256" s="1047"/>
      <c r="T256" s="1047"/>
      <c r="U256" s="1047"/>
      <c r="V256" s="1047">
        <v>348050</v>
      </c>
      <c r="W256" s="1047">
        <v>0</v>
      </c>
      <c r="X256" s="1047">
        <v>626940</v>
      </c>
      <c r="Y256" s="1047">
        <v>0</v>
      </c>
      <c r="Z256" s="1047"/>
      <c r="AA256" s="1047"/>
      <c r="AB256" s="1047"/>
      <c r="AC256" s="1047"/>
      <c r="AD256" s="666">
        <f t="shared" si="26"/>
        <v>974990</v>
      </c>
      <c r="AE256" s="576">
        <f t="shared" si="25"/>
        <v>1</v>
      </c>
      <c r="AF256" s="577">
        <f t="shared" si="22"/>
        <v>53</v>
      </c>
    </row>
    <row r="257" spans="1:32" x14ac:dyDescent="0.3">
      <c r="A257" s="7" t="s">
        <v>358</v>
      </c>
      <c r="B257" s="652" t="s">
        <v>1230</v>
      </c>
      <c r="C257" s="494"/>
      <c r="D257" s="536"/>
      <c r="E257" s="536"/>
      <c r="F257" s="536"/>
      <c r="G257" s="536"/>
      <c r="H257" s="536"/>
      <c r="I257" s="536"/>
      <c r="J257" s="536"/>
      <c r="K257" s="536"/>
      <c r="L257" s="536"/>
      <c r="M257" s="536"/>
      <c r="N257" s="536"/>
      <c r="O257" s="536"/>
      <c r="P257" s="1496">
        <f t="shared" si="23"/>
        <v>0</v>
      </c>
      <c r="Q257" s="666">
        <f t="shared" si="27"/>
        <v>0</v>
      </c>
      <c r="R257" s="1046"/>
      <c r="S257" s="1047"/>
      <c r="T257" s="1047"/>
      <c r="U257" s="1047"/>
      <c r="V257" s="1047"/>
      <c r="W257" s="1047">
        <v>55670</v>
      </c>
      <c r="X257" s="1047">
        <v>0</v>
      </c>
      <c r="Y257" s="1047">
        <v>0</v>
      </c>
      <c r="Z257" s="1047"/>
      <c r="AA257" s="1047"/>
      <c r="AB257" s="1047"/>
      <c r="AC257" s="1047"/>
      <c r="AD257" s="666">
        <f t="shared" si="26"/>
        <v>55670</v>
      </c>
      <c r="AE257" s="576">
        <f t="shared" si="25"/>
        <v>1</v>
      </c>
      <c r="AF257" s="577">
        <f t="shared" si="22"/>
        <v>172</v>
      </c>
    </row>
    <row r="258" spans="1:32" x14ac:dyDescent="0.3">
      <c r="A258" s="7" t="s">
        <v>358</v>
      </c>
      <c r="B258" s="652" t="s">
        <v>2893</v>
      </c>
      <c r="C258" s="494"/>
      <c r="D258" s="536"/>
      <c r="E258" s="536"/>
      <c r="F258" s="536"/>
      <c r="G258" s="536"/>
      <c r="H258" s="536"/>
      <c r="I258" s="536"/>
      <c r="J258" s="536"/>
      <c r="K258" s="536"/>
      <c r="L258" s="536"/>
      <c r="M258" s="536"/>
      <c r="N258" s="536"/>
      <c r="O258" s="536"/>
      <c r="P258" s="1496">
        <f t="shared" si="23"/>
        <v>0</v>
      </c>
      <c r="Q258" s="666">
        <f t="shared" si="27"/>
        <v>0</v>
      </c>
      <c r="R258" s="1046"/>
      <c r="S258" s="1047"/>
      <c r="T258" s="1047"/>
      <c r="U258" s="1047"/>
      <c r="V258" s="1047"/>
      <c r="W258" s="1047">
        <v>61810</v>
      </c>
      <c r="X258" s="1047">
        <v>0</v>
      </c>
      <c r="Y258" s="1047">
        <v>55340</v>
      </c>
      <c r="Z258" s="1047"/>
      <c r="AA258" s="1047"/>
      <c r="AB258" s="1047"/>
      <c r="AC258" s="1047"/>
      <c r="AD258" s="666">
        <f t="shared" si="26"/>
        <v>117150</v>
      </c>
      <c r="AE258" s="576">
        <f t="shared" si="25"/>
        <v>1</v>
      </c>
      <c r="AF258" s="577">
        <f t="shared" ref="AF258:AF281" si="28">IFERROR(_xlfn.RANK.EQ(AD258, $AD$2:$AD$483), "")</f>
        <v>152</v>
      </c>
    </row>
    <row r="259" spans="1:32" x14ac:dyDescent="0.3">
      <c r="A259" s="7" t="s">
        <v>358</v>
      </c>
      <c r="B259" s="652" t="s">
        <v>2894</v>
      </c>
      <c r="C259" s="494"/>
      <c r="D259" s="536"/>
      <c r="E259" s="536"/>
      <c r="F259" s="536"/>
      <c r="G259" s="536"/>
      <c r="H259" s="536"/>
      <c r="I259" s="536"/>
      <c r="J259" s="536"/>
      <c r="K259" s="536"/>
      <c r="L259" s="536"/>
      <c r="M259" s="536"/>
      <c r="N259" s="536"/>
      <c r="O259" s="536"/>
      <c r="P259" s="1496">
        <f t="shared" si="23"/>
        <v>0</v>
      </c>
      <c r="Q259" s="666">
        <f t="shared" si="27"/>
        <v>0</v>
      </c>
      <c r="R259" s="1046"/>
      <c r="S259" s="1047"/>
      <c r="T259" s="1047"/>
      <c r="U259" s="1047"/>
      <c r="V259" s="1047"/>
      <c r="W259" s="1047">
        <v>30830</v>
      </c>
      <c r="X259" s="1047">
        <v>29320</v>
      </c>
      <c r="Y259" s="1047">
        <v>0</v>
      </c>
      <c r="Z259" s="1047"/>
      <c r="AA259" s="1047"/>
      <c r="AB259" s="1047"/>
      <c r="AC259" s="1047"/>
      <c r="AD259" s="666">
        <f t="shared" si="26"/>
        <v>60150</v>
      </c>
      <c r="AE259" s="576">
        <f t="shared" si="25"/>
        <v>1</v>
      </c>
      <c r="AF259" s="577">
        <f t="shared" si="28"/>
        <v>169</v>
      </c>
    </row>
    <row r="260" spans="1:32" x14ac:dyDescent="0.3">
      <c r="A260" s="7" t="s">
        <v>358</v>
      </c>
      <c r="B260" s="652" t="s">
        <v>2936</v>
      </c>
      <c r="C260" s="494"/>
      <c r="D260" s="536"/>
      <c r="E260" s="536"/>
      <c r="F260" s="536"/>
      <c r="G260" s="536"/>
      <c r="H260" s="536"/>
      <c r="I260" s="536"/>
      <c r="J260" s="536"/>
      <c r="K260" s="536"/>
      <c r="L260" s="536"/>
      <c r="M260" s="536"/>
      <c r="N260" s="536"/>
      <c r="O260" s="536"/>
      <c r="P260" s="1496">
        <f t="shared" ref="P260:P335" si="29">SUM(C260:I260,K260)</f>
        <v>0</v>
      </c>
      <c r="Q260" s="666">
        <f t="shared" si="27"/>
        <v>0</v>
      </c>
      <c r="R260" s="1046"/>
      <c r="S260" s="1047"/>
      <c r="T260" s="1047"/>
      <c r="U260" s="1047"/>
      <c r="V260" s="1047"/>
      <c r="W260" s="1047"/>
      <c r="X260" s="1047">
        <v>2129210</v>
      </c>
      <c r="Y260" s="1047">
        <v>0</v>
      </c>
      <c r="Z260" s="1047"/>
      <c r="AA260" s="1047"/>
      <c r="AB260" s="1047"/>
      <c r="AC260" s="1047"/>
      <c r="AD260" s="666">
        <f t="shared" si="26"/>
        <v>2129210</v>
      </c>
      <c r="AE260" s="576">
        <f t="shared" si="25"/>
        <v>1</v>
      </c>
      <c r="AF260" s="577">
        <f t="shared" si="28"/>
        <v>31</v>
      </c>
    </row>
    <row r="261" spans="1:32" x14ac:dyDescent="0.3">
      <c r="A261" s="7" t="s">
        <v>358</v>
      </c>
      <c r="B261" s="652" t="s">
        <v>2937</v>
      </c>
      <c r="C261" s="494"/>
      <c r="D261" s="536"/>
      <c r="E261" s="536"/>
      <c r="F261" s="536"/>
      <c r="G261" s="536"/>
      <c r="H261" s="536"/>
      <c r="I261" s="536"/>
      <c r="J261" s="536"/>
      <c r="K261" s="536"/>
      <c r="L261" s="536"/>
      <c r="M261" s="536"/>
      <c r="N261" s="536"/>
      <c r="O261" s="536"/>
      <c r="P261" s="1496">
        <f t="shared" si="29"/>
        <v>0</v>
      </c>
      <c r="Q261" s="666">
        <f t="shared" si="27"/>
        <v>0</v>
      </c>
      <c r="R261" s="1046"/>
      <c r="S261" s="1047"/>
      <c r="T261" s="1047"/>
      <c r="U261" s="1047"/>
      <c r="V261" s="1047"/>
      <c r="W261" s="1047"/>
      <c r="X261" s="1047">
        <v>4845480</v>
      </c>
      <c r="Y261" s="1047">
        <v>164250</v>
      </c>
      <c r="Z261" s="1047"/>
      <c r="AA261" s="1047"/>
      <c r="AB261" s="1047"/>
      <c r="AC261" s="1047"/>
      <c r="AD261" s="666">
        <f t="shared" si="26"/>
        <v>5009730</v>
      </c>
      <c r="AE261" s="576">
        <f t="shared" si="25"/>
        <v>1</v>
      </c>
      <c r="AF261" s="577">
        <f t="shared" si="28"/>
        <v>15</v>
      </c>
    </row>
    <row r="262" spans="1:32" x14ac:dyDescent="0.3">
      <c r="A262" s="7" t="s">
        <v>358</v>
      </c>
      <c r="B262" s="652" t="s">
        <v>2938</v>
      </c>
      <c r="C262" s="494"/>
      <c r="D262" s="536"/>
      <c r="E262" s="536"/>
      <c r="F262" s="536"/>
      <c r="G262" s="536"/>
      <c r="H262" s="536"/>
      <c r="I262" s="536"/>
      <c r="J262" s="536"/>
      <c r="K262" s="536"/>
      <c r="L262" s="536"/>
      <c r="M262" s="536"/>
      <c r="N262" s="536"/>
      <c r="O262" s="536"/>
      <c r="P262" s="1496">
        <f t="shared" si="29"/>
        <v>0</v>
      </c>
      <c r="Q262" s="666">
        <f t="shared" si="27"/>
        <v>0</v>
      </c>
      <c r="R262" s="1046"/>
      <c r="S262" s="1047"/>
      <c r="T262" s="1047"/>
      <c r="U262" s="1047"/>
      <c r="V262" s="1047"/>
      <c r="W262" s="1047"/>
      <c r="X262" s="1047">
        <v>4069720</v>
      </c>
      <c r="Y262" s="1047">
        <v>678100</v>
      </c>
      <c r="Z262" s="1047"/>
      <c r="AA262" s="1047"/>
      <c r="AB262" s="1047"/>
      <c r="AC262" s="1047"/>
      <c r="AD262" s="666">
        <f t="shared" si="26"/>
        <v>4747820</v>
      </c>
      <c r="AE262" s="576">
        <f t="shared" si="25"/>
        <v>1</v>
      </c>
      <c r="AF262" s="577">
        <f t="shared" si="28"/>
        <v>18</v>
      </c>
    </row>
    <row r="263" spans="1:32" x14ac:dyDescent="0.3">
      <c r="A263" s="7" t="s">
        <v>358</v>
      </c>
      <c r="B263" s="652" t="s">
        <v>121</v>
      </c>
      <c r="C263" s="494"/>
      <c r="D263" s="536"/>
      <c r="E263" s="536"/>
      <c r="F263" s="536"/>
      <c r="G263" s="536"/>
      <c r="H263" s="536"/>
      <c r="I263" s="536"/>
      <c r="J263" s="536"/>
      <c r="K263" s="536"/>
      <c r="L263" s="536"/>
      <c r="M263" s="536"/>
      <c r="N263" s="536"/>
      <c r="O263" s="536"/>
      <c r="P263" s="1496">
        <f t="shared" si="29"/>
        <v>0</v>
      </c>
      <c r="Q263" s="666">
        <f t="shared" si="27"/>
        <v>0</v>
      </c>
      <c r="R263" s="1046"/>
      <c r="S263" s="1047"/>
      <c r="T263" s="1047"/>
      <c r="U263" s="1047"/>
      <c r="V263" s="1047"/>
      <c r="W263" s="1047"/>
      <c r="X263" s="1047">
        <v>309580</v>
      </c>
      <c r="Y263" s="1047">
        <v>0</v>
      </c>
      <c r="Z263" s="1047"/>
      <c r="AA263" s="1047"/>
      <c r="AB263" s="1047"/>
      <c r="AC263" s="1047"/>
      <c r="AD263" s="666">
        <f t="shared" si="26"/>
        <v>309580</v>
      </c>
      <c r="AE263" s="576">
        <f t="shared" si="25"/>
        <v>1</v>
      </c>
      <c r="AF263" s="577">
        <f t="shared" si="28"/>
        <v>115</v>
      </c>
    </row>
    <row r="264" spans="1:32" x14ac:dyDescent="0.3">
      <c r="A264" s="7" t="s">
        <v>358</v>
      </c>
      <c r="B264" s="652" t="s">
        <v>2939</v>
      </c>
      <c r="C264" s="494"/>
      <c r="D264" s="536"/>
      <c r="E264" s="536"/>
      <c r="F264" s="536"/>
      <c r="G264" s="536"/>
      <c r="H264" s="536"/>
      <c r="I264" s="536"/>
      <c r="J264" s="536"/>
      <c r="K264" s="536"/>
      <c r="L264" s="536"/>
      <c r="M264" s="536"/>
      <c r="N264" s="536"/>
      <c r="O264" s="536"/>
      <c r="P264" s="1496">
        <f t="shared" si="29"/>
        <v>0</v>
      </c>
      <c r="Q264" s="666">
        <f t="shared" si="27"/>
        <v>0</v>
      </c>
      <c r="R264" s="1046"/>
      <c r="S264" s="1047"/>
      <c r="T264" s="1047"/>
      <c r="U264" s="1047"/>
      <c r="V264" s="1047"/>
      <c r="W264" s="1047"/>
      <c r="X264" s="1047">
        <v>240600</v>
      </c>
      <c r="Y264" s="1047">
        <v>0</v>
      </c>
      <c r="Z264" s="1047"/>
      <c r="AA264" s="1047"/>
      <c r="AB264" s="1047"/>
      <c r="AC264" s="1047"/>
      <c r="AD264" s="666">
        <f t="shared" si="26"/>
        <v>240600</v>
      </c>
      <c r="AE264" s="576">
        <f t="shared" si="25"/>
        <v>1</v>
      </c>
      <c r="AF264" s="577">
        <f t="shared" si="28"/>
        <v>126</v>
      </c>
    </row>
    <row r="265" spans="1:32" x14ac:dyDescent="0.3">
      <c r="A265" s="7" t="s">
        <v>358</v>
      </c>
      <c r="B265" s="652" t="s">
        <v>2940</v>
      </c>
      <c r="C265" s="494"/>
      <c r="D265" s="536"/>
      <c r="E265" s="536"/>
      <c r="F265" s="536"/>
      <c r="G265" s="536"/>
      <c r="H265" s="536"/>
      <c r="I265" s="536"/>
      <c r="J265" s="536"/>
      <c r="K265" s="536"/>
      <c r="L265" s="536"/>
      <c r="M265" s="536"/>
      <c r="N265" s="536"/>
      <c r="O265" s="536"/>
      <c r="P265" s="1496">
        <f t="shared" si="29"/>
        <v>0</v>
      </c>
      <c r="Q265" s="666">
        <f t="shared" si="27"/>
        <v>0</v>
      </c>
      <c r="R265" s="1046"/>
      <c r="S265" s="1047"/>
      <c r="T265" s="1047"/>
      <c r="U265" s="1047"/>
      <c r="V265" s="1047"/>
      <c r="W265" s="1047"/>
      <c r="X265" s="1047">
        <v>446960</v>
      </c>
      <c r="Y265" s="1047">
        <v>0</v>
      </c>
      <c r="Z265" s="1047"/>
      <c r="AA265" s="1047"/>
      <c r="AB265" s="1047"/>
      <c r="AC265" s="1047"/>
      <c r="AD265" s="666">
        <f t="shared" si="26"/>
        <v>446960</v>
      </c>
      <c r="AE265" s="576">
        <f t="shared" si="25"/>
        <v>1</v>
      </c>
      <c r="AF265" s="577">
        <f t="shared" si="28"/>
        <v>97</v>
      </c>
    </row>
    <row r="266" spans="1:32" x14ac:dyDescent="0.3">
      <c r="A266" s="7" t="s">
        <v>358</v>
      </c>
      <c r="B266" s="652" t="s">
        <v>2941</v>
      </c>
      <c r="C266" s="494"/>
      <c r="D266" s="536"/>
      <c r="E266" s="536"/>
      <c r="F266" s="536"/>
      <c r="G266" s="536"/>
      <c r="H266" s="536"/>
      <c r="I266" s="536"/>
      <c r="J266" s="536"/>
      <c r="K266" s="536"/>
      <c r="L266" s="536"/>
      <c r="M266" s="536"/>
      <c r="N266" s="536"/>
      <c r="O266" s="536"/>
      <c r="P266" s="1496">
        <f t="shared" si="29"/>
        <v>0</v>
      </c>
      <c r="Q266" s="666">
        <f t="shared" si="27"/>
        <v>0</v>
      </c>
      <c r="R266" s="1046"/>
      <c r="S266" s="1047"/>
      <c r="T266" s="1047"/>
      <c r="U266" s="1047"/>
      <c r="V266" s="1047"/>
      <c r="W266" s="1047"/>
      <c r="X266" s="1047">
        <v>152550</v>
      </c>
      <c r="Y266" s="1047">
        <v>0</v>
      </c>
      <c r="Z266" s="1047"/>
      <c r="AA266" s="1047"/>
      <c r="AB266" s="1047"/>
      <c r="AC266" s="1047"/>
      <c r="AD266" s="666">
        <f t="shared" si="26"/>
        <v>152550</v>
      </c>
      <c r="AE266" s="576">
        <f t="shared" si="25"/>
        <v>1</v>
      </c>
      <c r="AF266" s="577">
        <f t="shared" si="28"/>
        <v>142</v>
      </c>
    </row>
    <row r="267" spans="1:32" x14ac:dyDescent="0.3">
      <c r="A267" s="7" t="s">
        <v>358</v>
      </c>
      <c r="B267" s="652" t="s">
        <v>2942</v>
      </c>
      <c r="C267" s="494"/>
      <c r="D267" s="536"/>
      <c r="E267" s="536"/>
      <c r="F267" s="536"/>
      <c r="G267" s="536"/>
      <c r="H267" s="536"/>
      <c r="I267" s="536"/>
      <c r="J267" s="536"/>
      <c r="K267" s="536"/>
      <c r="L267" s="536"/>
      <c r="M267" s="536"/>
      <c r="N267" s="536"/>
      <c r="O267" s="536"/>
      <c r="P267" s="1496">
        <f t="shared" si="29"/>
        <v>0</v>
      </c>
      <c r="Q267" s="666">
        <f t="shared" si="27"/>
        <v>0</v>
      </c>
      <c r="R267" s="1046"/>
      <c r="S267" s="1047"/>
      <c r="T267" s="1047"/>
      <c r="U267" s="1047"/>
      <c r="V267" s="1047"/>
      <c r="W267" s="1047"/>
      <c r="X267" s="1047">
        <v>120560</v>
      </c>
      <c r="Y267" s="1047">
        <v>0</v>
      </c>
      <c r="Z267" s="1047"/>
      <c r="AA267" s="1047"/>
      <c r="AB267" s="1047"/>
      <c r="AC267" s="1047"/>
      <c r="AD267" s="666">
        <f t="shared" si="26"/>
        <v>120560</v>
      </c>
      <c r="AE267" s="576">
        <f t="shared" si="25"/>
        <v>1</v>
      </c>
      <c r="AF267" s="577">
        <f t="shared" si="28"/>
        <v>150</v>
      </c>
    </row>
    <row r="268" spans="1:32" x14ac:dyDescent="0.3">
      <c r="A268" s="7" t="s">
        <v>358</v>
      </c>
      <c r="B268" s="652" t="s">
        <v>2943</v>
      </c>
      <c r="C268" s="494"/>
      <c r="D268" s="536"/>
      <c r="E268" s="536"/>
      <c r="F268" s="536"/>
      <c r="G268" s="536"/>
      <c r="H268" s="536"/>
      <c r="I268" s="536"/>
      <c r="J268" s="536"/>
      <c r="K268" s="536">
        <v>0</v>
      </c>
      <c r="L268" s="536"/>
      <c r="M268" s="536"/>
      <c r="N268" s="536"/>
      <c r="O268" s="536"/>
      <c r="P268" s="1496">
        <f t="shared" si="29"/>
        <v>0</v>
      </c>
      <c r="Q268" s="666">
        <f t="shared" si="27"/>
        <v>0</v>
      </c>
      <c r="R268" s="1046"/>
      <c r="S268" s="1047"/>
      <c r="T268" s="1047"/>
      <c r="U268" s="1047"/>
      <c r="V268" s="1047"/>
      <c r="W268" s="1047"/>
      <c r="X268" s="1047">
        <v>30790</v>
      </c>
      <c r="Y268" s="1047">
        <v>280500</v>
      </c>
      <c r="Z268" s="1047"/>
      <c r="AA268" s="1047"/>
      <c r="AB268" s="1047"/>
      <c r="AC268" s="1047"/>
      <c r="AD268" s="666">
        <f t="shared" si="26"/>
        <v>311290</v>
      </c>
      <c r="AE268" s="576">
        <f t="shared" si="25"/>
        <v>1</v>
      </c>
      <c r="AF268" s="577">
        <f t="shared" si="28"/>
        <v>114</v>
      </c>
    </row>
    <row r="269" spans="1:32" x14ac:dyDescent="0.3">
      <c r="A269" s="7" t="s">
        <v>358</v>
      </c>
      <c r="B269" s="652" t="s">
        <v>456</v>
      </c>
      <c r="C269" s="494"/>
      <c r="D269" s="536"/>
      <c r="E269" s="536"/>
      <c r="F269" s="536"/>
      <c r="G269" s="536"/>
      <c r="H269" s="536"/>
      <c r="I269" s="536"/>
      <c r="J269" s="536"/>
      <c r="K269" s="536"/>
      <c r="L269" s="536"/>
      <c r="M269" s="536"/>
      <c r="N269" s="536"/>
      <c r="O269" s="536"/>
      <c r="P269" s="1496">
        <f t="shared" si="29"/>
        <v>0</v>
      </c>
      <c r="Q269" s="666">
        <f t="shared" ref="Q269:Q270" si="30">SUM(C269:J269,L269:O269)</f>
        <v>0</v>
      </c>
      <c r="R269" s="1046"/>
      <c r="S269" s="1047"/>
      <c r="T269" s="1047"/>
      <c r="U269" s="1047"/>
      <c r="V269" s="1047"/>
      <c r="W269" s="1047"/>
      <c r="X269" s="1047">
        <v>30530</v>
      </c>
      <c r="Y269" s="1047">
        <v>0</v>
      </c>
      <c r="Z269" s="1047"/>
      <c r="AA269" s="1047"/>
      <c r="AB269" s="1047"/>
      <c r="AC269" s="1047"/>
      <c r="AD269" s="666">
        <f t="shared" si="26"/>
        <v>30530</v>
      </c>
      <c r="AE269" s="576">
        <f t="shared" si="25"/>
        <v>1</v>
      </c>
      <c r="AF269" s="577">
        <f t="shared" si="28"/>
        <v>179</v>
      </c>
    </row>
    <row r="270" spans="1:32" x14ac:dyDescent="0.3">
      <c r="A270" s="7" t="s">
        <v>358</v>
      </c>
      <c r="B270" s="652" t="s">
        <v>2944</v>
      </c>
      <c r="C270" s="494"/>
      <c r="D270" s="536"/>
      <c r="E270" s="536"/>
      <c r="F270" s="536"/>
      <c r="G270" s="536"/>
      <c r="H270" s="536"/>
      <c r="I270" s="536"/>
      <c r="J270" s="536"/>
      <c r="K270" s="536"/>
      <c r="L270" s="536"/>
      <c r="M270" s="536"/>
      <c r="N270" s="536"/>
      <c r="O270" s="536"/>
      <c r="P270" s="1496">
        <f t="shared" si="29"/>
        <v>0</v>
      </c>
      <c r="Q270" s="666">
        <f t="shared" si="30"/>
        <v>0</v>
      </c>
      <c r="R270" s="1046"/>
      <c r="S270" s="1047"/>
      <c r="T270" s="1047"/>
      <c r="U270" s="1047"/>
      <c r="V270" s="1047"/>
      <c r="W270" s="1047"/>
      <c r="X270" s="1047">
        <v>88410</v>
      </c>
      <c r="Y270" s="1047">
        <v>0</v>
      </c>
      <c r="Z270" s="1047"/>
      <c r="AA270" s="1047"/>
      <c r="AB270" s="1047"/>
      <c r="AC270" s="1047"/>
      <c r="AD270" s="666">
        <f t="shared" si="26"/>
        <v>88410</v>
      </c>
      <c r="AE270" s="576">
        <f t="shared" si="25"/>
        <v>1</v>
      </c>
      <c r="AF270" s="577">
        <f t="shared" si="28"/>
        <v>158</v>
      </c>
    </row>
    <row r="271" spans="1:32" x14ac:dyDescent="0.3">
      <c r="A271" s="7" t="s">
        <v>358</v>
      </c>
      <c r="B271" s="652" t="s">
        <v>2945</v>
      </c>
      <c r="C271" s="494"/>
      <c r="D271" s="536"/>
      <c r="E271" s="536"/>
      <c r="F271" s="536"/>
      <c r="G271" s="536"/>
      <c r="H271" s="536"/>
      <c r="I271" s="536"/>
      <c r="J271" s="536"/>
      <c r="K271" s="536"/>
      <c r="L271" s="536"/>
      <c r="M271" s="536"/>
      <c r="N271" s="536"/>
      <c r="O271" s="536"/>
      <c r="P271" s="1496">
        <f t="shared" si="29"/>
        <v>0</v>
      </c>
      <c r="Q271" s="666">
        <f>SUM(C271:J271,L271:O271)</f>
        <v>0</v>
      </c>
      <c r="R271" s="1046"/>
      <c r="S271" s="1047"/>
      <c r="T271" s="1047"/>
      <c r="U271" s="1047"/>
      <c r="V271" s="1047"/>
      <c r="W271" s="1047"/>
      <c r="X271" s="1047">
        <v>144460</v>
      </c>
      <c r="Y271" s="1047">
        <v>0</v>
      </c>
      <c r="Z271" s="1047"/>
      <c r="AA271" s="1047"/>
      <c r="AB271" s="1047"/>
      <c r="AC271" s="1047"/>
      <c r="AD271" s="666">
        <f t="shared" si="26"/>
        <v>144460</v>
      </c>
      <c r="AE271" s="576">
        <f t="shared" si="25"/>
        <v>1</v>
      </c>
      <c r="AF271" s="577">
        <f t="shared" si="28"/>
        <v>145</v>
      </c>
    </row>
    <row r="272" spans="1:32" x14ac:dyDescent="0.3">
      <c r="A272" s="7" t="s">
        <v>358</v>
      </c>
      <c r="B272" s="652" t="s">
        <v>52</v>
      </c>
      <c r="C272" s="494"/>
      <c r="D272" s="536"/>
      <c r="E272" s="536"/>
      <c r="F272" s="536"/>
      <c r="G272" s="536"/>
      <c r="H272" s="536"/>
      <c r="I272" s="536"/>
      <c r="J272" s="536"/>
      <c r="K272" s="536"/>
      <c r="L272" s="536"/>
      <c r="M272" s="536"/>
      <c r="N272" s="536"/>
      <c r="O272" s="536"/>
      <c r="P272" s="1496">
        <f t="shared" si="29"/>
        <v>0</v>
      </c>
      <c r="Q272" s="666">
        <f t="shared" ref="Q272:Q286" si="31">SUM(C272:J272,L272:O272)</f>
        <v>0</v>
      </c>
      <c r="R272" s="1046"/>
      <c r="S272" s="1047"/>
      <c r="T272" s="1047"/>
      <c r="U272" s="1047"/>
      <c r="V272" s="1047"/>
      <c r="W272" s="1047"/>
      <c r="X272" s="1047">
        <v>70310</v>
      </c>
      <c r="Y272" s="1047">
        <v>0</v>
      </c>
      <c r="Z272" s="1047"/>
      <c r="AA272" s="1047"/>
      <c r="AB272" s="1047"/>
      <c r="AC272" s="1047"/>
      <c r="AD272" s="666">
        <f t="shared" si="26"/>
        <v>70310</v>
      </c>
      <c r="AE272" s="576">
        <f t="shared" si="25"/>
        <v>1</v>
      </c>
      <c r="AF272" s="577">
        <f t="shared" si="28"/>
        <v>164</v>
      </c>
    </row>
    <row r="273" spans="1:32" x14ac:dyDescent="0.3">
      <c r="A273" s="7" t="s">
        <v>358</v>
      </c>
      <c r="B273" s="652" t="s">
        <v>2980</v>
      </c>
      <c r="C273" s="494"/>
      <c r="D273" s="536"/>
      <c r="E273" s="536"/>
      <c r="F273" s="536"/>
      <c r="G273" s="536"/>
      <c r="H273" s="536"/>
      <c r="I273" s="536"/>
      <c r="J273" s="536"/>
      <c r="K273" s="536"/>
      <c r="L273" s="536"/>
      <c r="M273" s="536"/>
      <c r="N273" s="536"/>
      <c r="O273" s="536"/>
      <c r="P273" s="1496">
        <f t="shared" si="29"/>
        <v>0</v>
      </c>
      <c r="Q273" s="666">
        <f t="shared" si="31"/>
        <v>0</v>
      </c>
      <c r="R273" s="1046"/>
      <c r="S273" s="1047"/>
      <c r="T273" s="1047"/>
      <c r="U273" s="1047"/>
      <c r="V273" s="1047"/>
      <c r="W273" s="1047"/>
      <c r="X273" s="1047">
        <v>174960</v>
      </c>
      <c r="Y273" s="1047">
        <v>458720</v>
      </c>
      <c r="Z273" s="1047"/>
      <c r="AA273" s="1047"/>
      <c r="AB273" s="1047"/>
      <c r="AC273" s="1047"/>
      <c r="AD273" s="666">
        <f t="shared" si="26"/>
        <v>633680</v>
      </c>
      <c r="AE273" s="576">
        <f t="shared" si="25"/>
        <v>1</v>
      </c>
      <c r="AF273" s="577">
        <f t="shared" si="28"/>
        <v>80</v>
      </c>
    </row>
    <row r="274" spans="1:32" x14ac:dyDescent="0.3">
      <c r="A274" s="7" t="s">
        <v>358</v>
      </c>
      <c r="B274" s="652" t="s">
        <v>2981</v>
      </c>
      <c r="C274" s="494"/>
      <c r="D274" s="536"/>
      <c r="E274" s="536"/>
      <c r="F274" s="536"/>
      <c r="G274" s="536"/>
      <c r="H274" s="536"/>
      <c r="I274" s="536"/>
      <c r="J274" s="536"/>
      <c r="K274" s="536"/>
      <c r="L274" s="536"/>
      <c r="M274" s="536"/>
      <c r="N274" s="536"/>
      <c r="O274" s="536"/>
      <c r="P274" s="1496">
        <f t="shared" si="29"/>
        <v>0</v>
      </c>
      <c r="Q274" s="666">
        <f t="shared" si="31"/>
        <v>0</v>
      </c>
      <c r="R274" s="1046"/>
      <c r="S274" s="1047"/>
      <c r="T274" s="1047"/>
      <c r="U274" s="1047"/>
      <c r="V274" s="1047"/>
      <c r="W274" s="1047"/>
      <c r="X274" s="1047">
        <v>146920</v>
      </c>
      <c r="Y274" s="1047">
        <v>0</v>
      </c>
      <c r="Z274" s="1047"/>
      <c r="AA274" s="1047"/>
      <c r="AB274" s="1047"/>
      <c r="AC274" s="1047"/>
      <c r="AD274" s="666">
        <f t="shared" si="26"/>
        <v>146920</v>
      </c>
      <c r="AE274" s="576">
        <f t="shared" si="25"/>
        <v>1</v>
      </c>
      <c r="AF274" s="577">
        <f t="shared" si="28"/>
        <v>144</v>
      </c>
    </row>
    <row r="275" spans="1:32" x14ac:dyDescent="0.3">
      <c r="A275" s="7" t="s">
        <v>358</v>
      </c>
      <c r="B275" s="652" t="s">
        <v>3013</v>
      </c>
      <c r="C275" s="494"/>
      <c r="D275" s="536"/>
      <c r="E275" s="536"/>
      <c r="F275" s="536"/>
      <c r="G275" s="536"/>
      <c r="H275" s="536"/>
      <c r="I275" s="536"/>
      <c r="J275" s="536"/>
      <c r="K275" s="536"/>
      <c r="L275" s="536"/>
      <c r="M275" s="536"/>
      <c r="N275" s="536"/>
      <c r="O275" s="536"/>
      <c r="P275" s="1496">
        <f t="shared" si="29"/>
        <v>0</v>
      </c>
      <c r="Q275" s="666">
        <f t="shared" si="31"/>
        <v>0</v>
      </c>
      <c r="R275" s="1046"/>
      <c r="S275" s="1047"/>
      <c r="T275" s="1047"/>
      <c r="U275" s="1047"/>
      <c r="V275" s="1047"/>
      <c r="W275" s="1047"/>
      <c r="X275" s="1047"/>
      <c r="Y275" s="1047">
        <v>1799240</v>
      </c>
      <c r="Z275" s="1047"/>
      <c r="AA275" s="1047"/>
      <c r="AB275" s="1047"/>
      <c r="AC275" s="1047"/>
      <c r="AD275" s="666">
        <f t="shared" si="26"/>
        <v>1799240</v>
      </c>
      <c r="AE275" s="576">
        <f t="shared" si="25"/>
        <v>1</v>
      </c>
      <c r="AF275" s="577">
        <f t="shared" si="28"/>
        <v>37</v>
      </c>
    </row>
    <row r="276" spans="1:32" x14ac:dyDescent="0.3">
      <c r="A276" s="7" t="s">
        <v>358</v>
      </c>
      <c r="B276" s="652" t="s">
        <v>3014</v>
      </c>
      <c r="C276" s="494"/>
      <c r="D276" s="536"/>
      <c r="E276" s="536"/>
      <c r="F276" s="536"/>
      <c r="G276" s="536"/>
      <c r="H276" s="536"/>
      <c r="I276" s="536"/>
      <c r="J276" s="536"/>
      <c r="K276" s="536"/>
      <c r="L276" s="536"/>
      <c r="M276" s="536"/>
      <c r="N276" s="536"/>
      <c r="O276" s="536"/>
      <c r="P276" s="1496">
        <f t="shared" si="29"/>
        <v>0</v>
      </c>
      <c r="Q276" s="666">
        <f t="shared" si="31"/>
        <v>0</v>
      </c>
      <c r="R276" s="1046"/>
      <c r="S276" s="1047"/>
      <c r="T276" s="1047"/>
      <c r="U276" s="1047"/>
      <c r="V276" s="1047"/>
      <c r="W276" s="1047"/>
      <c r="X276" s="1047"/>
      <c r="Y276" s="1047">
        <v>945470</v>
      </c>
      <c r="Z276" s="1047"/>
      <c r="AA276" s="1047"/>
      <c r="AB276" s="1047"/>
      <c r="AC276" s="1047"/>
      <c r="AD276" s="666">
        <f t="shared" si="26"/>
        <v>945470</v>
      </c>
      <c r="AE276" s="576">
        <f t="shared" si="25"/>
        <v>1</v>
      </c>
      <c r="AF276" s="577">
        <f t="shared" si="28"/>
        <v>56</v>
      </c>
    </row>
    <row r="277" spans="1:32" x14ac:dyDescent="0.3">
      <c r="A277" s="7" t="s">
        <v>358</v>
      </c>
      <c r="B277" s="652" t="s">
        <v>3015</v>
      </c>
      <c r="C277" s="494"/>
      <c r="D277" s="536"/>
      <c r="E277" s="536"/>
      <c r="F277" s="536"/>
      <c r="G277" s="536"/>
      <c r="H277" s="536"/>
      <c r="I277" s="536"/>
      <c r="J277" s="536"/>
      <c r="K277" s="536"/>
      <c r="L277" s="536"/>
      <c r="M277" s="536"/>
      <c r="N277" s="536"/>
      <c r="O277" s="536"/>
      <c r="P277" s="1496">
        <f t="shared" si="29"/>
        <v>0</v>
      </c>
      <c r="Q277" s="666">
        <f t="shared" si="31"/>
        <v>0</v>
      </c>
      <c r="R277" s="1046"/>
      <c r="S277" s="1047"/>
      <c r="T277" s="1047"/>
      <c r="U277" s="1047"/>
      <c r="V277" s="1047"/>
      <c r="W277" s="1047"/>
      <c r="X277" s="1047"/>
      <c r="Y277" s="1047">
        <v>679150</v>
      </c>
      <c r="Z277" s="1047"/>
      <c r="AA277" s="1047"/>
      <c r="AB277" s="1047"/>
      <c r="AC277" s="1047"/>
      <c r="AD277" s="666">
        <f t="shared" si="26"/>
        <v>679150</v>
      </c>
      <c r="AE277" s="576">
        <f t="shared" si="25"/>
        <v>1</v>
      </c>
      <c r="AF277" s="577">
        <f t="shared" si="28"/>
        <v>77</v>
      </c>
    </row>
    <row r="278" spans="1:32" x14ac:dyDescent="0.3">
      <c r="A278" s="7" t="s">
        <v>358</v>
      </c>
      <c r="B278" s="652" t="s">
        <v>2773</v>
      </c>
      <c r="C278" s="494"/>
      <c r="D278" s="536"/>
      <c r="E278" s="536"/>
      <c r="F278" s="536"/>
      <c r="G278" s="536"/>
      <c r="H278" s="536"/>
      <c r="I278" s="536"/>
      <c r="J278" s="536"/>
      <c r="K278" s="536"/>
      <c r="L278" s="536"/>
      <c r="M278" s="536"/>
      <c r="N278" s="536"/>
      <c r="O278" s="536"/>
      <c r="P278" s="1496">
        <f t="shared" si="29"/>
        <v>0</v>
      </c>
      <c r="Q278" s="666">
        <f t="shared" si="31"/>
        <v>0</v>
      </c>
      <c r="R278" s="1046"/>
      <c r="S278" s="1047"/>
      <c r="T278" s="1047"/>
      <c r="U278" s="1047"/>
      <c r="V278" s="1047"/>
      <c r="W278" s="1047"/>
      <c r="X278" s="1047"/>
      <c r="Y278" s="1047">
        <v>57120</v>
      </c>
      <c r="Z278" s="1047"/>
      <c r="AA278" s="1047"/>
      <c r="AB278" s="1047"/>
      <c r="AC278" s="1047"/>
      <c r="AD278" s="666">
        <f t="shared" si="26"/>
        <v>57120</v>
      </c>
      <c r="AE278" s="576">
        <f t="shared" si="25"/>
        <v>1</v>
      </c>
      <c r="AF278" s="577">
        <f t="shared" si="28"/>
        <v>171</v>
      </c>
    </row>
    <row r="279" spans="1:32" x14ac:dyDescent="0.3">
      <c r="A279" s="7" t="s">
        <v>358</v>
      </c>
      <c r="B279" s="652" t="s">
        <v>3016</v>
      </c>
      <c r="C279" s="494"/>
      <c r="D279" s="536"/>
      <c r="E279" s="536"/>
      <c r="F279" s="536"/>
      <c r="G279" s="536"/>
      <c r="H279" s="536"/>
      <c r="I279" s="536"/>
      <c r="J279" s="536"/>
      <c r="K279" s="536"/>
      <c r="L279" s="536"/>
      <c r="M279" s="536"/>
      <c r="N279" s="536"/>
      <c r="O279" s="536"/>
      <c r="P279" s="1496">
        <f t="shared" si="29"/>
        <v>0</v>
      </c>
      <c r="Q279" s="666">
        <f t="shared" si="31"/>
        <v>0</v>
      </c>
      <c r="R279" s="1046"/>
      <c r="S279" s="1047"/>
      <c r="T279" s="1047"/>
      <c r="U279" s="1047"/>
      <c r="V279" s="1047"/>
      <c r="W279" s="1047"/>
      <c r="X279" s="1047"/>
      <c r="Y279" s="1047">
        <v>175460</v>
      </c>
      <c r="Z279" s="1047"/>
      <c r="AA279" s="1047"/>
      <c r="AB279" s="1047"/>
      <c r="AC279" s="1047"/>
      <c r="AD279" s="666">
        <f t="shared" si="26"/>
        <v>175460</v>
      </c>
      <c r="AE279" s="576">
        <f t="shared" si="25"/>
        <v>1</v>
      </c>
      <c r="AF279" s="577">
        <f t="shared" si="28"/>
        <v>136</v>
      </c>
    </row>
    <row r="280" spans="1:32" x14ac:dyDescent="0.3">
      <c r="A280" s="7" t="s">
        <v>358</v>
      </c>
      <c r="B280" s="652" t="s">
        <v>3017</v>
      </c>
      <c r="C280" s="494"/>
      <c r="D280" s="536"/>
      <c r="E280" s="536"/>
      <c r="F280" s="536"/>
      <c r="G280" s="536"/>
      <c r="H280" s="536"/>
      <c r="I280" s="536"/>
      <c r="J280" s="536"/>
      <c r="K280" s="536"/>
      <c r="L280" s="536"/>
      <c r="M280" s="536"/>
      <c r="N280" s="536"/>
      <c r="O280" s="536"/>
      <c r="P280" s="1496">
        <f t="shared" si="29"/>
        <v>0</v>
      </c>
      <c r="Q280" s="666">
        <f t="shared" si="31"/>
        <v>0</v>
      </c>
      <c r="R280" s="1046"/>
      <c r="S280" s="1047"/>
      <c r="T280" s="1047"/>
      <c r="U280" s="1047"/>
      <c r="V280" s="1047"/>
      <c r="W280" s="1047"/>
      <c r="X280" s="1047"/>
      <c r="Y280" s="1047">
        <v>77810</v>
      </c>
      <c r="Z280" s="1047"/>
      <c r="AA280" s="1047"/>
      <c r="AB280" s="1047"/>
      <c r="AC280" s="1047"/>
      <c r="AD280" s="666">
        <f t="shared" si="26"/>
        <v>77810</v>
      </c>
      <c r="AE280" s="576">
        <f t="shared" si="25"/>
        <v>1</v>
      </c>
      <c r="AF280" s="577">
        <f t="shared" si="28"/>
        <v>161</v>
      </c>
    </row>
    <row r="281" spans="1:32" x14ac:dyDescent="0.3">
      <c r="A281" s="7" t="s">
        <v>358</v>
      </c>
      <c r="B281" s="652" t="s">
        <v>3018</v>
      </c>
      <c r="C281" s="494"/>
      <c r="D281" s="536"/>
      <c r="E281" s="536"/>
      <c r="F281" s="536"/>
      <c r="G281" s="536"/>
      <c r="H281" s="536"/>
      <c r="I281" s="536"/>
      <c r="J281" s="536"/>
      <c r="K281" s="536"/>
      <c r="L281" s="536"/>
      <c r="M281" s="536"/>
      <c r="N281" s="536"/>
      <c r="O281" s="536"/>
      <c r="P281" s="1496">
        <f t="shared" si="29"/>
        <v>0</v>
      </c>
      <c r="Q281" s="666">
        <f t="shared" si="31"/>
        <v>0</v>
      </c>
      <c r="R281" s="1046"/>
      <c r="S281" s="1047"/>
      <c r="T281" s="1047"/>
      <c r="U281" s="1047"/>
      <c r="V281" s="1047"/>
      <c r="W281" s="1047"/>
      <c r="X281" s="1047"/>
      <c r="Y281" s="1047">
        <v>44440</v>
      </c>
      <c r="Z281" s="1047"/>
      <c r="AA281" s="1047"/>
      <c r="AB281" s="1047"/>
      <c r="AC281" s="1047"/>
      <c r="AD281" s="666">
        <f t="shared" si="26"/>
        <v>44440</v>
      </c>
      <c r="AE281" s="576">
        <f t="shared" si="25"/>
        <v>1</v>
      </c>
      <c r="AF281" s="577">
        <f t="shared" si="28"/>
        <v>175</v>
      </c>
    </row>
    <row r="282" spans="1:32" x14ac:dyDescent="0.3">
      <c r="A282" s="7" t="s">
        <v>358</v>
      </c>
      <c r="B282" s="652" t="s">
        <v>3019</v>
      </c>
      <c r="C282" s="494"/>
      <c r="D282" s="536"/>
      <c r="E282" s="536"/>
      <c r="F282" s="536"/>
      <c r="G282" s="536"/>
      <c r="H282" s="536"/>
      <c r="I282" s="536"/>
      <c r="J282" s="536"/>
      <c r="K282" s="536"/>
      <c r="L282" s="536"/>
      <c r="M282" s="536"/>
      <c r="N282" s="536"/>
      <c r="O282" s="536"/>
      <c r="P282" s="1496">
        <f t="shared" si="29"/>
        <v>0</v>
      </c>
      <c r="Q282" s="666">
        <f t="shared" si="31"/>
        <v>0</v>
      </c>
      <c r="R282" s="1046"/>
      <c r="S282" s="1047"/>
      <c r="T282" s="1047"/>
      <c r="U282" s="1047"/>
      <c r="V282" s="1047"/>
      <c r="W282" s="1047"/>
      <c r="X282" s="1047"/>
      <c r="Y282" s="1047">
        <v>28290</v>
      </c>
      <c r="Z282" s="1047"/>
      <c r="AA282" s="1047"/>
      <c r="AB282" s="1047"/>
      <c r="AC282" s="1047"/>
      <c r="AD282" s="666">
        <f t="shared" si="26"/>
        <v>28290</v>
      </c>
      <c r="AE282" s="576">
        <f t="shared" si="25"/>
        <v>1</v>
      </c>
      <c r="AF282" s="577">
        <f t="shared" ref="AF282:AF286" si="32">IFERROR(_xlfn.RANK.EQ(AD282, $AD$2:$AD$483), "")</f>
        <v>186</v>
      </c>
    </row>
    <row r="283" spans="1:32" x14ac:dyDescent="0.3">
      <c r="A283" s="7" t="s">
        <v>358</v>
      </c>
      <c r="B283" s="652" t="s">
        <v>2843</v>
      </c>
      <c r="C283" s="494"/>
      <c r="D283" s="536"/>
      <c r="E283" s="536"/>
      <c r="F283" s="536"/>
      <c r="G283" s="536"/>
      <c r="H283" s="536"/>
      <c r="I283" s="536"/>
      <c r="J283" s="536"/>
      <c r="K283" s="536"/>
      <c r="L283" s="536"/>
      <c r="M283" s="536"/>
      <c r="N283" s="536"/>
      <c r="O283" s="536"/>
      <c r="P283" s="1496">
        <f t="shared" si="29"/>
        <v>0</v>
      </c>
      <c r="Q283" s="666">
        <f t="shared" si="31"/>
        <v>0</v>
      </c>
      <c r="R283" s="1046"/>
      <c r="S283" s="1047"/>
      <c r="T283" s="1047"/>
      <c r="U283" s="1047"/>
      <c r="V283" s="1047"/>
      <c r="W283" s="1047"/>
      <c r="X283" s="1047"/>
      <c r="Y283" s="1047">
        <v>748280</v>
      </c>
      <c r="Z283" s="1047"/>
      <c r="AA283" s="1047"/>
      <c r="AB283" s="1047"/>
      <c r="AC283" s="1047"/>
      <c r="AD283" s="666">
        <f t="shared" si="26"/>
        <v>748280</v>
      </c>
      <c r="AE283" s="576">
        <f t="shared" si="25"/>
        <v>1</v>
      </c>
      <c r="AF283" s="577">
        <f t="shared" si="32"/>
        <v>70</v>
      </c>
    </row>
    <row r="284" spans="1:32" x14ac:dyDescent="0.3">
      <c r="A284" s="7" t="s">
        <v>358</v>
      </c>
      <c r="B284" s="652" t="s">
        <v>3041</v>
      </c>
      <c r="C284" s="494"/>
      <c r="D284" s="536"/>
      <c r="E284" s="536"/>
      <c r="F284" s="536"/>
      <c r="G284" s="536"/>
      <c r="H284" s="536"/>
      <c r="I284" s="536"/>
      <c r="J284" s="536"/>
      <c r="K284" s="536"/>
      <c r="L284" s="536"/>
      <c r="M284" s="536"/>
      <c r="N284" s="536"/>
      <c r="O284" s="536"/>
      <c r="P284" s="1496">
        <f t="shared" si="29"/>
        <v>0</v>
      </c>
      <c r="Q284" s="666">
        <f t="shared" si="31"/>
        <v>0</v>
      </c>
      <c r="R284" s="1046"/>
      <c r="S284" s="1047"/>
      <c r="T284" s="1047"/>
      <c r="U284" s="1047"/>
      <c r="V284" s="1047"/>
      <c r="W284" s="1047"/>
      <c r="X284" s="1047"/>
      <c r="Y284" s="1047">
        <v>120090</v>
      </c>
      <c r="Z284" s="1047"/>
      <c r="AA284" s="1047"/>
      <c r="AB284" s="1047"/>
      <c r="AC284" s="1047"/>
      <c r="AD284" s="666">
        <f t="shared" si="26"/>
        <v>120090</v>
      </c>
      <c r="AE284" s="576">
        <f t="shared" si="25"/>
        <v>1</v>
      </c>
      <c r="AF284" s="577">
        <f t="shared" si="32"/>
        <v>151</v>
      </c>
    </row>
    <row r="285" spans="1:32" x14ac:dyDescent="0.3">
      <c r="A285" s="7" t="s">
        <v>358</v>
      </c>
      <c r="B285" s="652" t="s">
        <v>441</v>
      </c>
      <c r="C285" s="494"/>
      <c r="D285" s="536"/>
      <c r="E285" s="536"/>
      <c r="F285" s="536"/>
      <c r="G285" s="536"/>
      <c r="H285" s="536"/>
      <c r="I285" s="536"/>
      <c r="J285" s="536"/>
      <c r="K285" s="536"/>
      <c r="L285" s="536"/>
      <c r="M285" s="536"/>
      <c r="N285" s="536"/>
      <c r="O285" s="536"/>
      <c r="P285" s="1496">
        <f t="shared" si="29"/>
        <v>0</v>
      </c>
      <c r="Q285" s="666">
        <f t="shared" si="31"/>
        <v>0</v>
      </c>
      <c r="R285" s="1046"/>
      <c r="S285" s="1047"/>
      <c r="T285" s="1047"/>
      <c r="U285" s="1047"/>
      <c r="V285" s="1047"/>
      <c r="W285" s="1047"/>
      <c r="X285" s="1047"/>
      <c r="Y285" s="1047">
        <v>69180</v>
      </c>
      <c r="Z285" s="1047"/>
      <c r="AA285" s="1047"/>
      <c r="AB285" s="1047"/>
      <c r="AC285" s="1047"/>
      <c r="AD285" s="666">
        <f t="shared" si="26"/>
        <v>69180</v>
      </c>
      <c r="AE285" s="576">
        <f t="shared" si="25"/>
        <v>1</v>
      </c>
      <c r="AF285" s="577">
        <f t="shared" si="32"/>
        <v>166</v>
      </c>
    </row>
    <row r="286" spans="1:32" x14ac:dyDescent="0.3">
      <c r="A286" s="7" t="s">
        <v>358</v>
      </c>
      <c r="B286" s="652" t="s">
        <v>3042</v>
      </c>
      <c r="C286" s="494"/>
      <c r="D286" s="536"/>
      <c r="E286" s="536"/>
      <c r="F286" s="536"/>
      <c r="G286" s="536"/>
      <c r="H286" s="536"/>
      <c r="I286" s="536"/>
      <c r="J286" s="536"/>
      <c r="K286" s="536"/>
      <c r="L286" s="536"/>
      <c r="M286" s="536"/>
      <c r="N286" s="536"/>
      <c r="O286" s="536"/>
      <c r="P286" s="1496">
        <f t="shared" si="29"/>
        <v>0</v>
      </c>
      <c r="Q286" s="666">
        <f t="shared" si="31"/>
        <v>0</v>
      </c>
      <c r="R286" s="1046"/>
      <c r="S286" s="1047"/>
      <c r="T286" s="1047"/>
      <c r="U286" s="1047"/>
      <c r="V286" s="1047"/>
      <c r="W286" s="1047"/>
      <c r="X286" s="1047"/>
      <c r="Y286" s="1047">
        <v>27860</v>
      </c>
      <c r="Z286" s="1047"/>
      <c r="AA286" s="1047"/>
      <c r="AB286" s="1047"/>
      <c r="AC286" s="1047"/>
      <c r="AD286" s="666">
        <f t="shared" si="26"/>
        <v>27860</v>
      </c>
      <c r="AE286" s="576">
        <f t="shared" si="25"/>
        <v>1</v>
      </c>
      <c r="AF286" s="577">
        <f t="shared" si="32"/>
        <v>187</v>
      </c>
    </row>
    <row r="287" spans="1:32" x14ac:dyDescent="0.3">
      <c r="A287" s="8" t="s">
        <v>407</v>
      </c>
      <c r="B287" s="653" t="s">
        <v>408</v>
      </c>
      <c r="C287" s="495">
        <v>1719370</v>
      </c>
      <c r="D287" s="537">
        <v>122140</v>
      </c>
      <c r="E287" s="537">
        <v>170660</v>
      </c>
      <c r="F287" s="537">
        <v>0</v>
      </c>
      <c r="G287" s="537">
        <v>277660</v>
      </c>
      <c r="H287" s="537">
        <v>0</v>
      </c>
      <c r="I287" s="537">
        <v>0</v>
      </c>
      <c r="J287" s="537">
        <v>0</v>
      </c>
      <c r="K287" s="537">
        <v>0</v>
      </c>
      <c r="L287" s="537">
        <v>0</v>
      </c>
      <c r="M287" s="537">
        <v>0</v>
      </c>
      <c r="N287" s="537">
        <v>0</v>
      </c>
      <c r="O287" s="537">
        <v>0</v>
      </c>
      <c r="P287" s="1496">
        <f t="shared" si="29"/>
        <v>2289830</v>
      </c>
      <c r="Q287" s="667">
        <f t="shared" ref="Q287:Q347" si="33">SUM(C287:J287,L287:O287)</f>
        <v>2289830</v>
      </c>
      <c r="R287" s="1048" t="s">
        <v>251</v>
      </c>
      <c r="S287" s="1049" t="s">
        <v>251</v>
      </c>
      <c r="T287" s="1049" t="s">
        <v>251</v>
      </c>
      <c r="U287" s="1049"/>
      <c r="V287" s="1049"/>
      <c r="W287" s="1049"/>
      <c r="X287" s="1049"/>
      <c r="Y287" s="1049"/>
      <c r="Z287" s="1049"/>
      <c r="AA287" s="1049"/>
      <c r="AB287" s="1049"/>
      <c r="AC287" s="1049"/>
      <c r="AD287" s="667">
        <f t="shared" si="26"/>
        <v>0</v>
      </c>
      <c r="AE287" s="578">
        <f t="shared" si="25"/>
        <v>-1</v>
      </c>
      <c r="AF287" s="579">
        <f t="shared" ref="AF287:AF318" si="34">IFERROR(_xlfn.RANK.EQ(AD287, $AD$2:$AD$483), "")</f>
        <v>189</v>
      </c>
    </row>
    <row r="288" spans="1:32" x14ac:dyDescent="0.3">
      <c r="A288" s="8" t="s">
        <v>407</v>
      </c>
      <c r="B288" s="653" t="s">
        <v>409</v>
      </c>
      <c r="C288" s="495"/>
      <c r="D288" s="537">
        <v>0</v>
      </c>
      <c r="E288" s="537">
        <v>1368000</v>
      </c>
      <c r="F288" s="537">
        <v>488480</v>
      </c>
      <c r="G288" s="537">
        <v>272800</v>
      </c>
      <c r="H288" s="537">
        <v>228340</v>
      </c>
      <c r="I288" s="537">
        <v>0</v>
      </c>
      <c r="J288" s="537">
        <v>0</v>
      </c>
      <c r="K288" s="537">
        <v>0</v>
      </c>
      <c r="L288" s="537">
        <v>430490</v>
      </c>
      <c r="M288" s="537">
        <v>482870</v>
      </c>
      <c r="N288" s="537">
        <v>429640</v>
      </c>
      <c r="O288" s="537">
        <v>507310</v>
      </c>
      <c r="P288" s="1496">
        <f t="shared" si="29"/>
        <v>2357620</v>
      </c>
      <c r="Q288" s="667">
        <f t="shared" si="33"/>
        <v>4207930</v>
      </c>
      <c r="R288" s="1048">
        <v>318790</v>
      </c>
      <c r="S288" s="1049">
        <v>365640</v>
      </c>
      <c r="T288" s="1049">
        <v>0</v>
      </c>
      <c r="U288" s="1049">
        <v>885530</v>
      </c>
      <c r="V288" s="1049">
        <v>407440</v>
      </c>
      <c r="W288" s="1049">
        <v>906530</v>
      </c>
      <c r="X288" s="1049">
        <v>0</v>
      </c>
      <c r="Y288" s="1049">
        <v>0</v>
      </c>
      <c r="Z288" s="1049"/>
      <c r="AA288" s="1049"/>
      <c r="AB288" s="1049"/>
      <c r="AC288" s="1049"/>
      <c r="AD288" s="667">
        <f t="shared" si="26"/>
        <v>2883930</v>
      </c>
      <c r="AE288" s="578">
        <f t="shared" si="25"/>
        <v>0.22323784155207371</v>
      </c>
      <c r="AF288" s="579">
        <f t="shared" si="34"/>
        <v>25</v>
      </c>
    </row>
    <row r="289" spans="1:32" x14ac:dyDescent="0.3">
      <c r="A289" s="8" t="s">
        <v>407</v>
      </c>
      <c r="B289" s="653" t="s">
        <v>571</v>
      </c>
      <c r="C289" s="495">
        <v>126410</v>
      </c>
      <c r="D289" s="537">
        <v>256090</v>
      </c>
      <c r="E289" s="537">
        <v>356210</v>
      </c>
      <c r="F289" s="537">
        <v>737420</v>
      </c>
      <c r="G289" s="537">
        <v>208700</v>
      </c>
      <c r="H289" s="537">
        <v>293090</v>
      </c>
      <c r="I289" s="537">
        <v>242720</v>
      </c>
      <c r="J289" s="537">
        <v>45050</v>
      </c>
      <c r="K289" s="537">
        <v>45050</v>
      </c>
      <c r="L289" s="537">
        <v>0</v>
      </c>
      <c r="M289" s="537">
        <v>0</v>
      </c>
      <c r="N289" s="537">
        <v>33680</v>
      </c>
      <c r="O289" s="537">
        <v>0</v>
      </c>
      <c r="P289" s="1496">
        <f t="shared" si="29"/>
        <v>2265690</v>
      </c>
      <c r="Q289" s="667">
        <f t="shared" si="33"/>
        <v>2299370</v>
      </c>
      <c r="R289" s="1048">
        <v>85880</v>
      </c>
      <c r="S289" s="1049">
        <v>103980</v>
      </c>
      <c r="T289" s="1049">
        <v>108730</v>
      </c>
      <c r="U289" s="1049">
        <v>422630</v>
      </c>
      <c r="V289" s="1049">
        <v>0</v>
      </c>
      <c r="W289" s="1049">
        <v>0</v>
      </c>
      <c r="X289" s="1049">
        <v>0</v>
      </c>
      <c r="Y289" s="1049">
        <v>0</v>
      </c>
      <c r="Z289" s="1049"/>
      <c r="AA289" s="1049"/>
      <c r="AB289" s="1049"/>
      <c r="AC289" s="1049"/>
      <c r="AD289" s="667">
        <f t="shared" si="26"/>
        <v>721220</v>
      </c>
      <c r="AE289" s="578">
        <f t="shared" si="25"/>
        <v>-0.68167754635453215</v>
      </c>
      <c r="AF289" s="579">
        <f t="shared" si="34"/>
        <v>73</v>
      </c>
    </row>
    <row r="290" spans="1:32" x14ac:dyDescent="0.3">
      <c r="A290" s="8" t="s">
        <v>407</v>
      </c>
      <c r="B290" s="653" t="s">
        <v>569</v>
      </c>
      <c r="C290" s="495"/>
      <c r="D290" s="537">
        <v>334280</v>
      </c>
      <c r="E290" s="537">
        <v>267560</v>
      </c>
      <c r="F290" s="537">
        <v>72540</v>
      </c>
      <c r="G290" s="537">
        <v>369640</v>
      </c>
      <c r="H290" s="537">
        <v>116130</v>
      </c>
      <c r="I290" s="537">
        <v>0</v>
      </c>
      <c r="J290" s="537">
        <v>0</v>
      </c>
      <c r="K290" s="537">
        <v>0</v>
      </c>
      <c r="L290" s="537">
        <v>338720</v>
      </c>
      <c r="M290" s="537">
        <v>837620</v>
      </c>
      <c r="N290" s="537">
        <v>81420</v>
      </c>
      <c r="O290" s="537">
        <v>646570</v>
      </c>
      <c r="P290" s="1496">
        <f t="shared" si="29"/>
        <v>1160150</v>
      </c>
      <c r="Q290" s="667">
        <f t="shared" si="33"/>
        <v>3064480</v>
      </c>
      <c r="R290" s="1048">
        <v>340330</v>
      </c>
      <c r="S290" s="1049" t="s">
        <v>251</v>
      </c>
      <c r="T290" s="1049">
        <v>0</v>
      </c>
      <c r="U290" s="1049">
        <v>0</v>
      </c>
      <c r="V290" s="1049">
        <v>0</v>
      </c>
      <c r="W290" s="1049">
        <v>0</v>
      </c>
      <c r="X290" s="1049">
        <v>0</v>
      </c>
      <c r="Y290" s="1049">
        <v>0</v>
      </c>
      <c r="Z290" s="1049"/>
      <c r="AA290" s="1049"/>
      <c r="AB290" s="1049"/>
      <c r="AC290" s="1049"/>
      <c r="AD290" s="667">
        <f t="shared" si="26"/>
        <v>340330</v>
      </c>
      <c r="AE290" s="578">
        <f t="shared" si="25"/>
        <v>-0.70665000215489371</v>
      </c>
      <c r="AF290" s="579">
        <f t="shared" si="34"/>
        <v>112</v>
      </c>
    </row>
    <row r="291" spans="1:32" x14ac:dyDescent="0.3">
      <c r="A291" s="8" t="s">
        <v>407</v>
      </c>
      <c r="B291" s="653" t="s">
        <v>410</v>
      </c>
      <c r="C291" s="495"/>
      <c r="D291" s="537">
        <v>415740</v>
      </c>
      <c r="E291" s="537">
        <v>254260</v>
      </c>
      <c r="F291" s="537">
        <v>29310</v>
      </c>
      <c r="G291" s="537">
        <v>359680</v>
      </c>
      <c r="H291" s="537">
        <v>188740</v>
      </c>
      <c r="I291" s="537">
        <v>551700</v>
      </c>
      <c r="J291" s="537">
        <v>834740</v>
      </c>
      <c r="K291" s="537">
        <v>834740</v>
      </c>
      <c r="L291" s="537">
        <v>930660</v>
      </c>
      <c r="M291" s="537">
        <v>0</v>
      </c>
      <c r="N291" s="537">
        <v>104310</v>
      </c>
      <c r="O291" s="537">
        <v>664510</v>
      </c>
      <c r="P291" s="1496">
        <f t="shared" si="29"/>
        <v>2634170</v>
      </c>
      <c r="Q291" s="667">
        <f t="shared" si="33"/>
        <v>4333650</v>
      </c>
      <c r="R291" s="1048">
        <v>3367190</v>
      </c>
      <c r="S291" s="1049">
        <v>1844700</v>
      </c>
      <c r="T291" s="1049">
        <v>302450</v>
      </c>
      <c r="U291" s="1049">
        <v>1038400</v>
      </c>
      <c r="V291" s="1049">
        <v>30070</v>
      </c>
      <c r="W291" s="1049">
        <v>828500</v>
      </c>
      <c r="X291" s="1049">
        <v>541900</v>
      </c>
      <c r="Y291" s="1049">
        <v>139160</v>
      </c>
      <c r="Z291" s="1049"/>
      <c r="AA291" s="1049"/>
      <c r="AB291" s="1049"/>
      <c r="AC291" s="1049"/>
      <c r="AD291" s="667">
        <f t="shared" si="26"/>
        <v>8092370</v>
      </c>
      <c r="AE291" s="578">
        <f t="shared" si="25"/>
        <v>2.0720758341337118</v>
      </c>
      <c r="AF291" s="579">
        <f t="shared" si="34"/>
        <v>7</v>
      </c>
    </row>
    <row r="292" spans="1:32" x14ac:dyDescent="0.3">
      <c r="A292" s="8" t="s">
        <v>407</v>
      </c>
      <c r="B292" s="653" t="s">
        <v>411</v>
      </c>
      <c r="C292" s="495"/>
      <c r="D292" s="537">
        <v>0</v>
      </c>
      <c r="E292" s="537">
        <v>555640</v>
      </c>
      <c r="F292" s="537">
        <v>230350</v>
      </c>
      <c r="G292" s="537">
        <v>88770</v>
      </c>
      <c r="H292" s="537">
        <v>110290</v>
      </c>
      <c r="I292" s="537">
        <v>407010</v>
      </c>
      <c r="J292" s="537">
        <v>92780</v>
      </c>
      <c r="K292" s="537">
        <v>92780</v>
      </c>
      <c r="L292" s="537">
        <v>0</v>
      </c>
      <c r="M292" s="537">
        <v>0</v>
      </c>
      <c r="N292" s="537">
        <v>0</v>
      </c>
      <c r="O292" s="537">
        <v>0</v>
      </c>
      <c r="P292" s="1496">
        <f t="shared" si="29"/>
        <v>1484840</v>
      </c>
      <c r="Q292" s="667">
        <f t="shared" si="33"/>
        <v>1484840</v>
      </c>
      <c r="R292" s="1048" t="s">
        <v>251</v>
      </c>
      <c r="S292" s="1049" t="s">
        <v>251</v>
      </c>
      <c r="T292" s="1049">
        <v>811350</v>
      </c>
      <c r="U292" s="1049">
        <v>1235530</v>
      </c>
      <c r="V292" s="1049">
        <v>1519130</v>
      </c>
      <c r="W292" s="1049">
        <v>355350</v>
      </c>
      <c r="X292" s="1049">
        <v>424920</v>
      </c>
      <c r="Y292" s="1049">
        <v>1928110</v>
      </c>
      <c r="Z292" s="1049"/>
      <c r="AA292" s="1049"/>
      <c r="AB292" s="1049"/>
      <c r="AC292" s="1049"/>
      <c r="AD292" s="667">
        <f t="shared" si="26"/>
        <v>6274390</v>
      </c>
      <c r="AE292" s="578">
        <f t="shared" si="25"/>
        <v>3.2256337383152394</v>
      </c>
      <c r="AF292" s="579">
        <f t="shared" si="34"/>
        <v>11</v>
      </c>
    </row>
    <row r="293" spans="1:32" x14ac:dyDescent="0.3">
      <c r="A293" s="8" t="s">
        <v>407</v>
      </c>
      <c r="B293" s="653" t="s">
        <v>412</v>
      </c>
      <c r="C293" s="495">
        <v>90710</v>
      </c>
      <c r="D293" s="537">
        <v>0</v>
      </c>
      <c r="E293" s="537">
        <v>261650</v>
      </c>
      <c r="F293" s="537">
        <v>103840</v>
      </c>
      <c r="G293" s="537">
        <v>271840</v>
      </c>
      <c r="H293" s="537">
        <v>0</v>
      </c>
      <c r="I293" s="537">
        <v>0</v>
      </c>
      <c r="J293" s="537">
        <v>0</v>
      </c>
      <c r="K293" s="537">
        <v>0</v>
      </c>
      <c r="L293" s="537">
        <v>0</v>
      </c>
      <c r="M293" s="537">
        <v>0</v>
      </c>
      <c r="N293" s="537">
        <v>349210</v>
      </c>
      <c r="O293" s="537">
        <v>204270</v>
      </c>
      <c r="P293" s="1496">
        <f t="shared" si="29"/>
        <v>728040</v>
      </c>
      <c r="Q293" s="667">
        <f t="shared" si="33"/>
        <v>1281520</v>
      </c>
      <c r="R293" s="1048">
        <v>457970</v>
      </c>
      <c r="S293" s="1049" t="s">
        <v>251</v>
      </c>
      <c r="T293" s="1049">
        <v>1153800</v>
      </c>
      <c r="U293" s="1049">
        <v>61120</v>
      </c>
      <c r="V293" s="1049">
        <v>0</v>
      </c>
      <c r="W293" s="1049">
        <v>0</v>
      </c>
      <c r="X293" s="1049">
        <v>0</v>
      </c>
      <c r="Y293" s="1049">
        <v>0</v>
      </c>
      <c r="Z293" s="1049"/>
      <c r="AA293" s="1049"/>
      <c r="AB293" s="1049"/>
      <c r="AC293" s="1049"/>
      <c r="AD293" s="667">
        <f t="shared" si="26"/>
        <v>1672890</v>
      </c>
      <c r="AE293" s="578">
        <f t="shared" si="25"/>
        <v>1.297799571452118</v>
      </c>
      <c r="AF293" s="579">
        <f t="shared" si="34"/>
        <v>38</v>
      </c>
    </row>
    <row r="294" spans="1:32" x14ac:dyDescent="0.3">
      <c r="A294" s="8" t="s">
        <v>407</v>
      </c>
      <c r="B294" s="653" t="s">
        <v>413</v>
      </c>
      <c r="C294" s="495"/>
      <c r="D294" s="537">
        <v>0</v>
      </c>
      <c r="E294" s="537">
        <v>518950</v>
      </c>
      <c r="F294" s="537">
        <v>0</v>
      </c>
      <c r="G294" s="537">
        <v>0</v>
      </c>
      <c r="H294" s="537">
        <v>0</v>
      </c>
      <c r="I294" s="537">
        <v>0</v>
      </c>
      <c r="J294" s="537">
        <v>0</v>
      </c>
      <c r="K294" s="537">
        <v>0</v>
      </c>
      <c r="L294" s="537">
        <v>0</v>
      </c>
      <c r="M294" s="537">
        <v>0</v>
      </c>
      <c r="N294" s="537">
        <v>0</v>
      </c>
      <c r="O294" s="537">
        <v>0</v>
      </c>
      <c r="P294" s="1496">
        <f t="shared" si="29"/>
        <v>518950</v>
      </c>
      <c r="Q294" s="667">
        <f t="shared" si="33"/>
        <v>518950</v>
      </c>
      <c r="R294" s="1048" t="s">
        <v>251</v>
      </c>
      <c r="S294" s="1049" t="s">
        <v>251</v>
      </c>
      <c r="T294" s="1049" t="s">
        <v>251</v>
      </c>
      <c r="U294" s="1049"/>
      <c r="V294" s="1049"/>
      <c r="W294" s="1049"/>
      <c r="X294" s="1049"/>
      <c r="Y294" s="1049"/>
      <c r="Z294" s="1049"/>
      <c r="AA294" s="1049"/>
      <c r="AB294" s="1049"/>
      <c r="AC294" s="1049"/>
      <c r="AD294" s="667">
        <f t="shared" si="26"/>
        <v>0</v>
      </c>
      <c r="AE294" s="578">
        <f t="shared" si="25"/>
        <v>-1</v>
      </c>
      <c r="AF294" s="579">
        <f t="shared" si="34"/>
        <v>189</v>
      </c>
    </row>
    <row r="295" spans="1:32" x14ac:dyDescent="0.3">
      <c r="A295" s="8" t="s">
        <v>407</v>
      </c>
      <c r="B295" s="653" t="s">
        <v>414</v>
      </c>
      <c r="C295" s="495"/>
      <c r="D295" s="537">
        <v>0</v>
      </c>
      <c r="E295" s="537">
        <v>0</v>
      </c>
      <c r="F295" s="537">
        <v>91350</v>
      </c>
      <c r="G295" s="537">
        <v>307610</v>
      </c>
      <c r="H295" s="537">
        <v>117180</v>
      </c>
      <c r="I295" s="537">
        <v>138700</v>
      </c>
      <c r="J295" s="537">
        <v>411670</v>
      </c>
      <c r="K295" s="537">
        <v>95870</v>
      </c>
      <c r="L295" s="537">
        <v>315230</v>
      </c>
      <c r="M295" s="537">
        <v>0</v>
      </c>
      <c r="N295" s="537">
        <v>0</v>
      </c>
      <c r="O295" s="537">
        <v>94570</v>
      </c>
      <c r="P295" s="1496">
        <f t="shared" si="29"/>
        <v>750710</v>
      </c>
      <c r="Q295" s="667">
        <f t="shared" si="33"/>
        <v>1476310</v>
      </c>
      <c r="R295" s="1048" t="s">
        <v>251</v>
      </c>
      <c r="S295" s="1049" t="s">
        <v>251</v>
      </c>
      <c r="T295" s="1049" t="s">
        <v>251</v>
      </c>
      <c r="U295" s="1049"/>
      <c r="V295" s="1049"/>
      <c r="W295" s="1049"/>
      <c r="X295" s="1049">
        <v>702220</v>
      </c>
      <c r="Y295" s="1049">
        <v>0</v>
      </c>
      <c r="Z295" s="1049"/>
      <c r="AA295" s="1049"/>
      <c r="AB295" s="1049"/>
      <c r="AC295" s="1049"/>
      <c r="AD295" s="667">
        <f t="shared" si="26"/>
        <v>702220</v>
      </c>
      <c r="AE295" s="578">
        <f t="shared" si="25"/>
        <v>-6.4592186063859552E-2</v>
      </c>
      <c r="AF295" s="579">
        <f t="shared" si="34"/>
        <v>74</v>
      </c>
    </row>
    <row r="296" spans="1:32" x14ac:dyDescent="0.3">
      <c r="A296" s="8" t="s">
        <v>407</v>
      </c>
      <c r="B296" s="653" t="s">
        <v>415</v>
      </c>
      <c r="C296" s="495">
        <v>124110</v>
      </c>
      <c r="D296" s="537">
        <v>0</v>
      </c>
      <c r="E296" s="537">
        <v>0</v>
      </c>
      <c r="F296" s="537">
        <v>0</v>
      </c>
      <c r="G296" s="537">
        <v>0</v>
      </c>
      <c r="H296" s="537">
        <v>0</v>
      </c>
      <c r="I296" s="537">
        <v>0</v>
      </c>
      <c r="J296" s="537">
        <v>0</v>
      </c>
      <c r="K296" s="537">
        <v>0</v>
      </c>
      <c r="L296" s="537">
        <v>0</v>
      </c>
      <c r="M296" s="537">
        <v>0</v>
      </c>
      <c r="N296" s="537">
        <v>0</v>
      </c>
      <c r="O296" s="537">
        <v>118220</v>
      </c>
      <c r="P296" s="1496">
        <f t="shared" si="29"/>
        <v>124110</v>
      </c>
      <c r="Q296" s="667">
        <f t="shared" si="33"/>
        <v>242330</v>
      </c>
      <c r="R296" s="1048" t="s">
        <v>251</v>
      </c>
      <c r="S296" s="1049" t="s">
        <v>251</v>
      </c>
      <c r="T296" s="1049" t="s">
        <v>251</v>
      </c>
      <c r="U296" s="1049"/>
      <c r="V296" s="1049"/>
      <c r="W296" s="1049"/>
      <c r="X296" s="1049"/>
      <c r="Y296" s="1049"/>
      <c r="Z296" s="1049"/>
      <c r="AA296" s="1049"/>
      <c r="AB296" s="1049"/>
      <c r="AC296" s="1049"/>
      <c r="AD296" s="667">
        <f t="shared" si="26"/>
        <v>0</v>
      </c>
      <c r="AE296" s="578">
        <f t="shared" si="25"/>
        <v>-1</v>
      </c>
      <c r="AF296" s="579">
        <f t="shared" si="34"/>
        <v>189</v>
      </c>
    </row>
    <row r="297" spans="1:32" x14ac:dyDescent="0.3">
      <c r="A297" s="8" t="s">
        <v>407</v>
      </c>
      <c r="B297" s="653" t="s">
        <v>583</v>
      </c>
      <c r="C297" s="495"/>
      <c r="D297" s="537">
        <v>0</v>
      </c>
      <c r="E297" s="537">
        <v>0</v>
      </c>
      <c r="F297" s="537">
        <v>109090</v>
      </c>
      <c r="G297" s="537">
        <v>0</v>
      </c>
      <c r="H297" s="537">
        <v>0</v>
      </c>
      <c r="I297" s="537">
        <v>148600</v>
      </c>
      <c r="J297" s="537">
        <v>0</v>
      </c>
      <c r="K297" s="537">
        <v>0</v>
      </c>
      <c r="L297" s="537">
        <v>0</v>
      </c>
      <c r="M297" s="537">
        <v>0</v>
      </c>
      <c r="N297" s="537">
        <v>0</v>
      </c>
      <c r="O297" s="537">
        <v>0</v>
      </c>
      <c r="P297" s="1496">
        <f t="shared" si="29"/>
        <v>257690</v>
      </c>
      <c r="Q297" s="667">
        <f t="shared" si="33"/>
        <v>257690</v>
      </c>
      <c r="R297" s="1048" t="s">
        <v>251</v>
      </c>
      <c r="S297" s="1049" t="s">
        <v>251</v>
      </c>
      <c r="T297" s="1049" t="s">
        <v>251</v>
      </c>
      <c r="U297" s="1049"/>
      <c r="V297" s="1049"/>
      <c r="W297" s="1049"/>
      <c r="X297" s="1049"/>
      <c r="Y297" s="1049">
        <v>39000</v>
      </c>
      <c r="Z297" s="1049"/>
      <c r="AA297" s="1049"/>
      <c r="AB297" s="1049"/>
      <c r="AC297" s="1049"/>
      <c r="AD297" s="667">
        <f t="shared" si="26"/>
        <v>39000</v>
      </c>
      <c r="AE297" s="578">
        <f t="shared" si="25"/>
        <v>-0.84865536109278594</v>
      </c>
      <c r="AF297" s="579">
        <f t="shared" si="34"/>
        <v>177</v>
      </c>
    </row>
    <row r="298" spans="1:32" x14ac:dyDescent="0.3">
      <c r="A298" s="8" t="s">
        <v>407</v>
      </c>
      <c r="B298" s="653" t="s">
        <v>416</v>
      </c>
      <c r="C298" s="495">
        <v>107180</v>
      </c>
      <c r="D298" s="537">
        <v>0</v>
      </c>
      <c r="E298" s="537">
        <v>0</v>
      </c>
      <c r="F298" s="537">
        <v>0</v>
      </c>
      <c r="G298" s="537">
        <v>0</v>
      </c>
      <c r="H298" s="537">
        <v>672580</v>
      </c>
      <c r="I298" s="537">
        <v>173980</v>
      </c>
      <c r="J298" s="537">
        <v>318630</v>
      </c>
      <c r="K298" s="537">
        <v>318630</v>
      </c>
      <c r="L298" s="537">
        <v>637160</v>
      </c>
      <c r="M298" s="537">
        <v>325910</v>
      </c>
      <c r="N298" s="537">
        <v>213040</v>
      </c>
      <c r="O298" s="537">
        <v>0</v>
      </c>
      <c r="P298" s="1496">
        <f t="shared" si="29"/>
        <v>1272370</v>
      </c>
      <c r="Q298" s="667">
        <f t="shared" si="33"/>
        <v>2448480</v>
      </c>
      <c r="R298" s="1048" t="s">
        <v>251</v>
      </c>
      <c r="S298" s="1049">
        <v>222520</v>
      </c>
      <c r="T298" s="1049">
        <v>378530</v>
      </c>
      <c r="U298" s="1049">
        <v>0</v>
      </c>
      <c r="V298" s="1049">
        <v>0</v>
      </c>
      <c r="W298" s="1049">
        <v>352130</v>
      </c>
      <c r="X298" s="1049">
        <v>0</v>
      </c>
      <c r="Y298" s="1049">
        <v>0</v>
      </c>
      <c r="Z298" s="1049"/>
      <c r="AA298" s="1049"/>
      <c r="AB298" s="1049"/>
      <c r="AC298" s="1049"/>
      <c r="AD298" s="667">
        <f t="shared" si="26"/>
        <v>953180</v>
      </c>
      <c r="AE298" s="578">
        <f t="shared" si="25"/>
        <v>-0.25086256356248576</v>
      </c>
      <c r="AF298" s="579">
        <f t="shared" si="34"/>
        <v>55</v>
      </c>
    </row>
    <row r="299" spans="1:32" x14ac:dyDescent="0.3">
      <c r="A299" s="8" t="s">
        <v>407</v>
      </c>
      <c r="B299" s="653" t="s">
        <v>568</v>
      </c>
      <c r="C299" s="495">
        <v>29110</v>
      </c>
      <c r="D299" s="537">
        <v>33040</v>
      </c>
      <c r="E299" s="537">
        <v>33250</v>
      </c>
      <c r="F299" s="537">
        <v>0</v>
      </c>
      <c r="G299" s="537">
        <v>0</v>
      </c>
      <c r="H299" s="537">
        <v>0</v>
      </c>
      <c r="I299" s="537">
        <v>31780</v>
      </c>
      <c r="J299" s="537">
        <v>307200</v>
      </c>
      <c r="K299" s="537">
        <v>307200</v>
      </c>
      <c r="L299" s="537">
        <v>0</v>
      </c>
      <c r="M299" s="537">
        <v>0</v>
      </c>
      <c r="N299" s="537">
        <v>76550</v>
      </c>
      <c r="O299" s="537">
        <v>0</v>
      </c>
      <c r="P299" s="1496">
        <f t="shared" si="29"/>
        <v>434380</v>
      </c>
      <c r="Q299" s="667">
        <f t="shared" si="33"/>
        <v>510930</v>
      </c>
      <c r="R299" s="1048" t="s">
        <v>251</v>
      </c>
      <c r="S299" s="1049" t="s">
        <v>251</v>
      </c>
      <c r="T299" s="1049" t="s">
        <v>251</v>
      </c>
      <c r="U299" s="1049"/>
      <c r="V299" s="1049"/>
      <c r="W299" s="1049"/>
      <c r="X299" s="1049"/>
      <c r="Y299" s="1049"/>
      <c r="Z299" s="1049"/>
      <c r="AA299" s="1049"/>
      <c r="AB299" s="1049"/>
      <c r="AC299" s="1049"/>
      <c r="AD299" s="667">
        <f t="shared" si="26"/>
        <v>0</v>
      </c>
      <c r="AE299" s="578">
        <f>IF(OR(AD299="", P299=""), 0, IFERROR((AD299-P299)/P299, IF(AD299&lt;&gt;0, 1, 0)))</f>
        <v>-1</v>
      </c>
      <c r="AF299" s="579">
        <f t="shared" si="34"/>
        <v>189</v>
      </c>
    </row>
    <row r="300" spans="1:32" x14ac:dyDescent="0.3">
      <c r="A300" s="8" t="s">
        <v>407</v>
      </c>
      <c r="B300" s="653" t="s">
        <v>417</v>
      </c>
      <c r="C300" s="495"/>
      <c r="D300" s="537">
        <v>0</v>
      </c>
      <c r="E300" s="537">
        <v>29330</v>
      </c>
      <c r="F300" s="537">
        <v>0</v>
      </c>
      <c r="G300" s="537">
        <v>0</v>
      </c>
      <c r="H300" s="537">
        <v>0</v>
      </c>
      <c r="I300" s="537">
        <v>0</v>
      </c>
      <c r="J300" s="537">
        <v>0</v>
      </c>
      <c r="K300" s="537">
        <v>0</v>
      </c>
      <c r="L300" s="537">
        <v>0</v>
      </c>
      <c r="M300" s="537">
        <v>0</v>
      </c>
      <c r="N300" s="537">
        <v>0</v>
      </c>
      <c r="O300" s="537">
        <v>0</v>
      </c>
      <c r="P300" s="1496">
        <f t="shared" si="29"/>
        <v>29330</v>
      </c>
      <c r="Q300" s="667">
        <f t="shared" si="33"/>
        <v>29330</v>
      </c>
      <c r="R300" s="1048" t="s">
        <v>251</v>
      </c>
      <c r="S300" s="1049" t="s">
        <v>251</v>
      </c>
      <c r="T300" s="1049" t="s">
        <v>251</v>
      </c>
      <c r="U300" s="1049"/>
      <c r="V300" s="1049"/>
      <c r="W300" s="1049"/>
      <c r="X300" s="1049"/>
      <c r="Y300" s="1049"/>
      <c r="Z300" s="1049"/>
      <c r="AA300" s="1049"/>
      <c r="AB300" s="1049"/>
      <c r="AC300" s="1049"/>
      <c r="AD300" s="667">
        <f t="shared" si="26"/>
        <v>0</v>
      </c>
      <c r="AE300" s="578">
        <f t="shared" ref="AE300:AE366" si="35">IF(OR(AD300="", P300=""), 0, IFERROR((AD300-P300)/P300, IF(AD300&lt;&gt;0, 1, 0)))</f>
        <v>-1</v>
      </c>
      <c r="AF300" s="579">
        <f t="shared" si="34"/>
        <v>189</v>
      </c>
    </row>
    <row r="301" spans="1:32" x14ac:dyDescent="0.3">
      <c r="A301" s="8" t="s">
        <v>407</v>
      </c>
      <c r="B301" s="653" t="s">
        <v>418</v>
      </c>
      <c r="C301" s="495"/>
      <c r="D301" s="537">
        <v>0</v>
      </c>
      <c r="E301" s="537">
        <v>29190</v>
      </c>
      <c r="F301" s="537">
        <v>0</v>
      </c>
      <c r="G301" s="537">
        <v>0</v>
      </c>
      <c r="H301" s="537">
        <v>0</v>
      </c>
      <c r="I301" s="537">
        <v>0</v>
      </c>
      <c r="J301" s="537">
        <v>0</v>
      </c>
      <c r="K301" s="537">
        <v>0</v>
      </c>
      <c r="L301" s="537">
        <v>0</v>
      </c>
      <c r="M301" s="537">
        <v>0</v>
      </c>
      <c r="N301" s="537">
        <v>0</v>
      </c>
      <c r="O301" s="537">
        <v>0</v>
      </c>
      <c r="P301" s="1496">
        <f t="shared" si="29"/>
        <v>29190</v>
      </c>
      <c r="Q301" s="667">
        <f t="shared" si="33"/>
        <v>29190</v>
      </c>
      <c r="R301" s="1048" t="s">
        <v>251</v>
      </c>
      <c r="S301" s="1049" t="s">
        <v>251</v>
      </c>
      <c r="T301" s="1049" t="s">
        <v>251</v>
      </c>
      <c r="U301" s="1049"/>
      <c r="V301" s="1049"/>
      <c r="W301" s="1049"/>
      <c r="X301" s="1049"/>
      <c r="Y301" s="1049"/>
      <c r="Z301" s="1049"/>
      <c r="AA301" s="1049"/>
      <c r="AB301" s="1049"/>
      <c r="AC301" s="1049"/>
      <c r="AD301" s="667">
        <f t="shared" si="26"/>
        <v>0</v>
      </c>
      <c r="AE301" s="578">
        <f t="shared" si="35"/>
        <v>-1</v>
      </c>
      <c r="AF301" s="579">
        <f t="shared" si="34"/>
        <v>189</v>
      </c>
    </row>
    <row r="302" spans="1:32" x14ac:dyDescent="0.3">
      <c r="A302" s="8" t="s">
        <v>407</v>
      </c>
      <c r="B302" s="653" t="s">
        <v>573</v>
      </c>
      <c r="C302" s="495"/>
      <c r="D302" s="537">
        <v>0</v>
      </c>
      <c r="E302" s="537">
        <v>29150</v>
      </c>
      <c r="F302" s="537">
        <v>0</v>
      </c>
      <c r="G302" s="537">
        <v>0</v>
      </c>
      <c r="H302" s="537">
        <v>0</v>
      </c>
      <c r="I302" s="537">
        <v>0</v>
      </c>
      <c r="J302" s="537">
        <v>0</v>
      </c>
      <c r="K302" s="537">
        <v>0</v>
      </c>
      <c r="L302" s="537">
        <v>0</v>
      </c>
      <c r="M302" s="537">
        <v>0</v>
      </c>
      <c r="N302" s="537">
        <v>0</v>
      </c>
      <c r="O302" s="537">
        <v>0</v>
      </c>
      <c r="P302" s="1496">
        <f t="shared" si="29"/>
        <v>29150</v>
      </c>
      <c r="Q302" s="667">
        <f t="shared" si="33"/>
        <v>29150</v>
      </c>
      <c r="R302" s="1048" t="s">
        <v>251</v>
      </c>
      <c r="S302" s="1049" t="s">
        <v>251</v>
      </c>
      <c r="T302" s="1049">
        <v>741930</v>
      </c>
      <c r="U302" s="1049">
        <v>331520</v>
      </c>
      <c r="V302" s="1049">
        <v>0</v>
      </c>
      <c r="W302" s="1049">
        <v>0</v>
      </c>
      <c r="X302" s="1049">
        <v>123950</v>
      </c>
      <c r="Y302" s="1049">
        <v>0</v>
      </c>
      <c r="Z302" s="1049"/>
      <c r="AA302" s="1049"/>
      <c r="AB302" s="1049"/>
      <c r="AC302" s="1049"/>
      <c r="AD302" s="667">
        <f t="shared" si="26"/>
        <v>1197400</v>
      </c>
      <c r="AE302" s="578">
        <f t="shared" si="35"/>
        <v>40.077186963979415</v>
      </c>
      <c r="AF302" s="579">
        <f t="shared" si="34"/>
        <v>48</v>
      </c>
    </row>
    <row r="303" spans="1:32" x14ac:dyDescent="0.3">
      <c r="A303" s="8" t="s">
        <v>407</v>
      </c>
      <c r="B303" s="653" t="s">
        <v>419</v>
      </c>
      <c r="C303" s="495"/>
      <c r="D303" s="537">
        <v>0</v>
      </c>
      <c r="E303" s="537">
        <v>0</v>
      </c>
      <c r="F303" s="537">
        <v>28460</v>
      </c>
      <c r="G303" s="537">
        <v>0</v>
      </c>
      <c r="H303" s="537">
        <v>0</v>
      </c>
      <c r="I303" s="537">
        <v>0</v>
      </c>
      <c r="J303" s="537">
        <v>0</v>
      </c>
      <c r="K303" s="537">
        <v>0</v>
      </c>
      <c r="L303" s="537">
        <v>0</v>
      </c>
      <c r="M303" s="537">
        <v>0</v>
      </c>
      <c r="N303" s="537">
        <v>0</v>
      </c>
      <c r="O303" s="537">
        <v>0</v>
      </c>
      <c r="P303" s="1496">
        <f t="shared" si="29"/>
        <v>28460</v>
      </c>
      <c r="Q303" s="667">
        <f t="shared" si="33"/>
        <v>28460</v>
      </c>
      <c r="R303" s="1048" t="s">
        <v>251</v>
      </c>
      <c r="S303" s="1049" t="s">
        <v>251</v>
      </c>
      <c r="T303" s="1049" t="s">
        <v>251</v>
      </c>
      <c r="U303" s="1049"/>
      <c r="V303" s="1049"/>
      <c r="W303" s="1049"/>
      <c r="X303" s="1049"/>
      <c r="Y303" s="1049"/>
      <c r="Z303" s="1049"/>
      <c r="AA303" s="1049"/>
      <c r="AB303" s="1049"/>
      <c r="AC303" s="1049"/>
      <c r="AD303" s="667">
        <f>SUM(R303:AC303)</f>
        <v>0</v>
      </c>
      <c r="AE303" s="578">
        <f t="shared" si="35"/>
        <v>-1</v>
      </c>
      <c r="AF303" s="579">
        <f t="shared" si="34"/>
        <v>189</v>
      </c>
    </row>
    <row r="304" spans="1:32" x14ac:dyDescent="0.3">
      <c r="A304" s="8" t="s">
        <v>407</v>
      </c>
      <c r="B304" s="653" t="s">
        <v>420</v>
      </c>
      <c r="C304" s="495"/>
      <c r="D304" s="537" t="s">
        <v>251</v>
      </c>
      <c r="E304" s="537" t="s">
        <v>251</v>
      </c>
      <c r="F304" s="537" t="s">
        <v>251</v>
      </c>
      <c r="G304" s="537" t="s">
        <v>251</v>
      </c>
      <c r="H304" s="537" t="s">
        <v>251</v>
      </c>
      <c r="I304" s="537" t="s">
        <v>251</v>
      </c>
      <c r="J304" s="537" t="s">
        <v>251</v>
      </c>
      <c r="K304" s="537"/>
      <c r="L304" s="537" t="s">
        <v>251</v>
      </c>
      <c r="M304" s="537" t="s">
        <v>251</v>
      </c>
      <c r="N304" s="537" t="s">
        <v>251</v>
      </c>
      <c r="O304" s="537" t="s">
        <v>251</v>
      </c>
      <c r="P304" s="1496">
        <f t="shared" si="29"/>
        <v>0</v>
      </c>
      <c r="Q304" s="667">
        <f t="shared" si="33"/>
        <v>0</v>
      </c>
      <c r="R304" s="1048" t="s">
        <v>251</v>
      </c>
      <c r="S304" s="1049" t="s">
        <v>251</v>
      </c>
      <c r="T304" s="1049" t="s">
        <v>251</v>
      </c>
      <c r="U304" s="1049"/>
      <c r="V304" s="1049"/>
      <c r="W304" s="1049"/>
      <c r="X304" s="1049"/>
      <c r="Y304" s="1049"/>
      <c r="Z304" s="1049"/>
      <c r="AA304" s="1049"/>
      <c r="AB304" s="1049"/>
      <c r="AC304" s="1049"/>
      <c r="AD304" s="667">
        <f t="shared" ref="AD304:AD371" si="36">SUM(R304:AC304)</f>
        <v>0</v>
      </c>
      <c r="AE304" s="578">
        <f t="shared" si="35"/>
        <v>0</v>
      </c>
      <c r="AF304" s="579">
        <f t="shared" si="34"/>
        <v>189</v>
      </c>
    </row>
    <row r="305" spans="1:32" x14ac:dyDescent="0.3">
      <c r="A305" s="8" t="s">
        <v>407</v>
      </c>
      <c r="B305" s="653" t="s">
        <v>421</v>
      </c>
      <c r="C305" s="495"/>
      <c r="D305" s="537" t="s">
        <v>251</v>
      </c>
      <c r="E305" s="537" t="s">
        <v>251</v>
      </c>
      <c r="F305" s="537" t="s">
        <v>251</v>
      </c>
      <c r="G305" s="537" t="s">
        <v>251</v>
      </c>
      <c r="H305" s="537" t="s">
        <v>251</v>
      </c>
      <c r="I305" s="537" t="s">
        <v>251</v>
      </c>
      <c r="J305" s="537" t="s">
        <v>251</v>
      </c>
      <c r="K305" s="537"/>
      <c r="L305" s="537" t="s">
        <v>251</v>
      </c>
      <c r="M305" s="537" t="s">
        <v>251</v>
      </c>
      <c r="N305" s="537" t="s">
        <v>251</v>
      </c>
      <c r="O305" s="537" t="s">
        <v>251</v>
      </c>
      <c r="P305" s="1496">
        <f t="shared" si="29"/>
        <v>0</v>
      </c>
      <c r="Q305" s="667">
        <f t="shared" si="33"/>
        <v>0</v>
      </c>
      <c r="R305" s="1048" t="s">
        <v>251</v>
      </c>
      <c r="S305" s="1049" t="s">
        <v>251</v>
      </c>
      <c r="T305" s="1049" t="s">
        <v>251</v>
      </c>
      <c r="U305" s="1049"/>
      <c r="V305" s="1049"/>
      <c r="W305" s="1049"/>
      <c r="X305" s="1049"/>
      <c r="Y305" s="1049"/>
      <c r="Z305" s="1049"/>
      <c r="AA305" s="1049"/>
      <c r="AB305" s="1049"/>
      <c r="AC305" s="1049"/>
      <c r="AD305" s="667">
        <f t="shared" si="36"/>
        <v>0</v>
      </c>
      <c r="AE305" s="578">
        <f t="shared" si="35"/>
        <v>0</v>
      </c>
      <c r="AF305" s="579">
        <f t="shared" si="34"/>
        <v>189</v>
      </c>
    </row>
    <row r="306" spans="1:32" x14ac:dyDescent="0.3">
      <c r="A306" s="8" t="s">
        <v>407</v>
      </c>
      <c r="B306" s="653" t="s">
        <v>422</v>
      </c>
      <c r="C306" s="495"/>
      <c r="D306" s="537" t="s">
        <v>251</v>
      </c>
      <c r="E306" s="537" t="s">
        <v>251</v>
      </c>
      <c r="F306" s="537" t="s">
        <v>251</v>
      </c>
      <c r="G306" s="537" t="s">
        <v>251</v>
      </c>
      <c r="H306" s="537" t="s">
        <v>251</v>
      </c>
      <c r="I306" s="537" t="s">
        <v>251</v>
      </c>
      <c r="J306" s="537" t="s">
        <v>251</v>
      </c>
      <c r="K306" s="537"/>
      <c r="L306" s="537" t="s">
        <v>251</v>
      </c>
      <c r="M306" s="537" t="s">
        <v>251</v>
      </c>
      <c r="N306" s="537" t="s">
        <v>251</v>
      </c>
      <c r="O306" s="537" t="s">
        <v>251</v>
      </c>
      <c r="P306" s="1496">
        <f t="shared" si="29"/>
        <v>0</v>
      </c>
      <c r="Q306" s="667">
        <f t="shared" si="33"/>
        <v>0</v>
      </c>
      <c r="R306" s="1048" t="s">
        <v>251</v>
      </c>
      <c r="S306" s="1049" t="s">
        <v>251</v>
      </c>
      <c r="T306" s="1049" t="s">
        <v>251</v>
      </c>
      <c r="U306" s="1049"/>
      <c r="V306" s="1049"/>
      <c r="W306" s="1049"/>
      <c r="X306" s="1049"/>
      <c r="Y306" s="1049"/>
      <c r="Z306" s="1049"/>
      <c r="AA306" s="1049"/>
      <c r="AB306" s="1049"/>
      <c r="AC306" s="1049"/>
      <c r="AD306" s="667">
        <f t="shared" si="36"/>
        <v>0</v>
      </c>
      <c r="AE306" s="578">
        <f t="shared" si="35"/>
        <v>0</v>
      </c>
      <c r="AF306" s="579">
        <f t="shared" si="34"/>
        <v>189</v>
      </c>
    </row>
    <row r="307" spans="1:32" x14ac:dyDescent="0.3">
      <c r="A307" s="8" t="s">
        <v>407</v>
      </c>
      <c r="B307" s="653" t="s">
        <v>423</v>
      </c>
      <c r="C307" s="495"/>
      <c r="D307" s="537" t="s">
        <v>251</v>
      </c>
      <c r="E307" s="537" t="s">
        <v>251</v>
      </c>
      <c r="F307" s="537" t="s">
        <v>251</v>
      </c>
      <c r="G307" s="537" t="s">
        <v>251</v>
      </c>
      <c r="H307" s="537" t="s">
        <v>251</v>
      </c>
      <c r="I307" s="537" t="s">
        <v>251</v>
      </c>
      <c r="J307" s="537" t="s">
        <v>251</v>
      </c>
      <c r="K307" s="537"/>
      <c r="L307" s="537" t="s">
        <v>251</v>
      </c>
      <c r="M307" s="537" t="s">
        <v>251</v>
      </c>
      <c r="N307" s="537" t="s">
        <v>251</v>
      </c>
      <c r="O307" s="537" t="s">
        <v>251</v>
      </c>
      <c r="P307" s="1496">
        <f t="shared" si="29"/>
        <v>0</v>
      </c>
      <c r="Q307" s="667">
        <f t="shared" si="33"/>
        <v>0</v>
      </c>
      <c r="R307" s="1048" t="s">
        <v>251</v>
      </c>
      <c r="S307" s="1049" t="s">
        <v>251</v>
      </c>
      <c r="T307" s="1049" t="s">
        <v>251</v>
      </c>
      <c r="U307" s="1049"/>
      <c r="V307" s="1049"/>
      <c r="W307" s="1049"/>
      <c r="X307" s="1049"/>
      <c r="Y307" s="1049"/>
      <c r="Z307" s="1049"/>
      <c r="AA307" s="1049"/>
      <c r="AB307" s="1049"/>
      <c r="AC307" s="1049"/>
      <c r="AD307" s="667">
        <f t="shared" si="36"/>
        <v>0</v>
      </c>
      <c r="AE307" s="578">
        <f t="shared" si="35"/>
        <v>0</v>
      </c>
      <c r="AF307" s="579">
        <f t="shared" si="34"/>
        <v>189</v>
      </c>
    </row>
    <row r="308" spans="1:32" x14ac:dyDescent="0.3">
      <c r="A308" s="8" t="s">
        <v>407</v>
      </c>
      <c r="B308" s="653" t="s">
        <v>424</v>
      </c>
      <c r="C308" s="495"/>
      <c r="D308" s="537" t="s">
        <v>251</v>
      </c>
      <c r="E308" s="537" t="s">
        <v>251</v>
      </c>
      <c r="F308" s="537" t="s">
        <v>251</v>
      </c>
      <c r="G308" s="537" t="s">
        <v>251</v>
      </c>
      <c r="H308" s="537" t="s">
        <v>251</v>
      </c>
      <c r="I308" s="537" t="s">
        <v>251</v>
      </c>
      <c r="J308" s="537" t="s">
        <v>251</v>
      </c>
      <c r="K308" s="537"/>
      <c r="L308" s="537" t="s">
        <v>251</v>
      </c>
      <c r="M308" s="537" t="s">
        <v>251</v>
      </c>
      <c r="N308" s="537" t="s">
        <v>251</v>
      </c>
      <c r="O308" s="537" t="s">
        <v>251</v>
      </c>
      <c r="P308" s="1496">
        <f t="shared" si="29"/>
        <v>0</v>
      </c>
      <c r="Q308" s="667">
        <f t="shared" si="33"/>
        <v>0</v>
      </c>
      <c r="R308" s="1048" t="s">
        <v>251</v>
      </c>
      <c r="S308" s="1049" t="s">
        <v>251</v>
      </c>
      <c r="T308" s="1049" t="s">
        <v>251</v>
      </c>
      <c r="U308" s="1049"/>
      <c r="V308" s="1049"/>
      <c r="W308" s="1049"/>
      <c r="X308" s="1049"/>
      <c r="Y308" s="1049"/>
      <c r="Z308" s="1049"/>
      <c r="AA308" s="1049"/>
      <c r="AB308" s="1049"/>
      <c r="AC308" s="1049"/>
      <c r="AD308" s="667">
        <f t="shared" si="36"/>
        <v>0</v>
      </c>
      <c r="AE308" s="578">
        <f t="shared" si="35"/>
        <v>0</v>
      </c>
      <c r="AF308" s="579">
        <f t="shared" si="34"/>
        <v>189</v>
      </c>
    </row>
    <row r="309" spans="1:32" x14ac:dyDescent="0.3">
      <c r="A309" s="8" t="s">
        <v>407</v>
      </c>
      <c r="B309" s="653" t="s">
        <v>425</v>
      </c>
      <c r="C309" s="495"/>
      <c r="D309" s="537" t="s">
        <v>251</v>
      </c>
      <c r="E309" s="537" t="s">
        <v>251</v>
      </c>
      <c r="F309" s="537" t="s">
        <v>251</v>
      </c>
      <c r="G309" s="537" t="s">
        <v>251</v>
      </c>
      <c r="H309" s="537" t="s">
        <v>251</v>
      </c>
      <c r="I309" s="537" t="s">
        <v>251</v>
      </c>
      <c r="J309" s="537" t="s">
        <v>251</v>
      </c>
      <c r="K309" s="537"/>
      <c r="L309" s="537" t="s">
        <v>251</v>
      </c>
      <c r="M309" s="537" t="s">
        <v>251</v>
      </c>
      <c r="N309" s="537" t="s">
        <v>251</v>
      </c>
      <c r="O309" s="537" t="s">
        <v>251</v>
      </c>
      <c r="P309" s="1496">
        <f t="shared" si="29"/>
        <v>0</v>
      </c>
      <c r="Q309" s="667">
        <f t="shared" si="33"/>
        <v>0</v>
      </c>
      <c r="R309" s="1048" t="s">
        <v>251</v>
      </c>
      <c r="S309" s="1049" t="s">
        <v>251</v>
      </c>
      <c r="T309" s="1049" t="s">
        <v>251</v>
      </c>
      <c r="U309" s="1049"/>
      <c r="V309" s="1049"/>
      <c r="W309" s="1049"/>
      <c r="X309" s="1049"/>
      <c r="Y309" s="1049"/>
      <c r="Z309" s="1049"/>
      <c r="AA309" s="1049"/>
      <c r="AB309" s="1049"/>
      <c r="AC309" s="1049"/>
      <c r="AD309" s="667">
        <f t="shared" si="36"/>
        <v>0</v>
      </c>
      <c r="AE309" s="578">
        <f t="shared" si="35"/>
        <v>0</v>
      </c>
      <c r="AF309" s="579">
        <f t="shared" si="34"/>
        <v>189</v>
      </c>
    </row>
    <row r="310" spans="1:32" x14ac:dyDescent="0.3">
      <c r="A310" s="8" t="s">
        <v>407</v>
      </c>
      <c r="B310" s="653" t="s">
        <v>426</v>
      </c>
      <c r="C310" s="495"/>
      <c r="D310" s="537" t="s">
        <v>251</v>
      </c>
      <c r="E310" s="537" t="s">
        <v>251</v>
      </c>
      <c r="F310" s="537" t="s">
        <v>251</v>
      </c>
      <c r="G310" s="537" t="s">
        <v>251</v>
      </c>
      <c r="H310" s="537" t="s">
        <v>251</v>
      </c>
      <c r="I310" s="537" t="s">
        <v>251</v>
      </c>
      <c r="J310" s="537" t="s">
        <v>251</v>
      </c>
      <c r="K310" s="537"/>
      <c r="L310" s="537" t="s">
        <v>251</v>
      </c>
      <c r="M310" s="537" t="s">
        <v>251</v>
      </c>
      <c r="N310" s="537" t="s">
        <v>251</v>
      </c>
      <c r="O310" s="537" t="s">
        <v>251</v>
      </c>
      <c r="P310" s="1496">
        <f t="shared" si="29"/>
        <v>0</v>
      </c>
      <c r="Q310" s="667">
        <f t="shared" si="33"/>
        <v>0</v>
      </c>
      <c r="R310" s="1048" t="s">
        <v>251</v>
      </c>
      <c r="S310" s="1049" t="s">
        <v>251</v>
      </c>
      <c r="T310" s="1049" t="s">
        <v>251</v>
      </c>
      <c r="U310" s="1049"/>
      <c r="V310" s="1049"/>
      <c r="W310" s="1049"/>
      <c r="X310" s="1049"/>
      <c r="Y310" s="1049"/>
      <c r="Z310" s="1049"/>
      <c r="AA310" s="1049"/>
      <c r="AB310" s="1049"/>
      <c r="AC310" s="1049"/>
      <c r="AD310" s="667">
        <f t="shared" si="36"/>
        <v>0</v>
      </c>
      <c r="AE310" s="578">
        <f t="shared" si="35"/>
        <v>0</v>
      </c>
      <c r="AF310" s="579">
        <f t="shared" si="34"/>
        <v>189</v>
      </c>
    </row>
    <row r="311" spans="1:32" x14ac:dyDescent="0.3">
      <c r="A311" s="8" t="s">
        <v>407</v>
      </c>
      <c r="B311" s="653" t="s">
        <v>427</v>
      </c>
      <c r="C311" s="495"/>
      <c r="D311" s="537" t="s">
        <v>251</v>
      </c>
      <c r="E311" s="537" t="s">
        <v>251</v>
      </c>
      <c r="F311" s="537" t="s">
        <v>251</v>
      </c>
      <c r="G311" s="537" t="s">
        <v>251</v>
      </c>
      <c r="H311" s="537" t="s">
        <v>251</v>
      </c>
      <c r="I311" s="537" t="s">
        <v>251</v>
      </c>
      <c r="J311" s="537" t="s">
        <v>251</v>
      </c>
      <c r="K311" s="537"/>
      <c r="L311" s="537" t="s">
        <v>251</v>
      </c>
      <c r="M311" s="537" t="s">
        <v>251</v>
      </c>
      <c r="N311" s="537" t="s">
        <v>251</v>
      </c>
      <c r="O311" s="537" t="s">
        <v>251</v>
      </c>
      <c r="P311" s="1496">
        <f t="shared" si="29"/>
        <v>0</v>
      </c>
      <c r="Q311" s="667">
        <f t="shared" si="33"/>
        <v>0</v>
      </c>
      <c r="R311" s="1048" t="s">
        <v>251</v>
      </c>
      <c r="S311" s="1049" t="s">
        <v>251</v>
      </c>
      <c r="T311" s="1049" t="s">
        <v>251</v>
      </c>
      <c r="U311" s="1049"/>
      <c r="V311" s="1049"/>
      <c r="W311" s="1049"/>
      <c r="X311" s="1049"/>
      <c r="Y311" s="1049"/>
      <c r="Z311" s="1049"/>
      <c r="AA311" s="1049"/>
      <c r="AB311" s="1049"/>
      <c r="AC311" s="1049"/>
      <c r="AD311" s="667">
        <f t="shared" si="36"/>
        <v>0</v>
      </c>
      <c r="AE311" s="578">
        <f t="shared" si="35"/>
        <v>0</v>
      </c>
      <c r="AF311" s="579">
        <f t="shared" si="34"/>
        <v>189</v>
      </c>
    </row>
    <row r="312" spans="1:32" x14ac:dyDescent="0.3">
      <c r="A312" s="8" t="s">
        <v>407</v>
      </c>
      <c r="B312" s="653" t="s">
        <v>428</v>
      </c>
      <c r="C312" s="495"/>
      <c r="D312" s="537" t="s">
        <v>251</v>
      </c>
      <c r="E312" s="537" t="s">
        <v>251</v>
      </c>
      <c r="F312" s="537" t="s">
        <v>251</v>
      </c>
      <c r="G312" s="537" t="s">
        <v>251</v>
      </c>
      <c r="H312" s="537" t="s">
        <v>251</v>
      </c>
      <c r="I312" s="537" t="s">
        <v>251</v>
      </c>
      <c r="J312" s="537" t="s">
        <v>251</v>
      </c>
      <c r="K312" s="537"/>
      <c r="L312" s="537" t="s">
        <v>251</v>
      </c>
      <c r="M312" s="537" t="s">
        <v>251</v>
      </c>
      <c r="N312" s="537" t="s">
        <v>251</v>
      </c>
      <c r="O312" s="537" t="s">
        <v>251</v>
      </c>
      <c r="P312" s="1496">
        <f t="shared" si="29"/>
        <v>0</v>
      </c>
      <c r="Q312" s="667">
        <f t="shared" si="33"/>
        <v>0</v>
      </c>
      <c r="R312" s="1048" t="s">
        <v>251</v>
      </c>
      <c r="S312" s="1049" t="s">
        <v>251</v>
      </c>
      <c r="T312" s="1049" t="s">
        <v>251</v>
      </c>
      <c r="U312" s="1049"/>
      <c r="V312" s="1049"/>
      <c r="W312" s="1049"/>
      <c r="X312" s="1049"/>
      <c r="Y312" s="1049"/>
      <c r="Z312" s="1049"/>
      <c r="AA312" s="1049"/>
      <c r="AB312" s="1049"/>
      <c r="AC312" s="1049"/>
      <c r="AD312" s="667">
        <f t="shared" si="36"/>
        <v>0</v>
      </c>
      <c r="AE312" s="578">
        <f t="shared" si="35"/>
        <v>0</v>
      </c>
      <c r="AF312" s="579">
        <f t="shared" si="34"/>
        <v>189</v>
      </c>
    </row>
    <row r="313" spans="1:32" x14ac:dyDescent="0.3">
      <c r="A313" s="8" t="s">
        <v>407</v>
      </c>
      <c r="B313" s="653" t="s">
        <v>429</v>
      </c>
      <c r="C313" s="495"/>
      <c r="D313" s="537" t="s">
        <v>251</v>
      </c>
      <c r="E313" s="537" t="s">
        <v>251</v>
      </c>
      <c r="F313" s="537" t="s">
        <v>251</v>
      </c>
      <c r="G313" s="537" t="s">
        <v>251</v>
      </c>
      <c r="H313" s="537" t="s">
        <v>251</v>
      </c>
      <c r="I313" s="537" t="s">
        <v>251</v>
      </c>
      <c r="J313" s="537" t="s">
        <v>251</v>
      </c>
      <c r="K313" s="537"/>
      <c r="L313" s="537" t="s">
        <v>251</v>
      </c>
      <c r="M313" s="537" t="s">
        <v>251</v>
      </c>
      <c r="N313" s="537" t="s">
        <v>251</v>
      </c>
      <c r="O313" s="537" t="s">
        <v>251</v>
      </c>
      <c r="P313" s="1496">
        <f t="shared" si="29"/>
        <v>0</v>
      </c>
      <c r="Q313" s="667">
        <f t="shared" si="33"/>
        <v>0</v>
      </c>
      <c r="R313" s="1048" t="s">
        <v>251</v>
      </c>
      <c r="S313" s="1049" t="s">
        <v>251</v>
      </c>
      <c r="T313" s="1049" t="s">
        <v>251</v>
      </c>
      <c r="U313" s="1049"/>
      <c r="V313" s="1049"/>
      <c r="W313" s="1049"/>
      <c r="X313" s="1049"/>
      <c r="Y313" s="1049"/>
      <c r="Z313" s="1049"/>
      <c r="AA313" s="1049"/>
      <c r="AB313" s="1049"/>
      <c r="AC313" s="1049"/>
      <c r="AD313" s="667">
        <f t="shared" si="36"/>
        <v>0</v>
      </c>
      <c r="AE313" s="578">
        <f t="shared" si="35"/>
        <v>0</v>
      </c>
      <c r="AF313" s="579">
        <f t="shared" si="34"/>
        <v>189</v>
      </c>
    </row>
    <row r="314" spans="1:32" x14ac:dyDescent="0.3">
      <c r="A314" s="8" t="s">
        <v>407</v>
      </c>
      <c r="B314" s="653" t="s">
        <v>430</v>
      </c>
      <c r="C314" s="495"/>
      <c r="D314" s="537" t="s">
        <v>251</v>
      </c>
      <c r="E314" s="537" t="s">
        <v>251</v>
      </c>
      <c r="F314" s="537" t="s">
        <v>251</v>
      </c>
      <c r="G314" s="537" t="s">
        <v>251</v>
      </c>
      <c r="H314" s="537" t="s">
        <v>251</v>
      </c>
      <c r="I314" s="537" t="s">
        <v>251</v>
      </c>
      <c r="J314" s="537" t="s">
        <v>251</v>
      </c>
      <c r="K314" s="537"/>
      <c r="L314" s="537" t="s">
        <v>251</v>
      </c>
      <c r="M314" s="537" t="s">
        <v>251</v>
      </c>
      <c r="N314" s="537" t="s">
        <v>251</v>
      </c>
      <c r="O314" s="537" t="s">
        <v>251</v>
      </c>
      <c r="P314" s="1496">
        <f t="shared" si="29"/>
        <v>0</v>
      </c>
      <c r="Q314" s="667">
        <f t="shared" si="33"/>
        <v>0</v>
      </c>
      <c r="R314" s="1048" t="s">
        <v>251</v>
      </c>
      <c r="S314" s="1049" t="s">
        <v>251</v>
      </c>
      <c r="T314" s="1049" t="s">
        <v>251</v>
      </c>
      <c r="U314" s="1049"/>
      <c r="V314" s="1049"/>
      <c r="W314" s="1049"/>
      <c r="X314" s="1049"/>
      <c r="Y314" s="1049"/>
      <c r="Z314" s="1049"/>
      <c r="AA314" s="1049"/>
      <c r="AB314" s="1049"/>
      <c r="AC314" s="1049"/>
      <c r="AD314" s="667">
        <f t="shared" si="36"/>
        <v>0</v>
      </c>
      <c r="AE314" s="578">
        <f t="shared" si="35"/>
        <v>0</v>
      </c>
      <c r="AF314" s="579">
        <f t="shared" si="34"/>
        <v>189</v>
      </c>
    </row>
    <row r="315" spans="1:32" x14ac:dyDescent="0.3">
      <c r="A315" s="8" t="s">
        <v>407</v>
      </c>
      <c r="B315" s="653" t="s">
        <v>567</v>
      </c>
      <c r="C315" s="495"/>
      <c r="D315" s="537">
        <v>0</v>
      </c>
      <c r="E315" s="537">
        <v>0</v>
      </c>
      <c r="F315" s="537">
        <v>0</v>
      </c>
      <c r="G315" s="537">
        <v>0</v>
      </c>
      <c r="H315" s="537">
        <v>0</v>
      </c>
      <c r="I315" s="537">
        <v>0</v>
      </c>
      <c r="J315" s="537">
        <v>213900</v>
      </c>
      <c r="K315" s="537">
        <v>213900</v>
      </c>
      <c r="L315" s="537">
        <v>0</v>
      </c>
      <c r="M315" s="537">
        <v>0</v>
      </c>
      <c r="N315" s="537">
        <v>770610</v>
      </c>
      <c r="O315" s="537">
        <v>0</v>
      </c>
      <c r="P315" s="1496">
        <f t="shared" si="29"/>
        <v>213900</v>
      </c>
      <c r="Q315" s="667">
        <f t="shared" si="33"/>
        <v>984510</v>
      </c>
      <c r="R315" s="1048">
        <v>104840</v>
      </c>
      <c r="S315" s="1049" t="s">
        <v>251</v>
      </c>
      <c r="T315" s="1049">
        <v>361990</v>
      </c>
      <c r="U315" s="1049">
        <v>127570</v>
      </c>
      <c r="V315" s="1049">
        <v>116320</v>
      </c>
      <c r="W315" s="1049">
        <v>2039560</v>
      </c>
      <c r="X315" s="1049">
        <v>685600</v>
      </c>
      <c r="Y315" s="1049">
        <v>1607650</v>
      </c>
      <c r="Z315" s="1049"/>
      <c r="AA315" s="1049"/>
      <c r="AB315" s="1049"/>
      <c r="AC315" s="1049"/>
      <c r="AD315" s="667">
        <f t="shared" si="36"/>
        <v>5043530</v>
      </c>
      <c r="AE315" s="578">
        <f t="shared" si="35"/>
        <v>22.578915381019169</v>
      </c>
      <c r="AF315" s="579">
        <f t="shared" si="34"/>
        <v>14</v>
      </c>
    </row>
    <row r="316" spans="1:32" x14ac:dyDescent="0.3">
      <c r="A316" s="8" t="s">
        <v>407</v>
      </c>
      <c r="B316" s="653" t="s">
        <v>575</v>
      </c>
      <c r="C316" s="495"/>
      <c r="D316" s="537">
        <v>0</v>
      </c>
      <c r="E316" s="537">
        <v>0</v>
      </c>
      <c r="F316" s="537">
        <v>0</v>
      </c>
      <c r="G316" s="537">
        <v>0</v>
      </c>
      <c r="H316" s="537">
        <v>573160</v>
      </c>
      <c r="I316" s="537">
        <v>761120</v>
      </c>
      <c r="J316" s="537">
        <v>415860</v>
      </c>
      <c r="K316" s="537">
        <v>388090</v>
      </c>
      <c r="L316" s="537">
        <v>197590</v>
      </c>
      <c r="M316" s="537">
        <v>117020</v>
      </c>
      <c r="N316" s="537">
        <v>208930</v>
      </c>
      <c r="O316" s="537">
        <v>979200</v>
      </c>
      <c r="P316" s="1496">
        <f t="shared" si="29"/>
        <v>1722370</v>
      </c>
      <c r="Q316" s="667">
        <f t="shared" si="33"/>
        <v>3252880</v>
      </c>
      <c r="R316" s="1048" t="s">
        <v>251</v>
      </c>
      <c r="S316" s="1049" t="s">
        <v>251</v>
      </c>
      <c r="T316" s="1049" t="s">
        <v>251</v>
      </c>
      <c r="U316" s="1049">
        <v>834370</v>
      </c>
      <c r="V316" s="1049">
        <v>0</v>
      </c>
      <c r="W316" s="1049">
        <v>0</v>
      </c>
      <c r="X316" s="1049">
        <v>0</v>
      </c>
      <c r="Y316" s="1049">
        <v>0</v>
      </c>
      <c r="Z316" s="1049"/>
      <c r="AA316" s="1049"/>
      <c r="AB316" s="1049"/>
      <c r="AC316" s="1049"/>
      <c r="AD316" s="667">
        <f t="shared" si="36"/>
        <v>834370</v>
      </c>
      <c r="AE316" s="578">
        <f t="shared" si="35"/>
        <v>-0.51556866410817648</v>
      </c>
      <c r="AF316" s="579">
        <f t="shared" si="34"/>
        <v>65</v>
      </c>
    </row>
    <row r="317" spans="1:32" x14ac:dyDescent="0.3">
      <c r="A317" s="8" t="s">
        <v>407</v>
      </c>
      <c r="B317" s="653" t="s">
        <v>431</v>
      </c>
      <c r="C317" s="495"/>
      <c r="D317" s="537">
        <v>0</v>
      </c>
      <c r="E317" s="537">
        <v>0</v>
      </c>
      <c r="F317" s="537">
        <v>0</v>
      </c>
      <c r="G317" s="537">
        <v>0</v>
      </c>
      <c r="H317" s="537">
        <v>196980</v>
      </c>
      <c r="I317" s="537">
        <v>285110</v>
      </c>
      <c r="J317" s="537">
        <v>474200</v>
      </c>
      <c r="K317" s="537">
        <v>474200</v>
      </c>
      <c r="L317" s="537">
        <v>520860</v>
      </c>
      <c r="M317" s="537">
        <v>113200</v>
      </c>
      <c r="N317" s="537">
        <v>172850</v>
      </c>
      <c r="O317" s="537">
        <v>44450</v>
      </c>
      <c r="P317" s="1496">
        <f t="shared" si="29"/>
        <v>956290</v>
      </c>
      <c r="Q317" s="667">
        <f t="shared" si="33"/>
        <v>1807650</v>
      </c>
      <c r="R317" s="1048" t="s">
        <v>251</v>
      </c>
      <c r="S317" s="1049" t="s">
        <v>251</v>
      </c>
      <c r="T317" s="1049">
        <v>748150</v>
      </c>
      <c r="U317" s="1049">
        <v>0</v>
      </c>
      <c r="V317" s="1049">
        <v>1931700</v>
      </c>
      <c r="W317" s="1049">
        <v>491470</v>
      </c>
      <c r="X317" s="1049">
        <v>114740</v>
      </c>
      <c r="Y317" s="1049">
        <v>0</v>
      </c>
      <c r="Z317" s="1049"/>
      <c r="AA317" s="1049"/>
      <c r="AB317" s="1049"/>
      <c r="AC317" s="1049"/>
      <c r="AD317" s="667">
        <f t="shared" si="36"/>
        <v>3286060</v>
      </c>
      <c r="AE317" s="578">
        <f t="shared" si="35"/>
        <v>2.4362588754457328</v>
      </c>
      <c r="AF317" s="579">
        <f t="shared" si="34"/>
        <v>23</v>
      </c>
    </row>
    <row r="318" spans="1:32" x14ac:dyDescent="0.3">
      <c r="A318" s="8" t="s">
        <v>407</v>
      </c>
      <c r="B318" s="653" t="s">
        <v>432</v>
      </c>
      <c r="C318" s="495"/>
      <c r="D318" s="537">
        <v>0</v>
      </c>
      <c r="E318" s="537">
        <v>0</v>
      </c>
      <c r="F318" s="537">
        <v>0</v>
      </c>
      <c r="G318" s="537">
        <v>0</v>
      </c>
      <c r="H318" s="537">
        <v>0</v>
      </c>
      <c r="I318" s="537">
        <v>0</v>
      </c>
      <c r="J318" s="537">
        <v>0</v>
      </c>
      <c r="K318" s="537"/>
      <c r="L318" s="537">
        <v>669060</v>
      </c>
      <c r="M318" s="537">
        <v>560490</v>
      </c>
      <c r="N318" s="537">
        <v>0</v>
      </c>
      <c r="O318" s="537">
        <v>0</v>
      </c>
      <c r="P318" s="1496">
        <f t="shared" si="29"/>
        <v>0</v>
      </c>
      <c r="Q318" s="667">
        <f t="shared" si="33"/>
        <v>1229550</v>
      </c>
      <c r="R318" s="1048" t="s">
        <v>251</v>
      </c>
      <c r="S318" s="1049">
        <v>97690</v>
      </c>
      <c r="T318" s="1049">
        <v>0</v>
      </c>
      <c r="U318" s="1049">
        <v>0</v>
      </c>
      <c r="V318" s="1049">
        <v>301580</v>
      </c>
      <c r="W318" s="1049">
        <v>332740</v>
      </c>
      <c r="X318" s="1049">
        <v>236340</v>
      </c>
      <c r="Y318" s="1049">
        <v>0</v>
      </c>
      <c r="Z318" s="1049"/>
      <c r="AA318" s="1049"/>
      <c r="AB318" s="1049"/>
      <c r="AC318" s="1049"/>
      <c r="AD318" s="667">
        <f t="shared" si="36"/>
        <v>968350</v>
      </c>
      <c r="AE318" s="578">
        <f t="shared" si="35"/>
        <v>1</v>
      </c>
      <c r="AF318" s="579">
        <f t="shared" si="34"/>
        <v>54</v>
      </c>
    </row>
    <row r="319" spans="1:32" x14ac:dyDescent="0.3">
      <c r="A319" s="8" t="s">
        <v>407</v>
      </c>
      <c r="B319" s="653" t="s">
        <v>433</v>
      </c>
      <c r="C319" s="495"/>
      <c r="D319" s="537">
        <v>0</v>
      </c>
      <c r="E319" s="537">
        <v>0</v>
      </c>
      <c r="F319" s="537">
        <v>0</v>
      </c>
      <c r="G319" s="537">
        <v>0</v>
      </c>
      <c r="H319" s="537">
        <v>0</v>
      </c>
      <c r="I319" s="537">
        <v>412840</v>
      </c>
      <c r="J319" s="537">
        <v>0</v>
      </c>
      <c r="K319" s="537">
        <v>0</v>
      </c>
      <c r="L319" s="537">
        <v>0</v>
      </c>
      <c r="M319" s="537">
        <v>0</v>
      </c>
      <c r="N319" s="537">
        <v>0</v>
      </c>
      <c r="O319" s="537">
        <v>0</v>
      </c>
      <c r="P319" s="1496">
        <f t="shared" si="29"/>
        <v>412840</v>
      </c>
      <c r="Q319" s="667">
        <f t="shared" si="33"/>
        <v>412840</v>
      </c>
      <c r="R319" s="1048" t="s">
        <v>251</v>
      </c>
      <c r="S319" s="1049" t="s">
        <v>251</v>
      </c>
      <c r="T319" s="1049" t="s">
        <v>251</v>
      </c>
      <c r="U319" s="1049"/>
      <c r="V319" s="1049"/>
      <c r="W319" s="1049"/>
      <c r="X319" s="1049"/>
      <c r="Y319" s="1049"/>
      <c r="Z319" s="1049"/>
      <c r="AA319" s="1049"/>
      <c r="AB319" s="1049"/>
      <c r="AC319" s="1049"/>
      <c r="AD319" s="667">
        <f t="shared" si="36"/>
        <v>0</v>
      </c>
      <c r="AE319" s="578">
        <f t="shared" si="35"/>
        <v>-1</v>
      </c>
      <c r="AF319" s="579">
        <f t="shared" ref="AF319:AF350" si="37">IFERROR(_xlfn.RANK.EQ(AD319, $AD$2:$AD$483), "")</f>
        <v>189</v>
      </c>
    </row>
    <row r="320" spans="1:32" x14ac:dyDescent="0.3">
      <c r="A320" s="8" t="s">
        <v>407</v>
      </c>
      <c r="B320" s="653" t="s">
        <v>511</v>
      </c>
      <c r="C320" s="495"/>
      <c r="D320" s="537" t="s">
        <v>251</v>
      </c>
      <c r="E320" s="537" t="s">
        <v>251</v>
      </c>
      <c r="F320" s="537" t="s">
        <v>251</v>
      </c>
      <c r="G320" s="537" t="s">
        <v>251</v>
      </c>
      <c r="H320" s="537" t="s">
        <v>251</v>
      </c>
      <c r="I320" s="537" t="s">
        <v>251</v>
      </c>
      <c r="J320" s="537" t="s">
        <v>251</v>
      </c>
      <c r="K320" s="537"/>
      <c r="L320" s="537" t="s">
        <v>251</v>
      </c>
      <c r="M320" s="537" t="s">
        <v>251</v>
      </c>
      <c r="N320" s="537" t="s">
        <v>251</v>
      </c>
      <c r="O320" s="537" t="s">
        <v>251</v>
      </c>
      <c r="P320" s="1496">
        <f t="shared" si="29"/>
        <v>0</v>
      </c>
      <c r="Q320" s="667">
        <f t="shared" si="33"/>
        <v>0</v>
      </c>
      <c r="R320" s="1048" t="s">
        <v>251</v>
      </c>
      <c r="S320" s="1049" t="s">
        <v>251</v>
      </c>
      <c r="T320" s="1049" t="s">
        <v>251</v>
      </c>
      <c r="U320" s="1049"/>
      <c r="V320" s="1049"/>
      <c r="W320" s="1049"/>
      <c r="X320" s="1049"/>
      <c r="Y320" s="1049"/>
      <c r="Z320" s="1049"/>
      <c r="AA320" s="1049"/>
      <c r="AB320" s="1049"/>
      <c r="AC320" s="1049"/>
      <c r="AD320" s="667">
        <f t="shared" si="36"/>
        <v>0</v>
      </c>
      <c r="AE320" s="578">
        <f t="shared" si="35"/>
        <v>0</v>
      </c>
      <c r="AF320" s="579">
        <f t="shared" si="37"/>
        <v>189</v>
      </c>
    </row>
    <row r="321" spans="1:32" x14ac:dyDescent="0.3">
      <c r="A321" s="8" t="s">
        <v>407</v>
      </c>
      <c r="B321" s="653" t="s">
        <v>555</v>
      </c>
      <c r="C321" s="495"/>
      <c r="D321" s="537" t="s">
        <v>251</v>
      </c>
      <c r="E321" s="537" t="s">
        <v>251</v>
      </c>
      <c r="F321" s="537" t="s">
        <v>251</v>
      </c>
      <c r="G321" s="537" t="s">
        <v>251</v>
      </c>
      <c r="H321" s="537" t="s">
        <v>251</v>
      </c>
      <c r="I321" s="537" t="s">
        <v>251</v>
      </c>
      <c r="J321" s="537" t="s">
        <v>251</v>
      </c>
      <c r="K321" s="537"/>
      <c r="L321" s="537" t="s">
        <v>251</v>
      </c>
      <c r="M321" s="537" t="s">
        <v>251</v>
      </c>
      <c r="N321" s="537" t="s">
        <v>251</v>
      </c>
      <c r="O321" s="537" t="s">
        <v>251</v>
      </c>
      <c r="P321" s="1496">
        <f t="shared" si="29"/>
        <v>0</v>
      </c>
      <c r="Q321" s="667">
        <f t="shared" si="33"/>
        <v>0</v>
      </c>
      <c r="R321" s="1048" t="s">
        <v>251</v>
      </c>
      <c r="S321" s="1049" t="s">
        <v>251</v>
      </c>
      <c r="T321" s="1049" t="s">
        <v>251</v>
      </c>
      <c r="U321" s="1049"/>
      <c r="V321" s="1049"/>
      <c r="W321" s="1049"/>
      <c r="X321" s="1049"/>
      <c r="Y321" s="1049"/>
      <c r="Z321" s="1049"/>
      <c r="AA321" s="1049"/>
      <c r="AB321" s="1049"/>
      <c r="AC321" s="1049"/>
      <c r="AD321" s="667">
        <f t="shared" si="36"/>
        <v>0</v>
      </c>
      <c r="AE321" s="578">
        <f t="shared" si="35"/>
        <v>0</v>
      </c>
      <c r="AF321" s="579">
        <f t="shared" si="37"/>
        <v>189</v>
      </c>
    </row>
    <row r="322" spans="1:32" x14ac:dyDescent="0.3">
      <c r="A322" s="8" t="s">
        <v>407</v>
      </c>
      <c r="B322" s="653" t="s">
        <v>1735</v>
      </c>
      <c r="C322" s="495"/>
      <c r="D322" s="537" t="s">
        <v>251</v>
      </c>
      <c r="E322" s="537" t="s">
        <v>251</v>
      </c>
      <c r="F322" s="537" t="s">
        <v>251</v>
      </c>
      <c r="G322" s="537" t="s">
        <v>251</v>
      </c>
      <c r="H322" s="537" t="s">
        <v>251</v>
      </c>
      <c r="I322" s="537" t="s">
        <v>251</v>
      </c>
      <c r="J322" s="537" t="s">
        <v>251</v>
      </c>
      <c r="K322" s="537"/>
      <c r="L322" s="537" t="s">
        <v>251</v>
      </c>
      <c r="M322" s="537" t="s">
        <v>251</v>
      </c>
      <c r="N322" s="537" t="s">
        <v>251</v>
      </c>
      <c r="O322" s="537" t="s">
        <v>251</v>
      </c>
      <c r="P322" s="1496">
        <f t="shared" si="29"/>
        <v>0</v>
      </c>
      <c r="Q322" s="667">
        <f t="shared" si="33"/>
        <v>0</v>
      </c>
      <c r="R322" s="1048" t="s">
        <v>251</v>
      </c>
      <c r="S322" s="1049" t="s">
        <v>251</v>
      </c>
      <c r="T322" s="1049" t="s">
        <v>251</v>
      </c>
      <c r="U322" s="1049"/>
      <c r="V322" s="1049"/>
      <c r="W322" s="1049"/>
      <c r="X322" s="1049"/>
      <c r="Y322" s="1049"/>
      <c r="Z322" s="1049"/>
      <c r="AA322" s="1049"/>
      <c r="AB322" s="1049"/>
      <c r="AC322" s="1049"/>
      <c r="AD322" s="667">
        <f t="shared" si="36"/>
        <v>0</v>
      </c>
      <c r="AE322" s="578">
        <f t="shared" si="35"/>
        <v>0</v>
      </c>
      <c r="AF322" s="579">
        <f t="shared" si="37"/>
        <v>189</v>
      </c>
    </row>
    <row r="323" spans="1:32" x14ac:dyDescent="0.3">
      <c r="A323" s="8" t="s">
        <v>407</v>
      </c>
      <c r="B323" s="653" t="s">
        <v>1739</v>
      </c>
      <c r="C323" s="495"/>
      <c r="D323" s="537" t="s">
        <v>251</v>
      </c>
      <c r="E323" s="537" t="s">
        <v>251</v>
      </c>
      <c r="F323" s="537" t="s">
        <v>251</v>
      </c>
      <c r="G323" s="537" t="s">
        <v>251</v>
      </c>
      <c r="H323" s="537" t="s">
        <v>251</v>
      </c>
      <c r="I323" s="537" t="s">
        <v>251</v>
      </c>
      <c r="J323" s="537" t="s">
        <v>251</v>
      </c>
      <c r="K323" s="537"/>
      <c r="L323" s="537" t="s">
        <v>251</v>
      </c>
      <c r="M323" s="537" t="s">
        <v>251</v>
      </c>
      <c r="N323" s="537" t="s">
        <v>251</v>
      </c>
      <c r="O323" s="537" t="s">
        <v>251</v>
      </c>
      <c r="P323" s="1496">
        <f t="shared" si="29"/>
        <v>0</v>
      </c>
      <c r="Q323" s="667">
        <f t="shared" si="33"/>
        <v>0</v>
      </c>
      <c r="R323" s="1048" t="s">
        <v>251</v>
      </c>
      <c r="S323" s="1049" t="s">
        <v>251</v>
      </c>
      <c r="T323" s="1049" t="s">
        <v>251</v>
      </c>
      <c r="U323" s="1049"/>
      <c r="V323" s="1049"/>
      <c r="W323" s="1049"/>
      <c r="X323" s="1049"/>
      <c r="Y323" s="1049"/>
      <c r="Z323" s="1049"/>
      <c r="AA323" s="1049"/>
      <c r="AB323" s="1049"/>
      <c r="AC323" s="1049"/>
      <c r="AD323" s="667">
        <f t="shared" si="36"/>
        <v>0</v>
      </c>
      <c r="AE323" s="578">
        <f t="shared" si="35"/>
        <v>0</v>
      </c>
      <c r="AF323" s="579">
        <f t="shared" si="37"/>
        <v>189</v>
      </c>
    </row>
    <row r="324" spans="1:32" x14ac:dyDescent="0.3">
      <c r="A324" s="8" t="s">
        <v>407</v>
      </c>
      <c r="B324" s="653" t="s">
        <v>1743</v>
      </c>
      <c r="C324" s="495"/>
      <c r="D324" s="537" t="s">
        <v>251</v>
      </c>
      <c r="E324" s="537" t="s">
        <v>251</v>
      </c>
      <c r="F324" s="537" t="s">
        <v>251</v>
      </c>
      <c r="G324" s="537" t="s">
        <v>251</v>
      </c>
      <c r="H324" s="537" t="s">
        <v>251</v>
      </c>
      <c r="I324" s="537" t="s">
        <v>251</v>
      </c>
      <c r="J324" s="537" t="s">
        <v>251</v>
      </c>
      <c r="K324" s="537"/>
      <c r="L324" s="537" t="s">
        <v>251</v>
      </c>
      <c r="M324" s="537" t="s">
        <v>251</v>
      </c>
      <c r="N324" s="537" t="s">
        <v>251</v>
      </c>
      <c r="O324" s="537" t="s">
        <v>251</v>
      </c>
      <c r="P324" s="1496">
        <f t="shared" si="29"/>
        <v>0</v>
      </c>
      <c r="Q324" s="667">
        <f t="shared" si="33"/>
        <v>0</v>
      </c>
      <c r="R324" s="1048" t="s">
        <v>251</v>
      </c>
      <c r="S324" s="1049" t="s">
        <v>251</v>
      </c>
      <c r="T324" s="1049" t="s">
        <v>251</v>
      </c>
      <c r="U324" s="1049"/>
      <c r="V324" s="1049"/>
      <c r="W324" s="1049"/>
      <c r="X324" s="1049"/>
      <c r="Y324" s="1049"/>
      <c r="Z324" s="1049"/>
      <c r="AA324" s="1049"/>
      <c r="AB324" s="1049"/>
      <c r="AC324" s="1049"/>
      <c r="AD324" s="667">
        <f t="shared" si="36"/>
        <v>0</v>
      </c>
      <c r="AE324" s="578">
        <f t="shared" si="35"/>
        <v>0</v>
      </c>
      <c r="AF324" s="579">
        <f t="shared" si="37"/>
        <v>189</v>
      </c>
    </row>
    <row r="325" spans="1:32" x14ac:dyDescent="0.3">
      <c r="A325" s="8" t="s">
        <v>407</v>
      </c>
      <c r="B325" s="653" t="s">
        <v>1754</v>
      </c>
      <c r="C325" s="495"/>
      <c r="D325" s="537" t="s">
        <v>251</v>
      </c>
      <c r="E325" s="537" t="s">
        <v>251</v>
      </c>
      <c r="F325" s="537" t="s">
        <v>251</v>
      </c>
      <c r="G325" s="537" t="s">
        <v>251</v>
      </c>
      <c r="H325" s="537" t="s">
        <v>251</v>
      </c>
      <c r="I325" s="537" t="s">
        <v>251</v>
      </c>
      <c r="J325" s="537" t="s">
        <v>251</v>
      </c>
      <c r="K325" s="537"/>
      <c r="L325" s="537" t="s">
        <v>251</v>
      </c>
      <c r="M325" s="537" t="s">
        <v>251</v>
      </c>
      <c r="N325" s="537" t="s">
        <v>251</v>
      </c>
      <c r="O325" s="537" t="s">
        <v>251</v>
      </c>
      <c r="P325" s="1496">
        <f t="shared" si="29"/>
        <v>0</v>
      </c>
      <c r="Q325" s="667">
        <f t="shared" si="33"/>
        <v>0</v>
      </c>
      <c r="R325" s="1048" t="s">
        <v>251</v>
      </c>
      <c r="S325" s="1049" t="s">
        <v>251</v>
      </c>
      <c r="T325" s="1049" t="s">
        <v>251</v>
      </c>
      <c r="U325" s="1049"/>
      <c r="V325" s="1049"/>
      <c r="W325" s="1049"/>
      <c r="X325" s="1049"/>
      <c r="Y325" s="1049"/>
      <c r="Z325" s="1049"/>
      <c r="AA325" s="1049"/>
      <c r="AB325" s="1049"/>
      <c r="AC325" s="1049"/>
      <c r="AD325" s="667">
        <f t="shared" si="36"/>
        <v>0</v>
      </c>
      <c r="AE325" s="578">
        <f t="shared" si="35"/>
        <v>0</v>
      </c>
      <c r="AF325" s="579">
        <f t="shared" si="37"/>
        <v>189</v>
      </c>
    </row>
    <row r="326" spans="1:32" x14ac:dyDescent="0.3">
      <c r="A326" s="8" t="s">
        <v>407</v>
      </c>
      <c r="B326" s="653" t="s">
        <v>388</v>
      </c>
      <c r="C326" s="495"/>
      <c r="D326" s="537" t="s">
        <v>251</v>
      </c>
      <c r="E326" s="537" t="s">
        <v>251</v>
      </c>
      <c r="F326" s="537" t="s">
        <v>251</v>
      </c>
      <c r="G326" s="537" t="s">
        <v>251</v>
      </c>
      <c r="H326" s="537" t="s">
        <v>251</v>
      </c>
      <c r="I326" s="537" t="s">
        <v>251</v>
      </c>
      <c r="J326" s="537" t="s">
        <v>251</v>
      </c>
      <c r="K326" s="537"/>
      <c r="L326" s="537" t="s">
        <v>251</v>
      </c>
      <c r="M326" s="537" t="s">
        <v>251</v>
      </c>
      <c r="N326" s="537" t="s">
        <v>251</v>
      </c>
      <c r="O326" s="537" t="s">
        <v>251</v>
      </c>
      <c r="P326" s="1496">
        <f t="shared" si="29"/>
        <v>0</v>
      </c>
      <c r="Q326" s="667">
        <f t="shared" si="33"/>
        <v>0</v>
      </c>
      <c r="R326" s="1048" t="s">
        <v>251</v>
      </c>
      <c r="S326" s="1049" t="s">
        <v>251</v>
      </c>
      <c r="T326" s="1049" t="s">
        <v>251</v>
      </c>
      <c r="U326" s="1049"/>
      <c r="V326" s="1049"/>
      <c r="W326" s="1049"/>
      <c r="X326" s="1049"/>
      <c r="Y326" s="1049"/>
      <c r="Z326" s="1049"/>
      <c r="AA326" s="1049"/>
      <c r="AB326" s="1049"/>
      <c r="AC326" s="1049"/>
      <c r="AD326" s="667">
        <f t="shared" si="36"/>
        <v>0</v>
      </c>
      <c r="AE326" s="578">
        <f t="shared" si="35"/>
        <v>0</v>
      </c>
      <c r="AF326" s="579">
        <f t="shared" si="37"/>
        <v>189</v>
      </c>
    </row>
    <row r="327" spans="1:32" x14ac:dyDescent="0.3">
      <c r="A327" s="8" t="s">
        <v>407</v>
      </c>
      <c r="B327" s="653" t="s">
        <v>1765</v>
      </c>
      <c r="C327" s="495"/>
      <c r="D327" s="537" t="s">
        <v>251</v>
      </c>
      <c r="E327" s="537" t="s">
        <v>251</v>
      </c>
      <c r="F327" s="537" t="s">
        <v>251</v>
      </c>
      <c r="G327" s="537" t="s">
        <v>251</v>
      </c>
      <c r="H327" s="537" t="s">
        <v>251</v>
      </c>
      <c r="I327" s="537" t="s">
        <v>251</v>
      </c>
      <c r="J327" s="537" t="s">
        <v>251</v>
      </c>
      <c r="K327" s="537"/>
      <c r="L327" s="537" t="s">
        <v>251</v>
      </c>
      <c r="M327" s="537" t="s">
        <v>251</v>
      </c>
      <c r="N327" s="537" t="s">
        <v>251</v>
      </c>
      <c r="O327" s="537" t="s">
        <v>251</v>
      </c>
      <c r="P327" s="1496">
        <f t="shared" si="29"/>
        <v>0</v>
      </c>
      <c r="Q327" s="667">
        <f t="shared" si="33"/>
        <v>0</v>
      </c>
      <c r="R327" s="1048" t="s">
        <v>251</v>
      </c>
      <c r="S327" s="1049" t="s">
        <v>251</v>
      </c>
      <c r="T327" s="1049" t="s">
        <v>251</v>
      </c>
      <c r="U327" s="1049"/>
      <c r="V327" s="1049"/>
      <c r="W327" s="1049"/>
      <c r="X327" s="1049"/>
      <c r="Y327" s="1049"/>
      <c r="Z327" s="1049"/>
      <c r="AA327" s="1049"/>
      <c r="AB327" s="1049"/>
      <c r="AC327" s="1049"/>
      <c r="AD327" s="667">
        <f t="shared" si="36"/>
        <v>0</v>
      </c>
      <c r="AE327" s="578">
        <f t="shared" si="35"/>
        <v>0</v>
      </c>
      <c r="AF327" s="579">
        <f t="shared" si="37"/>
        <v>189</v>
      </c>
    </row>
    <row r="328" spans="1:32" x14ac:dyDescent="0.3">
      <c r="A328" s="8" t="s">
        <v>407</v>
      </c>
      <c r="B328" s="653" t="s">
        <v>1773</v>
      </c>
      <c r="C328" s="495"/>
      <c r="D328" s="537" t="s">
        <v>251</v>
      </c>
      <c r="E328" s="537" t="s">
        <v>251</v>
      </c>
      <c r="F328" s="537" t="s">
        <v>251</v>
      </c>
      <c r="G328" s="537" t="s">
        <v>251</v>
      </c>
      <c r="H328" s="537" t="s">
        <v>251</v>
      </c>
      <c r="I328" s="537" t="s">
        <v>251</v>
      </c>
      <c r="J328" s="537" t="s">
        <v>251</v>
      </c>
      <c r="K328" s="537"/>
      <c r="L328" s="537" t="s">
        <v>251</v>
      </c>
      <c r="M328" s="537" t="s">
        <v>251</v>
      </c>
      <c r="N328" s="537" t="s">
        <v>251</v>
      </c>
      <c r="O328" s="537" t="s">
        <v>251</v>
      </c>
      <c r="P328" s="1496">
        <f t="shared" si="29"/>
        <v>0</v>
      </c>
      <c r="Q328" s="667">
        <f t="shared" si="33"/>
        <v>0</v>
      </c>
      <c r="R328" s="1048" t="s">
        <v>251</v>
      </c>
      <c r="S328" s="1049" t="s">
        <v>251</v>
      </c>
      <c r="T328" s="1049" t="s">
        <v>251</v>
      </c>
      <c r="U328" s="1049"/>
      <c r="V328" s="1049"/>
      <c r="W328" s="1049"/>
      <c r="X328" s="1049"/>
      <c r="Y328" s="1049"/>
      <c r="Z328" s="1049"/>
      <c r="AA328" s="1049"/>
      <c r="AB328" s="1049"/>
      <c r="AC328" s="1049"/>
      <c r="AD328" s="667">
        <f t="shared" si="36"/>
        <v>0</v>
      </c>
      <c r="AE328" s="578">
        <f t="shared" si="35"/>
        <v>0</v>
      </c>
      <c r="AF328" s="579">
        <f t="shared" si="37"/>
        <v>189</v>
      </c>
    </row>
    <row r="329" spans="1:32" x14ac:dyDescent="0.3">
      <c r="A329" s="8" t="s">
        <v>407</v>
      </c>
      <c r="B329" s="653" t="s">
        <v>1778</v>
      </c>
      <c r="C329" s="495"/>
      <c r="D329" s="537" t="s">
        <v>251</v>
      </c>
      <c r="E329" s="537" t="s">
        <v>251</v>
      </c>
      <c r="F329" s="537" t="s">
        <v>251</v>
      </c>
      <c r="G329" s="537" t="s">
        <v>251</v>
      </c>
      <c r="H329" s="537" t="s">
        <v>251</v>
      </c>
      <c r="I329" s="537" t="s">
        <v>251</v>
      </c>
      <c r="J329" s="537" t="s">
        <v>251</v>
      </c>
      <c r="K329" s="537"/>
      <c r="L329" s="537" t="s">
        <v>251</v>
      </c>
      <c r="M329" s="537" t="s">
        <v>251</v>
      </c>
      <c r="N329" s="537" t="s">
        <v>251</v>
      </c>
      <c r="O329" s="537" t="s">
        <v>251</v>
      </c>
      <c r="P329" s="1496">
        <f t="shared" si="29"/>
        <v>0</v>
      </c>
      <c r="Q329" s="667">
        <f t="shared" si="33"/>
        <v>0</v>
      </c>
      <c r="R329" s="1048" t="s">
        <v>251</v>
      </c>
      <c r="S329" s="1049" t="s">
        <v>251</v>
      </c>
      <c r="T329" s="1049" t="s">
        <v>251</v>
      </c>
      <c r="U329" s="1049"/>
      <c r="V329" s="1049"/>
      <c r="W329" s="1049"/>
      <c r="X329" s="1049"/>
      <c r="Y329" s="1049"/>
      <c r="Z329" s="1049"/>
      <c r="AA329" s="1049"/>
      <c r="AB329" s="1049"/>
      <c r="AC329" s="1049"/>
      <c r="AD329" s="667">
        <f t="shared" si="36"/>
        <v>0</v>
      </c>
      <c r="AE329" s="578">
        <f t="shared" si="35"/>
        <v>0</v>
      </c>
      <c r="AF329" s="579">
        <f t="shared" si="37"/>
        <v>189</v>
      </c>
    </row>
    <row r="330" spans="1:32" x14ac:dyDescent="0.3">
      <c r="A330" s="8" t="s">
        <v>407</v>
      </c>
      <c r="B330" s="653" t="s">
        <v>2558</v>
      </c>
      <c r="C330" s="495"/>
      <c r="D330" s="537"/>
      <c r="E330" s="537"/>
      <c r="F330" s="537"/>
      <c r="G330" s="537"/>
      <c r="H330" s="537"/>
      <c r="I330" s="537"/>
      <c r="J330" s="537"/>
      <c r="K330" s="537"/>
      <c r="L330" s="537"/>
      <c r="M330" s="537"/>
      <c r="N330" s="537"/>
      <c r="O330" s="537"/>
      <c r="P330" s="1496">
        <f t="shared" si="29"/>
        <v>0</v>
      </c>
      <c r="Q330" s="667">
        <f t="shared" si="33"/>
        <v>0</v>
      </c>
      <c r="R330" s="1048"/>
      <c r="S330" s="1049">
        <v>126520</v>
      </c>
      <c r="T330" s="1049">
        <v>31770</v>
      </c>
      <c r="U330" s="1049">
        <v>32950</v>
      </c>
      <c r="V330" s="1049">
        <v>0</v>
      </c>
      <c r="W330" s="1049">
        <v>0</v>
      </c>
      <c r="X330" s="1049">
        <v>0</v>
      </c>
      <c r="Y330" s="1049">
        <v>0</v>
      </c>
      <c r="Z330" s="1049"/>
      <c r="AA330" s="1049"/>
      <c r="AB330" s="1049"/>
      <c r="AC330" s="1049"/>
      <c r="AD330" s="667">
        <f t="shared" si="36"/>
        <v>191240</v>
      </c>
      <c r="AE330" s="578">
        <f t="shared" si="35"/>
        <v>1</v>
      </c>
      <c r="AF330" s="579">
        <f t="shared" si="37"/>
        <v>134</v>
      </c>
    </row>
    <row r="331" spans="1:32" x14ac:dyDescent="0.3">
      <c r="A331" s="8" t="s">
        <v>407</v>
      </c>
      <c r="B331" s="653" t="s">
        <v>2588</v>
      </c>
      <c r="C331" s="495"/>
      <c r="D331" s="537"/>
      <c r="E331" s="537"/>
      <c r="F331" s="537"/>
      <c r="G331" s="537"/>
      <c r="H331" s="537"/>
      <c r="I331" s="537"/>
      <c r="J331" s="537"/>
      <c r="K331" s="537"/>
      <c r="L331" s="537"/>
      <c r="M331" s="537"/>
      <c r="N331" s="537"/>
      <c r="O331" s="537"/>
      <c r="P331" s="1496">
        <f t="shared" si="29"/>
        <v>0</v>
      </c>
      <c r="Q331" s="667">
        <f t="shared" si="33"/>
        <v>0</v>
      </c>
      <c r="R331" s="1048"/>
      <c r="S331" s="1049"/>
      <c r="T331" s="1049">
        <v>64920</v>
      </c>
      <c r="U331" s="1049">
        <v>0</v>
      </c>
      <c r="V331" s="1049">
        <v>0</v>
      </c>
      <c r="W331" s="1049">
        <v>0</v>
      </c>
      <c r="X331" s="1049">
        <v>0</v>
      </c>
      <c r="Y331" s="1049">
        <v>0</v>
      </c>
      <c r="Z331" s="1049"/>
      <c r="AA331" s="1049"/>
      <c r="AB331" s="1049"/>
      <c r="AC331" s="1049"/>
      <c r="AD331" s="667">
        <f t="shared" si="36"/>
        <v>64920</v>
      </c>
      <c r="AE331" s="578">
        <f t="shared" si="35"/>
        <v>1</v>
      </c>
      <c r="AF331" s="579">
        <f t="shared" si="37"/>
        <v>168</v>
      </c>
    </row>
    <row r="332" spans="1:32" x14ac:dyDescent="0.3">
      <c r="A332" s="8" t="s">
        <v>407</v>
      </c>
      <c r="B332" s="653" t="s">
        <v>2639</v>
      </c>
      <c r="C332" s="495"/>
      <c r="D332" s="537"/>
      <c r="E332" s="537"/>
      <c r="F332" s="537"/>
      <c r="G332" s="537"/>
      <c r="H332" s="537"/>
      <c r="I332" s="537"/>
      <c r="J332" s="537"/>
      <c r="K332" s="537"/>
      <c r="L332" s="537"/>
      <c r="M332" s="537"/>
      <c r="N332" s="537"/>
      <c r="O332" s="537"/>
      <c r="P332" s="1496">
        <f t="shared" si="29"/>
        <v>0</v>
      </c>
      <c r="Q332" s="667">
        <f t="shared" si="33"/>
        <v>0</v>
      </c>
      <c r="R332" s="1048"/>
      <c r="S332" s="1049"/>
      <c r="T332" s="1049">
        <v>162270</v>
      </c>
      <c r="U332" s="1049">
        <v>0</v>
      </c>
      <c r="V332" s="1049">
        <v>0</v>
      </c>
      <c r="W332" s="1049">
        <v>0</v>
      </c>
      <c r="X332" s="1049">
        <v>0</v>
      </c>
      <c r="Y332" s="1049">
        <v>0</v>
      </c>
      <c r="Z332" s="1049"/>
      <c r="AA332" s="1049"/>
      <c r="AB332" s="1049"/>
      <c r="AC332" s="1049"/>
      <c r="AD332" s="667">
        <f t="shared" si="36"/>
        <v>162270</v>
      </c>
      <c r="AE332" s="578">
        <f t="shared" si="35"/>
        <v>1</v>
      </c>
      <c r="AF332" s="579">
        <f t="shared" si="37"/>
        <v>139</v>
      </c>
    </row>
    <row r="333" spans="1:32" x14ac:dyDescent="0.3">
      <c r="A333" s="8" t="s">
        <v>407</v>
      </c>
      <c r="B333" s="653" t="s">
        <v>2808</v>
      </c>
      <c r="C333" s="495"/>
      <c r="D333" s="537"/>
      <c r="E333" s="537"/>
      <c r="F333" s="537"/>
      <c r="G333" s="537"/>
      <c r="H333" s="537"/>
      <c r="I333" s="537"/>
      <c r="J333" s="537"/>
      <c r="K333" s="537"/>
      <c r="L333" s="537"/>
      <c r="M333" s="537"/>
      <c r="N333" s="537"/>
      <c r="O333" s="537"/>
      <c r="P333" s="1496">
        <f t="shared" si="29"/>
        <v>0</v>
      </c>
      <c r="Q333" s="667">
        <f t="shared" si="33"/>
        <v>0</v>
      </c>
      <c r="R333" s="1048"/>
      <c r="S333" s="1049"/>
      <c r="T333" s="1049"/>
      <c r="U333" s="1049"/>
      <c r="V333" s="1049">
        <v>601400</v>
      </c>
      <c r="W333" s="1049">
        <v>1224560</v>
      </c>
      <c r="X333" s="1049">
        <v>0</v>
      </c>
      <c r="Y333" s="1049">
        <v>0</v>
      </c>
      <c r="Z333" s="1049"/>
      <c r="AA333" s="1049"/>
      <c r="AB333" s="1049"/>
      <c r="AC333" s="1049"/>
      <c r="AD333" s="667">
        <f t="shared" si="36"/>
        <v>1825960</v>
      </c>
      <c r="AE333" s="578">
        <f t="shared" si="35"/>
        <v>1</v>
      </c>
      <c r="AF333" s="579">
        <f t="shared" si="37"/>
        <v>35</v>
      </c>
    </row>
    <row r="334" spans="1:32" x14ac:dyDescent="0.3">
      <c r="A334" s="8" t="s">
        <v>407</v>
      </c>
      <c r="B334" s="653" t="s">
        <v>2946</v>
      </c>
      <c r="C334" s="495"/>
      <c r="D334" s="537"/>
      <c r="E334" s="537"/>
      <c r="F334" s="537"/>
      <c r="G334" s="537"/>
      <c r="H334" s="537"/>
      <c r="I334" s="537"/>
      <c r="J334" s="537"/>
      <c r="K334" s="537"/>
      <c r="L334" s="537"/>
      <c r="M334" s="537"/>
      <c r="N334" s="537"/>
      <c r="O334" s="537"/>
      <c r="P334" s="1496">
        <f t="shared" si="29"/>
        <v>0</v>
      </c>
      <c r="Q334" s="667">
        <f t="shared" si="33"/>
        <v>0</v>
      </c>
      <c r="R334" s="1048"/>
      <c r="S334" s="1049"/>
      <c r="T334" s="1049"/>
      <c r="U334" s="1049"/>
      <c r="V334" s="1049"/>
      <c r="W334" s="1049"/>
      <c r="X334" s="1049">
        <v>432730</v>
      </c>
      <c r="Y334" s="1049">
        <v>0</v>
      </c>
      <c r="Z334" s="1049"/>
      <c r="AA334" s="1049"/>
      <c r="AB334" s="1049"/>
      <c r="AC334" s="1049"/>
      <c r="AD334" s="667">
        <f t="shared" si="36"/>
        <v>432730</v>
      </c>
      <c r="AE334" s="578">
        <f t="shared" si="35"/>
        <v>1</v>
      </c>
      <c r="AF334" s="579">
        <f t="shared" si="37"/>
        <v>98</v>
      </c>
    </row>
    <row r="335" spans="1:32" x14ac:dyDescent="0.3">
      <c r="A335" s="10" t="s">
        <v>2405</v>
      </c>
      <c r="B335" s="654" t="s">
        <v>588</v>
      </c>
      <c r="C335" s="485">
        <v>1212800</v>
      </c>
      <c r="D335" s="489">
        <v>388250</v>
      </c>
      <c r="E335" s="1023" t="s">
        <v>251</v>
      </c>
      <c r="F335" s="489">
        <v>964970</v>
      </c>
      <c r="G335" s="489">
        <v>641000</v>
      </c>
      <c r="H335" s="489">
        <v>529820</v>
      </c>
      <c r="I335" s="489">
        <v>393060</v>
      </c>
      <c r="J335" s="489">
        <v>1080600</v>
      </c>
      <c r="K335" s="489">
        <v>808900</v>
      </c>
      <c r="L335" s="489">
        <v>159240</v>
      </c>
      <c r="M335" s="489">
        <v>1256840</v>
      </c>
      <c r="N335" s="489">
        <v>2643230</v>
      </c>
      <c r="O335" s="489">
        <v>1646200</v>
      </c>
      <c r="P335" s="1496">
        <f t="shared" si="29"/>
        <v>4938800</v>
      </c>
      <c r="Q335" s="668">
        <f t="shared" si="33"/>
        <v>10916010</v>
      </c>
      <c r="R335" s="1032">
        <v>2917330</v>
      </c>
      <c r="S335" s="1033">
        <v>678100</v>
      </c>
      <c r="T335" s="1033">
        <v>1306900</v>
      </c>
      <c r="U335" s="1033">
        <v>1540820</v>
      </c>
      <c r="V335" s="1033">
        <v>1811860</v>
      </c>
      <c r="W335" s="1033">
        <v>632400</v>
      </c>
      <c r="X335" s="1033">
        <v>470370</v>
      </c>
      <c r="Y335" s="1033">
        <v>317000</v>
      </c>
      <c r="Z335" s="1033"/>
      <c r="AA335" s="1033"/>
      <c r="AB335" s="1033"/>
      <c r="AC335" s="1033"/>
      <c r="AD335" s="668">
        <f t="shared" si="36"/>
        <v>9674780</v>
      </c>
      <c r="AE335" s="565">
        <f t="shared" si="35"/>
        <v>0.9589333441321779</v>
      </c>
      <c r="AF335" s="566">
        <f t="shared" si="37"/>
        <v>6</v>
      </c>
    </row>
    <row r="336" spans="1:32" x14ac:dyDescent="0.3">
      <c r="A336" s="10" t="s">
        <v>2405</v>
      </c>
      <c r="B336" s="654" t="s">
        <v>434</v>
      </c>
      <c r="C336" s="485">
        <v>182370</v>
      </c>
      <c r="D336" s="489" t="s">
        <v>251</v>
      </c>
      <c r="E336" s="489">
        <v>832370</v>
      </c>
      <c r="F336" s="489">
        <v>329660</v>
      </c>
      <c r="G336" s="489">
        <v>1394590</v>
      </c>
      <c r="H336" s="489">
        <v>505530</v>
      </c>
      <c r="I336" s="489">
        <v>410600</v>
      </c>
      <c r="J336" s="489" t="s">
        <v>251</v>
      </c>
      <c r="K336" s="489">
        <v>0</v>
      </c>
      <c r="L336" s="489">
        <v>460740</v>
      </c>
      <c r="M336" s="489">
        <v>775640</v>
      </c>
      <c r="N336" s="489">
        <v>333420</v>
      </c>
      <c r="O336" s="489">
        <v>1199680</v>
      </c>
      <c r="P336" s="1496">
        <f t="shared" ref="P336:P399" si="38">SUM(C336:I336,K336)</f>
        <v>3655120</v>
      </c>
      <c r="Q336" s="668">
        <f t="shared" si="33"/>
        <v>6424600</v>
      </c>
      <c r="R336" s="1032">
        <v>406710</v>
      </c>
      <c r="S336" s="1033">
        <v>181540</v>
      </c>
      <c r="T336" s="1033">
        <v>0</v>
      </c>
      <c r="U336" s="1033">
        <v>565620</v>
      </c>
      <c r="V336" s="1033">
        <v>730820</v>
      </c>
      <c r="W336" s="1033">
        <v>542440</v>
      </c>
      <c r="X336" s="1033">
        <v>184610</v>
      </c>
      <c r="Y336" s="1033">
        <v>0</v>
      </c>
      <c r="Z336" s="1033"/>
      <c r="AA336" s="1033"/>
      <c r="AB336" s="1033"/>
      <c r="AC336" s="1033"/>
      <c r="AD336" s="668">
        <f t="shared" si="36"/>
        <v>2611740</v>
      </c>
      <c r="AE336" s="565">
        <f t="shared" si="35"/>
        <v>-0.28545711221519404</v>
      </c>
      <c r="AF336" s="566">
        <f t="shared" si="37"/>
        <v>28</v>
      </c>
    </row>
    <row r="337" spans="1:32" x14ac:dyDescent="0.3">
      <c r="A337" s="10" t="s">
        <v>2405</v>
      </c>
      <c r="B337" s="654" t="s">
        <v>435</v>
      </c>
      <c r="C337" s="485" t="s">
        <v>251</v>
      </c>
      <c r="D337" s="489" t="s">
        <v>251</v>
      </c>
      <c r="E337" s="489">
        <v>548030</v>
      </c>
      <c r="F337" s="489">
        <v>1886060</v>
      </c>
      <c r="G337" s="489">
        <v>140560</v>
      </c>
      <c r="H337" s="489" t="s">
        <v>251</v>
      </c>
      <c r="I337" s="489" t="s">
        <v>251</v>
      </c>
      <c r="J337" s="489">
        <v>138490</v>
      </c>
      <c r="K337" s="489">
        <v>138490</v>
      </c>
      <c r="L337" s="489">
        <v>1326890</v>
      </c>
      <c r="M337" s="489">
        <v>143250</v>
      </c>
      <c r="N337" s="489">
        <v>1258760</v>
      </c>
      <c r="O337" s="489">
        <v>1723080</v>
      </c>
      <c r="P337" s="1496">
        <f t="shared" si="38"/>
        <v>2713140</v>
      </c>
      <c r="Q337" s="668">
        <f t="shared" si="33"/>
        <v>7165120</v>
      </c>
      <c r="R337" s="1032" t="s">
        <v>251</v>
      </c>
      <c r="S337" s="1033">
        <v>229630</v>
      </c>
      <c r="T337" s="1033">
        <v>346750</v>
      </c>
      <c r="U337" s="1033">
        <v>1379120</v>
      </c>
      <c r="V337" s="1033">
        <v>0</v>
      </c>
      <c r="W337" s="1033">
        <v>0</v>
      </c>
      <c r="X337" s="1033">
        <v>0</v>
      </c>
      <c r="Y337" s="1033">
        <v>0</v>
      </c>
      <c r="Z337" s="1033"/>
      <c r="AA337" s="1033"/>
      <c r="AB337" s="1033"/>
      <c r="AC337" s="1033"/>
      <c r="AD337" s="668">
        <f t="shared" si="36"/>
        <v>1955500</v>
      </c>
      <c r="AE337" s="565">
        <f t="shared" si="35"/>
        <v>-0.27924839853453931</v>
      </c>
      <c r="AF337" s="566">
        <f t="shared" si="37"/>
        <v>33</v>
      </c>
    </row>
    <row r="338" spans="1:32" x14ac:dyDescent="0.3">
      <c r="A338" s="10" t="s">
        <v>2405</v>
      </c>
      <c r="B338" s="654" t="s">
        <v>436</v>
      </c>
      <c r="C338" s="485">
        <v>267780</v>
      </c>
      <c r="D338" s="489">
        <v>321230</v>
      </c>
      <c r="E338" s="489">
        <v>464600</v>
      </c>
      <c r="F338" s="489" t="s">
        <v>251</v>
      </c>
      <c r="G338" s="489">
        <v>294840</v>
      </c>
      <c r="H338" s="489" t="s">
        <v>251</v>
      </c>
      <c r="I338" s="489" t="s">
        <v>251</v>
      </c>
      <c r="J338" s="489" t="s">
        <v>251</v>
      </c>
      <c r="K338" s="489">
        <v>0</v>
      </c>
      <c r="L338" s="489" t="s">
        <v>251</v>
      </c>
      <c r="M338" s="489" t="s">
        <v>251</v>
      </c>
      <c r="N338" s="489">
        <v>0</v>
      </c>
      <c r="O338" s="489">
        <v>374490</v>
      </c>
      <c r="P338" s="1496">
        <f t="shared" si="38"/>
        <v>1348450</v>
      </c>
      <c r="Q338" s="668">
        <f t="shared" si="33"/>
        <v>1722940</v>
      </c>
      <c r="R338" s="1032">
        <v>982730</v>
      </c>
      <c r="S338" s="1033" t="s">
        <v>251</v>
      </c>
      <c r="T338" s="1033">
        <v>0</v>
      </c>
      <c r="U338" s="1033">
        <v>182660</v>
      </c>
      <c r="V338" s="1033">
        <v>346860</v>
      </c>
      <c r="W338" s="1033">
        <v>0</v>
      </c>
      <c r="X338" s="1033">
        <v>0</v>
      </c>
      <c r="Y338" s="1033">
        <v>300880</v>
      </c>
      <c r="Z338" s="1033"/>
      <c r="AA338" s="1033"/>
      <c r="AB338" s="1033"/>
      <c r="AC338" s="1033"/>
      <c r="AD338" s="668">
        <f t="shared" si="36"/>
        <v>1813130</v>
      </c>
      <c r="AE338" s="565">
        <f t="shared" si="35"/>
        <v>0.34460306277577962</v>
      </c>
      <c r="AF338" s="566">
        <f t="shared" si="37"/>
        <v>36</v>
      </c>
    </row>
    <row r="339" spans="1:32" x14ac:dyDescent="0.3">
      <c r="A339" s="10" t="s">
        <v>2405</v>
      </c>
      <c r="B339" s="654" t="s">
        <v>509</v>
      </c>
      <c r="C339" s="485">
        <v>143710</v>
      </c>
      <c r="D339" s="489">
        <v>463490</v>
      </c>
      <c r="E339" s="489">
        <v>191650</v>
      </c>
      <c r="F339" s="489" t="s">
        <v>251</v>
      </c>
      <c r="G339" s="489" t="s">
        <v>251</v>
      </c>
      <c r="H339" s="489">
        <v>646870</v>
      </c>
      <c r="I339" s="489">
        <v>162990</v>
      </c>
      <c r="J339" s="489">
        <v>95140</v>
      </c>
      <c r="K339" s="489">
        <v>95140</v>
      </c>
      <c r="L339" s="489">
        <v>153380</v>
      </c>
      <c r="M339" s="489">
        <v>776070</v>
      </c>
      <c r="N339" s="489">
        <v>0</v>
      </c>
      <c r="O339" s="489">
        <v>285370</v>
      </c>
      <c r="P339" s="1496">
        <f t="shared" si="38"/>
        <v>1703850</v>
      </c>
      <c r="Q339" s="668">
        <f t="shared" si="33"/>
        <v>2918670</v>
      </c>
      <c r="R339" s="1032" t="s">
        <v>251</v>
      </c>
      <c r="S339" s="1033">
        <v>336670</v>
      </c>
      <c r="T339" s="1033">
        <v>747990</v>
      </c>
      <c r="U339" s="1033">
        <v>0</v>
      </c>
      <c r="V339" s="1033">
        <v>0</v>
      </c>
      <c r="W339" s="1033">
        <v>283900</v>
      </c>
      <c r="X339" s="1033">
        <v>458710</v>
      </c>
      <c r="Y339" s="1033">
        <v>0</v>
      </c>
      <c r="Z339" s="1033"/>
      <c r="AA339" s="1033"/>
      <c r="AB339" s="1033"/>
      <c r="AC339" s="1033"/>
      <c r="AD339" s="668">
        <f t="shared" si="36"/>
        <v>1827270</v>
      </c>
      <c r="AE339" s="565">
        <f t="shared" si="35"/>
        <v>7.2435953869178629E-2</v>
      </c>
      <c r="AF339" s="566">
        <f t="shared" si="37"/>
        <v>34</v>
      </c>
    </row>
    <row r="340" spans="1:32" x14ac:dyDescent="0.3">
      <c r="A340" s="10" t="s">
        <v>2405</v>
      </c>
      <c r="B340" s="654" t="s">
        <v>437</v>
      </c>
      <c r="C340" s="485">
        <v>262620</v>
      </c>
      <c r="D340" s="489" t="s">
        <v>251</v>
      </c>
      <c r="E340" s="489" t="s">
        <v>251</v>
      </c>
      <c r="F340" s="489" t="s">
        <v>251</v>
      </c>
      <c r="G340" s="489" t="s">
        <v>251</v>
      </c>
      <c r="H340" s="489">
        <v>1452510</v>
      </c>
      <c r="I340" s="489">
        <v>264660</v>
      </c>
      <c r="J340" s="489">
        <v>44420</v>
      </c>
      <c r="K340" s="489">
        <v>58300</v>
      </c>
      <c r="L340" s="489" t="s">
        <v>251</v>
      </c>
      <c r="M340" s="489" t="s">
        <v>251</v>
      </c>
      <c r="N340" s="489">
        <v>977060</v>
      </c>
      <c r="O340" s="489">
        <v>283620</v>
      </c>
      <c r="P340" s="1496">
        <f t="shared" si="38"/>
        <v>2038090</v>
      </c>
      <c r="Q340" s="668">
        <f t="shared" si="33"/>
        <v>3284890</v>
      </c>
      <c r="R340" s="1032">
        <v>502450</v>
      </c>
      <c r="S340" s="1033" t="s">
        <v>251</v>
      </c>
      <c r="T340" s="1033">
        <v>0</v>
      </c>
      <c r="U340" s="1033">
        <v>247480</v>
      </c>
      <c r="V340" s="1033">
        <v>0</v>
      </c>
      <c r="W340" s="1033">
        <v>2275610</v>
      </c>
      <c r="X340" s="1033">
        <v>369480</v>
      </c>
      <c r="Y340" s="1033">
        <v>0</v>
      </c>
      <c r="Z340" s="1033"/>
      <c r="AA340" s="1033"/>
      <c r="AB340" s="1033"/>
      <c r="AC340" s="1033"/>
      <c r="AD340" s="668">
        <f t="shared" si="36"/>
        <v>3395020</v>
      </c>
      <c r="AE340" s="565">
        <f t="shared" si="35"/>
        <v>0.66578512234494058</v>
      </c>
      <c r="AF340" s="566">
        <f t="shared" si="37"/>
        <v>22</v>
      </c>
    </row>
    <row r="341" spans="1:32" x14ac:dyDescent="0.3">
      <c r="A341" s="10" t="s">
        <v>2405</v>
      </c>
      <c r="B341" s="654" t="s">
        <v>589</v>
      </c>
      <c r="C341" s="485" t="s">
        <v>251</v>
      </c>
      <c r="D341" s="489" t="s">
        <v>251</v>
      </c>
      <c r="E341" s="489">
        <v>139350</v>
      </c>
      <c r="F341" s="489" t="s">
        <v>251</v>
      </c>
      <c r="G341" s="489" t="s">
        <v>251</v>
      </c>
      <c r="H341" s="489" t="s">
        <v>251</v>
      </c>
      <c r="I341" s="489" t="s">
        <v>251</v>
      </c>
      <c r="J341" s="489" t="s">
        <v>251</v>
      </c>
      <c r="K341" s="489">
        <v>0</v>
      </c>
      <c r="L341" s="489">
        <v>210280</v>
      </c>
      <c r="M341" s="489">
        <v>128970</v>
      </c>
      <c r="N341" s="489">
        <v>160430</v>
      </c>
      <c r="O341" s="489">
        <v>0</v>
      </c>
      <c r="P341" s="1496">
        <f t="shared" si="38"/>
        <v>139350</v>
      </c>
      <c r="Q341" s="668">
        <f t="shared" si="33"/>
        <v>639030</v>
      </c>
      <c r="R341" s="1032" t="s">
        <v>251</v>
      </c>
      <c r="S341" s="1033" t="s">
        <v>251</v>
      </c>
      <c r="T341" s="1033">
        <v>113470</v>
      </c>
      <c r="U341" s="1033">
        <v>0</v>
      </c>
      <c r="V341" s="1033">
        <v>0</v>
      </c>
      <c r="W341" s="1033">
        <v>0</v>
      </c>
      <c r="X341" s="1033">
        <v>0</v>
      </c>
      <c r="Y341" s="1033">
        <v>0</v>
      </c>
      <c r="Z341" s="1033"/>
      <c r="AA341" s="1033"/>
      <c r="AB341" s="1033"/>
      <c r="AC341" s="1033"/>
      <c r="AD341" s="668">
        <f t="shared" si="36"/>
        <v>113470</v>
      </c>
      <c r="AE341" s="565">
        <f t="shared" si="35"/>
        <v>-0.18571941155364191</v>
      </c>
      <c r="AF341" s="566">
        <f t="shared" si="37"/>
        <v>154</v>
      </c>
    </row>
    <row r="342" spans="1:32" x14ac:dyDescent="0.3">
      <c r="A342" s="10" t="s">
        <v>2405</v>
      </c>
      <c r="B342" s="654" t="s">
        <v>438</v>
      </c>
      <c r="C342" s="485" t="s">
        <v>251</v>
      </c>
      <c r="D342" s="489" t="s">
        <v>251</v>
      </c>
      <c r="E342" s="489" t="s">
        <v>251</v>
      </c>
      <c r="F342" s="489" t="s">
        <v>251</v>
      </c>
      <c r="G342" s="489" t="s">
        <v>251</v>
      </c>
      <c r="H342" s="489" t="s">
        <v>251</v>
      </c>
      <c r="I342" s="489" t="s">
        <v>251</v>
      </c>
      <c r="J342" s="489" t="s">
        <v>251</v>
      </c>
      <c r="K342" s="489"/>
      <c r="L342" s="489" t="s">
        <v>251</v>
      </c>
      <c r="M342" s="489" t="s">
        <v>251</v>
      </c>
      <c r="N342" s="489" t="s">
        <v>251</v>
      </c>
      <c r="O342" s="489" t="s">
        <v>251</v>
      </c>
      <c r="P342" s="1496">
        <f t="shared" si="38"/>
        <v>0</v>
      </c>
      <c r="Q342" s="668">
        <f t="shared" si="33"/>
        <v>0</v>
      </c>
      <c r="R342" s="1032" t="s">
        <v>251</v>
      </c>
      <c r="S342" s="1033" t="s">
        <v>251</v>
      </c>
      <c r="T342" s="1033" t="s">
        <v>251</v>
      </c>
      <c r="U342" s="1033"/>
      <c r="V342" s="1033"/>
      <c r="W342" s="1033"/>
      <c r="X342" s="1033"/>
      <c r="Y342" s="1033"/>
      <c r="Z342" s="1033"/>
      <c r="AA342" s="1033"/>
      <c r="AB342" s="1033"/>
      <c r="AC342" s="1033"/>
      <c r="AD342" s="668">
        <f t="shared" si="36"/>
        <v>0</v>
      </c>
      <c r="AE342" s="565">
        <f t="shared" si="35"/>
        <v>0</v>
      </c>
      <c r="AF342" s="566">
        <f t="shared" si="37"/>
        <v>189</v>
      </c>
    </row>
    <row r="343" spans="1:32" x14ac:dyDescent="0.3">
      <c r="A343" s="10" t="s">
        <v>2405</v>
      </c>
      <c r="B343" s="654" t="s">
        <v>2947</v>
      </c>
      <c r="C343" s="485"/>
      <c r="D343" s="489"/>
      <c r="E343" s="489"/>
      <c r="F343" s="489"/>
      <c r="G343" s="489"/>
      <c r="H343" s="489"/>
      <c r="I343" s="489"/>
      <c r="J343" s="489"/>
      <c r="K343" s="489"/>
      <c r="L343" s="489"/>
      <c r="M343" s="489"/>
      <c r="N343" s="489"/>
      <c r="O343" s="489"/>
      <c r="P343" s="1496">
        <f t="shared" si="38"/>
        <v>0</v>
      </c>
      <c r="Q343" s="668">
        <f t="shared" si="33"/>
        <v>0</v>
      </c>
      <c r="R343" s="1032"/>
      <c r="S343" s="1033"/>
      <c r="T343" s="1033"/>
      <c r="U343" s="1033"/>
      <c r="V343" s="1033"/>
      <c r="W343" s="1033"/>
      <c r="X343" s="1033">
        <v>216720</v>
      </c>
      <c r="Y343" s="1033">
        <v>0</v>
      </c>
      <c r="Z343" s="1033"/>
      <c r="AA343" s="1033"/>
      <c r="AB343" s="1033"/>
      <c r="AC343" s="1033"/>
      <c r="AD343" s="668">
        <f t="shared" si="36"/>
        <v>216720</v>
      </c>
      <c r="AE343" s="565">
        <f t="shared" si="35"/>
        <v>1</v>
      </c>
      <c r="AF343" s="566">
        <f t="shared" si="37"/>
        <v>130</v>
      </c>
    </row>
    <row r="344" spans="1:32" x14ac:dyDescent="0.3">
      <c r="A344" s="12" t="s">
        <v>439</v>
      </c>
      <c r="B344" s="655" t="s">
        <v>440</v>
      </c>
      <c r="C344" s="486"/>
      <c r="D344" s="487">
        <v>2436840</v>
      </c>
      <c r="E344" s="487">
        <v>1209260</v>
      </c>
      <c r="F344" s="487">
        <v>0</v>
      </c>
      <c r="G344" s="487">
        <v>0</v>
      </c>
      <c r="H344" s="487">
        <v>0</v>
      </c>
      <c r="I344" s="487">
        <v>0</v>
      </c>
      <c r="J344" s="487">
        <v>0</v>
      </c>
      <c r="K344" s="487">
        <v>0</v>
      </c>
      <c r="L344" s="487">
        <v>585390</v>
      </c>
      <c r="M344" s="487">
        <v>0</v>
      </c>
      <c r="N344" s="487">
        <v>0</v>
      </c>
      <c r="O344" s="487">
        <v>0</v>
      </c>
      <c r="P344" s="1496">
        <f t="shared" si="38"/>
        <v>3646100</v>
      </c>
      <c r="Q344" s="640">
        <f t="shared" si="33"/>
        <v>4231490</v>
      </c>
      <c r="R344" s="559" t="s">
        <v>251</v>
      </c>
      <c r="S344" s="561" t="s">
        <v>251</v>
      </c>
      <c r="T344" s="561" t="s">
        <v>251</v>
      </c>
      <c r="U344" s="561"/>
      <c r="V344" s="561"/>
      <c r="W344" s="561"/>
      <c r="X344" s="561"/>
      <c r="Y344" s="561"/>
      <c r="Z344" s="561"/>
      <c r="AA344" s="561"/>
      <c r="AB344" s="561"/>
      <c r="AC344" s="561"/>
      <c r="AD344" s="640">
        <f t="shared" si="36"/>
        <v>0</v>
      </c>
      <c r="AE344" s="568">
        <f t="shared" si="35"/>
        <v>-1</v>
      </c>
      <c r="AF344" s="569">
        <f t="shared" si="37"/>
        <v>189</v>
      </c>
    </row>
    <row r="345" spans="1:32" x14ac:dyDescent="0.3">
      <c r="A345" s="12" t="s">
        <v>439</v>
      </c>
      <c r="B345" s="655" t="s">
        <v>579</v>
      </c>
      <c r="C345" s="486"/>
      <c r="D345" s="487">
        <v>0</v>
      </c>
      <c r="E345" s="487">
        <v>908600</v>
      </c>
      <c r="F345" s="487">
        <v>630630</v>
      </c>
      <c r="G345" s="487">
        <v>421420</v>
      </c>
      <c r="H345" s="487">
        <v>0</v>
      </c>
      <c r="I345" s="487">
        <v>315960</v>
      </c>
      <c r="J345" s="487">
        <v>0</v>
      </c>
      <c r="K345" s="487">
        <v>0</v>
      </c>
      <c r="L345" s="487">
        <v>107210</v>
      </c>
      <c r="M345" s="487">
        <v>274110</v>
      </c>
      <c r="N345" s="487">
        <v>264800</v>
      </c>
      <c r="O345" s="487">
        <v>204620</v>
      </c>
      <c r="P345" s="1496">
        <f t="shared" si="38"/>
        <v>2276610</v>
      </c>
      <c r="Q345" s="640">
        <f t="shared" si="33"/>
        <v>3127350</v>
      </c>
      <c r="R345" s="559" t="s">
        <v>251</v>
      </c>
      <c r="S345" s="561">
        <v>216680</v>
      </c>
      <c r="T345" s="561">
        <v>241020</v>
      </c>
      <c r="U345" s="561">
        <v>0</v>
      </c>
      <c r="V345" s="561">
        <v>0</v>
      </c>
      <c r="W345" s="561">
        <v>0</v>
      </c>
      <c r="X345" s="561">
        <v>0</v>
      </c>
      <c r="Y345" s="561">
        <v>0</v>
      </c>
      <c r="Z345" s="561"/>
      <c r="AA345" s="561"/>
      <c r="AB345" s="561"/>
      <c r="AC345" s="561"/>
      <c r="AD345" s="640">
        <f t="shared" si="36"/>
        <v>457700</v>
      </c>
      <c r="AE345" s="568">
        <f t="shared" si="35"/>
        <v>-0.79895546448447474</v>
      </c>
      <c r="AF345" s="569">
        <f t="shared" si="37"/>
        <v>96</v>
      </c>
    </row>
    <row r="346" spans="1:32" x14ac:dyDescent="0.3">
      <c r="A346" s="12" t="s">
        <v>439</v>
      </c>
      <c r="B346" s="655" t="s">
        <v>563</v>
      </c>
      <c r="C346" s="486"/>
      <c r="D346" s="487">
        <v>0</v>
      </c>
      <c r="E346" s="487">
        <v>0</v>
      </c>
      <c r="F346" s="487">
        <v>510580</v>
      </c>
      <c r="G346" s="487">
        <v>0</v>
      </c>
      <c r="H346" s="487">
        <v>0</v>
      </c>
      <c r="I346" s="487">
        <v>0</v>
      </c>
      <c r="J346" s="487">
        <v>0</v>
      </c>
      <c r="K346" s="487">
        <v>0</v>
      </c>
      <c r="L346" s="487">
        <v>0</v>
      </c>
      <c r="M346" s="487">
        <v>0</v>
      </c>
      <c r="N346" s="487">
        <v>0</v>
      </c>
      <c r="O346" s="487">
        <v>143720</v>
      </c>
      <c r="P346" s="1496">
        <f t="shared" si="38"/>
        <v>510580</v>
      </c>
      <c r="Q346" s="640">
        <f t="shared" si="33"/>
        <v>654300</v>
      </c>
      <c r="R346" s="559" t="s">
        <v>251</v>
      </c>
      <c r="S346" s="561" t="s">
        <v>251</v>
      </c>
      <c r="T346" s="561" t="s">
        <v>251</v>
      </c>
      <c r="U346" s="561"/>
      <c r="V346" s="561"/>
      <c r="W346" s="561"/>
      <c r="X346" s="561"/>
      <c r="Y346" s="561"/>
      <c r="Z346" s="561"/>
      <c r="AA346" s="561"/>
      <c r="AB346" s="561"/>
      <c r="AC346" s="561"/>
      <c r="AD346" s="640">
        <f t="shared" si="36"/>
        <v>0</v>
      </c>
      <c r="AE346" s="568">
        <f t="shared" si="35"/>
        <v>-1</v>
      </c>
      <c r="AF346" s="569">
        <f t="shared" si="37"/>
        <v>189</v>
      </c>
    </row>
    <row r="347" spans="1:32" x14ac:dyDescent="0.3">
      <c r="A347" s="12" t="s">
        <v>439</v>
      </c>
      <c r="B347" s="655" t="s">
        <v>578</v>
      </c>
      <c r="C347" s="486"/>
      <c r="D347" s="487">
        <v>0</v>
      </c>
      <c r="E347" s="487">
        <v>0</v>
      </c>
      <c r="F347" s="487">
        <v>351810</v>
      </c>
      <c r="G347" s="487">
        <v>0</v>
      </c>
      <c r="H347" s="487">
        <v>0</v>
      </c>
      <c r="I347" s="487">
        <v>0</v>
      </c>
      <c r="J347" s="487">
        <v>332460</v>
      </c>
      <c r="K347" s="487">
        <v>332460</v>
      </c>
      <c r="L347" s="487">
        <v>0</v>
      </c>
      <c r="M347" s="487">
        <v>0</v>
      </c>
      <c r="N347" s="487">
        <v>0</v>
      </c>
      <c r="O347" s="487">
        <v>0</v>
      </c>
      <c r="P347" s="1496">
        <f t="shared" si="38"/>
        <v>684270</v>
      </c>
      <c r="Q347" s="640">
        <f t="shared" si="33"/>
        <v>684270</v>
      </c>
      <c r="R347" s="559" t="s">
        <v>251</v>
      </c>
      <c r="S347" s="561" t="s">
        <v>251</v>
      </c>
      <c r="T347" s="561" t="s">
        <v>251</v>
      </c>
      <c r="U347" s="561"/>
      <c r="V347" s="561"/>
      <c r="W347" s="561"/>
      <c r="X347" s="561"/>
      <c r="Y347" s="561"/>
      <c r="Z347" s="561"/>
      <c r="AA347" s="561"/>
      <c r="AB347" s="561"/>
      <c r="AC347" s="561"/>
      <c r="AD347" s="640">
        <f t="shared" si="36"/>
        <v>0</v>
      </c>
      <c r="AE347" s="568">
        <f t="shared" si="35"/>
        <v>-1</v>
      </c>
      <c r="AF347" s="569">
        <f t="shared" si="37"/>
        <v>189</v>
      </c>
    </row>
    <row r="348" spans="1:32" x14ac:dyDescent="0.3">
      <c r="A348" s="12" t="s">
        <v>439</v>
      </c>
      <c r="B348" s="655" t="s">
        <v>576</v>
      </c>
      <c r="C348" s="486"/>
      <c r="D348" s="487">
        <v>44300</v>
      </c>
      <c r="E348" s="487">
        <v>113040</v>
      </c>
      <c r="F348" s="487">
        <v>64350</v>
      </c>
      <c r="G348" s="487">
        <v>0</v>
      </c>
      <c r="H348" s="487">
        <v>0</v>
      </c>
      <c r="I348" s="487">
        <v>0</v>
      </c>
      <c r="J348" s="487">
        <v>0</v>
      </c>
      <c r="K348" s="487">
        <v>0</v>
      </c>
      <c r="L348" s="487">
        <v>0</v>
      </c>
      <c r="M348" s="487">
        <v>0</v>
      </c>
      <c r="N348" s="487">
        <v>0</v>
      </c>
      <c r="O348" s="487">
        <v>0</v>
      </c>
      <c r="P348" s="1496">
        <f t="shared" si="38"/>
        <v>221690</v>
      </c>
      <c r="Q348" s="640">
        <f t="shared" ref="Q348:Q349" si="39">SUM(C348:J348,L348:O348)</f>
        <v>221690</v>
      </c>
      <c r="R348" s="559" t="s">
        <v>251</v>
      </c>
      <c r="S348" s="561" t="s">
        <v>251</v>
      </c>
      <c r="T348" s="561" t="s">
        <v>251</v>
      </c>
      <c r="U348" s="561"/>
      <c r="V348" s="561"/>
      <c r="W348" s="561"/>
      <c r="X348" s="561"/>
      <c r="Y348" s="561"/>
      <c r="Z348" s="561"/>
      <c r="AA348" s="561"/>
      <c r="AB348" s="561"/>
      <c r="AC348" s="561"/>
      <c r="AD348" s="640">
        <f t="shared" si="36"/>
        <v>0</v>
      </c>
      <c r="AE348" s="568">
        <f t="shared" si="35"/>
        <v>-1</v>
      </c>
      <c r="AF348" s="569">
        <f t="shared" si="37"/>
        <v>189</v>
      </c>
    </row>
    <row r="349" spans="1:32" x14ac:dyDescent="0.3">
      <c r="A349" s="12" t="s">
        <v>439</v>
      </c>
      <c r="B349" s="655" t="s">
        <v>441</v>
      </c>
      <c r="C349" s="486"/>
      <c r="D349" s="487">
        <v>0</v>
      </c>
      <c r="E349" s="487">
        <v>0</v>
      </c>
      <c r="F349" s="487">
        <v>185560</v>
      </c>
      <c r="G349" s="487">
        <v>0</v>
      </c>
      <c r="H349" s="487">
        <v>0</v>
      </c>
      <c r="I349" s="487">
        <v>0</v>
      </c>
      <c r="J349" s="487">
        <v>167910</v>
      </c>
      <c r="K349" s="487">
        <v>167910</v>
      </c>
      <c r="L349" s="487">
        <v>0</v>
      </c>
      <c r="M349" s="487">
        <v>0</v>
      </c>
      <c r="N349" s="487">
        <v>0</v>
      </c>
      <c r="O349" s="487">
        <v>0</v>
      </c>
      <c r="P349" s="1496">
        <f t="shared" si="38"/>
        <v>353470</v>
      </c>
      <c r="Q349" s="640">
        <f t="shared" si="39"/>
        <v>353470</v>
      </c>
      <c r="R349" s="559" t="s">
        <v>251</v>
      </c>
      <c r="S349" s="561" t="s">
        <v>251</v>
      </c>
      <c r="T349" s="561" t="s">
        <v>251</v>
      </c>
      <c r="U349" s="561"/>
      <c r="V349" s="561"/>
      <c r="W349" s="561"/>
      <c r="X349" s="561"/>
      <c r="Y349" s="561"/>
      <c r="Z349" s="561"/>
      <c r="AA349" s="561"/>
      <c r="AB349" s="561"/>
      <c r="AC349" s="561"/>
      <c r="AD349" s="640">
        <f t="shared" si="36"/>
        <v>0</v>
      </c>
      <c r="AE349" s="568">
        <f t="shared" si="35"/>
        <v>-1</v>
      </c>
      <c r="AF349" s="569">
        <f t="shared" si="37"/>
        <v>189</v>
      </c>
    </row>
    <row r="350" spans="1:32" x14ac:dyDescent="0.3">
      <c r="A350" s="12" t="s">
        <v>439</v>
      </c>
      <c r="B350" s="655" t="s">
        <v>590</v>
      </c>
      <c r="C350" s="486"/>
      <c r="D350" s="487">
        <v>0</v>
      </c>
      <c r="E350" s="487">
        <v>0</v>
      </c>
      <c r="F350" s="487">
        <v>0</v>
      </c>
      <c r="G350" s="487">
        <v>184680</v>
      </c>
      <c r="H350" s="487">
        <v>110050</v>
      </c>
      <c r="I350" s="487">
        <v>0</v>
      </c>
      <c r="J350" s="487">
        <v>0</v>
      </c>
      <c r="K350" s="487">
        <v>0</v>
      </c>
      <c r="L350" s="487">
        <v>0</v>
      </c>
      <c r="M350" s="487">
        <v>0</v>
      </c>
      <c r="N350" s="487">
        <v>0</v>
      </c>
      <c r="O350" s="487">
        <v>0</v>
      </c>
      <c r="P350" s="1496">
        <f t="shared" si="38"/>
        <v>294730</v>
      </c>
      <c r="Q350" s="640">
        <f>SUM(C350:J350,L350:O350)</f>
        <v>294730</v>
      </c>
      <c r="R350" s="559" t="s">
        <v>251</v>
      </c>
      <c r="S350" s="561" t="s">
        <v>251</v>
      </c>
      <c r="T350" s="561" t="s">
        <v>251</v>
      </c>
      <c r="U350" s="561"/>
      <c r="V350" s="561"/>
      <c r="W350" s="561"/>
      <c r="X350" s="561"/>
      <c r="Y350" s="561"/>
      <c r="Z350" s="561"/>
      <c r="AA350" s="561"/>
      <c r="AB350" s="561"/>
      <c r="AC350" s="561"/>
      <c r="AD350" s="640">
        <f t="shared" si="36"/>
        <v>0</v>
      </c>
      <c r="AE350" s="568">
        <f t="shared" si="35"/>
        <v>-1</v>
      </c>
      <c r="AF350" s="569">
        <f t="shared" si="37"/>
        <v>189</v>
      </c>
    </row>
    <row r="351" spans="1:32" x14ac:dyDescent="0.3">
      <c r="A351" s="12" t="s">
        <v>439</v>
      </c>
      <c r="B351" s="655" t="s">
        <v>442</v>
      </c>
      <c r="C351" s="486"/>
      <c r="D351" s="487">
        <v>174960</v>
      </c>
      <c r="E351" s="487">
        <v>0</v>
      </c>
      <c r="F351" s="487">
        <v>0</v>
      </c>
      <c r="G351" s="487">
        <v>0</v>
      </c>
      <c r="H351" s="487">
        <v>0</v>
      </c>
      <c r="I351" s="487">
        <v>0</v>
      </c>
      <c r="J351" s="487">
        <v>0</v>
      </c>
      <c r="K351" s="487">
        <v>0</v>
      </c>
      <c r="L351" s="487">
        <v>0</v>
      </c>
      <c r="M351" s="487">
        <v>0</v>
      </c>
      <c r="N351" s="487">
        <v>0</v>
      </c>
      <c r="O351" s="487">
        <v>0</v>
      </c>
      <c r="P351" s="1496">
        <f t="shared" si="38"/>
        <v>174960</v>
      </c>
      <c r="Q351" s="640">
        <f t="shared" ref="Q351:Q415" si="40">SUM(C351:J351,L351:O351)</f>
        <v>174960</v>
      </c>
      <c r="R351" s="559" t="s">
        <v>251</v>
      </c>
      <c r="S351" s="561" t="s">
        <v>251</v>
      </c>
      <c r="T351" s="561" t="s">
        <v>251</v>
      </c>
      <c r="U351" s="561"/>
      <c r="V351" s="561"/>
      <c r="W351" s="561"/>
      <c r="X351" s="561"/>
      <c r="Y351" s="561"/>
      <c r="Z351" s="561"/>
      <c r="AA351" s="561"/>
      <c r="AB351" s="561"/>
      <c r="AC351" s="561"/>
      <c r="AD351" s="640">
        <f t="shared" si="36"/>
        <v>0</v>
      </c>
      <c r="AE351" s="568">
        <f t="shared" si="35"/>
        <v>-1</v>
      </c>
      <c r="AF351" s="569">
        <f t="shared" ref="AF351:AF382" si="41">IFERROR(_xlfn.RANK.EQ(AD351, $AD$2:$AD$483), "")</f>
        <v>189</v>
      </c>
    </row>
    <row r="352" spans="1:32" x14ac:dyDescent="0.3">
      <c r="A352" s="12" t="s">
        <v>439</v>
      </c>
      <c r="B352" s="655" t="s">
        <v>560</v>
      </c>
      <c r="C352" s="486">
        <v>112080</v>
      </c>
      <c r="D352" s="487">
        <v>0</v>
      </c>
      <c r="E352" s="487">
        <v>0</v>
      </c>
      <c r="F352" s="487">
        <v>58820</v>
      </c>
      <c r="G352" s="487">
        <v>0</v>
      </c>
      <c r="H352" s="487">
        <v>0</v>
      </c>
      <c r="I352" s="487">
        <v>0</v>
      </c>
      <c r="J352" s="487">
        <v>0</v>
      </c>
      <c r="K352" s="487">
        <v>0</v>
      </c>
      <c r="L352" s="487">
        <v>0</v>
      </c>
      <c r="M352" s="487">
        <v>0</v>
      </c>
      <c r="N352" s="487">
        <v>0</v>
      </c>
      <c r="O352" s="487">
        <v>0</v>
      </c>
      <c r="P352" s="1496">
        <f t="shared" si="38"/>
        <v>170900</v>
      </c>
      <c r="Q352" s="640">
        <f t="shared" si="40"/>
        <v>170900</v>
      </c>
      <c r="R352" s="559" t="s">
        <v>251</v>
      </c>
      <c r="S352" s="561" t="s">
        <v>251</v>
      </c>
      <c r="T352" s="561" t="s">
        <v>251</v>
      </c>
      <c r="U352" s="561"/>
      <c r="V352" s="561"/>
      <c r="W352" s="561"/>
      <c r="X352" s="561"/>
      <c r="Y352" s="561"/>
      <c r="Z352" s="561"/>
      <c r="AA352" s="561"/>
      <c r="AB352" s="561"/>
      <c r="AC352" s="561"/>
      <c r="AD352" s="640">
        <f t="shared" si="36"/>
        <v>0</v>
      </c>
      <c r="AE352" s="568">
        <f t="shared" si="35"/>
        <v>-1</v>
      </c>
      <c r="AF352" s="569">
        <f t="shared" si="41"/>
        <v>189</v>
      </c>
    </row>
    <row r="353" spans="1:32" x14ac:dyDescent="0.3">
      <c r="A353" s="12" t="s">
        <v>439</v>
      </c>
      <c r="B353" s="655" t="s">
        <v>443</v>
      </c>
      <c r="C353" s="486"/>
      <c r="D353" s="487">
        <v>0</v>
      </c>
      <c r="E353" s="487">
        <v>0</v>
      </c>
      <c r="F353" s="487">
        <v>0</v>
      </c>
      <c r="G353" s="487">
        <v>165760</v>
      </c>
      <c r="H353" s="487">
        <v>355400</v>
      </c>
      <c r="I353" s="487">
        <v>0</v>
      </c>
      <c r="J353" s="487">
        <v>0</v>
      </c>
      <c r="K353" s="487">
        <v>0</v>
      </c>
      <c r="L353" s="487">
        <v>0</v>
      </c>
      <c r="M353" s="487">
        <v>0</v>
      </c>
      <c r="N353" s="487">
        <v>0</v>
      </c>
      <c r="O353" s="487">
        <v>0</v>
      </c>
      <c r="P353" s="1496">
        <f t="shared" si="38"/>
        <v>521160</v>
      </c>
      <c r="Q353" s="640">
        <f t="shared" si="40"/>
        <v>521160</v>
      </c>
      <c r="R353" s="559" t="s">
        <v>251</v>
      </c>
      <c r="S353" s="561" t="s">
        <v>251</v>
      </c>
      <c r="T353" s="561" t="s">
        <v>251</v>
      </c>
      <c r="U353" s="561"/>
      <c r="V353" s="561"/>
      <c r="W353" s="561"/>
      <c r="X353" s="561"/>
      <c r="Y353" s="561"/>
      <c r="Z353" s="561"/>
      <c r="AA353" s="561"/>
      <c r="AB353" s="561"/>
      <c r="AC353" s="561"/>
      <c r="AD353" s="640">
        <f t="shared" si="36"/>
        <v>0</v>
      </c>
      <c r="AE353" s="568">
        <f t="shared" si="35"/>
        <v>-1</v>
      </c>
      <c r="AF353" s="569">
        <f t="shared" si="41"/>
        <v>189</v>
      </c>
    </row>
    <row r="354" spans="1:32" x14ac:dyDescent="0.3">
      <c r="A354" s="12" t="s">
        <v>439</v>
      </c>
      <c r="B354" s="655" t="s">
        <v>444</v>
      </c>
      <c r="C354" s="486">
        <v>61090</v>
      </c>
      <c r="D354" s="487">
        <v>61040</v>
      </c>
      <c r="E354" s="487">
        <v>0</v>
      </c>
      <c r="F354" s="487">
        <v>0</v>
      </c>
      <c r="G354" s="487">
        <v>0</v>
      </c>
      <c r="H354" s="487">
        <v>0</v>
      </c>
      <c r="I354" s="487">
        <v>0</v>
      </c>
      <c r="J354" s="487">
        <v>0</v>
      </c>
      <c r="K354" s="487">
        <v>0</v>
      </c>
      <c r="L354" s="487">
        <v>0</v>
      </c>
      <c r="M354" s="487">
        <v>0</v>
      </c>
      <c r="N354" s="487">
        <v>0</v>
      </c>
      <c r="O354" s="487">
        <v>0</v>
      </c>
      <c r="P354" s="1496">
        <f t="shared" si="38"/>
        <v>122130</v>
      </c>
      <c r="Q354" s="640">
        <f t="shared" si="40"/>
        <v>122130</v>
      </c>
      <c r="R354" s="559" t="s">
        <v>251</v>
      </c>
      <c r="S354" s="561" t="s">
        <v>251</v>
      </c>
      <c r="T354" s="561" t="s">
        <v>251</v>
      </c>
      <c r="U354" s="561"/>
      <c r="V354" s="561"/>
      <c r="W354" s="561"/>
      <c r="X354" s="561"/>
      <c r="Y354" s="561"/>
      <c r="Z354" s="561"/>
      <c r="AA354" s="561"/>
      <c r="AB354" s="561"/>
      <c r="AC354" s="561"/>
      <c r="AD354" s="640">
        <f t="shared" si="36"/>
        <v>0</v>
      </c>
      <c r="AE354" s="568">
        <f t="shared" si="35"/>
        <v>-1</v>
      </c>
      <c r="AF354" s="569">
        <f t="shared" si="41"/>
        <v>189</v>
      </c>
    </row>
    <row r="355" spans="1:32" x14ac:dyDescent="0.3">
      <c r="A355" s="12" t="s">
        <v>439</v>
      </c>
      <c r="B355" s="655" t="s">
        <v>445</v>
      </c>
      <c r="C355" s="486"/>
      <c r="D355" s="487">
        <v>0</v>
      </c>
      <c r="E355" s="487">
        <v>0</v>
      </c>
      <c r="F355" s="487">
        <v>0</v>
      </c>
      <c r="G355" s="487">
        <v>92820</v>
      </c>
      <c r="H355" s="487">
        <v>78970</v>
      </c>
      <c r="I355" s="487">
        <v>0</v>
      </c>
      <c r="J355" s="487">
        <v>0</v>
      </c>
      <c r="K355" s="487">
        <v>0</v>
      </c>
      <c r="L355" s="487">
        <v>0</v>
      </c>
      <c r="M355" s="487">
        <v>0</v>
      </c>
      <c r="N355" s="487">
        <v>0</v>
      </c>
      <c r="O355" s="487">
        <v>0</v>
      </c>
      <c r="P355" s="1496">
        <f t="shared" si="38"/>
        <v>171790</v>
      </c>
      <c r="Q355" s="640">
        <f t="shared" si="40"/>
        <v>171790</v>
      </c>
      <c r="R355" s="559" t="s">
        <v>251</v>
      </c>
      <c r="S355" s="561" t="s">
        <v>251</v>
      </c>
      <c r="T355" s="561" t="s">
        <v>251</v>
      </c>
      <c r="U355" s="561">
        <v>66600</v>
      </c>
      <c r="V355" s="561">
        <v>0</v>
      </c>
      <c r="W355" s="561">
        <v>0</v>
      </c>
      <c r="X355" s="561">
        <v>0</v>
      </c>
      <c r="Y355" s="561">
        <v>0</v>
      </c>
      <c r="Z355" s="561"/>
      <c r="AA355" s="561"/>
      <c r="AB355" s="561"/>
      <c r="AC355" s="561"/>
      <c r="AD355" s="640">
        <f t="shared" si="36"/>
        <v>66600</v>
      </c>
      <c r="AE355" s="568">
        <f t="shared" si="35"/>
        <v>-0.6123173642237616</v>
      </c>
      <c r="AF355" s="569">
        <f t="shared" si="41"/>
        <v>167</v>
      </c>
    </row>
    <row r="356" spans="1:32" x14ac:dyDescent="0.3">
      <c r="A356" s="12" t="s">
        <v>439</v>
      </c>
      <c r="B356" s="655" t="s">
        <v>561</v>
      </c>
      <c r="C356" s="486"/>
      <c r="D356" s="487">
        <v>0</v>
      </c>
      <c r="E356" s="487">
        <v>0</v>
      </c>
      <c r="F356" s="487">
        <v>0</v>
      </c>
      <c r="G356" s="487">
        <v>91040</v>
      </c>
      <c r="H356" s="487">
        <v>0</v>
      </c>
      <c r="I356" s="487">
        <v>0</v>
      </c>
      <c r="J356" s="487">
        <v>0</v>
      </c>
      <c r="K356" s="487">
        <v>0</v>
      </c>
      <c r="L356" s="487">
        <v>0</v>
      </c>
      <c r="M356" s="487">
        <v>197930</v>
      </c>
      <c r="N356" s="487">
        <v>0</v>
      </c>
      <c r="O356" s="487">
        <v>0</v>
      </c>
      <c r="P356" s="1496">
        <f t="shared" si="38"/>
        <v>91040</v>
      </c>
      <c r="Q356" s="640">
        <f t="shared" si="40"/>
        <v>288970</v>
      </c>
      <c r="R356" s="559" t="s">
        <v>251</v>
      </c>
      <c r="S356" s="561" t="s">
        <v>251</v>
      </c>
      <c r="T356" s="561" t="s">
        <v>251</v>
      </c>
      <c r="U356" s="561"/>
      <c r="V356" s="561"/>
      <c r="W356" s="561"/>
      <c r="X356" s="561"/>
      <c r="Y356" s="561"/>
      <c r="Z356" s="561"/>
      <c r="AA356" s="561"/>
      <c r="AB356" s="561"/>
      <c r="AC356" s="561"/>
      <c r="AD356" s="640">
        <f t="shared" si="36"/>
        <v>0</v>
      </c>
      <c r="AE356" s="568">
        <f t="shared" si="35"/>
        <v>-1</v>
      </c>
      <c r="AF356" s="569">
        <f t="shared" si="41"/>
        <v>189</v>
      </c>
    </row>
    <row r="357" spans="1:32" x14ac:dyDescent="0.3">
      <c r="A357" s="12" t="s">
        <v>439</v>
      </c>
      <c r="B357" s="655" t="s">
        <v>446</v>
      </c>
      <c r="C357" s="486"/>
      <c r="D357" s="487">
        <v>72040</v>
      </c>
      <c r="E357" s="487">
        <v>0</v>
      </c>
      <c r="F357" s="487">
        <v>0</v>
      </c>
      <c r="G357" s="487">
        <v>0</v>
      </c>
      <c r="H357" s="487">
        <v>27330</v>
      </c>
      <c r="I357" s="487">
        <v>0</v>
      </c>
      <c r="J357" s="487">
        <v>0</v>
      </c>
      <c r="K357" s="487">
        <v>0</v>
      </c>
      <c r="L357" s="487">
        <v>0</v>
      </c>
      <c r="M357" s="487">
        <v>0</v>
      </c>
      <c r="N357" s="487">
        <v>0</v>
      </c>
      <c r="O357" s="487">
        <v>0</v>
      </c>
      <c r="P357" s="1496">
        <f t="shared" si="38"/>
        <v>99370</v>
      </c>
      <c r="Q357" s="640">
        <f t="shared" si="40"/>
        <v>99370</v>
      </c>
      <c r="R357" s="559" t="s">
        <v>251</v>
      </c>
      <c r="S357" s="561" t="s">
        <v>251</v>
      </c>
      <c r="T357" s="561" t="s">
        <v>251</v>
      </c>
      <c r="U357" s="561"/>
      <c r="V357" s="561"/>
      <c r="W357" s="561"/>
      <c r="X357" s="561"/>
      <c r="Y357" s="561"/>
      <c r="Z357" s="561"/>
      <c r="AA357" s="561"/>
      <c r="AB357" s="561"/>
      <c r="AC357" s="561"/>
      <c r="AD357" s="640">
        <f t="shared" si="36"/>
        <v>0</v>
      </c>
      <c r="AE357" s="568">
        <f t="shared" si="35"/>
        <v>-1</v>
      </c>
      <c r="AF357" s="569">
        <f t="shared" si="41"/>
        <v>189</v>
      </c>
    </row>
    <row r="358" spans="1:32" x14ac:dyDescent="0.3">
      <c r="A358" s="12" t="s">
        <v>439</v>
      </c>
      <c r="B358" s="655" t="s">
        <v>447</v>
      </c>
      <c r="C358" s="486">
        <v>70110</v>
      </c>
      <c r="D358" s="487">
        <v>0</v>
      </c>
      <c r="E358" s="487">
        <v>0</v>
      </c>
      <c r="F358" s="487">
        <v>0</v>
      </c>
      <c r="G358" s="487">
        <v>0</v>
      </c>
      <c r="H358" s="487">
        <v>0</v>
      </c>
      <c r="I358" s="487">
        <v>0</v>
      </c>
      <c r="J358" s="487">
        <v>0</v>
      </c>
      <c r="K358" s="487">
        <v>0</v>
      </c>
      <c r="L358" s="487">
        <v>0</v>
      </c>
      <c r="M358" s="487">
        <v>0</v>
      </c>
      <c r="N358" s="487">
        <v>0</v>
      </c>
      <c r="O358" s="487">
        <v>0</v>
      </c>
      <c r="P358" s="1496">
        <f t="shared" si="38"/>
        <v>70110</v>
      </c>
      <c r="Q358" s="640">
        <f t="shared" si="40"/>
        <v>70110</v>
      </c>
      <c r="R358" s="559" t="s">
        <v>251</v>
      </c>
      <c r="S358" s="561" t="s">
        <v>251</v>
      </c>
      <c r="T358" s="561" t="s">
        <v>251</v>
      </c>
      <c r="U358" s="561"/>
      <c r="V358" s="561"/>
      <c r="W358" s="561"/>
      <c r="X358" s="561"/>
      <c r="Y358" s="561"/>
      <c r="Z358" s="561"/>
      <c r="AA358" s="561"/>
      <c r="AB358" s="561"/>
      <c r="AC358" s="561"/>
      <c r="AD358" s="640">
        <f t="shared" si="36"/>
        <v>0</v>
      </c>
      <c r="AE358" s="568">
        <f t="shared" si="35"/>
        <v>-1</v>
      </c>
      <c r="AF358" s="569">
        <f t="shared" si="41"/>
        <v>189</v>
      </c>
    </row>
    <row r="359" spans="1:32" x14ac:dyDescent="0.3">
      <c r="A359" s="12" t="s">
        <v>439</v>
      </c>
      <c r="B359" s="655" t="s">
        <v>448</v>
      </c>
      <c r="C359" s="486">
        <v>66000</v>
      </c>
      <c r="D359" s="487">
        <v>0</v>
      </c>
      <c r="E359" s="487">
        <v>0</v>
      </c>
      <c r="F359" s="487">
        <v>0</v>
      </c>
      <c r="G359" s="487">
        <v>0</v>
      </c>
      <c r="H359" s="487">
        <v>0</v>
      </c>
      <c r="I359" s="487">
        <v>0</v>
      </c>
      <c r="J359" s="487">
        <v>0</v>
      </c>
      <c r="K359" s="487">
        <v>0</v>
      </c>
      <c r="L359" s="487">
        <v>0</v>
      </c>
      <c r="M359" s="487">
        <v>0</v>
      </c>
      <c r="N359" s="487">
        <v>0</v>
      </c>
      <c r="O359" s="487">
        <v>0</v>
      </c>
      <c r="P359" s="1496">
        <f t="shared" si="38"/>
        <v>66000</v>
      </c>
      <c r="Q359" s="640">
        <f t="shared" si="40"/>
        <v>66000</v>
      </c>
      <c r="R359" s="559" t="s">
        <v>251</v>
      </c>
      <c r="S359" s="561" t="s">
        <v>251</v>
      </c>
      <c r="T359" s="561" t="s">
        <v>251</v>
      </c>
      <c r="U359" s="561"/>
      <c r="V359" s="561"/>
      <c r="W359" s="561"/>
      <c r="X359" s="561"/>
      <c r="Y359" s="561"/>
      <c r="Z359" s="561"/>
      <c r="AA359" s="561"/>
      <c r="AB359" s="561"/>
      <c r="AC359" s="561"/>
      <c r="AD359" s="640">
        <f t="shared" si="36"/>
        <v>0</v>
      </c>
      <c r="AE359" s="568">
        <f t="shared" si="35"/>
        <v>-1</v>
      </c>
      <c r="AF359" s="569">
        <f t="shared" si="41"/>
        <v>189</v>
      </c>
    </row>
    <row r="360" spans="1:32" x14ac:dyDescent="0.3">
      <c r="A360" s="12" t="s">
        <v>439</v>
      </c>
      <c r="B360" s="655" t="s">
        <v>585</v>
      </c>
      <c r="C360" s="486"/>
      <c r="D360" s="487">
        <v>0</v>
      </c>
      <c r="E360" s="487">
        <v>29330</v>
      </c>
      <c r="F360" s="487">
        <v>0</v>
      </c>
      <c r="G360" s="487">
        <v>0</v>
      </c>
      <c r="H360" s="487">
        <v>0</v>
      </c>
      <c r="I360" s="487">
        <v>0</v>
      </c>
      <c r="J360" s="487">
        <v>0</v>
      </c>
      <c r="K360" s="487">
        <v>0</v>
      </c>
      <c r="L360" s="487">
        <v>0</v>
      </c>
      <c r="M360" s="487">
        <v>0</v>
      </c>
      <c r="N360" s="487">
        <v>0</v>
      </c>
      <c r="O360" s="487">
        <v>0</v>
      </c>
      <c r="P360" s="1496">
        <f t="shared" si="38"/>
        <v>29330</v>
      </c>
      <c r="Q360" s="640">
        <f t="shared" si="40"/>
        <v>29330</v>
      </c>
      <c r="R360" s="559" t="s">
        <v>251</v>
      </c>
      <c r="S360" s="561" t="s">
        <v>251</v>
      </c>
      <c r="T360" s="561" t="s">
        <v>251</v>
      </c>
      <c r="U360" s="561"/>
      <c r="V360" s="561"/>
      <c r="W360" s="561"/>
      <c r="X360" s="561"/>
      <c r="Y360" s="561"/>
      <c r="Z360" s="561"/>
      <c r="AA360" s="561"/>
      <c r="AB360" s="561"/>
      <c r="AC360" s="561"/>
      <c r="AD360" s="640">
        <f t="shared" si="36"/>
        <v>0</v>
      </c>
      <c r="AE360" s="568">
        <f t="shared" si="35"/>
        <v>-1</v>
      </c>
      <c r="AF360" s="569">
        <f t="shared" si="41"/>
        <v>189</v>
      </c>
    </row>
    <row r="361" spans="1:32" x14ac:dyDescent="0.3">
      <c r="A361" s="12" t="s">
        <v>439</v>
      </c>
      <c r="B361" s="655" t="s">
        <v>179</v>
      </c>
      <c r="C361" s="486">
        <v>29110</v>
      </c>
      <c r="D361" s="487">
        <v>0</v>
      </c>
      <c r="E361" s="487">
        <v>0</v>
      </c>
      <c r="F361" s="487">
        <v>0</v>
      </c>
      <c r="G361" s="487">
        <v>0</v>
      </c>
      <c r="H361" s="487">
        <v>0</v>
      </c>
      <c r="I361" s="487">
        <v>0</v>
      </c>
      <c r="J361" s="487">
        <v>0</v>
      </c>
      <c r="K361" s="487">
        <v>0</v>
      </c>
      <c r="L361" s="487">
        <v>0</v>
      </c>
      <c r="M361" s="487">
        <v>0</v>
      </c>
      <c r="N361" s="487">
        <v>0</v>
      </c>
      <c r="O361" s="487">
        <v>0</v>
      </c>
      <c r="P361" s="1496">
        <f t="shared" si="38"/>
        <v>29110</v>
      </c>
      <c r="Q361" s="640">
        <f t="shared" si="40"/>
        <v>29110</v>
      </c>
      <c r="R361" s="559" t="s">
        <v>251</v>
      </c>
      <c r="S361" s="561" t="s">
        <v>251</v>
      </c>
      <c r="T361" s="561" t="s">
        <v>251</v>
      </c>
      <c r="U361" s="561"/>
      <c r="V361" s="561"/>
      <c r="W361" s="561"/>
      <c r="X361" s="561"/>
      <c r="Y361" s="561"/>
      <c r="Z361" s="561"/>
      <c r="AA361" s="561"/>
      <c r="AB361" s="561"/>
      <c r="AC361" s="561"/>
      <c r="AD361" s="640">
        <f t="shared" si="36"/>
        <v>0</v>
      </c>
      <c r="AE361" s="568">
        <f t="shared" si="35"/>
        <v>-1</v>
      </c>
      <c r="AF361" s="569">
        <f t="shared" si="41"/>
        <v>189</v>
      </c>
    </row>
    <row r="362" spans="1:32" x14ac:dyDescent="0.3">
      <c r="A362" s="12" t="s">
        <v>439</v>
      </c>
      <c r="B362" s="655" t="s">
        <v>556</v>
      </c>
      <c r="C362" s="486"/>
      <c r="D362" s="487" t="s">
        <v>251</v>
      </c>
      <c r="E362" s="487" t="s">
        <v>251</v>
      </c>
      <c r="F362" s="487" t="s">
        <v>251</v>
      </c>
      <c r="G362" s="487" t="s">
        <v>251</v>
      </c>
      <c r="H362" s="487" t="s">
        <v>251</v>
      </c>
      <c r="I362" s="487" t="s">
        <v>251</v>
      </c>
      <c r="J362" s="487" t="s">
        <v>251</v>
      </c>
      <c r="K362" s="487"/>
      <c r="L362" s="487" t="s">
        <v>251</v>
      </c>
      <c r="M362" s="487" t="s">
        <v>251</v>
      </c>
      <c r="N362" s="487" t="s">
        <v>251</v>
      </c>
      <c r="O362" s="487" t="s">
        <v>251</v>
      </c>
      <c r="P362" s="1496">
        <f t="shared" si="38"/>
        <v>0</v>
      </c>
      <c r="Q362" s="640">
        <f t="shared" si="40"/>
        <v>0</v>
      </c>
      <c r="R362" s="559" t="s">
        <v>251</v>
      </c>
      <c r="S362" s="561" t="s">
        <v>251</v>
      </c>
      <c r="T362" s="561" t="s">
        <v>251</v>
      </c>
      <c r="U362" s="561"/>
      <c r="V362" s="561"/>
      <c r="W362" s="561"/>
      <c r="X362" s="561"/>
      <c r="Y362" s="561"/>
      <c r="Z362" s="561"/>
      <c r="AA362" s="561"/>
      <c r="AB362" s="561"/>
      <c r="AC362" s="561"/>
      <c r="AD362" s="640">
        <f t="shared" si="36"/>
        <v>0</v>
      </c>
      <c r="AE362" s="568">
        <f t="shared" si="35"/>
        <v>0</v>
      </c>
      <c r="AF362" s="569">
        <f t="shared" si="41"/>
        <v>189</v>
      </c>
    </row>
    <row r="363" spans="1:32" x14ac:dyDescent="0.3">
      <c r="A363" s="12" t="s">
        <v>439</v>
      </c>
      <c r="B363" s="655" t="s">
        <v>572</v>
      </c>
      <c r="C363" s="486"/>
      <c r="D363" s="487" t="s">
        <v>251</v>
      </c>
      <c r="E363" s="487" t="s">
        <v>251</v>
      </c>
      <c r="F363" s="487" t="s">
        <v>251</v>
      </c>
      <c r="G363" s="487" t="s">
        <v>251</v>
      </c>
      <c r="H363" s="487" t="s">
        <v>251</v>
      </c>
      <c r="I363" s="487" t="s">
        <v>251</v>
      </c>
      <c r="J363" s="487" t="s">
        <v>251</v>
      </c>
      <c r="K363" s="487"/>
      <c r="L363" s="487" t="s">
        <v>251</v>
      </c>
      <c r="M363" s="487" t="s">
        <v>251</v>
      </c>
      <c r="N363" s="487" t="s">
        <v>251</v>
      </c>
      <c r="O363" s="487" t="s">
        <v>251</v>
      </c>
      <c r="P363" s="1496">
        <f t="shared" si="38"/>
        <v>0</v>
      </c>
      <c r="Q363" s="640">
        <f t="shared" si="40"/>
        <v>0</v>
      </c>
      <c r="R363" s="559" t="s">
        <v>251</v>
      </c>
      <c r="S363" s="561" t="s">
        <v>251</v>
      </c>
      <c r="T363" s="561" t="s">
        <v>251</v>
      </c>
      <c r="U363" s="561"/>
      <c r="V363" s="561"/>
      <c r="W363" s="561"/>
      <c r="X363" s="561"/>
      <c r="Y363" s="561"/>
      <c r="Z363" s="561"/>
      <c r="AA363" s="561"/>
      <c r="AB363" s="561"/>
      <c r="AC363" s="561"/>
      <c r="AD363" s="640">
        <f t="shared" si="36"/>
        <v>0</v>
      </c>
      <c r="AE363" s="568">
        <f t="shared" si="35"/>
        <v>0</v>
      </c>
      <c r="AF363" s="569">
        <f t="shared" si="41"/>
        <v>189</v>
      </c>
    </row>
    <row r="364" spans="1:32" x14ac:dyDescent="0.3">
      <c r="A364" s="12" t="s">
        <v>439</v>
      </c>
      <c r="B364" s="655" t="s">
        <v>566</v>
      </c>
      <c r="C364" s="486"/>
      <c r="D364" s="487">
        <v>0</v>
      </c>
      <c r="E364" s="487">
        <v>0</v>
      </c>
      <c r="F364" s="487">
        <v>0</v>
      </c>
      <c r="G364" s="487">
        <v>0</v>
      </c>
      <c r="H364" s="487">
        <v>0</v>
      </c>
      <c r="I364" s="487">
        <v>89640</v>
      </c>
      <c r="J364" s="487">
        <v>0</v>
      </c>
      <c r="K364" s="487">
        <v>0</v>
      </c>
      <c r="L364" s="487">
        <v>0</v>
      </c>
      <c r="M364" s="487">
        <v>0</v>
      </c>
      <c r="N364" s="487">
        <v>0</v>
      </c>
      <c r="O364" s="487">
        <v>0</v>
      </c>
      <c r="P364" s="1496">
        <f t="shared" si="38"/>
        <v>89640</v>
      </c>
      <c r="Q364" s="640">
        <f t="shared" si="40"/>
        <v>89640</v>
      </c>
      <c r="R364" s="559" t="s">
        <v>251</v>
      </c>
      <c r="S364" s="561" t="s">
        <v>251</v>
      </c>
      <c r="T364" s="561" t="s">
        <v>251</v>
      </c>
      <c r="U364" s="561"/>
      <c r="V364" s="561"/>
      <c r="W364" s="561"/>
      <c r="X364" s="561"/>
      <c r="Y364" s="561"/>
      <c r="Z364" s="561"/>
      <c r="AA364" s="561"/>
      <c r="AB364" s="561"/>
      <c r="AC364" s="561"/>
      <c r="AD364" s="640">
        <f t="shared" si="36"/>
        <v>0</v>
      </c>
      <c r="AE364" s="568">
        <f t="shared" si="35"/>
        <v>-1</v>
      </c>
      <c r="AF364" s="569">
        <f t="shared" si="41"/>
        <v>189</v>
      </c>
    </row>
    <row r="365" spans="1:32" x14ac:dyDescent="0.3">
      <c r="A365" s="12" t="s">
        <v>439</v>
      </c>
      <c r="B365" s="655" t="s">
        <v>558</v>
      </c>
      <c r="C365" s="486"/>
      <c r="D365" s="487" t="s">
        <v>251</v>
      </c>
      <c r="E365" s="487" t="s">
        <v>251</v>
      </c>
      <c r="F365" s="487" t="s">
        <v>251</v>
      </c>
      <c r="G365" s="487" t="s">
        <v>251</v>
      </c>
      <c r="H365" s="487" t="s">
        <v>251</v>
      </c>
      <c r="I365" s="487" t="s">
        <v>251</v>
      </c>
      <c r="J365" s="487" t="s">
        <v>251</v>
      </c>
      <c r="K365" s="487"/>
      <c r="L365" s="487" t="s">
        <v>251</v>
      </c>
      <c r="M365" s="487" t="s">
        <v>251</v>
      </c>
      <c r="N365" s="487" t="s">
        <v>251</v>
      </c>
      <c r="O365" s="487" t="s">
        <v>251</v>
      </c>
      <c r="P365" s="1496">
        <f t="shared" si="38"/>
        <v>0</v>
      </c>
      <c r="Q365" s="640">
        <f t="shared" si="40"/>
        <v>0</v>
      </c>
      <c r="R365" s="559" t="s">
        <v>251</v>
      </c>
      <c r="S365" s="561" t="s">
        <v>251</v>
      </c>
      <c r="T365" s="561" t="s">
        <v>251</v>
      </c>
      <c r="U365" s="561"/>
      <c r="V365" s="561"/>
      <c r="W365" s="561"/>
      <c r="X365" s="561"/>
      <c r="Y365" s="561"/>
      <c r="Z365" s="561"/>
      <c r="AA365" s="561"/>
      <c r="AB365" s="561"/>
      <c r="AC365" s="561"/>
      <c r="AD365" s="640">
        <f t="shared" si="36"/>
        <v>0</v>
      </c>
      <c r="AE365" s="568">
        <f t="shared" si="35"/>
        <v>0</v>
      </c>
      <c r="AF365" s="569">
        <f t="shared" si="41"/>
        <v>189</v>
      </c>
    </row>
    <row r="366" spans="1:32" x14ac:dyDescent="0.3">
      <c r="A366" s="12" t="s">
        <v>439</v>
      </c>
      <c r="B366" s="655" t="s">
        <v>509</v>
      </c>
      <c r="C366" s="486"/>
      <c r="D366" s="487" t="s">
        <v>251</v>
      </c>
      <c r="E366" s="487" t="s">
        <v>251</v>
      </c>
      <c r="F366" s="487" t="s">
        <v>251</v>
      </c>
      <c r="G366" s="487" t="s">
        <v>251</v>
      </c>
      <c r="H366" s="487" t="s">
        <v>251</v>
      </c>
      <c r="I366" s="487" t="s">
        <v>251</v>
      </c>
      <c r="J366" s="487" t="s">
        <v>251</v>
      </c>
      <c r="K366" s="487"/>
      <c r="L366" s="487" t="s">
        <v>251</v>
      </c>
      <c r="M366" s="487" t="s">
        <v>251</v>
      </c>
      <c r="N366" s="487" t="s">
        <v>251</v>
      </c>
      <c r="O366" s="487" t="s">
        <v>251</v>
      </c>
      <c r="P366" s="1496">
        <f t="shared" si="38"/>
        <v>0</v>
      </c>
      <c r="Q366" s="640">
        <f t="shared" si="40"/>
        <v>0</v>
      </c>
      <c r="R366" s="559" t="s">
        <v>251</v>
      </c>
      <c r="S366" s="561" t="s">
        <v>251</v>
      </c>
      <c r="T366" s="561" t="s">
        <v>251</v>
      </c>
      <c r="U366" s="561"/>
      <c r="V366" s="561"/>
      <c r="W366" s="561"/>
      <c r="X366" s="561"/>
      <c r="Y366" s="561"/>
      <c r="Z366" s="561"/>
      <c r="AA366" s="561"/>
      <c r="AB366" s="561"/>
      <c r="AC366" s="561"/>
      <c r="AD366" s="640">
        <f t="shared" si="36"/>
        <v>0</v>
      </c>
      <c r="AE366" s="568">
        <f t="shared" si="35"/>
        <v>0</v>
      </c>
      <c r="AF366" s="569">
        <f t="shared" si="41"/>
        <v>189</v>
      </c>
    </row>
    <row r="367" spans="1:32" x14ac:dyDescent="0.3">
      <c r="A367" s="12" t="s">
        <v>439</v>
      </c>
      <c r="B367" s="655" t="s">
        <v>582</v>
      </c>
      <c r="C367" s="486"/>
      <c r="D367" s="487">
        <v>0</v>
      </c>
      <c r="E367" s="487">
        <v>0</v>
      </c>
      <c r="F367" s="487">
        <v>0</v>
      </c>
      <c r="G367" s="487">
        <v>0</v>
      </c>
      <c r="H367" s="487">
        <v>36710</v>
      </c>
      <c r="I367" s="487">
        <v>0</v>
      </c>
      <c r="J367" s="487">
        <v>0</v>
      </c>
      <c r="K367" s="487">
        <v>0</v>
      </c>
      <c r="L367" s="487">
        <v>0</v>
      </c>
      <c r="M367" s="487">
        <v>0</v>
      </c>
      <c r="N367" s="487">
        <v>0</v>
      </c>
      <c r="O367" s="487">
        <v>0</v>
      </c>
      <c r="P367" s="1496">
        <f t="shared" si="38"/>
        <v>36710</v>
      </c>
      <c r="Q367" s="640">
        <f t="shared" si="40"/>
        <v>36710</v>
      </c>
      <c r="R367" s="559" t="s">
        <v>251</v>
      </c>
      <c r="S367" s="561" t="s">
        <v>251</v>
      </c>
      <c r="T367" s="561" t="s">
        <v>251</v>
      </c>
      <c r="U367" s="561"/>
      <c r="V367" s="561"/>
      <c r="W367" s="561"/>
      <c r="X367" s="561"/>
      <c r="Y367" s="561"/>
      <c r="Z367" s="561"/>
      <c r="AA367" s="561"/>
      <c r="AB367" s="561"/>
      <c r="AC367" s="561"/>
      <c r="AD367" s="640">
        <f t="shared" si="36"/>
        <v>0</v>
      </c>
      <c r="AE367" s="568">
        <f>IF(OR(AD367="", P367=""), 0, IFERROR((AD367-P367)/P367, IF(AD367&lt;&gt;0, 1, 0)))</f>
        <v>-1</v>
      </c>
      <c r="AF367" s="569">
        <f t="shared" si="41"/>
        <v>189</v>
      </c>
    </row>
    <row r="368" spans="1:32" x14ac:dyDescent="0.3">
      <c r="A368" s="12" t="s">
        <v>439</v>
      </c>
      <c r="B368" s="655" t="s">
        <v>449</v>
      </c>
      <c r="C368" s="486"/>
      <c r="D368" s="487" t="s">
        <v>251</v>
      </c>
      <c r="E368" s="487" t="s">
        <v>251</v>
      </c>
      <c r="F368" s="487" t="s">
        <v>251</v>
      </c>
      <c r="G368" s="487" t="s">
        <v>251</v>
      </c>
      <c r="H368" s="487" t="s">
        <v>251</v>
      </c>
      <c r="I368" s="487" t="s">
        <v>251</v>
      </c>
      <c r="J368" s="487" t="s">
        <v>251</v>
      </c>
      <c r="K368" s="487"/>
      <c r="L368" s="487" t="s">
        <v>251</v>
      </c>
      <c r="M368" s="487" t="s">
        <v>251</v>
      </c>
      <c r="N368" s="487" t="s">
        <v>251</v>
      </c>
      <c r="O368" s="487" t="s">
        <v>251</v>
      </c>
      <c r="P368" s="1496">
        <f t="shared" si="38"/>
        <v>0</v>
      </c>
      <c r="Q368" s="640">
        <f t="shared" si="40"/>
        <v>0</v>
      </c>
      <c r="R368" s="559" t="s">
        <v>251</v>
      </c>
      <c r="S368" s="561" t="s">
        <v>251</v>
      </c>
      <c r="T368" s="561" t="s">
        <v>251</v>
      </c>
      <c r="U368" s="561"/>
      <c r="V368" s="561"/>
      <c r="W368" s="561"/>
      <c r="X368" s="561"/>
      <c r="Y368" s="561">
        <v>394740</v>
      </c>
      <c r="Z368" s="561"/>
      <c r="AA368" s="561"/>
      <c r="AB368" s="561"/>
      <c r="AC368" s="561"/>
      <c r="AD368" s="640">
        <f t="shared" si="36"/>
        <v>394740</v>
      </c>
      <c r="AE368" s="568">
        <f t="shared" ref="AE368:AE438" si="42">IF(OR(AD368="", P368=""), 0, IFERROR((AD368-P368)/P368, IF(AD368&lt;&gt;0, 1, 0)))</f>
        <v>1</v>
      </c>
      <c r="AF368" s="569">
        <f t="shared" si="41"/>
        <v>100</v>
      </c>
    </row>
    <row r="369" spans="1:32" x14ac:dyDescent="0.3">
      <c r="A369" s="12" t="s">
        <v>439</v>
      </c>
      <c r="B369" s="655" t="s">
        <v>450</v>
      </c>
      <c r="C369" s="486"/>
      <c r="D369" s="487" t="s">
        <v>251</v>
      </c>
      <c r="E369" s="487" t="s">
        <v>251</v>
      </c>
      <c r="F369" s="487" t="s">
        <v>251</v>
      </c>
      <c r="G369" s="487" t="s">
        <v>251</v>
      </c>
      <c r="H369" s="487" t="s">
        <v>251</v>
      </c>
      <c r="I369" s="487" t="s">
        <v>251</v>
      </c>
      <c r="J369" s="487" t="s">
        <v>251</v>
      </c>
      <c r="K369" s="487"/>
      <c r="L369" s="487" t="s">
        <v>251</v>
      </c>
      <c r="M369" s="487" t="s">
        <v>251</v>
      </c>
      <c r="N369" s="487" t="s">
        <v>251</v>
      </c>
      <c r="O369" s="487" t="s">
        <v>251</v>
      </c>
      <c r="P369" s="1496">
        <f t="shared" si="38"/>
        <v>0</v>
      </c>
      <c r="Q369" s="640">
        <f t="shared" si="40"/>
        <v>0</v>
      </c>
      <c r="R369" s="559" t="s">
        <v>251</v>
      </c>
      <c r="S369" s="561" t="s">
        <v>251</v>
      </c>
      <c r="T369" s="561" t="s">
        <v>251</v>
      </c>
      <c r="U369" s="561"/>
      <c r="V369" s="561"/>
      <c r="W369" s="561">
        <v>790370</v>
      </c>
      <c r="X369" s="561">
        <v>0</v>
      </c>
      <c r="Y369" s="561">
        <v>0</v>
      </c>
      <c r="Z369" s="561"/>
      <c r="AA369" s="561"/>
      <c r="AB369" s="561"/>
      <c r="AC369" s="561"/>
      <c r="AD369" s="640">
        <f t="shared" si="36"/>
        <v>790370</v>
      </c>
      <c r="AE369" s="568">
        <f t="shared" si="42"/>
        <v>1</v>
      </c>
      <c r="AF369" s="569">
        <f t="shared" si="41"/>
        <v>66</v>
      </c>
    </row>
    <row r="370" spans="1:32" x14ac:dyDescent="0.3">
      <c r="A370" s="12" t="s">
        <v>439</v>
      </c>
      <c r="B370" s="655" t="s">
        <v>451</v>
      </c>
      <c r="C370" s="486"/>
      <c r="D370" s="487" t="s">
        <v>251</v>
      </c>
      <c r="E370" s="487" t="s">
        <v>251</v>
      </c>
      <c r="F370" s="487" t="s">
        <v>251</v>
      </c>
      <c r="G370" s="487" t="s">
        <v>251</v>
      </c>
      <c r="H370" s="487" t="s">
        <v>251</v>
      </c>
      <c r="I370" s="487" t="s">
        <v>251</v>
      </c>
      <c r="J370" s="487" t="s">
        <v>251</v>
      </c>
      <c r="K370" s="487"/>
      <c r="L370" s="487" t="s">
        <v>251</v>
      </c>
      <c r="M370" s="487" t="s">
        <v>251</v>
      </c>
      <c r="N370" s="487" t="s">
        <v>251</v>
      </c>
      <c r="O370" s="487" t="s">
        <v>251</v>
      </c>
      <c r="P370" s="1496">
        <f t="shared" si="38"/>
        <v>0</v>
      </c>
      <c r="Q370" s="640">
        <f t="shared" si="40"/>
        <v>0</v>
      </c>
      <c r="R370" s="559" t="s">
        <v>251</v>
      </c>
      <c r="S370" s="561" t="s">
        <v>251</v>
      </c>
      <c r="T370" s="561" t="s">
        <v>251</v>
      </c>
      <c r="U370" s="561"/>
      <c r="V370" s="561"/>
      <c r="W370" s="561"/>
      <c r="X370" s="561"/>
      <c r="Y370" s="561"/>
      <c r="Z370" s="561"/>
      <c r="AA370" s="561"/>
      <c r="AB370" s="561"/>
      <c r="AC370" s="561"/>
      <c r="AD370" s="640">
        <f t="shared" si="36"/>
        <v>0</v>
      </c>
      <c r="AE370" s="568">
        <f t="shared" si="42"/>
        <v>0</v>
      </c>
      <c r="AF370" s="569">
        <f t="shared" si="41"/>
        <v>189</v>
      </c>
    </row>
    <row r="371" spans="1:32" x14ac:dyDescent="0.3">
      <c r="A371" s="12" t="s">
        <v>439</v>
      </c>
      <c r="B371" s="655" t="s">
        <v>452</v>
      </c>
      <c r="C371" s="486"/>
      <c r="D371" s="487" t="s">
        <v>251</v>
      </c>
      <c r="E371" s="487" t="s">
        <v>251</v>
      </c>
      <c r="F371" s="487" t="s">
        <v>251</v>
      </c>
      <c r="G371" s="487" t="s">
        <v>251</v>
      </c>
      <c r="H371" s="487" t="s">
        <v>251</v>
      </c>
      <c r="I371" s="487" t="s">
        <v>251</v>
      </c>
      <c r="J371" s="487" t="s">
        <v>251</v>
      </c>
      <c r="K371" s="487"/>
      <c r="L371" s="487" t="s">
        <v>251</v>
      </c>
      <c r="M371" s="487" t="s">
        <v>251</v>
      </c>
      <c r="N371" s="487" t="s">
        <v>251</v>
      </c>
      <c r="O371" s="487" t="s">
        <v>251</v>
      </c>
      <c r="P371" s="1496">
        <f t="shared" si="38"/>
        <v>0</v>
      </c>
      <c r="Q371" s="640">
        <f t="shared" si="40"/>
        <v>0</v>
      </c>
      <c r="R371" s="559" t="s">
        <v>251</v>
      </c>
      <c r="S371" s="561" t="s">
        <v>251</v>
      </c>
      <c r="T371" s="561" t="s">
        <v>251</v>
      </c>
      <c r="U371" s="561"/>
      <c r="V371" s="561"/>
      <c r="W371" s="561"/>
      <c r="X371" s="561"/>
      <c r="Y371" s="561"/>
      <c r="Z371" s="561"/>
      <c r="AA371" s="561"/>
      <c r="AB371" s="561"/>
      <c r="AC371" s="561"/>
      <c r="AD371" s="640">
        <f t="shared" si="36"/>
        <v>0</v>
      </c>
      <c r="AE371" s="568">
        <f t="shared" si="42"/>
        <v>0</v>
      </c>
      <c r="AF371" s="569">
        <f t="shared" si="41"/>
        <v>189</v>
      </c>
    </row>
    <row r="372" spans="1:32" x14ac:dyDescent="0.3">
      <c r="A372" s="12" t="s">
        <v>439</v>
      </c>
      <c r="B372" s="655" t="s">
        <v>453</v>
      </c>
      <c r="C372" s="486"/>
      <c r="D372" s="487" t="s">
        <v>251</v>
      </c>
      <c r="E372" s="487" t="s">
        <v>251</v>
      </c>
      <c r="F372" s="487" t="s">
        <v>251</v>
      </c>
      <c r="G372" s="487" t="s">
        <v>251</v>
      </c>
      <c r="H372" s="487" t="s">
        <v>251</v>
      </c>
      <c r="I372" s="487" t="s">
        <v>251</v>
      </c>
      <c r="J372" s="487" t="s">
        <v>251</v>
      </c>
      <c r="K372" s="487"/>
      <c r="L372" s="487" t="s">
        <v>251</v>
      </c>
      <c r="M372" s="487" t="s">
        <v>251</v>
      </c>
      <c r="N372" s="487" t="s">
        <v>251</v>
      </c>
      <c r="O372" s="487" t="s">
        <v>251</v>
      </c>
      <c r="P372" s="1496">
        <f t="shared" si="38"/>
        <v>0</v>
      </c>
      <c r="Q372" s="640">
        <f t="shared" si="40"/>
        <v>0</v>
      </c>
      <c r="R372" s="559" t="s">
        <v>251</v>
      </c>
      <c r="S372" s="561" t="s">
        <v>251</v>
      </c>
      <c r="T372" s="561" t="s">
        <v>251</v>
      </c>
      <c r="U372" s="561"/>
      <c r="V372" s="561"/>
      <c r="W372" s="561"/>
      <c r="X372" s="561"/>
      <c r="Y372" s="561"/>
      <c r="Z372" s="561"/>
      <c r="AA372" s="561"/>
      <c r="AB372" s="561"/>
      <c r="AC372" s="561"/>
      <c r="AD372" s="640">
        <f>SUM(R372:AC372)</f>
        <v>0</v>
      </c>
      <c r="AE372" s="568">
        <f t="shared" si="42"/>
        <v>0</v>
      </c>
      <c r="AF372" s="569">
        <f t="shared" si="41"/>
        <v>189</v>
      </c>
    </row>
    <row r="373" spans="1:32" x14ac:dyDescent="0.3">
      <c r="A373" s="12" t="s">
        <v>439</v>
      </c>
      <c r="B373" s="655" t="s">
        <v>454</v>
      </c>
      <c r="C373" s="486"/>
      <c r="D373" s="487" t="s">
        <v>251</v>
      </c>
      <c r="E373" s="487" t="s">
        <v>251</v>
      </c>
      <c r="F373" s="487" t="s">
        <v>251</v>
      </c>
      <c r="G373" s="487" t="s">
        <v>251</v>
      </c>
      <c r="H373" s="487" t="s">
        <v>251</v>
      </c>
      <c r="I373" s="487" t="s">
        <v>251</v>
      </c>
      <c r="J373" s="487" t="s">
        <v>251</v>
      </c>
      <c r="K373" s="487"/>
      <c r="L373" s="487" t="s">
        <v>251</v>
      </c>
      <c r="M373" s="487" t="s">
        <v>251</v>
      </c>
      <c r="N373" s="487" t="s">
        <v>251</v>
      </c>
      <c r="O373" s="487" t="s">
        <v>251</v>
      </c>
      <c r="P373" s="1496">
        <f t="shared" si="38"/>
        <v>0</v>
      </c>
      <c r="Q373" s="640">
        <f t="shared" si="40"/>
        <v>0</v>
      </c>
      <c r="R373" s="559" t="s">
        <v>251</v>
      </c>
      <c r="S373" s="561" t="s">
        <v>251</v>
      </c>
      <c r="T373" s="561" t="s">
        <v>251</v>
      </c>
      <c r="U373" s="561"/>
      <c r="V373" s="561"/>
      <c r="W373" s="561"/>
      <c r="X373" s="561"/>
      <c r="Y373" s="561"/>
      <c r="Z373" s="561"/>
      <c r="AA373" s="561"/>
      <c r="AB373" s="561"/>
      <c r="AC373" s="561"/>
      <c r="AD373" s="640">
        <f t="shared" ref="AD373:AD447" si="43">SUM(R373:AC373)</f>
        <v>0</v>
      </c>
      <c r="AE373" s="568">
        <f t="shared" si="42"/>
        <v>0</v>
      </c>
      <c r="AF373" s="569">
        <f t="shared" si="41"/>
        <v>189</v>
      </c>
    </row>
    <row r="374" spans="1:32" x14ac:dyDescent="0.3">
      <c r="A374" s="12" t="s">
        <v>439</v>
      </c>
      <c r="B374" s="655" t="s">
        <v>455</v>
      </c>
      <c r="C374" s="486"/>
      <c r="D374" s="487" t="s">
        <v>251</v>
      </c>
      <c r="E374" s="487" t="s">
        <v>251</v>
      </c>
      <c r="F374" s="487" t="s">
        <v>251</v>
      </c>
      <c r="G374" s="487" t="s">
        <v>251</v>
      </c>
      <c r="H374" s="487" t="s">
        <v>251</v>
      </c>
      <c r="I374" s="487" t="s">
        <v>251</v>
      </c>
      <c r="J374" s="487" t="s">
        <v>251</v>
      </c>
      <c r="K374" s="487"/>
      <c r="L374" s="487" t="s">
        <v>251</v>
      </c>
      <c r="M374" s="487" t="s">
        <v>251</v>
      </c>
      <c r="N374" s="487" t="s">
        <v>251</v>
      </c>
      <c r="O374" s="487" t="s">
        <v>251</v>
      </c>
      <c r="P374" s="1496">
        <f t="shared" si="38"/>
        <v>0</v>
      </c>
      <c r="Q374" s="640">
        <f t="shared" si="40"/>
        <v>0</v>
      </c>
      <c r="R374" s="559" t="s">
        <v>251</v>
      </c>
      <c r="S374" s="561" t="s">
        <v>251</v>
      </c>
      <c r="T374" s="561" t="s">
        <v>251</v>
      </c>
      <c r="U374" s="561"/>
      <c r="V374" s="561"/>
      <c r="W374" s="561"/>
      <c r="X374" s="561"/>
      <c r="Y374" s="561"/>
      <c r="Z374" s="561"/>
      <c r="AA374" s="561"/>
      <c r="AB374" s="561"/>
      <c r="AC374" s="561"/>
      <c r="AD374" s="640">
        <f t="shared" si="43"/>
        <v>0</v>
      </c>
      <c r="AE374" s="568">
        <f t="shared" si="42"/>
        <v>0</v>
      </c>
      <c r="AF374" s="569">
        <f t="shared" si="41"/>
        <v>189</v>
      </c>
    </row>
    <row r="375" spans="1:32" x14ac:dyDescent="0.3">
      <c r="A375" s="12" t="s">
        <v>439</v>
      </c>
      <c r="B375" s="655" t="s">
        <v>456</v>
      </c>
      <c r="C375" s="486"/>
      <c r="D375" s="487" t="s">
        <v>251</v>
      </c>
      <c r="E375" s="487" t="s">
        <v>251</v>
      </c>
      <c r="F375" s="487" t="s">
        <v>251</v>
      </c>
      <c r="G375" s="487" t="s">
        <v>251</v>
      </c>
      <c r="H375" s="487" t="s">
        <v>251</v>
      </c>
      <c r="I375" s="487" t="s">
        <v>251</v>
      </c>
      <c r="J375" s="487" t="s">
        <v>251</v>
      </c>
      <c r="K375" s="487"/>
      <c r="L375" s="487" t="s">
        <v>251</v>
      </c>
      <c r="M375" s="487" t="s">
        <v>251</v>
      </c>
      <c r="N375" s="487" t="s">
        <v>251</v>
      </c>
      <c r="O375" s="487" t="s">
        <v>251</v>
      </c>
      <c r="P375" s="1496">
        <f t="shared" si="38"/>
        <v>0</v>
      </c>
      <c r="Q375" s="640">
        <f t="shared" si="40"/>
        <v>0</v>
      </c>
      <c r="R375" s="559" t="s">
        <v>251</v>
      </c>
      <c r="S375" s="561" t="s">
        <v>251</v>
      </c>
      <c r="T375" s="561" t="s">
        <v>251</v>
      </c>
      <c r="U375" s="561"/>
      <c r="V375" s="561"/>
      <c r="W375" s="561"/>
      <c r="X375" s="561"/>
      <c r="Y375" s="561"/>
      <c r="Z375" s="561"/>
      <c r="AA375" s="561"/>
      <c r="AB375" s="561"/>
      <c r="AC375" s="561"/>
      <c r="AD375" s="640">
        <f t="shared" si="43"/>
        <v>0</v>
      </c>
      <c r="AE375" s="568">
        <f t="shared" si="42"/>
        <v>0</v>
      </c>
      <c r="AF375" s="569">
        <f t="shared" si="41"/>
        <v>189</v>
      </c>
    </row>
    <row r="376" spans="1:32" x14ac:dyDescent="0.3">
      <c r="A376" s="12" t="s">
        <v>439</v>
      </c>
      <c r="B376" s="655" t="s">
        <v>457</v>
      </c>
      <c r="C376" s="486"/>
      <c r="D376" s="487" t="s">
        <v>251</v>
      </c>
      <c r="E376" s="487" t="s">
        <v>251</v>
      </c>
      <c r="F376" s="487" t="s">
        <v>251</v>
      </c>
      <c r="G376" s="487" t="s">
        <v>251</v>
      </c>
      <c r="H376" s="487" t="s">
        <v>251</v>
      </c>
      <c r="I376" s="487" t="s">
        <v>251</v>
      </c>
      <c r="J376" s="487" t="s">
        <v>251</v>
      </c>
      <c r="K376" s="487"/>
      <c r="L376" s="487" t="s">
        <v>251</v>
      </c>
      <c r="M376" s="487" t="s">
        <v>251</v>
      </c>
      <c r="N376" s="487" t="s">
        <v>251</v>
      </c>
      <c r="O376" s="487" t="s">
        <v>251</v>
      </c>
      <c r="P376" s="1496">
        <f t="shared" si="38"/>
        <v>0</v>
      </c>
      <c r="Q376" s="640">
        <f t="shared" si="40"/>
        <v>0</v>
      </c>
      <c r="R376" s="559" t="s">
        <v>251</v>
      </c>
      <c r="S376" s="561" t="s">
        <v>251</v>
      </c>
      <c r="T376" s="561" t="s">
        <v>251</v>
      </c>
      <c r="U376" s="561"/>
      <c r="V376" s="561"/>
      <c r="W376" s="561"/>
      <c r="X376" s="561"/>
      <c r="Y376" s="561"/>
      <c r="Z376" s="561"/>
      <c r="AA376" s="561"/>
      <c r="AB376" s="561"/>
      <c r="AC376" s="561"/>
      <c r="AD376" s="640">
        <f t="shared" si="43"/>
        <v>0</v>
      </c>
      <c r="AE376" s="568">
        <f t="shared" si="42"/>
        <v>0</v>
      </c>
      <c r="AF376" s="569">
        <f t="shared" si="41"/>
        <v>189</v>
      </c>
    </row>
    <row r="377" spans="1:32" x14ac:dyDescent="0.3">
      <c r="A377" s="12" t="s">
        <v>439</v>
      </c>
      <c r="B377" s="655" t="s">
        <v>458</v>
      </c>
      <c r="C377" s="486"/>
      <c r="D377" s="487">
        <v>0</v>
      </c>
      <c r="E377" s="487">
        <v>0</v>
      </c>
      <c r="F377" s="487">
        <v>0</v>
      </c>
      <c r="G377" s="487">
        <v>0</v>
      </c>
      <c r="H377" s="487">
        <v>0</v>
      </c>
      <c r="I377" s="487">
        <v>0</v>
      </c>
      <c r="J377" s="487" t="s">
        <v>251</v>
      </c>
      <c r="K377" s="487"/>
      <c r="L377" s="487">
        <v>0</v>
      </c>
      <c r="M377" s="487">
        <v>0</v>
      </c>
      <c r="N377" s="487">
        <v>0</v>
      </c>
      <c r="O377" s="487">
        <v>29370</v>
      </c>
      <c r="P377" s="1496">
        <f t="shared" si="38"/>
        <v>0</v>
      </c>
      <c r="Q377" s="640">
        <f t="shared" si="40"/>
        <v>29370</v>
      </c>
      <c r="R377" s="559" t="s">
        <v>251</v>
      </c>
      <c r="S377" s="561" t="s">
        <v>251</v>
      </c>
      <c r="T377" s="561" t="s">
        <v>251</v>
      </c>
      <c r="U377" s="561"/>
      <c r="V377" s="561"/>
      <c r="W377" s="561"/>
      <c r="X377" s="561"/>
      <c r="Y377" s="561"/>
      <c r="Z377" s="561"/>
      <c r="AA377" s="561"/>
      <c r="AB377" s="561"/>
      <c r="AC377" s="561"/>
      <c r="AD377" s="640">
        <f t="shared" si="43"/>
        <v>0</v>
      </c>
      <c r="AE377" s="568">
        <f t="shared" si="42"/>
        <v>0</v>
      </c>
      <c r="AF377" s="569">
        <f t="shared" si="41"/>
        <v>189</v>
      </c>
    </row>
    <row r="378" spans="1:32" x14ac:dyDescent="0.3">
      <c r="A378" s="12" t="s">
        <v>439</v>
      </c>
      <c r="B378" s="655" t="s">
        <v>68</v>
      </c>
      <c r="C378" s="486"/>
      <c r="D378" s="487" t="s">
        <v>251</v>
      </c>
      <c r="E378" s="487" t="s">
        <v>251</v>
      </c>
      <c r="F378" s="487" t="s">
        <v>251</v>
      </c>
      <c r="G378" s="487" t="s">
        <v>251</v>
      </c>
      <c r="H378" s="487" t="s">
        <v>251</v>
      </c>
      <c r="I378" s="487" t="s">
        <v>251</v>
      </c>
      <c r="J378" s="487" t="s">
        <v>251</v>
      </c>
      <c r="K378" s="487"/>
      <c r="L378" s="487" t="s">
        <v>251</v>
      </c>
      <c r="M378" s="487" t="s">
        <v>251</v>
      </c>
      <c r="N378" s="487" t="s">
        <v>251</v>
      </c>
      <c r="O378" s="487" t="s">
        <v>251</v>
      </c>
      <c r="P378" s="1496">
        <f t="shared" si="38"/>
        <v>0</v>
      </c>
      <c r="Q378" s="640">
        <f t="shared" si="40"/>
        <v>0</v>
      </c>
      <c r="R378" s="559" t="s">
        <v>251</v>
      </c>
      <c r="S378" s="561" t="s">
        <v>251</v>
      </c>
      <c r="T378" s="561" t="s">
        <v>251</v>
      </c>
      <c r="U378" s="561"/>
      <c r="V378" s="561"/>
      <c r="W378" s="561"/>
      <c r="X378" s="561"/>
      <c r="Y378" s="561"/>
      <c r="Z378" s="561"/>
      <c r="AA378" s="561"/>
      <c r="AB378" s="561"/>
      <c r="AC378" s="561"/>
      <c r="AD378" s="640">
        <f t="shared" si="43"/>
        <v>0</v>
      </c>
      <c r="AE378" s="568">
        <f t="shared" si="42"/>
        <v>0</v>
      </c>
      <c r="AF378" s="569">
        <f t="shared" si="41"/>
        <v>189</v>
      </c>
    </row>
    <row r="379" spans="1:32" x14ac:dyDescent="0.3">
      <c r="A379" s="12" t="s">
        <v>439</v>
      </c>
      <c r="B379" s="655" t="s">
        <v>559</v>
      </c>
      <c r="C379" s="486"/>
      <c r="D379" s="487">
        <v>0</v>
      </c>
      <c r="E379" s="487">
        <v>0</v>
      </c>
      <c r="F379" s="487">
        <v>0</v>
      </c>
      <c r="G379" s="487">
        <v>0</v>
      </c>
      <c r="H379" s="487">
        <v>0</v>
      </c>
      <c r="I379" s="487">
        <v>0</v>
      </c>
      <c r="J379" s="487">
        <v>0</v>
      </c>
      <c r="K379" s="487"/>
      <c r="L379" s="487">
        <v>30460</v>
      </c>
      <c r="M379" s="487">
        <v>0</v>
      </c>
      <c r="N379" s="487">
        <v>0</v>
      </c>
      <c r="O379" s="487">
        <v>0</v>
      </c>
      <c r="P379" s="1496">
        <f t="shared" si="38"/>
        <v>0</v>
      </c>
      <c r="Q379" s="640">
        <f t="shared" si="40"/>
        <v>30460</v>
      </c>
      <c r="R379" s="559" t="s">
        <v>251</v>
      </c>
      <c r="S379" s="561" t="s">
        <v>251</v>
      </c>
      <c r="T379" s="561" t="s">
        <v>251</v>
      </c>
      <c r="U379" s="561"/>
      <c r="V379" s="561"/>
      <c r="W379" s="561"/>
      <c r="X379" s="561">
        <v>157750</v>
      </c>
      <c r="Y379" s="561">
        <v>0</v>
      </c>
      <c r="Z379" s="561"/>
      <c r="AA379" s="561"/>
      <c r="AB379" s="561"/>
      <c r="AC379" s="561"/>
      <c r="AD379" s="640">
        <f t="shared" si="43"/>
        <v>157750</v>
      </c>
      <c r="AE379" s="568">
        <f t="shared" si="42"/>
        <v>1</v>
      </c>
      <c r="AF379" s="569">
        <f t="shared" si="41"/>
        <v>140</v>
      </c>
    </row>
    <row r="380" spans="1:32" x14ac:dyDescent="0.3">
      <c r="A380" s="12" t="s">
        <v>439</v>
      </c>
      <c r="B380" s="655" t="s">
        <v>577</v>
      </c>
      <c r="C380" s="486"/>
      <c r="D380" s="487">
        <v>0</v>
      </c>
      <c r="E380" s="487">
        <v>0</v>
      </c>
      <c r="F380" s="487">
        <v>0</v>
      </c>
      <c r="G380" s="487">
        <v>0</v>
      </c>
      <c r="H380" s="487">
        <v>0</v>
      </c>
      <c r="I380" s="487">
        <v>0</v>
      </c>
      <c r="J380" s="487">
        <v>167910</v>
      </c>
      <c r="K380" s="487">
        <v>167910</v>
      </c>
      <c r="L380" s="487">
        <v>0</v>
      </c>
      <c r="M380" s="487">
        <v>0</v>
      </c>
      <c r="N380" s="487">
        <v>0</v>
      </c>
      <c r="O380" s="487">
        <v>0</v>
      </c>
      <c r="P380" s="1496">
        <f t="shared" si="38"/>
        <v>167910</v>
      </c>
      <c r="Q380" s="640">
        <f t="shared" si="40"/>
        <v>167910</v>
      </c>
      <c r="R380" s="559" t="s">
        <v>251</v>
      </c>
      <c r="S380" s="561" t="s">
        <v>251</v>
      </c>
      <c r="T380" s="561" t="s">
        <v>251</v>
      </c>
      <c r="U380" s="561"/>
      <c r="V380" s="561"/>
      <c r="W380" s="561"/>
      <c r="X380" s="561"/>
      <c r="Y380" s="561"/>
      <c r="Z380" s="561"/>
      <c r="AA380" s="561"/>
      <c r="AB380" s="561"/>
      <c r="AC380" s="561"/>
      <c r="AD380" s="640">
        <f t="shared" si="43"/>
        <v>0</v>
      </c>
      <c r="AE380" s="568">
        <f t="shared" si="42"/>
        <v>-1</v>
      </c>
      <c r="AF380" s="569">
        <f t="shared" si="41"/>
        <v>189</v>
      </c>
    </row>
    <row r="381" spans="1:32" x14ac:dyDescent="0.3">
      <c r="A381" s="12" t="s">
        <v>439</v>
      </c>
      <c r="B381" s="655" t="s">
        <v>562</v>
      </c>
      <c r="C381" s="486"/>
      <c r="D381" s="487">
        <v>0</v>
      </c>
      <c r="E381" s="487">
        <v>0</v>
      </c>
      <c r="F381" s="487">
        <v>0</v>
      </c>
      <c r="G381" s="487">
        <v>0</v>
      </c>
      <c r="H381" s="487">
        <v>0</v>
      </c>
      <c r="I381" s="487">
        <v>0</v>
      </c>
      <c r="J381" s="487">
        <v>40260</v>
      </c>
      <c r="K381" s="487"/>
      <c r="L381" s="487">
        <v>0</v>
      </c>
      <c r="M381" s="487">
        <v>0</v>
      </c>
      <c r="N381" s="487">
        <v>0</v>
      </c>
      <c r="O381" s="487">
        <v>0</v>
      </c>
      <c r="P381" s="1496">
        <f t="shared" si="38"/>
        <v>0</v>
      </c>
      <c r="Q381" s="640">
        <f t="shared" si="40"/>
        <v>40260</v>
      </c>
      <c r="R381" s="559" t="s">
        <v>251</v>
      </c>
      <c r="S381" s="561" t="s">
        <v>251</v>
      </c>
      <c r="T381" s="561" t="s">
        <v>251</v>
      </c>
      <c r="U381" s="561"/>
      <c r="V381" s="561"/>
      <c r="W381" s="561"/>
      <c r="X381" s="561"/>
      <c r="Y381" s="561"/>
      <c r="Z381" s="561"/>
      <c r="AA381" s="561"/>
      <c r="AB381" s="561"/>
      <c r="AC381" s="561"/>
      <c r="AD381" s="640">
        <f t="shared" si="43"/>
        <v>0</v>
      </c>
      <c r="AE381" s="568">
        <f t="shared" si="42"/>
        <v>0</v>
      </c>
      <c r="AF381" s="569">
        <f t="shared" si="41"/>
        <v>189</v>
      </c>
    </row>
    <row r="382" spans="1:32" x14ac:dyDescent="0.3">
      <c r="A382" s="12" t="s">
        <v>439</v>
      </c>
      <c r="B382" s="655" t="s">
        <v>570</v>
      </c>
      <c r="C382" s="486"/>
      <c r="D382" s="487">
        <v>0</v>
      </c>
      <c r="E382" s="487">
        <v>0</v>
      </c>
      <c r="F382" s="487">
        <v>0</v>
      </c>
      <c r="G382" s="487">
        <v>0</v>
      </c>
      <c r="H382" s="487">
        <v>0</v>
      </c>
      <c r="I382" s="487">
        <v>301210</v>
      </c>
      <c r="J382" s="487">
        <v>0</v>
      </c>
      <c r="K382" s="487">
        <v>0</v>
      </c>
      <c r="L382" s="487">
        <v>153850</v>
      </c>
      <c r="M382" s="487">
        <v>0</v>
      </c>
      <c r="N382" s="487">
        <v>0</v>
      </c>
      <c r="O382" s="487">
        <v>0</v>
      </c>
      <c r="P382" s="1496">
        <f t="shared" si="38"/>
        <v>301210</v>
      </c>
      <c r="Q382" s="640">
        <f t="shared" si="40"/>
        <v>455060</v>
      </c>
      <c r="R382" s="559" t="s">
        <v>251</v>
      </c>
      <c r="S382" s="561" t="s">
        <v>251</v>
      </c>
      <c r="T382" s="561" t="s">
        <v>251</v>
      </c>
      <c r="U382" s="561"/>
      <c r="V382" s="561"/>
      <c r="W382" s="561"/>
      <c r="X382" s="561"/>
      <c r="Y382" s="561"/>
      <c r="Z382" s="561"/>
      <c r="AA382" s="561"/>
      <c r="AB382" s="561"/>
      <c r="AC382" s="561"/>
      <c r="AD382" s="640">
        <f t="shared" si="43"/>
        <v>0</v>
      </c>
      <c r="AE382" s="568">
        <f t="shared" si="42"/>
        <v>-1</v>
      </c>
      <c r="AF382" s="569">
        <f t="shared" si="41"/>
        <v>189</v>
      </c>
    </row>
    <row r="383" spans="1:32" x14ac:dyDescent="0.3">
      <c r="A383" s="12" t="s">
        <v>439</v>
      </c>
      <c r="B383" s="655" t="s">
        <v>587</v>
      </c>
      <c r="C383" s="486"/>
      <c r="D383" s="487">
        <v>0</v>
      </c>
      <c r="E383" s="487">
        <v>0</v>
      </c>
      <c r="F383" s="487">
        <v>0</v>
      </c>
      <c r="G383" s="487">
        <v>0</v>
      </c>
      <c r="H383" s="487">
        <v>0</v>
      </c>
      <c r="I383" s="487">
        <v>27820</v>
      </c>
      <c r="J383" s="487">
        <v>27910</v>
      </c>
      <c r="K383" s="487">
        <v>27910</v>
      </c>
      <c r="L383" s="487">
        <v>0</v>
      </c>
      <c r="M383" s="487">
        <v>0</v>
      </c>
      <c r="N383" s="487">
        <v>29080</v>
      </c>
      <c r="O383" s="487">
        <v>0</v>
      </c>
      <c r="P383" s="1496">
        <f t="shared" si="38"/>
        <v>55730</v>
      </c>
      <c r="Q383" s="640">
        <f t="shared" si="40"/>
        <v>84810</v>
      </c>
      <c r="R383" s="559" t="s">
        <v>251</v>
      </c>
      <c r="S383" s="561">
        <v>58560</v>
      </c>
      <c r="T383" s="561">
        <v>13310</v>
      </c>
      <c r="U383" s="561">
        <v>0</v>
      </c>
      <c r="V383" s="561">
        <v>0</v>
      </c>
      <c r="W383" s="561">
        <v>0</v>
      </c>
      <c r="X383" s="561">
        <v>0</v>
      </c>
      <c r="Y383" s="561">
        <v>0</v>
      </c>
      <c r="Z383" s="561"/>
      <c r="AA383" s="561"/>
      <c r="AB383" s="561"/>
      <c r="AC383" s="561"/>
      <c r="AD383" s="640">
        <f t="shared" si="43"/>
        <v>71870</v>
      </c>
      <c r="AE383" s="568">
        <f t="shared" si="42"/>
        <v>0.28961062264489501</v>
      </c>
      <c r="AF383" s="569">
        <f t="shared" ref="AF383:AF414" si="44">IFERROR(_xlfn.RANK.EQ(AD383, $AD$2:$AD$483), "")</f>
        <v>163</v>
      </c>
    </row>
    <row r="384" spans="1:32" x14ac:dyDescent="0.3">
      <c r="A384" s="12" t="s">
        <v>439</v>
      </c>
      <c r="B384" s="655" t="s">
        <v>459</v>
      </c>
      <c r="C384" s="486"/>
      <c r="D384" s="487">
        <v>0</v>
      </c>
      <c r="E384" s="487">
        <v>0</v>
      </c>
      <c r="F384" s="487">
        <v>0</v>
      </c>
      <c r="G384" s="487">
        <v>0</v>
      </c>
      <c r="H384" s="487">
        <v>117700</v>
      </c>
      <c r="I384" s="487">
        <v>55310</v>
      </c>
      <c r="J384" s="487">
        <v>0</v>
      </c>
      <c r="K384" s="487">
        <v>0</v>
      </c>
      <c r="L384" s="487">
        <v>27830</v>
      </c>
      <c r="M384" s="487">
        <v>56810</v>
      </c>
      <c r="N384" s="487">
        <v>0</v>
      </c>
      <c r="O384" s="487">
        <v>0</v>
      </c>
      <c r="P384" s="1496">
        <f t="shared" si="38"/>
        <v>173010</v>
      </c>
      <c r="Q384" s="640">
        <f t="shared" si="40"/>
        <v>257650</v>
      </c>
      <c r="R384" s="559" t="s">
        <v>251</v>
      </c>
      <c r="S384" s="561" t="s">
        <v>251</v>
      </c>
      <c r="T384" s="561" t="s">
        <v>251</v>
      </c>
      <c r="U384" s="561"/>
      <c r="V384" s="561"/>
      <c r="W384" s="561"/>
      <c r="X384" s="561"/>
      <c r="Y384" s="561"/>
      <c r="Z384" s="561"/>
      <c r="AA384" s="561"/>
      <c r="AB384" s="561"/>
      <c r="AC384" s="561"/>
      <c r="AD384" s="640">
        <f t="shared" si="43"/>
        <v>0</v>
      </c>
      <c r="AE384" s="568">
        <f t="shared" si="42"/>
        <v>-1</v>
      </c>
      <c r="AF384" s="569">
        <f t="shared" si="44"/>
        <v>189</v>
      </c>
    </row>
    <row r="385" spans="1:32" x14ac:dyDescent="0.3">
      <c r="A385" s="12" t="s">
        <v>439</v>
      </c>
      <c r="B385" s="655" t="s">
        <v>580</v>
      </c>
      <c r="C385" s="486"/>
      <c r="D385" s="487">
        <v>0</v>
      </c>
      <c r="E385" s="487">
        <v>0</v>
      </c>
      <c r="F385" s="487">
        <v>0</v>
      </c>
      <c r="G385" s="487">
        <v>0</v>
      </c>
      <c r="H385" s="487">
        <v>0</v>
      </c>
      <c r="I385" s="487">
        <v>27360</v>
      </c>
      <c r="J385" s="487">
        <v>0</v>
      </c>
      <c r="K385" s="487">
        <v>0</v>
      </c>
      <c r="L385" s="487">
        <v>0</v>
      </c>
      <c r="M385" s="487">
        <v>0</v>
      </c>
      <c r="N385" s="487">
        <v>0</v>
      </c>
      <c r="O385" s="487">
        <v>0</v>
      </c>
      <c r="P385" s="1496">
        <f t="shared" si="38"/>
        <v>27360</v>
      </c>
      <c r="Q385" s="640">
        <f t="shared" si="40"/>
        <v>27360</v>
      </c>
      <c r="R385" s="559" t="s">
        <v>251</v>
      </c>
      <c r="S385" s="561" t="s">
        <v>251</v>
      </c>
      <c r="T385" s="561" t="s">
        <v>251</v>
      </c>
      <c r="U385" s="561"/>
      <c r="V385" s="561"/>
      <c r="W385" s="561"/>
      <c r="X385" s="561"/>
      <c r="Y385" s="561"/>
      <c r="Z385" s="561"/>
      <c r="AA385" s="561"/>
      <c r="AB385" s="561"/>
      <c r="AC385" s="561"/>
      <c r="AD385" s="640">
        <f t="shared" si="43"/>
        <v>0</v>
      </c>
      <c r="AE385" s="568">
        <f t="shared" si="42"/>
        <v>-1</v>
      </c>
      <c r="AF385" s="569">
        <f t="shared" si="44"/>
        <v>189</v>
      </c>
    </row>
    <row r="386" spans="1:32" x14ac:dyDescent="0.3">
      <c r="A386" s="12" t="s">
        <v>439</v>
      </c>
      <c r="B386" s="655" t="s">
        <v>460</v>
      </c>
      <c r="C386" s="486"/>
      <c r="D386" s="487">
        <v>0</v>
      </c>
      <c r="E386" s="487">
        <v>0</v>
      </c>
      <c r="F386" s="487">
        <v>0</v>
      </c>
      <c r="G386" s="487">
        <v>0</v>
      </c>
      <c r="H386" s="487">
        <v>0</v>
      </c>
      <c r="I386" s="487">
        <v>0</v>
      </c>
      <c r="J386" s="487">
        <v>0</v>
      </c>
      <c r="K386" s="487"/>
      <c r="L386" s="487">
        <v>0</v>
      </c>
      <c r="M386" s="487">
        <v>51710</v>
      </c>
      <c r="N386" s="487">
        <v>66130</v>
      </c>
      <c r="O386" s="487">
        <v>0</v>
      </c>
      <c r="P386" s="1496">
        <f t="shared" si="38"/>
        <v>0</v>
      </c>
      <c r="Q386" s="640">
        <f t="shared" si="40"/>
        <v>117840</v>
      </c>
      <c r="R386" s="559" t="s">
        <v>251</v>
      </c>
      <c r="S386" s="561" t="s">
        <v>251</v>
      </c>
      <c r="T386" s="561" t="s">
        <v>251</v>
      </c>
      <c r="U386" s="561"/>
      <c r="V386" s="561"/>
      <c r="W386" s="561"/>
      <c r="X386" s="561"/>
      <c r="Y386" s="561"/>
      <c r="Z386" s="561"/>
      <c r="AA386" s="561"/>
      <c r="AB386" s="561"/>
      <c r="AC386" s="561"/>
      <c r="AD386" s="640">
        <f t="shared" si="43"/>
        <v>0</v>
      </c>
      <c r="AE386" s="568">
        <f t="shared" si="42"/>
        <v>0</v>
      </c>
      <c r="AF386" s="569">
        <f t="shared" si="44"/>
        <v>189</v>
      </c>
    </row>
    <row r="387" spans="1:32" x14ac:dyDescent="0.3">
      <c r="A387" s="12" t="s">
        <v>439</v>
      </c>
      <c r="B387" s="655" t="s">
        <v>512</v>
      </c>
      <c r="C387" s="486"/>
      <c r="D387" s="487" t="s">
        <v>251</v>
      </c>
      <c r="E387" s="487" t="s">
        <v>251</v>
      </c>
      <c r="F387" s="487" t="s">
        <v>251</v>
      </c>
      <c r="G387" s="487" t="s">
        <v>251</v>
      </c>
      <c r="H387" s="487" t="s">
        <v>251</v>
      </c>
      <c r="I387" s="487" t="s">
        <v>251</v>
      </c>
      <c r="J387" s="487" t="s">
        <v>251</v>
      </c>
      <c r="K387" s="487"/>
      <c r="L387" s="487" t="s">
        <v>251</v>
      </c>
      <c r="M387" s="487" t="s">
        <v>251</v>
      </c>
      <c r="N387" s="487" t="s">
        <v>251</v>
      </c>
      <c r="O387" s="487" t="s">
        <v>251</v>
      </c>
      <c r="P387" s="1496">
        <f t="shared" si="38"/>
        <v>0</v>
      </c>
      <c r="Q387" s="640">
        <f t="shared" si="40"/>
        <v>0</v>
      </c>
      <c r="R387" s="559" t="s">
        <v>251</v>
      </c>
      <c r="S387" s="561" t="s">
        <v>251</v>
      </c>
      <c r="T387" s="561" t="s">
        <v>251</v>
      </c>
      <c r="U387" s="561"/>
      <c r="V387" s="561"/>
      <c r="W387" s="561"/>
      <c r="X387" s="561"/>
      <c r="Y387" s="561"/>
      <c r="Z387" s="561"/>
      <c r="AA387" s="561"/>
      <c r="AB387" s="561"/>
      <c r="AC387" s="561"/>
      <c r="AD387" s="640">
        <f t="shared" si="43"/>
        <v>0</v>
      </c>
      <c r="AE387" s="568">
        <f t="shared" si="42"/>
        <v>0</v>
      </c>
      <c r="AF387" s="569">
        <f t="shared" si="44"/>
        <v>189</v>
      </c>
    </row>
    <row r="388" spans="1:32" x14ac:dyDescent="0.3">
      <c r="A388" s="12" t="s">
        <v>439</v>
      </c>
      <c r="B388" s="655" t="s">
        <v>256</v>
      </c>
      <c r="C388" s="486"/>
      <c r="D388" s="487" t="s">
        <v>251</v>
      </c>
      <c r="E388" s="487" t="s">
        <v>251</v>
      </c>
      <c r="F388" s="487" t="s">
        <v>251</v>
      </c>
      <c r="G388" s="487" t="s">
        <v>251</v>
      </c>
      <c r="H388" s="487" t="s">
        <v>251</v>
      </c>
      <c r="I388" s="487" t="s">
        <v>251</v>
      </c>
      <c r="J388" s="487" t="s">
        <v>251</v>
      </c>
      <c r="K388" s="487"/>
      <c r="L388" s="487" t="s">
        <v>251</v>
      </c>
      <c r="M388" s="487" t="s">
        <v>251</v>
      </c>
      <c r="N388" s="487" t="s">
        <v>251</v>
      </c>
      <c r="O388" s="487" t="s">
        <v>251</v>
      </c>
      <c r="P388" s="1496">
        <f t="shared" si="38"/>
        <v>0</v>
      </c>
      <c r="Q388" s="640">
        <f t="shared" si="40"/>
        <v>0</v>
      </c>
      <c r="R388" s="559" t="s">
        <v>251</v>
      </c>
      <c r="S388" s="561" t="s">
        <v>251</v>
      </c>
      <c r="T388" s="561" t="s">
        <v>251</v>
      </c>
      <c r="U388" s="561"/>
      <c r="V388" s="561"/>
      <c r="W388" s="561"/>
      <c r="X388" s="561"/>
      <c r="Y388" s="561"/>
      <c r="Z388" s="561"/>
      <c r="AA388" s="561"/>
      <c r="AB388" s="561"/>
      <c r="AC388" s="561"/>
      <c r="AD388" s="640">
        <f t="shared" si="43"/>
        <v>0</v>
      </c>
      <c r="AE388" s="568">
        <f t="shared" si="42"/>
        <v>0</v>
      </c>
      <c r="AF388" s="569">
        <f t="shared" si="44"/>
        <v>189</v>
      </c>
    </row>
    <row r="389" spans="1:32" x14ac:dyDescent="0.3">
      <c r="A389" s="12" t="s">
        <v>439</v>
      </c>
      <c r="B389" s="655" t="s">
        <v>1710</v>
      </c>
      <c r="C389" s="486"/>
      <c r="D389" s="487" t="s">
        <v>251</v>
      </c>
      <c r="E389" s="487" t="s">
        <v>251</v>
      </c>
      <c r="F389" s="487" t="s">
        <v>251</v>
      </c>
      <c r="G389" s="487" t="s">
        <v>251</v>
      </c>
      <c r="H389" s="487" t="s">
        <v>251</v>
      </c>
      <c r="I389" s="487" t="s">
        <v>251</v>
      </c>
      <c r="J389" s="487" t="s">
        <v>251</v>
      </c>
      <c r="K389" s="487"/>
      <c r="L389" s="487" t="s">
        <v>251</v>
      </c>
      <c r="M389" s="487" t="s">
        <v>251</v>
      </c>
      <c r="N389" s="487" t="s">
        <v>251</v>
      </c>
      <c r="O389" s="487" t="s">
        <v>251</v>
      </c>
      <c r="P389" s="1496">
        <f t="shared" si="38"/>
        <v>0</v>
      </c>
      <c r="Q389" s="640">
        <f t="shared" si="40"/>
        <v>0</v>
      </c>
      <c r="R389" s="559" t="s">
        <v>251</v>
      </c>
      <c r="S389" s="561" t="s">
        <v>251</v>
      </c>
      <c r="T389" s="561" t="s">
        <v>251</v>
      </c>
      <c r="U389" s="561"/>
      <c r="V389" s="561"/>
      <c r="W389" s="561"/>
      <c r="X389" s="561"/>
      <c r="Y389" s="561"/>
      <c r="Z389" s="561"/>
      <c r="AA389" s="561"/>
      <c r="AB389" s="561"/>
      <c r="AC389" s="561"/>
      <c r="AD389" s="640">
        <f t="shared" si="43"/>
        <v>0</v>
      </c>
      <c r="AE389" s="568">
        <f t="shared" si="42"/>
        <v>0</v>
      </c>
      <c r="AF389" s="569">
        <f t="shared" si="44"/>
        <v>189</v>
      </c>
    </row>
    <row r="390" spans="1:32" x14ac:dyDescent="0.3">
      <c r="A390" s="12" t="s">
        <v>439</v>
      </c>
      <c r="B390" s="655" t="s">
        <v>1753</v>
      </c>
      <c r="C390" s="486"/>
      <c r="D390" s="487" t="s">
        <v>251</v>
      </c>
      <c r="E390" s="487" t="s">
        <v>251</v>
      </c>
      <c r="F390" s="487" t="s">
        <v>251</v>
      </c>
      <c r="G390" s="487" t="s">
        <v>251</v>
      </c>
      <c r="H390" s="487" t="s">
        <v>251</v>
      </c>
      <c r="I390" s="487" t="s">
        <v>251</v>
      </c>
      <c r="J390" s="487" t="s">
        <v>251</v>
      </c>
      <c r="K390" s="487"/>
      <c r="L390" s="487" t="s">
        <v>251</v>
      </c>
      <c r="M390" s="487" t="s">
        <v>251</v>
      </c>
      <c r="N390" s="487" t="s">
        <v>251</v>
      </c>
      <c r="O390" s="487" t="s">
        <v>251</v>
      </c>
      <c r="P390" s="1496">
        <f t="shared" si="38"/>
        <v>0</v>
      </c>
      <c r="Q390" s="640">
        <f t="shared" si="40"/>
        <v>0</v>
      </c>
      <c r="R390" s="559" t="s">
        <v>251</v>
      </c>
      <c r="S390" s="561" t="s">
        <v>251</v>
      </c>
      <c r="T390" s="561" t="s">
        <v>251</v>
      </c>
      <c r="U390" s="561"/>
      <c r="V390" s="561"/>
      <c r="W390" s="561"/>
      <c r="X390" s="561"/>
      <c r="Y390" s="561"/>
      <c r="Z390" s="561"/>
      <c r="AA390" s="561"/>
      <c r="AB390" s="561"/>
      <c r="AC390" s="561"/>
      <c r="AD390" s="640">
        <f t="shared" si="43"/>
        <v>0</v>
      </c>
      <c r="AE390" s="568">
        <f t="shared" si="42"/>
        <v>0</v>
      </c>
      <c r="AF390" s="569">
        <f t="shared" si="44"/>
        <v>189</v>
      </c>
    </row>
    <row r="391" spans="1:32" x14ac:dyDescent="0.3">
      <c r="A391" s="12" t="s">
        <v>439</v>
      </c>
      <c r="B391" s="655" t="s">
        <v>1762</v>
      </c>
      <c r="C391" s="486"/>
      <c r="D391" s="487" t="s">
        <v>251</v>
      </c>
      <c r="E391" s="487" t="s">
        <v>251</v>
      </c>
      <c r="F391" s="487" t="s">
        <v>251</v>
      </c>
      <c r="G391" s="487" t="s">
        <v>251</v>
      </c>
      <c r="H391" s="487" t="s">
        <v>251</v>
      </c>
      <c r="I391" s="487" t="s">
        <v>251</v>
      </c>
      <c r="J391" s="487" t="s">
        <v>251</v>
      </c>
      <c r="K391" s="487"/>
      <c r="L391" s="487" t="s">
        <v>251</v>
      </c>
      <c r="M391" s="487" t="s">
        <v>251</v>
      </c>
      <c r="N391" s="487" t="s">
        <v>251</v>
      </c>
      <c r="O391" s="487" t="s">
        <v>251</v>
      </c>
      <c r="P391" s="1496">
        <f t="shared" si="38"/>
        <v>0</v>
      </c>
      <c r="Q391" s="640">
        <f t="shared" si="40"/>
        <v>0</v>
      </c>
      <c r="R391" s="559" t="s">
        <v>251</v>
      </c>
      <c r="S391" s="561" t="s">
        <v>251</v>
      </c>
      <c r="T391" s="561" t="s">
        <v>251</v>
      </c>
      <c r="U391" s="561"/>
      <c r="V391" s="561"/>
      <c r="W391" s="561"/>
      <c r="X391" s="561"/>
      <c r="Y391" s="561"/>
      <c r="Z391" s="561"/>
      <c r="AA391" s="561"/>
      <c r="AB391" s="561"/>
      <c r="AC391" s="561"/>
      <c r="AD391" s="640">
        <f t="shared" si="43"/>
        <v>0</v>
      </c>
      <c r="AE391" s="568">
        <f t="shared" si="42"/>
        <v>0</v>
      </c>
      <c r="AF391" s="569">
        <f t="shared" si="44"/>
        <v>189</v>
      </c>
    </row>
    <row r="392" spans="1:32" x14ac:dyDescent="0.3">
      <c r="A392" s="12" t="s">
        <v>439</v>
      </c>
      <c r="B392" s="655" t="s">
        <v>1073</v>
      </c>
      <c r="C392" s="486"/>
      <c r="D392" s="487" t="s">
        <v>251</v>
      </c>
      <c r="E392" s="487" t="s">
        <v>251</v>
      </c>
      <c r="F392" s="487" t="s">
        <v>251</v>
      </c>
      <c r="G392" s="487" t="s">
        <v>251</v>
      </c>
      <c r="H392" s="487" t="s">
        <v>251</v>
      </c>
      <c r="I392" s="487" t="s">
        <v>251</v>
      </c>
      <c r="J392" s="487" t="s">
        <v>251</v>
      </c>
      <c r="K392" s="487"/>
      <c r="L392" s="487" t="s">
        <v>251</v>
      </c>
      <c r="M392" s="487" t="s">
        <v>251</v>
      </c>
      <c r="N392" s="487" t="s">
        <v>251</v>
      </c>
      <c r="O392" s="487" t="s">
        <v>251</v>
      </c>
      <c r="P392" s="1496">
        <f t="shared" si="38"/>
        <v>0</v>
      </c>
      <c r="Q392" s="640">
        <f t="shared" si="40"/>
        <v>0</v>
      </c>
      <c r="R392" s="559" t="s">
        <v>251</v>
      </c>
      <c r="S392" s="561" t="s">
        <v>251</v>
      </c>
      <c r="T392" s="561" t="s">
        <v>251</v>
      </c>
      <c r="U392" s="561"/>
      <c r="V392" s="561"/>
      <c r="W392" s="561"/>
      <c r="X392" s="561"/>
      <c r="Y392" s="561"/>
      <c r="Z392" s="561"/>
      <c r="AA392" s="561"/>
      <c r="AB392" s="561"/>
      <c r="AC392" s="561"/>
      <c r="AD392" s="640">
        <f t="shared" si="43"/>
        <v>0</v>
      </c>
      <c r="AE392" s="568">
        <f t="shared" si="42"/>
        <v>0</v>
      </c>
      <c r="AF392" s="569">
        <f t="shared" si="44"/>
        <v>189</v>
      </c>
    </row>
    <row r="393" spans="1:32" x14ac:dyDescent="0.3">
      <c r="A393" s="12" t="s">
        <v>439</v>
      </c>
      <c r="B393" s="655" t="s">
        <v>1774</v>
      </c>
      <c r="C393" s="486"/>
      <c r="D393" s="487" t="s">
        <v>251</v>
      </c>
      <c r="E393" s="487" t="s">
        <v>251</v>
      </c>
      <c r="F393" s="487" t="s">
        <v>251</v>
      </c>
      <c r="G393" s="487" t="s">
        <v>251</v>
      </c>
      <c r="H393" s="487" t="s">
        <v>251</v>
      </c>
      <c r="I393" s="487" t="s">
        <v>251</v>
      </c>
      <c r="J393" s="487" t="s">
        <v>251</v>
      </c>
      <c r="K393" s="487"/>
      <c r="L393" s="487" t="s">
        <v>251</v>
      </c>
      <c r="M393" s="487" t="s">
        <v>251</v>
      </c>
      <c r="N393" s="487" t="s">
        <v>251</v>
      </c>
      <c r="O393" s="487" t="s">
        <v>251</v>
      </c>
      <c r="P393" s="1496">
        <f t="shared" si="38"/>
        <v>0</v>
      </c>
      <c r="Q393" s="640">
        <f t="shared" si="40"/>
        <v>0</v>
      </c>
      <c r="R393" s="559" t="s">
        <v>251</v>
      </c>
      <c r="S393" s="561" t="s">
        <v>251</v>
      </c>
      <c r="T393" s="561" t="s">
        <v>251</v>
      </c>
      <c r="U393" s="561"/>
      <c r="V393" s="561"/>
      <c r="W393" s="561"/>
      <c r="X393" s="561"/>
      <c r="Y393" s="561"/>
      <c r="Z393" s="561"/>
      <c r="AA393" s="561"/>
      <c r="AB393" s="561"/>
      <c r="AC393" s="561"/>
      <c r="AD393" s="640">
        <f t="shared" si="43"/>
        <v>0</v>
      </c>
      <c r="AE393" s="568">
        <f t="shared" si="42"/>
        <v>0</v>
      </c>
      <c r="AF393" s="569">
        <f t="shared" si="44"/>
        <v>189</v>
      </c>
    </row>
    <row r="394" spans="1:32" x14ac:dyDescent="0.3">
      <c r="A394" s="12" t="s">
        <v>439</v>
      </c>
      <c r="B394" s="655" t="s">
        <v>1777</v>
      </c>
      <c r="C394" s="486"/>
      <c r="D394" s="487" t="s">
        <v>251</v>
      </c>
      <c r="E394" s="487" t="s">
        <v>251</v>
      </c>
      <c r="F394" s="487" t="s">
        <v>251</v>
      </c>
      <c r="G394" s="487" t="s">
        <v>251</v>
      </c>
      <c r="H394" s="487" t="s">
        <v>251</v>
      </c>
      <c r="I394" s="487" t="s">
        <v>251</v>
      </c>
      <c r="J394" s="487" t="s">
        <v>251</v>
      </c>
      <c r="K394" s="487"/>
      <c r="L394" s="487" t="s">
        <v>251</v>
      </c>
      <c r="M394" s="487" t="s">
        <v>251</v>
      </c>
      <c r="N394" s="487" t="s">
        <v>251</v>
      </c>
      <c r="O394" s="487" t="s">
        <v>251</v>
      </c>
      <c r="P394" s="1496">
        <f t="shared" si="38"/>
        <v>0</v>
      </c>
      <c r="Q394" s="640">
        <f t="shared" si="40"/>
        <v>0</v>
      </c>
      <c r="R394" s="559" t="s">
        <v>251</v>
      </c>
      <c r="S394" s="561" t="s">
        <v>251</v>
      </c>
      <c r="T394" s="561" t="s">
        <v>251</v>
      </c>
      <c r="U394" s="561"/>
      <c r="V394" s="561"/>
      <c r="W394" s="561"/>
      <c r="X394" s="561"/>
      <c r="Y394" s="561"/>
      <c r="Z394" s="561"/>
      <c r="AA394" s="561"/>
      <c r="AB394" s="561"/>
      <c r="AC394" s="561"/>
      <c r="AD394" s="640">
        <f t="shared" si="43"/>
        <v>0</v>
      </c>
      <c r="AE394" s="568">
        <f t="shared" si="42"/>
        <v>0</v>
      </c>
      <c r="AF394" s="569">
        <f t="shared" si="44"/>
        <v>189</v>
      </c>
    </row>
    <row r="395" spans="1:32" x14ac:dyDescent="0.3">
      <c r="A395" s="12" t="s">
        <v>439</v>
      </c>
      <c r="B395" s="655" t="s">
        <v>1782</v>
      </c>
      <c r="C395" s="486"/>
      <c r="D395" s="487" t="s">
        <v>251</v>
      </c>
      <c r="E395" s="487" t="s">
        <v>251</v>
      </c>
      <c r="F395" s="487" t="s">
        <v>251</v>
      </c>
      <c r="G395" s="487" t="s">
        <v>251</v>
      </c>
      <c r="H395" s="487" t="s">
        <v>251</v>
      </c>
      <c r="I395" s="487" t="s">
        <v>251</v>
      </c>
      <c r="J395" s="487" t="s">
        <v>251</v>
      </c>
      <c r="K395" s="487"/>
      <c r="L395" s="487" t="s">
        <v>251</v>
      </c>
      <c r="M395" s="487" t="s">
        <v>251</v>
      </c>
      <c r="N395" s="487" t="s">
        <v>251</v>
      </c>
      <c r="O395" s="487" t="s">
        <v>251</v>
      </c>
      <c r="P395" s="1496">
        <f t="shared" si="38"/>
        <v>0</v>
      </c>
      <c r="Q395" s="640">
        <f t="shared" si="40"/>
        <v>0</v>
      </c>
      <c r="R395" s="559" t="s">
        <v>251</v>
      </c>
      <c r="S395" s="561" t="s">
        <v>251</v>
      </c>
      <c r="T395" s="561" t="s">
        <v>251</v>
      </c>
      <c r="U395" s="561"/>
      <c r="V395" s="561"/>
      <c r="W395" s="561"/>
      <c r="X395" s="561"/>
      <c r="Y395" s="561"/>
      <c r="Z395" s="561"/>
      <c r="AA395" s="561"/>
      <c r="AB395" s="561"/>
      <c r="AC395" s="561"/>
      <c r="AD395" s="640">
        <f t="shared" si="43"/>
        <v>0</v>
      </c>
      <c r="AE395" s="568">
        <f t="shared" si="42"/>
        <v>0</v>
      </c>
      <c r="AF395" s="569">
        <f t="shared" si="44"/>
        <v>189</v>
      </c>
    </row>
    <row r="396" spans="1:32" x14ac:dyDescent="0.3">
      <c r="A396" s="12" t="s">
        <v>439</v>
      </c>
      <c r="B396" s="655" t="s">
        <v>1322</v>
      </c>
      <c r="C396" s="486"/>
      <c r="D396" s="487">
        <v>0</v>
      </c>
      <c r="E396" s="487">
        <v>0</v>
      </c>
      <c r="F396" s="487">
        <v>0</v>
      </c>
      <c r="G396" s="487">
        <v>0</v>
      </c>
      <c r="H396" s="487">
        <v>0</v>
      </c>
      <c r="I396" s="487">
        <v>0</v>
      </c>
      <c r="J396" s="487"/>
      <c r="K396" s="487"/>
      <c r="L396" s="487">
        <v>0</v>
      </c>
      <c r="M396" s="487">
        <v>0</v>
      </c>
      <c r="N396" s="487">
        <v>0</v>
      </c>
      <c r="O396" s="487">
        <v>883500</v>
      </c>
      <c r="P396" s="1496">
        <f t="shared" si="38"/>
        <v>0</v>
      </c>
      <c r="Q396" s="640">
        <f t="shared" si="40"/>
        <v>883500</v>
      </c>
      <c r="R396" s="559" t="s">
        <v>251</v>
      </c>
      <c r="S396" s="561" t="s">
        <v>251</v>
      </c>
      <c r="T396" s="561" t="s">
        <v>251</v>
      </c>
      <c r="U396" s="561"/>
      <c r="V396" s="561"/>
      <c r="W396" s="561"/>
      <c r="X396" s="561"/>
      <c r="Y396" s="561"/>
      <c r="Z396" s="561"/>
      <c r="AA396" s="561"/>
      <c r="AB396" s="561"/>
      <c r="AC396" s="561"/>
      <c r="AD396" s="640">
        <f t="shared" si="43"/>
        <v>0</v>
      </c>
      <c r="AE396" s="568">
        <f t="shared" si="42"/>
        <v>0</v>
      </c>
      <c r="AF396" s="569">
        <f t="shared" si="44"/>
        <v>189</v>
      </c>
    </row>
    <row r="397" spans="1:32" x14ac:dyDescent="0.3">
      <c r="A397" s="12" t="s">
        <v>439</v>
      </c>
      <c r="B397" s="655" t="s">
        <v>1954</v>
      </c>
      <c r="C397" s="486"/>
      <c r="D397" s="487">
        <v>0</v>
      </c>
      <c r="E397" s="487">
        <v>0</v>
      </c>
      <c r="F397" s="487">
        <v>0</v>
      </c>
      <c r="G397" s="487">
        <v>0</v>
      </c>
      <c r="H397" s="487">
        <v>0</v>
      </c>
      <c r="I397" s="487">
        <v>0</v>
      </c>
      <c r="J397" s="487"/>
      <c r="K397" s="487"/>
      <c r="L397" s="487">
        <v>0</v>
      </c>
      <c r="M397" s="487">
        <v>0</v>
      </c>
      <c r="N397" s="487">
        <v>0</v>
      </c>
      <c r="O397" s="487">
        <v>29380</v>
      </c>
      <c r="P397" s="1496">
        <f t="shared" si="38"/>
        <v>0</v>
      </c>
      <c r="Q397" s="640">
        <f t="shared" si="40"/>
        <v>29380</v>
      </c>
      <c r="R397" s="559" t="s">
        <v>251</v>
      </c>
      <c r="S397" s="561" t="s">
        <v>251</v>
      </c>
      <c r="T397" s="561" t="s">
        <v>251</v>
      </c>
      <c r="U397" s="561"/>
      <c r="V397" s="561"/>
      <c r="W397" s="561"/>
      <c r="X397" s="561">
        <v>390600</v>
      </c>
      <c r="Y397" s="561">
        <v>0</v>
      </c>
      <c r="Z397" s="561"/>
      <c r="AA397" s="561"/>
      <c r="AB397" s="561"/>
      <c r="AC397" s="561"/>
      <c r="AD397" s="640">
        <f t="shared" si="43"/>
        <v>390600</v>
      </c>
      <c r="AE397" s="568">
        <f t="shared" si="42"/>
        <v>1</v>
      </c>
      <c r="AF397" s="569">
        <f t="shared" si="44"/>
        <v>101</v>
      </c>
    </row>
    <row r="398" spans="1:32" x14ac:dyDescent="0.3">
      <c r="A398" s="12" t="s">
        <v>439</v>
      </c>
      <c r="B398" s="655" t="s">
        <v>217</v>
      </c>
      <c r="C398" s="486"/>
      <c r="D398" s="487"/>
      <c r="E398" s="487"/>
      <c r="F398" s="487"/>
      <c r="G398" s="487"/>
      <c r="H398" s="487"/>
      <c r="I398" s="487"/>
      <c r="J398" s="487"/>
      <c r="K398" s="487"/>
      <c r="L398" s="487"/>
      <c r="M398" s="487"/>
      <c r="N398" s="487"/>
      <c r="O398" s="487"/>
      <c r="P398" s="1496">
        <f t="shared" si="38"/>
        <v>0</v>
      </c>
      <c r="Q398" s="640">
        <f t="shared" si="40"/>
        <v>0</v>
      </c>
      <c r="R398" s="559">
        <v>45800</v>
      </c>
      <c r="S398" s="561" t="s">
        <v>251</v>
      </c>
      <c r="T398" s="561">
        <v>0</v>
      </c>
      <c r="U398" s="561">
        <v>0</v>
      </c>
      <c r="V398" s="561">
        <v>0</v>
      </c>
      <c r="W398" s="561">
        <v>0</v>
      </c>
      <c r="X398" s="561">
        <v>0</v>
      </c>
      <c r="Y398" s="561">
        <v>0</v>
      </c>
      <c r="Z398" s="561"/>
      <c r="AA398" s="561"/>
      <c r="AB398" s="561"/>
      <c r="AC398" s="561"/>
      <c r="AD398" s="640">
        <f t="shared" si="43"/>
        <v>45800</v>
      </c>
      <c r="AE398" s="568">
        <f t="shared" si="42"/>
        <v>1</v>
      </c>
      <c r="AF398" s="569">
        <f t="shared" si="44"/>
        <v>174</v>
      </c>
    </row>
    <row r="399" spans="1:32" x14ac:dyDescent="0.3">
      <c r="A399" s="12" t="s">
        <v>439</v>
      </c>
      <c r="B399" s="655" t="s">
        <v>399</v>
      </c>
      <c r="C399" s="486"/>
      <c r="D399" s="487"/>
      <c r="E399" s="487"/>
      <c r="F399" s="487"/>
      <c r="G399" s="487"/>
      <c r="H399" s="487"/>
      <c r="I399" s="487"/>
      <c r="J399" s="487"/>
      <c r="K399" s="487"/>
      <c r="L399" s="487"/>
      <c r="M399" s="487"/>
      <c r="N399" s="487"/>
      <c r="O399" s="487"/>
      <c r="P399" s="1496">
        <f t="shared" si="38"/>
        <v>0</v>
      </c>
      <c r="Q399" s="640">
        <f t="shared" si="40"/>
        <v>0</v>
      </c>
      <c r="R399" s="559">
        <v>118070</v>
      </c>
      <c r="S399" s="561">
        <v>87960</v>
      </c>
      <c r="T399" s="561">
        <v>0</v>
      </c>
      <c r="U399" s="561">
        <v>0</v>
      </c>
      <c r="V399" s="561">
        <v>0</v>
      </c>
      <c r="W399" s="561">
        <v>0</v>
      </c>
      <c r="X399" s="561">
        <v>0</v>
      </c>
      <c r="Y399" s="561">
        <v>0</v>
      </c>
      <c r="Z399" s="561"/>
      <c r="AA399" s="561"/>
      <c r="AB399" s="561"/>
      <c r="AC399" s="561"/>
      <c r="AD399" s="640">
        <f t="shared" si="43"/>
        <v>206030</v>
      </c>
      <c r="AE399" s="568">
        <f t="shared" si="42"/>
        <v>1</v>
      </c>
      <c r="AF399" s="569">
        <f t="shared" si="44"/>
        <v>132</v>
      </c>
    </row>
    <row r="400" spans="1:32" x14ac:dyDescent="0.3">
      <c r="A400" s="12" t="s">
        <v>439</v>
      </c>
      <c r="B400" s="655" t="s">
        <v>1907</v>
      </c>
      <c r="C400" s="486"/>
      <c r="D400" s="487"/>
      <c r="E400" s="487"/>
      <c r="F400" s="487"/>
      <c r="G400" s="487"/>
      <c r="H400" s="487"/>
      <c r="I400" s="487"/>
      <c r="J400" s="487"/>
      <c r="K400" s="487"/>
      <c r="L400" s="487"/>
      <c r="M400" s="487"/>
      <c r="N400" s="487"/>
      <c r="O400" s="487"/>
      <c r="P400" s="1496">
        <f t="shared" ref="P400:P465" si="45">SUM(C400:I400,K400)</f>
        <v>0</v>
      </c>
      <c r="Q400" s="640">
        <f t="shared" si="40"/>
        <v>0</v>
      </c>
      <c r="R400" s="559">
        <v>171240</v>
      </c>
      <c r="S400" s="561">
        <v>173880</v>
      </c>
      <c r="T400" s="561">
        <v>0</v>
      </c>
      <c r="U400" s="561">
        <v>0</v>
      </c>
      <c r="V400" s="561">
        <v>0</v>
      </c>
      <c r="W400" s="561">
        <v>0</v>
      </c>
      <c r="X400" s="561">
        <v>0</v>
      </c>
      <c r="Y400" s="561">
        <v>0</v>
      </c>
      <c r="Z400" s="561"/>
      <c r="AA400" s="561"/>
      <c r="AB400" s="561"/>
      <c r="AC400" s="561"/>
      <c r="AD400" s="640">
        <f t="shared" si="43"/>
        <v>345120</v>
      </c>
      <c r="AE400" s="568">
        <f t="shared" si="42"/>
        <v>1</v>
      </c>
      <c r="AF400" s="569">
        <f t="shared" si="44"/>
        <v>110</v>
      </c>
    </row>
    <row r="401" spans="1:32" x14ac:dyDescent="0.3">
      <c r="A401" s="12" t="s">
        <v>439</v>
      </c>
      <c r="B401" s="655" t="s">
        <v>2590</v>
      </c>
      <c r="C401" s="486"/>
      <c r="D401" s="487"/>
      <c r="E401" s="487"/>
      <c r="F401" s="487"/>
      <c r="G401" s="487"/>
      <c r="H401" s="487"/>
      <c r="I401" s="487"/>
      <c r="J401" s="487"/>
      <c r="K401" s="487"/>
      <c r="L401" s="487"/>
      <c r="M401" s="487"/>
      <c r="N401" s="487"/>
      <c r="O401" s="487"/>
      <c r="P401" s="1496">
        <f t="shared" si="45"/>
        <v>0</v>
      </c>
      <c r="Q401" s="640">
        <f t="shared" si="40"/>
        <v>0</v>
      </c>
      <c r="R401" s="559"/>
      <c r="S401" s="561"/>
      <c r="T401" s="561">
        <v>126490</v>
      </c>
      <c r="U401" s="561">
        <v>0</v>
      </c>
      <c r="V401" s="561">
        <v>0</v>
      </c>
      <c r="W401" s="561">
        <v>0</v>
      </c>
      <c r="X401" s="561">
        <v>0</v>
      </c>
      <c r="Y401" s="561">
        <v>0</v>
      </c>
      <c r="Z401" s="561"/>
      <c r="AA401" s="561"/>
      <c r="AB401" s="561"/>
      <c r="AC401" s="561"/>
      <c r="AD401" s="640">
        <f t="shared" si="43"/>
        <v>126490</v>
      </c>
      <c r="AE401" s="568">
        <f t="shared" si="42"/>
        <v>1</v>
      </c>
      <c r="AF401" s="569">
        <f t="shared" si="44"/>
        <v>148</v>
      </c>
    </row>
    <row r="402" spans="1:32" x14ac:dyDescent="0.3">
      <c r="A402" s="12" t="s">
        <v>439</v>
      </c>
      <c r="B402" s="655" t="s">
        <v>2591</v>
      </c>
      <c r="C402" s="486"/>
      <c r="D402" s="487"/>
      <c r="E402" s="487"/>
      <c r="F402" s="487"/>
      <c r="G402" s="487"/>
      <c r="H402" s="487"/>
      <c r="I402" s="487"/>
      <c r="J402" s="487"/>
      <c r="K402" s="487"/>
      <c r="L402" s="487"/>
      <c r="M402" s="487"/>
      <c r="N402" s="487"/>
      <c r="O402" s="487"/>
      <c r="P402" s="1496">
        <f t="shared" si="45"/>
        <v>0</v>
      </c>
      <c r="Q402" s="640">
        <f t="shared" si="40"/>
        <v>0</v>
      </c>
      <c r="R402" s="559"/>
      <c r="S402" s="561"/>
      <c r="T402" s="561">
        <v>289320</v>
      </c>
      <c r="U402" s="561">
        <v>0</v>
      </c>
      <c r="V402" s="561">
        <v>0</v>
      </c>
      <c r="W402" s="561">
        <v>0</v>
      </c>
      <c r="X402" s="561">
        <v>0</v>
      </c>
      <c r="Y402" s="561">
        <v>0</v>
      </c>
      <c r="Z402" s="561"/>
      <c r="AA402" s="561"/>
      <c r="AB402" s="561"/>
      <c r="AC402" s="561"/>
      <c r="AD402" s="640">
        <f t="shared" si="43"/>
        <v>289320</v>
      </c>
      <c r="AE402" s="568">
        <f t="shared" si="42"/>
        <v>1</v>
      </c>
      <c r="AF402" s="569">
        <f t="shared" si="44"/>
        <v>118</v>
      </c>
    </row>
    <row r="403" spans="1:32" x14ac:dyDescent="0.3">
      <c r="A403" s="12" t="s">
        <v>439</v>
      </c>
      <c r="B403" s="655" t="s">
        <v>854</v>
      </c>
      <c r="C403" s="486"/>
      <c r="D403" s="487"/>
      <c r="E403" s="487"/>
      <c r="F403" s="487"/>
      <c r="G403" s="487"/>
      <c r="H403" s="487"/>
      <c r="I403" s="487"/>
      <c r="J403" s="487"/>
      <c r="K403" s="487"/>
      <c r="L403" s="487"/>
      <c r="M403" s="487"/>
      <c r="N403" s="487"/>
      <c r="O403" s="487"/>
      <c r="P403" s="1496">
        <f t="shared" si="45"/>
        <v>0</v>
      </c>
      <c r="Q403" s="640">
        <f t="shared" si="40"/>
        <v>0</v>
      </c>
      <c r="R403" s="559"/>
      <c r="S403" s="561"/>
      <c r="T403" s="561"/>
      <c r="U403" s="561">
        <v>138440</v>
      </c>
      <c r="V403" s="561">
        <v>60220</v>
      </c>
      <c r="W403" s="561">
        <v>0</v>
      </c>
      <c r="X403" s="561">
        <v>0</v>
      </c>
      <c r="Y403" s="561">
        <v>0</v>
      </c>
      <c r="Z403" s="561"/>
      <c r="AA403" s="561"/>
      <c r="AB403" s="561"/>
      <c r="AC403" s="561"/>
      <c r="AD403" s="640">
        <f t="shared" si="43"/>
        <v>198660</v>
      </c>
      <c r="AE403" s="568">
        <f t="shared" si="42"/>
        <v>1</v>
      </c>
      <c r="AF403" s="569">
        <f t="shared" si="44"/>
        <v>133</v>
      </c>
    </row>
    <row r="404" spans="1:32" x14ac:dyDescent="0.3">
      <c r="A404" s="12" t="s">
        <v>439</v>
      </c>
      <c r="B404" s="655" t="s">
        <v>2732</v>
      </c>
      <c r="C404" s="486"/>
      <c r="D404" s="487"/>
      <c r="E404" s="487"/>
      <c r="F404" s="487"/>
      <c r="G404" s="487"/>
      <c r="H404" s="487"/>
      <c r="I404" s="487"/>
      <c r="J404" s="487"/>
      <c r="K404" s="487"/>
      <c r="L404" s="487"/>
      <c r="M404" s="487"/>
      <c r="N404" s="487"/>
      <c r="O404" s="487"/>
      <c r="P404" s="1496">
        <f t="shared" si="45"/>
        <v>0</v>
      </c>
      <c r="Q404" s="640">
        <f t="shared" si="40"/>
        <v>0</v>
      </c>
      <c r="R404" s="559"/>
      <c r="S404" s="561"/>
      <c r="T404" s="561"/>
      <c r="U404" s="561">
        <v>148060</v>
      </c>
      <c r="V404" s="561">
        <v>0</v>
      </c>
      <c r="W404" s="561">
        <v>571130</v>
      </c>
      <c r="X404" s="561">
        <v>631250</v>
      </c>
      <c r="Y404" s="561">
        <v>172610</v>
      </c>
      <c r="Z404" s="561"/>
      <c r="AA404" s="561"/>
      <c r="AB404" s="561"/>
      <c r="AC404" s="561"/>
      <c r="AD404" s="640">
        <f t="shared" si="43"/>
        <v>1523050</v>
      </c>
      <c r="AE404" s="568">
        <f t="shared" si="42"/>
        <v>1</v>
      </c>
      <c r="AF404" s="569">
        <f t="shared" si="44"/>
        <v>43</v>
      </c>
    </row>
    <row r="405" spans="1:32" x14ac:dyDescent="0.3">
      <c r="A405" s="12" t="s">
        <v>439</v>
      </c>
      <c r="B405" s="655" t="s">
        <v>2733</v>
      </c>
      <c r="C405" s="486"/>
      <c r="D405" s="487"/>
      <c r="E405" s="487"/>
      <c r="F405" s="487"/>
      <c r="G405" s="487"/>
      <c r="H405" s="487"/>
      <c r="I405" s="487"/>
      <c r="J405" s="487"/>
      <c r="K405" s="487"/>
      <c r="L405" s="487"/>
      <c r="M405" s="487"/>
      <c r="N405" s="487"/>
      <c r="O405" s="487"/>
      <c r="P405" s="1496">
        <f t="shared" si="45"/>
        <v>0</v>
      </c>
      <c r="Q405" s="640">
        <f t="shared" si="40"/>
        <v>0</v>
      </c>
      <c r="R405" s="559"/>
      <c r="S405" s="561"/>
      <c r="T405" s="561"/>
      <c r="U405" s="561">
        <v>59040</v>
      </c>
      <c r="V405" s="561">
        <v>0</v>
      </c>
      <c r="W405" s="561">
        <v>0</v>
      </c>
      <c r="X405" s="561">
        <v>0</v>
      </c>
      <c r="Y405" s="561">
        <v>0</v>
      </c>
      <c r="Z405" s="561"/>
      <c r="AA405" s="561"/>
      <c r="AB405" s="561"/>
      <c r="AC405" s="561"/>
      <c r="AD405" s="640">
        <f t="shared" si="43"/>
        <v>59040</v>
      </c>
      <c r="AE405" s="568">
        <f t="shared" si="42"/>
        <v>1</v>
      </c>
      <c r="AF405" s="569">
        <f t="shared" si="44"/>
        <v>170</v>
      </c>
    </row>
    <row r="406" spans="1:32" x14ac:dyDescent="0.3">
      <c r="A406" s="12" t="s">
        <v>439</v>
      </c>
      <c r="B406" s="655" t="s">
        <v>2772</v>
      </c>
      <c r="C406" s="486"/>
      <c r="D406" s="487"/>
      <c r="E406" s="487"/>
      <c r="F406" s="487"/>
      <c r="G406" s="487"/>
      <c r="H406" s="487"/>
      <c r="I406" s="487"/>
      <c r="J406" s="487"/>
      <c r="K406" s="487"/>
      <c r="L406" s="487"/>
      <c r="M406" s="487"/>
      <c r="N406" s="487"/>
      <c r="O406" s="487"/>
      <c r="P406" s="1496">
        <f t="shared" si="45"/>
        <v>0</v>
      </c>
      <c r="Q406" s="640">
        <f t="shared" si="40"/>
        <v>0</v>
      </c>
      <c r="R406" s="559"/>
      <c r="S406" s="561"/>
      <c r="T406" s="561"/>
      <c r="U406" s="561"/>
      <c r="V406" s="561">
        <v>221420</v>
      </c>
      <c r="W406" s="561">
        <v>0</v>
      </c>
      <c r="X406" s="561">
        <v>0</v>
      </c>
      <c r="Y406" s="561">
        <v>0</v>
      </c>
      <c r="Z406" s="561"/>
      <c r="AA406" s="561"/>
      <c r="AB406" s="561"/>
      <c r="AC406" s="561"/>
      <c r="AD406" s="640">
        <f t="shared" si="43"/>
        <v>221420</v>
      </c>
      <c r="AE406" s="568">
        <f t="shared" si="42"/>
        <v>1</v>
      </c>
      <c r="AF406" s="569">
        <f t="shared" si="44"/>
        <v>128</v>
      </c>
    </row>
    <row r="407" spans="1:32" x14ac:dyDescent="0.3">
      <c r="A407" s="12" t="s">
        <v>439</v>
      </c>
      <c r="B407" s="655" t="s">
        <v>1770</v>
      </c>
      <c r="C407" s="486"/>
      <c r="D407" s="487"/>
      <c r="E407" s="487"/>
      <c r="F407" s="487"/>
      <c r="G407" s="487"/>
      <c r="H407" s="487"/>
      <c r="I407" s="487"/>
      <c r="J407" s="487"/>
      <c r="K407" s="487"/>
      <c r="L407" s="487"/>
      <c r="M407" s="487"/>
      <c r="N407" s="487"/>
      <c r="O407" s="487"/>
      <c r="P407" s="1496">
        <f t="shared" si="45"/>
        <v>0</v>
      </c>
      <c r="Q407" s="640">
        <f t="shared" si="40"/>
        <v>0</v>
      </c>
      <c r="R407" s="559"/>
      <c r="S407" s="561"/>
      <c r="T407" s="561"/>
      <c r="U407" s="561"/>
      <c r="V407" s="561">
        <v>30070</v>
      </c>
      <c r="W407" s="561">
        <v>0</v>
      </c>
      <c r="X407" s="561">
        <v>0</v>
      </c>
      <c r="Y407" s="561">
        <v>0</v>
      </c>
      <c r="Z407" s="561"/>
      <c r="AA407" s="561"/>
      <c r="AB407" s="561"/>
      <c r="AC407" s="561"/>
      <c r="AD407" s="640">
        <f t="shared" si="43"/>
        <v>30070</v>
      </c>
      <c r="AE407" s="568">
        <f t="shared" si="42"/>
        <v>1</v>
      </c>
      <c r="AF407" s="569">
        <f t="shared" si="44"/>
        <v>181</v>
      </c>
    </row>
    <row r="408" spans="1:32" x14ac:dyDescent="0.3">
      <c r="A408" s="12" t="s">
        <v>439</v>
      </c>
      <c r="B408" s="655" t="s">
        <v>2895</v>
      </c>
      <c r="C408" s="486"/>
      <c r="D408" s="487"/>
      <c r="E408" s="487"/>
      <c r="F408" s="487"/>
      <c r="G408" s="487"/>
      <c r="H408" s="487"/>
      <c r="I408" s="487"/>
      <c r="J408" s="487"/>
      <c r="K408" s="487"/>
      <c r="L408" s="487"/>
      <c r="M408" s="487"/>
      <c r="N408" s="487"/>
      <c r="O408" s="487"/>
      <c r="P408" s="1496">
        <f t="shared" si="45"/>
        <v>0</v>
      </c>
      <c r="Q408" s="640">
        <f t="shared" si="40"/>
        <v>0</v>
      </c>
      <c r="R408" s="559"/>
      <c r="S408" s="561"/>
      <c r="T408" s="561"/>
      <c r="U408" s="561"/>
      <c r="V408" s="561"/>
      <c r="W408" s="561">
        <v>30830</v>
      </c>
      <c r="X408" s="561">
        <v>38710</v>
      </c>
      <c r="Y408" s="561">
        <v>0</v>
      </c>
      <c r="Z408" s="561"/>
      <c r="AA408" s="561"/>
      <c r="AB408" s="561"/>
      <c r="AC408" s="561"/>
      <c r="AD408" s="640">
        <f t="shared" si="43"/>
        <v>69540</v>
      </c>
      <c r="AE408" s="568">
        <f t="shared" si="42"/>
        <v>1</v>
      </c>
      <c r="AF408" s="569">
        <f t="shared" si="44"/>
        <v>165</v>
      </c>
    </row>
    <row r="409" spans="1:32" x14ac:dyDescent="0.3">
      <c r="A409" s="12" t="s">
        <v>439</v>
      </c>
      <c r="B409" s="655" t="s">
        <v>1702</v>
      </c>
      <c r="C409" s="486"/>
      <c r="D409" s="487"/>
      <c r="E409" s="487"/>
      <c r="F409" s="487"/>
      <c r="G409" s="487"/>
      <c r="H409" s="487"/>
      <c r="I409" s="487"/>
      <c r="J409" s="487"/>
      <c r="K409" s="487"/>
      <c r="L409" s="487"/>
      <c r="M409" s="487"/>
      <c r="N409" s="487"/>
      <c r="O409" s="487"/>
      <c r="P409" s="1496">
        <f t="shared" si="45"/>
        <v>0</v>
      </c>
      <c r="Q409" s="640">
        <f t="shared" si="40"/>
        <v>0</v>
      </c>
      <c r="R409" s="559"/>
      <c r="S409" s="561"/>
      <c r="T409" s="561"/>
      <c r="U409" s="561"/>
      <c r="V409" s="561"/>
      <c r="W409" s="561"/>
      <c r="X409" s="561"/>
      <c r="Y409" s="561">
        <v>757020</v>
      </c>
      <c r="Z409" s="561"/>
      <c r="AA409" s="561"/>
      <c r="AB409" s="561"/>
      <c r="AC409" s="561"/>
      <c r="AD409" s="640">
        <f t="shared" si="43"/>
        <v>757020</v>
      </c>
      <c r="AE409" s="568">
        <f t="shared" si="42"/>
        <v>1</v>
      </c>
      <c r="AF409" s="569">
        <f t="shared" si="44"/>
        <v>68</v>
      </c>
    </row>
    <row r="410" spans="1:32" ht="15.75" customHeight="1" x14ac:dyDescent="0.3">
      <c r="A410" s="14" t="s">
        <v>461</v>
      </c>
      <c r="B410" s="656" t="s">
        <v>462</v>
      </c>
      <c r="C410" s="496"/>
      <c r="D410" s="538">
        <v>952430</v>
      </c>
      <c r="E410" s="538">
        <v>597420</v>
      </c>
      <c r="F410" s="538">
        <v>0</v>
      </c>
      <c r="G410" s="538">
        <v>0</v>
      </c>
      <c r="H410" s="538">
        <v>0</v>
      </c>
      <c r="I410" s="538">
        <v>0</v>
      </c>
      <c r="J410" s="538">
        <v>0</v>
      </c>
      <c r="K410" s="538">
        <v>0</v>
      </c>
      <c r="L410" s="538">
        <v>0</v>
      </c>
      <c r="M410" s="538">
        <v>0</v>
      </c>
      <c r="N410" s="538">
        <v>0</v>
      </c>
      <c r="O410" s="538">
        <v>0</v>
      </c>
      <c r="P410" s="1496">
        <f t="shared" si="45"/>
        <v>1549850</v>
      </c>
      <c r="Q410" s="669">
        <f t="shared" si="40"/>
        <v>1549850</v>
      </c>
      <c r="R410" s="1050" t="s">
        <v>251</v>
      </c>
      <c r="S410" s="1051" t="s">
        <v>251</v>
      </c>
      <c r="T410" s="1051" t="s">
        <v>251</v>
      </c>
      <c r="U410" s="1051"/>
      <c r="V410" s="1051"/>
      <c r="W410" s="1051"/>
      <c r="X410" s="1051"/>
      <c r="Y410" s="1051"/>
      <c r="Z410" s="1051"/>
      <c r="AA410" s="1051"/>
      <c r="AB410" s="1051"/>
      <c r="AC410" s="1051"/>
      <c r="AD410" s="669">
        <f t="shared" si="43"/>
        <v>0</v>
      </c>
      <c r="AE410" s="580">
        <f t="shared" si="42"/>
        <v>-1</v>
      </c>
      <c r="AF410" s="581">
        <f t="shared" si="44"/>
        <v>189</v>
      </c>
    </row>
    <row r="411" spans="1:32" x14ac:dyDescent="0.3">
      <c r="A411" s="14" t="s">
        <v>461</v>
      </c>
      <c r="B411" s="656" t="s">
        <v>463</v>
      </c>
      <c r="C411" s="496">
        <v>972280</v>
      </c>
      <c r="D411" s="538">
        <v>30060</v>
      </c>
      <c r="E411" s="538">
        <v>0</v>
      </c>
      <c r="F411" s="538">
        <v>0</v>
      </c>
      <c r="G411" s="538">
        <v>0</v>
      </c>
      <c r="H411" s="538">
        <v>0</v>
      </c>
      <c r="I411" s="538">
        <v>0</v>
      </c>
      <c r="J411" s="538">
        <v>0</v>
      </c>
      <c r="K411" s="538">
        <v>0</v>
      </c>
      <c r="L411" s="538">
        <v>959680</v>
      </c>
      <c r="M411" s="538">
        <v>0</v>
      </c>
      <c r="N411" s="538">
        <v>0</v>
      </c>
      <c r="O411" s="538">
        <v>0</v>
      </c>
      <c r="P411" s="1496">
        <f t="shared" si="45"/>
        <v>1002340</v>
      </c>
      <c r="Q411" s="669">
        <f t="shared" si="40"/>
        <v>1962020</v>
      </c>
      <c r="R411" s="1050" t="s">
        <v>251</v>
      </c>
      <c r="S411" s="1051" t="s">
        <v>251</v>
      </c>
      <c r="T411" s="1051" t="s">
        <v>251</v>
      </c>
      <c r="U411" s="1051"/>
      <c r="V411" s="1051"/>
      <c r="W411" s="1051"/>
      <c r="X411" s="1051"/>
      <c r="Y411" s="1051"/>
      <c r="Z411" s="1051"/>
      <c r="AA411" s="1051"/>
      <c r="AB411" s="1051"/>
      <c r="AC411" s="1051"/>
      <c r="AD411" s="669">
        <f t="shared" si="43"/>
        <v>0</v>
      </c>
      <c r="AE411" s="580">
        <f t="shared" si="42"/>
        <v>-1</v>
      </c>
      <c r="AF411" s="581">
        <f t="shared" si="44"/>
        <v>189</v>
      </c>
    </row>
    <row r="412" spans="1:32" x14ac:dyDescent="0.3">
      <c r="A412" s="14" t="s">
        <v>461</v>
      </c>
      <c r="B412" s="656" t="s">
        <v>464</v>
      </c>
      <c r="C412" s="496"/>
      <c r="D412" s="538">
        <v>0</v>
      </c>
      <c r="E412" s="538">
        <v>886740</v>
      </c>
      <c r="F412" s="538">
        <v>0</v>
      </c>
      <c r="G412" s="538">
        <v>0</v>
      </c>
      <c r="H412" s="538">
        <v>0</v>
      </c>
      <c r="I412" s="538">
        <v>0</v>
      </c>
      <c r="J412" s="538">
        <v>0</v>
      </c>
      <c r="K412" s="538">
        <v>0</v>
      </c>
      <c r="L412" s="538">
        <v>0</v>
      </c>
      <c r="M412" s="538">
        <v>0</v>
      </c>
      <c r="N412" s="538">
        <v>0</v>
      </c>
      <c r="O412" s="538">
        <v>0</v>
      </c>
      <c r="P412" s="1496">
        <f t="shared" si="45"/>
        <v>886740</v>
      </c>
      <c r="Q412" s="669">
        <f t="shared" si="40"/>
        <v>886740</v>
      </c>
      <c r="R412" s="1050" t="s">
        <v>251</v>
      </c>
      <c r="S412" s="1051" t="s">
        <v>251</v>
      </c>
      <c r="T412" s="1051" t="s">
        <v>251</v>
      </c>
      <c r="U412" s="1051"/>
      <c r="V412" s="1051"/>
      <c r="W412" s="1051"/>
      <c r="X412" s="1051"/>
      <c r="Y412" s="1051"/>
      <c r="Z412" s="1051"/>
      <c r="AA412" s="1051"/>
      <c r="AB412" s="1051"/>
      <c r="AC412" s="1051"/>
      <c r="AD412" s="669">
        <f t="shared" si="43"/>
        <v>0</v>
      </c>
      <c r="AE412" s="580">
        <f t="shared" si="42"/>
        <v>-1</v>
      </c>
      <c r="AF412" s="581">
        <f t="shared" si="44"/>
        <v>189</v>
      </c>
    </row>
    <row r="413" spans="1:32" x14ac:dyDescent="0.3">
      <c r="A413" s="14" t="s">
        <v>461</v>
      </c>
      <c r="B413" s="656" t="s">
        <v>465</v>
      </c>
      <c r="C413" s="496">
        <v>421890</v>
      </c>
      <c r="D413" s="538">
        <v>76150</v>
      </c>
      <c r="E413" s="538">
        <v>0</v>
      </c>
      <c r="F413" s="538">
        <v>74680</v>
      </c>
      <c r="G413" s="538">
        <v>0</v>
      </c>
      <c r="H413" s="538">
        <v>0</v>
      </c>
      <c r="I413" s="538">
        <v>0</v>
      </c>
      <c r="J413" s="538">
        <v>347880</v>
      </c>
      <c r="K413" s="538">
        <v>347880</v>
      </c>
      <c r="L413" s="538">
        <v>437440</v>
      </c>
      <c r="M413" s="538">
        <v>0</v>
      </c>
      <c r="N413" s="538">
        <v>0</v>
      </c>
      <c r="O413" s="538">
        <v>0</v>
      </c>
      <c r="P413" s="1496">
        <f t="shared" si="45"/>
        <v>920600</v>
      </c>
      <c r="Q413" s="669">
        <f t="shared" si="40"/>
        <v>1358040</v>
      </c>
      <c r="R413" s="1050" t="s">
        <v>251</v>
      </c>
      <c r="S413" s="1051" t="s">
        <v>251</v>
      </c>
      <c r="T413" s="1051" t="s">
        <v>251</v>
      </c>
      <c r="U413" s="1051"/>
      <c r="V413" s="1051"/>
      <c r="W413" s="1051"/>
      <c r="X413" s="1051"/>
      <c r="Y413" s="1051"/>
      <c r="Z413" s="1051"/>
      <c r="AA413" s="1051"/>
      <c r="AB413" s="1051"/>
      <c r="AC413" s="1051"/>
      <c r="AD413" s="669">
        <f t="shared" si="43"/>
        <v>0</v>
      </c>
      <c r="AE413" s="580">
        <f t="shared" si="42"/>
        <v>-1</v>
      </c>
      <c r="AF413" s="581">
        <f t="shared" si="44"/>
        <v>189</v>
      </c>
    </row>
    <row r="414" spans="1:32" x14ac:dyDescent="0.3">
      <c r="A414" s="14" t="s">
        <v>461</v>
      </c>
      <c r="B414" s="656" t="s">
        <v>466</v>
      </c>
      <c r="C414" s="496"/>
      <c r="D414" s="538">
        <v>0</v>
      </c>
      <c r="E414" s="538">
        <v>477530</v>
      </c>
      <c r="F414" s="538">
        <v>0</v>
      </c>
      <c r="G414" s="538">
        <v>0</v>
      </c>
      <c r="H414" s="538">
        <v>0</v>
      </c>
      <c r="I414" s="538">
        <v>0</v>
      </c>
      <c r="J414" s="538">
        <v>0</v>
      </c>
      <c r="K414" s="538">
        <v>0</v>
      </c>
      <c r="L414" s="538">
        <v>0</v>
      </c>
      <c r="M414" s="538">
        <v>0</v>
      </c>
      <c r="N414" s="538">
        <v>0</v>
      </c>
      <c r="O414" s="538">
        <v>0</v>
      </c>
      <c r="P414" s="1496">
        <f t="shared" si="45"/>
        <v>477530</v>
      </c>
      <c r="Q414" s="669">
        <f t="shared" si="40"/>
        <v>477530</v>
      </c>
      <c r="R414" s="1050" t="s">
        <v>251</v>
      </c>
      <c r="S414" s="1051" t="s">
        <v>251</v>
      </c>
      <c r="T414" s="1051" t="s">
        <v>251</v>
      </c>
      <c r="U414" s="1051"/>
      <c r="V414" s="1051"/>
      <c r="W414" s="1051"/>
      <c r="X414" s="1051"/>
      <c r="Y414" s="1051"/>
      <c r="Z414" s="1051"/>
      <c r="AA414" s="1051"/>
      <c r="AB414" s="1051"/>
      <c r="AC414" s="1051"/>
      <c r="AD414" s="669">
        <f t="shared" si="43"/>
        <v>0</v>
      </c>
      <c r="AE414" s="580">
        <f t="shared" si="42"/>
        <v>-1</v>
      </c>
      <c r="AF414" s="581">
        <f t="shared" si="44"/>
        <v>189</v>
      </c>
    </row>
    <row r="415" spans="1:32" x14ac:dyDescent="0.3">
      <c r="A415" s="14" t="s">
        <v>461</v>
      </c>
      <c r="B415" s="656" t="s">
        <v>467</v>
      </c>
      <c r="C415" s="496"/>
      <c r="D415" s="538">
        <v>472320</v>
      </c>
      <c r="E415" s="538">
        <v>0</v>
      </c>
      <c r="F415" s="538">
        <v>0</v>
      </c>
      <c r="G415" s="538">
        <v>0</v>
      </c>
      <c r="H415" s="538">
        <v>27180</v>
      </c>
      <c r="I415" s="538">
        <v>0</v>
      </c>
      <c r="J415" s="538">
        <v>0</v>
      </c>
      <c r="K415" s="538">
        <v>0</v>
      </c>
      <c r="L415" s="538">
        <v>0</v>
      </c>
      <c r="M415" s="538">
        <v>0</v>
      </c>
      <c r="N415" s="538">
        <v>0</v>
      </c>
      <c r="O415" s="538">
        <v>0</v>
      </c>
      <c r="P415" s="1496">
        <f t="shared" si="45"/>
        <v>499500</v>
      </c>
      <c r="Q415" s="669">
        <f t="shared" si="40"/>
        <v>499500</v>
      </c>
      <c r="R415" s="1050" t="s">
        <v>251</v>
      </c>
      <c r="S415" s="1051" t="s">
        <v>251</v>
      </c>
      <c r="T415" s="1051" t="s">
        <v>251</v>
      </c>
      <c r="U415" s="1051"/>
      <c r="V415" s="1051"/>
      <c r="W415" s="1051"/>
      <c r="X415" s="1051"/>
      <c r="Y415" s="1051"/>
      <c r="Z415" s="1051"/>
      <c r="AA415" s="1051"/>
      <c r="AB415" s="1051"/>
      <c r="AC415" s="1051"/>
      <c r="AD415" s="669">
        <f t="shared" si="43"/>
        <v>0</v>
      </c>
      <c r="AE415" s="580">
        <f t="shared" si="42"/>
        <v>-1</v>
      </c>
      <c r="AF415" s="581">
        <f t="shared" ref="AF415:AF446" si="46">IFERROR(_xlfn.RANK.EQ(AD415, $AD$2:$AD$483), "")</f>
        <v>189</v>
      </c>
    </row>
    <row r="416" spans="1:32" x14ac:dyDescent="0.3">
      <c r="A416" s="14" t="s">
        <v>461</v>
      </c>
      <c r="B416" s="656" t="s">
        <v>468</v>
      </c>
      <c r="C416" s="496"/>
      <c r="D416" s="538">
        <v>458990</v>
      </c>
      <c r="E416" s="538">
        <v>0</v>
      </c>
      <c r="F416" s="538">
        <v>0</v>
      </c>
      <c r="G416" s="538">
        <v>0</v>
      </c>
      <c r="H416" s="538">
        <v>0</v>
      </c>
      <c r="I416" s="538">
        <v>0</v>
      </c>
      <c r="J416" s="538">
        <v>0</v>
      </c>
      <c r="K416" s="538">
        <v>0</v>
      </c>
      <c r="L416" s="538">
        <v>0</v>
      </c>
      <c r="M416" s="538">
        <v>0</v>
      </c>
      <c r="N416" s="538">
        <v>0</v>
      </c>
      <c r="O416" s="538">
        <v>428350</v>
      </c>
      <c r="P416" s="1496">
        <f t="shared" si="45"/>
        <v>458990</v>
      </c>
      <c r="Q416" s="669">
        <f t="shared" ref="Q416:Q480" si="47">SUM(C416:J416,L416:O416)</f>
        <v>887340</v>
      </c>
      <c r="R416" s="1050" t="s">
        <v>251</v>
      </c>
      <c r="S416" s="1051" t="s">
        <v>251</v>
      </c>
      <c r="T416" s="1051">
        <v>482740</v>
      </c>
      <c r="U416" s="1051">
        <v>0</v>
      </c>
      <c r="V416" s="1051">
        <v>0</v>
      </c>
      <c r="W416" s="1051">
        <v>0</v>
      </c>
      <c r="X416" s="1051">
        <v>0</v>
      </c>
      <c r="Y416" s="1051">
        <v>0</v>
      </c>
      <c r="Z416" s="1051"/>
      <c r="AA416" s="1051"/>
      <c r="AB416" s="1051"/>
      <c r="AC416" s="1051"/>
      <c r="AD416" s="669">
        <f t="shared" si="43"/>
        <v>482740</v>
      </c>
      <c r="AE416" s="580">
        <f t="shared" si="42"/>
        <v>5.1744046711257326E-2</v>
      </c>
      <c r="AF416" s="581">
        <f t="shared" si="46"/>
        <v>95</v>
      </c>
    </row>
    <row r="417" spans="1:32" x14ac:dyDescent="0.3">
      <c r="A417" s="14" t="s">
        <v>461</v>
      </c>
      <c r="B417" s="656" t="s">
        <v>145</v>
      </c>
      <c r="C417" s="496">
        <v>76820</v>
      </c>
      <c r="D417" s="538">
        <v>381300</v>
      </c>
      <c r="E417" s="538">
        <v>0</v>
      </c>
      <c r="F417" s="538">
        <v>0</v>
      </c>
      <c r="G417" s="538">
        <v>0</v>
      </c>
      <c r="H417" s="538">
        <v>0</v>
      </c>
      <c r="I417" s="538">
        <v>0</v>
      </c>
      <c r="J417" s="538">
        <v>0</v>
      </c>
      <c r="K417" s="538">
        <v>0</v>
      </c>
      <c r="L417" s="538">
        <v>0</v>
      </c>
      <c r="M417" s="538">
        <v>0</v>
      </c>
      <c r="N417" s="538">
        <v>0</v>
      </c>
      <c r="O417" s="538">
        <v>0</v>
      </c>
      <c r="P417" s="1496">
        <f t="shared" si="45"/>
        <v>458120</v>
      </c>
      <c r="Q417" s="669">
        <f t="shared" si="47"/>
        <v>458120</v>
      </c>
      <c r="R417" s="1050" t="s">
        <v>251</v>
      </c>
      <c r="S417" s="1051" t="s">
        <v>251</v>
      </c>
      <c r="T417" s="1051" t="s">
        <v>251</v>
      </c>
      <c r="U417" s="1051"/>
      <c r="V417" s="1051"/>
      <c r="W417" s="1051"/>
      <c r="X417" s="1051"/>
      <c r="Y417" s="1051"/>
      <c r="Z417" s="1051"/>
      <c r="AA417" s="1051"/>
      <c r="AB417" s="1051"/>
      <c r="AC417" s="1051"/>
      <c r="AD417" s="669">
        <f t="shared" si="43"/>
        <v>0</v>
      </c>
      <c r="AE417" s="580">
        <f t="shared" si="42"/>
        <v>-1</v>
      </c>
      <c r="AF417" s="581">
        <f t="shared" si="46"/>
        <v>189</v>
      </c>
    </row>
    <row r="418" spans="1:32" x14ac:dyDescent="0.3">
      <c r="A418" s="14" t="s">
        <v>461</v>
      </c>
      <c r="B418" s="656" t="s">
        <v>469</v>
      </c>
      <c r="C418" s="496"/>
      <c r="D418" s="538">
        <v>0</v>
      </c>
      <c r="E418" s="538">
        <v>457900</v>
      </c>
      <c r="F418" s="538">
        <v>0</v>
      </c>
      <c r="G418" s="538">
        <v>0</v>
      </c>
      <c r="H418" s="538">
        <v>0</v>
      </c>
      <c r="I418" s="538">
        <v>0</v>
      </c>
      <c r="J418" s="538">
        <v>0</v>
      </c>
      <c r="K418" s="538">
        <v>0</v>
      </c>
      <c r="L418" s="538">
        <v>0</v>
      </c>
      <c r="M418" s="538">
        <v>0</v>
      </c>
      <c r="N418" s="538">
        <v>0</v>
      </c>
      <c r="O418" s="538">
        <v>0</v>
      </c>
      <c r="P418" s="1496">
        <f t="shared" si="45"/>
        <v>457900</v>
      </c>
      <c r="Q418" s="669">
        <f t="shared" si="47"/>
        <v>457900</v>
      </c>
      <c r="R418" s="1050" t="s">
        <v>251</v>
      </c>
      <c r="S418" s="1051" t="s">
        <v>251</v>
      </c>
      <c r="T418" s="1051" t="s">
        <v>251</v>
      </c>
      <c r="U418" s="1051"/>
      <c r="V418" s="1051"/>
      <c r="W418" s="1051"/>
      <c r="X418" s="1051"/>
      <c r="Y418" s="1051"/>
      <c r="Z418" s="1051"/>
      <c r="AA418" s="1051"/>
      <c r="AB418" s="1051"/>
      <c r="AC418" s="1051"/>
      <c r="AD418" s="669">
        <f t="shared" si="43"/>
        <v>0</v>
      </c>
      <c r="AE418" s="580">
        <f t="shared" si="42"/>
        <v>-1</v>
      </c>
      <c r="AF418" s="581">
        <f t="shared" si="46"/>
        <v>189</v>
      </c>
    </row>
    <row r="419" spans="1:32" x14ac:dyDescent="0.3">
      <c r="A419" s="14" t="s">
        <v>461</v>
      </c>
      <c r="B419" s="656" t="s">
        <v>470</v>
      </c>
      <c r="C419" s="496">
        <v>421340</v>
      </c>
      <c r="D419" s="538">
        <v>0</v>
      </c>
      <c r="E419" s="538">
        <v>0</v>
      </c>
      <c r="F419" s="538">
        <v>0</v>
      </c>
      <c r="G419" s="538">
        <v>0</v>
      </c>
      <c r="H419" s="538">
        <v>0</v>
      </c>
      <c r="I419" s="538">
        <v>0</v>
      </c>
      <c r="J419" s="538">
        <v>0</v>
      </c>
      <c r="K419" s="538">
        <v>0</v>
      </c>
      <c r="L419" s="538">
        <v>0</v>
      </c>
      <c r="M419" s="538">
        <v>0</v>
      </c>
      <c r="N419" s="538">
        <v>0</v>
      </c>
      <c r="O419" s="538">
        <v>0</v>
      </c>
      <c r="P419" s="1496">
        <f t="shared" si="45"/>
        <v>421340</v>
      </c>
      <c r="Q419" s="669">
        <f t="shared" si="47"/>
        <v>421340</v>
      </c>
      <c r="R419" s="1050">
        <v>388640</v>
      </c>
      <c r="S419" s="1051" t="s">
        <v>251</v>
      </c>
      <c r="T419" s="1051">
        <v>0</v>
      </c>
      <c r="U419" s="1051">
        <v>0</v>
      </c>
      <c r="V419" s="1051">
        <v>0</v>
      </c>
      <c r="W419" s="1051">
        <v>0</v>
      </c>
      <c r="X419" s="1051">
        <v>0</v>
      </c>
      <c r="Y419" s="1051">
        <v>0</v>
      </c>
      <c r="Z419" s="1051"/>
      <c r="AA419" s="1051"/>
      <c r="AB419" s="1051"/>
      <c r="AC419" s="1051"/>
      <c r="AD419" s="669">
        <f t="shared" si="43"/>
        <v>388640</v>
      </c>
      <c r="AE419" s="580">
        <f t="shared" si="42"/>
        <v>-7.760953149475483E-2</v>
      </c>
      <c r="AF419" s="581">
        <f t="shared" si="46"/>
        <v>102</v>
      </c>
    </row>
    <row r="420" spans="1:32" x14ac:dyDescent="0.3">
      <c r="A420" s="14" t="s">
        <v>461</v>
      </c>
      <c r="B420" s="656" t="s">
        <v>471</v>
      </c>
      <c r="C420" s="496">
        <v>372200</v>
      </c>
      <c r="D420" s="538">
        <v>0</v>
      </c>
      <c r="E420" s="538">
        <v>0</v>
      </c>
      <c r="F420" s="538">
        <v>0</v>
      </c>
      <c r="G420" s="538">
        <v>0</v>
      </c>
      <c r="H420" s="538">
        <v>0</v>
      </c>
      <c r="I420" s="538">
        <v>0</v>
      </c>
      <c r="J420" s="538">
        <v>0</v>
      </c>
      <c r="K420" s="538">
        <v>0</v>
      </c>
      <c r="L420" s="538">
        <v>0</v>
      </c>
      <c r="M420" s="538">
        <v>0</v>
      </c>
      <c r="N420" s="538">
        <v>0</v>
      </c>
      <c r="O420" s="538">
        <v>0</v>
      </c>
      <c r="P420" s="1496">
        <f t="shared" si="45"/>
        <v>372200</v>
      </c>
      <c r="Q420" s="669">
        <f t="shared" si="47"/>
        <v>372200</v>
      </c>
      <c r="R420" s="1050" t="s">
        <v>251</v>
      </c>
      <c r="S420" s="1051" t="s">
        <v>251</v>
      </c>
      <c r="T420" s="1051" t="s">
        <v>251</v>
      </c>
      <c r="U420" s="1051"/>
      <c r="V420" s="1051"/>
      <c r="W420" s="1051"/>
      <c r="X420" s="1051"/>
      <c r="Y420" s="1051"/>
      <c r="Z420" s="1051"/>
      <c r="AA420" s="1051"/>
      <c r="AB420" s="1051"/>
      <c r="AC420" s="1051"/>
      <c r="AD420" s="669">
        <f t="shared" si="43"/>
        <v>0</v>
      </c>
      <c r="AE420" s="580">
        <f t="shared" si="42"/>
        <v>-1</v>
      </c>
      <c r="AF420" s="581">
        <f t="shared" si="46"/>
        <v>189</v>
      </c>
    </row>
    <row r="421" spans="1:32" x14ac:dyDescent="0.3">
      <c r="A421" s="14" t="s">
        <v>461</v>
      </c>
      <c r="B421" s="656" t="s">
        <v>472</v>
      </c>
      <c r="C421" s="496">
        <v>349100</v>
      </c>
      <c r="D421" s="538">
        <v>0</v>
      </c>
      <c r="E421" s="538">
        <v>0</v>
      </c>
      <c r="F421" s="538">
        <v>0</v>
      </c>
      <c r="G421" s="538">
        <v>0</v>
      </c>
      <c r="H421" s="538">
        <v>0</v>
      </c>
      <c r="I421" s="538">
        <v>0</v>
      </c>
      <c r="J421" s="538">
        <v>0</v>
      </c>
      <c r="K421" s="538">
        <v>0</v>
      </c>
      <c r="L421" s="538">
        <v>602730</v>
      </c>
      <c r="M421" s="538">
        <v>0</v>
      </c>
      <c r="N421" s="538">
        <v>0</v>
      </c>
      <c r="O421" s="538">
        <v>0</v>
      </c>
      <c r="P421" s="1496">
        <f t="shared" si="45"/>
        <v>349100</v>
      </c>
      <c r="Q421" s="669">
        <f t="shared" si="47"/>
        <v>951830</v>
      </c>
      <c r="R421" s="1050">
        <v>336480</v>
      </c>
      <c r="S421" s="1051" t="s">
        <v>251</v>
      </c>
      <c r="T421" s="1051">
        <v>0</v>
      </c>
      <c r="U421" s="1051">
        <v>0</v>
      </c>
      <c r="V421" s="1051">
        <v>0</v>
      </c>
      <c r="W421" s="1051">
        <v>0</v>
      </c>
      <c r="X421" s="1051">
        <v>0</v>
      </c>
      <c r="Y421" s="1051">
        <v>0</v>
      </c>
      <c r="Z421" s="1051"/>
      <c r="AA421" s="1051"/>
      <c r="AB421" s="1051"/>
      <c r="AC421" s="1051"/>
      <c r="AD421" s="669">
        <f t="shared" si="43"/>
        <v>336480</v>
      </c>
      <c r="AE421" s="580">
        <f t="shared" si="42"/>
        <v>-3.6150100257805788E-2</v>
      </c>
      <c r="AF421" s="581">
        <f t="shared" si="46"/>
        <v>113</v>
      </c>
    </row>
    <row r="422" spans="1:32" x14ac:dyDescent="0.3">
      <c r="A422" s="14" t="s">
        <v>461</v>
      </c>
      <c r="B422" s="656" t="s">
        <v>473</v>
      </c>
      <c r="C422" s="496">
        <v>271630</v>
      </c>
      <c r="D422" s="538">
        <v>0</v>
      </c>
      <c r="E422" s="538">
        <v>0</v>
      </c>
      <c r="F422" s="538">
        <v>0</v>
      </c>
      <c r="G422" s="538">
        <v>0</v>
      </c>
      <c r="H422" s="538">
        <v>0</v>
      </c>
      <c r="I422" s="538">
        <v>249570</v>
      </c>
      <c r="J422" s="538">
        <v>0</v>
      </c>
      <c r="K422" s="538">
        <v>0</v>
      </c>
      <c r="L422" s="538">
        <v>0</v>
      </c>
      <c r="M422" s="538">
        <v>0</v>
      </c>
      <c r="N422" s="538">
        <v>0</v>
      </c>
      <c r="O422" s="538">
        <v>0</v>
      </c>
      <c r="P422" s="1496">
        <f t="shared" si="45"/>
        <v>521200</v>
      </c>
      <c r="Q422" s="669">
        <f t="shared" si="47"/>
        <v>521200</v>
      </c>
      <c r="R422" s="1050">
        <v>261500</v>
      </c>
      <c r="S422" s="1051" t="s">
        <v>251</v>
      </c>
      <c r="T422" s="1051">
        <v>0</v>
      </c>
      <c r="U422" s="1051">
        <v>0</v>
      </c>
      <c r="V422" s="1051">
        <v>0</v>
      </c>
      <c r="W422" s="1051">
        <v>0</v>
      </c>
      <c r="X422" s="1051">
        <v>0</v>
      </c>
      <c r="Y422" s="1051">
        <v>0</v>
      </c>
      <c r="Z422" s="1051"/>
      <c r="AA422" s="1051"/>
      <c r="AB422" s="1051"/>
      <c r="AC422" s="1051"/>
      <c r="AD422" s="669">
        <f t="shared" si="43"/>
        <v>261500</v>
      </c>
      <c r="AE422" s="580">
        <f t="shared" si="42"/>
        <v>-0.49827321565617805</v>
      </c>
      <c r="AF422" s="581">
        <f t="shared" si="46"/>
        <v>124</v>
      </c>
    </row>
    <row r="423" spans="1:32" x14ac:dyDescent="0.3">
      <c r="A423" s="14" t="s">
        <v>461</v>
      </c>
      <c r="B423" s="656" t="s">
        <v>474</v>
      </c>
      <c r="C423" s="496">
        <v>237980</v>
      </c>
      <c r="D423" s="538">
        <v>0</v>
      </c>
      <c r="E423" s="538">
        <v>0</v>
      </c>
      <c r="F423" s="538">
        <v>0</v>
      </c>
      <c r="G423" s="538">
        <v>0</v>
      </c>
      <c r="H423" s="538">
        <v>0</v>
      </c>
      <c r="I423" s="538">
        <v>0</v>
      </c>
      <c r="J423" s="538">
        <v>0</v>
      </c>
      <c r="K423" s="538">
        <v>0</v>
      </c>
      <c r="L423" s="538">
        <v>0</v>
      </c>
      <c r="M423" s="538">
        <v>0</v>
      </c>
      <c r="N423" s="538">
        <v>0</v>
      </c>
      <c r="O423" s="538">
        <v>0</v>
      </c>
      <c r="P423" s="1496">
        <f t="shared" si="45"/>
        <v>237980</v>
      </c>
      <c r="Q423" s="669">
        <f t="shared" si="47"/>
        <v>237980</v>
      </c>
      <c r="R423" s="1050" t="s">
        <v>251</v>
      </c>
      <c r="S423" s="1051" t="s">
        <v>251</v>
      </c>
      <c r="T423" s="1051" t="s">
        <v>251</v>
      </c>
      <c r="U423" s="1051"/>
      <c r="V423" s="1051"/>
      <c r="W423" s="1051"/>
      <c r="X423" s="1051"/>
      <c r="Y423" s="1051"/>
      <c r="Z423" s="1051"/>
      <c r="AA423" s="1051"/>
      <c r="AB423" s="1051"/>
      <c r="AC423" s="1051"/>
      <c r="AD423" s="669">
        <f t="shared" si="43"/>
        <v>0</v>
      </c>
      <c r="AE423" s="580">
        <f t="shared" si="42"/>
        <v>-1</v>
      </c>
      <c r="AF423" s="581">
        <f t="shared" si="46"/>
        <v>189</v>
      </c>
    </row>
    <row r="424" spans="1:32" x14ac:dyDescent="0.3">
      <c r="A424" s="14" t="s">
        <v>461</v>
      </c>
      <c r="B424" s="656" t="s">
        <v>475</v>
      </c>
      <c r="C424" s="496"/>
      <c r="D424" s="538">
        <v>0</v>
      </c>
      <c r="E424" s="538">
        <v>29030</v>
      </c>
      <c r="F424" s="538">
        <v>0</v>
      </c>
      <c r="G424" s="538">
        <v>0</v>
      </c>
      <c r="H424" s="538">
        <v>0</v>
      </c>
      <c r="I424" s="538">
        <v>0</v>
      </c>
      <c r="J424" s="538">
        <v>0</v>
      </c>
      <c r="K424" s="538">
        <v>0</v>
      </c>
      <c r="L424" s="538">
        <v>0</v>
      </c>
      <c r="M424" s="538">
        <v>0</v>
      </c>
      <c r="N424" s="538">
        <v>0</v>
      </c>
      <c r="O424" s="538">
        <v>0</v>
      </c>
      <c r="P424" s="1496">
        <f t="shared" si="45"/>
        <v>29030</v>
      </c>
      <c r="Q424" s="669">
        <f t="shared" si="47"/>
        <v>29030</v>
      </c>
      <c r="R424" s="1050" t="s">
        <v>251</v>
      </c>
      <c r="S424" s="1051" t="s">
        <v>251</v>
      </c>
      <c r="T424" s="1051" t="s">
        <v>251</v>
      </c>
      <c r="U424" s="1051"/>
      <c r="V424" s="1051"/>
      <c r="W424" s="1051"/>
      <c r="X424" s="1051"/>
      <c r="Y424" s="1051">
        <v>128530</v>
      </c>
      <c r="Z424" s="1051"/>
      <c r="AA424" s="1051"/>
      <c r="AB424" s="1051"/>
      <c r="AC424" s="1051"/>
      <c r="AD424" s="669">
        <f t="shared" si="43"/>
        <v>128530</v>
      </c>
      <c r="AE424" s="580">
        <f t="shared" si="42"/>
        <v>3.4274888046848089</v>
      </c>
      <c r="AF424" s="581">
        <f t="shared" si="46"/>
        <v>147</v>
      </c>
    </row>
    <row r="425" spans="1:32" x14ac:dyDescent="0.3">
      <c r="A425" s="14" t="s">
        <v>461</v>
      </c>
      <c r="B425" s="656" t="s">
        <v>564</v>
      </c>
      <c r="C425" s="496"/>
      <c r="D425" s="538">
        <v>0</v>
      </c>
      <c r="E425" s="538">
        <v>0</v>
      </c>
      <c r="F425" s="538">
        <v>0</v>
      </c>
      <c r="G425" s="538">
        <v>0</v>
      </c>
      <c r="H425" s="538">
        <v>0</v>
      </c>
      <c r="I425" s="538">
        <v>27820</v>
      </c>
      <c r="J425" s="538">
        <v>0</v>
      </c>
      <c r="K425" s="538">
        <v>0</v>
      </c>
      <c r="L425" s="538">
        <v>40720</v>
      </c>
      <c r="M425" s="538">
        <v>0</v>
      </c>
      <c r="N425" s="538">
        <v>0</v>
      </c>
      <c r="O425" s="538">
        <v>0</v>
      </c>
      <c r="P425" s="1496">
        <f t="shared" si="45"/>
        <v>27820</v>
      </c>
      <c r="Q425" s="669">
        <f t="shared" si="47"/>
        <v>68540</v>
      </c>
      <c r="R425" s="1050" t="s">
        <v>251</v>
      </c>
      <c r="S425" s="1051" t="s">
        <v>251</v>
      </c>
      <c r="T425" s="1051">
        <v>29590</v>
      </c>
      <c r="U425" s="1051">
        <v>187020</v>
      </c>
      <c r="V425" s="1051">
        <v>0</v>
      </c>
      <c r="W425" s="1051">
        <v>0</v>
      </c>
      <c r="X425" s="1051">
        <v>0</v>
      </c>
      <c r="Y425" s="1051">
        <v>28370</v>
      </c>
      <c r="Z425" s="1051"/>
      <c r="AA425" s="1051"/>
      <c r="AB425" s="1051"/>
      <c r="AC425" s="1051"/>
      <c r="AD425" s="669">
        <f t="shared" si="43"/>
        <v>244980</v>
      </c>
      <c r="AE425" s="580">
        <f t="shared" si="42"/>
        <v>7.8058950395398989</v>
      </c>
      <c r="AF425" s="581">
        <f t="shared" si="46"/>
        <v>125</v>
      </c>
    </row>
    <row r="426" spans="1:32" x14ac:dyDescent="0.3">
      <c r="A426" s="14" t="s">
        <v>461</v>
      </c>
      <c r="B426" s="656" t="s">
        <v>476</v>
      </c>
      <c r="C426" s="496"/>
      <c r="D426" s="538">
        <v>0</v>
      </c>
      <c r="E426" s="538">
        <v>0</v>
      </c>
      <c r="F426" s="538">
        <v>0</v>
      </c>
      <c r="G426" s="538">
        <v>0</v>
      </c>
      <c r="H426" s="538">
        <v>0</v>
      </c>
      <c r="I426" s="538">
        <v>437630</v>
      </c>
      <c r="J426" s="538">
        <v>0</v>
      </c>
      <c r="K426" s="538">
        <v>0</v>
      </c>
      <c r="L426" s="538">
        <v>0</v>
      </c>
      <c r="M426" s="538">
        <v>0</v>
      </c>
      <c r="N426" s="538">
        <v>0</v>
      </c>
      <c r="O426" s="538">
        <v>0</v>
      </c>
      <c r="P426" s="1496">
        <f t="shared" si="45"/>
        <v>437630</v>
      </c>
      <c r="Q426" s="669">
        <f t="shared" si="47"/>
        <v>437630</v>
      </c>
      <c r="R426" s="1050" t="s">
        <v>251</v>
      </c>
      <c r="S426" s="1051">
        <v>938480</v>
      </c>
      <c r="T426" s="1051">
        <v>0</v>
      </c>
      <c r="U426" s="1051">
        <v>0</v>
      </c>
      <c r="V426" s="1051">
        <v>0</v>
      </c>
      <c r="W426" s="1051">
        <v>0</v>
      </c>
      <c r="X426" s="1051">
        <v>0</v>
      </c>
      <c r="Y426" s="1051">
        <v>0</v>
      </c>
      <c r="Z426" s="1051"/>
      <c r="AA426" s="1051"/>
      <c r="AB426" s="1051"/>
      <c r="AC426" s="1051"/>
      <c r="AD426" s="669">
        <f t="shared" si="43"/>
        <v>938480</v>
      </c>
      <c r="AE426" s="580">
        <f t="shared" si="42"/>
        <v>1.1444599319059479</v>
      </c>
      <c r="AF426" s="581">
        <f t="shared" si="46"/>
        <v>57</v>
      </c>
    </row>
    <row r="427" spans="1:32" x14ac:dyDescent="0.3">
      <c r="A427" s="14" t="s">
        <v>461</v>
      </c>
      <c r="B427" s="656" t="s">
        <v>477</v>
      </c>
      <c r="C427" s="496"/>
      <c r="D427" s="538">
        <v>0</v>
      </c>
      <c r="E427" s="538">
        <v>0</v>
      </c>
      <c r="F427" s="538">
        <v>0</v>
      </c>
      <c r="G427" s="538">
        <v>0</v>
      </c>
      <c r="H427" s="538">
        <v>0</v>
      </c>
      <c r="I427" s="538">
        <v>0</v>
      </c>
      <c r="J427" s="538">
        <v>0</v>
      </c>
      <c r="K427" s="538"/>
      <c r="L427" s="538">
        <v>370750</v>
      </c>
      <c r="M427" s="538">
        <v>0</v>
      </c>
      <c r="N427" s="538">
        <v>360640</v>
      </c>
      <c r="O427" s="538">
        <v>0</v>
      </c>
      <c r="P427" s="1496">
        <f t="shared" si="45"/>
        <v>0</v>
      </c>
      <c r="Q427" s="669">
        <f t="shared" si="47"/>
        <v>731390</v>
      </c>
      <c r="R427" s="1050" t="s">
        <v>251</v>
      </c>
      <c r="S427" s="1051" t="s">
        <v>251</v>
      </c>
      <c r="T427" s="1051" t="s">
        <v>251</v>
      </c>
      <c r="U427" s="1051"/>
      <c r="V427" s="1051"/>
      <c r="W427" s="1051"/>
      <c r="X427" s="1051"/>
      <c r="Y427" s="1051"/>
      <c r="Z427" s="1051"/>
      <c r="AA427" s="1051"/>
      <c r="AB427" s="1051"/>
      <c r="AC427" s="1051"/>
      <c r="AD427" s="669">
        <f t="shared" si="43"/>
        <v>0</v>
      </c>
      <c r="AE427" s="580">
        <f t="shared" si="42"/>
        <v>0</v>
      </c>
      <c r="AF427" s="581">
        <f t="shared" si="46"/>
        <v>189</v>
      </c>
    </row>
    <row r="428" spans="1:32" x14ac:dyDescent="0.3">
      <c r="A428" s="14" t="s">
        <v>461</v>
      </c>
      <c r="B428" s="656" t="s">
        <v>478</v>
      </c>
      <c r="C428" s="496"/>
      <c r="D428" s="538">
        <v>0</v>
      </c>
      <c r="E428" s="538">
        <v>0</v>
      </c>
      <c r="F428" s="538">
        <v>0</v>
      </c>
      <c r="G428" s="538">
        <v>0</v>
      </c>
      <c r="H428" s="538">
        <v>0</v>
      </c>
      <c r="I428" s="538">
        <v>325270</v>
      </c>
      <c r="J428" s="538">
        <v>0</v>
      </c>
      <c r="K428" s="538">
        <v>0</v>
      </c>
      <c r="L428" s="538">
        <v>0</v>
      </c>
      <c r="M428" s="538">
        <v>0</v>
      </c>
      <c r="N428" s="538">
        <v>0</v>
      </c>
      <c r="O428" s="538">
        <v>381230</v>
      </c>
      <c r="P428" s="1496">
        <f t="shared" si="45"/>
        <v>325270</v>
      </c>
      <c r="Q428" s="669">
        <f t="shared" si="47"/>
        <v>706500</v>
      </c>
      <c r="R428" s="1050" t="s">
        <v>251</v>
      </c>
      <c r="S428" s="1051" t="s">
        <v>251</v>
      </c>
      <c r="T428" s="1051" t="s">
        <v>251</v>
      </c>
      <c r="U428" s="1051"/>
      <c r="V428" s="1051"/>
      <c r="W428" s="1051"/>
      <c r="X428" s="1051"/>
      <c r="Y428" s="1051"/>
      <c r="Z428" s="1051"/>
      <c r="AA428" s="1051"/>
      <c r="AB428" s="1051"/>
      <c r="AC428" s="1051"/>
      <c r="AD428" s="669">
        <f t="shared" si="43"/>
        <v>0</v>
      </c>
      <c r="AE428" s="580">
        <f t="shared" si="42"/>
        <v>-1</v>
      </c>
      <c r="AF428" s="581">
        <f t="shared" si="46"/>
        <v>189</v>
      </c>
    </row>
    <row r="429" spans="1:32" x14ac:dyDescent="0.3">
      <c r="A429" s="14" t="s">
        <v>461</v>
      </c>
      <c r="B429" s="656" t="s">
        <v>479</v>
      </c>
      <c r="C429" s="496"/>
      <c r="D429" s="538">
        <v>0</v>
      </c>
      <c r="E429" s="538">
        <v>0</v>
      </c>
      <c r="F429" s="538">
        <v>0</v>
      </c>
      <c r="G429" s="538">
        <v>0</v>
      </c>
      <c r="H429" s="538">
        <v>0</v>
      </c>
      <c r="I429" s="538">
        <v>232910</v>
      </c>
      <c r="J429" s="538">
        <v>0</v>
      </c>
      <c r="K429" s="538">
        <v>0</v>
      </c>
      <c r="L429" s="538">
        <v>0</v>
      </c>
      <c r="M429" s="538">
        <v>0</v>
      </c>
      <c r="N429" s="538">
        <v>0</v>
      </c>
      <c r="O429" s="538">
        <v>0</v>
      </c>
      <c r="P429" s="1496">
        <f t="shared" si="45"/>
        <v>232910</v>
      </c>
      <c r="Q429" s="669">
        <f t="shared" si="47"/>
        <v>232910</v>
      </c>
      <c r="R429" s="1050" t="s">
        <v>251</v>
      </c>
      <c r="S429" s="1051" t="s">
        <v>251</v>
      </c>
      <c r="T429" s="1051" t="s">
        <v>251</v>
      </c>
      <c r="U429" s="1051"/>
      <c r="V429" s="1051"/>
      <c r="W429" s="1051"/>
      <c r="X429" s="1051"/>
      <c r="Y429" s="1051">
        <v>751220</v>
      </c>
      <c r="Z429" s="1051"/>
      <c r="AA429" s="1051"/>
      <c r="AB429" s="1051"/>
      <c r="AC429" s="1051"/>
      <c r="AD429" s="669">
        <f t="shared" si="43"/>
        <v>751220</v>
      </c>
      <c r="AE429" s="580">
        <f t="shared" si="42"/>
        <v>2.2253660212099096</v>
      </c>
      <c r="AF429" s="581">
        <f t="shared" si="46"/>
        <v>69</v>
      </c>
    </row>
    <row r="430" spans="1:32" x14ac:dyDescent="0.3">
      <c r="A430" s="14" t="s">
        <v>461</v>
      </c>
      <c r="B430" s="656" t="s">
        <v>480</v>
      </c>
      <c r="C430" s="496"/>
      <c r="D430" s="538">
        <v>0</v>
      </c>
      <c r="E430" s="538">
        <v>0</v>
      </c>
      <c r="F430" s="538">
        <v>0</v>
      </c>
      <c r="G430" s="538">
        <v>0</v>
      </c>
      <c r="H430" s="538">
        <v>0</v>
      </c>
      <c r="I430" s="538">
        <v>0</v>
      </c>
      <c r="J430" s="538">
        <v>146730</v>
      </c>
      <c r="K430" s="538">
        <v>146730</v>
      </c>
      <c r="L430" s="538">
        <v>0</v>
      </c>
      <c r="M430" s="538">
        <v>0</v>
      </c>
      <c r="N430" s="538">
        <v>0</v>
      </c>
      <c r="O430" s="538">
        <v>0</v>
      </c>
      <c r="P430" s="1496">
        <f t="shared" si="45"/>
        <v>146730</v>
      </c>
      <c r="Q430" s="669">
        <f t="shared" si="47"/>
        <v>146730</v>
      </c>
      <c r="R430" s="1050" t="s">
        <v>251</v>
      </c>
      <c r="S430" s="1051" t="s">
        <v>251</v>
      </c>
      <c r="T430" s="1051" t="s">
        <v>251</v>
      </c>
      <c r="U430" s="1051"/>
      <c r="V430" s="1051"/>
      <c r="W430" s="1051"/>
      <c r="X430" s="1051"/>
      <c r="Y430" s="1051"/>
      <c r="Z430" s="1051"/>
      <c r="AA430" s="1051"/>
      <c r="AB430" s="1051"/>
      <c r="AC430" s="1051"/>
      <c r="AD430" s="669">
        <f t="shared" si="43"/>
        <v>0</v>
      </c>
      <c r="AE430" s="580">
        <f t="shared" si="42"/>
        <v>-1</v>
      </c>
      <c r="AF430" s="581">
        <f t="shared" si="46"/>
        <v>189</v>
      </c>
    </row>
    <row r="431" spans="1:32" x14ac:dyDescent="0.3">
      <c r="A431" s="14" t="s">
        <v>461</v>
      </c>
      <c r="B431" s="656" t="s">
        <v>481</v>
      </c>
      <c r="C431" s="496"/>
      <c r="D431" s="538">
        <v>0</v>
      </c>
      <c r="E431" s="538">
        <v>0</v>
      </c>
      <c r="F431" s="538">
        <v>0</v>
      </c>
      <c r="G431" s="538">
        <v>0</v>
      </c>
      <c r="H431" s="538">
        <v>54760</v>
      </c>
      <c r="I431" s="538">
        <v>72600</v>
      </c>
      <c r="J431" s="538">
        <v>0</v>
      </c>
      <c r="K431" s="538">
        <v>0</v>
      </c>
      <c r="L431" s="538">
        <v>0</v>
      </c>
      <c r="M431" s="538">
        <v>0</v>
      </c>
      <c r="N431" s="538">
        <v>0</v>
      </c>
      <c r="O431" s="538">
        <v>0</v>
      </c>
      <c r="P431" s="1496">
        <f t="shared" si="45"/>
        <v>127360</v>
      </c>
      <c r="Q431" s="669">
        <f t="shared" si="47"/>
        <v>127360</v>
      </c>
      <c r="R431" s="1050" t="s">
        <v>251</v>
      </c>
      <c r="S431" s="1051" t="s">
        <v>251</v>
      </c>
      <c r="T431" s="1051" t="s">
        <v>251</v>
      </c>
      <c r="U431" s="1051"/>
      <c r="V431" s="1051"/>
      <c r="W431" s="1051"/>
      <c r="X431" s="1051"/>
      <c r="Y431" s="1051"/>
      <c r="Z431" s="1051"/>
      <c r="AA431" s="1051"/>
      <c r="AB431" s="1051"/>
      <c r="AC431" s="1051"/>
      <c r="AD431" s="669">
        <f t="shared" si="43"/>
        <v>0</v>
      </c>
      <c r="AE431" s="580">
        <f t="shared" si="42"/>
        <v>-1</v>
      </c>
      <c r="AF431" s="581">
        <f t="shared" si="46"/>
        <v>189</v>
      </c>
    </row>
    <row r="432" spans="1:32" x14ac:dyDescent="0.3">
      <c r="A432" s="14" t="s">
        <v>461</v>
      </c>
      <c r="B432" s="656" t="s">
        <v>497</v>
      </c>
      <c r="C432" s="496"/>
      <c r="D432" s="538" t="s">
        <v>251</v>
      </c>
      <c r="E432" s="538" t="s">
        <v>251</v>
      </c>
      <c r="F432" s="538" t="s">
        <v>251</v>
      </c>
      <c r="G432" s="538" t="s">
        <v>251</v>
      </c>
      <c r="H432" s="538" t="s">
        <v>251</v>
      </c>
      <c r="I432" s="538" t="s">
        <v>251</v>
      </c>
      <c r="J432" s="538" t="s">
        <v>251</v>
      </c>
      <c r="K432" s="538"/>
      <c r="L432" s="538" t="s">
        <v>251</v>
      </c>
      <c r="M432" s="538" t="s">
        <v>251</v>
      </c>
      <c r="N432" s="538" t="s">
        <v>251</v>
      </c>
      <c r="O432" s="538" t="s">
        <v>251</v>
      </c>
      <c r="P432" s="1496">
        <f t="shared" si="45"/>
        <v>0</v>
      </c>
      <c r="Q432" s="669">
        <f t="shared" si="47"/>
        <v>0</v>
      </c>
      <c r="R432" s="1050" t="s">
        <v>251</v>
      </c>
      <c r="S432" s="1051" t="s">
        <v>251</v>
      </c>
      <c r="T432" s="1051" t="s">
        <v>251</v>
      </c>
      <c r="U432" s="1051"/>
      <c r="V432" s="1051"/>
      <c r="W432" s="1051"/>
      <c r="X432" s="1051"/>
      <c r="Y432" s="1051"/>
      <c r="Z432" s="1051"/>
      <c r="AA432" s="1051"/>
      <c r="AB432" s="1051"/>
      <c r="AC432" s="1051"/>
      <c r="AD432" s="669">
        <f t="shared" si="43"/>
        <v>0</v>
      </c>
      <c r="AE432" s="580">
        <f t="shared" si="42"/>
        <v>0</v>
      </c>
      <c r="AF432" s="581">
        <f t="shared" si="46"/>
        <v>189</v>
      </c>
    </row>
    <row r="433" spans="1:32" x14ac:dyDescent="0.3">
      <c r="A433" s="14" t="s">
        <v>461</v>
      </c>
      <c r="B433" s="656" t="s">
        <v>1755</v>
      </c>
      <c r="C433" s="496"/>
      <c r="D433" s="538">
        <v>0</v>
      </c>
      <c r="E433" s="538">
        <v>0</v>
      </c>
      <c r="F433" s="538">
        <v>0</v>
      </c>
      <c r="G433" s="538">
        <v>0</v>
      </c>
      <c r="H433" s="538">
        <v>0</v>
      </c>
      <c r="I433" s="538">
        <v>0</v>
      </c>
      <c r="J433" s="538" t="s">
        <v>251</v>
      </c>
      <c r="K433" s="538"/>
      <c r="L433" s="538">
        <v>0</v>
      </c>
      <c r="M433" s="538">
        <v>0</v>
      </c>
      <c r="N433" s="538">
        <v>0</v>
      </c>
      <c r="O433" s="538">
        <v>435790</v>
      </c>
      <c r="P433" s="1496">
        <f t="shared" si="45"/>
        <v>0</v>
      </c>
      <c r="Q433" s="669">
        <f t="shared" si="47"/>
        <v>435790</v>
      </c>
      <c r="R433" s="1050" t="s">
        <v>251</v>
      </c>
      <c r="S433" s="1051" t="s">
        <v>251</v>
      </c>
      <c r="T433" s="1051" t="s">
        <v>251</v>
      </c>
      <c r="U433" s="1051"/>
      <c r="V433" s="1051"/>
      <c r="W433" s="1051"/>
      <c r="X433" s="1051"/>
      <c r="Y433" s="1051">
        <v>516490</v>
      </c>
      <c r="Z433" s="1051"/>
      <c r="AA433" s="1051"/>
      <c r="AB433" s="1051"/>
      <c r="AC433" s="1051"/>
      <c r="AD433" s="669">
        <f t="shared" si="43"/>
        <v>516490</v>
      </c>
      <c r="AE433" s="580">
        <f t="shared" si="42"/>
        <v>1</v>
      </c>
      <c r="AF433" s="581">
        <f t="shared" si="46"/>
        <v>90</v>
      </c>
    </row>
    <row r="434" spans="1:32" x14ac:dyDescent="0.3">
      <c r="A434" s="14" t="s">
        <v>461</v>
      </c>
      <c r="B434" s="656" t="s">
        <v>2383</v>
      </c>
      <c r="C434" s="496"/>
      <c r="D434" s="538">
        <v>0</v>
      </c>
      <c r="E434" s="538">
        <v>0</v>
      </c>
      <c r="F434" s="538">
        <v>0</v>
      </c>
      <c r="G434" s="538">
        <v>0</v>
      </c>
      <c r="H434" s="538"/>
      <c r="I434" s="538"/>
      <c r="J434" s="538"/>
      <c r="K434" s="538"/>
      <c r="L434" s="538"/>
      <c r="M434" s="538"/>
      <c r="N434" s="538">
        <v>0</v>
      </c>
      <c r="O434" s="538">
        <v>86030</v>
      </c>
      <c r="P434" s="1496">
        <f t="shared" si="45"/>
        <v>0</v>
      </c>
      <c r="Q434" s="669">
        <f t="shared" si="47"/>
        <v>86030</v>
      </c>
      <c r="R434" s="1050">
        <v>685730</v>
      </c>
      <c r="S434" s="1051" t="s">
        <v>251</v>
      </c>
      <c r="T434" s="1051">
        <v>0</v>
      </c>
      <c r="U434" s="1051">
        <v>0</v>
      </c>
      <c r="V434" s="1051">
        <v>0</v>
      </c>
      <c r="W434" s="1051">
        <v>0</v>
      </c>
      <c r="X434" s="1051">
        <v>0</v>
      </c>
      <c r="Y434" s="1051">
        <v>236360</v>
      </c>
      <c r="Z434" s="1051"/>
      <c r="AA434" s="1051"/>
      <c r="AB434" s="1051"/>
      <c r="AC434" s="1051"/>
      <c r="AD434" s="669">
        <f t="shared" si="43"/>
        <v>922090</v>
      </c>
      <c r="AE434" s="580">
        <f t="shared" si="42"/>
        <v>1</v>
      </c>
      <c r="AF434" s="581">
        <f t="shared" si="46"/>
        <v>59</v>
      </c>
    </row>
    <row r="435" spans="1:32" x14ac:dyDescent="0.3">
      <c r="A435" s="14" t="s">
        <v>461</v>
      </c>
      <c r="B435" s="656" t="s">
        <v>2592</v>
      </c>
      <c r="C435" s="496"/>
      <c r="D435" s="538"/>
      <c r="E435" s="538"/>
      <c r="F435" s="538"/>
      <c r="G435" s="538"/>
      <c r="H435" s="538"/>
      <c r="I435" s="538"/>
      <c r="J435" s="538"/>
      <c r="K435" s="538"/>
      <c r="L435" s="538"/>
      <c r="M435" s="538"/>
      <c r="N435" s="538"/>
      <c r="O435" s="538"/>
      <c r="P435" s="1496">
        <f t="shared" si="45"/>
        <v>0</v>
      </c>
      <c r="Q435" s="669">
        <f t="shared" si="47"/>
        <v>0</v>
      </c>
      <c r="R435" s="1050"/>
      <c r="S435" s="1051"/>
      <c r="T435" s="1051">
        <v>537460</v>
      </c>
      <c r="U435" s="1051">
        <v>0</v>
      </c>
      <c r="V435" s="1051">
        <v>0</v>
      </c>
      <c r="W435" s="1051">
        <v>0</v>
      </c>
      <c r="X435" s="1051">
        <v>0</v>
      </c>
      <c r="Y435" s="1051">
        <v>0</v>
      </c>
      <c r="Z435" s="1051"/>
      <c r="AA435" s="1051"/>
      <c r="AB435" s="1051"/>
      <c r="AC435" s="1051"/>
      <c r="AD435" s="669">
        <f t="shared" si="43"/>
        <v>537460</v>
      </c>
      <c r="AE435" s="580">
        <f t="shared" si="42"/>
        <v>1</v>
      </c>
      <c r="AF435" s="581">
        <f t="shared" si="46"/>
        <v>86</v>
      </c>
    </row>
    <row r="436" spans="1:32" x14ac:dyDescent="0.3">
      <c r="A436" s="14" t="s">
        <v>461</v>
      </c>
      <c r="B436" s="656" t="s">
        <v>2948</v>
      </c>
      <c r="C436" s="496"/>
      <c r="D436" s="538"/>
      <c r="E436" s="538"/>
      <c r="F436" s="538"/>
      <c r="G436" s="538"/>
      <c r="H436" s="538"/>
      <c r="I436" s="538"/>
      <c r="J436" s="538"/>
      <c r="K436" s="538"/>
      <c r="L436" s="538"/>
      <c r="M436" s="538"/>
      <c r="N436" s="538"/>
      <c r="O436" s="538"/>
      <c r="P436" s="1496">
        <f t="shared" si="45"/>
        <v>0</v>
      </c>
      <c r="Q436" s="669">
        <f t="shared" si="47"/>
        <v>0</v>
      </c>
      <c r="R436" s="1050"/>
      <c r="S436" s="1051"/>
      <c r="T436" s="1051"/>
      <c r="U436" s="1051"/>
      <c r="V436" s="1051"/>
      <c r="W436" s="1051"/>
      <c r="X436" s="1051">
        <v>1592210</v>
      </c>
      <c r="Y436" s="1051">
        <v>0</v>
      </c>
      <c r="Z436" s="1051"/>
      <c r="AA436" s="1051"/>
      <c r="AB436" s="1051"/>
      <c r="AC436" s="1051"/>
      <c r="AD436" s="669">
        <f t="shared" si="43"/>
        <v>1592210</v>
      </c>
      <c r="AE436" s="580">
        <f t="shared" si="42"/>
        <v>1</v>
      </c>
      <c r="AF436" s="581">
        <f t="shared" si="46"/>
        <v>40</v>
      </c>
    </row>
    <row r="437" spans="1:32" x14ac:dyDescent="0.3">
      <c r="A437" s="14" t="s">
        <v>461</v>
      </c>
      <c r="B437" s="656" t="s">
        <v>3020</v>
      </c>
      <c r="C437" s="496"/>
      <c r="D437" s="538"/>
      <c r="E437" s="538"/>
      <c r="F437" s="538"/>
      <c r="G437" s="538"/>
      <c r="H437" s="538"/>
      <c r="I437" s="538"/>
      <c r="J437" s="538"/>
      <c r="K437" s="538"/>
      <c r="L437" s="538"/>
      <c r="M437" s="538"/>
      <c r="N437" s="538"/>
      <c r="O437" s="538"/>
      <c r="P437" s="1496">
        <f t="shared" si="45"/>
        <v>0</v>
      </c>
      <c r="Q437" s="669">
        <f t="shared" si="47"/>
        <v>0</v>
      </c>
      <c r="R437" s="1050"/>
      <c r="S437" s="1051"/>
      <c r="T437" s="1051"/>
      <c r="U437" s="1051"/>
      <c r="V437" s="1051"/>
      <c r="W437" s="1051"/>
      <c r="X437" s="1051"/>
      <c r="Y437" s="1051">
        <v>344960</v>
      </c>
      <c r="Z437" s="1051"/>
      <c r="AA437" s="1051"/>
      <c r="AB437" s="1051"/>
      <c r="AC437" s="1051"/>
      <c r="AD437" s="669">
        <f t="shared" si="43"/>
        <v>344960</v>
      </c>
      <c r="AE437" s="580">
        <f t="shared" si="42"/>
        <v>1</v>
      </c>
      <c r="AF437" s="581">
        <f t="shared" si="46"/>
        <v>111</v>
      </c>
    </row>
    <row r="438" spans="1:32" x14ac:dyDescent="0.3">
      <c r="A438" s="15" t="s">
        <v>482</v>
      </c>
      <c r="B438" s="657" t="s">
        <v>483</v>
      </c>
      <c r="C438" s="497"/>
      <c r="D438" s="539">
        <v>334300</v>
      </c>
      <c r="E438" s="539">
        <v>0</v>
      </c>
      <c r="F438" s="539">
        <v>0</v>
      </c>
      <c r="G438" s="539">
        <v>0</v>
      </c>
      <c r="H438" s="539">
        <v>0</v>
      </c>
      <c r="I438" s="539">
        <v>0</v>
      </c>
      <c r="J438" s="539">
        <v>0</v>
      </c>
      <c r="K438" s="539">
        <v>0</v>
      </c>
      <c r="L438" s="539">
        <v>0</v>
      </c>
      <c r="M438" s="539">
        <v>0</v>
      </c>
      <c r="N438" s="539">
        <v>0</v>
      </c>
      <c r="O438" s="539">
        <v>0</v>
      </c>
      <c r="P438" s="1496">
        <f t="shared" si="45"/>
        <v>334300</v>
      </c>
      <c r="Q438" s="670">
        <f t="shared" si="47"/>
        <v>334300</v>
      </c>
      <c r="R438" s="1052" t="s">
        <v>251</v>
      </c>
      <c r="S438" s="1053" t="s">
        <v>251</v>
      </c>
      <c r="T438" s="1053" t="s">
        <v>251</v>
      </c>
      <c r="U438" s="1053"/>
      <c r="V438" s="1053"/>
      <c r="W438" s="1053"/>
      <c r="X438" s="1053"/>
      <c r="Y438" s="1053"/>
      <c r="Z438" s="1053"/>
      <c r="AA438" s="1053"/>
      <c r="AB438" s="1053"/>
      <c r="AC438" s="1053"/>
      <c r="AD438" s="670">
        <f t="shared" si="43"/>
        <v>0</v>
      </c>
      <c r="AE438" s="582">
        <f t="shared" si="42"/>
        <v>-1</v>
      </c>
      <c r="AF438" s="583">
        <f t="shared" si="46"/>
        <v>189</v>
      </c>
    </row>
    <row r="439" spans="1:32" x14ac:dyDescent="0.3">
      <c r="A439" s="15" t="s">
        <v>482</v>
      </c>
      <c r="B439" s="657" t="s">
        <v>484</v>
      </c>
      <c r="C439" s="497"/>
      <c r="D439" s="539">
        <v>0</v>
      </c>
      <c r="E439" s="539">
        <v>80610</v>
      </c>
      <c r="F439" s="539">
        <v>179070</v>
      </c>
      <c r="G439" s="539">
        <v>0</v>
      </c>
      <c r="H439" s="539">
        <v>304390</v>
      </c>
      <c r="I439" s="539">
        <v>151490</v>
      </c>
      <c r="J439" s="539">
        <v>0</v>
      </c>
      <c r="K439" s="539">
        <v>0</v>
      </c>
      <c r="L439" s="539">
        <v>467820</v>
      </c>
      <c r="M439" s="539">
        <v>1482480</v>
      </c>
      <c r="N439" s="539">
        <v>0</v>
      </c>
      <c r="O439" s="539">
        <v>0</v>
      </c>
      <c r="P439" s="1496">
        <f t="shared" si="45"/>
        <v>715560</v>
      </c>
      <c r="Q439" s="670">
        <f t="shared" si="47"/>
        <v>2665860</v>
      </c>
      <c r="R439" s="1052">
        <v>1106070</v>
      </c>
      <c r="S439" s="1053" t="s">
        <v>251</v>
      </c>
      <c r="T439" s="1053">
        <v>0</v>
      </c>
      <c r="U439" s="1053">
        <v>1234920</v>
      </c>
      <c r="V439" s="1053">
        <v>1551170</v>
      </c>
      <c r="W439" s="1053">
        <v>61660</v>
      </c>
      <c r="X439" s="1053">
        <v>93240</v>
      </c>
      <c r="Y439" s="1053">
        <v>342870</v>
      </c>
      <c r="Z439" s="1053"/>
      <c r="AA439" s="1053"/>
      <c r="AB439" s="1053"/>
      <c r="AC439" s="1053"/>
      <c r="AD439" s="670">
        <f t="shared" si="43"/>
        <v>4389930</v>
      </c>
      <c r="AE439" s="582">
        <f t="shared" ref="AE439:AE484" si="48">IF(OR(AD439="", P439=""), 0, IFERROR((AD439-P439)/P439, IF(AD439&lt;&gt;0, 1, 0)))</f>
        <v>5.1349572362904574</v>
      </c>
      <c r="AF439" s="583">
        <f t="shared" si="46"/>
        <v>19</v>
      </c>
    </row>
    <row r="440" spans="1:32" x14ac:dyDescent="0.3">
      <c r="A440" s="15" t="s">
        <v>482</v>
      </c>
      <c r="B440" s="657" t="s">
        <v>485</v>
      </c>
      <c r="C440" s="497"/>
      <c r="D440" s="539">
        <v>0</v>
      </c>
      <c r="E440" s="539">
        <v>81460</v>
      </c>
      <c r="F440" s="539">
        <v>0</v>
      </c>
      <c r="G440" s="539">
        <v>156130</v>
      </c>
      <c r="H440" s="539">
        <v>0</v>
      </c>
      <c r="I440" s="539">
        <v>135850</v>
      </c>
      <c r="J440" s="539">
        <v>0</v>
      </c>
      <c r="K440" s="539">
        <v>0</v>
      </c>
      <c r="L440" s="539">
        <v>0</v>
      </c>
      <c r="M440" s="539">
        <v>0</v>
      </c>
      <c r="N440" s="539">
        <v>387960</v>
      </c>
      <c r="O440" s="539">
        <v>0</v>
      </c>
      <c r="P440" s="1496">
        <f t="shared" si="45"/>
        <v>373440</v>
      </c>
      <c r="Q440" s="670">
        <f t="shared" si="47"/>
        <v>761400</v>
      </c>
      <c r="R440" s="1052" t="s">
        <v>251</v>
      </c>
      <c r="S440" s="1053">
        <v>424350</v>
      </c>
      <c r="T440" s="1053">
        <v>358470</v>
      </c>
      <c r="U440" s="1053">
        <v>165760</v>
      </c>
      <c r="V440" s="1053">
        <v>241160</v>
      </c>
      <c r="W440" s="1053">
        <v>169430</v>
      </c>
      <c r="X440" s="1053">
        <v>164220</v>
      </c>
      <c r="Y440" s="1053">
        <v>0</v>
      </c>
      <c r="Z440" s="1053"/>
      <c r="AA440" s="1053"/>
      <c r="AB440" s="1053"/>
      <c r="AC440" s="1053"/>
      <c r="AD440" s="670">
        <f t="shared" si="43"/>
        <v>1523390</v>
      </c>
      <c r="AE440" s="582">
        <f t="shared" si="48"/>
        <v>3.0793434018851755</v>
      </c>
      <c r="AF440" s="583">
        <f t="shared" si="46"/>
        <v>42</v>
      </c>
    </row>
    <row r="441" spans="1:32" x14ac:dyDescent="0.3">
      <c r="A441" s="15" t="s">
        <v>482</v>
      </c>
      <c r="B441" s="657" t="s">
        <v>486</v>
      </c>
      <c r="C441" s="497">
        <v>255180</v>
      </c>
      <c r="D441" s="539">
        <v>0</v>
      </c>
      <c r="E441" s="539">
        <v>0</v>
      </c>
      <c r="F441" s="539">
        <v>0</v>
      </c>
      <c r="G441" s="539">
        <v>0</v>
      </c>
      <c r="H441" s="539">
        <v>261670</v>
      </c>
      <c r="I441" s="539">
        <v>0</v>
      </c>
      <c r="J441" s="539">
        <v>0</v>
      </c>
      <c r="K441" s="539">
        <v>0</v>
      </c>
      <c r="L441" s="539">
        <v>0</v>
      </c>
      <c r="M441" s="539">
        <v>0</v>
      </c>
      <c r="N441" s="539">
        <v>0</v>
      </c>
      <c r="O441" s="539">
        <v>0</v>
      </c>
      <c r="P441" s="1496">
        <f t="shared" si="45"/>
        <v>516850</v>
      </c>
      <c r="Q441" s="670">
        <f t="shared" si="47"/>
        <v>516850</v>
      </c>
      <c r="R441" s="1052" t="s">
        <v>251</v>
      </c>
      <c r="S441" s="1053" t="s">
        <v>251</v>
      </c>
      <c r="T441" s="1053" t="s">
        <v>251</v>
      </c>
      <c r="U441" s="1053"/>
      <c r="V441" s="1053"/>
      <c r="W441" s="1053">
        <v>211790</v>
      </c>
      <c r="X441" s="1053">
        <v>174050</v>
      </c>
      <c r="Y441" s="1053">
        <v>0</v>
      </c>
      <c r="Z441" s="1053"/>
      <c r="AA441" s="1053"/>
      <c r="AB441" s="1053"/>
      <c r="AC441" s="1053"/>
      <c r="AD441" s="670">
        <f t="shared" si="43"/>
        <v>385840</v>
      </c>
      <c r="AE441" s="582">
        <f t="shared" si="48"/>
        <v>-0.25347779820063848</v>
      </c>
      <c r="AF441" s="583">
        <f t="shared" si="46"/>
        <v>103</v>
      </c>
    </row>
    <row r="442" spans="1:32" x14ac:dyDescent="0.3">
      <c r="A442" s="15" t="s">
        <v>482</v>
      </c>
      <c r="B442" s="657" t="s">
        <v>487</v>
      </c>
      <c r="C442" s="497">
        <v>117460</v>
      </c>
      <c r="D442" s="539">
        <v>0</v>
      </c>
      <c r="E442" s="539">
        <v>0</v>
      </c>
      <c r="F442" s="539">
        <v>0</v>
      </c>
      <c r="G442" s="539">
        <v>0</v>
      </c>
      <c r="H442" s="539">
        <v>0</v>
      </c>
      <c r="I442" s="539">
        <v>0</v>
      </c>
      <c r="J442" s="539">
        <v>0</v>
      </c>
      <c r="K442" s="539">
        <v>0</v>
      </c>
      <c r="L442" s="539">
        <v>0</v>
      </c>
      <c r="M442" s="539">
        <v>0</v>
      </c>
      <c r="N442" s="539">
        <v>0</v>
      </c>
      <c r="O442" s="539">
        <v>0</v>
      </c>
      <c r="P442" s="1496">
        <f t="shared" si="45"/>
        <v>117460</v>
      </c>
      <c r="Q442" s="670">
        <f t="shared" si="47"/>
        <v>117460</v>
      </c>
      <c r="R442" s="1052" t="s">
        <v>251</v>
      </c>
      <c r="S442" s="1053" t="s">
        <v>251</v>
      </c>
      <c r="T442" s="1053" t="s">
        <v>251</v>
      </c>
      <c r="U442" s="1053"/>
      <c r="V442" s="1053"/>
      <c r="W442" s="1053"/>
      <c r="X442" s="1053"/>
      <c r="Y442" s="1053"/>
      <c r="Z442" s="1053"/>
      <c r="AA442" s="1053"/>
      <c r="AB442" s="1053"/>
      <c r="AC442" s="1053"/>
      <c r="AD442" s="670">
        <f t="shared" si="43"/>
        <v>0</v>
      </c>
      <c r="AE442" s="582">
        <f t="shared" si="48"/>
        <v>-1</v>
      </c>
      <c r="AF442" s="583">
        <f t="shared" si="46"/>
        <v>189</v>
      </c>
    </row>
    <row r="443" spans="1:32" x14ac:dyDescent="0.3">
      <c r="A443" s="15" t="s">
        <v>482</v>
      </c>
      <c r="B443" s="657" t="s">
        <v>488</v>
      </c>
      <c r="C443" s="497"/>
      <c r="D443" s="539">
        <v>0</v>
      </c>
      <c r="E443" s="539">
        <v>0</v>
      </c>
      <c r="F443" s="539">
        <v>0</v>
      </c>
      <c r="G443" s="539">
        <v>110190</v>
      </c>
      <c r="H443" s="539">
        <v>0</v>
      </c>
      <c r="I443" s="539">
        <v>0</v>
      </c>
      <c r="J443" s="539">
        <v>0</v>
      </c>
      <c r="K443" s="539">
        <v>0</v>
      </c>
      <c r="L443" s="539">
        <v>0</v>
      </c>
      <c r="M443" s="539">
        <v>0</v>
      </c>
      <c r="N443" s="539">
        <v>0</v>
      </c>
      <c r="O443" s="539">
        <v>164680</v>
      </c>
      <c r="P443" s="1496">
        <f t="shared" si="45"/>
        <v>110190</v>
      </c>
      <c r="Q443" s="670">
        <f t="shared" si="47"/>
        <v>274870</v>
      </c>
      <c r="R443" s="1052">
        <v>165030</v>
      </c>
      <c r="S443" s="1053" t="s">
        <v>251</v>
      </c>
      <c r="T443" s="1053">
        <v>0</v>
      </c>
      <c r="U443" s="1053">
        <v>329960</v>
      </c>
      <c r="V443" s="1053">
        <v>0</v>
      </c>
      <c r="W443" s="1053">
        <v>0</v>
      </c>
      <c r="X443" s="1053">
        <v>0</v>
      </c>
      <c r="Y443" s="1053">
        <v>0</v>
      </c>
      <c r="Z443" s="1053"/>
      <c r="AA443" s="1053"/>
      <c r="AB443" s="1053"/>
      <c r="AC443" s="1053"/>
      <c r="AD443" s="670">
        <f t="shared" si="43"/>
        <v>494990</v>
      </c>
      <c r="AE443" s="582">
        <f t="shared" si="48"/>
        <v>3.4921499228605137</v>
      </c>
      <c r="AF443" s="583">
        <f t="shared" si="46"/>
        <v>94</v>
      </c>
    </row>
    <row r="444" spans="1:32" x14ac:dyDescent="0.3">
      <c r="A444" s="15" t="s">
        <v>482</v>
      </c>
      <c r="B444" s="657" t="s">
        <v>489</v>
      </c>
      <c r="C444" s="497"/>
      <c r="D444" s="539" t="s">
        <v>251</v>
      </c>
      <c r="E444" s="539" t="s">
        <v>251</v>
      </c>
      <c r="F444" s="539" t="s">
        <v>251</v>
      </c>
      <c r="G444" s="539" t="s">
        <v>251</v>
      </c>
      <c r="H444" s="539" t="s">
        <v>251</v>
      </c>
      <c r="I444" s="539" t="s">
        <v>251</v>
      </c>
      <c r="J444" s="539" t="s">
        <v>251</v>
      </c>
      <c r="K444" s="539"/>
      <c r="L444" s="539" t="s">
        <v>251</v>
      </c>
      <c r="M444" s="539" t="s">
        <v>251</v>
      </c>
      <c r="N444" s="539" t="s">
        <v>251</v>
      </c>
      <c r="O444" s="539" t="s">
        <v>251</v>
      </c>
      <c r="P444" s="1496">
        <f t="shared" si="45"/>
        <v>0</v>
      </c>
      <c r="Q444" s="670">
        <f t="shared" si="47"/>
        <v>0</v>
      </c>
      <c r="R444" s="1052" t="s">
        <v>251</v>
      </c>
      <c r="S444" s="1053" t="s">
        <v>251</v>
      </c>
      <c r="T444" s="1053" t="s">
        <v>251</v>
      </c>
      <c r="U444" s="1053"/>
      <c r="V444" s="1053"/>
      <c r="W444" s="1053"/>
      <c r="X444" s="1053"/>
      <c r="Y444" s="1053"/>
      <c r="Z444" s="1053"/>
      <c r="AA444" s="1053"/>
      <c r="AB444" s="1053"/>
      <c r="AC444" s="1053"/>
      <c r="AD444" s="670">
        <f t="shared" si="43"/>
        <v>0</v>
      </c>
      <c r="AE444" s="582">
        <f t="shared" si="48"/>
        <v>0</v>
      </c>
      <c r="AF444" s="583">
        <f t="shared" si="46"/>
        <v>189</v>
      </c>
    </row>
    <row r="445" spans="1:32" x14ac:dyDescent="0.3">
      <c r="A445" s="15" t="s">
        <v>482</v>
      </c>
      <c r="B445" s="657" t="s">
        <v>490</v>
      </c>
      <c r="C445" s="497"/>
      <c r="D445" s="539" t="s">
        <v>251</v>
      </c>
      <c r="E445" s="539" t="s">
        <v>251</v>
      </c>
      <c r="F445" s="539" t="s">
        <v>251</v>
      </c>
      <c r="G445" s="539" t="s">
        <v>251</v>
      </c>
      <c r="H445" s="539" t="s">
        <v>251</v>
      </c>
      <c r="I445" s="539" t="s">
        <v>251</v>
      </c>
      <c r="J445" s="539" t="s">
        <v>251</v>
      </c>
      <c r="K445" s="539"/>
      <c r="L445" s="539" t="s">
        <v>251</v>
      </c>
      <c r="M445" s="539" t="s">
        <v>251</v>
      </c>
      <c r="N445" s="539" t="s">
        <v>251</v>
      </c>
      <c r="O445" s="539" t="s">
        <v>251</v>
      </c>
      <c r="P445" s="1496">
        <f t="shared" si="45"/>
        <v>0</v>
      </c>
      <c r="Q445" s="670">
        <f t="shared" si="47"/>
        <v>0</v>
      </c>
      <c r="R445" s="1052" t="s">
        <v>251</v>
      </c>
      <c r="S445" s="1053" t="s">
        <v>251</v>
      </c>
      <c r="T445" s="1053" t="s">
        <v>251</v>
      </c>
      <c r="U445" s="1053"/>
      <c r="V445" s="1053"/>
      <c r="W445" s="1053"/>
      <c r="X445" s="1053"/>
      <c r="Y445" s="1053"/>
      <c r="Z445" s="1053"/>
      <c r="AA445" s="1053"/>
      <c r="AB445" s="1053"/>
      <c r="AC445" s="1053"/>
      <c r="AD445" s="670">
        <f t="shared" si="43"/>
        <v>0</v>
      </c>
      <c r="AE445" s="582">
        <f t="shared" si="48"/>
        <v>0</v>
      </c>
      <c r="AF445" s="583">
        <f t="shared" si="46"/>
        <v>189</v>
      </c>
    </row>
    <row r="446" spans="1:32" x14ac:dyDescent="0.3">
      <c r="A446" s="15" t="s">
        <v>482</v>
      </c>
      <c r="B446" s="657" t="s">
        <v>2593</v>
      </c>
      <c r="C446" s="497"/>
      <c r="D446" s="539"/>
      <c r="E446" s="539"/>
      <c r="F446" s="539"/>
      <c r="G446" s="539"/>
      <c r="H446" s="539"/>
      <c r="I446" s="539"/>
      <c r="J446" s="539"/>
      <c r="K446" s="539"/>
      <c r="L446" s="539"/>
      <c r="M446" s="539"/>
      <c r="N446" s="539"/>
      <c r="O446" s="539"/>
      <c r="P446" s="1496">
        <f t="shared" si="45"/>
        <v>0</v>
      </c>
      <c r="Q446" s="670">
        <f t="shared" si="47"/>
        <v>0</v>
      </c>
      <c r="R446" s="1052"/>
      <c r="S446" s="1053"/>
      <c r="T446" s="1053">
        <v>363310</v>
      </c>
      <c r="U446" s="1053">
        <v>0</v>
      </c>
      <c r="V446" s="1053">
        <v>0</v>
      </c>
      <c r="W446" s="1053">
        <v>409740</v>
      </c>
      <c r="X446" s="1053">
        <v>363960</v>
      </c>
      <c r="Y446" s="1053">
        <v>395720</v>
      </c>
      <c r="Z446" s="1053"/>
      <c r="AA446" s="1053"/>
      <c r="AB446" s="1053"/>
      <c r="AC446" s="1053"/>
      <c r="AD446" s="670">
        <f t="shared" si="43"/>
        <v>1532730</v>
      </c>
      <c r="AE446" s="582">
        <f t="shared" si="48"/>
        <v>1</v>
      </c>
      <c r="AF446" s="583">
        <f t="shared" si="46"/>
        <v>41</v>
      </c>
    </row>
    <row r="447" spans="1:32" x14ac:dyDescent="0.3">
      <c r="A447" s="15" t="s">
        <v>482</v>
      </c>
      <c r="B447" s="657" t="s">
        <v>2676</v>
      </c>
      <c r="C447" s="497"/>
      <c r="D447" s="539"/>
      <c r="E447" s="539"/>
      <c r="F447" s="539"/>
      <c r="G447" s="539"/>
      <c r="H447" s="539"/>
      <c r="I447" s="539"/>
      <c r="J447" s="539"/>
      <c r="K447" s="539"/>
      <c r="L447" s="539"/>
      <c r="M447" s="539"/>
      <c r="N447" s="539"/>
      <c r="O447" s="539"/>
      <c r="P447" s="1496">
        <f t="shared" si="45"/>
        <v>0</v>
      </c>
      <c r="Q447" s="670">
        <f t="shared" si="47"/>
        <v>0</v>
      </c>
      <c r="R447" s="1052"/>
      <c r="S447" s="1053"/>
      <c r="T447" s="1053"/>
      <c r="U447" s="1053">
        <v>186650</v>
      </c>
      <c r="V447" s="1053">
        <v>0</v>
      </c>
      <c r="W447" s="1053">
        <v>30830</v>
      </c>
      <c r="X447" s="1053">
        <v>0</v>
      </c>
      <c r="Y447" s="1053">
        <v>0</v>
      </c>
      <c r="Z447" s="1053"/>
      <c r="AA447" s="1053"/>
      <c r="AB447" s="1053"/>
      <c r="AC447" s="1053"/>
      <c r="AD447" s="670">
        <f t="shared" si="43"/>
        <v>217480</v>
      </c>
      <c r="AE447" s="582">
        <f t="shared" si="48"/>
        <v>1</v>
      </c>
      <c r="AF447" s="583">
        <f t="shared" ref="AF447:AF483" si="49">IFERROR(_xlfn.RANK.EQ(AD447, $AD$2:$AD$483), "")</f>
        <v>129</v>
      </c>
    </row>
    <row r="448" spans="1:32" x14ac:dyDescent="0.3">
      <c r="A448" s="16" t="s">
        <v>491</v>
      </c>
      <c r="B448" s="658" t="s">
        <v>492</v>
      </c>
      <c r="C448" s="498">
        <v>342530</v>
      </c>
      <c r="D448" s="540">
        <v>0</v>
      </c>
      <c r="E448" s="540">
        <v>91370</v>
      </c>
      <c r="F448" s="540">
        <v>176560</v>
      </c>
      <c r="G448" s="540">
        <v>86550</v>
      </c>
      <c r="H448" s="540">
        <v>0</v>
      </c>
      <c r="I448" s="540">
        <v>0</v>
      </c>
      <c r="J448" s="540">
        <v>0</v>
      </c>
      <c r="K448" s="540">
        <v>0</v>
      </c>
      <c r="L448" s="540">
        <v>244010</v>
      </c>
      <c r="M448" s="540">
        <v>267100</v>
      </c>
      <c r="N448" s="540">
        <v>176320</v>
      </c>
      <c r="O448" s="540">
        <v>123680</v>
      </c>
      <c r="P448" s="1496">
        <f t="shared" si="45"/>
        <v>697010</v>
      </c>
      <c r="Q448" s="671">
        <f t="shared" si="47"/>
        <v>1508120</v>
      </c>
      <c r="R448" s="1054">
        <v>335630</v>
      </c>
      <c r="S448" s="1055">
        <v>251190</v>
      </c>
      <c r="T448" s="1055">
        <v>0</v>
      </c>
      <c r="U448" s="1055">
        <v>72560</v>
      </c>
      <c r="V448" s="1055">
        <v>189540</v>
      </c>
      <c r="W448" s="1055">
        <v>0</v>
      </c>
      <c r="X448" s="1055">
        <v>524290</v>
      </c>
      <c r="Y448" s="1055">
        <v>256860</v>
      </c>
      <c r="Z448" s="1055"/>
      <c r="AA448" s="1055"/>
      <c r="AB448" s="1055"/>
      <c r="AC448" s="1055"/>
      <c r="AD448" s="671">
        <f t="shared" ref="AD448:AD483" si="50">SUM(R448:AC448)</f>
        <v>1630070</v>
      </c>
      <c r="AE448" s="584">
        <f t="shared" si="48"/>
        <v>1.3386608513507696</v>
      </c>
      <c r="AF448" s="585">
        <f t="shared" si="49"/>
        <v>39</v>
      </c>
    </row>
    <row r="449" spans="1:32" x14ac:dyDescent="0.3">
      <c r="A449" s="16" t="s">
        <v>491</v>
      </c>
      <c r="B449" s="658" t="s">
        <v>586</v>
      </c>
      <c r="C449" s="498"/>
      <c r="D449" s="540">
        <v>0</v>
      </c>
      <c r="E449" s="540">
        <v>0</v>
      </c>
      <c r="F449" s="540">
        <v>0</v>
      </c>
      <c r="G449" s="540">
        <v>173650</v>
      </c>
      <c r="H449" s="540">
        <v>57270</v>
      </c>
      <c r="I449" s="540">
        <v>57450</v>
      </c>
      <c r="J449" s="540">
        <v>75680</v>
      </c>
      <c r="K449" s="540">
        <v>75680</v>
      </c>
      <c r="L449" s="540">
        <v>72820</v>
      </c>
      <c r="M449" s="540">
        <v>168460</v>
      </c>
      <c r="N449" s="540">
        <v>81030</v>
      </c>
      <c r="O449" s="540">
        <v>0</v>
      </c>
      <c r="P449" s="1496">
        <f t="shared" si="45"/>
        <v>364050</v>
      </c>
      <c r="Q449" s="671">
        <f t="shared" si="47"/>
        <v>686360</v>
      </c>
      <c r="R449" s="1054" t="s">
        <v>251</v>
      </c>
      <c r="S449" s="1055" t="s">
        <v>251</v>
      </c>
      <c r="T449" s="1055" t="s">
        <v>251</v>
      </c>
      <c r="U449" s="1055"/>
      <c r="V449" s="1055"/>
      <c r="W449" s="1055"/>
      <c r="X449" s="1055"/>
      <c r="Y449" s="1055"/>
      <c r="Z449" s="1055"/>
      <c r="AA449" s="1055"/>
      <c r="AB449" s="1055"/>
      <c r="AC449" s="1055"/>
      <c r="AD449" s="671">
        <f t="shared" si="50"/>
        <v>0</v>
      </c>
      <c r="AE449" s="584">
        <f t="shared" si="48"/>
        <v>-1</v>
      </c>
      <c r="AF449" s="585">
        <f t="shared" si="49"/>
        <v>189</v>
      </c>
    </row>
    <row r="450" spans="1:32" x14ac:dyDescent="0.3">
      <c r="A450" s="16" t="s">
        <v>491</v>
      </c>
      <c r="B450" s="658" t="s">
        <v>493</v>
      </c>
      <c r="C450" s="498"/>
      <c r="D450" s="540">
        <v>0</v>
      </c>
      <c r="E450" s="540">
        <v>0</v>
      </c>
      <c r="F450" s="540">
        <v>0</v>
      </c>
      <c r="G450" s="540">
        <v>56410</v>
      </c>
      <c r="H450" s="540">
        <v>0</v>
      </c>
      <c r="I450" s="540">
        <v>0</v>
      </c>
      <c r="J450" s="540">
        <v>95900</v>
      </c>
      <c r="K450" s="540">
        <v>95900</v>
      </c>
      <c r="L450" s="540">
        <v>88770</v>
      </c>
      <c r="M450" s="540">
        <v>0</v>
      </c>
      <c r="N450" s="540">
        <v>0</v>
      </c>
      <c r="O450" s="540">
        <v>0</v>
      </c>
      <c r="P450" s="1496">
        <f t="shared" si="45"/>
        <v>152310</v>
      </c>
      <c r="Q450" s="671">
        <f t="shared" si="47"/>
        <v>241080</v>
      </c>
      <c r="R450" s="1054" t="s">
        <v>251</v>
      </c>
      <c r="S450" s="1055" t="s">
        <v>251</v>
      </c>
      <c r="T450" s="1055" t="s">
        <v>251</v>
      </c>
      <c r="U450" s="1055"/>
      <c r="V450" s="1055"/>
      <c r="W450" s="1055"/>
      <c r="X450" s="1055"/>
      <c r="Y450" s="1055"/>
      <c r="Z450" s="1055"/>
      <c r="AA450" s="1055"/>
      <c r="AB450" s="1055"/>
      <c r="AC450" s="1055"/>
      <c r="AD450" s="671">
        <f t="shared" si="50"/>
        <v>0</v>
      </c>
      <c r="AE450" s="584">
        <f t="shared" si="48"/>
        <v>-1</v>
      </c>
      <c r="AF450" s="585">
        <f t="shared" si="49"/>
        <v>189</v>
      </c>
    </row>
    <row r="451" spans="1:32" x14ac:dyDescent="0.3">
      <c r="A451" s="16" t="s">
        <v>491</v>
      </c>
      <c r="B451" s="658" t="s">
        <v>494</v>
      </c>
      <c r="C451" s="498"/>
      <c r="D451" s="540">
        <v>0</v>
      </c>
      <c r="E451" s="540">
        <v>0</v>
      </c>
      <c r="F451" s="540">
        <v>74130</v>
      </c>
      <c r="G451" s="540">
        <v>0</v>
      </c>
      <c r="H451" s="540">
        <v>0</v>
      </c>
      <c r="I451" s="540">
        <v>0</v>
      </c>
      <c r="J451" s="540">
        <v>0</v>
      </c>
      <c r="K451" s="540">
        <v>0</v>
      </c>
      <c r="L451" s="540">
        <v>0</v>
      </c>
      <c r="M451" s="540">
        <v>52660</v>
      </c>
      <c r="N451" s="540">
        <v>0</v>
      </c>
      <c r="O451" s="540">
        <v>0</v>
      </c>
      <c r="P451" s="1496">
        <f t="shared" si="45"/>
        <v>74130</v>
      </c>
      <c r="Q451" s="671">
        <f t="shared" si="47"/>
        <v>126790</v>
      </c>
      <c r="R451" s="1054" t="s">
        <v>251</v>
      </c>
      <c r="S451" s="1055" t="s">
        <v>251</v>
      </c>
      <c r="T451" s="1055" t="s">
        <v>251</v>
      </c>
      <c r="U451" s="1055"/>
      <c r="V451" s="1055"/>
      <c r="W451" s="1055"/>
      <c r="X451" s="1055"/>
      <c r="Y451" s="1055"/>
      <c r="Z451" s="1055"/>
      <c r="AA451" s="1055"/>
      <c r="AB451" s="1055"/>
      <c r="AC451" s="1055"/>
      <c r="AD451" s="671">
        <f t="shared" si="50"/>
        <v>0</v>
      </c>
      <c r="AE451" s="584">
        <f t="shared" si="48"/>
        <v>-1</v>
      </c>
      <c r="AF451" s="585">
        <f t="shared" si="49"/>
        <v>189</v>
      </c>
    </row>
    <row r="452" spans="1:32" x14ac:dyDescent="0.3">
      <c r="A452" s="16" t="s">
        <v>491</v>
      </c>
      <c r="B452" s="658" t="s">
        <v>495</v>
      </c>
      <c r="C452" s="498">
        <v>61320</v>
      </c>
      <c r="D452" s="540">
        <v>0</v>
      </c>
      <c r="E452" s="540">
        <v>0</v>
      </c>
      <c r="F452" s="540">
        <v>0</v>
      </c>
      <c r="G452" s="540">
        <v>0</v>
      </c>
      <c r="H452" s="540">
        <v>0</v>
      </c>
      <c r="I452" s="540">
        <v>0</v>
      </c>
      <c r="J452" s="540">
        <v>0</v>
      </c>
      <c r="K452" s="540">
        <v>0</v>
      </c>
      <c r="L452" s="540">
        <v>0</v>
      </c>
      <c r="M452" s="540">
        <v>0</v>
      </c>
      <c r="N452" s="540">
        <v>0</v>
      </c>
      <c r="O452" s="540">
        <v>0</v>
      </c>
      <c r="P452" s="1496">
        <f t="shared" si="45"/>
        <v>61320</v>
      </c>
      <c r="Q452" s="671">
        <f t="shared" si="47"/>
        <v>61320</v>
      </c>
      <c r="R452" s="1054" t="s">
        <v>251</v>
      </c>
      <c r="S452" s="1055" t="s">
        <v>251</v>
      </c>
      <c r="T452" s="1055" t="s">
        <v>251</v>
      </c>
      <c r="U452" s="1055"/>
      <c r="V452" s="1055"/>
      <c r="W452" s="1055">
        <v>154650</v>
      </c>
      <c r="X452" s="1055">
        <v>0</v>
      </c>
      <c r="Y452" s="1055">
        <v>57340</v>
      </c>
      <c r="Z452" s="1055"/>
      <c r="AA452" s="1055"/>
      <c r="AB452" s="1055"/>
      <c r="AC452" s="1055"/>
      <c r="AD452" s="671">
        <f t="shared" si="50"/>
        <v>211990</v>
      </c>
      <c r="AE452" s="584">
        <f t="shared" si="48"/>
        <v>2.4571102413568169</v>
      </c>
      <c r="AF452" s="585">
        <f t="shared" si="49"/>
        <v>131</v>
      </c>
    </row>
    <row r="453" spans="1:32" x14ac:dyDescent="0.3">
      <c r="A453" s="16" t="s">
        <v>491</v>
      </c>
      <c r="B453" s="658" t="s">
        <v>584</v>
      </c>
      <c r="C453" s="498"/>
      <c r="D453" s="540">
        <v>0</v>
      </c>
      <c r="E453" s="540">
        <v>0</v>
      </c>
      <c r="F453" s="540">
        <v>42650</v>
      </c>
      <c r="G453" s="540">
        <v>0</v>
      </c>
      <c r="H453" s="540">
        <v>0</v>
      </c>
      <c r="I453" s="540">
        <v>0</v>
      </c>
      <c r="J453" s="540">
        <v>0</v>
      </c>
      <c r="K453" s="540">
        <v>0</v>
      </c>
      <c r="L453" s="540">
        <v>0</v>
      </c>
      <c r="M453" s="540">
        <v>0</v>
      </c>
      <c r="N453" s="540">
        <v>0</v>
      </c>
      <c r="O453" s="540">
        <v>0</v>
      </c>
      <c r="P453" s="1496">
        <f t="shared" si="45"/>
        <v>42650</v>
      </c>
      <c r="Q453" s="671">
        <f t="shared" si="47"/>
        <v>42650</v>
      </c>
      <c r="R453" s="1054" t="s">
        <v>251</v>
      </c>
      <c r="S453" s="1055" t="s">
        <v>251</v>
      </c>
      <c r="T453" s="1055" t="s">
        <v>251</v>
      </c>
      <c r="U453" s="1055"/>
      <c r="V453" s="1055"/>
      <c r="W453" s="1055"/>
      <c r="X453" s="1055"/>
      <c r="Y453" s="1055"/>
      <c r="Z453" s="1055"/>
      <c r="AA453" s="1055"/>
      <c r="AB453" s="1055"/>
      <c r="AC453" s="1055"/>
      <c r="AD453" s="671">
        <f t="shared" si="50"/>
        <v>0</v>
      </c>
      <c r="AE453" s="584">
        <f t="shared" si="48"/>
        <v>-1</v>
      </c>
      <c r="AF453" s="585">
        <f t="shared" si="49"/>
        <v>189</v>
      </c>
    </row>
    <row r="454" spans="1:32" x14ac:dyDescent="0.3">
      <c r="A454" s="16" t="s">
        <v>491</v>
      </c>
      <c r="B454" s="658" t="s">
        <v>581</v>
      </c>
      <c r="C454" s="498"/>
      <c r="D454" s="540">
        <v>0</v>
      </c>
      <c r="E454" s="540">
        <v>0</v>
      </c>
      <c r="F454" s="540">
        <v>0</v>
      </c>
      <c r="G454" s="540">
        <v>0</v>
      </c>
      <c r="H454" s="540">
        <v>0</v>
      </c>
      <c r="I454" s="540">
        <v>0</v>
      </c>
      <c r="J454" s="540">
        <v>0</v>
      </c>
      <c r="K454" s="540"/>
      <c r="L454" s="540">
        <v>0</v>
      </c>
      <c r="M454" s="540">
        <v>28660</v>
      </c>
      <c r="N454" s="540">
        <v>0</v>
      </c>
      <c r="O454" s="540">
        <v>0</v>
      </c>
      <c r="P454" s="1496">
        <f t="shared" si="45"/>
        <v>0</v>
      </c>
      <c r="Q454" s="671">
        <f t="shared" si="47"/>
        <v>28660</v>
      </c>
      <c r="R454" s="1054" t="s">
        <v>251</v>
      </c>
      <c r="S454" s="1055" t="s">
        <v>251</v>
      </c>
      <c r="T454" s="1055">
        <v>29790</v>
      </c>
      <c r="U454" s="1055">
        <v>29460</v>
      </c>
      <c r="V454" s="1055">
        <v>0</v>
      </c>
      <c r="W454" s="1055">
        <v>30880</v>
      </c>
      <c r="X454" s="1055">
        <v>30530</v>
      </c>
      <c r="Y454" s="1055">
        <v>0</v>
      </c>
      <c r="Z454" s="1055"/>
      <c r="AA454" s="1055"/>
      <c r="AB454" s="1055"/>
      <c r="AC454" s="1055"/>
      <c r="AD454" s="671">
        <f t="shared" si="50"/>
        <v>120660</v>
      </c>
      <c r="AE454" s="584">
        <f t="shared" si="48"/>
        <v>1</v>
      </c>
      <c r="AF454" s="585">
        <f t="shared" si="49"/>
        <v>149</v>
      </c>
    </row>
    <row r="455" spans="1:32" x14ac:dyDescent="0.3">
      <c r="A455" s="16" t="s">
        <v>491</v>
      </c>
      <c r="B455" s="658" t="s">
        <v>496</v>
      </c>
      <c r="C455" s="498"/>
      <c r="D455" s="540">
        <v>0</v>
      </c>
      <c r="E455" s="540">
        <v>0</v>
      </c>
      <c r="F455" s="540">
        <v>0</v>
      </c>
      <c r="G455" s="540">
        <v>0</v>
      </c>
      <c r="H455" s="540">
        <v>0</v>
      </c>
      <c r="I455" s="540">
        <v>27360</v>
      </c>
      <c r="J455" s="540">
        <v>0</v>
      </c>
      <c r="K455" s="540">
        <v>0</v>
      </c>
      <c r="L455" s="540">
        <v>0</v>
      </c>
      <c r="M455" s="540">
        <v>0</v>
      </c>
      <c r="N455" s="540">
        <v>27360</v>
      </c>
      <c r="O455" s="540">
        <v>0</v>
      </c>
      <c r="P455" s="1496">
        <f t="shared" si="45"/>
        <v>27360</v>
      </c>
      <c r="Q455" s="671">
        <f t="shared" si="47"/>
        <v>54720</v>
      </c>
      <c r="R455" s="1054" t="s">
        <v>251</v>
      </c>
      <c r="S455" s="1055" t="s">
        <v>251</v>
      </c>
      <c r="T455" s="1055" t="s">
        <v>251</v>
      </c>
      <c r="U455" s="1055"/>
      <c r="V455" s="1055"/>
      <c r="W455" s="1055"/>
      <c r="X455" s="1055"/>
      <c r="Y455" s="1055"/>
      <c r="Z455" s="1055"/>
      <c r="AA455" s="1055"/>
      <c r="AB455" s="1055"/>
      <c r="AC455" s="1055"/>
      <c r="AD455" s="671">
        <f t="shared" si="50"/>
        <v>0</v>
      </c>
      <c r="AE455" s="584">
        <f t="shared" si="48"/>
        <v>-1</v>
      </c>
      <c r="AF455" s="585">
        <f t="shared" si="49"/>
        <v>189</v>
      </c>
    </row>
    <row r="456" spans="1:32" x14ac:dyDescent="0.3">
      <c r="A456" s="16" t="s">
        <v>491</v>
      </c>
      <c r="B456" s="658" t="s">
        <v>1750</v>
      </c>
      <c r="C456" s="498"/>
      <c r="D456" s="540" t="s">
        <v>251</v>
      </c>
      <c r="E456" s="540" t="s">
        <v>251</v>
      </c>
      <c r="F456" s="540" t="s">
        <v>251</v>
      </c>
      <c r="G456" s="540" t="s">
        <v>251</v>
      </c>
      <c r="H456" s="540" t="s">
        <v>251</v>
      </c>
      <c r="I456" s="540" t="s">
        <v>251</v>
      </c>
      <c r="J456" s="540" t="s">
        <v>251</v>
      </c>
      <c r="K456" s="540"/>
      <c r="L456" s="540" t="s">
        <v>251</v>
      </c>
      <c r="M456" s="540" t="s">
        <v>251</v>
      </c>
      <c r="N456" s="540" t="s">
        <v>251</v>
      </c>
      <c r="O456" s="540" t="s">
        <v>251</v>
      </c>
      <c r="P456" s="1496">
        <f t="shared" si="45"/>
        <v>0</v>
      </c>
      <c r="Q456" s="671">
        <f t="shared" si="47"/>
        <v>0</v>
      </c>
      <c r="R456" s="1054" t="s">
        <v>251</v>
      </c>
      <c r="S456" s="1055" t="s">
        <v>251</v>
      </c>
      <c r="T456" s="1055" t="s">
        <v>251</v>
      </c>
      <c r="U456" s="1055"/>
      <c r="V456" s="1055"/>
      <c r="W456" s="1055"/>
      <c r="X456" s="1055"/>
      <c r="Y456" s="1055"/>
      <c r="Z456" s="1055"/>
      <c r="AA456" s="1055"/>
      <c r="AB456" s="1055"/>
      <c r="AC456" s="1055"/>
      <c r="AD456" s="671">
        <f t="shared" si="50"/>
        <v>0</v>
      </c>
      <c r="AE456" s="584">
        <f t="shared" si="48"/>
        <v>0</v>
      </c>
      <c r="AF456" s="585">
        <f t="shared" si="49"/>
        <v>189</v>
      </c>
    </row>
    <row r="457" spans="1:32" x14ac:dyDescent="0.3">
      <c r="A457" s="16" t="s">
        <v>491</v>
      </c>
      <c r="B457" s="658" t="s">
        <v>2848</v>
      </c>
      <c r="C457" s="498"/>
      <c r="D457" s="540"/>
      <c r="E457" s="540"/>
      <c r="F457" s="540"/>
      <c r="G457" s="540"/>
      <c r="H457" s="540"/>
      <c r="I457" s="540"/>
      <c r="J457" s="540"/>
      <c r="K457" s="540"/>
      <c r="L457" s="540"/>
      <c r="M457" s="540"/>
      <c r="N457" s="540"/>
      <c r="O457" s="540"/>
      <c r="P457" s="1496">
        <f t="shared" si="45"/>
        <v>0</v>
      </c>
      <c r="Q457" s="671">
        <f t="shared" si="47"/>
        <v>0</v>
      </c>
      <c r="R457" s="1054"/>
      <c r="S457" s="1055"/>
      <c r="T457" s="1055"/>
      <c r="U457" s="1055"/>
      <c r="V457" s="1055"/>
      <c r="W457" s="1055">
        <v>61720</v>
      </c>
      <c r="X457" s="1055">
        <v>0</v>
      </c>
      <c r="Y457" s="1055">
        <v>28590</v>
      </c>
      <c r="Z457" s="1055"/>
      <c r="AA457" s="1055"/>
      <c r="AB457" s="1055"/>
      <c r="AC457" s="1055"/>
      <c r="AD457" s="671">
        <f t="shared" si="50"/>
        <v>90310</v>
      </c>
      <c r="AE457" s="584">
        <f t="shared" si="48"/>
        <v>1</v>
      </c>
      <c r="AF457" s="585">
        <f t="shared" si="49"/>
        <v>157</v>
      </c>
    </row>
    <row r="458" spans="1:32" x14ac:dyDescent="0.3">
      <c r="A458" s="16" t="s">
        <v>491</v>
      </c>
      <c r="B458" s="658" t="s">
        <v>2982</v>
      </c>
      <c r="C458" s="498"/>
      <c r="D458" s="540"/>
      <c r="E458" s="540"/>
      <c r="F458" s="540"/>
      <c r="G458" s="540"/>
      <c r="H458" s="540"/>
      <c r="I458" s="540"/>
      <c r="J458" s="540"/>
      <c r="K458" s="540"/>
      <c r="L458" s="540"/>
      <c r="M458" s="540"/>
      <c r="N458" s="540"/>
      <c r="O458" s="540"/>
      <c r="P458" s="1496">
        <f t="shared" si="45"/>
        <v>0</v>
      </c>
      <c r="Q458" s="671">
        <f t="shared" si="47"/>
        <v>0</v>
      </c>
      <c r="R458" s="1054"/>
      <c r="S458" s="1055"/>
      <c r="T458" s="1055"/>
      <c r="U458" s="1055"/>
      <c r="V458" s="1055"/>
      <c r="W458" s="1055"/>
      <c r="X458" s="1055">
        <v>79560</v>
      </c>
      <c r="Y458" s="1055">
        <v>0</v>
      </c>
      <c r="Z458" s="1055"/>
      <c r="AA458" s="1055"/>
      <c r="AB458" s="1055"/>
      <c r="AC458" s="1055"/>
      <c r="AD458" s="671">
        <f t="shared" si="50"/>
        <v>79560</v>
      </c>
      <c r="AE458" s="584">
        <f t="shared" si="48"/>
        <v>1</v>
      </c>
      <c r="AF458" s="585">
        <f t="shared" si="49"/>
        <v>160</v>
      </c>
    </row>
    <row r="459" spans="1:32" x14ac:dyDescent="0.3">
      <c r="A459" s="18" t="s">
        <v>497</v>
      </c>
      <c r="B459" s="659" t="s">
        <v>564</v>
      </c>
      <c r="C459" s="499"/>
      <c r="D459" s="541">
        <v>0</v>
      </c>
      <c r="E459" s="541">
        <v>224470</v>
      </c>
      <c r="F459" s="541">
        <v>56580</v>
      </c>
      <c r="G459" s="541">
        <v>0</v>
      </c>
      <c r="H459" s="541">
        <v>0</v>
      </c>
      <c r="I459" s="541">
        <v>0</v>
      </c>
      <c r="J459" s="541">
        <v>0</v>
      </c>
      <c r="K459" s="541">
        <v>0</v>
      </c>
      <c r="L459" s="541">
        <v>0</v>
      </c>
      <c r="M459" s="541">
        <v>0</v>
      </c>
      <c r="N459" s="541">
        <v>0</v>
      </c>
      <c r="O459" s="541">
        <v>0</v>
      </c>
      <c r="P459" s="1496">
        <f t="shared" si="45"/>
        <v>281050</v>
      </c>
      <c r="Q459" s="672">
        <f t="shared" si="47"/>
        <v>281050</v>
      </c>
      <c r="R459" s="1056" t="s">
        <v>251</v>
      </c>
      <c r="S459" s="1057" t="s">
        <v>251</v>
      </c>
      <c r="T459" s="1057" t="s">
        <v>251</v>
      </c>
      <c r="U459" s="1057"/>
      <c r="V459" s="1057"/>
      <c r="W459" s="1057"/>
      <c r="X459" s="1057"/>
      <c r="Y459" s="1057"/>
      <c r="Z459" s="1057"/>
      <c r="AA459" s="1057"/>
      <c r="AB459" s="1057"/>
      <c r="AC459" s="1057"/>
      <c r="AD459" s="672">
        <f t="shared" si="50"/>
        <v>0</v>
      </c>
      <c r="AE459" s="586">
        <f t="shared" si="48"/>
        <v>-1</v>
      </c>
      <c r="AF459" s="587">
        <f t="shared" si="49"/>
        <v>189</v>
      </c>
    </row>
    <row r="460" spans="1:32" x14ac:dyDescent="0.3">
      <c r="A460" s="20" t="s">
        <v>498</v>
      </c>
      <c r="B460" s="660" t="s">
        <v>499</v>
      </c>
      <c r="C460" s="500"/>
      <c r="D460" s="542">
        <v>0</v>
      </c>
      <c r="E460" s="542">
        <v>4600</v>
      </c>
      <c r="F460" s="542">
        <v>0</v>
      </c>
      <c r="G460" s="542">
        <v>0</v>
      </c>
      <c r="H460" s="542">
        <v>148720</v>
      </c>
      <c r="I460" s="542">
        <v>1336870</v>
      </c>
      <c r="J460" s="542">
        <v>238940</v>
      </c>
      <c r="K460" s="542">
        <v>238940</v>
      </c>
      <c r="L460" s="542">
        <v>847660</v>
      </c>
      <c r="M460" s="542">
        <v>1198820</v>
      </c>
      <c r="N460" s="542">
        <v>320120</v>
      </c>
      <c r="O460" s="542">
        <v>0</v>
      </c>
      <c r="P460" s="1496">
        <f t="shared" si="45"/>
        <v>1729130</v>
      </c>
      <c r="Q460" s="673">
        <f t="shared" si="47"/>
        <v>4095730</v>
      </c>
      <c r="R460" s="1058" t="s">
        <v>251</v>
      </c>
      <c r="S460" s="1059">
        <v>15880</v>
      </c>
      <c r="T460" s="1059">
        <v>8540</v>
      </c>
      <c r="U460" s="1059">
        <v>7800</v>
      </c>
      <c r="V460" s="1059">
        <v>0</v>
      </c>
      <c r="W460" s="1059">
        <v>0</v>
      </c>
      <c r="X460" s="1059">
        <v>0</v>
      </c>
      <c r="Y460" s="1059">
        <v>0</v>
      </c>
      <c r="Z460" s="1059"/>
      <c r="AA460" s="1059"/>
      <c r="AB460" s="1059"/>
      <c r="AC460" s="1059"/>
      <c r="AD460" s="673">
        <f t="shared" si="50"/>
        <v>32220</v>
      </c>
      <c r="AE460" s="588">
        <f t="shared" si="48"/>
        <v>-0.98136635186481058</v>
      </c>
      <c r="AF460" s="589">
        <f t="shared" si="49"/>
        <v>178</v>
      </c>
    </row>
    <row r="461" spans="1:32" x14ac:dyDescent="0.3">
      <c r="A461" s="6" t="s">
        <v>500</v>
      </c>
      <c r="B461" s="651" t="s">
        <v>501</v>
      </c>
      <c r="C461" s="493"/>
      <c r="D461" s="535" t="s">
        <v>251</v>
      </c>
      <c r="E461" s="535" t="s">
        <v>251</v>
      </c>
      <c r="F461" s="535" t="s">
        <v>251</v>
      </c>
      <c r="G461" s="535" t="s">
        <v>251</v>
      </c>
      <c r="H461" s="535" t="s">
        <v>251</v>
      </c>
      <c r="I461" s="535" t="s">
        <v>251</v>
      </c>
      <c r="J461" s="535" t="s">
        <v>251</v>
      </c>
      <c r="K461" s="535"/>
      <c r="L461" s="535" t="s">
        <v>251</v>
      </c>
      <c r="M461" s="535" t="s">
        <v>251</v>
      </c>
      <c r="N461" s="535" t="s">
        <v>251</v>
      </c>
      <c r="O461" s="535" t="s">
        <v>251</v>
      </c>
      <c r="P461" s="1496">
        <f t="shared" si="45"/>
        <v>0</v>
      </c>
      <c r="Q461" s="665">
        <f t="shared" si="47"/>
        <v>0</v>
      </c>
      <c r="R461" s="1044" t="s">
        <v>251</v>
      </c>
      <c r="S461" s="1045" t="s">
        <v>251</v>
      </c>
      <c r="T461" s="1045" t="s">
        <v>251</v>
      </c>
      <c r="U461" s="1045"/>
      <c r="V461" s="1045"/>
      <c r="W461" s="1045"/>
      <c r="X461" s="1045"/>
      <c r="Y461" s="1045"/>
      <c r="Z461" s="1045"/>
      <c r="AA461" s="1045"/>
      <c r="AB461" s="1045"/>
      <c r="AC461" s="1045"/>
      <c r="AD461" s="665">
        <f t="shared" si="50"/>
        <v>0</v>
      </c>
      <c r="AE461" s="574">
        <f t="shared" si="48"/>
        <v>0</v>
      </c>
      <c r="AF461" s="575">
        <f t="shared" si="49"/>
        <v>189</v>
      </c>
    </row>
    <row r="462" spans="1:32" x14ac:dyDescent="0.3">
      <c r="A462" s="372" t="s">
        <v>1745</v>
      </c>
      <c r="B462" s="661" t="s">
        <v>1746</v>
      </c>
      <c r="C462" s="528"/>
      <c r="D462" s="527" t="s">
        <v>251</v>
      </c>
      <c r="E462" s="527" t="s">
        <v>251</v>
      </c>
      <c r="F462" s="527" t="s">
        <v>251</v>
      </c>
      <c r="G462" s="527" t="s">
        <v>251</v>
      </c>
      <c r="H462" s="527" t="s">
        <v>251</v>
      </c>
      <c r="I462" s="527" t="s">
        <v>251</v>
      </c>
      <c r="J462" s="527" t="s">
        <v>251</v>
      </c>
      <c r="K462" s="527"/>
      <c r="L462" s="527" t="s">
        <v>251</v>
      </c>
      <c r="M462" s="527" t="s">
        <v>251</v>
      </c>
      <c r="N462" s="527" t="s">
        <v>251</v>
      </c>
      <c r="O462" s="527" t="s">
        <v>251</v>
      </c>
      <c r="P462" s="1496">
        <f t="shared" si="45"/>
        <v>0</v>
      </c>
      <c r="Q462" s="674">
        <f t="shared" si="47"/>
        <v>0</v>
      </c>
      <c r="R462" s="1060" t="s">
        <v>251</v>
      </c>
      <c r="S462" s="1061" t="s">
        <v>251</v>
      </c>
      <c r="T462" s="1061" t="s">
        <v>251</v>
      </c>
      <c r="U462" s="1061"/>
      <c r="V462" s="1061"/>
      <c r="W462" s="1061"/>
      <c r="X462" s="1061"/>
      <c r="Y462" s="1061"/>
      <c r="Z462" s="1061"/>
      <c r="AA462" s="1061"/>
      <c r="AB462" s="1061"/>
      <c r="AC462" s="1061"/>
      <c r="AD462" s="674">
        <f t="shared" si="50"/>
        <v>0</v>
      </c>
      <c r="AE462" s="592">
        <f t="shared" si="48"/>
        <v>0</v>
      </c>
      <c r="AF462" s="593">
        <f t="shared" si="49"/>
        <v>189</v>
      </c>
    </row>
    <row r="463" spans="1:32" x14ac:dyDescent="0.3">
      <c r="A463" s="372" t="s">
        <v>1745</v>
      </c>
      <c r="B463" s="661" t="s">
        <v>1751</v>
      </c>
      <c r="C463" s="528"/>
      <c r="D463" s="527" t="s">
        <v>251</v>
      </c>
      <c r="E463" s="527" t="s">
        <v>251</v>
      </c>
      <c r="F463" s="527" t="s">
        <v>251</v>
      </c>
      <c r="G463" s="527" t="s">
        <v>251</v>
      </c>
      <c r="H463" s="527" t="s">
        <v>251</v>
      </c>
      <c r="I463" s="527" t="s">
        <v>251</v>
      </c>
      <c r="J463" s="527" t="s">
        <v>251</v>
      </c>
      <c r="K463" s="527"/>
      <c r="L463" s="527" t="s">
        <v>251</v>
      </c>
      <c r="M463" s="527" t="s">
        <v>251</v>
      </c>
      <c r="N463" s="527" t="s">
        <v>251</v>
      </c>
      <c r="O463" s="527" t="s">
        <v>251</v>
      </c>
      <c r="P463" s="1496">
        <f t="shared" si="45"/>
        <v>0</v>
      </c>
      <c r="Q463" s="674">
        <f t="shared" si="47"/>
        <v>0</v>
      </c>
      <c r="R463" s="1060" t="s">
        <v>251</v>
      </c>
      <c r="S463" s="1061" t="s">
        <v>251</v>
      </c>
      <c r="T463" s="1061" t="s">
        <v>251</v>
      </c>
      <c r="U463" s="1061"/>
      <c r="V463" s="1061"/>
      <c r="W463" s="1061"/>
      <c r="X463" s="1061"/>
      <c r="Y463" s="1061"/>
      <c r="Z463" s="1061"/>
      <c r="AA463" s="1061"/>
      <c r="AB463" s="1061"/>
      <c r="AC463" s="1061"/>
      <c r="AD463" s="674">
        <f t="shared" si="50"/>
        <v>0</v>
      </c>
      <c r="AE463" s="592">
        <f t="shared" si="48"/>
        <v>0</v>
      </c>
      <c r="AF463" s="593">
        <f t="shared" si="49"/>
        <v>189</v>
      </c>
    </row>
    <row r="464" spans="1:32" x14ac:dyDescent="0.3">
      <c r="A464" s="21" t="s">
        <v>502</v>
      </c>
      <c r="B464" s="662" t="s">
        <v>591</v>
      </c>
      <c r="C464" s="501"/>
      <c r="D464" s="502">
        <v>0</v>
      </c>
      <c r="E464" s="502">
        <v>129250</v>
      </c>
      <c r="F464" s="502">
        <v>1332890</v>
      </c>
      <c r="G464" s="502">
        <v>148860</v>
      </c>
      <c r="H464" s="502">
        <v>29890</v>
      </c>
      <c r="I464" s="502">
        <v>0</v>
      </c>
      <c r="J464" s="502">
        <v>833850</v>
      </c>
      <c r="K464" s="502">
        <v>833850</v>
      </c>
      <c r="L464" s="502">
        <v>0</v>
      </c>
      <c r="M464" s="502">
        <v>0</v>
      </c>
      <c r="N464" s="502">
        <v>0</v>
      </c>
      <c r="O464" s="502">
        <v>0</v>
      </c>
      <c r="P464" s="1496">
        <f t="shared" si="45"/>
        <v>2474740</v>
      </c>
      <c r="Q464" s="675">
        <f t="shared" si="47"/>
        <v>2474740</v>
      </c>
      <c r="R464" s="1062">
        <v>29470</v>
      </c>
      <c r="S464" s="1063" t="s">
        <v>251</v>
      </c>
      <c r="T464" s="1063">
        <v>0</v>
      </c>
      <c r="U464" s="1063">
        <v>0</v>
      </c>
      <c r="V464" s="1063">
        <v>0</v>
      </c>
      <c r="W464" s="1063">
        <v>0</v>
      </c>
      <c r="X464" s="1063">
        <v>0</v>
      </c>
      <c r="Y464" s="1063">
        <v>0</v>
      </c>
      <c r="Z464" s="1063"/>
      <c r="AA464" s="1063"/>
      <c r="AB464" s="1063"/>
      <c r="AC464" s="1063"/>
      <c r="AD464" s="675">
        <f t="shared" si="50"/>
        <v>29470</v>
      </c>
      <c r="AE464" s="590">
        <f t="shared" si="48"/>
        <v>-0.98809167831772227</v>
      </c>
      <c r="AF464" s="591">
        <f t="shared" si="49"/>
        <v>182</v>
      </c>
    </row>
    <row r="465" spans="1:32" x14ac:dyDescent="0.3">
      <c r="A465" s="21" t="s">
        <v>502</v>
      </c>
      <c r="B465" s="662" t="s">
        <v>592</v>
      </c>
      <c r="C465" s="501">
        <v>228120</v>
      </c>
      <c r="D465" s="502">
        <v>241850</v>
      </c>
      <c r="E465" s="502">
        <v>0</v>
      </c>
      <c r="F465" s="502">
        <v>0</v>
      </c>
      <c r="G465" s="502">
        <v>0</v>
      </c>
      <c r="H465" s="502">
        <v>0</v>
      </c>
      <c r="I465" s="502">
        <v>0</v>
      </c>
      <c r="J465" s="502">
        <v>0</v>
      </c>
      <c r="K465" s="502">
        <v>0</v>
      </c>
      <c r="L465" s="502">
        <v>0</v>
      </c>
      <c r="M465" s="502">
        <v>0</v>
      </c>
      <c r="N465" s="502">
        <v>0</v>
      </c>
      <c r="O465" s="502">
        <v>0</v>
      </c>
      <c r="P465" s="1496">
        <f t="shared" si="45"/>
        <v>469970</v>
      </c>
      <c r="Q465" s="675">
        <f t="shared" si="47"/>
        <v>469970</v>
      </c>
      <c r="R465" s="1062" t="s">
        <v>251</v>
      </c>
      <c r="S465" s="1063" t="s">
        <v>251</v>
      </c>
      <c r="T465" s="1063" t="s">
        <v>251</v>
      </c>
      <c r="U465" s="1063"/>
      <c r="V465" s="1063"/>
      <c r="W465" s="1063"/>
      <c r="X465" s="1063"/>
      <c r="Y465" s="1063"/>
      <c r="Z465" s="1063"/>
      <c r="AA465" s="1063"/>
      <c r="AB465" s="1063"/>
      <c r="AC465" s="1063"/>
      <c r="AD465" s="675">
        <f t="shared" si="50"/>
        <v>0</v>
      </c>
      <c r="AE465" s="590">
        <f t="shared" si="48"/>
        <v>-1</v>
      </c>
      <c r="AF465" s="591">
        <f t="shared" si="49"/>
        <v>189</v>
      </c>
    </row>
    <row r="466" spans="1:32" x14ac:dyDescent="0.3">
      <c r="A466" s="21" t="s">
        <v>502</v>
      </c>
      <c r="B466" s="662" t="s">
        <v>593</v>
      </c>
      <c r="C466" s="501"/>
      <c r="D466" s="502">
        <v>0</v>
      </c>
      <c r="E466" s="502">
        <v>0</v>
      </c>
      <c r="F466" s="502">
        <v>298960</v>
      </c>
      <c r="G466" s="502">
        <v>0</v>
      </c>
      <c r="H466" s="502">
        <v>0</v>
      </c>
      <c r="I466" s="502">
        <v>0</v>
      </c>
      <c r="J466" s="502">
        <v>0</v>
      </c>
      <c r="K466" s="502">
        <v>0</v>
      </c>
      <c r="L466" s="502">
        <v>265500</v>
      </c>
      <c r="M466" s="502">
        <v>92800</v>
      </c>
      <c r="N466" s="502">
        <v>0</v>
      </c>
      <c r="O466" s="502">
        <v>0</v>
      </c>
      <c r="P466" s="1496">
        <f t="shared" ref="P466:P483" si="51">SUM(C466:I466,K466)</f>
        <v>298960</v>
      </c>
      <c r="Q466" s="675">
        <f t="shared" si="47"/>
        <v>657260</v>
      </c>
      <c r="R466" s="1062" t="s">
        <v>251</v>
      </c>
      <c r="S466" s="1063" t="s">
        <v>251</v>
      </c>
      <c r="T466" s="1063" t="s">
        <v>251</v>
      </c>
      <c r="U466" s="1063"/>
      <c r="V466" s="1063"/>
      <c r="W466" s="1063">
        <v>123570</v>
      </c>
      <c r="X466" s="1063">
        <v>30140</v>
      </c>
      <c r="Y466" s="1063">
        <v>228440</v>
      </c>
      <c r="Z466" s="1063"/>
      <c r="AA466" s="1063"/>
      <c r="AB466" s="1063"/>
      <c r="AC466" s="1063"/>
      <c r="AD466" s="675">
        <f t="shared" si="50"/>
        <v>382150</v>
      </c>
      <c r="AE466" s="590">
        <f t="shared" si="48"/>
        <v>0.27826465078940327</v>
      </c>
      <c r="AF466" s="591">
        <f t="shared" si="49"/>
        <v>104</v>
      </c>
    </row>
    <row r="467" spans="1:32" x14ac:dyDescent="0.3">
      <c r="A467" s="21" t="s">
        <v>502</v>
      </c>
      <c r="B467" s="662" t="s">
        <v>594</v>
      </c>
      <c r="C467" s="501"/>
      <c r="D467" s="502">
        <v>127320</v>
      </c>
      <c r="E467" s="502">
        <v>63710</v>
      </c>
      <c r="F467" s="502">
        <v>28600</v>
      </c>
      <c r="G467" s="502">
        <v>46180</v>
      </c>
      <c r="H467" s="502">
        <v>0</v>
      </c>
      <c r="I467" s="502">
        <v>0</v>
      </c>
      <c r="J467" s="502">
        <v>0</v>
      </c>
      <c r="K467" s="502">
        <v>0</v>
      </c>
      <c r="L467" s="502">
        <v>108240</v>
      </c>
      <c r="M467" s="502">
        <v>46870</v>
      </c>
      <c r="N467" s="502">
        <v>0</v>
      </c>
      <c r="O467" s="502">
        <v>0</v>
      </c>
      <c r="P467" s="1496">
        <f t="shared" si="51"/>
        <v>265810</v>
      </c>
      <c r="Q467" s="675">
        <f t="shared" si="47"/>
        <v>420920</v>
      </c>
      <c r="R467" s="1062" t="s">
        <v>251</v>
      </c>
      <c r="S467" s="1063" t="s">
        <v>251</v>
      </c>
      <c r="T467" s="1063" t="s">
        <v>251</v>
      </c>
      <c r="U467" s="1063"/>
      <c r="V467" s="1063"/>
      <c r="W467" s="1063"/>
      <c r="X467" s="1063"/>
      <c r="Y467" s="1063"/>
      <c r="Z467" s="1063"/>
      <c r="AA467" s="1063"/>
      <c r="AB467" s="1063"/>
      <c r="AC467" s="1063"/>
      <c r="AD467" s="675">
        <f t="shared" si="50"/>
        <v>0</v>
      </c>
      <c r="AE467" s="590">
        <f t="shared" si="48"/>
        <v>-1</v>
      </c>
      <c r="AF467" s="591">
        <f t="shared" si="49"/>
        <v>189</v>
      </c>
    </row>
    <row r="468" spans="1:32" x14ac:dyDescent="0.3">
      <c r="A468" s="21" t="s">
        <v>502</v>
      </c>
      <c r="B468" s="662" t="s">
        <v>503</v>
      </c>
      <c r="C468" s="501">
        <v>70440</v>
      </c>
      <c r="D468" s="502">
        <v>0</v>
      </c>
      <c r="E468" s="502">
        <v>47920</v>
      </c>
      <c r="F468" s="502">
        <v>56100</v>
      </c>
      <c r="G468" s="502">
        <v>54790</v>
      </c>
      <c r="H468" s="502">
        <v>0</v>
      </c>
      <c r="I468" s="502">
        <v>44630</v>
      </c>
      <c r="J468" s="502">
        <v>0</v>
      </c>
      <c r="K468" s="502">
        <v>0</v>
      </c>
      <c r="L468" s="502">
        <v>0</v>
      </c>
      <c r="M468" s="502">
        <v>0</v>
      </c>
      <c r="N468" s="502">
        <v>0</v>
      </c>
      <c r="O468" s="502">
        <v>0</v>
      </c>
      <c r="P468" s="1496">
        <f t="shared" si="51"/>
        <v>273880</v>
      </c>
      <c r="Q468" s="675">
        <f t="shared" si="47"/>
        <v>273880</v>
      </c>
      <c r="R468" s="1062" t="s">
        <v>251</v>
      </c>
      <c r="S468" s="1063" t="s">
        <v>251</v>
      </c>
      <c r="T468" s="1063" t="s">
        <v>251</v>
      </c>
      <c r="U468" s="1063"/>
      <c r="V468" s="1063"/>
      <c r="W468" s="1063"/>
      <c r="X468" s="1063"/>
      <c r="Y468" s="1063"/>
      <c r="Z468" s="1063"/>
      <c r="AA468" s="1063"/>
      <c r="AB468" s="1063"/>
      <c r="AC468" s="1063"/>
      <c r="AD468" s="675">
        <f t="shared" si="50"/>
        <v>0</v>
      </c>
      <c r="AE468" s="590">
        <f t="shared" si="48"/>
        <v>-1</v>
      </c>
      <c r="AF468" s="591">
        <f t="shared" si="49"/>
        <v>189</v>
      </c>
    </row>
    <row r="469" spans="1:32" x14ac:dyDescent="0.3">
      <c r="A469" s="21" t="s">
        <v>502</v>
      </c>
      <c r="B469" s="662" t="s">
        <v>595</v>
      </c>
      <c r="C469" s="501">
        <v>172540</v>
      </c>
      <c r="D469" s="502">
        <v>0</v>
      </c>
      <c r="E469" s="502">
        <v>0</v>
      </c>
      <c r="F469" s="502">
        <v>0</v>
      </c>
      <c r="G469" s="502">
        <v>0</v>
      </c>
      <c r="H469" s="502">
        <v>0</v>
      </c>
      <c r="I469" s="502">
        <v>0</v>
      </c>
      <c r="J469" s="502">
        <v>0</v>
      </c>
      <c r="K469" s="502">
        <v>0</v>
      </c>
      <c r="L469" s="502">
        <v>0</v>
      </c>
      <c r="M469" s="502">
        <v>0</v>
      </c>
      <c r="N469" s="502">
        <v>0</v>
      </c>
      <c r="O469" s="502">
        <v>0</v>
      </c>
      <c r="P469" s="1496">
        <f t="shared" si="51"/>
        <v>172540</v>
      </c>
      <c r="Q469" s="675">
        <f t="shared" si="47"/>
        <v>172540</v>
      </c>
      <c r="R469" s="1062" t="s">
        <v>251</v>
      </c>
      <c r="S469" s="1063" t="s">
        <v>251</v>
      </c>
      <c r="T469" s="1063" t="s">
        <v>251</v>
      </c>
      <c r="U469" s="1063"/>
      <c r="V469" s="1063"/>
      <c r="W469" s="1063"/>
      <c r="X469" s="1063"/>
      <c r="Y469" s="1063">
        <v>27610</v>
      </c>
      <c r="Z469" s="1063"/>
      <c r="AA469" s="1063"/>
      <c r="AB469" s="1063"/>
      <c r="AC469" s="1063"/>
      <c r="AD469" s="675">
        <f t="shared" si="50"/>
        <v>27610</v>
      </c>
      <c r="AE469" s="590">
        <f t="shared" si="48"/>
        <v>-0.83997913527298018</v>
      </c>
      <c r="AF469" s="591">
        <f t="shared" si="49"/>
        <v>188</v>
      </c>
    </row>
    <row r="470" spans="1:32" x14ac:dyDescent="0.3">
      <c r="A470" s="21" t="s">
        <v>502</v>
      </c>
      <c r="B470" s="662" t="s">
        <v>596</v>
      </c>
      <c r="C470" s="501"/>
      <c r="D470" s="502">
        <v>171500</v>
      </c>
      <c r="E470" s="502">
        <v>0</v>
      </c>
      <c r="F470" s="502">
        <v>0</v>
      </c>
      <c r="G470" s="502">
        <v>0</v>
      </c>
      <c r="H470" s="502">
        <v>0</v>
      </c>
      <c r="I470" s="502">
        <v>0</v>
      </c>
      <c r="J470" s="502">
        <v>27800</v>
      </c>
      <c r="K470" s="502">
        <v>27800</v>
      </c>
      <c r="L470" s="502">
        <v>0</v>
      </c>
      <c r="M470" s="502">
        <v>47110</v>
      </c>
      <c r="N470" s="502">
        <v>0</v>
      </c>
      <c r="O470" s="502">
        <v>0</v>
      </c>
      <c r="P470" s="1496">
        <f t="shared" si="51"/>
        <v>199300</v>
      </c>
      <c r="Q470" s="675">
        <f t="shared" si="47"/>
        <v>246410</v>
      </c>
      <c r="R470" s="1062" t="s">
        <v>251</v>
      </c>
      <c r="S470" s="1063" t="s">
        <v>251</v>
      </c>
      <c r="T470" s="1063" t="s">
        <v>251</v>
      </c>
      <c r="U470" s="1063"/>
      <c r="V470" s="1063"/>
      <c r="W470" s="1063"/>
      <c r="X470" s="1063"/>
      <c r="Y470" s="1063"/>
      <c r="Z470" s="1063"/>
      <c r="AA470" s="1063"/>
      <c r="AB470" s="1063"/>
      <c r="AC470" s="1063"/>
      <c r="AD470" s="675">
        <f t="shared" si="50"/>
        <v>0</v>
      </c>
      <c r="AE470" s="590">
        <f t="shared" si="48"/>
        <v>-1</v>
      </c>
      <c r="AF470" s="591">
        <f t="shared" si="49"/>
        <v>189</v>
      </c>
    </row>
    <row r="471" spans="1:32" x14ac:dyDescent="0.3">
      <c r="A471" s="21" t="s">
        <v>502</v>
      </c>
      <c r="B471" s="662" t="s">
        <v>504</v>
      </c>
      <c r="C471" s="501"/>
      <c r="D471" s="502" t="s">
        <v>251</v>
      </c>
      <c r="E471" s="502" t="s">
        <v>251</v>
      </c>
      <c r="F471" s="502" t="s">
        <v>251</v>
      </c>
      <c r="G471" s="502" t="s">
        <v>251</v>
      </c>
      <c r="H471" s="502" t="s">
        <v>251</v>
      </c>
      <c r="I471" s="502" t="s">
        <v>251</v>
      </c>
      <c r="J471" s="502" t="s">
        <v>251</v>
      </c>
      <c r="K471" s="502"/>
      <c r="L471" s="502" t="s">
        <v>251</v>
      </c>
      <c r="M471" s="502" t="s">
        <v>251</v>
      </c>
      <c r="N471" s="502" t="s">
        <v>251</v>
      </c>
      <c r="O471" s="502" t="s">
        <v>251</v>
      </c>
      <c r="P471" s="1496">
        <f t="shared" si="51"/>
        <v>0</v>
      </c>
      <c r="Q471" s="675">
        <f t="shared" si="47"/>
        <v>0</v>
      </c>
      <c r="R471" s="1062" t="s">
        <v>251</v>
      </c>
      <c r="S471" s="1063" t="s">
        <v>251</v>
      </c>
      <c r="T471" s="1063" t="s">
        <v>251</v>
      </c>
      <c r="U471" s="1063"/>
      <c r="V471" s="1063"/>
      <c r="W471" s="1063"/>
      <c r="X471" s="1063"/>
      <c r="Y471" s="1063"/>
      <c r="Z471" s="1063"/>
      <c r="AA471" s="1063"/>
      <c r="AB471" s="1063"/>
      <c r="AC471" s="1063"/>
      <c r="AD471" s="675">
        <f t="shared" si="50"/>
        <v>0</v>
      </c>
      <c r="AE471" s="590">
        <f t="shared" si="48"/>
        <v>0</v>
      </c>
      <c r="AF471" s="591">
        <f t="shared" si="49"/>
        <v>189</v>
      </c>
    </row>
    <row r="472" spans="1:32" x14ac:dyDescent="0.3">
      <c r="A472" s="21" t="s">
        <v>502</v>
      </c>
      <c r="B472" s="662" t="s">
        <v>505</v>
      </c>
      <c r="C472" s="501"/>
      <c r="D472" s="502" t="s">
        <v>251</v>
      </c>
      <c r="E472" s="502" t="s">
        <v>251</v>
      </c>
      <c r="F472" s="502" t="s">
        <v>251</v>
      </c>
      <c r="G472" s="502" t="s">
        <v>251</v>
      </c>
      <c r="H472" s="502" t="s">
        <v>251</v>
      </c>
      <c r="I472" s="502" t="s">
        <v>251</v>
      </c>
      <c r="J472" s="502" t="s">
        <v>251</v>
      </c>
      <c r="K472" s="502"/>
      <c r="L472" s="502" t="s">
        <v>251</v>
      </c>
      <c r="M472" s="502" t="s">
        <v>251</v>
      </c>
      <c r="N472" s="502" t="s">
        <v>251</v>
      </c>
      <c r="O472" s="502" t="s">
        <v>251</v>
      </c>
      <c r="P472" s="1496">
        <f t="shared" si="51"/>
        <v>0</v>
      </c>
      <c r="Q472" s="675">
        <f t="shared" si="47"/>
        <v>0</v>
      </c>
      <c r="R472" s="1062" t="s">
        <v>251</v>
      </c>
      <c r="S472" s="1063" t="s">
        <v>251</v>
      </c>
      <c r="T472" s="1063" t="s">
        <v>251</v>
      </c>
      <c r="U472" s="1063"/>
      <c r="V472" s="1063"/>
      <c r="W472" s="1063"/>
      <c r="X472" s="1063"/>
      <c r="Y472" s="1063"/>
      <c r="Z472" s="1063"/>
      <c r="AA472" s="1063"/>
      <c r="AB472" s="1063"/>
      <c r="AC472" s="1063"/>
      <c r="AD472" s="675">
        <f t="shared" si="50"/>
        <v>0</v>
      </c>
      <c r="AE472" s="590">
        <f t="shared" si="48"/>
        <v>0</v>
      </c>
      <c r="AF472" s="591">
        <f t="shared" si="49"/>
        <v>189</v>
      </c>
    </row>
    <row r="473" spans="1:32" x14ac:dyDescent="0.3">
      <c r="A473" s="21" t="s">
        <v>502</v>
      </c>
      <c r="B473" s="662" t="s">
        <v>506</v>
      </c>
      <c r="C473" s="501"/>
      <c r="D473" s="502" t="s">
        <v>251</v>
      </c>
      <c r="E473" s="502" t="s">
        <v>251</v>
      </c>
      <c r="F473" s="502" t="s">
        <v>251</v>
      </c>
      <c r="G473" s="502" t="s">
        <v>251</v>
      </c>
      <c r="H473" s="502" t="s">
        <v>251</v>
      </c>
      <c r="I473" s="502" t="s">
        <v>251</v>
      </c>
      <c r="J473" s="502" t="s">
        <v>251</v>
      </c>
      <c r="K473" s="502"/>
      <c r="L473" s="502" t="s">
        <v>251</v>
      </c>
      <c r="M473" s="502" t="s">
        <v>251</v>
      </c>
      <c r="N473" s="502" t="s">
        <v>251</v>
      </c>
      <c r="O473" s="502" t="s">
        <v>251</v>
      </c>
      <c r="P473" s="1496">
        <f t="shared" si="51"/>
        <v>0</v>
      </c>
      <c r="Q473" s="675">
        <f t="shared" si="47"/>
        <v>0</v>
      </c>
      <c r="R473" s="1062" t="s">
        <v>251</v>
      </c>
      <c r="S473" s="1063" t="s">
        <v>251</v>
      </c>
      <c r="T473" s="1063" t="s">
        <v>251</v>
      </c>
      <c r="U473" s="1063"/>
      <c r="V473" s="1063"/>
      <c r="W473" s="1063"/>
      <c r="X473" s="1063"/>
      <c r="Y473" s="1063"/>
      <c r="Z473" s="1063"/>
      <c r="AA473" s="1063"/>
      <c r="AB473" s="1063"/>
      <c r="AC473" s="1063"/>
      <c r="AD473" s="675">
        <f t="shared" si="50"/>
        <v>0</v>
      </c>
      <c r="AE473" s="590">
        <f t="shared" si="48"/>
        <v>0</v>
      </c>
      <c r="AF473" s="591">
        <f t="shared" si="49"/>
        <v>189</v>
      </c>
    </row>
    <row r="474" spans="1:32" x14ac:dyDescent="0.3">
      <c r="A474" s="21" t="s">
        <v>502</v>
      </c>
      <c r="B474" s="662" t="s">
        <v>507</v>
      </c>
      <c r="C474" s="501"/>
      <c r="D474" s="502">
        <v>0</v>
      </c>
      <c r="E474" s="502">
        <v>0</v>
      </c>
      <c r="F474" s="502">
        <v>0</v>
      </c>
      <c r="G474" s="502">
        <v>0</v>
      </c>
      <c r="H474" s="502">
        <v>616450</v>
      </c>
      <c r="I474" s="502">
        <v>261220</v>
      </c>
      <c r="J474" s="502">
        <v>792780</v>
      </c>
      <c r="K474" s="502">
        <v>747040</v>
      </c>
      <c r="L474" s="502">
        <v>1835440</v>
      </c>
      <c r="M474" s="502">
        <v>719090</v>
      </c>
      <c r="N474" s="502">
        <v>0</v>
      </c>
      <c r="O474" s="502">
        <v>376550</v>
      </c>
      <c r="P474" s="1496">
        <f t="shared" si="51"/>
        <v>1624710</v>
      </c>
      <c r="Q474" s="675">
        <f t="shared" si="47"/>
        <v>4601530</v>
      </c>
      <c r="R474" s="1062">
        <v>641550</v>
      </c>
      <c r="S474" s="1063">
        <v>3747210</v>
      </c>
      <c r="T474" s="1063">
        <v>429070</v>
      </c>
      <c r="U474" s="1063">
        <v>79920</v>
      </c>
      <c r="V474" s="1063">
        <v>0</v>
      </c>
      <c r="W474" s="1063">
        <v>0</v>
      </c>
      <c r="X474" s="1063">
        <v>0</v>
      </c>
      <c r="Y474" s="1063">
        <v>0</v>
      </c>
      <c r="Z474" s="1063"/>
      <c r="AA474" s="1063"/>
      <c r="AB474" s="1063"/>
      <c r="AC474" s="1063"/>
      <c r="AD474" s="675">
        <f t="shared" si="50"/>
        <v>4897750</v>
      </c>
      <c r="AE474" s="590">
        <f t="shared" si="48"/>
        <v>2.0145379790854983</v>
      </c>
      <c r="AF474" s="591">
        <f t="shared" si="49"/>
        <v>16</v>
      </c>
    </row>
    <row r="475" spans="1:32" x14ac:dyDescent="0.3">
      <c r="A475" s="21" t="s">
        <v>502</v>
      </c>
      <c r="B475" s="662" t="s">
        <v>508</v>
      </c>
      <c r="C475" s="501"/>
      <c r="D475" s="502">
        <v>0</v>
      </c>
      <c r="E475" s="502">
        <v>0</v>
      </c>
      <c r="F475" s="502">
        <v>0</v>
      </c>
      <c r="G475" s="502">
        <v>0</v>
      </c>
      <c r="H475" s="502">
        <v>0</v>
      </c>
      <c r="I475" s="502">
        <v>0</v>
      </c>
      <c r="J475" s="502">
        <v>0</v>
      </c>
      <c r="K475" s="502"/>
      <c r="L475" s="502">
        <v>0</v>
      </c>
      <c r="M475" s="502">
        <v>28410</v>
      </c>
      <c r="N475" s="502">
        <v>0</v>
      </c>
      <c r="O475" s="502">
        <v>0</v>
      </c>
      <c r="P475" s="1496">
        <f t="shared" si="51"/>
        <v>0</v>
      </c>
      <c r="Q475" s="675">
        <f t="shared" si="47"/>
        <v>28410</v>
      </c>
      <c r="R475" s="1062" t="s">
        <v>251</v>
      </c>
      <c r="S475" s="1063" t="s">
        <v>251</v>
      </c>
      <c r="T475" s="1063" t="s">
        <v>251</v>
      </c>
      <c r="U475" s="1063"/>
      <c r="V475" s="1063"/>
      <c r="W475" s="1063"/>
      <c r="X475" s="1063"/>
      <c r="Y475" s="1063"/>
      <c r="Z475" s="1063"/>
      <c r="AA475" s="1063"/>
      <c r="AB475" s="1063"/>
      <c r="AC475" s="1063"/>
      <c r="AD475" s="675">
        <f t="shared" si="50"/>
        <v>0</v>
      </c>
      <c r="AE475" s="590">
        <f t="shared" si="48"/>
        <v>0</v>
      </c>
      <c r="AF475" s="591">
        <f t="shared" si="49"/>
        <v>189</v>
      </c>
    </row>
    <row r="476" spans="1:32" x14ac:dyDescent="0.3">
      <c r="A476" s="21" t="s">
        <v>502</v>
      </c>
      <c r="B476" s="662" t="s">
        <v>1733</v>
      </c>
      <c r="C476" s="501"/>
      <c r="D476" s="502" t="s">
        <v>251</v>
      </c>
      <c r="E476" s="502" t="s">
        <v>251</v>
      </c>
      <c r="F476" s="502" t="s">
        <v>251</v>
      </c>
      <c r="G476" s="502" t="s">
        <v>251</v>
      </c>
      <c r="H476" s="502" t="s">
        <v>251</v>
      </c>
      <c r="I476" s="502" t="s">
        <v>251</v>
      </c>
      <c r="J476" s="502" t="s">
        <v>251</v>
      </c>
      <c r="K476" s="502"/>
      <c r="L476" s="502" t="s">
        <v>251</v>
      </c>
      <c r="M476" s="502" t="s">
        <v>251</v>
      </c>
      <c r="N476" s="502" t="s">
        <v>251</v>
      </c>
      <c r="O476" s="502" t="s">
        <v>251</v>
      </c>
      <c r="P476" s="1496">
        <f t="shared" si="51"/>
        <v>0</v>
      </c>
      <c r="Q476" s="675">
        <f t="shared" si="47"/>
        <v>0</v>
      </c>
      <c r="R476" s="1062" t="s">
        <v>251</v>
      </c>
      <c r="S476" s="1063" t="s">
        <v>251</v>
      </c>
      <c r="T476" s="1063" t="s">
        <v>251</v>
      </c>
      <c r="U476" s="1063"/>
      <c r="V476" s="1063"/>
      <c r="W476" s="1063"/>
      <c r="X476" s="1063"/>
      <c r="Y476" s="1063"/>
      <c r="Z476" s="1063"/>
      <c r="AA476" s="1063"/>
      <c r="AB476" s="1063"/>
      <c r="AC476" s="1063"/>
      <c r="AD476" s="675">
        <f t="shared" si="50"/>
        <v>0</v>
      </c>
      <c r="AE476" s="590">
        <f t="shared" si="48"/>
        <v>0</v>
      </c>
      <c r="AF476" s="591">
        <f t="shared" si="49"/>
        <v>189</v>
      </c>
    </row>
    <row r="477" spans="1:32" x14ac:dyDescent="0.3">
      <c r="A477" s="21" t="s">
        <v>502</v>
      </c>
      <c r="B477" s="662" t="s">
        <v>1737</v>
      </c>
      <c r="C477" s="501"/>
      <c r="D477" s="502" t="s">
        <v>251</v>
      </c>
      <c r="E477" s="502" t="s">
        <v>251</v>
      </c>
      <c r="F477" s="502" t="s">
        <v>251</v>
      </c>
      <c r="G477" s="502" t="s">
        <v>251</v>
      </c>
      <c r="H477" s="502" t="s">
        <v>251</v>
      </c>
      <c r="I477" s="502" t="s">
        <v>251</v>
      </c>
      <c r="J477" s="502" t="s">
        <v>251</v>
      </c>
      <c r="K477" s="502"/>
      <c r="L477" s="502" t="s">
        <v>251</v>
      </c>
      <c r="M477" s="502" t="s">
        <v>251</v>
      </c>
      <c r="N477" s="502" t="s">
        <v>251</v>
      </c>
      <c r="O477" s="502" t="s">
        <v>251</v>
      </c>
      <c r="P477" s="1496">
        <f t="shared" si="51"/>
        <v>0</v>
      </c>
      <c r="Q477" s="675">
        <f t="shared" si="47"/>
        <v>0</v>
      </c>
      <c r="R477" s="1062">
        <v>271270</v>
      </c>
      <c r="S477" s="1063" t="s">
        <v>251</v>
      </c>
      <c r="T477" s="1063">
        <v>0</v>
      </c>
      <c r="U477" s="1063">
        <v>0</v>
      </c>
      <c r="V477" s="1063">
        <v>0</v>
      </c>
      <c r="W477" s="1063">
        <v>0</v>
      </c>
      <c r="X477" s="1063">
        <v>0</v>
      </c>
      <c r="Y477" s="1063">
        <v>0</v>
      </c>
      <c r="Z477" s="1063"/>
      <c r="AA477" s="1063"/>
      <c r="AB477" s="1063"/>
      <c r="AC477" s="1063"/>
      <c r="AD477" s="675">
        <f t="shared" si="50"/>
        <v>271270</v>
      </c>
      <c r="AE477" s="590">
        <f t="shared" si="48"/>
        <v>1</v>
      </c>
      <c r="AF477" s="591">
        <f t="shared" si="49"/>
        <v>121</v>
      </c>
    </row>
    <row r="478" spans="1:32" x14ac:dyDescent="0.3">
      <c r="A478" s="21" t="s">
        <v>502</v>
      </c>
      <c r="B478" s="662" t="s">
        <v>1783</v>
      </c>
      <c r="C478" s="501"/>
      <c r="D478" s="502" t="s">
        <v>251</v>
      </c>
      <c r="E478" s="502" t="s">
        <v>251</v>
      </c>
      <c r="F478" s="502" t="s">
        <v>251</v>
      </c>
      <c r="G478" s="502" t="s">
        <v>251</v>
      </c>
      <c r="H478" s="502" t="s">
        <v>251</v>
      </c>
      <c r="I478" s="502" t="s">
        <v>251</v>
      </c>
      <c r="J478" s="502" t="s">
        <v>251</v>
      </c>
      <c r="K478" s="502"/>
      <c r="L478" s="502" t="s">
        <v>251</v>
      </c>
      <c r="M478" s="502" t="s">
        <v>251</v>
      </c>
      <c r="N478" s="502" t="s">
        <v>251</v>
      </c>
      <c r="O478" s="502" t="s">
        <v>251</v>
      </c>
      <c r="P478" s="1496">
        <f t="shared" si="51"/>
        <v>0</v>
      </c>
      <c r="Q478" s="675">
        <f t="shared" si="47"/>
        <v>0</v>
      </c>
      <c r="R478" s="1062"/>
      <c r="S478" s="1063" t="s">
        <v>251</v>
      </c>
      <c r="T478" s="1063" t="s">
        <v>251</v>
      </c>
      <c r="U478" s="1063"/>
      <c r="V478" s="1063"/>
      <c r="W478" s="1063"/>
      <c r="X478" s="1063"/>
      <c r="Y478" s="1063"/>
      <c r="Z478" s="1063"/>
      <c r="AA478" s="1063"/>
      <c r="AB478" s="1063"/>
      <c r="AC478" s="1063"/>
      <c r="AD478" s="675">
        <f t="shared" si="50"/>
        <v>0</v>
      </c>
      <c r="AE478" s="590">
        <f t="shared" si="48"/>
        <v>0</v>
      </c>
      <c r="AF478" s="591">
        <f t="shared" si="49"/>
        <v>189</v>
      </c>
    </row>
    <row r="479" spans="1:32" x14ac:dyDescent="0.3">
      <c r="A479" s="1450" t="s">
        <v>502</v>
      </c>
      <c r="B479" s="1451" t="s">
        <v>2677</v>
      </c>
      <c r="C479" s="1452"/>
      <c r="D479" s="1453"/>
      <c r="E479" s="1453"/>
      <c r="F479" s="1453"/>
      <c r="G479" s="1453"/>
      <c r="H479" s="1453"/>
      <c r="I479" s="1453"/>
      <c r="J479" s="1453"/>
      <c r="K479" s="1453"/>
      <c r="L479" s="1453"/>
      <c r="M479" s="1453"/>
      <c r="N479" s="1453"/>
      <c r="O479" s="1453"/>
      <c r="P479" s="1496">
        <f t="shared" si="51"/>
        <v>0</v>
      </c>
      <c r="Q479" s="675">
        <f t="shared" si="47"/>
        <v>0</v>
      </c>
      <c r="R479" s="1062"/>
      <c r="S479" s="1063" t="s">
        <v>251</v>
      </c>
      <c r="T479" s="1063" t="s">
        <v>251</v>
      </c>
      <c r="U479" s="1063">
        <v>343230</v>
      </c>
      <c r="V479" s="1063">
        <v>1790500</v>
      </c>
      <c r="W479" s="1063">
        <v>2541660</v>
      </c>
      <c r="X479" s="1063">
        <v>160190</v>
      </c>
      <c r="Y479" s="1063">
        <v>342760</v>
      </c>
      <c r="Z479" s="1063" t="s">
        <v>251</v>
      </c>
      <c r="AA479" s="1063" t="s">
        <v>251</v>
      </c>
      <c r="AB479" s="1063" t="s">
        <v>251</v>
      </c>
      <c r="AC479" s="1063" t="s">
        <v>251</v>
      </c>
      <c r="AD479" s="675">
        <f t="shared" si="50"/>
        <v>5178340</v>
      </c>
      <c r="AE479" s="590">
        <f t="shared" si="48"/>
        <v>1</v>
      </c>
      <c r="AF479" s="591">
        <f t="shared" si="49"/>
        <v>12</v>
      </c>
    </row>
    <row r="480" spans="1:32" x14ac:dyDescent="0.3">
      <c r="A480" s="1450" t="s">
        <v>502</v>
      </c>
      <c r="B480" s="1451" t="s">
        <v>2734</v>
      </c>
      <c r="C480" s="1452"/>
      <c r="D480" s="1453"/>
      <c r="E480" s="1453"/>
      <c r="F480" s="1453"/>
      <c r="G480" s="1453"/>
      <c r="H480" s="1453"/>
      <c r="I480" s="1453"/>
      <c r="J480" s="1453"/>
      <c r="K480" s="1453"/>
      <c r="L480" s="1453"/>
      <c r="M480" s="1453"/>
      <c r="N480" s="1453"/>
      <c r="O480" s="1453"/>
      <c r="P480" s="1496">
        <f t="shared" si="51"/>
        <v>0</v>
      </c>
      <c r="Q480" s="675">
        <f t="shared" si="47"/>
        <v>0</v>
      </c>
      <c r="R480" s="1491"/>
      <c r="S480" s="1492"/>
      <c r="T480" s="1492"/>
      <c r="U480" s="1492">
        <v>768120</v>
      </c>
      <c r="V480" s="1492">
        <v>59800</v>
      </c>
      <c r="W480" s="1492">
        <v>30440</v>
      </c>
      <c r="X480" s="1492">
        <v>0</v>
      </c>
      <c r="Y480" s="1492">
        <v>0</v>
      </c>
      <c r="Z480" s="1492"/>
      <c r="AA480" s="1492"/>
      <c r="AB480" s="1492"/>
      <c r="AC480" s="1492"/>
      <c r="AD480" s="675">
        <f t="shared" si="50"/>
        <v>858360</v>
      </c>
      <c r="AE480" s="590">
        <f>IF(OR(AD480="", P480=""), 0, IFERROR((AD480-P480)/P480, IF(AD480&lt;&gt;0, 1, 0)))</f>
        <v>1</v>
      </c>
      <c r="AF480" s="591">
        <f t="shared" si="49"/>
        <v>61</v>
      </c>
    </row>
    <row r="481" spans="1:32" x14ac:dyDescent="0.3">
      <c r="A481" s="1450" t="s">
        <v>502</v>
      </c>
      <c r="B481" s="1451" t="s">
        <v>2773</v>
      </c>
      <c r="C481" s="1452"/>
      <c r="D481" s="1453"/>
      <c r="E481" s="1453"/>
      <c r="F481" s="1453"/>
      <c r="G481" s="1453"/>
      <c r="H481" s="1453"/>
      <c r="I481" s="1453"/>
      <c r="J481" s="1453"/>
      <c r="K481" s="1453"/>
      <c r="L481" s="1453"/>
      <c r="M481" s="1453"/>
      <c r="N481" s="1453"/>
      <c r="O481" s="1453"/>
      <c r="P481" s="1496">
        <f t="shared" si="51"/>
        <v>0</v>
      </c>
      <c r="Q481" s="675">
        <f t="shared" ref="Q481:Q483" si="52">SUM(C481:J481,L481:O481)</f>
        <v>0</v>
      </c>
      <c r="R481" s="1491"/>
      <c r="S481" s="1492"/>
      <c r="T481" s="1492"/>
      <c r="U481" s="1492"/>
      <c r="V481" s="1492">
        <v>506690</v>
      </c>
      <c r="W481" s="1492">
        <v>0</v>
      </c>
      <c r="X481" s="1492">
        <v>0</v>
      </c>
      <c r="Y481" s="1492">
        <v>0</v>
      </c>
      <c r="Z481" s="1492"/>
      <c r="AA481" s="1492"/>
      <c r="AB481" s="1492"/>
      <c r="AC481" s="1492"/>
      <c r="AD481" s="675">
        <f t="shared" si="50"/>
        <v>506690</v>
      </c>
      <c r="AE481" s="590">
        <f t="shared" ref="AE481" si="53">IF(OR(AD481="", P481=""), 0, IFERROR((AD481-P481)/P481, IF(AD481&lt;&gt;0, 1, 0)))</f>
        <v>1</v>
      </c>
      <c r="AF481" s="591">
        <f t="shared" si="49"/>
        <v>92</v>
      </c>
    </row>
    <row r="482" spans="1:32" x14ac:dyDescent="0.3">
      <c r="A482" s="1450" t="s">
        <v>502</v>
      </c>
      <c r="B482" s="1451" t="s">
        <v>2774</v>
      </c>
      <c r="C482" s="1452"/>
      <c r="D482" s="1453"/>
      <c r="E482" s="1453"/>
      <c r="F482" s="1453"/>
      <c r="G482" s="1453"/>
      <c r="H482" s="1453"/>
      <c r="I482" s="1453"/>
      <c r="J482" s="1453"/>
      <c r="K482" s="1453"/>
      <c r="L482" s="1453"/>
      <c r="M482" s="1453"/>
      <c r="N482" s="1453"/>
      <c r="O482" s="1453"/>
      <c r="P482" s="1496">
        <f t="shared" si="51"/>
        <v>0</v>
      </c>
      <c r="Q482" s="675">
        <f t="shared" si="52"/>
        <v>0</v>
      </c>
      <c r="R482" s="1491"/>
      <c r="S482" s="1492"/>
      <c r="T482" s="1492"/>
      <c r="U482" s="1492"/>
      <c r="V482" s="1492">
        <v>265150</v>
      </c>
      <c r="W482" s="1492">
        <v>0</v>
      </c>
      <c r="X482" s="1492">
        <v>0</v>
      </c>
      <c r="Y482" s="1492">
        <v>0</v>
      </c>
      <c r="Z482" s="1492"/>
      <c r="AA482" s="1492"/>
      <c r="AB482" s="1492"/>
      <c r="AC482" s="1492"/>
      <c r="AD482" s="675">
        <f t="shared" si="50"/>
        <v>265150</v>
      </c>
      <c r="AE482" s="590">
        <f>IF(OR(AD482="", P482=""), 0, IFERROR((AD482-P482)/P482, IF(AD482&lt;&gt;0, 1, 0)))</f>
        <v>1</v>
      </c>
      <c r="AF482" s="591">
        <f t="shared" si="49"/>
        <v>123</v>
      </c>
    </row>
    <row r="483" spans="1:32" x14ac:dyDescent="0.3">
      <c r="A483" s="1450" t="s">
        <v>502</v>
      </c>
      <c r="B483" s="1451" t="s">
        <v>2949</v>
      </c>
      <c r="C483" s="1452"/>
      <c r="D483" s="1453"/>
      <c r="E483" s="1453"/>
      <c r="F483" s="1453"/>
      <c r="G483" s="1453"/>
      <c r="H483" s="1453"/>
      <c r="I483" s="1453"/>
      <c r="J483" s="1453"/>
      <c r="K483" s="1453"/>
      <c r="L483" s="1453"/>
      <c r="M483" s="1453"/>
      <c r="N483" s="1453"/>
      <c r="O483" s="1453"/>
      <c r="P483" s="1496">
        <f t="shared" si="51"/>
        <v>0</v>
      </c>
      <c r="Q483" s="675">
        <f t="shared" si="52"/>
        <v>0</v>
      </c>
      <c r="R483" s="1491"/>
      <c r="S483" s="1492"/>
      <c r="T483" s="1492"/>
      <c r="U483" s="1492"/>
      <c r="V483" s="1492"/>
      <c r="W483" s="1492"/>
      <c r="X483" s="1492">
        <v>180580</v>
      </c>
      <c r="Y483" s="1492">
        <v>0</v>
      </c>
      <c r="Z483" s="1492"/>
      <c r="AA483" s="1492"/>
      <c r="AB483" s="1492"/>
      <c r="AC483" s="1492"/>
      <c r="AD483" s="675">
        <f t="shared" si="50"/>
        <v>180580</v>
      </c>
      <c r="AE483" s="590">
        <f>IF(OR(AD483="", P483=""), 0, IFERROR((AD483-P483)/P483, IF(AD483&lt;&gt;0, 1, 0)))</f>
        <v>1</v>
      </c>
      <c r="AF483" s="591">
        <f t="shared" si="49"/>
        <v>135</v>
      </c>
    </row>
    <row r="484" spans="1:32" ht="17.25" thickBot="1" x14ac:dyDescent="0.35">
      <c r="A484" s="531" t="s">
        <v>2379</v>
      </c>
      <c r="B484" s="641"/>
      <c r="C484" s="531">
        <f>SUM(C2:C483)</f>
        <v>69235950</v>
      </c>
      <c r="D484" s="531">
        <f t="shared" ref="D484:AD484" si="54">SUM(D2:D483)</f>
        <v>28336110</v>
      </c>
      <c r="E484" s="531">
        <f t="shared" si="54"/>
        <v>51065940</v>
      </c>
      <c r="F484" s="531">
        <f t="shared" si="54"/>
        <v>60981760</v>
      </c>
      <c r="G484" s="531">
        <f t="shared" si="54"/>
        <v>53148830</v>
      </c>
      <c r="H484" s="531">
        <f t="shared" si="54"/>
        <v>35059170</v>
      </c>
      <c r="I484" s="531">
        <f t="shared" si="54"/>
        <v>38281340</v>
      </c>
      <c r="J484" s="531">
        <f t="shared" si="54"/>
        <v>27609170</v>
      </c>
      <c r="K484" s="531">
        <f t="shared" si="54"/>
        <v>23827630</v>
      </c>
      <c r="L484" s="531">
        <f t="shared" si="54"/>
        <v>31904880</v>
      </c>
      <c r="M484" s="531">
        <f t="shared" si="54"/>
        <v>34049950</v>
      </c>
      <c r="N484" s="531">
        <f t="shared" si="54"/>
        <v>31423810</v>
      </c>
      <c r="O484" s="531">
        <f t="shared" si="54"/>
        <v>33886460</v>
      </c>
      <c r="P484" s="531">
        <f t="shared" si="54"/>
        <v>359936730</v>
      </c>
      <c r="Q484" s="531">
        <f t="shared" si="54"/>
        <v>494983370</v>
      </c>
      <c r="R484" s="531">
        <f t="shared" si="54"/>
        <v>42364890</v>
      </c>
      <c r="S484" s="531">
        <f t="shared" si="54"/>
        <v>21274490</v>
      </c>
      <c r="T484" s="531">
        <f t="shared" si="54"/>
        <v>37327090</v>
      </c>
      <c r="U484" s="531">
        <f t="shared" si="54"/>
        <v>47951170</v>
      </c>
      <c r="V484" s="531">
        <f t="shared" si="54"/>
        <v>33407030</v>
      </c>
      <c r="W484" s="531">
        <f t="shared" si="54"/>
        <v>33326630</v>
      </c>
      <c r="X484" s="531">
        <f t="shared" si="54"/>
        <v>48047740</v>
      </c>
      <c r="Y484" s="531">
        <f t="shared" si="54"/>
        <v>19971980</v>
      </c>
      <c r="Z484" s="531">
        <f t="shared" si="54"/>
        <v>0</v>
      </c>
      <c r="AA484" s="531">
        <f t="shared" si="54"/>
        <v>0</v>
      </c>
      <c r="AB484" s="531">
        <f t="shared" si="54"/>
        <v>0</v>
      </c>
      <c r="AC484" s="531">
        <f t="shared" si="54"/>
        <v>0</v>
      </c>
      <c r="AD484" s="531">
        <f t="shared" si="54"/>
        <v>283671020</v>
      </c>
      <c r="AE484" s="1034">
        <f t="shared" si="48"/>
        <v>-0.21188643348512945</v>
      </c>
      <c r="AF484" s="1035" t="str">
        <f>IFERROR(_xlfn.RANK.EQ(AD484, $AD$2:$AD$482), "")</f>
        <v/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F99C-574E-4FEB-A422-4506251A6C93}">
  <dimension ref="A1:AQ2066"/>
  <sheetViews>
    <sheetView zoomScale="70" zoomScaleNormal="70" workbookViewId="0">
      <selection activeCell="AF26" sqref="A26:AF26"/>
    </sheetView>
  </sheetViews>
  <sheetFormatPr defaultRowHeight="16.5" x14ac:dyDescent="0.3"/>
  <cols>
    <col min="1" max="1" width="17.5" customWidth="1"/>
    <col min="2" max="2" width="53.625" customWidth="1"/>
    <col min="3" max="10" width="13.625" style="837" customWidth="1"/>
    <col min="11" max="11" width="13.625" style="837" hidden="1" customWidth="1"/>
    <col min="12" max="15" width="13.625" style="837" customWidth="1"/>
    <col min="16" max="16" width="13.625" style="837" hidden="1" customWidth="1"/>
    <col min="17" max="30" width="13.625" style="837" customWidth="1"/>
    <col min="31" max="31" width="11.875" customWidth="1"/>
    <col min="34" max="34" width="37.25" customWidth="1"/>
    <col min="35" max="38" width="20.625" customWidth="1"/>
    <col min="39" max="43" width="15.75" style="1029" customWidth="1"/>
    <col min="44" max="44" width="12" bestFit="1" customWidth="1"/>
    <col min="45" max="45" width="21" customWidth="1"/>
  </cols>
  <sheetData>
    <row r="1" spans="1:43" ht="33.75" thickBot="1" x14ac:dyDescent="0.35">
      <c r="A1" s="35" t="s">
        <v>0</v>
      </c>
      <c r="B1" s="647" t="s">
        <v>1</v>
      </c>
      <c r="C1" s="715" t="s">
        <v>2366</v>
      </c>
      <c r="D1" s="1402" t="s">
        <v>2367</v>
      </c>
      <c r="E1" s="1402" t="s">
        <v>2368</v>
      </c>
      <c r="F1" s="1402" t="s">
        <v>2369</v>
      </c>
      <c r="G1" s="1402" t="s">
        <v>2370</v>
      </c>
      <c r="H1" s="1402" t="s">
        <v>2371</v>
      </c>
      <c r="I1" s="1402" t="s">
        <v>2372</v>
      </c>
      <c r="J1" s="1402" t="s">
        <v>2373</v>
      </c>
      <c r="K1" s="1406" t="s">
        <v>3035</v>
      </c>
      <c r="L1" s="1402" t="s">
        <v>2374</v>
      </c>
      <c r="M1" s="1402" t="s">
        <v>2375</v>
      </c>
      <c r="N1" s="1402" t="s">
        <v>2376</v>
      </c>
      <c r="O1" s="1402" t="s">
        <v>2377</v>
      </c>
      <c r="P1" s="1495" t="s">
        <v>3037</v>
      </c>
      <c r="Q1" s="1404" t="s">
        <v>2378</v>
      </c>
      <c r="R1" s="1403" t="s">
        <v>2527</v>
      </c>
      <c r="S1" s="1406" t="s">
        <v>2577</v>
      </c>
      <c r="T1" s="1406" t="s">
        <v>2634</v>
      </c>
      <c r="U1" s="1406" t="s">
        <v>2727</v>
      </c>
      <c r="V1" s="1406" t="s">
        <v>2805</v>
      </c>
      <c r="W1" s="1406" t="s">
        <v>2891</v>
      </c>
      <c r="X1" s="1406" t="s">
        <v>2979</v>
      </c>
      <c r="Y1" s="1406" t="s">
        <v>3038</v>
      </c>
      <c r="Z1" s="1402" t="s">
        <v>2407</v>
      </c>
      <c r="AA1" s="1402" t="s">
        <v>2408</v>
      </c>
      <c r="AB1" s="1402" t="s">
        <v>2409</v>
      </c>
      <c r="AC1" s="1402" t="s">
        <v>2410</v>
      </c>
      <c r="AD1" s="1404" t="s">
        <v>2411</v>
      </c>
      <c r="AE1" s="563" t="s">
        <v>515</v>
      </c>
      <c r="AF1" s="564" t="s">
        <v>516</v>
      </c>
      <c r="AM1"/>
      <c r="AN1"/>
      <c r="AO1"/>
      <c r="AP1"/>
      <c r="AQ1"/>
    </row>
    <row r="2" spans="1:43" x14ac:dyDescent="0.3">
      <c r="A2" s="287" t="s">
        <v>1972</v>
      </c>
      <c r="B2" s="851" t="s">
        <v>1973</v>
      </c>
      <c r="C2" s="717">
        <v>1196750</v>
      </c>
      <c r="D2" s="718">
        <v>11577150</v>
      </c>
      <c r="E2" s="718">
        <v>6954250</v>
      </c>
      <c r="F2" s="718">
        <v>1072500</v>
      </c>
      <c r="G2" s="718">
        <v>1353600</v>
      </c>
      <c r="H2" s="718">
        <v>8845150</v>
      </c>
      <c r="I2" s="718">
        <v>9541150</v>
      </c>
      <c r="J2" s="718">
        <v>4400450</v>
      </c>
      <c r="K2" s="718">
        <v>3855950</v>
      </c>
      <c r="L2" s="718">
        <v>968000</v>
      </c>
      <c r="M2" s="718">
        <v>2029100</v>
      </c>
      <c r="N2" s="718">
        <v>2873500</v>
      </c>
      <c r="O2" s="718">
        <v>9458000</v>
      </c>
      <c r="P2" s="1497">
        <f>SUM(C2:I2,K2)</f>
        <v>44396500</v>
      </c>
      <c r="Q2" s="1405">
        <f>SUM(C2:J2,L2:O2)</f>
        <v>60269600</v>
      </c>
      <c r="R2" s="717">
        <v>13572400</v>
      </c>
      <c r="S2" s="718">
        <v>5529400</v>
      </c>
      <c r="T2" s="718">
        <v>2603300</v>
      </c>
      <c r="U2" s="718">
        <v>1853700</v>
      </c>
      <c r="V2" s="718">
        <v>900400</v>
      </c>
      <c r="W2" s="718">
        <v>8343700</v>
      </c>
      <c r="X2" s="718">
        <v>3433400</v>
      </c>
      <c r="Y2" s="718">
        <v>5585700</v>
      </c>
      <c r="Z2" s="718"/>
      <c r="AA2" s="718"/>
      <c r="AB2" s="718"/>
      <c r="AC2" s="718"/>
      <c r="AD2" s="1405">
        <f>SUM(R2:AC2)</f>
        <v>41822000</v>
      </c>
      <c r="AE2" s="852">
        <f>IF(OR(AD2="", P2=""), 0, IFERROR((AD2-P2)/P2, IF(AD2&lt;&gt;0, 1, 0)))</f>
        <v>-5.798880542385098E-2</v>
      </c>
      <c r="AF2" s="853">
        <f>IFERROR(_xlfn.RANK.EQ(AD2, $AD$2:$AD$2064), "")</f>
        <v>3</v>
      </c>
      <c r="AH2" s="1428" t="s">
        <v>2477</v>
      </c>
      <c r="AI2" s="1429" t="s">
        <v>2479</v>
      </c>
      <c r="AJ2" s="1429" t="s">
        <v>2480</v>
      </c>
      <c r="AK2" s="1430" t="s">
        <v>784</v>
      </c>
      <c r="AL2" s="1431" t="s">
        <v>515</v>
      </c>
      <c r="AM2"/>
      <c r="AN2"/>
      <c r="AO2"/>
      <c r="AP2"/>
      <c r="AQ2"/>
    </row>
    <row r="3" spans="1:43" x14ac:dyDescent="0.3">
      <c r="A3" s="287" t="s">
        <v>804</v>
      </c>
      <c r="B3" s="851" t="s">
        <v>1061</v>
      </c>
      <c r="C3" s="717">
        <v>2754050</v>
      </c>
      <c r="D3" s="718">
        <v>1239000</v>
      </c>
      <c r="E3" s="718">
        <v>3167700</v>
      </c>
      <c r="F3" s="718">
        <v>6051500</v>
      </c>
      <c r="G3" s="718">
        <v>3674000</v>
      </c>
      <c r="H3" s="718">
        <v>4060000</v>
      </c>
      <c r="I3" s="718">
        <v>5826000</v>
      </c>
      <c r="J3" s="718">
        <v>1937000</v>
      </c>
      <c r="K3" s="718">
        <v>1536800</v>
      </c>
      <c r="L3" s="718">
        <v>2969900</v>
      </c>
      <c r="M3" s="718">
        <v>4106800</v>
      </c>
      <c r="N3" s="718">
        <v>5160100</v>
      </c>
      <c r="O3" s="718">
        <v>9135000</v>
      </c>
      <c r="P3" s="1497">
        <f t="shared" ref="P3:P66" si="0">SUM(C3:I3,K3)</f>
        <v>28309050</v>
      </c>
      <c r="Q3" s="1405">
        <f t="shared" ref="Q3:Q66" si="1">SUM(C3:J3,L3:O3)</f>
        <v>50081050</v>
      </c>
      <c r="R3" s="717">
        <v>7283950</v>
      </c>
      <c r="S3" s="718">
        <v>3948250</v>
      </c>
      <c r="T3" s="718">
        <v>7697400</v>
      </c>
      <c r="U3" s="718">
        <v>5603650</v>
      </c>
      <c r="V3" s="718">
        <v>1462900</v>
      </c>
      <c r="W3" s="718">
        <v>3889100</v>
      </c>
      <c r="X3" s="718">
        <v>8150200</v>
      </c>
      <c r="Y3" s="718">
        <v>9796500</v>
      </c>
      <c r="Z3" s="718"/>
      <c r="AA3" s="718"/>
      <c r="AB3" s="718"/>
      <c r="AC3" s="718"/>
      <c r="AD3" s="1405">
        <f t="shared" ref="AD3:AD65" si="2">SUM(R3:AC3)</f>
        <v>47831950</v>
      </c>
      <c r="AE3" s="852">
        <f t="shared" ref="AE3:AE65" si="3">IF(OR(AD3="", P3=""), 0, IFERROR((AD3-P3)/P3, IF(AD3&lt;&gt;0, 1, 0)))</f>
        <v>0.68963458681940937</v>
      </c>
      <c r="AF3" s="853">
        <f t="shared" ref="AF3:AF66" si="4">IFERROR(_xlfn.RANK.EQ(AD3, $AD$2:$AD$2064), "")</f>
        <v>2</v>
      </c>
      <c r="AH3" s="1418" t="s">
        <v>804</v>
      </c>
      <c r="AI3" s="1427">
        <v>782813390</v>
      </c>
      <c r="AJ3" s="1427">
        <v>679112630</v>
      </c>
      <c r="AK3" s="1427">
        <f t="shared" ref="AK3:AK67" si="5">AJ3-AI3</f>
        <v>-103700760</v>
      </c>
      <c r="AL3" s="1419">
        <f t="shared" ref="AL3:AL67" si="6">IFERROR((AJ3-AI3)/AI3, 0)</f>
        <v>-0.13247187813177289</v>
      </c>
      <c r="AM3"/>
      <c r="AN3"/>
      <c r="AO3"/>
      <c r="AP3"/>
      <c r="AQ3"/>
    </row>
    <row r="4" spans="1:43" x14ac:dyDescent="0.3">
      <c r="A4" s="287" t="s">
        <v>804</v>
      </c>
      <c r="B4" s="851" t="s">
        <v>1974</v>
      </c>
      <c r="C4" s="717">
        <v>2818000</v>
      </c>
      <c r="D4" s="718">
        <v>1185000</v>
      </c>
      <c r="E4" s="718">
        <v>3698250</v>
      </c>
      <c r="F4" s="718">
        <v>5009500</v>
      </c>
      <c r="G4" s="718">
        <v>1053450</v>
      </c>
      <c r="H4" s="718">
        <v>1715450</v>
      </c>
      <c r="I4" s="718">
        <v>2603000</v>
      </c>
      <c r="J4" s="718">
        <v>2628800</v>
      </c>
      <c r="K4" s="718">
        <v>2002350</v>
      </c>
      <c r="L4" s="718">
        <v>610400</v>
      </c>
      <c r="M4" s="718">
        <v>2139750</v>
      </c>
      <c r="N4" s="718">
        <v>2515800</v>
      </c>
      <c r="O4" s="718">
        <v>4697700</v>
      </c>
      <c r="P4" s="1497">
        <f t="shared" si="0"/>
        <v>20085000</v>
      </c>
      <c r="Q4" s="1405">
        <f t="shared" si="1"/>
        <v>30675100</v>
      </c>
      <c r="R4" s="717">
        <v>6455400</v>
      </c>
      <c r="S4" s="718">
        <v>905000</v>
      </c>
      <c r="T4" s="718">
        <v>4673000</v>
      </c>
      <c r="U4" s="718">
        <v>4943600</v>
      </c>
      <c r="V4" s="718">
        <v>2827850</v>
      </c>
      <c r="W4" s="718">
        <v>1447450</v>
      </c>
      <c r="X4" s="718">
        <v>2645950</v>
      </c>
      <c r="Y4" s="718">
        <v>1883400</v>
      </c>
      <c r="Z4" s="718"/>
      <c r="AA4" s="718"/>
      <c r="AB4" s="718"/>
      <c r="AC4" s="718"/>
      <c r="AD4" s="1405">
        <f t="shared" si="2"/>
        <v>25781650</v>
      </c>
      <c r="AE4" s="852">
        <f t="shared" si="3"/>
        <v>0.28362708488922084</v>
      </c>
      <c r="AF4" s="853">
        <f t="shared" si="4"/>
        <v>11</v>
      </c>
      <c r="AH4" s="1418" t="s">
        <v>759</v>
      </c>
      <c r="AI4" s="1427">
        <v>238616440</v>
      </c>
      <c r="AJ4" s="1427">
        <v>315838070</v>
      </c>
      <c r="AK4" s="1427">
        <f t="shared" si="5"/>
        <v>77221630</v>
      </c>
      <c r="AL4" s="1419">
        <f t="shared" si="6"/>
        <v>0.32362242098658417</v>
      </c>
      <c r="AM4"/>
      <c r="AN4"/>
      <c r="AO4"/>
      <c r="AP4"/>
      <c r="AQ4"/>
    </row>
    <row r="5" spans="1:43" x14ac:dyDescent="0.3">
      <c r="A5" s="287" t="s">
        <v>804</v>
      </c>
      <c r="B5" s="851" t="s">
        <v>1975</v>
      </c>
      <c r="C5" s="717">
        <v>3956850</v>
      </c>
      <c r="D5" s="718">
        <v>608400</v>
      </c>
      <c r="E5" s="718">
        <v>6417270</v>
      </c>
      <c r="F5" s="718">
        <v>864200</v>
      </c>
      <c r="G5" s="718">
        <v>320550</v>
      </c>
      <c r="H5" s="718">
        <v>714400</v>
      </c>
      <c r="I5" s="718">
        <v>732000</v>
      </c>
      <c r="J5" s="718">
        <v>439850</v>
      </c>
      <c r="K5" s="718">
        <v>439850</v>
      </c>
      <c r="L5" s="718">
        <v>4005850</v>
      </c>
      <c r="M5" s="718">
        <v>144150</v>
      </c>
      <c r="N5" s="718">
        <v>1080270</v>
      </c>
      <c r="O5" s="718">
        <v>1753200</v>
      </c>
      <c r="P5" s="1497">
        <f t="shared" si="0"/>
        <v>14053520</v>
      </c>
      <c r="Q5" s="1405">
        <f t="shared" si="1"/>
        <v>21036990</v>
      </c>
      <c r="R5" s="717">
        <v>1219200</v>
      </c>
      <c r="S5" s="718">
        <v>184800</v>
      </c>
      <c r="T5" s="718">
        <v>3596590</v>
      </c>
      <c r="U5" s="718">
        <v>838370</v>
      </c>
      <c r="V5" s="718">
        <v>992100</v>
      </c>
      <c r="W5" s="718">
        <v>774750</v>
      </c>
      <c r="X5" s="718">
        <v>1208400</v>
      </c>
      <c r="Y5" s="718">
        <v>321250</v>
      </c>
      <c r="Z5" s="718"/>
      <c r="AA5" s="718"/>
      <c r="AB5" s="718"/>
      <c r="AC5" s="718"/>
      <c r="AD5" s="1405">
        <f t="shared" si="2"/>
        <v>9135460</v>
      </c>
      <c r="AE5" s="852">
        <f t="shared" si="3"/>
        <v>-0.34995218279833096</v>
      </c>
      <c r="AF5" s="853">
        <f t="shared" si="4"/>
        <v>38</v>
      </c>
      <c r="AH5" s="1418" t="s">
        <v>1226</v>
      </c>
      <c r="AI5" s="1427">
        <v>71400300</v>
      </c>
      <c r="AJ5" s="1427">
        <v>108273450</v>
      </c>
      <c r="AK5" s="1427">
        <f t="shared" si="5"/>
        <v>36873150</v>
      </c>
      <c r="AL5" s="1419">
        <f t="shared" si="6"/>
        <v>0.51642850240125038</v>
      </c>
      <c r="AM5"/>
      <c r="AN5"/>
      <c r="AO5"/>
      <c r="AP5"/>
      <c r="AQ5"/>
    </row>
    <row r="6" spans="1:43" x14ac:dyDescent="0.3">
      <c r="A6" s="287" t="s">
        <v>804</v>
      </c>
      <c r="B6" s="851" t="s">
        <v>1063</v>
      </c>
      <c r="C6" s="717">
        <v>496700</v>
      </c>
      <c r="D6" s="718">
        <v>1399950</v>
      </c>
      <c r="E6" s="718">
        <v>4061500</v>
      </c>
      <c r="F6" s="718">
        <v>4826240</v>
      </c>
      <c r="G6" s="718">
        <v>1228900</v>
      </c>
      <c r="H6" s="718">
        <v>711570</v>
      </c>
      <c r="I6" s="718">
        <v>1772450</v>
      </c>
      <c r="J6" s="718">
        <v>1094350</v>
      </c>
      <c r="K6" s="718">
        <v>1014050</v>
      </c>
      <c r="L6" s="718">
        <v>1023470</v>
      </c>
      <c r="M6" s="718">
        <v>670900</v>
      </c>
      <c r="N6" s="718">
        <v>1219150</v>
      </c>
      <c r="O6" s="718">
        <v>2959280</v>
      </c>
      <c r="P6" s="1497">
        <f t="shared" si="0"/>
        <v>15511360</v>
      </c>
      <c r="Q6" s="1405">
        <f t="shared" si="1"/>
        <v>21464460</v>
      </c>
      <c r="R6" s="717">
        <v>234600</v>
      </c>
      <c r="S6" s="718"/>
      <c r="T6" s="718">
        <v>222700</v>
      </c>
      <c r="U6" s="718">
        <v>0</v>
      </c>
      <c r="V6" s="718">
        <v>0</v>
      </c>
      <c r="W6" s="718">
        <v>0</v>
      </c>
      <c r="X6" s="718">
        <v>0</v>
      </c>
      <c r="Y6" s="718">
        <v>230550</v>
      </c>
      <c r="Z6" s="718"/>
      <c r="AA6" s="718"/>
      <c r="AB6" s="718"/>
      <c r="AC6" s="718"/>
      <c r="AD6" s="1405">
        <f t="shared" si="2"/>
        <v>687850</v>
      </c>
      <c r="AE6" s="852">
        <f t="shared" si="3"/>
        <v>-0.95565508117921316</v>
      </c>
      <c r="AF6" s="853">
        <f t="shared" si="4"/>
        <v>383</v>
      </c>
      <c r="AH6" s="1418" t="s">
        <v>1177</v>
      </c>
      <c r="AI6" s="1427">
        <v>77849500</v>
      </c>
      <c r="AJ6" s="1427">
        <v>80551550</v>
      </c>
      <c r="AK6" s="1427">
        <f t="shared" si="5"/>
        <v>2702050</v>
      </c>
      <c r="AL6" s="1419">
        <f t="shared" si="6"/>
        <v>3.4708636535880126E-2</v>
      </c>
      <c r="AM6"/>
      <c r="AN6"/>
      <c r="AO6"/>
      <c r="AP6"/>
      <c r="AQ6"/>
    </row>
    <row r="7" spans="1:43" x14ac:dyDescent="0.3">
      <c r="A7" s="287" t="s">
        <v>804</v>
      </c>
      <c r="B7" s="851" t="s">
        <v>719</v>
      </c>
      <c r="C7" s="717">
        <v>2538200</v>
      </c>
      <c r="D7" s="718">
        <v>520020</v>
      </c>
      <c r="E7" s="718">
        <v>3288350</v>
      </c>
      <c r="F7" s="718">
        <v>1635350</v>
      </c>
      <c r="G7" s="718">
        <v>2713600</v>
      </c>
      <c r="H7" s="718">
        <v>2942520</v>
      </c>
      <c r="I7" s="718">
        <v>3805410</v>
      </c>
      <c r="J7" s="718">
        <v>3726970</v>
      </c>
      <c r="K7" s="718">
        <v>2687320</v>
      </c>
      <c r="L7" s="718">
        <v>1223500</v>
      </c>
      <c r="M7" s="718">
        <v>1277350</v>
      </c>
      <c r="N7" s="718">
        <v>5713530</v>
      </c>
      <c r="O7" s="718">
        <v>3552100</v>
      </c>
      <c r="P7" s="1497">
        <f t="shared" si="0"/>
        <v>20130770</v>
      </c>
      <c r="Q7" s="1405">
        <f t="shared" si="1"/>
        <v>32936900</v>
      </c>
      <c r="R7" s="717">
        <v>1583520</v>
      </c>
      <c r="S7" s="718">
        <v>308950</v>
      </c>
      <c r="T7" s="718">
        <v>1850820</v>
      </c>
      <c r="U7" s="718">
        <v>2516220</v>
      </c>
      <c r="V7" s="718">
        <v>3759370</v>
      </c>
      <c r="W7" s="718">
        <v>813070</v>
      </c>
      <c r="X7" s="718">
        <v>366670</v>
      </c>
      <c r="Y7" s="718">
        <v>1780720</v>
      </c>
      <c r="Z7" s="718"/>
      <c r="AA7" s="718"/>
      <c r="AB7" s="718"/>
      <c r="AC7" s="718"/>
      <c r="AD7" s="1405">
        <f t="shared" si="2"/>
        <v>12979340</v>
      </c>
      <c r="AE7" s="852">
        <f t="shared" si="3"/>
        <v>-0.35524870633363753</v>
      </c>
      <c r="AF7" s="853">
        <f t="shared" si="4"/>
        <v>28</v>
      </c>
      <c r="AH7" s="1418" t="s">
        <v>1184</v>
      </c>
      <c r="AI7" s="1506">
        <v>68862310</v>
      </c>
      <c r="AJ7" s="1506">
        <v>59896740</v>
      </c>
      <c r="AK7" s="1427">
        <f t="shared" si="5"/>
        <v>-8965570</v>
      </c>
      <c r="AL7" s="1419">
        <f t="shared" si="6"/>
        <v>-0.13019560337142336</v>
      </c>
      <c r="AM7"/>
      <c r="AN7"/>
      <c r="AO7"/>
      <c r="AP7"/>
      <c r="AQ7"/>
    </row>
    <row r="8" spans="1:43" x14ac:dyDescent="0.3">
      <c r="A8" s="287" t="s">
        <v>804</v>
      </c>
      <c r="B8" s="851" t="s">
        <v>1976</v>
      </c>
      <c r="C8" s="717">
        <v>938800</v>
      </c>
      <c r="D8" s="718">
        <v>2487300</v>
      </c>
      <c r="E8" s="718">
        <v>3852600</v>
      </c>
      <c r="F8" s="718">
        <v>1740050</v>
      </c>
      <c r="G8" s="718">
        <v>1317900</v>
      </c>
      <c r="H8" s="718">
        <v>2111720</v>
      </c>
      <c r="I8" s="718">
        <v>2941600</v>
      </c>
      <c r="J8" s="718">
        <v>1328650</v>
      </c>
      <c r="K8" s="718">
        <v>1190800</v>
      </c>
      <c r="L8" s="718">
        <v>6798040</v>
      </c>
      <c r="M8" s="718">
        <v>2096540</v>
      </c>
      <c r="N8" s="718">
        <v>1860570</v>
      </c>
      <c r="O8" s="718">
        <v>2425650</v>
      </c>
      <c r="P8" s="1497">
        <f t="shared" si="0"/>
        <v>16580770</v>
      </c>
      <c r="Q8" s="1405">
        <f t="shared" si="1"/>
        <v>29899420</v>
      </c>
      <c r="R8" s="717">
        <v>3272820</v>
      </c>
      <c r="S8" s="718">
        <v>2334850</v>
      </c>
      <c r="T8" s="718">
        <v>2843050</v>
      </c>
      <c r="U8" s="718">
        <v>1704800</v>
      </c>
      <c r="V8" s="718">
        <v>1472580</v>
      </c>
      <c r="W8" s="718">
        <v>1367470</v>
      </c>
      <c r="X8" s="718">
        <v>3509500</v>
      </c>
      <c r="Y8" s="718">
        <v>1924600</v>
      </c>
      <c r="Z8" s="718"/>
      <c r="AA8" s="718"/>
      <c r="AB8" s="718"/>
      <c r="AC8" s="718"/>
      <c r="AD8" s="1405">
        <f t="shared" si="2"/>
        <v>18429670</v>
      </c>
      <c r="AE8" s="852">
        <f t="shared" si="3"/>
        <v>0.11150869350458392</v>
      </c>
      <c r="AF8" s="853">
        <f t="shared" si="4"/>
        <v>19</v>
      </c>
      <c r="AH8" s="1418" t="s">
        <v>618</v>
      </c>
      <c r="AI8" s="1427">
        <v>53609440</v>
      </c>
      <c r="AJ8" s="1427">
        <v>56145950</v>
      </c>
      <c r="AK8" s="1427">
        <f t="shared" si="5"/>
        <v>2536510</v>
      </c>
      <c r="AL8" s="1419">
        <f t="shared" si="6"/>
        <v>4.7314614739493645E-2</v>
      </c>
      <c r="AM8"/>
      <c r="AN8"/>
      <c r="AO8"/>
      <c r="AP8"/>
      <c r="AQ8"/>
    </row>
    <row r="9" spans="1:43" x14ac:dyDescent="0.3">
      <c r="A9" s="287" t="s">
        <v>804</v>
      </c>
      <c r="B9" s="851" t="s">
        <v>1064</v>
      </c>
      <c r="C9" s="717">
        <v>1436950</v>
      </c>
      <c r="D9" s="718">
        <v>29600</v>
      </c>
      <c r="E9" s="718">
        <v>4425250</v>
      </c>
      <c r="F9" s="718">
        <v>955500</v>
      </c>
      <c r="G9" s="718">
        <v>3433550</v>
      </c>
      <c r="H9" s="718">
        <v>1910550</v>
      </c>
      <c r="I9" s="718">
        <v>3258550</v>
      </c>
      <c r="J9" s="718">
        <v>2899800</v>
      </c>
      <c r="K9" s="718">
        <v>2899800</v>
      </c>
      <c r="L9" s="718">
        <v>1373400</v>
      </c>
      <c r="M9" s="718">
        <v>1043000</v>
      </c>
      <c r="N9" s="718">
        <v>634080</v>
      </c>
      <c r="O9" s="718">
        <v>1479850</v>
      </c>
      <c r="P9" s="1497">
        <f t="shared" si="0"/>
        <v>18349750</v>
      </c>
      <c r="Q9" s="1405">
        <f t="shared" si="1"/>
        <v>22880080</v>
      </c>
      <c r="R9" s="717">
        <v>247250</v>
      </c>
      <c r="S9" s="718"/>
      <c r="T9" s="718">
        <v>2498000</v>
      </c>
      <c r="U9" s="718">
        <v>2469300</v>
      </c>
      <c r="V9" s="718">
        <v>203650</v>
      </c>
      <c r="W9" s="718">
        <v>1918400</v>
      </c>
      <c r="X9" s="718">
        <v>884950</v>
      </c>
      <c r="Y9" s="718">
        <v>1512700</v>
      </c>
      <c r="Z9" s="718"/>
      <c r="AA9" s="718"/>
      <c r="AB9" s="718"/>
      <c r="AC9" s="718"/>
      <c r="AD9" s="1405">
        <f t="shared" si="2"/>
        <v>9734250</v>
      </c>
      <c r="AE9" s="852">
        <f t="shared" si="3"/>
        <v>-0.46951593345958392</v>
      </c>
      <c r="AF9" s="853">
        <f t="shared" si="4"/>
        <v>35</v>
      </c>
      <c r="AH9" s="1418" t="s">
        <v>675</v>
      </c>
      <c r="AI9" s="1506">
        <v>0</v>
      </c>
      <c r="AJ9" s="1506">
        <v>50358540</v>
      </c>
      <c r="AK9" s="1427">
        <f t="shared" si="5"/>
        <v>50358540</v>
      </c>
      <c r="AL9" s="1419">
        <f t="shared" si="6"/>
        <v>0</v>
      </c>
      <c r="AM9"/>
      <c r="AN9"/>
      <c r="AO9"/>
      <c r="AP9"/>
      <c r="AQ9"/>
    </row>
    <row r="10" spans="1:43" x14ac:dyDescent="0.3">
      <c r="A10" s="287" t="s">
        <v>804</v>
      </c>
      <c r="B10" s="851" t="s">
        <v>1977</v>
      </c>
      <c r="C10" s="717">
        <v>6318150</v>
      </c>
      <c r="D10" s="718">
        <v>195750</v>
      </c>
      <c r="E10" s="718">
        <v>825100</v>
      </c>
      <c r="F10" s="718">
        <v>1982500</v>
      </c>
      <c r="G10" s="718">
        <v>885900</v>
      </c>
      <c r="H10" s="718">
        <v>1129050</v>
      </c>
      <c r="I10" s="718">
        <v>1443200</v>
      </c>
      <c r="J10" s="718">
        <v>1561250</v>
      </c>
      <c r="K10" s="718">
        <v>1493600</v>
      </c>
      <c r="L10" s="718">
        <v>404100</v>
      </c>
      <c r="M10" s="718">
        <v>313150</v>
      </c>
      <c r="N10" s="718">
        <v>531350</v>
      </c>
      <c r="O10" s="718">
        <v>1017900</v>
      </c>
      <c r="P10" s="1497">
        <f t="shared" si="0"/>
        <v>14273250</v>
      </c>
      <c r="Q10" s="1405">
        <f t="shared" si="1"/>
        <v>16607400</v>
      </c>
      <c r="R10" s="717">
        <v>369800</v>
      </c>
      <c r="S10" s="718">
        <v>59850</v>
      </c>
      <c r="T10" s="718">
        <v>549350</v>
      </c>
      <c r="U10" s="718">
        <v>1299700</v>
      </c>
      <c r="V10" s="718">
        <v>915090</v>
      </c>
      <c r="W10" s="718">
        <v>1257400</v>
      </c>
      <c r="X10" s="718">
        <v>1267900</v>
      </c>
      <c r="Y10" s="718">
        <v>1082350</v>
      </c>
      <c r="Z10" s="718"/>
      <c r="AA10" s="718"/>
      <c r="AB10" s="718"/>
      <c r="AC10" s="718"/>
      <c r="AD10" s="1405">
        <f t="shared" si="2"/>
        <v>6801440</v>
      </c>
      <c r="AE10" s="852">
        <f t="shared" si="3"/>
        <v>-0.52348343930078989</v>
      </c>
      <c r="AF10" s="853">
        <f t="shared" si="4"/>
        <v>61</v>
      </c>
      <c r="AH10" s="1418" t="s">
        <v>1873</v>
      </c>
      <c r="AI10" s="1506">
        <v>3332750</v>
      </c>
      <c r="AJ10" s="1506">
        <v>43389500</v>
      </c>
      <c r="AK10" s="1427">
        <f t="shared" si="5"/>
        <v>40056750</v>
      </c>
      <c r="AL10" s="1419">
        <f t="shared" si="6"/>
        <v>12.019128347460805</v>
      </c>
      <c r="AM10"/>
      <c r="AN10"/>
      <c r="AO10"/>
      <c r="AP10"/>
      <c r="AQ10"/>
    </row>
    <row r="11" spans="1:43" x14ac:dyDescent="0.3">
      <c r="A11" s="287" t="s">
        <v>804</v>
      </c>
      <c r="B11" s="851" t="s">
        <v>720</v>
      </c>
      <c r="C11" s="717">
        <v>582150</v>
      </c>
      <c r="D11" s="718">
        <v>1897020</v>
      </c>
      <c r="E11" s="718">
        <v>2937950</v>
      </c>
      <c r="F11" s="718">
        <v>1089370</v>
      </c>
      <c r="G11" s="718">
        <v>3011390</v>
      </c>
      <c r="H11" s="718">
        <v>1501520</v>
      </c>
      <c r="I11" s="718">
        <v>5626100</v>
      </c>
      <c r="J11" s="718">
        <v>1767900</v>
      </c>
      <c r="K11" s="718">
        <v>1368150</v>
      </c>
      <c r="L11" s="718">
        <v>3435690</v>
      </c>
      <c r="M11" s="718">
        <v>1702000</v>
      </c>
      <c r="N11" s="718">
        <v>2695900</v>
      </c>
      <c r="O11" s="718">
        <v>4087800</v>
      </c>
      <c r="P11" s="1497">
        <f t="shared" si="0"/>
        <v>18013650</v>
      </c>
      <c r="Q11" s="1405">
        <f t="shared" si="1"/>
        <v>30334790</v>
      </c>
      <c r="R11" s="717">
        <v>1876470</v>
      </c>
      <c r="S11" s="718">
        <v>683700</v>
      </c>
      <c r="T11" s="718">
        <v>3089890</v>
      </c>
      <c r="U11" s="718">
        <v>1587650</v>
      </c>
      <c r="V11" s="718">
        <v>999060</v>
      </c>
      <c r="W11" s="718">
        <v>3932790</v>
      </c>
      <c r="X11" s="718">
        <v>4096250</v>
      </c>
      <c r="Y11" s="718">
        <v>2074400</v>
      </c>
      <c r="Z11" s="718"/>
      <c r="AA11" s="718"/>
      <c r="AB11" s="718"/>
      <c r="AC11" s="718"/>
      <c r="AD11" s="1405">
        <f t="shared" si="2"/>
        <v>18340210</v>
      </c>
      <c r="AE11" s="852">
        <f t="shared" si="3"/>
        <v>1.8128474795502298E-2</v>
      </c>
      <c r="AF11" s="853">
        <f t="shared" si="4"/>
        <v>20</v>
      </c>
      <c r="AH11" s="1418" t="s">
        <v>785</v>
      </c>
      <c r="AI11" s="1427">
        <v>22157500</v>
      </c>
      <c r="AJ11" s="1427">
        <v>42550250</v>
      </c>
      <c r="AK11" s="1427">
        <f t="shared" si="5"/>
        <v>20392750</v>
      </c>
      <c r="AL11" s="1419">
        <f t="shared" si="6"/>
        <v>0.92035428184587609</v>
      </c>
      <c r="AM11"/>
      <c r="AN11"/>
      <c r="AO11"/>
      <c r="AP11"/>
      <c r="AQ11"/>
    </row>
    <row r="12" spans="1:43" x14ac:dyDescent="0.3">
      <c r="A12" s="287" t="s">
        <v>804</v>
      </c>
      <c r="B12" s="851" t="s">
        <v>1066</v>
      </c>
      <c r="C12" s="717">
        <v>2095450</v>
      </c>
      <c r="D12" s="718">
        <v>842400</v>
      </c>
      <c r="E12" s="718">
        <v>2177600</v>
      </c>
      <c r="F12" s="718">
        <v>2419000</v>
      </c>
      <c r="G12" s="718">
        <v>1467300</v>
      </c>
      <c r="H12" s="718">
        <v>1159500</v>
      </c>
      <c r="I12" s="718">
        <v>2497600</v>
      </c>
      <c r="J12" s="718">
        <v>6047200</v>
      </c>
      <c r="K12" s="718">
        <v>5318500</v>
      </c>
      <c r="L12" s="718">
        <v>1830800</v>
      </c>
      <c r="M12" s="718">
        <v>4143300</v>
      </c>
      <c r="N12" s="718">
        <v>5799050</v>
      </c>
      <c r="O12" s="718">
        <v>5732800</v>
      </c>
      <c r="P12" s="1497">
        <f t="shared" si="0"/>
        <v>17977350</v>
      </c>
      <c r="Q12" s="1405">
        <f t="shared" si="1"/>
        <v>36212000</v>
      </c>
      <c r="R12" s="717">
        <v>2291400</v>
      </c>
      <c r="S12" s="718">
        <v>142100</v>
      </c>
      <c r="T12" s="718">
        <v>3250600</v>
      </c>
      <c r="U12" s="718">
        <v>4517400</v>
      </c>
      <c r="V12" s="718">
        <v>3115600</v>
      </c>
      <c r="W12" s="718">
        <v>2485000</v>
      </c>
      <c r="X12" s="718">
        <v>3626550</v>
      </c>
      <c r="Y12" s="718">
        <v>1391800</v>
      </c>
      <c r="Z12" s="718"/>
      <c r="AA12" s="718"/>
      <c r="AB12" s="718"/>
      <c r="AC12" s="718"/>
      <c r="AD12" s="1405">
        <f t="shared" si="2"/>
        <v>20820450</v>
      </c>
      <c r="AE12" s="852">
        <f t="shared" si="3"/>
        <v>0.1581490041635725</v>
      </c>
      <c r="AF12" s="853">
        <f t="shared" si="4"/>
        <v>15</v>
      </c>
      <c r="AH12" s="1418" t="s">
        <v>970</v>
      </c>
      <c r="AI12" s="1427">
        <v>26862000</v>
      </c>
      <c r="AJ12" s="1427">
        <v>35432770</v>
      </c>
      <c r="AK12" s="1427">
        <f t="shared" si="5"/>
        <v>8570770</v>
      </c>
      <c r="AL12" s="1419">
        <f t="shared" si="6"/>
        <v>0.31906671133943859</v>
      </c>
      <c r="AM12"/>
      <c r="AN12"/>
      <c r="AO12"/>
      <c r="AP12"/>
      <c r="AQ12"/>
    </row>
    <row r="13" spans="1:43" x14ac:dyDescent="0.3">
      <c r="A13" s="287" t="s">
        <v>804</v>
      </c>
      <c r="B13" s="851" t="s">
        <v>1978</v>
      </c>
      <c r="C13" s="717">
        <v>2738450</v>
      </c>
      <c r="D13" s="718">
        <v>198917700</v>
      </c>
      <c r="E13" s="718">
        <v>363020</v>
      </c>
      <c r="F13" s="718">
        <v>577600</v>
      </c>
      <c r="G13" s="718">
        <v>58450</v>
      </c>
      <c r="H13" s="718">
        <v>2404550</v>
      </c>
      <c r="I13" s="718">
        <v>1599920</v>
      </c>
      <c r="J13" s="718">
        <v>3186550</v>
      </c>
      <c r="K13" s="718">
        <v>2363950</v>
      </c>
      <c r="L13" s="718">
        <v>53300</v>
      </c>
      <c r="M13" s="718">
        <v>1132000</v>
      </c>
      <c r="N13" s="718">
        <v>2341600</v>
      </c>
      <c r="O13" s="718">
        <v>2633050</v>
      </c>
      <c r="P13" s="1497">
        <f t="shared" si="0"/>
        <v>209023640</v>
      </c>
      <c r="Q13" s="1405">
        <f t="shared" si="1"/>
        <v>216006190</v>
      </c>
      <c r="R13" s="717">
        <v>4582500</v>
      </c>
      <c r="S13" s="718">
        <v>1301200</v>
      </c>
      <c r="T13" s="718">
        <v>2253000</v>
      </c>
      <c r="U13" s="718">
        <v>1822000</v>
      </c>
      <c r="V13" s="718">
        <v>3339120</v>
      </c>
      <c r="W13" s="718">
        <v>1513350</v>
      </c>
      <c r="X13" s="718">
        <v>789950</v>
      </c>
      <c r="Y13" s="718">
        <v>1582050</v>
      </c>
      <c r="Z13" s="718"/>
      <c r="AA13" s="718"/>
      <c r="AB13" s="718"/>
      <c r="AC13" s="718"/>
      <c r="AD13" s="1405">
        <f t="shared" si="2"/>
        <v>17183170</v>
      </c>
      <c r="AE13" s="852">
        <f t="shared" si="3"/>
        <v>-0.91779317401610649</v>
      </c>
      <c r="AF13" s="853">
        <f t="shared" si="4"/>
        <v>21</v>
      </c>
      <c r="AH13" s="1418" t="s">
        <v>1404</v>
      </c>
      <c r="AI13" s="1427">
        <v>9480740</v>
      </c>
      <c r="AJ13" s="1427">
        <v>34373050</v>
      </c>
      <c r="AK13" s="1427">
        <f t="shared" si="5"/>
        <v>24892310</v>
      </c>
      <c r="AL13" s="1419">
        <f t="shared" si="6"/>
        <v>2.6255661477901513</v>
      </c>
      <c r="AM13"/>
      <c r="AN13"/>
      <c r="AO13"/>
      <c r="AP13"/>
      <c r="AQ13"/>
    </row>
    <row r="14" spans="1:43" x14ac:dyDescent="0.3">
      <c r="A14" s="287" t="s">
        <v>804</v>
      </c>
      <c r="B14" s="851" t="s">
        <v>1683</v>
      </c>
      <c r="C14" s="717">
        <v>1375740</v>
      </c>
      <c r="D14" s="718">
        <v>602450</v>
      </c>
      <c r="E14" s="718">
        <v>2935600</v>
      </c>
      <c r="F14" s="718">
        <v>1337250</v>
      </c>
      <c r="G14" s="718">
        <v>603750</v>
      </c>
      <c r="H14" s="718">
        <v>413050</v>
      </c>
      <c r="I14" s="718">
        <v>1141750</v>
      </c>
      <c r="J14" s="718">
        <v>2627720</v>
      </c>
      <c r="K14" s="718">
        <v>2627720</v>
      </c>
      <c r="L14" s="718">
        <v>2229970</v>
      </c>
      <c r="M14" s="718">
        <v>634050</v>
      </c>
      <c r="N14" s="718">
        <v>1146170</v>
      </c>
      <c r="O14" s="718">
        <v>1522850</v>
      </c>
      <c r="P14" s="1497">
        <f t="shared" si="0"/>
        <v>11037310</v>
      </c>
      <c r="Q14" s="1405">
        <f t="shared" si="1"/>
        <v>16570350</v>
      </c>
      <c r="R14" s="717">
        <v>2005350</v>
      </c>
      <c r="S14" s="718">
        <v>598200</v>
      </c>
      <c r="T14" s="718">
        <v>4445250</v>
      </c>
      <c r="U14" s="718">
        <v>1856850</v>
      </c>
      <c r="V14" s="718">
        <v>644090</v>
      </c>
      <c r="W14" s="718">
        <v>3195860</v>
      </c>
      <c r="X14" s="718">
        <v>2759950</v>
      </c>
      <c r="Y14" s="718">
        <v>3207300</v>
      </c>
      <c r="Z14" s="718"/>
      <c r="AA14" s="718"/>
      <c r="AB14" s="718"/>
      <c r="AC14" s="718"/>
      <c r="AD14" s="1405">
        <f t="shared" si="2"/>
        <v>18712850</v>
      </c>
      <c r="AE14" s="852">
        <f t="shared" si="3"/>
        <v>0.69541763346322605</v>
      </c>
      <c r="AF14" s="853">
        <f t="shared" si="4"/>
        <v>18</v>
      </c>
      <c r="AH14" s="1418" t="s">
        <v>974</v>
      </c>
      <c r="AI14" s="1427">
        <v>28752350</v>
      </c>
      <c r="AJ14" s="1427">
        <v>29598250</v>
      </c>
      <c r="AK14" s="1427">
        <f t="shared" si="5"/>
        <v>845900</v>
      </c>
      <c r="AL14" s="1419">
        <f t="shared" si="6"/>
        <v>2.9420203913767047E-2</v>
      </c>
      <c r="AM14"/>
      <c r="AN14"/>
      <c r="AO14"/>
      <c r="AP14"/>
      <c r="AQ14"/>
    </row>
    <row r="15" spans="1:43" x14ac:dyDescent="0.3">
      <c r="A15" s="287" t="s">
        <v>804</v>
      </c>
      <c r="B15" s="851" t="s">
        <v>1069</v>
      </c>
      <c r="C15" s="717">
        <v>978100</v>
      </c>
      <c r="D15" s="718">
        <v>723200</v>
      </c>
      <c r="E15" s="718">
        <v>1368500</v>
      </c>
      <c r="F15" s="718">
        <v>1005400</v>
      </c>
      <c r="G15" s="718">
        <v>2505850</v>
      </c>
      <c r="H15" s="718">
        <v>1910200</v>
      </c>
      <c r="I15" s="718">
        <v>3594700</v>
      </c>
      <c r="J15" s="718">
        <v>4824700</v>
      </c>
      <c r="K15" s="718">
        <v>4802700</v>
      </c>
      <c r="L15" s="718">
        <v>2737800</v>
      </c>
      <c r="M15" s="718">
        <v>318650</v>
      </c>
      <c r="N15" s="718">
        <v>1911300</v>
      </c>
      <c r="O15" s="718">
        <v>2370200</v>
      </c>
      <c r="P15" s="1497">
        <f t="shared" si="0"/>
        <v>16888650</v>
      </c>
      <c r="Q15" s="1405">
        <f t="shared" si="1"/>
        <v>24248600</v>
      </c>
      <c r="R15" s="717">
        <v>1418200</v>
      </c>
      <c r="S15" s="718"/>
      <c r="T15" s="718">
        <v>972050</v>
      </c>
      <c r="U15" s="718">
        <v>1343500</v>
      </c>
      <c r="V15" s="718">
        <v>1360750</v>
      </c>
      <c r="W15" s="718">
        <v>116000</v>
      </c>
      <c r="X15" s="718">
        <v>1798500</v>
      </c>
      <c r="Y15" s="718">
        <v>2164000</v>
      </c>
      <c r="Z15" s="718"/>
      <c r="AA15" s="718"/>
      <c r="AB15" s="718"/>
      <c r="AC15" s="718"/>
      <c r="AD15" s="1405">
        <f t="shared" si="2"/>
        <v>9173000</v>
      </c>
      <c r="AE15" s="852">
        <f t="shared" si="3"/>
        <v>-0.45685415945028168</v>
      </c>
      <c r="AF15" s="853">
        <f t="shared" si="4"/>
        <v>37</v>
      </c>
      <c r="AH15" s="1418" t="s">
        <v>2542</v>
      </c>
      <c r="AI15" s="1427">
        <v>154000</v>
      </c>
      <c r="AJ15" s="1427">
        <v>25589900</v>
      </c>
      <c r="AK15" s="1427">
        <f t="shared" si="5"/>
        <v>25435900</v>
      </c>
      <c r="AL15" s="1419">
        <f t="shared" si="6"/>
        <v>165.16818181818181</v>
      </c>
      <c r="AM15"/>
      <c r="AN15"/>
      <c r="AO15"/>
      <c r="AP15"/>
      <c r="AQ15"/>
    </row>
    <row r="16" spans="1:43" x14ac:dyDescent="0.3">
      <c r="A16" s="287" t="s">
        <v>804</v>
      </c>
      <c r="B16" s="851" t="s">
        <v>1070</v>
      </c>
      <c r="C16" s="717">
        <v>107750</v>
      </c>
      <c r="D16" s="718">
        <v>665000</v>
      </c>
      <c r="E16" s="718">
        <v>3812000</v>
      </c>
      <c r="F16" s="718">
        <v>1107750</v>
      </c>
      <c r="G16" s="718">
        <v>724770</v>
      </c>
      <c r="H16" s="718">
        <v>1042870</v>
      </c>
      <c r="I16" s="718">
        <v>978200</v>
      </c>
      <c r="J16" s="718">
        <v>2168250</v>
      </c>
      <c r="K16" s="718">
        <v>2160800</v>
      </c>
      <c r="L16" s="718">
        <v>129050</v>
      </c>
      <c r="M16" s="718">
        <v>1570520</v>
      </c>
      <c r="N16" s="718">
        <v>3516750</v>
      </c>
      <c r="O16" s="718" t="s">
        <v>251</v>
      </c>
      <c r="P16" s="1497">
        <f t="shared" si="0"/>
        <v>10599140</v>
      </c>
      <c r="Q16" s="1405">
        <f t="shared" si="1"/>
        <v>15822910</v>
      </c>
      <c r="R16" s="717">
        <v>28000</v>
      </c>
      <c r="S16" s="718">
        <v>2704750</v>
      </c>
      <c r="T16" s="718">
        <v>971900</v>
      </c>
      <c r="U16" s="718">
        <v>4146750</v>
      </c>
      <c r="V16" s="718">
        <v>3312570</v>
      </c>
      <c r="W16" s="718">
        <v>253250</v>
      </c>
      <c r="X16" s="718">
        <v>4069520</v>
      </c>
      <c r="Y16" s="718">
        <v>4589150</v>
      </c>
      <c r="Z16" s="718"/>
      <c r="AA16" s="718"/>
      <c r="AB16" s="718"/>
      <c r="AC16" s="718"/>
      <c r="AD16" s="1405">
        <f t="shared" si="2"/>
        <v>20075890</v>
      </c>
      <c r="AE16" s="852">
        <f t="shared" si="3"/>
        <v>0.89410555950765813</v>
      </c>
      <c r="AF16" s="853">
        <f t="shared" si="4"/>
        <v>17</v>
      </c>
      <c r="AH16" s="1418" t="s">
        <v>1327</v>
      </c>
      <c r="AI16" s="1427">
        <v>25081950</v>
      </c>
      <c r="AJ16" s="1427">
        <v>25208950</v>
      </c>
      <c r="AK16" s="1427">
        <f t="shared" si="5"/>
        <v>127000</v>
      </c>
      <c r="AL16" s="1419">
        <f t="shared" si="6"/>
        <v>5.0634021676942984E-3</v>
      </c>
      <c r="AM16"/>
      <c r="AN16"/>
      <c r="AO16"/>
      <c r="AP16"/>
      <c r="AQ16"/>
    </row>
    <row r="17" spans="1:43" x14ac:dyDescent="0.3">
      <c r="A17" s="287" t="s">
        <v>804</v>
      </c>
      <c r="B17" s="851" t="s">
        <v>1071</v>
      </c>
      <c r="C17" s="717">
        <v>1265150</v>
      </c>
      <c r="D17" s="718">
        <v>1011150</v>
      </c>
      <c r="E17" s="718">
        <v>1710300</v>
      </c>
      <c r="F17" s="718">
        <v>1298800</v>
      </c>
      <c r="G17" s="718">
        <v>643150</v>
      </c>
      <c r="H17" s="718">
        <v>306720</v>
      </c>
      <c r="I17" s="718">
        <v>1014250</v>
      </c>
      <c r="J17" s="718">
        <v>954350</v>
      </c>
      <c r="K17" s="718">
        <v>715450</v>
      </c>
      <c r="L17" s="718">
        <v>3527250</v>
      </c>
      <c r="M17" s="718">
        <v>2654750</v>
      </c>
      <c r="N17" s="718">
        <v>1272500</v>
      </c>
      <c r="O17" s="718">
        <v>403450</v>
      </c>
      <c r="P17" s="1497">
        <f t="shared" si="0"/>
        <v>7964970</v>
      </c>
      <c r="Q17" s="1405">
        <f t="shared" si="1"/>
        <v>16061820</v>
      </c>
      <c r="R17" s="717">
        <v>3476150</v>
      </c>
      <c r="S17" s="718">
        <v>549670</v>
      </c>
      <c r="T17" s="718">
        <v>2342820</v>
      </c>
      <c r="U17" s="718">
        <v>2321110</v>
      </c>
      <c r="V17" s="718">
        <v>1756500</v>
      </c>
      <c r="W17" s="718">
        <v>842400</v>
      </c>
      <c r="X17" s="718">
        <v>2122030</v>
      </c>
      <c r="Y17" s="718">
        <v>2712780</v>
      </c>
      <c r="Z17" s="718"/>
      <c r="AA17" s="718"/>
      <c r="AB17" s="718"/>
      <c r="AC17" s="718"/>
      <c r="AD17" s="1405">
        <f t="shared" si="2"/>
        <v>16123460</v>
      </c>
      <c r="AE17" s="852">
        <f t="shared" si="3"/>
        <v>1.0242963878081148</v>
      </c>
      <c r="AF17" s="853">
        <f t="shared" si="4"/>
        <v>23</v>
      </c>
      <c r="AH17" s="1418" t="s">
        <v>1375</v>
      </c>
      <c r="AI17" s="1506">
        <v>6961100</v>
      </c>
      <c r="AJ17" s="1506">
        <v>23657000</v>
      </c>
      <c r="AK17" s="1427">
        <f t="shared" si="5"/>
        <v>16695900</v>
      </c>
      <c r="AL17" s="1419">
        <f t="shared" si="6"/>
        <v>2.3984571403944779</v>
      </c>
      <c r="AM17"/>
      <c r="AN17"/>
      <c r="AO17"/>
      <c r="AP17"/>
      <c r="AQ17"/>
    </row>
    <row r="18" spans="1:43" x14ac:dyDescent="0.3">
      <c r="A18" s="287" t="s">
        <v>804</v>
      </c>
      <c r="B18" s="851" t="s">
        <v>1072</v>
      </c>
      <c r="C18" s="717">
        <v>1041700</v>
      </c>
      <c r="D18" s="718">
        <v>152250</v>
      </c>
      <c r="E18" s="718">
        <v>1684750</v>
      </c>
      <c r="F18" s="718">
        <v>1603420</v>
      </c>
      <c r="G18" s="718">
        <v>1407500</v>
      </c>
      <c r="H18" s="718">
        <v>3375040</v>
      </c>
      <c r="I18" s="718">
        <v>4685810</v>
      </c>
      <c r="J18" s="718">
        <v>970170</v>
      </c>
      <c r="K18" s="718">
        <v>731750</v>
      </c>
      <c r="L18" s="718">
        <v>8150930</v>
      </c>
      <c r="M18" s="718">
        <v>5246090</v>
      </c>
      <c r="N18" s="718">
        <v>2405160</v>
      </c>
      <c r="O18" s="718">
        <v>8320900</v>
      </c>
      <c r="P18" s="1497">
        <f t="shared" si="0"/>
        <v>14682220</v>
      </c>
      <c r="Q18" s="1405">
        <f t="shared" si="1"/>
        <v>39043720</v>
      </c>
      <c r="R18" s="717">
        <v>3949840</v>
      </c>
      <c r="S18" s="718">
        <v>278900</v>
      </c>
      <c r="T18" s="718">
        <v>8629150</v>
      </c>
      <c r="U18" s="718">
        <v>9831400</v>
      </c>
      <c r="V18" s="718">
        <v>6544610</v>
      </c>
      <c r="W18" s="718">
        <v>11874320</v>
      </c>
      <c r="X18" s="718">
        <v>4960340</v>
      </c>
      <c r="Y18" s="718">
        <v>14924070</v>
      </c>
      <c r="Z18" s="718"/>
      <c r="AA18" s="718"/>
      <c r="AB18" s="718"/>
      <c r="AC18" s="718"/>
      <c r="AD18" s="1405">
        <f t="shared" si="2"/>
        <v>60992630</v>
      </c>
      <c r="AE18" s="852">
        <f t="shared" si="3"/>
        <v>3.1541830867539105</v>
      </c>
      <c r="AF18" s="853">
        <f t="shared" si="4"/>
        <v>1</v>
      </c>
      <c r="AH18" s="1418" t="s">
        <v>1314</v>
      </c>
      <c r="AI18" s="1427">
        <v>27968700</v>
      </c>
      <c r="AJ18" s="1427">
        <v>22375900</v>
      </c>
      <c r="AK18" s="1427">
        <f t="shared" si="5"/>
        <v>-5592800</v>
      </c>
      <c r="AL18" s="1419">
        <f t="shared" si="6"/>
        <v>-0.1999663910013694</v>
      </c>
      <c r="AM18"/>
      <c r="AN18"/>
      <c r="AO18"/>
      <c r="AP18"/>
      <c r="AQ18"/>
    </row>
    <row r="19" spans="1:43" x14ac:dyDescent="0.3">
      <c r="A19" s="287" t="s">
        <v>804</v>
      </c>
      <c r="B19" s="851" t="s">
        <v>1073</v>
      </c>
      <c r="C19" s="717">
        <v>0</v>
      </c>
      <c r="D19" s="718">
        <v>0</v>
      </c>
      <c r="E19" s="718">
        <v>0</v>
      </c>
      <c r="F19" s="718">
        <v>2516000</v>
      </c>
      <c r="G19" s="718">
        <v>2782450</v>
      </c>
      <c r="H19" s="718">
        <v>192450</v>
      </c>
      <c r="I19" s="718">
        <v>0</v>
      </c>
      <c r="J19" s="718">
        <v>199450</v>
      </c>
      <c r="K19" s="718">
        <v>199450</v>
      </c>
      <c r="L19" s="718">
        <v>0</v>
      </c>
      <c r="M19" s="718">
        <v>0</v>
      </c>
      <c r="N19" s="718">
        <v>953650</v>
      </c>
      <c r="O19" s="718">
        <v>195600</v>
      </c>
      <c r="P19" s="1497">
        <f t="shared" si="0"/>
        <v>5690350</v>
      </c>
      <c r="Q19" s="1405">
        <f t="shared" si="1"/>
        <v>6839600</v>
      </c>
      <c r="R19" s="717"/>
      <c r="S19" s="718"/>
      <c r="T19" s="718"/>
      <c r="U19" s="718">
        <v>665490</v>
      </c>
      <c r="V19" s="718">
        <v>783550</v>
      </c>
      <c r="W19" s="718">
        <v>0</v>
      </c>
      <c r="X19" s="718">
        <v>376400</v>
      </c>
      <c r="Y19" s="718">
        <v>0</v>
      </c>
      <c r="Z19" s="718"/>
      <c r="AA19" s="718"/>
      <c r="AB19" s="718"/>
      <c r="AC19" s="718"/>
      <c r="AD19" s="1405">
        <f t="shared" si="2"/>
        <v>1825440</v>
      </c>
      <c r="AE19" s="852">
        <f t="shared" si="3"/>
        <v>-0.67920426687286373</v>
      </c>
      <c r="AF19" s="853">
        <f t="shared" si="4"/>
        <v>225</v>
      </c>
      <c r="AH19" s="1418" t="s">
        <v>1958</v>
      </c>
      <c r="AI19" s="1427">
        <v>0</v>
      </c>
      <c r="AJ19" s="1427">
        <v>21305250</v>
      </c>
      <c r="AK19" s="1427">
        <f t="shared" si="5"/>
        <v>21305250</v>
      </c>
      <c r="AL19" s="1419">
        <f t="shared" si="6"/>
        <v>0</v>
      </c>
      <c r="AM19"/>
      <c r="AN19"/>
      <c r="AO19"/>
      <c r="AP19"/>
      <c r="AQ19"/>
    </row>
    <row r="20" spans="1:43" x14ac:dyDescent="0.3">
      <c r="A20" s="287" t="s">
        <v>804</v>
      </c>
      <c r="B20" s="851" t="s">
        <v>701</v>
      </c>
      <c r="C20" s="717">
        <v>1544150</v>
      </c>
      <c r="D20" s="718">
        <v>0</v>
      </c>
      <c r="E20" s="718">
        <v>1035710</v>
      </c>
      <c r="F20" s="718">
        <v>2126870</v>
      </c>
      <c r="G20" s="718">
        <v>243200</v>
      </c>
      <c r="H20" s="718">
        <v>307850</v>
      </c>
      <c r="I20" s="718">
        <v>305850</v>
      </c>
      <c r="J20" s="718">
        <v>3254330</v>
      </c>
      <c r="K20" s="718">
        <v>3254330</v>
      </c>
      <c r="L20" s="718">
        <v>468200</v>
      </c>
      <c r="M20" s="718">
        <v>1207610</v>
      </c>
      <c r="N20" s="718">
        <v>509310</v>
      </c>
      <c r="O20" s="718">
        <v>615170</v>
      </c>
      <c r="P20" s="1497">
        <f t="shared" si="0"/>
        <v>8817960</v>
      </c>
      <c r="Q20" s="1405">
        <f t="shared" si="1"/>
        <v>11618250</v>
      </c>
      <c r="R20" s="717">
        <v>2746180</v>
      </c>
      <c r="S20" s="718">
        <v>313000</v>
      </c>
      <c r="T20" s="718">
        <v>1738360</v>
      </c>
      <c r="U20" s="718">
        <v>284660</v>
      </c>
      <c r="V20" s="718">
        <v>593580</v>
      </c>
      <c r="W20" s="718">
        <v>691060</v>
      </c>
      <c r="X20" s="718">
        <v>1555490</v>
      </c>
      <c r="Y20" s="718">
        <v>771200</v>
      </c>
      <c r="Z20" s="718"/>
      <c r="AA20" s="718"/>
      <c r="AB20" s="718"/>
      <c r="AC20" s="718"/>
      <c r="AD20" s="1405">
        <f t="shared" si="2"/>
        <v>8693530</v>
      </c>
      <c r="AE20" s="852">
        <f t="shared" si="3"/>
        <v>-1.4110973513148165E-2</v>
      </c>
      <c r="AF20" s="853">
        <f t="shared" si="4"/>
        <v>42</v>
      </c>
      <c r="AH20" s="1418" t="s">
        <v>688</v>
      </c>
      <c r="AI20" s="1427">
        <v>28991690</v>
      </c>
      <c r="AJ20" s="1427">
        <v>19225820</v>
      </c>
      <c r="AK20" s="1427">
        <f t="shared" si="5"/>
        <v>-9765870</v>
      </c>
      <c r="AL20" s="1419">
        <f t="shared" si="6"/>
        <v>-0.33685066306931399</v>
      </c>
      <c r="AM20"/>
      <c r="AN20"/>
      <c r="AO20"/>
      <c r="AP20"/>
      <c r="AQ20"/>
    </row>
    <row r="21" spans="1:43" x14ac:dyDescent="0.3">
      <c r="A21" s="287" t="s">
        <v>804</v>
      </c>
      <c r="B21" s="851" t="s">
        <v>803</v>
      </c>
      <c r="C21" s="717">
        <v>484850</v>
      </c>
      <c r="D21" s="718">
        <v>491100</v>
      </c>
      <c r="E21" s="718">
        <v>1998400</v>
      </c>
      <c r="F21" s="718">
        <v>495100</v>
      </c>
      <c r="G21" s="718">
        <v>1292400</v>
      </c>
      <c r="H21" s="718">
        <v>443450</v>
      </c>
      <c r="I21" s="718">
        <v>631600</v>
      </c>
      <c r="J21" s="718">
        <v>337350</v>
      </c>
      <c r="K21" s="718">
        <v>337350</v>
      </c>
      <c r="L21" s="718">
        <v>1568800</v>
      </c>
      <c r="M21" s="718">
        <v>1956450</v>
      </c>
      <c r="N21" s="718">
        <v>3216850</v>
      </c>
      <c r="O21" s="718">
        <v>2062150</v>
      </c>
      <c r="P21" s="1497">
        <f t="shared" si="0"/>
        <v>6174250</v>
      </c>
      <c r="Q21" s="1405">
        <f t="shared" si="1"/>
        <v>14978500</v>
      </c>
      <c r="R21" s="717">
        <v>1253200</v>
      </c>
      <c r="S21" s="718">
        <v>150700</v>
      </c>
      <c r="T21" s="718">
        <v>265750</v>
      </c>
      <c r="U21" s="718">
        <v>1900500</v>
      </c>
      <c r="V21" s="718">
        <v>2170400</v>
      </c>
      <c r="W21" s="718">
        <v>341800</v>
      </c>
      <c r="X21" s="718">
        <v>2687950</v>
      </c>
      <c r="Y21" s="718">
        <v>430900</v>
      </c>
      <c r="Z21" s="718"/>
      <c r="AA21" s="718"/>
      <c r="AB21" s="718"/>
      <c r="AC21" s="718"/>
      <c r="AD21" s="1405">
        <f t="shared" si="2"/>
        <v>9201200</v>
      </c>
      <c r="AE21" s="852">
        <f t="shared" si="3"/>
        <v>0.490253876989108</v>
      </c>
      <c r="AF21" s="853">
        <f t="shared" si="4"/>
        <v>36</v>
      </c>
      <c r="AH21" s="1418" t="s">
        <v>931</v>
      </c>
      <c r="AI21" s="1506">
        <v>48164150</v>
      </c>
      <c r="AJ21" s="1506">
        <v>17185450</v>
      </c>
      <c r="AK21" s="1427">
        <f t="shared" si="5"/>
        <v>-30978700</v>
      </c>
      <c r="AL21" s="1419">
        <f t="shared" si="6"/>
        <v>-0.64319000750558242</v>
      </c>
      <c r="AM21"/>
      <c r="AN21"/>
      <c r="AO21"/>
      <c r="AP21"/>
      <c r="AQ21"/>
    </row>
    <row r="22" spans="1:43" x14ac:dyDescent="0.3">
      <c r="A22" s="287" t="s">
        <v>804</v>
      </c>
      <c r="B22" s="851" t="s">
        <v>1074</v>
      </c>
      <c r="C22" s="717">
        <v>0</v>
      </c>
      <c r="D22" s="718">
        <v>0</v>
      </c>
      <c r="E22" s="718">
        <v>2750550</v>
      </c>
      <c r="F22" s="718">
        <v>1578600</v>
      </c>
      <c r="G22" s="718">
        <v>336200</v>
      </c>
      <c r="H22" s="718">
        <v>2228500</v>
      </c>
      <c r="I22" s="718">
        <v>0</v>
      </c>
      <c r="J22" s="718">
        <v>731400</v>
      </c>
      <c r="K22" s="718">
        <v>0</v>
      </c>
      <c r="L22" s="718">
        <v>2849300</v>
      </c>
      <c r="M22" s="718">
        <v>1455300</v>
      </c>
      <c r="N22" s="718">
        <v>910950</v>
      </c>
      <c r="O22" s="718">
        <v>3439100</v>
      </c>
      <c r="P22" s="1497">
        <f t="shared" si="0"/>
        <v>6893850</v>
      </c>
      <c r="Q22" s="1405">
        <f t="shared" si="1"/>
        <v>16279900</v>
      </c>
      <c r="R22" s="717">
        <v>1172500</v>
      </c>
      <c r="S22" s="718">
        <v>6400</v>
      </c>
      <c r="T22" s="718">
        <v>1740300</v>
      </c>
      <c r="U22" s="718">
        <v>1559900</v>
      </c>
      <c r="V22" s="718">
        <v>0</v>
      </c>
      <c r="W22" s="718">
        <v>0</v>
      </c>
      <c r="X22" s="718">
        <v>0</v>
      </c>
      <c r="Y22" s="718">
        <v>0</v>
      </c>
      <c r="Z22" s="718"/>
      <c r="AA22" s="718"/>
      <c r="AB22" s="718"/>
      <c r="AC22" s="718"/>
      <c r="AD22" s="1405">
        <f t="shared" si="2"/>
        <v>4479100</v>
      </c>
      <c r="AE22" s="852">
        <f t="shared" si="3"/>
        <v>-0.35027597061148708</v>
      </c>
      <c r="AF22" s="853">
        <f t="shared" si="4"/>
        <v>99</v>
      </c>
      <c r="AH22" s="1418" t="s">
        <v>727</v>
      </c>
      <c r="AI22" s="1506">
        <v>13682600</v>
      </c>
      <c r="AJ22" s="1506">
        <v>16965200</v>
      </c>
      <c r="AK22" s="1427">
        <f t="shared" si="5"/>
        <v>3282600</v>
      </c>
      <c r="AL22" s="1419">
        <f t="shared" si="6"/>
        <v>0.23991054331779049</v>
      </c>
      <c r="AM22"/>
      <c r="AN22"/>
      <c r="AO22"/>
      <c r="AP22"/>
      <c r="AQ22"/>
    </row>
    <row r="23" spans="1:43" x14ac:dyDescent="0.3">
      <c r="A23" s="287" t="s">
        <v>804</v>
      </c>
      <c r="B23" s="851" t="s">
        <v>1075</v>
      </c>
      <c r="C23" s="717">
        <v>306350</v>
      </c>
      <c r="D23" s="718">
        <v>571520</v>
      </c>
      <c r="E23" s="718">
        <v>697600</v>
      </c>
      <c r="F23" s="718">
        <v>1710250</v>
      </c>
      <c r="G23" s="718">
        <v>917300</v>
      </c>
      <c r="H23" s="718">
        <v>489850</v>
      </c>
      <c r="I23" s="718">
        <v>930500</v>
      </c>
      <c r="J23" s="718">
        <v>1205050</v>
      </c>
      <c r="K23" s="718">
        <v>1205050</v>
      </c>
      <c r="L23" s="718">
        <v>1928830</v>
      </c>
      <c r="M23" s="718">
        <v>744970</v>
      </c>
      <c r="N23" s="718">
        <v>1568950</v>
      </c>
      <c r="O23" s="718">
        <v>3553420</v>
      </c>
      <c r="P23" s="1497">
        <f t="shared" si="0"/>
        <v>6828420</v>
      </c>
      <c r="Q23" s="1405">
        <f t="shared" si="1"/>
        <v>14624590</v>
      </c>
      <c r="R23" s="717">
        <v>814820</v>
      </c>
      <c r="S23" s="718">
        <v>545140</v>
      </c>
      <c r="T23" s="718">
        <v>2184260</v>
      </c>
      <c r="U23" s="718">
        <v>9542900</v>
      </c>
      <c r="V23" s="718">
        <v>3313880</v>
      </c>
      <c r="W23" s="718">
        <v>2073050</v>
      </c>
      <c r="X23" s="718">
        <v>4059170</v>
      </c>
      <c r="Y23" s="718">
        <v>1738450</v>
      </c>
      <c r="Z23" s="718"/>
      <c r="AA23" s="718"/>
      <c r="AB23" s="718"/>
      <c r="AC23" s="718"/>
      <c r="AD23" s="1405">
        <f t="shared" si="2"/>
        <v>24271670</v>
      </c>
      <c r="AE23" s="852">
        <f t="shared" si="3"/>
        <v>2.5545074848940166</v>
      </c>
      <c r="AF23" s="853">
        <f t="shared" si="4"/>
        <v>12</v>
      </c>
      <c r="AH23" s="1418" t="s">
        <v>1347</v>
      </c>
      <c r="AI23" s="1506">
        <v>11464200</v>
      </c>
      <c r="AJ23" s="1506">
        <v>15509280</v>
      </c>
      <c r="AK23" s="1427">
        <f t="shared" si="5"/>
        <v>4045080</v>
      </c>
      <c r="AL23" s="1419">
        <f t="shared" si="6"/>
        <v>0.35284450724865235</v>
      </c>
      <c r="AM23"/>
      <c r="AN23"/>
      <c r="AO23"/>
      <c r="AP23"/>
      <c r="AQ23"/>
    </row>
    <row r="24" spans="1:43" x14ac:dyDescent="0.3">
      <c r="A24" s="287" t="s">
        <v>804</v>
      </c>
      <c r="B24" s="851" t="s">
        <v>667</v>
      </c>
      <c r="C24" s="717">
        <v>1142350</v>
      </c>
      <c r="D24" s="718">
        <v>229600</v>
      </c>
      <c r="E24" s="718">
        <v>1104840</v>
      </c>
      <c r="F24" s="718">
        <v>1654100</v>
      </c>
      <c r="G24" s="718">
        <v>0</v>
      </c>
      <c r="H24" s="718">
        <v>146950</v>
      </c>
      <c r="I24" s="718">
        <v>252900</v>
      </c>
      <c r="J24" s="718">
        <v>0</v>
      </c>
      <c r="K24" s="718">
        <v>0</v>
      </c>
      <c r="L24" s="718">
        <v>782600</v>
      </c>
      <c r="M24" s="718">
        <v>285150</v>
      </c>
      <c r="N24" s="718">
        <v>458700</v>
      </c>
      <c r="O24" s="718">
        <v>367150</v>
      </c>
      <c r="P24" s="1497">
        <f t="shared" si="0"/>
        <v>4530740</v>
      </c>
      <c r="Q24" s="1405">
        <f t="shared" si="1"/>
        <v>6424340</v>
      </c>
      <c r="R24" s="717">
        <v>1538100</v>
      </c>
      <c r="S24" s="718">
        <v>10250</v>
      </c>
      <c r="T24" s="718">
        <v>635950</v>
      </c>
      <c r="U24" s="718">
        <v>615550</v>
      </c>
      <c r="V24" s="718">
        <v>501600</v>
      </c>
      <c r="W24" s="718">
        <v>185350</v>
      </c>
      <c r="X24" s="718">
        <v>56450</v>
      </c>
      <c r="Y24" s="718">
        <v>319990</v>
      </c>
      <c r="Z24" s="718"/>
      <c r="AA24" s="718"/>
      <c r="AB24" s="718"/>
      <c r="AC24" s="718"/>
      <c r="AD24" s="1405">
        <f t="shared" si="2"/>
        <v>3863240</v>
      </c>
      <c r="AE24" s="852">
        <f t="shared" si="3"/>
        <v>-0.1473269267272013</v>
      </c>
      <c r="AF24" s="853">
        <f t="shared" si="4"/>
        <v>120</v>
      </c>
      <c r="AH24" s="1418" t="s">
        <v>1344</v>
      </c>
      <c r="AI24" s="1427">
        <v>28871450</v>
      </c>
      <c r="AJ24" s="1427">
        <v>12472850</v>
      </c>
      <c r="AK24" s="1427">
        <f t="shared" si="5"/>
        <v>-16398600</v>
      </c>
      <c r="AL24" s="1419">
        <f t="shared" si="6"/>
        <v>-0.56798671351802554</v>
      </c>
      <c r="AM24"/>
      <c r="AN24"/>
      <c r="AO24"/>
      <c r="AP24"/>
      <c r="AQ24"/>
    </row>
    <row r="25" spans="1:43" x14ac:dyDescent="0.3">
      <c r="A25" s="287" t="s">
        <v>804</v>
      </c>
      <c r="B25" s="851" t="s">
        <v>1076</v>
      </c>
      <c r="C25" s="717">
        <v>77300</v>
      </c>
      <c r="D25" s="718">
        <v>233950</v>
      </c>
      <c r="E25" s="718">
        <v>1330910</v>
      </c>
      <c r="F25" s="718">
        <v>1165420</v>
      </c>
      <c r="G25" s="718">
        <v>1189450</v>
      </c>
      <c r="H25" s="718">
        <v>340550</v>
      </c>
      <c r="I25" s="718">
        <v>1959300</v>
      </c>
      <c r="J25" s="718">
        <v>497300</v>
      </c>
      <c r="K25" s="718">
        <v>497300</v>
      </c>
      <c r="L25" s="718">
        <v>1285370</v>
      </c>
      <c r="M25" s="718">
        <v>414000</v>
      </c>
      <c r="N25" s="718">
        <v>681250</v>
      </c>
      <c r="O25" s="718">
        <v>496600</v>
      </c>
      <c r="P25" s="1497">
        <f t="shared" si="0"/>
        <v>6794180</v>
      </c>
      <c r="Q25" s="1405">
        <f t="shared" si="1"/>
        <v>9671400</v>
      </c>
      <c r="R25" s="717">
        <v>469050</v>
      </c>
      <c r="S25" s="718"/>
      <c r="T25" s="718">
        <v>257100</v>
      </c>
      <c r="U25" s="718">
        <v>403970</v>
      </c>
      <c r="V25" s="718">
        <v>241500</v>
      </c>
      <c r="W25" s="718">
        <v>1199350</v>
      </c>
      <c r="X25" s="718">
        <v>132300</v>
      </c>
      <c r="Y25" s="718">
        <v>2046200</v>
      </c>
      <c r="Z25" s="718"/>
      <c r="AA25" s="718"/>
      <c r="AB25" s="718"/>
      <c r="AC25" s="718"/>
      <c r="AD25" s="1405">
        <f t="shared" si="2"/>
        <v>4749470</v>
      </c>
      <c r="AE25" s="852">
        <f t="shared" si="3"/>
        <v>-0.30095022504555369</v>
      </c>
      <c r="AF25" s="853">
        <f t="shared" si="4"/>
        <v>94</v>
      </c>
      <c r="AH25" s="1418" t="s">
        <v>1360</v>
      </c>
      <c r="AI25" s="1427">
        <v>6645980</v>
      </c>
      <c r="AJ25" s="1427">
        <v>12189750</v>
      </c>
      <c r="AK25" s="1427">
        <f t="shared" si="5"/>
        <v>5543770</v>
      </c>
      <c r="AL25" s="1419">
        <f t="shared" si="6"/>
        <v>0.83415387948805142</v>
      </c>
      <c r="AM25"/>
      <c r="AN25"/>
      <c r="AO25"/>
      <c r="AP25"/>
      <c r="AQ25"/>
    </row>
    <row r="26" spans="1:43" x14ac:dyDescent="0.3">
      <c r="A26" s="287" t="s">
        <v>804</v>
      </c>
      <c r="B26" s="851" t="s">
        <v>1077</v>
      </c>
      <c r="C26" s="717">
        <v>559150</v>
      </c>
      <c r="D26" s="718">
        <v>0</v>
      </c>
      <c r="E26" s="718">
        <v>1146500</v>
      </c>
      <c r="F26" s="718">
        <v>241400</v>
      </c>
      <c r="G26" s="718">
        <v>1989650</v>
      </c>
      <c r="H26" s="718">
        <v>3382150</v>
      </c>
      <c r="I26" s="718">
        <v>1608400</v>
      </c>
      <c r="J26" s="718">
        <v>294450</v>
      </c>
      <c r="K26" s="718">
        <v>0</v>
      </c>
      <c r="L26" s="718">
        <v>2389200</v>
      </c>
      <c r="M26" s="718">
        <v>0</v>
      </c>
      <c r="N26" s="718">
        <v>1875500</v>
      </c>
      <c r="O26" s="718">
        <v>728700</v>
      </c>
      <c r="P26" s="1497">
        <f t="shared" si="0"/>
        <v>8927250</v>
      </c>
      <c r="Q26" s="1405">
        <f t="shared" si="1"/>
        <v>14215100</v>
      </c>
      <c r="R26" s="717"/>
      <c r="S26" s="718">
        <v>358400</v>
      </c>
      <c r="T26" s="718">
        <v>282000</v>
      </c>
      <c r="U26" s="718">
        <v>1265250</v>
      </c>
      <c r="V26" s="718">
        <v>921150</v>
      </c>
      <c r="W26" s="718">
        <v>1343200</v>
      </c>
      <c r="X26" s="718">
        <v>425100</v>
      </c>
      <c r="Y26" s="718">
        <v>403300</v>
      </c>
      <c r="Z26" s="718"/>
      <c r="AA26" s="718"/>
      <c r="AB26" s="718"/>
      <c r="AC26" s="718"/>
      <c r="AD26" s="1405">
        <f t="shared" si="2"/>
        <v>4998400</v>
      </c>
      <c r="AE26" s="852">
        <f t="shared" si="3"/>
        <v>-0.44009633425747008</v>
      </c>
      <c r="AF26" s="853">
        <f t="shared" si="4"/>
        <v>90</v>
      </c>
      <c r="AH26" s="1418" t="s">
        <v>2751</v>
      </c>
      <c r="AI26" s="1427">
        <v>0</v>
      </c>
      <c r="AJ26" s="1427">
        <v>11799500</v>
      </c>
      <c r="AK26" s="1427">
        <f t="shared" si="5"/>
        <v>11799500</v>
      </c>
      <c r="AL26" s="1419">
        <f t="shared" si="6"/>
        <v>0</v>
      </c>
      <c r="AM26"/>
      <c r="AN26"/>
      <c r="AO26"/>
      <c r="AP26"/>
      <c r="AQ26"/>
    </row>
    <row r="27" spans="1:43" x14ac:dyDescent="0.3">
      <c r="A27" s="287" t="s">
        <v>804</v>
      </c>
      <c r="B27" s="851" t="s">
        <v>708</v>
      </c>
      <c r="C27" s="717">
        <v>872500</v>
      </c>
      <c r="D27" s="718">
        <v>608200</v>
      </c>
      <c r="E27" s="718">
        <v>1011950</v>
      </c>
      <c r="F27" s="718">
        <v>867450</v>
      </c>
      <c r="G27" s="718">
        <v>293500</v>
      </c>
      <c r="H27" s="718">
        <v>469500</v>
      </c>
      <c r="I27" s="718">
        <v>2930750</v>
      </c>
      <c r="J27" s="718">
        <v>1833400</v>
      </c>
      <c r="K27" s="718">
        <v>1484500</v>
      </c>
      <c r="L27" s="718">
        <v>1337100</v>
      </c>
      <c r="M27" s="718">
        <v>1481750</v>
      </c>
      <c r="N27" s="718">
        <v>1146850</v>
      </c>
      <c r="O27" s="718">
        <v>1905300</v>
      </c>
      <c r="P27" s="1497">
        <f t="shared" si="0"/>
        <v>8538350</v>
      </c>
      <c r="Q27" s="1405">
        <f t="shared" si="1"/>
        <v>14758250</v>
      </c>
      <c r="R27" s="717">
        <v>4996050</v>
      </c>
      <c r="S27" s="718">
        <v>1440410</v>
      </c>
      <c r="T27" s="718">
        <v>2902760</v>
      </c>
      <c r="U27" s="718">
        <v>4971100</v>
      </c>
      <c r="V27" s="718">
        <v>2438400</v>
      </c>
      <c r="W27" s="718">
        <v>1614050</v>
      </c>
      <c r="X27" s="718">
        <v>4369250</v>
      </c>
      <c r="Y27" s="718">
        <v>3504770</v>
      </c>
      <c r="Z27" s="718"/>
      <c r="AA27" s="718"/>
      <c r="AB27" s="718"/>
      <c r="AC27" s="718"/>
      <c r="AD27" s="1405">
        <f t="shared" si="2"/>
        <v>26236790</v>
      </c>
      <c r="AE27" s="852">
        <f t="shared" si="3"/>
        <v>2.0728173476140004</v>
      </c>
      <c r="AF27" s="853">
        <f t="shared" si="4"/>
        <v>10</v>
      </c>
      <c r="AH27" s="1418" t="s">
        <v>1392</v>
      </c>
      <c r="AI27" s="1427">
        <v>5503750</v>
      </c>
      <c r="AJ27" s="1427">
        <v>10214900</v>
      </c>
      <c r="AK27" s="1427">
        <f t="shared" si="5"/>
        <v>4711150</v>
      </c>
      <c r="AL27" s="1419">
        <f t="shared" si="6"/>
        <v>0.85598909834203951</v>
      </c>
      <c r="AM27"/>
      <c r="AN27"/>
      <c r="AO27"/>
      <c r="AP27"/>
      <c r="AQ27"/>
    </row>
    <row r="28" spans="1:43" x14ac:dyDescent="0.3">
      <c r="A28" s="287" t="s">
        <v>804</v>
      </c>
      <c r="B28" s="851" t="s">
        <v>842</v>
      </c>
      <c r="C28" s="717">
        <v>49900</v>
      </c>
      <c r="D28" s="718">
        <v>0</v>
      </c>
      <c r="E28" s="718">
        <v>642550</v>
      </c>
      <c r="F28" s="718">
        <v>2098250</v>
      </c>
      <c r="G28" s="718">
        <v>582250</v>
      </c>
      <c r="H28" s="718">
        <v>333000</v>
      </c>
      <c r="I28" s="718">
        <v>414350</v>
      </c>
      <c r="J28" s="718">
        <v>586150</v>
      </c>
      <c r="K28" s="718">
        <v>349800</v>
      </c>
      <c r="L28" s="718">
        <v>108150</v>
      </c>
      <c r="M28" s="718">
        <v>959100</v>
      </c>
      <c r="N28" s="718">
        <v>427350</v>
      </c>
      <c r="O28" s="718">
        <v>1087300</v>
      </c>
      <c r="P28" s="1497">
        <f t="shared" si="0"/>
        <v>4470100</v>
      </c>
      <c r="Q28" s="1405">
        <f t="shared" si="1"/>
        <v>7288350</v>
      </c>
      <c r="R28" s="717"/>
      <c r="S28" s="718">
        <v>403350</v>
      </c>
      <c r="T28" s="718">
        <v>1037600</v>
      </c>
      <c r="U28" s="718">
        <v>584000</v>
      </c>
      <c r="V28" s="718">
        <v>506100</v>
      </c>
      <c r="W28" s="718">
        <v>1161400</v>
      </c>
      <c r="X28" s="718">
        <v>304950</v>
      </c>
      <c r="Y28" s="718">
        <v>0</v>
      </c>
      <c r="Z28" s="718"/>
      <c r="AA28" s="718"/>
      <c r="AB28" s="718"/>
      <c r="AC28" s="718"/>
      <c r="AD28" s="1405">
        <f t="shared" si="2"/>
        <v>3997400</v>
      </c>
      <c r="AE28" s="852">
        <f t="shared" si="3"/>
        <v>-0.10574707500950761</v>
      </c>
      <c r="AF28" s="853">
        <f t="shared" si="4"/>
        <v>111</v>
      </c>
      <c r="AH28" s="1418" t="s">
        <v>693</v>
      </c>
      <c r="AI28" s="1427">
        <v>6715010</v>
      </c>
      <c r="AJ28" s="1427">
        <v>9900700</v>
      </c>
      <c r="AK28" s="1427">
        <f t="shared" si="5"/>
        <v>3185690</v>
      </c>
      <c r="AL28" s="1419">
        <f t="shared" si="6"/>
        <v>0.47441329201296795</v>
      </c>
      <c r="AM28"/>
      <c r="AN28"/>
      <c r="AO28"/>
      <c r="AP28"/>
      <c r="AQ28"/>
    </row>
    <row r="29" spans="1:43" x14ac:dyDescent="0.3">
      <c r="A29" s="287" t="s">
        <v>804</v>
      </c>
      <c r="B29" s="851" t="s">
        <v>1078</v>
      </c>
      <c r="C29" s="717">
        <v>322500</v>
      </c>
      <c r="D29" s="718">
        <v>0</v>
      </c>
      <c r="E29" s="718">
        <v>2639300</v>
      </c>
      <c r="F29" s="718">
        <v>596000</v>
      </c>
      <c r="G29" s="718">
        <v>0</v>
      </c>
      <c r="H29" s="718">
        <v>1288950</v>
      </c>
      <c r="I29" s="718">
        <v>1399800</v>
      </c>
      <c r="J29" s="718">
        <v>3341950</v>
      </c>
      <c r="K29" s="718">
        <v>3341950</v>
      </c>
      <c r="L29" s="718">
        <v>259100</v>
      </c>
      <c r="M29" s="718">
        <v>0</v>
      </c>
      <c r="N29" s="718">
        <v>2338250</v>
      </c>
      <c r="O29" s="718">
        <v>971800</v>
      </c>
      <c r="P29" s="1497">
        <f t="shared" si="0"/>
        <v>9588500</v>
      </c>
      <c r="Q29" s="1405">
        <f t="shared" si="1"/>
        <v>13157650</v>
      </c>
      <c r="R29" s="717"/>
      <c r="S29" s="718"/>
      <c r="T29" s="718">
        <v>1216000</v>
      </c>
      <c r="U29" s="718">
        <v>0</v>
      </c>
      <c r="V29" s="718">
        <v>0</v>
      </c>
      <c r="W29" s="718">
        <v>282070</v>
      </c>
      <c r="X29" s="718">
        <v>1380400</v>
      </c>
      <c r="Y29" s="718">
        <v>263870</v>
      </c>
      <c r="Z29" s="718"/>
      <c r="AA29" s="718"/>
      <c r="AB29" s="718"/>
      <c r="AC29" s="718"/>
      <c r="AD29" s="1405">
        <f t="shared" si="2"/>
        <v>3142340</v>
      </c>
      <c r="AE29" s="852">
        <f t="shared" si="3"/>
        <v>-0.67228033581894975</v>
      </c>
      <c r="AF29" s="853">
        <f t="shared" si="4"/>
        <v>148</v>
      </c>
      <c r="AH29" s="1418" t="s">
        <v>1004</v>
      </c>
      <c r="AI29" s="1427">
        <v>14942810</v>
      </c>
      <c r="AJ29" s="1427">
        <v>8288050</v>
      </c>
      <c r="AK29" s="1427">
        <f t="shared" si="5"/>
        <v>-6654760</v>
      </c>
      <c r="AL29" s="1419">
        <f t="shared" si="6"/>
        <v>-0.44534863255304724</v>
      </c>
      <c r="AM29"/>
      <c r="AN29"/>
      <c r="AO29"/>
      <c r="AP29"/>
      <c r="AQ29"/>
    </row>
    <row r="30" spans="1:43" x14ac:dyDescent="0.3">
      <c r="A30" s="287" t="s">
        <v>804</v>
      </c>
      <c r="B30" s="851" t="s">
        <v>1079</v>
      </c>
      <c r="C30" s="717"/>
      <c r="D30" s="718">
        <v>249900</v>
      </c>
      <c r="E30" s="718">
        <v>868300</v>
      </c>
      <c r="F30" s="718">
        <v>1723700</v>
      </c>
      <c r="G30" s="718">
        <v>694300</v>
      </c>
      <c r="H30" s="718">
        <v>2166450</v>
      </c>
      <c r="I30" s="718">
        <v>952900</v>
      </c>
      <c r="J30" s="718">
        <v>5316200</v>
      </c>
      <c r="K30" s="718">
        <v>3483250</v>
      </c>
      <c r="L30" s="718">
        <v>1451250</v>
      </c>
      <c r="M30" s="718">
        <v>692050</v>
      </c>
      <c r="N30" s="718">
        <v>2136000</v>
      </c>
      <c r="O30" s="718">
        <v>1518600</v>
      </c>
      <c r="P30" s="1497">
        <f t="shared" si="0"/>
        <v>10138800</v>
      </c>
      <c r="Q30" s="1405">
        <f t="shared" si="1"/>
        <v>17769650</v>
      </c>
      <c r="R30" s="717">
        <v>1526650</v>
      </c>
      <c r="S30" s="718">
        <v>16550</v>
      </c>
      <c r="T30" s="718">
        <v>84140</v>
      </c>
      <c r="U30" s="718">
        <v>1083220</v>
      </c>
      <c r="V30" s="718">
        <v>1022050</v>
      </c>
      <c r="W30" s="718">
        <v>249200</v>
      </c>
      <c r="X30" s="718">
        <v>627100</v>
      </c>
      <c r="Y30" s="718">
        <v>757950</v>
      </c>
      <c r="Z30" s="718"/>
      <c r="AA30" s="718"/>
      <c r="AB30" s="718"/>
      <c r="AC30" s="718"/>
      <c r="AD30" s="1405">
        <f t="shared" si="2"/>
        <v>5366860</v>
      </c>
      <c r="AE30" s="852">
        <f t="shared" si="3"/>
        <v>-0.47066122223537304</v>
      </c>
      <c r="AF30" s="853">
        <f t="shared" si="4"/>
        <v>80</v>
      </c>
      <c r="AH30" s="1418" t="s">
        <v>1403</v>
      </c>
      <c r="AI30" s="1427">
        <v>5100900</v>
      </c>
      <c r="AJ30" s="1427">
        <v>7985550</v>
      </c>
      <c r="AK30" s="1427">
        <f t="shared" si="5"/>
        <v>2884650</v>
      </c>
      <c r="AL30" s="1419">
        <f t="shared" si="6"/>
        <v>0.56551784979121333</v>
      </c>
      <c r="AM30"/>
      <c r="AN30"/>
      <c r="AO30"/>
      <c r="AP30"/>
      <c r="AQ30"/>
    </row>
    <row r="31" spans="1:43" x14ac:dyDescent="0.3">
      <c r="A31" s="287" t="s">
        <v>804</v>
      </c>
      <c r="B31" s="851" t="s">
        <v>1080</v>
      </c>
      <c r="C31" s="717">
        <v>1722000</v>
      </c>
      <c r="D31" s="718">
        <v>293250</v>
      </c>
      <c r="E31" s="718">
        <v>1280900</v>
      </c>
      <c r="F31" s="718">
        <v>0</v>
      </c>
      <c r="G31" s="718">
        <v>0</v>
      </c>
      <c r="H31" s="718">
        <v>231000</v>
      </c>
      <c r="I31" s="718">
        <v>1754500</v>
      </c>
      <c r="J31" s="718">
        <v>851000</v>
      </c>
      <c r="K31" s="718">
        <v>851000</v>
      </c>
      <c r="L31" s="718">
        <v>0</v>
      </c>
      <c r="M31" s="718">
        <v>1244900</v>
      </c>
      <c r="N31" s="718">
        <v>252500</v>
      </c>
      <c r="O31" s="718">
        <v>2908500</v>
      </c>
      <c r="P31" s="1497">
        <f t="shared" si="0"/>
        <v>6132650</v>
      </c>
      <c r="Q31" s="1405">
        <f t="shared" si="1"/>
        <v>10538550</v>
      </c>
      <c r="R31" s="717">
        <v>1110700</v>
      </c>
      <c r="S31" s="718">
        <v>498000</v>
      </c>
      <c r="T31" s="718">
        <v>1743150</v>
      </c>
      <c r="U31" s="718">
        <v>0</v>
      </c>
      <c r="V31" s="718">
        <v>354200</v>
      </c>
      <c r="W31" s="718">
        <v>87500</v>
      </c>
      <c r="X31" s="718">
        <v>2859800</v>
      </c>
      <c r="Y31" s="718">
        <v>1251800</v>
      </c>
      <c r="Z31" s="718"/>
      <c r="AA31" s="718"/>
      <c r="AB31" s="718"/>
      <c r="AC31" s="718"/>
      <c r="AD31" s="1405">
        <f t="shared" si="2"/>
        <v>7905150</v>
      </c>
      <c r="AE31" s="852">
        <f t="shared" si="3"/>
        <v>0.28902676656910142</v>
      </c>
      <c r="AF31" s="853">
        <f t="shared" si="4"/>
        <v>49</v>
      </c>
      <c r="AH31" s="1418" t="s">
        <v>1278</v>
      </c>
      <c r="AI31" s="1427">
        <v>22048000</v>
      </c>
      <c r="AJ31" s="1427">
        <v>7591900</v>
      </c>
      <c r="AK31" s="1427">
        <f t="shared" si="5"/>
        <v>-14456100</v>
      </c>
      <c r="AL31" s="1419">
        <f t="shared" si="6"/>
        <v>-0.65566491291727136</v>
      </c>
      <c r="AM31"/>
      <c r="AN31"/>
      <c r="AO31"/>
      <c r="AP31"/>
      <c r="AQ31"/>
    </row>
    <row r="32" spans="1:43" x14ac:dyDescent="0.3">
      <c r="A32" s="287" t="s">
        <v>804</v>
      </c>
      <c r="B32" s="851" t="s">
        <v>1081</v>
      </c>
      <c r="C32" s="717">
        <v>2309000</v>
      </c>
      <c r="D32" s="718">
        <v>0</v>
      </c>
      <c r="E32" s="718">
        <v>605750</v>
      </c>
      <c r="F32" s="718">
        <v>363500</v>
      </c>
      <c r="G32" s="718">
        <v>0</v>
      </c>
      <c r="H32" s="718">
        <v>0</v>
      </c>
      <c r="I32" s="718">
        <v>1312900</v>
      </c>
      <c r="J32" s="718">
        <v>0</v>
      </c>
      <c r="K32" s="718">
        <v>0</v>
      </c>
      <c r="L32" s="718">
        <v>119400</v>
      </c>
      <c r="M32" s="718">
        <v>0</v>
      </c>
      <c r="N32" s="718">
        <v>0</v>
      </c>
      <c r="O32" s="718" t="s">
        <v>251</v>
      </c>
      <c r="P32" s="1497">
        <f t="shared" si="0"/>
        <v>4591150</v>
      </c>
      <c r="Q32" s="1405">
        <f t="shared" si="1"/>
        <v>4710550</v>
      </c>
      <c r="R32" s="717">
        <v>573200</v>
      </c>
      <c r="S32" s="718">
        <v>1352850</v>
      </c>
      <c r="T32" s="718">
        <v>1163100</v>
      </c>
      <c r="U32" s="718">
        <v>0</v>
      </c>
      <c r="V32" s="718">
        <v>119200</v>
      </c>
      <c r="W32" s="718">
        <v>564400</v>
      </c>
      <c r="X32" s="718">
        <v>20710</v>
      </c>
      <c r="Y32" s="718">
        <v>708800</v>
      </c>
      <c r="Z32" s="718"/>
      <c r="AA32" s="718"/>
      <c r="AB32" s="718"/>
      <c r="AC32" s="718"/>
      <c r="AD32" s="1405">
        <f t="shared" si="2"/>
        <v>4502260</v>
      </c>
      <c r="AE32" s="852">
        <f t="shared" si="3"/>
        <v>-1.936116223604108E-2</v>
      </c>
      <c r="AF32" s="853">
        <f t="shared" si="4"/>
        <v>98</v>
      </c>
      <c r="AH32" s="1418" t="s">
        <v>1358</v>
      </c>
      <c r="AI32" s="1427">
        <v>4542750</v>
      </c>
      <c r="AJ32" s="1427">
        <v>6897500</v>
      </c>
      <c r="AK32" s="1427">
        <f t="shared" si="5"/>
        <v>2354750</v>
      </c>
      <c r="AL32" s="1419">
        <f t="shared" si="6"/>
        <v>0.51835342028506959</v>
      </c>
      <c r="AM32"/>
      <c r="AN32"/>
      <c r="AO32"/>
      <c r="AP32"/>
      <c r="AQ32"/>
    </row>
    <row r="33" spans="1:43" x14ac:dyDescent="0.3">
      <c r="A33" s="287" t="s">
        <v>804</v>
      </c>
      <c r="B33" s="851" t="s">
        <v>705</v>
      </c>
      <c r="C33" s="717"/>
      <c r="D33" s="718">
        <v>0</v>
      </c>
      <c r="E33" s="718"/>
      <c r="F33" s="718">
        <v>2515000</v>
      </c>
      <c r="G33" s="718">
        <v>793100</v>
      </c>
      <c r="H33" s="718">
        <v>366900</v>
      </c>
      <c r="I33" s="718">
        <v>1137650</v>
      </c>
      <c r="J33" s="718">
        <v>0</v>
      </c>
      <c r="K33" s="718">
        <v>0</v>
      </c>
      <c r="L33" s="718">
        <v>35000</v>
      </c>
      <c r="M33" s="718">
        <v>0</v>
      </c>
      <c r="N33" s="718">
        <v>0</v>
      </c>
      <c r="O33" s="718">
        <v>125450</v>
      </c>
      <c r="P33" s="1497">
        <f t="shared" si="0"/>
        <v>4812650</v>
      </c>
      <c r="Q33" s="1405">
        <f t="shared" si="1"/>
        <v>4973100</v>
      </c>
      <c r="R33" s="717">
        <v>571650</v>
      </c>
      <c r="S33" s="718"/>
      <c r="T33" s="718">
        <v>7100</v>
      </c>
      <c r="U33" s="718">
        <v>0</v>
      </c>
      <c r="V33" s="718">
        <v>0</v>
      </c>
      <c r="W33" s="718">
        <v>3077650</v>
      </c>
      <c r="X33" s="718">
        <v>1141000</v>
      </c>
      <c r="Y33" s="718">
        <v>1303150</v>
      </c>
      <c r="Z33" s="718"/>
      <c r="AA33" s="718"/>
      <c r="AB33" s="718"/>
      <c r="AC33" s="718"/>
      <c r="AD33" s="1405">
        <f t="shared" si="2"/>
        <v>6100550</v>
      </c>
      <c r="AE33" s="852">
        <f t="shared" si="3"/>
        <v>0.267607243410595</v>
      </c>
      <c r="AF33" s="853">
        <f t="shared" si="4"/>
        <v>66</v>
      </c>
      <c r="AH33" s="1418" t="s">
        <v>1380</v>
      </c>
      <c r="AI33" s="1427">
        <v>4052850</v>
      </c>
      <c r="AJ33" s="1427">
        <v>6572000</v>
      </c>
      <c r="AK33" s="1427">
        <f t="shared" si="5"/>
        <v>2519150</v>
      </c>
      <c r="AL33" s="1419">
        <f t="shared" si="6"/>
        <v>0.62157494109083733</v>
      </c>
      <c r="AM33"/>
      <c r="AN33"/>
      <c r="AO33"/>
      <c r="AP33"/>
      <c r="AQ33"/>
    </row>
    <row r="34" spans="1:43" x14ac:dyDescent="0.3">
      <c r="A34" s="287" t="s">
        <v>804</v>
      </c>
      <c r="B34" s="851" t="s">
        <v>1082</v>
      </c>
      <c r="C34" s="717">
        <v>1203300</v>
      </c>
      <c r="D34" s="718">
        <v>731250</v>
      </c>
      <c r="E34" s="718">
        <v>469000</v>
      </c>
      <c r="F34" s="718">
        <v>0</v>
      </c>
      <c r="G34" s="718">
        <v>552600</v>
      </c>
      <c r="H34" s="718">
        <v>1451000</v>
      </c>
      <c r="I34" s="718">
        <v>356600</v>
      </c>
      <c r="J34" s="718">
        <v>1654050</v>
      </c>
      <c r="K34" s="718">
        <v>1654050</v>
      </c>
      <c r="L34" s="718">
        <v>784150</v>
      </c>
      <c r="M34" s="718">
        <v>58800</v>
      </c>
      <c r="N34" s="718">
        <v>316400</v>
      </c>
      <c r="O34" s="718">
        <v>599700</v>
      </c>
      <c r="P34" s="1497">
        <f t="shared" si="0"/>
        <v>6417800</v>
      </c>
      <c r="Q34" s="1405">
        <f t="shared" si="1"/>
        <v>8176850</v>
      </c>
      <c r="R34" s="717">
        <v>12000</v>
      </c>
      <c r="S34" s="718"/>
      <c r="T34" s="718">
        <v>215350</v>
      </c>
      <c r="U34" s="718">
        <v>0</v>
      </c>
      <c r="V34" s="718">
        <v>492450</v>
      </c>
      <c r="W34" s="718">
        <v>2153250</v>
      </c>
      <c r="X34" s="718">
        <v>0</v>
      </c>
      <c r="Y34" s="718">
        <v>297000</v>
      </c>
      <c r="Z34" s="718"/>
      <c r="AA34" s="718"/>
      <c r="AB34" s="718"/>
      <c r="AC34" s="718"/>
      <c r="AD34" s="1405">
        <f t="shared" si="2"/>
        <v>3170050</v>
      </c>
      <c r="AE34" s="852">
        <f t="shared" si="3"/>
        <v>-0.50605347626912645</v>
      </c>
      <c r="AF34" s="853">
        <f t="shared" si="4"/>
        <v>145</v>
      </c>
      <c r="AH34" s="1418" t="s">
        <v>1368</v>
      </c>
      <c r="AI34" s="1427">
        <v>5411100</v>
      </c>
      <c r="AJ34" s="1427">
        <v>6033700</v>
      </c>
      <c r="AK34" s="1427">
        <f t="shared" si="5"/>
        <v>622600</v>
      </c>
      <c r="AL34" s="1419">
        <f t="shared" si="6"/>
        <v>0.11505978451701133</v>
      </c>
      <c r="AM34"/>
      <c r="AN34"/>
      <c r="AO34"/>
      <c r="AP34"/>
      <c r="AQ34"/>
    </row>
    <row r="35" spans="1:43" x14ac:dyDescent="0.3">
      <c r="A35" s="287" t="s">
        <v>804</v>
      </c>
      <c r="B35" s="851" t="s">
        <v>1083</v>
      </c>
      <c r="C35" s="717">
        <v>93900</v>
      </c>
      <c r="D35" s="718">
        <v>319350</v>
      </c>
      <c r="E35" s="718">
        <v>735300</v>
      </c>
      <c r="F35" s="718">
        <v>994220</v>
      </c>
      <c r="G35" s="718">
        <v>960000</v>
      </c>
      <c r="H35" s="718">
        <v>871140</v>
      </c>
      <c r="I35" s="718">
        <v>1219450</v>
      </c>
      <c r="J35" s="718">
        <v>2262400</v>
      </c>
      <c r="K35" s="718">
        <v>2262400</v>
      </c>
      <c r="L35" s="718">
        <v>2666280</v>
      </c>
      <c r="M35" s="718">
        <v>811770</v>
      </c>
      <c r="N35" s="718">
        <v>768520</v>
      </c>
      <c r="O35" s="718">
        <v>4406000</v>
      </c>
      <c r="P35" s="1497">
        <f t="shared" si="0"/>
        <v>7455760</v>
      </c>
      <c r="Q35" s="1405">
        <f t="shared" si="1"/>
        <v>16108330</v>
      </c>
      <c r="R35" s="717">
        <v>117100</v>
      </c>
      <c r="S35" s="718">
        <v>75800</v>
      </c>
      <c r="T35" s="718">
        <v>2248200</v>
      </c>
      <c r="U35" s="718">
        <v>3153270</v>
      </c>
      <c r="V35" s="718">
        <v>1790050</v>
      </c>
      <c r="W35" s="718">
        <v>2573310</v>
      </c>
      <c r="X35" s="718">
        <v>2842850</v>
      </c>
      <c r="Y35" s="718">
        <v>751470</v>
      </c>
      <c r="Z35" s="718"/>
      <c r="AA35" s="718"/>
      <c r="AB35" s="718"/>
      <c r="AC35" s="718"/>
      <c r="AD35" s="1405">
        <f t="shared" si="2"/>
        <v>13552050</v>
      </c>
      <c r="AE35" s="852">
        <f t="shared" si="3"/>
        <v>0.81766178095861453</v>
      </c>
      <c r="AF35" s="853">
        <f t="shared" si="4"/>
        <v>26</v>
      </c>
      <c r="AH35" s="1418" t="s">
        <v>1466</v>
      </c>
      <c r="AI35" s="1427">
        <v>0</v>
      </c>
      <c r="AJ35" s="1427">
        <v>5931000</v>
      </c>
      <c r="AK35" s="1427">
        <f t="shared" si="5"/>
        <v>5931000</v>
      </c>
      <c r="AL35" s="1419">
        <f t="shared" si="6"/>
        <v>0</v>
      </c>
      <c r="AM35"/>
      <c r="AN35"/>
      <c r="AO35"/>
      <c r="AP35"/>
      <c r="AQ35"/>
    </row>
    <row r="36" spans="1:43" x14ac:dyDescent="0.3">
      <c r="A36" s="287" t="s">
        <v>804</v>
      </c>
      <c r="B36" s="851" t="s">
        <v>1084</v>
      </c>
      <c r="C36" s="717"/>
      <c r="D36" s="718">
        <v>0</v>
      </c>
      <c r="E36" s="718">
        <v>2602850</v>
      </c>
      <c r="F36" s="718">
        <v>162000</v>
      </c>
      <c r="G36" s="718">
        <v>0</v>
      </c>
      <c r="H36" s="718">
        <v>0</v>
      </c>
      <c r="I36" s="718">
        <v>0</v>
      </c>
      <c r="J36" s="718">
        <v>0</v>
      </c>
      <c r="K36" s="718">
        <v>0</v>
      </c>
      <c r="L36" s="718">
        <v>0</v>
      </c>
      <c r="M36" s="718">
        <v>0</v>
      </c>
      <c r="N36" s="718">
        <v>0</v>
      </c>
      <c r="O36" s="718">
        <v>255900</v>
      </c>
      <c r="P36" s="1497">
        <f t="shared" si="0"/>
        <v>2764850</v>
      </c>
      <c r="Q36" s="1405">
        <f t="shared" si="1"/>
        <v>3020750</v>
      </c>
      <c r="R36" s="717">
        <v>812650</v>
      </c>
      <c r="S36" s="718">
        <v>1272100</v>
      </c>
      <c r="T36" s="718">
        <v>361200</v>
      </c>
      <c r="U36" s="718">
        <v>0</v>
      </c>
      <c r="V36" s="718">
        <v>0</v>
      </c>
      <c r="W36" s="718">
        <v>0</v>
      </c>
      <c r="X36" s="718">
        <v>0</v>
      </c>
      <c r="Y36" s="718">
        <v>0</v>
      </c>
      <c r="Z36" s="718"/>
      <c r="AA36" s="718"/>
      <c r="AB36" s="718"/>
      <c r="AC36" s="718"/>
      <c r="AD36" s="1405">
        <f t="shared" si="2"/>
        <v>2445950</v>
      </c>
      <c r="AE36" s="852">
        <f t="shared" si="3"/>
        <v>-0.11534079606488598</v>
      </c>
      <c r="AF36" s="853">
        <f t="shared" si="4"/>
        <v>178</v>
      </c>
      <c r="AH36" s="1418" t="s">
        <v>1361</v>
      </c>
      <c r="AI36" s="1427">
        <v>5456500</v>
      </c>
      <c r="AJ36" s="1427">
        <v>5876000</v>
      </c>
      <c r="AK36" s="1427">
        <f t="shared" si="5"/>
        <v>419500</v>
      </c>
      <c r="AL36" s="1419">
        <f t="shared" si="6"/>
        <v>7.6880784385595161E-2</v>
      </c>
      <c r="AM36"/>
      <c r="AN36"/>
      <c r="AO36"/>
      <c r="AP36"/>
      <c r="AQ36"/>
    </row>
    <row r="37" spans="1:43" x14ac:dyDescent="0.3">
      <c r="A37" s="287" t="s">
        <v>804</v>
      </c>
      <c r="B37" s="851" t="s">
        <v>1085</v>
      </c>
      <c r="C37" s="717">
        <v>703500</v>
      </c>
      <c r="D37" s="718">
        <v>157000</v>
      </c>
      <c r="E37" s="718">
        <v>1217950</v>
      </c>
      <c r="F37" s="718">
        <v>494800</v>
      </c>
      <c r="G37" s="718">
        <v>137200</v>
      </c>
      <c r="H37" s="718">
        <v>859400</v>
      </c>
      <c r="I37" s="718">
        <v>2030000</v>
      </c>
      <c r="J37" s="718">
        <v>379300</v>
      </c>
      <c r="K37" s="718">
        <v>379300</v>
      </c>
      <c r="L37" s="718">
        <v>1651100</v>
      </c>
      <c r="M37" s="718">
        <v>374300</v>
      </c>
      <c r="N37" s="718">
        <v>1225700</v>
      </c>
      <c r="O37" s="718">
        <v>279200</v>
      </c>
      <c r="P37" s="1497">
        <f t="shared" si="0"/>
        <v>5979150</v>
      </c>
      <c r="Q37" s="1405">
        <f t="shared" si="1"/>
        <v>9509450</v>
      </c>
      <c r="R37" s="717"/>
      <c r="S37" s="718"/>
      <c r="T37" s="718"/>
      <c r="U37" s="718"/>
      <c r="V37" s="718"/>
      <c r="W37" s="718"/>
      <c r="X37" s="718"/>
      <c r="Y37" s="718"/>
      <c r="Z37" s="718"/>
      <c r="AA37" s="718"/>
      <c r="AB37" s="718"/>
      <c r="AC37" s="718"/>
      <c r="AD37" s="1405">
        <f t="shared" si="2"/>
        <v>0</v>
      </c>
      <c r="AE37" s="852">
        <f t="shared" si="3"/>
        <v>-1</v>
      </c>
      <c r="AF37" s="853">
        <f t="shared" si="4"/>
        <v>983</v>
      </c>
      <c r="AH37" s="1418" t="s">
        <v>1285</v>
      </c>
      <c r="AI37" s="1427">
        <v>24110600</v>
      </c>
      <c r="AJ37" s="1427">
        <v>4324500</v>
      </c>
      <c r="AK37" s="1427">
        <f t="shared" si="5"/>
        <v>-19786100</v>
      </c>
      <c r="AL37" s="1419">
        <f t="shared" si="6"/>
        <v>-0.82063905502144285</v>
      </c>
      <c r="AM37"/>
      <c r="AN37"/>
      <c r="AO37"/>
      <c r="AP37"/>
      <c r="AQ37"/>
    </row>
    <row r="38" spans="1:43" x14ac:dyDescent="0.3">
      <c r="A38" s="287" t="s">
        <v>804</v>
      </c>
      <c r="B38" s="851" t="s">
        <v>1086</v>
      </c>
      <c r="C38" s="717">
        <v>0</v>
      </c>
      <c r="D38" s="718">
        <v>440600</v>
      </c>
      <c r="E38" s="718">
        <v>1569250</v>
      </c>
      <c r="F38" s="718">
        <v>585900</v>
      </c>
      <c r="G38" s="718">
        <v>201600</v>
      </c>
      <c r="H38" s="718">
        <v>0</v>
      </c>
      <c r="I38" s="718">
        <v>110250</v>
      </c>
      <c r="J38" s="718">
        <v>0</v>
      </c>
      <c r="K38" s="718">
        <v>0</v>
      </c>
      <c r="L38" s="718">
        <v>245700</v>
      </c>
      <c r="M38" s="718">
        <v>0</v>
      </c>
      <c r="N38" s="718">
        <v>375150</v>
      </c>
      <c r="O38" s="718" t="s">
        <v>251</v>
      </c>
      <c r="P38" s="1497">
        <f t="shared" si="0"/>
        <v>2907600</v>
      </c>
      <c r="Q38" s="1405">
        <f t="shared" si="1"/>
        <v>3528450</v>
      </c>
      <c r="R38" s="717">
        <v>75250</v>
      </c>
      <c r="S38" s="718"/>
      <c r="T38" s="718">
        <v>0</v>
      </c>
      <c r="U38" s="718">
        <v>0</v>
      </c>
      <c r="V38" s="718">
        <v>0</v>
      </c>
      <c r="W38" s="718">
        <v>0</v>
      </c>
      <c r="X38" s="718">
        <v>0</v>
      </c>
      <c r="Y38" s="718">
        <v>0</v>
      </c>
      <c r="Z38" s="718"/>
      <c r="AA38" s="718"/>
      <c r="AB38" s="718"/>
      <c r="AC38" s="718"/>
      <c r="AD38" s="1405">
        <f t="shared" si="2"/>
        <v>75250</v>
      </c>
      <c r="AE38" s="852">
        <f t="shared" si="3"/>
        <v>-0.97411954876874396</v>
      </c>
      <c r="AF38" s="853">
        <f t="shared" si="4"/>
        <v>781</v>
      </c>
      <c r="AH38" s="1418" t="s">
        <v>1355</v>
      </c>
      <c r="AI38" s="1427">
        <v>10771200</v>
      </c>
      <c r="AJ38" s="1427">
        <v>3709700</v>
      </c>
      <c r="AK38" s="1427">
        <f t="shared" si="5"/>
        <v>-7061500</v>
      </c>
      <c r="AL38" s="1419">
        <f t="shared" si="6"/>
        <v>-0.655590834818776</v>
      </c>
      <c r="AM38"/>
      <c r="AN38"/>
      <c r="AO38"/>
      <c r="AP38"/>
      <c r="AQ38"/>
    </row>
    <row r="39" spans="1:43" x14ac:dyDescent="0.3">
      <c r="A39" s="287" t="s">
        <v>804</v>
      </c>
      <c r="B39" s="851" t="s">
        <v>1087</v>
      </c>
      <c r="C39" s="717">
        <v>667750</v>
      </c>
      <c r="D39" s="718">
        <v>95000</v>
      </c>
      <c r="E39" s="718">
        <v>1061600</v>
      </c>
      <c r="F39" s="718">
        <v>595200</v>
      </c>
      <c r="G39" s="718">
        <v>265200</v>
      </c>
      <c r="H39" s="718">
        <v>16300</v>
      </c>
      <c r="I39" s="718">
        <v>0</v>
      </c>
      <c r="J39" s="718">
        <v>190900</v>
      </c>
      <c r="K39" s="718">
        <v>190900</v>
      </c>
      <c r="L39" s="718">
        <v>469500</v>
      </c>
      <c r="M39" s="718">
        <v>0</v>
      </c>
      <c r="N39" s="718">
        <v>204900</v>
      </c>
      <c r="O39" s="718">
        <v>275450</v>
      </c>
      <c r="P39" s="1497">
        <f t="shared" si="0"/>
        <v>2891950</v>
      </c>
      <c r="Q39" s="1405">
        <f t="shared" si="1"/>
        <v>3841800</v>
      </c>
      <c r="R39" s="717">
        <v>139000</v>
      </c>
      <c r="S39" s="718"/>
      <c r="T39" s="718">
        <v>1288400</v>
      </c>
      <c r="U39" s="718">
        <v>88900</v>
      </c>
      <c r="V39" s="718">
        <v>0</v>
      </c>
      <c r="W39" s="718">
        <v>0</v>
      </c>
      <c r="X39" s="718">
        <v>0</v>
      </c>
      <c r="Y39" s="718">
        <v>0</v>
      </c>
      <c r="Z39" s="718"/>
      <c r="AA39" s="718"/>
      <c r="AB39" s="718"/>
      <c r="AC39" s="718"/>
      <c r="AD39" s="1405">
        <f t="shared" si="2"/>
        <v>1516300</v>
      </c>
      <c r="AE39" s="852">
        <f t="shared" si="3"/>
        <v>-0.47568249796849876</v>
      </c>
      <c r="AF39" s="853">
        <f t="shared" si="4"/>
        <v>246</v>
      </c>
      <c r="AH39" s="1418" t="s">
        <v>2632</v>
      </c>
      <c r="AI39" s="1427">
        <v>0</v>
      </c>
      <c r="AJ39" s="1427">
        <v>3648750</v>
      </c>
      <c r="AK39" s="1427">
        <f t="shared" si="5"/>
        <v>3648750</v>
      </c>
      <c r="AL39" s="1419">
        <f t="shared" si="6"/>
        <v>0</v>
      </c>
      <c r="AM39"/>
      <c r="AN39"/>
      <c r="AO39"/>
      <c r="AP39"/>
      <c r="AQ39"/>
    </row>
    <row r="40" spans="1:43" x14ac:dyDescent="0.3">
      <c r="A40" s="287" t="s">
        <v>804</v>
      </c>
      <c r="B40" s="851" t="s">
        <v>1088</v>
      </c>
      <c r="C40" s="717">
        <v>518000</v>
      </c>
      <c r="D40" s="718">
        <v>0</v>
      </c>
      <c r="E40" s="718">
        <v>516500</v>
      </c>
      <c r="F40" s="718">
        <v>459750</v>
      </c>
      <c r="G40" s="718">
        <v>1009400</v>
      </c>
      <c r="H40" s="718">
        <v>449250</v>
      </c>
      <c r="I40" s="718">
        <v>502400</v>
      </c>
      <c r="J40" s="718">
        <v>0</v>
      </c>
      <c r="K40" s="718">
        <v>0</v>
      </c>
      <c r="L40" s="718">
        <v>0</v>
      </c>
      <c r="M40" s="718">
        <v>0</v>
      </c>
      <c r="N40" s="718">
        <v>1421000</v>
      </c>
      <c r="O40" s="718">
        <v>1929950</v>
      </c>
      <c r="P40" s="1497">
        <f t="shared" si="0"/>
        <v>3455300</v>
      </c>
      <c r="Q40" s="1405">
        <f t="shared" si="1"/>
        <v>6806250</v>
      </c>
      <c r="R40" s="717">
        <v>1347850</v>
      </c>
      <c r="S40" s="718"/>
      <c r="T40" s="718">
        <v>0</v>
      </c>
      <c r="U40" s="718">
        <v>1074200</v>
      </c>
      <c r="V40" s="718">
        <v>833500</v>
      </c>
      <c r="W40" s="718">
        <v>0</v>
      </c>
      <c r="X40" s="718">
        <v>1392570</v>
      </c>
      <c r="Y40" s="718">
        <v>113050</v>
      </c>
      <c r="Z40" s="718"/>
      <c r="AA40" s="718"/>
      <c r="AB40" s="718"/>
      <c r="AC40" s="718"/>
      <c r="AD40" s="1405">
        <f t="shared" si="2"/>
        <v>4761170</v>
      </c>
      <c r="AE40" s="852">
        <f t="shared" si="3"/>
        <v>0.37793245159609873</v>
      </c>
      <c r="AF40" s="853">
        <f t="shared" si="4"/>
        <v>93</v>
      </c>
      <c r="AH40" s="1418" t="s">
        <v>2510</v>
      </c>
      <c r="AI40" s="1427">
        <v>0</v>
      </c>
      <c r="AJ40" s="1427">
        <v>2817800</v>
      </c>
      <c r="AK40" s="1427">
        <f t="shared" si="5"/>
        <v>2817800</v>
      </c>
      <c r="AL40" s="1419">
        <f t="shared" si="6"/>
        <v>0</v>
      </c>
      <c r="AM40"/>
      <c r="AN40"/>
      <c r="AO40"/>
      <c r="AP40"/>
      <c r="AQ40"/>
    </row>
    <row r="41" spans="1:43" x14ac:dyDescent="0.3">
      <c r="A41" s="287" t="s">
        <v>804</v>
      </c>
      <c r="B41" s="851" t="s">
        <v>1089</v>
      </c>
      <c r="C41" s="717">
        <v>0</v>
      </c>
      <c r="D41" s="718">
        <v>0</v>
      </c>
      <c r="E41" s="718">
        <v>1559950</v>
      </c>
      <c r="F41" s="718">
        <v>805600</v>
      </c>
      <c r="G41" s="718">
        <v>0</v>
      </c>
      <c r="H41" s="718">
        <v>0</v>
      </c>
      <c r="I41" s="718">
        <v>0</v>
      </c>
      <c r="J41" s="718">
        <v>0</v>
      </c>
      <c r="K41" s="718">
        <v>0</v>
      </c>
      <c r="L41" s="718">
        <v>0</v>
      </c>
      <c r="M41" s="718">
        <v>0</v>
      </c>
      <c r="N41" s="718">
        <v>0</v>
      </c>
      <c r="O41" s="718" t="s">
        <v>251</v>
      </c>
      <c r="P41" s="1497">
        <f t="shared" si="0"/>
        <v>2365550</v>
      </c>
      <c r="Q41" s="1405">
        <f t="shared" si="1"/>
        <v>2365550</v>
      </c>
      <c r="R41" s="717"/>
      <c r="S41" s="718"/>
      <c r="T41" s="718"/>
      <c r="U41" s="718"/>
      <c r="V41" s="718"/>
      <c r="W41" s="718"/>
      <c r="X41" s="718"/>
      <c r="Y41" s="718"/>
      <c r="Z41" s="718"/>
      <c r="AA41" s="718"/>
      <c r="AB41" s="718"/>
      <c r="AC41" s="718"/>
      <c r="AD41" s="1405">
        <f t="shared" si="2"/>
        <v>0</v>
      </c>
      <c r="AE41" s="852">
        <f t="shared" si="3"/>
        <v>-1</v>
      </c>
      <c r="AF41" s="853">
        <f t="shared" si="4"/>
        <v>983</v>
      </c>
      <c r="AH41" s="1418" t="s">
        <v>1448</v>
      </c>
      <c r="AI41" s="1427">
        <v>2363000</v>
      </c>
      <c r="AJ41" s="1427">
        <v>2585500</v>
      </c>
      <c r="AK41" s="1427">
        <f t="shared" si="5"/>
        <v>222500</v>
      </c>
      <c r="AL41" s="1419">
        <f t="shared" si="6"/>
        <v>9.415996614473128E-2</v>
      </c>
      <c r="AM41"/>
      <c r="AN41"/>
      <c r="AO41"/>
      <c r="AP41"/>
      <c r="AQ41"/>
    </row>
    <row r="42" spans="1:43" x14ac:dyDescent="0.3">
      <c r="A42" s="287" t="s">
        <v>804</v>
      </c>
      <c r="B42" s="851" t="s">
        <v>1090</v>
      </c>
      <c r="C42" s="717">
        <v>599360</v>
      </c>
      <c r="D42" s="718">
        <v>41300</v>
      </c>
      <c r="E42" s="718">
        <v>324820</v>
      </c>
      <c r="F42" s="718">
        <v>517650</v>
      </c>
      <c r="G42" s="718">
        <v>889700</v>
      </c>
      <c r="H42" s="718">
        <v>348350</v>
      </c>
      <c r="I42" s="718">
        <v>280850</v>
      </c>
      <c r="J42" s="718">
        <v>171850</v>
      </c>
      <c r="K42" s="718">
        <v>171850</v>
      </c>
      <c r="L42" s="718">
        <v>1208390</v>
      </c>
      <c r="M42" s="718">
        <v>431450</v>
      </c>
      <c r="N42" s="718">
        <v>534100</v>
      </c>
      <c r="O42" s="718">
        <v>1440800</v>
      </c>
      <c r="P42" s="1497">
        <f t="shared" si="0"/>
        <v>3173880</v>
      </c>
      <c r="Q42" s="1405">
        <f t="shared" si="1"/>
        <v>6788620</v>
      </c>
      <c r="R42" s="717">
        <v>229550</v>
      </c>
      <c r="S42" s="718"/>
      <c r="T42" s="718">
        <v>224250</v>
      </c>
      <c r="U42" s="718">
        <v>110000</v>
      </c>
      <c r="V42" s="718">
        <v>308000</v>
      </c>
      <c r="W42" s="718">
        <v>539950</v>
      </c>
      <c r="X42" s="718">
        <v>459100</v>
      </c>
      <c r="Y42" s="718">
        <v>745450</v>
      </c>
      <c r="Z42" s="718"/>
      <c r="AA42" s="718"/>
      <c r="AB42" s="718"/>
      <c r="AC42" s="718"/>
      <c r="AD42" s="1405">
        <f t="shared" si="2"/>
        <v>2616300</v>
      </c>
      <c r="AE42" s="852">
        <f t="shared" si="3"/>
        <v>-0.17567771938447579</v>
      </c>
      <c r="AF42" s="853">
        <f t="shared" si="4"/>
        <v>170</v>
      </c>
      <c r="AH42" s="1418" t="s">
        <v>1875</v>
      </c>
      <c r="AI42" s="1427">
        <v>0</v>
      </c>
      <c r="AJ42" s="1427">
        <v>2319320</v>
      </c>
      <c r="AK42" s="1427">
        <f t="shared" si="5"/>
        <v>2319320</v>
      </c>
      <c r="AL42" s="1419">
        <f t="shared" si="6"/>
        <v>0</v>
      </c>
      <c r="AM42"/>
      <c r="AN42"/>
      <c r="AO42"/>
      <c r="AP42"/>
      <c r="AQ42"/>
    </row>
    <row r="43" spans="1:43" x14ac:dyDescent="0.3">
      <c r="A43" s="287" t="s">
        <v>804</v>
      </c>
      <c r="B43" s="851" t="s">
        <v>1091</v>
      </c>
      <c r="C43" s="717">
        <v>582200</v>
      </c>
      <c r="D43" s="718">
        <v>154150</v>
      </c>
      <c r="E43" s="718">
        <v>1431250</v>
      </c>
      <c r="F43" s="718">
        <v>99200</v>
      </c>
      <c r="G43" s="718">
        <v>47950</v>
      </c>
      <c r="H43" s="718">
        <v>67800</v>
      </c>
      <c r="I43" s="718">
        <v>3059730</v>
      </c>
      <c r="J43" s="718">
        <v>888850</v>
      </c>
      <c r="K43" s="718">
        <v>716150</v>
      </c>
      <c r="L43" s="718">
        <v>127350</v>
      </c>
      <c r="M43" s="718">
        <v>421840</v>
      </c>
      <c r="N43" s="718">
        <v>594100</v>
      </c>
      <c r="O43" s="718">
        <v>672950</v>
      </c>
      <c r="P43" s="1497">
        <f t="shared" si="0"/>
        <v>6158430</v>
      </c>
      <c r="Q43" s="1405">
        <f t="shared" si="1"/>
        <v>8147370</v>
      </c>
      <c r="R43" s="717">
        <v>1079050</v>
      </c>
      <c r="S43" s="718">
        <v>1244800</v>
      </c>
      <c r="T43" s="718">
        <v>295000</v>
      </c>
      <c r="U43" s="718">
        <v>1874060</v>
      </c>
      <c r="V43" s="718">
        <v>631000</v>
      </c>
      <c r="W43" s="718">
        <v>1994400</v>
      </c>
      <c r="X43" s="718">
        <v>7055550</v>
      </c>
      <c r="Y43" s="718">
        <v>2159500</v>
      </c>
      <c r="Z43" s="718"/>
      <c r="AA43" s="718"/>
      <c r="AB43" s="718"/>
      <c r="AC43" s="718"/>
      <c r="AD43" s="1405">
        <f t="shared" si="2"/>
        <v>16333360</v>
      </c>
      <c r="AE43" s="852">
        <f t="shared" si="3"/>
        <v>1.6521954459172223</v>
      </c>
      <c r="AF43" s="853">
        <f t="shared" si="4"/>
        <v>22</v>
      </c>
      <c r="AH43" s="1418" t="s">
        <v>1366</v>
      </c>
      <c r="AI43" s="1427">
        <v>3276000</v>
      </c>
      <c r="AJ43" s="1427">
        <v>2141500</v>
      </c>
      <c r="AK43" s="1427">
        <f t="shared" si="5"/>
        <v>-1134500</v>
      </c>
      <c r="AL43" s="1419">
        <f t="shared" si="6"/>
        <v>-0.3463064713064713</v>
      </c>
      <c r="AM43"/>
      <c r="AN43"/>
      <c r="AO43"/>
      <c r="AP43"/>
      <c r="AQ43"/>
    </row>
    <row r="44" spans="1:43" x14ac:dyDescent="0.3">
      <c r="A44" s="287" t="s">
        <v>804</v>
      </c>
      <c r="B44" s="851" t="s">
        <v>1092</v>
      </c>
      <c r="C44" s="717">
        <v>0</v>
      </c>
      <c r="D44" s="718">
        <v>0</v>
      </c>
      <c r="E44" s="718">
        <v>1690100</v>
      </c>
      <c r="F44" s="718">
        <v>580900</v>
      </c>
      <c r="G44" s="718">
        <v>0</v>
      </c>
      <c r="H44" s="718">
        <v>0</v>
      </c>
      <c r="I44" s="718">
        <v>0</v>
      </c>
      <c r="J44" s="718">
        <v>0</v>
      </c>
      <c r="K44" s="718">
        <v>0</v>
      </c>
      <c r="L44" s="718">
        <v>0</v>
      </c>
      <c r="M44" s="718">
        <v>0</v>
      </c>
      <c r="N44" s="718">
        <v>0</v>
      </c>
      <c r="O44" s="718" t="s">
        <v>251</v>
      </c>
      <c r="P44" s="1497">
        <f t="shared" si="0"/>
        <v>2271000</v>
      </c>
      <c r="Q44" s="1405">
        <f t="shared" si="1"/>
        <v>2271000</v>
      </c>
      <c r="R44" s="717"/>
      <c r="S44" s="718"/>
      <c r="T44" s="718"/>
      <c r="U44" s="718"/>
      <c r="V44" s="718"/>
      <c r="W44" s="718"/>
      <c r="X44" s="718"/>
      <c r="Y44" s="718"/>
      <c r="Z44" s="718"/>
      <c r="AA44" s="718"/>
      <c r="AB44" s="718"/>
      <c r="AC44" s="718"/>
      <c r="AD44" s="1405">
        <f t="shared" si="2"/>
        <v>0</v>
      </c>
      <c r="AE44" s="852">
        <f t="shared" si="3"/>
        <v>-1</v>
      </c>
      <c r="AF44" s="853">
        <f t="shared" si="4"/>
        <v>983</v>
      </c>
      <c r="AH44" s="1418" t="s">
        <v>1406</v>
      </c>
      <c r="AI44" s="1427">
        <v>1488950</v>
      </c>
      <c r="AJ44" s="1427">
        <v>2033500</v>
      </c>
      <c r="AK44" s="1427">
        <f t="shared" si="5"/>
        <v>544550</v>
      </c>
      <c r="AL44" s="1419">
        <f t="shared" si="6"/>
        <v>0.365727526109003</v>
      </c>
      <c r="AM44"/>
      <c r="AN44"/>
      <c r="AO44"/>
      <c r="AP44"/>
      <c r="AQ44"/>
    </row>
    <row r="45" spans="1:43" x14ac:dyDescent="0.3">
      <c r="A45" s="287" t="s">
        <v>804</v>
      </c>
      <c r="B45" s="851" t="s">
        <v>1093</v>
      </c>
      <c r="C45" s="717">
        <v>2225650</v>
      </c>
      <c r="D45" s="718">
        <v>41400</v>
      </c>
      <c r="E45" s="718"/>
      <c r="F45" s="718">
        <v>0</v>
      </c>
      <c r="G45" s="718">
        <v>0</v>
      </c>
      <c r="H45" s="718">
        <v>0</v>
      </c>
      <c r="I45" s="718">
        <v>0</v>
      </c>
      <c r="J45" s="718">
        <v>0</v>
      </c>
      <c r="K45" s="718">
        <v>0</v>
      </c>
      <c r="L45" s="718">
        <v>0</v>
      </c>
      <c r="M45" s="718">
        <v>0</v>
      </c>
      <c r="N45" s="718">
        <v>618000</v>
      </c>
      <c r="O45" s="718" t="s">
        <v>251</v>
      </c>
      <c r="P45" s="1497">
        <f t="shared" si="0"/>
        <v>2267050</v>
      </c>
      <c r="Q45" s="1405">
        <f t="shared" si="1"/>
        <v>2885050</v>
      </c>
      <c r="R45" s="717"/>
      <c r="S45" s="718"/>
      <c r="T45" s="718"/>
      <c r="U45" s="718">
        <v>244200</v>
      </c>
      <c r="V45" s="718">
        <v>0</v>
      </c>
      <c r="W45" s="718">
        <v>0</v>
      </c>
      <c r="X45" s="718">
        <v>0</v>
      </c>
      <c r="Y45" s="718">
        <v>0</v>
      </c>
      <c r="Z45" s="718"/>
      <c r="AA45" s="718"/>
      <c r="AB45" s="718"/>
      <c r="AC45" s="718"/>
      <c r="AD45" s="1405">
        <f t="shared" si="2"/>
        <v>244200</v>
      </c>
      <c r="AE45" s="852">
        <f t="shared" si="3"/>
        <v>-0.89228292274100707</v>
      </c>
      <c r="AF45" s="853">
        <f t="shared" si="4"/>
        <v>573</v>
      </c>
      <c r="AH45" s="1418" t="s">
        <v>2182</v>
      </c>
      <c r="AI45" s="1427">
        <v>0</v>
      </c>
      <c r="AJ45" s="1427">
        <v>1996400</v>
      </c>
      <c r="AK45" s="1427">
        <f t="shared" si="5"/>
        <v>1996400</v>
      </c>
      <c r="AL45" s="1419">
        <f t="shared" si="6"/>
        <v>0</v>
      </c>
      <c r="AM45"/>
      <c r="AN45"/>
      <c r="AO45"/>
      <c r="AP45"/>
      <c r="AQ45"/>
    </row>
    <row r="46" spans="1:43" x14ac:dyDescent="0.3">
      <c r="A46" s="287" t="s">
        <v>804</v>
      </c>
      <c r="B46" s="851" t="s">
        <v>1094</v>
      </c>
      <c r="C46" s="717">
        <v>157500</v>
      </c>
      <c r="D46" s="718">
        <v>52300</v>
      </c>
      <c r="E46" s="718">
        <v>650800</v>
      </c>
      <c r="F46" s="718">
        <v>490450</v>
      </c>
      <c r="G46" s="718">
        <v>882800</v>
      </c>
      <c r="H46" s="718">
        <v>150450</v>
      </c>
      <c r="I46" s="718">
        <v>604600</v>
      </c>
      <c r="J46" s="718">
        <v>448050</v>
      </c>
      <c r="K46" s="718">
        <v>448050</v>
      </c>
      <c r="L46" s="718">
        <v>110600</v>
      </c>
      <c r="M46" s="718">
        <v>199450</v>
      </c>
      <c r="N46" s="718">
        <v>434900</v>
      </c>
      <c r="O46" s="718">
        <v>1198050</v>
      </c>
      <c r="P46" s="1497">
        <f t="shared" si="0"/>
        <v>3436950</v>
      </c>
      <c r="Q46" s="1405">
        <f t="shared" si="1"/>
        <v>5379950</v>
      </c>
      <c r="R46" s="717">
        <v>300850</v>
      </c>
      <c r="S46" s="718"/>
      <c r="T46" s="718">
        <v>767800</v>
      </c>
      <c r="U46" s="718">
        <v>847700</v>
      </c>
      <c r="V46" s="718">
        <v>513100</v>
      </c>
      <c r="W46" s="718">
        <v>1241300</v>
      </c>
      <c r="X46" s="718">
        <v>1206650</v>
      </c>
      <c r="Y46" s="718">
        <v>1337200</v>
      </c>
      <c r="Z46" s="718"/>
      <c r="AA46" s="718"/>
      <c r="AB46" s="718"/>
      <c r="AC46" s="718"/>
      <c r="AD46" s="1405">
        <f t="shared" si="2"/>
        <v>6214600</v>
      </c>
      <c r="AE46" s="852">
        <f t="shared" si="3"/>
        <v>0.80817294403468187</v>
      </c>
      <c r="AF46" s="853">
        <f t="shared" si="4"/>
        <v>65</v>
      </c>
      <c r="AH46" s="1418" t="s">
        <v>976</v>
      </c>
      <c r="AI46" s="1427">
        <v>3120600</v>
      </c>
      <c r="AJ46" s="1427">
        <v>1342160</v>
      </c>
      <c r="AK46" s="1427">
        <f t="shared" si="5"/>
        <v>-1778440</v>
      </c>
      <c r="AL46" s="1419">
        <f t="shared" si="6"/>
        <v>-0.56990322373902458</v>
      </c>
      <c r="AM46"/>
      <c r="AN46"/>
      <c r="AO46"/>
      <c r="AP46"/>
      <c r="AQ46"/>
    </row>
    <row r="47" spans="1:43" x14ac:dyDescent="0.3">
      <c r="A47" s="287" t="s">
        <v>804</v>
      </c>
      <c r="B47" s="851" t="s">
        <v>1095</v>
      </c>
      <c r="C47" s="717"/>
      <c r="D47" s="718">
        <v>0</v>
      </c>
      <c r="E47" s="718"/>
      <c r="F47" s="718">
        <v>1002400</v>
      </c>
      <c r="G47" s="718">
        <v>1211060</v>
      </c>
      <c r="H47" s="718">
        <v>0</v>
      </c>
      <c r="I47" s="718">
        <v>0</v>
      </c>
      <c r="J47" s="718">
        <v>0</v>
      </c>
      <c r="K47" s="718">
        <v>0</v>
      </c>
      <c r="L47" s="718">
        <v>0</v>
      </c>
      <c r="M47" s="718">
        <v>0</v>
      </c>
      <c r="N47" s="718">
        <v>0</v>
      </c>
      <c r="O47" s="718" t="s">
        <v>251</v>
      </c>
      <c r="P47" s="1497">
        <f t="shared" si="0"/>
        <v>2213460</v>
      </c>
      <c r="Q47" s="1405">
        <f t="shared" si="1"/>
        <v>2213460</v>
      </c>
      <c r="R47" s="717"/>
      <c r="S47" s="718"/>
      <c r="T47" s="718"/>
      <c r="U47" s="718"/>
      <c r="V47" s="718"/>
      <c r="W47" s="718"/>
      <c r="X47" s="718"/>
      <c r="Y47" s="718"/>
      <c r="Z47" s="718"/>
      <c r="AA47" s="718"/>
      <c r="AB47" s="718"/>
      <c r="AC47" s="718"/>
      <c r="AD47" s="1405">
        <f t="shared" si="2"/>
        <v>0</v>
      </c>
      <c r="AE47" s="852">
        <f t="shared" si="3"/>
        <v>-1</v>
      </c>
      <c r="AF47" s="853">
        <f t="shared" si="4"/>
        <v>983</v>
      </c>
      <c r="AH47" s="1418" t="s">
        <v>954</v>
      </c>
      <c r="AI47" s="1427">
        <v>691200</v>
      </c>
      <c r="AJ47" s="1427">
        <v>1185200</v>
      </c>
      <c r="AK47" s="1427">
        <f t="shared" si="5"/>
        <v>494000</v>
      </c>
      <c r="AL47" s="1419">
        <f t="shared" si="6"/>
        <v>0.71469907407407407</v>
      </c>
      <c r="AM47"/>
      <c r="AN47"/>
      <c r="AO47"/>
      <c r="AP47"/>
      <c r="AQ47"/>
    </row>
    <row r="48" spans="1:43" x14ac:dyDescent="0.3">
      <c r="A48" s="287" t="s">
        <v>804</v>
      </c>
      <c r="B48" s="851" t="s">
        <v>1096</v>
      </c>
      <c r="C48" s="717"/>
      <c r="D48" s="718">
        <v>0</v>
      </c>
      <c r="E48" s="718"/>
      <c r="F48" s="718">
        <v>1740250</v>
      </c>
      <c r="G48" s="718">
        <v>450850</v>
      </c>
      <c r="H48" s="718">
        <v>91050</v>
      </c>
      <c r="I48" s="718">
        <v>67500</v>
      </c>
      <c r="J48" s="718">
        <v>0</v>
      </c>
      <c r="K48" s="718">
        <v>0</v>
      </c>
      <c r="L48" s="718">
        <v>252800</v>
      </c>
      <c r="M48" s="718">
        <v>110150</v>
      </c>
      <c r="N48" s="718">
        <v>232400</v>
      </c>
      <c r="O48" s="718">
        <v>298250</v>
      </c>
      <c r="P48" s="1497">
        <f t="shared" si="0"/>
        <v>2349650</v>
      </c>
      <c r="Q48" s="1405">
        <f t="shared" si="1"/>
        <v>3243250</v>
      </c>
      <c r="R48" s="717">
        <v>51200</v>
      </c>
      <c r="S48" s="718"/>
      <c r="T48" s="718">
        <v>0</v>
      </c>
      <c r="U48" s="718">
        <v>1217550</v>
      </c>
      <c r="V48" s="718">
        <v>0</v>
      </c>
      <c r="W48" s="718">
        <v>140550</v>
      </c>
      <c r="X48" s="718">
        <v>35500</v>
      </c>
      <c r="Y48" s="718">
        <v>0</v>
      </c>
      <c r="Z48" s="718"/>
      <c r="AA48" s="718"/>
      <c r="AB48" s="718"/>
      <c r="AC48" s="718"/>
      <c r="AD48" s="1405">
        <f t="shared" si="2"/>
        <v>1444800</v>
      </c>
      <c r="AE48" s="852">
        <f t="shared" si="3"/>
        <v>-0.3850999084970102</v>
      </c>
      <c r="AF48" s="853">
        <f t="shared" si="4"/>
        <v>251</v>
      </c>
      <c r="AH48" s="1418" t="s">
        <v>2705</v>
      </c>
      <c r="AI48" s="1427">
        <v>0</v>
      </c>
      <c r="AJ48" s="1427">
        <v>1124500</v>
      </c>
      <c r="AK48" s="1427">
        <f t="shared" si="5"/>
        <v>1124500</v>
      </c>
      <c r="AL48" s="1419">
        <f t="shared" si="6"/>
        <v>0</v>
      </c>
      <c r="AM48"/>
      <c r="AN48"/>
      <c r="AO48"/>
      <c r="AP48"/>
      <c r="AQ48"/>
    </row>
    <row r="49" spans="1:43" x14ac:dyDescent="0.3">
      <c r="A49" s="287" t="s">
        <v>804</v>
      </c>
      <c r="B49" s="851" t="s">
        <v>1097</v>
      </c>
      <c r="C49" s="717">
        <v>39200</v>
      </c>
      <c r="D49" s="718">
        <v>722600</v>
      </c>
      <c r="E49" s="718">
        <v>822150</v>
      </c>
      <c r="F49" s="718">
        <v>320150</v>
      </c>
      <c r="G49" s="718">
        <v>260750</v>
      </c>
      <c r="H49" s="718">
        <v>38500</v>
      </c>
      <c r="I49" s="718">
        <v>446250</v>
      </c>
      <c r="J49" s="718">
        <v>379050</v>
      </c>
      <c r="K49" s="718">
        <v>297150</v>
      </c>
      <c r="L49" s="718">
        <v>160300</v>
      </c>
      <c r="M49" s="718">
        <v>430520</v>
      </c>
      <c r="N49" s="718">
        <v>814250</v>
      </c>
      <c r="O49" s="718">
        <v>491450</v>
      </c>
      <c r="P49" s="1497">
        <f t="shared" si="0"/>
        <v>2946750</v>
      </c>
      <c r="Q49" s="1405">
        <f t="shared" si="1"/>
        <v>4925170</v>
      </c>
      <c r="R49" s="717">
        <v>177450</v>
      </c>
      <c r="S49" s="718">
        <v>236600</v>
      </c>
      <c r="T49" s="718">
        <v>1089000</v>
      </c>
      <c r="U49" s="718">
        <v>296400</v>
      </c>
      <c r="V49" s="718">
        <v>0</v>
      </c>
      <c r="W49" s="718">
        <v>251300</v>
      </c>
      <c r="X49" s="718">
        <v>0</v>
      </c>
      <c r="Y49" s="718">
        <v>52070</v>
      </c>
      <c r="Z49" s="718"/>
      <c r="AA49" s="718"/>
      <c r="AB49" s="718"/>
      <c r="AC49" s="718"/>
      <c r="AD49" s="1405">
        <f t="shared" si="2"/>
        <v>2102820</v>
      </c>
      <c r="AE49" s="852">
        <f t="shared" si="3"/>
        <v>-0.28639348434716211</v>
      </c>
      <c r="AF49" s="853">
        <f t="shared" si="4"/>
        <v>207</v>
      </c>
      <c r="AH49" s="1418" t="s">
        <v>2663</v>
      </c>
      <c r="AI49" s="1427">
        <v>0</v>
      </c>
      <c r="AJ49" s="1427">
        <v>922600</v>
      </c>
      <c r="AK49" s="1427">
        <f t="shared" si="5"/>
        <v>922600</v>
      </c>
      <c r="AL49" s="1419">
        <f t="shared" si="6"/>
        <v>0</v>
      </c>
      <c r="AM49"/>
      <c r="AN49"/>
      <c r="AO49"/>
      <c r="AP49"/>
      <c r="AQ49"/>
    </row>
    <row r="50" spans="1:43" x14ac:dyDescent="0.3">
      <c r="A50" s="287" t="s">
        <v>804</v>
      </c>
      <c r="B50" s="851" t="s">
        <v>1098</v>
      </c>
      <c r="C50" s="717">
        <v>750700</v>
      </c>
      <c r="D50" s="718">
        <v>416500</v>
      </c>
      <c r="E50" s="718">
        <v>936250</v>
      </c>
      <c r="F50" s="718">
        <v>0</v>
      </c>
      <c r="G50" s="718">
        <v>0</v>
      </c>
      <c r="H50" s="718">
        <v>0</v>
      </c>
      <c r="I50" s="718">
        <v>0</v>
      </c>
      <c r="J50" s="718">
        <v>0</v>
      </c>
      <c r="K50" s="718">
        <v>0</v>
      </c>
      <c r="L50" s="718">
        <v>0</v>
      </c>
      <c r="M50" s="718">
        <v>0</v>
      </c>
      <c r="N50" s="718">
        <v>0</v>
      </c>
      <c r="O50" s="718" t="s">
        <v>251</v>
      </c>
      <c r="P50" s="1497">
        <f t="shared" si="0"/>
        <v>2103450</v>
      </c>
      <c r="Q50" s="1405">
        <f t="shared" si="1"/>
        <v>2103450</v>
      </c>
      <c r="R50" s="717"/>
      <c r="S50" s="718"/>
      <c r="T50" s="718"/>
      <c r="U50" s="718">
        <v>1390250</v>
      </c>
      <c r="V50" s="718">
        <v>0</v>
      </c>
      <c r="W50" s="718">
        <v>0</v>
      </c>
      <c r="X50" s="718">
        <v>0</v>
      </c>
      <c r="Y50" s="718">
        <v>0</v>
      </c>
      <c r="Z50" s="718"/>
      <c r="AA50" s="718"/>
      <c r="AB50" s="718"/>
      <c r="AC50" s="718"/>
      <c r="AD50" s="1405">
        <f t="shared" si="2"/>
        <v>1390250</v>
      </c>
      <c r="AE50" s="852">
        <f t="shared" si="3"/>
        <v>-0.33906201716228102</v>
      </c>
      <c r="AF50" s="853">
        <f t="shared" si="4"/>
        <v>258</v>
      </c>
      <c r="AH50" s="1418" t="s">
        <v>2706</v>
      </c>
      <c r="AI50" s="1427">
        <v>0</v>
      </c>
      <c r="AJ50" s="1427">
        <v>879800</v>
      </c>
      <c r="AK50" s="1427">
        <f t="shared" si="5"/>
        <v>879800</v>
      </c>
      <c r="AL50" s="1419">
        <f t="shared" si="6"/>
        <v>0</v>
      </c>
      <c r="AM50"/>
      <c r="AN50"/>
      <c r="AO50"/>
      <c r="AP50"/>
      <c r="AQ50"/>
    </row>
    <row r="51" spans="1:43" x14ac:dyDescent="0.3">
      <c r="A51" s="287" t="s">
        <v>804</v>
      </c>
      <c r="B51" s="851" t="s">
        <v>1099</v>
      </c>
      <c r="C51" s="717">
        <v>535000</v>
      </c>
      <c r="D51" s="718">
        <v>0</v>
      </c>
      <c r="E51" s="718">
        <v>116400</v>
      </c>
      <c r="F51" s="718">
        <v>537750</v>
      </c>
      <c r="G51" s="718">
        <v>793250</v>
      </c>
      <c r="H51" s="718">
        <v>294300</v>
      </c>
      <c r="I51" s="718">
        <v>136700</v>
      </c>
      <c r="J51" s="718">
        <v>687200</v>
      </c>
      <c r="K51" s="718">
        <v>687200</v>
      </c>
      <c r="L51" s="718">
        <v>910000</v>
      </c>
      <c r="M51" s="718">
        <v>559250</v>
      </c>
      <c r="N51" s="718">
        <v>471150</v>
      </c>
      <c r="O51" s="718" t="s">
        <v>251</v>
      </c>
      <c r="P51" s="1497">
        <f t="shared" si="0"/>
        <v>3100600</v>
      </c>
      <c r="Q51" s="1405">
        <f t="shared" si="1"/>
        <v>5041000</v>
      </c>
      <c r="R51" s="717"/>
      <c r="S51" s="718"/>
      <c r="T51" s="718"/>
      <c r="U51" s="718"/>
      <c r="V51" s="718"/>
      <c r="W51" s="718"/>
      <c r="X51" s="718"/>
      <c r="Y51" s="718"/>
      <c r="Z51" s="718"/>
      <c r="AA51" s="718"/>
      <c r="AB51" s="718"/>
      <c r="AC51" s="718"/>
      <c r="AD51" s="1405">
        <f t="shared" si="2"/>
        <v>0</v>
      </c>
      <c r="AE51" s="852">
        <f t="shared" si="3"/>
        <v>-1</v>
      </c>
      <c r="AF51" s="853">
        <f t="shared" si="4"/>
        <v>983</v>
      </c>
      <c r="AH51" s="1418" t="s">
        <v>1388</v>
      </c>
      <c r="AI51" s="1427">
        <v>2492100</v>
      </c>
      <c r="AJ51" s="1427">
        <v>730200</v>
      </c>
      <c r="AK51" s="1427">
        <f t="shared" si="5"/>
        <v>-1761900</v>
      </c>
      <c r="AL51" s="1419">
        <f t="shared" si="6"/>
        <v>-0.7069941013602985</v>
      </c>
      <c r="AM51"/>
      <c r="AN51"/>
      <c r="AO51"/>
      <c r="AP51"/>
      <c r="AQ51"/>
    </row>
    <row r="52" spans="1:43" x14ac:dyDescent="0.3">
      <c r="A52" s="287" t="s">
        <v>804</v>
      </c>
      <c r="B52" s="851" t="s">
        <v>1100</v>
      </c>
      <c r="C52" s="717">
        <v>0</v>
      </c>
      <c r="D52" s="718">
        <v>0</v>
      </c>
      <c r="E52" s="718">
        <v>1230050</v>
      </c>
      <c r="F52" s="718">
        <v>0</v>
      </c>
      <c r="G52" s="718">
        <v>719200</v>
      </c>
      <c r="H52" s="718">
        <v>0</v>
      </c>
      <c r="I52" s="718">
        <v>0</v>
      </c>
      <c r="J52" s="718">
        <v>0</v>
      </c>
      <c r="K52" s="718">
        <v>0</v>
      </c>
      <c r="L52" s="718">
        <v>0</v>
      </c>
      <c r="M52" s="718">
        <v>0</v>
      </c>
      <c r="N52" s="718">
        <v>0</v>
      </c>
      <c r="O52" s="718" t="s">
        <v>251</v>
      </c>
      <c r="P52" s="1497">
        <f t="shared" si="0"/>
        <v>1949250</v>
      </c>
      <c r="Q52" s="1405">
        <f t="shared" si="1"/>
        <v>1949250</v>
      </c>
      <c r="R52" s="717"/>
      <c r="S52" s="718">
        <v>3154300</v>
      </c>
      <c r="T52" s="718">
        <v>6400</v>
      </c>
      <c r="U52" s="718">
        <v>0</v>
      </c>
      <c r="V52" s="718">
        <v>0</v>
      </c>
      <c r="W52" s="718">
        <v>0</v>
      </c>
      <c r="X52" s="718">
        <v>0</v>
      </c>
      <c r="Y52" s="718">
        <v>0</v>
      </c>
      <c r="Z52" s="718"/>
      <c r="AA52" s="718"/>
      <c r="AB52" s="718"/>
      <c r="AC52" s="718"/>
      <c r="AD52" s="1405">
        <f t="shared" si="2"/>
        <v>3160700</v>
      </c>
      <c r="AE52" s="852">
        <f t="shared" si="3"/>
        <v>0.62149544696678205</v>
      </c>
      <c r="AF52" s="853">
        <f t="shared" si="4"/>
        <v>146</v>
      </c>
      <c r="AH52" s="1418" t="s">
        <v>1399</v>
      </c>
      <c r="AI52" s="1427">
        <v>2880050</v>
      </c>
      <c r="AJ52" s="1427">
        <v>532490</v>
      </c>
      <c r="AK52" s="1427">
        <f t="shared" si="5"/>
        <v>-2347560</v>
      </c>
      <c r="AL52" s="1419">
        <f t="shared" si="6"/>
        <v>-0.81511084876998663</v>
      </c>
      <c r="AM52"/>
      <c r="AN52"/>
      <c r="AO52"/>
      <c r="AP52"/>
      <c r="AQ52"/>
    </row>
    <row r="53" spans="1:43" x14ac:dyDescent="0.3">
      <c r="A53" s="287" t="s">
        <v>804</v>
      </c>
      <c r="B53" s="851" t="s">
        <v>1101</v>
      </c>
      <c r="C53" s="717">
        <v>1754850</v>
      </c>
      <c r="D53" s="718">
        <v>135400</v>
      </c>
      <c r="E53" s="718"/>
      <c r="F53" s="718">
        <v>0</v>
      </c>
      <c r="G53" s="718">
        <v>0</v>
      </c>
      <c r="H53" s="718">
        <v>0</v>
      </c>
      <c r="I53" s="718">
        <v>0</v>
      </c>
      <c r="J53" s="718">
        <v>0</v>
      </c>
      <c r="K53" s="718">
        <v>0</v>
      </c>
      <c r="L53" s="718">
        <v>0</v>
      </c>
      <c r="M53" s="718">
        <v>0</v>
      </c>
      <c r="N53" s="718">
        <v>0</v>
      </c>
      <c r="O53" s="718">
        <v>915650</v>
      </c>
      <c r="P53" s="1497">
        <f t="shared" si="0"/>
        <v>1890250</v>
      </c>
      <c r="Q53" s="1405">
        <f t="shared" si="1"/>
        <v>2805900</v>
      </c>
      <c r="R53" s="717">
        <v>500800</v>
      </c>
      <c r="S53" s="718"/>
      <c r="T53" s="718">
        <v>208750</v>
      </c>
      <c r="U53" s="718">
        <v>0</v>
      </c>
      <c r="V53" s="718">
        <v>0</v>
      </c>
      <c r="W53" s="718">
        <v>0</v>
      </c>
      <c r="X53" s="718">
        <v>0</v>
      </c>
      <c r="Y53" s="718">
        <v>0</v>
      </c>
      <c r="Z53" s="718"/>
      <c r="AA53" s="718"/>
      <c r="AB53" s="718"/>
      <c r="AC53" s="718"/>
      <c r="AD53" s="1405">
        <f t="shared" si="2"/>
        <v>709550</v>
      </c>
      <c r="AE53" s="852">
        <f t="shared" si="3"/>
        <v>-0.62462637217299299</v>
      </c>
      <c r="AF53" s="853">
        <f t="shared" si="4"/>
        <v>378</v>
      </c>
      <c r="AH53" s="1418" t="s">
        <v>2655</v>
      </c>
      <c r="AI53" s="1427">
        <v>0</v>
      </c>
      <c r="AJ53" s="1427">
        <v>452000</v>
      </c>
      <c r="AK53" s="1427">
        <f t="shared" si="5"/>
        <v>452000</v>
      </c>
      <c r="AL53" s="1419">
        <f t="shared" si="6"/>
        <v>0</v>
      </c>
      <c r="AM53"/>
      <c r="AN53"/>
      <c r="AO53"/>
      <c r="AP53"/>
      <c r="AQ53"/>
    </row>
    <row r="54" spans="1:43" x14ac:dyDescent="0.3">
      <c r="A54" s="287" t="s">
        <v>804</v>
      </c>
      <c r="B54" s="851" t="s">
        <v>1102</v>
      </c>
      <c r="C54" s="717">
        <v>837400</v>
      </c>
      <c r="D54" s="718">
        <v>0</v>
      </c>
      <c r="E54" s="718">
        <v>573900</v>
      </c>
      <c r="F54" s="718">
        <v>364600</v>
      </c>
      <c r="G54" s="718">
        <v>0</v>
      </c>
      <c r="H54" s="718">
        <v>0</v>
      </c>
      <c r="I54" s="718">
        <v>163100</v>
      </c>
      <c r="J54" s="718">
        <v>660000</v>
      </c>
      <c r="K54" s="718">
        <v>660000</v>
      </c>
      <c r="L54" s="718">
        <v>0</v>
      </c>
      <c r="M54" s="718">
        <v>0</v>
      </c>
      <c r="N54" s="718">
        <v>0</v>
      </c>
      <c r="O54" s="718" t="s">
        <v>251</v>
      </c>
      <c r="P54" s="1497">
        <f t="shared" si="0"/>
        <v>2599000</v>
      </c>
      <c r="Q54" s="1405">
        <f t="shared" si="1"/>
        <v>2599000</v>
      </c>
      <c r="R54" s="717"/>
      <c r="S54" s="718"/>
      <c r="T54" s="718"/>
      <c r="U54" s="718"/>
      <c r="V54" s="718"/>
      <c r="W54" s="718"/>
      <c r="X54" s="718"/>
      <c r="Y54" s="718"/>
      <c r="Z54" s="718"/>
      <c r="AA54" s="718"/>
      <c r="AB54" s="718"/>
      <c r="AC54" s="718"/>
      <c r="AD54" s="1405">
        <f t="shared" si="2"/>
        <v>0</v>
      </c>
      <c r="AE54" s="852">
        <f t="shared" si="3"/>
        <v>-1</v>
      </c>
      <c r="AF54" s="853">
        <f t="shared" si="4"/>
        <v>983</v>
      </c>
      <c r="AH54" s="1418" t="s">
        <v>1444</v>
      </c>
      <c r="AI54" s="1427">
        <v>1322700</v>
      </c>
      <c r="AJ54" s="1427">
        <v>304000</v>
      </c>
      <c r="AK54" s="1427">
        <f t="shared" si="5"/>
        <v>-1018700</v>
      </c>
      <c r="AL54" s="1419">
        <f t="shared" si="6"/>
        <v>-0.7701670824828003</v>
      </c>
      <c r="AM54"/>
      <c r="AN54"/>
      <c r="AO54"/>
      <c r="AP54"/>
      <c r="AQ54"/>
    </row>
    <row r="55" spans="1:43" x14ac:dyDescent="0.3">
      <c r="A55" s="287" t="s">
        <v>804</v>
      </c>
      <c r="B55" s="851" t="s">
        <v>1103</v>
      </c>
      <c r="C55" s="717">
        <v>1092400</v>
      </c>
      <c r="D55" s="718">
        <v>268350</v>
      </c>
      <c r="E55" s="718">
        <v>152050</v>
      </c>
      <c r="F55" s="718">
        <v>81300</v>
      </c>
      <c r="G55" s="718">
        <v>178800</v>
      </c>
      <c r="H55" s="718">
        <v>964200</v>
      </c>
      <c r="I55" s="718">
        <v>1235300</v>
      </c>
      <c r="J55" s="718">
        <v>1112100</v>
      </c>
      <c r="K55" s="718">
        <v>1033700</v>
      </c>
      <c r="L55" s="718">
        <v>524650</v>
      </c>
      <c r="M55" s="718">
        <v>0</v>
      </c>
      <c r="N55" s="718">
        <v>41300</v>
      </c>
      <c r="O55" s="718">
        <v>1229300</v>
      </c>
      <c r="P55" s="1497">
        <f t="shared" si="0"/>
        <v>5006100</v>
      </c>
      <c r="Q55" s="1405">
        <f t="shared" si="1"/>
        <v>6879750</v>
      </c>
      <c r="R55" s="717">
        <v>1160700</v>
      </c>
      <c r="S55" s="718"/>
      <c r="T55" s="718">
        <v>474200</v>
      </c>
      <c r="U55" s="718">
        <v>35000</v>
      </c>
      <c r="V55" s="718">
        <v>0</v>
      </c>
      <c r="W55" s="718">
        <v>281800</v>
      </c>
      <c r="X55" s="718">
        <v>915650</v>
      </c>
      <c r="Y55" s="718">
        <v>181700</v>
      </c>
      <c r="Z55" s="718"/>
      <c r="AA55" s="718"/>
      <c r="AB55" s="718"/>
      <c r="AC55" s="718"/>
      <c r="AD55" s="1405">
        <f t="shared" si="2"/>
        <v>3049050</v>
      </c>
      <c r="AE55" s="852">
        <f t="shared" si="3"/>
        <v>-0.39093306166476899</v>
      </c>
      <c r="AF55" s="853">
        <f t="shared" si="4"/>
        <v>152</v>
      </c>
      <c r="AH55" s="1418" t="s">
        <v>2553</v>
      </c>
      <c r="AI55" s="1427">
        <v>0</v>
      </c>
      <c r="AJ55" s="1427">
        <v>254800</v>
      </c>
      <c r="AK55" s="1427">
        <f t="shared" si="5"/>
        <v>254800</v>
      </c>
      <c r="AL55" s="1419">
        <f t="shared" si="6"/>
        <v>0</v>
      </c>
      <c r="AM55"/>
      <c r="AN55"/>
      <c r="AO55"/>
      <c r="AP55"/>
      <c r="AQ55"/>
    </row>
    <row r="56" spans="1:43" x14ac:dyDescent="0.3">
      <c r="A56" s="287" t="s">
        <v>804</v>
      </c>
      <c r="B56" s="851" t="s">
        <v>1104</v>
      </c>
      <c r="C56" s="717"/>
      <c r="D56" s="718">
        <v>0</v>
      </c>
      <c r="E56" s="718">
        <v>1710400</v>
      </c>
      <c r="F56" s="718">
        <v>0</v>
      </c>
      <c r="G56" s="718">
        <v>0</v>
      </c>
      <c r="H56" s="718">
        <v>420700</v>
      </c>
      <c r="I56" s="718">
        <v>0</v>
      </c>
      <c r="J56" s="718">
        <v>0</v>
      </c>
      <c r="K56" s="718">
        <v>0</v>
      </c>
      <c r="L56" s="718">
        <v>0</v>
      </c>
      <c r="M56" s="718">
        <v>0</v>
      </c>
      <c r="N56" s="718">
        <v>0</v>
      </c>
      <c r="O56" s="718" t="s">
        <v>251</v>
      </c>
      <c r="P56" s="1497">
        <f t="shared" si="0"/>
        <v>2131100</v>
      </c>
      <c r="Q56" s="1405">
        <f t="shared" si="1"/>
        <v>2131100</v>
      </c>
      <c r="R56" s="717"/>
      <c r="S56" s="718"/>
      <c r="T56" s="718"/>
      <c r="U56" s="718">
        <v>1628100</v>
      </c>
      <c r="V56" s="718">
        <v>874300</v>
      </c>
      <c r="W56" s="718">
        <v>0</v>
      </c>
      <c r="X56" s="718">
        <v>0</v>
      </c>
      <c r="Y56" s="718">
        <v>0</v>
      </c>
      <c r="Z56" s="718"/>
      <c r="AA56" s="718"/>
      <c r="AB56" s="718"/>
      <c r="AC56" s="718"/>
      <c r="AD56" s="1405">
        <f t="shared" si="2"/>
        <v>2502400</v>
      </c>
      <c r="AE56" s="852">
        <f t="shared" si="3"/>
        <v>0.17422927126835908</v>
      </c>
      <c r="AF56" s="853">
        <f t="shared" si="4"/>
        <v>173</v>
      </c>
      <c r="AH56" s="1418" t="s">
        <v>1460</v>
      </c>
      <c r="AI56" s="1427">
        <v>23500</v>
      </c>
      <c r="AJ56" s="1427">
        <v>195000</v>
      </c>
      <c r="AK56" s="1427">
        <f t="shared" si="5"/>
        <v>171500</v>
      </c>
      <c r="AL56" s="1419">
        <f t="shared" si="6"/>
        <v>7.2978723404255321</v>
      </c>
      <c r="AM56"/>
      <c r="AN56"/>
      <c r="AO56"/>
      <c r="AP56"/>
      <c r="AQ56"/>
    </row>
    <row r="57" spans="1:43" x14ac:dyDescent="0.3">
      <c r="A57" s="287" t="s">
        <v>804</v>
      </c>
      <c r="B57" s="851" t="s">
        <v>718</v>
      </c>
      <c r="C57" s="717"/>
      <c r="D57" s="718">
        <v>329750</v>
      </c>
      <c r="E57" s="718">
        <v>418850</v>
      </c>
      <c r="F57" s="718">
        <v>276100</v>
      </c>
      <c r="G57" s="718">
        <v>947650</v>
      </c>
      <c r="H57" s="718">
        <v>459900</v>
      </c>
      <c r="I57" s="718">
        <v>2268200</v>
      </c>
      <c r="J57" s="718">
        <v>687150</v>
      </c>
      <c r="K57" s="718">
        <v>623800</v>
      </c>
      <c r="L57" s="718">
        <v>670320</v>
      </c>
      <c r="M57" s="718">
        <v>525250</v>
      </c>
      <c r="N57" s="718">
        <v>321550</v>
      </c>
      <c r="O57" s="718">
        <v>1021200</v>
      </c>
      <c r="P57" s="1497">
        <f t="shared" si="0"/>
        <v>5324250</v>
      </c>
      <c r="Q57" s="1405">
        <f t="shared" si="1"/>
        <v>7925920</v>
      </c>
      <c r="R57" s="717">
        <v>1014370</v>
      </c>
      <c r="S57" s="718"/>
      <c r="T57" s="718">
        <v>255300</v>
      </c>
      <c r="U57" s="718">
        <v>839050</v>
      </c>
      <c r="V57" s="718">
        <v>196350</v>
      </c>
      <c r="W57" s="718">
        <v>1091300</v>
      </c>
      <c r="X57" s="718">
        <v>493150</v>
      </c>
      <c r="Y57" s="718">
        <v>570300</v>
      </c>
      <c r="Z57" s="718"/>
      <c r="AA57" s="718"/>
      <c r="AB57" s="718"/>
      <c r="AC57" s="718"/>
      <c r="AD57" s="1405">
        <f t="shared" si="2"/>
        <v>4459820</v>
      </c>
      <c r="AE57" s="852">
        <f t="shared" si="3"/>
        <v>-0.16235713950321642</v>
      </c>
      <c r="AF57" s="853">
        <f t="shared" si="4"/>
        <v>100</v>
      </c>
      <c r="AH57" s="1418" t="s">
        <v>1459</v>
      </c>
      <c r="AI57" s="1427">
        <v>328900</v>
      </c>
      <c r="AJ57" s="1427">
        <v>72150</v>
      </c>
      <c r="AK57" s="1427">
        <f t="shared" si="5"/>
        <v>-256750</v>
      </c>
      <c r="AL57" s="1419">
        <f t="shared" si="6"/>
        <v>-0.78063241106719372</v>
      </c>
      <c r="AM57"/>
      <c r="AN57"/>
      <c r="AO57"/>
      <c r="AP57"/>
      <c r="AQ57"/>
    </row>
    <row r="58" spans="1:43" x14ac:dyDescent="0.3">
      <c r="A58" s="287" t="s">
        <v>804</v>
      </c>
      <c r="B58" s="851" t="s">
        <v>1105</v>
      </c>
      <c r="C58" s="717">
        <v>285200</v>
      </c>
      <c r="D58" s="718">
        <v>305800</v>
      </c>
      <c r="E58" s="718">
        <v>566550</v>
      </c>
      <c r="F58" s="718">
        <v>27850</v>
      </c>
      <c r="G58" s="718">
        <v>436120</v>
      </c>
      <c r="H58" s="718">
        <v>136620</v>
      </c>
      <c r="I58" s="718">
        <v>0</v>
      </c>
      <c r="J58" s="718">
        <v>180500</v>
      </c>
      <c r="K58" s="718">
        <v>180500</v>
      </c>
      <c r="L58" s="718">
        <v>1667550</v>
      </c>
      <c r="M58" s="718">
        <v>410750</v>
      </c>
      <c r="N58" s="718">
        <v>224000</v>
      </c>
      <c r="O58" s="718">
        <v>510350</v>
      </c>
      <c r="P58" s="1497">
        <f t="shared" si="0"/>
        <v>1938640</v>
      </c>
      <c r="Q58" s="1405">
        <f t="shared" si="1"/>
        <v>4751290</v>
      </c>
      <c r="R58" s="717">
        <v>270000</v>
      </c>
      <c r="S58" s="718">
        <v>94150</v>
      </c>
      <c r="T58" s="718">
        <v>0</v>
      </c>
      <c r="U58" s="718">
        <v>1069300</v>
      </c>
      <c r="V58" s="718">
        <v>162400</v>
      </c>
      <c r="W58" s="718">
        <v>0</v>
      </c>
      <c r="X58" s="718">
        <v>33000</v>
      </c>
      <c r="Y58" s="718">
        <v>378370</v>
      </c>
      <c r="Z58" s="718"/>
      <c r="AA58" s="718"/>
      <c r="AB58" s="718"/>
      <c r="AC58" s="718"/>
      <c r="AD58" s="1405">
        <f t="shared" si="2"/>
        <v>2007220</v>
      </c>
      <c r="AE58" s="852">
        <f t="shared" si="3"/>
        <v>3.5375314653571577E-2</v>
      </c>
      <c r="AF58" s="853">
        <f t="shared" si="4"/>
        <v>211</v>
      </c>
      <c r="AH58" s="1418" t="s">
        <v>691</v>
      </c>
      <c r="AI58" s="1427">
        <v>147500</v>
      </c>
      <c r="AJ58" s="1427">
        <v>65000</v>
      </c>
      <c r="AK58" s="1427">
        <f t="shared" si="5"/>
        <v>-82500</v>
      </c>
      <c r="AL58" s="1419">
        <f t="shared" si="6"/>
        <v>-0.55932203389830504</v>
      </c>
      <c r="AM58"/>
      <c r="AN58"/>
      <c r="AO58"/>
      <c r="AP58"/>
      <c r="AQ58"/>
    </row>
    <row r="59" spans="1:43" x14ac:dyDescent="0.3">
      <c r="A59" s="287" t="s">
        <v>804</v>
      </c>
      <c r="B59" s="851" t="s">
        <v>1106</v>
      </c>
      <c r="C59" s="717">
        <v>140000</v>
      </c>
      <c r="D59" s="718">
        <v>0</v>
      </c>
      <c r="E59" s="718">
        <v>1616000</v>
      </c>
      <c r="F59" s="718">
        <v>0</v>
      </c>
      <c r="G59" s="718">
        <v>0</v>
      </c>
      <c r="H59" s="718">
        <v>261000</v>
      </c>
      <c r="I59" s="718">
        <v>517300</v>
      </c>
      <c r="J59" s="718">
        <v>0</v>
      </c>
      <c r="K59" s="718">
        <v>0</v>
      </c>
      <c r="L59" s="718">
        <v>266700</v>
      </c>
      <c r="M59" s="718">
        <v>0</v>
      </c>
      <c r="N59" s="718">
        <v>1431100</v>
      </c>
      <c r="O59" s="718">
        <v>858700</v>
      </c>
      <c r="P59" s="1497">
        <f t="shared" si="0"/>
        <v>2534300</v>
      </c>
      <c r="Q59" s="1405">
        <f t="shared" si="1"/>
        <v>5090800</v>
      </c>
      <c r="R59" s="717"/>
      <c r="S59" s="718"/>
      <c r="T59" s="718"/>
      <c r="U59" s="718"/>
      <c r="V59" s="718">
        <v>510350</v>
      </c>
      <c r="W59" s="718">
        <v>0</v>
      </c>
      <c r="X59" s="718">
        <v>0</v>
      </c>
      <c r="Y59" s="718">
        <v>0</v>
      </c>
      <c r="Z59" s="718"/>
      <c r="AA59" s="718"/>
      <c r="AB59" s="718"/>
      <c r="AC59" s="718"/>
      <c r="AD59" s="1405">
        <f t="shared" si="2"/>
        <v>510350</v>
      </c>
      <c r="AE59" s="852">
        <f t="shared" si="3"/>
        <v>-0.79862289389575025</v>
      </c>
      <c r="AF59" s="853">
        <f t="shared" si="4"/>
        <v>432</v>
      </c>
      <c r="AH59" s="1418" t="s">
        <v>2511</v>
      </c>
      <c r="AI59" s="1427">
        <v>0</v>
      </c>
      <c r="AJ59" s="1427">
        <v>31800</v>
      </c>
      <c r="AK59" s="1427">
        <f t="shared" si="5"/>
        <v>31800</v>
      </c>
      <c r="AL59" s="1419">
        <f t="shared" si="6"/>
        <v>0</v>
      </c>
      <c r="AM59"/>
      <c r="AN59"/>
      <c r="AO59"/>
      <c r="AP59"/>
      <c r="AQ59"/>
    </row>
    <row r="60" spans="1:43" x14ac:dyDescent="0.3">
      <c r="A60" s="287" t="s">
        <v>804</v>
      </c>
      <c r="B60" s="851" t="s">
        <v>1107</v>
      </c>
      <c r="C60" s="717">
        <v>274500</v>
      </c>
      <c r="D60" s="718">
        <v>247100</v>
      </c>
      <c r="E60" s="718">
        <v>386600</v>
      </c>
      <c r="F60" s="718">
        <v>249700</v>
      </c>
      <c r="G60" s="718">
        <v>359300</v>
      </c>
      <c r="H60" s="718">
        <v>226750</v>
      </c>
      <c r="I60" s="718">
        <v>635350</v>
      </c>
      <c r="J60" s="718">
        <v>975300</v>
      </c>
      <c r="K60" s="718">
        <v>975300</v>
      </c>
      <c r="L60" s="718">
        <v>179300</v>
      </c>
      <c r="M60" s="718">
        <v>0</v>
      </c>
      <c r="N60" s="718">
        <v>119200</v>
      </c>
      <c r="O60" s="718">
        <v>375400</v>
      </c>
      <c r="P60" s="1497">
        <f t="shared" si="0"/>
        <v>3354600</v>
      </c>
      <c r="Q60" s="1405">
        <f t="shared" si="1"/>
        <v>4028500</v>
      </c>
      <c r="R60" s="717">
        <v>387450</v>
      </c>
      <c r="S60" s="718">
        <v>201050</v>
      </c>
      <c r="T60" s="718">
        <v>175250</v>
      </c>
      <c r="U60" s="718">
        <v>262100</v>
      </c>
      <c r="V60" s="718">
        <v>199250</v>
      </c>
      <c r="W60" s="718">
        <v>108600</v>
      </c>
      <c r="X60" s="718">
        <v>101200</v>
      </c>
      <c r="Y60" s="718">
        <v>60050</v>
      </c>
      <c r="Z60" s="718"/>
      <c r="AA60" s="718"/>
      <c r="AB60" s="718"/>
      <c r="AC60" s="718"/>
      <c r="AD60" s="1405">
        <f t="shared" si="2"/>
        <v>1494950</v>
      </c>
      <c r="AE60" s="852">
        <f t="shared" si="3"/>
        <v>-0.55435819471770109</v>
      </c>
      <c r="AF60" s="853">
        <f t="shared" si="4"/>
        <v>248</v>
      </c>
      <c r="AH60" s="1418" t="s">
        <v>1467</v>
      </c>
      <c r="AI60" s="1427">
        <v>0</v>
      </c>
      <c r="AJ60" s="1427">
        <v>21000</v>
      </c>
      <c r="AK60" s="1427">
        <f t="shared" si="5"/>
        <v>21000</v>
      </c>
      <c r="AL60" s="1419">
        <f t="shared" si="6"/>
        <v>0</v>
      </c>
      <c r="AM60"/>
      <c r="AN60"/>
      <c r="AO60"/>
      <c r="AP60"/>
      <c r="AQ60"/>
    </row>
    <row r="61" spans="1:43" x14ac:dyDescent="0.3">
      <c r="A61" s="287" t="s">
        <v>804</v>
      </c>
      <c r="B61" s="851" t="s">
        <v>1108</v>
      </c>
      <c r="C61" s="717">
        <v>0</v>
      </c>
      <c r="D61" s="718">
        <v>724850</v>
      </c>
      <c r="E61" s="718">
        <v>117000</v>
      </c>
      <c r="F61" s="718">
        <v>558350</v>
      </c>
      <c r="G61" s="718">
        <v>0</v>
      </c>
      <c r="H61" s="718">
        <v>0</v>
      </c>
      <c r="I61" s="718">
        <v>1209750</v>
      </c>
      <c r="J61" s="718">
        <v>4291000</v>
      </c>
      <c r="K61" s="718">
        <v>3810350</v>
      </c>
      <c r="L61" s="718">
        <v>204200</v>
      </c>
      <c r="M61" s="718">
        <v>0</v>
      </c>
      <c r="N61" s="718">
        <v>839400</v>
      </c>
      <c r="O61" s="718">
        <v>270800</v>
      </c>
      <c r="P61" s="1497">
        <f t="shared" si="0"/>
        <v>6420300</v>
      </c>
      <c r="Q61" s="1405">
        <f t="shared" si="1"/>
        <v>8215350</v>
      </c>
      <c r="R61" s="717">
        <v>455900</v>
      </c>
      <c r="S61" s="718">
        <v>16550</v>
      </c>
      <c r="T61" s="718">
        <v>285050</v>
      </c>
      <c r="U61" s="718">
        <v>703500</v>
      </c>
      <c r="V61" s="718">
        <v>219500</v>
      </c>
      <c r="W61" s="718">
        <v>0</v>
      </c>
      <c r="X61" s="718">
        <v>872600</v>
      </c>
      <c r="Y61" s="718">
        <v>2575350</v>
      </c>
      <c r="Z61" s="718"/>
      <c r="AA61" s="718"/>
      <c r="AB61" s="718"/>
      <c r="AC61" s="718"/>
      <c r="AD61" s="1405">
        <f t="shared" si="2"/>
        <v>5128450</v>
      </c>
      <c r="AE61" s="852">
        <f t="shared" si="3"/>
        <v>-0.20121333894054794</v>
      </c>
      <c r="AF61" s="853">
        <f t="shared" si="4"/>
        <v>87</v>
      </c>
      <c r="AH61" s="1418" t="s">
        <v>2168</v>
      </c>
      <c r="AI61" s="1427">
        <v>0</v>
      </c>
      <c r="AJ61" s="1427">
        <v>0</v>
      </c>
      <c r="AK61" s="1427">
        <f t="shared" si="5"/>
        <v>0</v>
      </c>
      <c r="AL61" s="1419">
        <f t="shared" si="6"/>
        <v>0</v>
      </c>
      <c r="AM61"/>
      <c r="AN61"/>
      <c r="AO61"/>
      <c r="AP61"/>
      <c r="AQ61"/>
    </row>
    <row r="62" spans="1:43" x14ac:dyDescent="0.3">
      <c r="A62" s="287" t="s">
        <v>804</v>
      </c>
      <c r="B62" s="851" t="s">
        <v>1109</v>
      </c>
      <c r="C62" s="717">
        <v>751900</v>
      </c>
      <c r="D62" s="718">
        <v>115150</v>
      </c>
      <c r="E62" s="718">
        <v>0</v>
      </c>
      <c r="F62" s="718">
        <v>73150</v>
      </c>
      <c r="G62" s="718">
        <v>372400</v>
      </c>
      <c r="H62" s="718">
        <v>73150</v>
      </c>
      <c r="I62" s="718">
        <v>0</v>
      </c>
      <c r="J62" s="718">
        <v>0</v>
      </c>
      <c r="K62" s="718">
        <v>0</v>
      </c>
      <c r="L62" s="718">
        <v>0</v>
      </c>
      <c r="M62" s="718">
        <v>367950</v>
      </c>
      <c r="N62" s="718">
        <v>0</v>
      </c>
      <c r="O62" s="718">
        <v>123150</v>
      </c>
      <c r="P62" s="1497">
        <f t="shared" si="0"/>
        <v>1385750</v>
      </c>
      <c r="Q62" s="1405">
        <f t="shared" si="1"/>
        <v>1876850</v>
      </c>
      <c r="R62" s="717">
        <v>365750</v>
      </c>
      <c r="S62" s="718"/>
      <c r="T62" s="718">
        <v>0</v>
      </c>
      <c r="U62" s="718">
        <v>107220</v>
      </c>
      <c r="V62" s="718">
        <v>0</v>
      </c>
      <c r="W62" s="718">
        <v>0</v>
      </c>
      <c r="X62" s="718">
        <v>0</v>
      </c>
      <c r="Y62" s="718">
        <v>0</v>
      </c>
      <c r="Z62" s="718"/>
      <c r="AA62" s="718"/>
      <c r="AB62" s="718"/>
      <c r="AC62" s="718"/>
      <c r="AD62" s="1405">
        <f t="shared" si="2"/>
        <v>472970</v>
      </c>
      <c r="AE62" s="852">
        <f t="shared" si="3"/>
        <v>-0.6586902399422695</v>
      </c>
      <c r="AF62" s="853">
        <f t="shared" si="4"/>
        <v>455</v>
      </c>
      <c r="AH62" s="1418" t="s">
        <v>1397</v>
      </c>
      <c r="AI62" s="1427">
        <v>810800</v>
      </c>
      <c r="AJ62" s="1427">
        <v>0</v>
      </c>
      <c r="AK62" s="1427">
        <f t="shared" si="5"/>
        <v>-810800</v>
      </c>
      <c r="AL62" s="1419">
        <f t="shared" si="6"/>
        <v>-1</v>
      </c>
      <c r="AM62"/>
      <c r="AN62"/>
      <c r="AO62"/>
      <c r="AP62"/>
      <c r="AQ62"/>
    </row>
    <row r="63" spans="1:43" x14ac:dyDescent="0.3">
      <c r="A63" s="287" t="s">
        <v>804</v>
      </c>
      <c r="B63" s="851" t="s">
        <v>704</v>
      </c>
      <c r="C63" s="717">
        <v>267570</v>
      </c>
      <c r="D63" s="718">
        <v>169350</v>
      </c>
      <c r="E63" s="718">
        <v>95400</v>
      </c>
      <c r="F63" s="718">
        <v>610400</v>
      </c>
      <c r="G63" s="718">
        <v>155700</v>
      </c>
      <c r="H63" s="718">
        <v>167000</v>
      </c>
      <c r="I63" s="718">
        <v>0</v>
      </c>
      <c r="J63" s="718">
        <v>0</v>
      </c>
      <c r="K63" s="718">
        <v>0</v>
      </c>
      <c r="L63" s="718">
        <v>0</v>
      </c>
      <c r="M63" s="718">
        <v>513850</v>
      </c>
      <c r="N63" s="718">
        <v>0</v>
      </c>
      <c r="O63" s="718">
        <v>256850</v>
      </c>
      <c r="P63" s="1497">
        <f t="shared" si="0"/>
        <v>1465420</v>
      </c>
      <c r="Q63" s="1405">
        <f t="shared" si="1"/>
        <v>2236120</v>
      </c>
      <c r="R63" s="717">
        <v>296700</v>
      </c>
      <c r="S63" s="718"/>
      <c r="T63" s="718">
        <v>1073900</v>
      </c>
      <c r="U63" s="718">
        <v>11650</v>
      </c>
      <c r="V63" s="718">
        <v>0</v>
      </c>
      <c r="W63" s="718">
        <v>0</v>
      </c>
      <c r="X63" s="718">
        <v>308000</v>
      </c>
      <c r="Y63" s="718">
        <v>467500</v>
      </c>
      <c r="Z63" s="718"/>
      <c r="AA63" s="718"/>
      <c r="AB63" s="718"/>
      <c r="AC63" s="718"/>
      <c r="AD63" s="1405">
        <f t="shared" si="2"/>
        <v>2157750</v>
      </c>
      <c r="AE63" s="852">
        <f t="shared" si="3"/>
        <v>0.47244475986406625</v>
      </c>
      <c r="AF63" s="853">
        <f t="shared" si="4"/>
        <v>201</v>
      </c>
      <c r="AH63" s="1418" t="s">
        <v>2110</v>
      </c>
      <c r="AI63" s="1427">
        <v>0</v>
      </c>
      <c r="AJ63" s="1427">
        <v>0</v>
      </c>
      <c r="AK63" s="1427">
        <f t="shared" si="5"/>
        <v>0</v>
      </c>
      <c r="AL63" s="1419">
        <f t="shared" si="6"/>
        <v>0</v>
      </c>
      <c r="AM63"/>
      <c r="AN63"/>
      <c r="AO63"/>
      <c r="AP63"/>
      <c r="AQ63"/>
    </row>
    <row r="64" spans="1:43" x14ac:dyDescent="0.3">
      <c r="A64" s="287" t="s">
        <v>804</v>
      </c>
      <c r="B64" s="851" t="s">
        <v>1110</v>
      </c>
      <c r="C64" s="717">
        <v>0</v>
      </c>
      <c r="D64" s="718">
        <v>40950</v>
      </c>
      <c r="E64" s="718">
        <v>280050</v>
      </c>
      <c r="F64" s="718">
        <v>851300</v>
      </c>
      <c r="G64" s="718">
        <v>48750</v>
      </c>
      <c r="H64" s="718">
        <v>671550</v>
      </c>
      <c r="I64" s="718">
        <v>1182700</v>
      </c>
      <c r="J64" s="718">
        <v>39200</v>
      </c>
      <c r="K64" s="718">
        <v>39200</v>
      </c>
      <c r="L64" s="718">
        <v>723850</v>
      </c>
      <c r="M64" s="718">
        <v>81300</v>
      </c>
      <c r="N64" s="718">
        <v>729350</v>
      </c>
      <c r="O64" s="718" t="s">
        <v>251</v>
      </c>
      <c r="P64" s="1497">
        <f t="shared" si="0"/>
        <v>3114500</v>
      </c>
      <c r="Q64" s="1405">
        <f t="shared" si="1"/>
        <v>4649000</v>
      </c>
      <c r="R64" s="717">
        <v>695900</v>
      </c>
      <c r="S64" s="718">
        <v>13400</v>
      </c>
      <c r="T64" s="718">
        <v>101050</v>
      </c>
      <c r="U64" s="718">
        <v>767650</v>
      </c>
      <c r="V64" s="718">
        <v>352250</v>
      </c>
      <c r="W64" s="718">
        <v>0</v>
      </c>
      <c r="X64" s="718">
        <v>88750</v>
      </c>
      <c r="Y64" s="718">
        <v>646970</v>
      </c>
      <c r="Z64" s="718"/>
      <c r="AA64" s="718"/>
      <c r="AB64" s="718"/>
      <c r="AC64" s="718"/>
      <c r="AD64" s="1405">
        <f t="shared" si="2"/>
        <v>2665970</v>
      </c>
      <c r="AE64" s="852">
        <f t="shared" si="3"/>
        <v>-0.14401348531064376</v>
      </c>
      <c r="AF64" s="853">
        <f t="shared" si="4"/>
        <v>166</v>
      </c>
      <c r="AH64" s="1418" t="s">
        <v>1461</v>
      </c>
      <c r="AI64" s="1427">
        <v>0</v>
      </c>
      <c r="AJ64" s="1427">
        <v>0</v>
      </c>
      <c r="AK64" s="1427">
        <f t="shared" si="5"/>
        <v>0</v>
      </c>
      <c r="AL64" s="1419">
        <f t="shared" si="6"/>
        <v>0</v>
      </c>
      <c r="AM64"/>
      <c r="AN64"/>
      <c r="AO64"/>
      <c r="AP64"/>
      <c r="AQ64"/>
    </row>
    <row r="65" spans="1:43" x14ac:dyDescent="0.3">
      <c r="A65" s="287" t="s">
        <v>804</v>
      </c>
      <c r="B65" s="851" t="s">
        <v>1111</v>
      </c>
      <c r="C65" s="717"/>
      <c r="D65" s="718">
        <v>0</v>
      </c>
      <c r="E65" s="718">
        <v>993420</v>
      </c>
      <c r="F65" s="718">
        <v>99450</v>
      </c>
      <c r="G65" s="718">
        <v>95150</v>
      </c>
      <c r="H65" s="718">
        <v>727700</v>
      </c>
      <c r="I65" s="718">
        <v>780400</v>
      </c>
      <c r="J65" s="718">
        <v>750900</v>
      </c>
      <c r="K65" s="718">
        <v>750900</v>
      </c>
      <c r="L65" s="718">
        <v>624750</v>
      </c>
      <c r="M65" s="718">
        <v>383750</v>
      </c>
      <c r="N65" s="718">
        <v>200100</v>
      </c>
      <c r="O65" s="718">
        <v>7450</v>
      </c>
      <c r="P65" s="1497">
        <f t="shared" si="0"/>
        <v>3447020</v>
      </c>
      <c r="Q65" s="1405">
        <f t="shared" si="1"/>
        <v>4663070</v>
      </c>
      <c r="R65" s="717"/>
      <c r="S65" s="718"/>
      <c r="T65" s="718"/>
      <c r="U65" s="718"/>
      <c r="V65" s="718"/>
      <c r="W65" s="718"/>
      <c r="X65" s="718"/>
      <c r="Y65" s="718"/>
      <c r="Z65" s="718"/>
      <c r="AA65" s="718"/>
      <c r="AB65" s="718"/>
      <c r="AC65" s="718"/>
      <c r="AD65" s="1405">
        <f t="shared" si="2"/>
        <v>0</v>
      </c>
      <c r="AE65" s="852">
        <f t="shared" si="3"/>
        <v>-1</v>
      </c>
      <c r="AF65" s="853">
        <f t="shared" si="4"/>
        <v>983</v>
      </c>
      <c r="AH65" s="1418" t="s">
        <v>1394</v>
      </c>
      <c r="AI65" s="1427">
        <v>990300</v>
      </c>
      <c r="AJ65" s="1427">
        <v>0</v>
      </c>
      <c r="AK65" s="1427">
        <f t="shared" si="5"/>
        <v>-990300</v>
      </c>
      <c r="AL65" s="1419">
        <f t="shared" si="6"/>
        <v>-1</v>
      </c>
      <c r="AM65"/>
      <c r="AN65"/>
      <c r="AO65"/>
      <c r="AP65"/>
      <c r="AQ65"/>
    </row>
    <row r="66" spans="1:43" x14ac:dyDescent="0.3">
      <c r="A66" s="287" t="s">
        <v>804</v>
      </c>
      <c r="B66" s="851" t="s">
        <v>725</v>
      </c>
      <c r="C66" s="717">
        <v>146600</v>
      </c>
      <c r="D66" s="718">
        <v>93300</v>
      </c>
      <c r="E66" s="718">
        <v>651050</v>
      </c>
      <c r="F66" s="718">
        <v>293250</v>
      </c>
      <c r="G66" s="718">
        <v>0</v>
      </c>
      <c r="H66" s="718">
        <v>435750</v>
      </c>
      <c r="I66" s="718">
        <v>564570</v>
      </c>
      <c r="J66" s="718">
        <v>1343950</v>
      </c>
      <c r="K66" s="718">
        <v>1116600</v>
      </c>
      <c r="L66" s="718">
        <v>539250</v>
      </c>
      <c r="M66" s="718">
        <v>962850</v>
      </c>
      <c r="N66" s="718">
        <v>1206450</v>
      </c>
      <c r="O66" s="718">
        <v>115250</v>
      </c>
      <c r="P66" s="1497">
        <f t="shared" si="0"/>
        <v>3301120</v>
      </c>
      <c r="Q66" s="1405">
        <f t="shared" si="1"/>
        <v>6352270</v>
      </c>
      <c r="R66" s="717">
        <v>597700</v>
      </c>
      <c r="S66" s="718">
        <v>68700</v>
      </c>
      <c r="T66" s="718">
        <v>1170400</v>
      </c>
      <c r="U66" s="718">
        <v>614750</v>
      </c>
      <c r="V66" s="718">
        <v>317850</v>
      </c>
      <c r="W66" s="718">
        <v>356850</v>
      </c>
      <c r="X66" s="718">
        <v>1229950</v>
      </c>
      <c r="Y66" s="718">
        <v>355750</v>
      </c>
      <c r="Z66" s="718"/>
      <c r="AA66" s="718"/>
      <c r="AB66" s="718"/>
      <c r="AC66" s="718"/>
      <c r="AD66" s="1405">
        <f t="shared" ref="AD66:AD129" si="7">SUM(R66:AC66)</f>
        <v>4711950</v>
      </c>
      <c r="AE66" s="852">
        <f t="shared" ref="AE66:AE129" si="8">IF(OR(AD66="", P66=""), 0, IFERROR((AD66-P66)/P66, IF(AD66&lt;&gt;0, 1, 0)))</f>
        <v>0.42737919251647927</v>
      </c>
      <c r="AF66" s="853">
        <f t="shared" si="4"/>
        <v>95</v>
      </c>
      <c r="AH66" s="1418" t="s">
        <v>1463</v>
      </c>
      <c r="AI66" s="1427">
        <v>0</v>
      </c>
      <c r="AJ66" s="1427">
        <v>0</v>
      </c>
      <c r="AK66" s="1427">
        <f t="shared" si="5"/>
        <v>0</v>
      </c>
      <c r="AL66" s="1419">
        <f t="shared" si="6"/>
        <v>0</v>
      </c>
      <c r="AM66"/>
      <c r="AN66"/>
      <c r="AO66"/>
      <c r="AP66"/>
      <c r="AQ66"/>
    </row>
    <row r="67" spans="1:43" x14ac:dyDescent="0.3">
      <c r="A67" s="287" t="s">
        <v>804</v>
      </c>
      <c r="B67" s="851" t="s">
        <v>710</v>
      </c>
      <c r="C67" s="717">
        <v>330800</v>
      </c>
      <c r="D67" s="718">
        <v>0</v>
      </c>
      <c r="E67" s="718">
        <v>590850</v>
      </c>
      <c r="F67" s="718">
        <v>234350</v>
      </c>
      <c r="G67" s="718">
        <v>13400</v>
      </c>
      <c r="H67" s="718">
        <v>0</v>
      </c>
      <c r="I67" s="718">
        <v>0</v>
      </c>
      <c r="J67" s="718">
        <v>0</v>
      </c>
      <c r="K67" s="718">
        <v>0</v>
      </c>
      <c r="L67" s="718">
        <v>264050</v>
      </c>
      <c r="M67" s="718">
        <v>598100</v>
      </c>
      <c r="N67" s="718">
        <v>0</v>
      </c>
      <c r="O67" s="718" t="s">
        <v>251</v>
      </c>
      <c r="P67" s="1497">
        <f t="shared" ref="P67:P130" si="9">SUM(C67:I67,K67)</f>
        <v>1169400</v>
      </c>
      <c r="Q67" s="1405">
        <f t="shared" ref="Q67:Q130" si="10">SUM(C67:J67,L67:O67)</f>
        <v>2031550</v>
      </c>
      <c r="R67" s="717"/>
      <c r="S67" s="718"/>
      <c r="T67" s="718"/>
      <c r="U67" s="718"/>
      <c r="V67" s="718">
        <v>115250</v>
      </c>
      <c r="W67" s="718">
        <v>0</v>
      </c>
      <c r="X67" s="718">
        <v>0</v>
      </c>
      <c r="Y67" s="718">
        <v>0</v>
      </c>
      <c r="Z67" s="718"/>
      <c r="AA67" s="718"/>
      <c r="AB67" s="718"/>
      <c r="AC67" s="718"/>
      <c r="AD67" s="1405">
        <f t="shared" si="7"/>
        <v>115250</v>
      </c>
      <c r="AE67" s="852">
        <f t="shared" si="8"/>
        <v>-0.90144518556524711</v>
      </c>
      <c r="AF67" s="853">
        <f t="shared" ref="AF67:AF130" si="11">IFERROR(_xlfn.RANK.EQ(AD67, $AD$2:$AD$2064), "")</f>
        <v>723</v>
      </c>
      <c r="AH67" s="1418" t="s">
        <v>2355</v>
      </c>
      <c r="AI67" s="1427">
        <v>0</v>
      </c>
      <c r="AJ67" s="1427">
        <v>0</v>
      </c>
      <c r="AK67" s="1427">
        <f t="shared" si="5"/>
        <v>0</v>
      </c>
      <c r="AL67" s="1419">
        <f t="shared" si="6"/>
        <v>0</v>
      </c>
      <c r="AM67"/>
      <c r="AN67"/>
      <c r="AO67"/>
      <c r="AP67"/>
      <c r="AQ67"/>
    </row>
    <row r="68" spans="1:43" x14ac:dyDescent="0.3">
      <c r="A68" s="287" t="s">
        <v>804</v>
      </c>
      <c r="B68" s="851" t="s">
        <v>1112</v>
      </c>
      <c r="C68" s="717"/>
      <c r="D68" s="718">
        <v>0</v>
      </c>
      <c r="E68" s="718">
        <v>1151700</v>
      </c>
      <c r="F68" s="718">
        <v>0</v>
      </c>
      <c r="G68" s="718">
        <v>0</v>
      </c>
      <c r="H68" s="718">
        <v>0</v>
      </c>
      <c r="I68" s="718">
        <v>0</v>
      </c>
      <c r="J68" s="718">
        <v>0</v>
      </c>
      <c r="K68" s="718">
        <v>0</v>
      </c>
      <c r="L68" s="718">
        <v>0</v>
      </c>
      <c r="M68" s="718">
        <v>0</v>
      </c>
      <c r="N68" s="718">
        <v>0</v>
      </c>
      <c r="O68" s="718" t="s">
        <v>251</v>
      </c>
      <c r="P68" s="1497">
        <f t="shared" si="9"/>
        <v>1151700</v>
      </c>
      <c r="Q68" s="1405">
        <f t="shared" si="10"/>
        <v>1151700</v>
      </c>
      <c r="R68" s="717"/>
      <c r="S68" s="718"/>
      <c r="T68" s="718"/>
      <c r="U68" s="718"/>
      <c r="V68" s="718"/>
      <c r="W68" s="718"/>
      <c r="X68" s="718"/>
      <c r="Y68" s="718"/>
      <c r="Z68" s="718"/>
      <c r="AA68" s="718"/>
      <c r="AB68" s="718"/>
      <c r="AC68" s="718"/>
      <c r="AD68" s="1405">
        <f t="shared" si="7"/>
        <v>0</v>
      </c>
      <c r="AE68" s="852">
        <f t="shared" si="8"/>
        <v>-1</v>
      </c>
      <c r="AF68" s="853">
        <f t="shared" si="11"/>
        <v>983</v>
      </c>
      <c r="AH68" s="1418" t="s">
        <v>992</v>
      </c>
      <c r="AI68" s="1427">
        <v>30000</v>
      </c>
      <c r="AJ68" s="1427">
        <v>0</v>
      </c>
      <c r="AK68" s="1427">
        <f t="shared" ref="AK68:AK79" si="12">AJ68-AI68</f>
        <v>-30000</v>
      </c>
      <c r="AL68" s="1419">
        <f t="shared" ref="AL68:AL79" si="13">IFERROR((AJ68-AI68)/AI68, 0)</f>
        <v>-1</v>
      </c>
      <c r="AM68"/>
      <c r="AN68"/>
      <c r="AO68"/>
      <c r="AP68"/>
      <c r="AQ68"/>
    </row>
    <row r="69" spans="1:43" x14ac:dyDescent="0.3">
      <c r="A69" s="287" t="s">
        <v>804</v>
      </c>
      <c r="B69" s="851" t="s">
        <v>1113</v>
      </c>
      <c r="C69" s="717">
        <v>205000</v>
      </c>
      <c r="D69" s="718">
        <v>0</v>
      </c>
      <c r="E69" s="718">
        <v>387800</v>
      </c>
      <c r="F69" s="718">
        <v>446250</v>
      </c>
      <c r="G69" s="718">
        <v>61800</v>
      </c>
      <c r="H69" s="718">
        <v>0</v>
      </c>
      <c r="I69" s="718">
        <v>31000</v>
      </c>
      <c r="J69" s="718">
        <v>0</v>
      </c>
      <c r="K69" s="718">
        <v>0</v>
      </c>
      <c r="L69" s="718">
        <v>45150</v>
      </c>
      <c r="M69" s="718">
        <v>664000</v>
      </c>
      <c r="N69" s="718">
        <v>530500</v>
      </c>
      <c r="O69" s="718">
        <v>162050</v>
      </c>
      <c r="P69" s="1497">
        <f t="shared" si="9"/>
        <v>1131850</v>
      </c>
      <c r="Q69" s="1405">
        <f t="shared" si="10"/>
        <v>2533550</v>
      </c>
      <c r="R69" s="717"/>
      <c r="S69" s="718"/>
      <c r="T69" s="718"/>
      <c r="U69" s="718">
        <v>137650</v>
      </c>
      <c r="V69" s="718">
        <v>316400</v>
      </c>
      <c r="W69" s="718">
        <v>183950</v>
      </c>
      <c r="X69" s="718">
        <v>0</v>
      </c>
      <c r="Y69" s="718">
        <v>0</v>
      </c>
      <c r="Z69" s="718"/>
      <c r="AA69" s="718"/>
      <c r="AB69" s="718"/>
      <c r="AC69" s="718"/>
      <c r="AD69" s="1405">
        <f t="shared" si="7"/>
        <v>638000</v>
      </c>
      <c r="AE69" s="852">
        <f t="shared" si="8"/>
        <v>-0.43632106727923309</v>
      </c>
      <c r="AF69" s="853">
        <f t="shared" si="11"/>
        <v>397</v>
      </c>
      <c r="AH69" s="1418" t="s">
        <v>2174</v>
      </c>
      <c r="AI69" s="1427">
        <v>0</v>
      </c>
      <c r="AJ69" s="1427">
        <v>0</v>
      </c>
      <c r="AK69" s="1427">
        <f t="shared" si="12"/>
        <v>0</v>
      </c>
      <c r="AL69" s="1419">
        <f t="shared" si="13"/>
        <v>0</v>
      </c>
      <c r="AM69"/>
      <c r="AN69"/>
      <c r="AO69"/>
      <c r="AP69"/>
      <c r="AQ69"/>
    </row>
    <row r="70" spans="1:43" x14ac:dyDescent="0.3">
      <c r="A70" s="287" t="s">
        <v>804</v>
      </c>
      <c r="B70" s="851" t="s">
        <v>808</v>
      </c>
      <c r="C70" s="717">
        <v>218950</v>
      </c>
      <c r="D70" s="718">
        <v>0</v>
      </c>
      <c r="E70" s="718">
        <v>0</v>
      </c>
      <c r="F70" s="718">
        <v>355250</v>
      </c>
      <c r="G70" s="718">
        <v>523400</v>
      </c>
      <c r="H70" s="718">
        <v>93550</v>
      </c>
      <c r="I70" s="718">
        <v>0</v>
      </c>
      <c r="J70" s="718">
        <v>480100</v>
      </c>
      <c r="K70" s="718">
        <v>480100</v>
      </c>
      <c r="L70" s="718">
        <v>0</v>
      </c>
      <c r="M70" s="718">
        <v>0</v>
      </c>
      <c r="N70" s="718">
        <v>223150</v>
      </c>
      <c r="O70" s="718" t="s">
        <v>251</v>
      </c>
      <c r="P70" s="1497">
        <f t="shared" si="9"/>
        <v>1671250</v>
      </c>
      <c r="Q70" s="1405">
        <f t="shared" si="10"/>
        <v>1894400</v>
      </c>
      <c r="R70" s="717"/>
      <c r="S70" s="718"/>
      <c r="T70" s="718"/>
      <c r="U70" s="718"/>
      <c r="V70" s="718">
        <v>162400</v>
      </c>
      <c r="W70" s="718">
        <v>754400</v>
      </c>
      <c r="X70" s="718">
        <v>0</v>
      </c>
      <c r="Y70" s="718">
        <v>266350</v>
      </c>
      <c r="Z70" s="718"/>
      <c r="AA70" s="718"/>
      <c r="AB70" s="718"/>
      <c r="AC70" s="718"/>
      <c r="AD70" s="1405">
        <f t="shared" si="7"/>
        <v>1183150</v>
      </c>
      <c r="AE70" s="852">
        <f t="shared" si="8"/>
        <v>-0.29205684367988033</v>
      </c>
      <c r="AF70" s="853">
        <f t="shared" si="11"/>
        <v>288</v>
      </c>
      <c r="AH70" s="1418" t="s">
        <v>752</v>
      </c>
      <c r="AI70" s="1427">
        <v>8500</v>
      </c>
      <c r="AJ70" s="1427">
        <v>0</v>
      </c>
      <c r="AK70" s="1427">
        <f t="shared" si="12"/>
        <v>-8500</v>
      </c>
      <c r="AL70" s="1419">
        <f t="shared" si="13"/>
        <v>-1</v>
      </c>
      <c r="AM70"/>
      <c r="AN70"/>
      <c r="AO70"/>
      <c r="AP70"/>
      <c r="AQ70"/>
    </row>
    <row r="71" spans="1:43" x14ac:dyDescent="0.3">
      <c r="A71" s="287" t="s">
        <v>804</v>
      </c>
      <c r="B71" s="851" t="s">
        <v>1114</v>
      </c>
      <c r="C71" s="717"/>
      <c r="D71" s="718">
        <v>241400</v>
      </c>
      <c r="E71" s="718">
        <v>724200</v>
      </c>
      <c r="F71" s="718">
        <v>0</v>
      </c>
      <c r="G71" s="718">
        <v>0</v>
      </c>
      <c r="H71" s="718">
        <v>0</v>
      </c>
      <c r="I71" s="718">
        <v>5022500</v>
      </c>
      <c r="J71" s="718">
        <v>581400</v>
      </c>
      <c r="K71" s="718">
        <v>581400</v>
      </c>
      <c r="L71" s="718">
        <v>279200</v>
      </c>
      <c r="M71" s="718">
        <v>692400</v>
      </c>
      <c r="N71" s="718">
        <v>477000</v>
      </c>
      <c r="O71" s="718">
        <v>306600</v>
      </c>
      <c r="P71" s="1497">
        <f t="shared" si="9"/>
        <v>6569500</v>
      </c>
      <c r="Q71" s="1405">
        <f t="shared" si="10"/>
        <v>8324700</v>
      </c>
      <c r="R71" s="717">
        <v>600400</v>
      </c>
      <c r="S71" s="718">
        <v>711000</v>
      </c>
      <c r="T71" s="718">
        <v>0</v>
      </c>
      <c r="U71" s="718">
        <v>610400</v>
      </c>
      <c r="V71" s="718">
        <v>0</v>
      </c>
      <c r="W71" s="718">
        <v>305200</v>
      </c>
      <c r="X71" s="718">
        <v>605400</v>
      </c>
      <c r="Y71" s="718">
        <v>0</v>
      </c>
      <c r="Z71" s="718"/>
      <c r="AA71" s="718"/>
      <c r="AB71" s="718"/>
      <c r="AC71" s="718"/>
      <c r="AD71" s="1405">
        <f t="shared" si="7"/>
        <v>2832400</v>
      </c>
      <c r="AE71" s="852">
        <f t="shared" si="8"/>
        <v>-0.56885607732704169</v>
      </c>
      <c r="AF71" s="853">
        <f t="shared" si="11"/>
        <v>157</v>
      </c>
      <c r="AH71" s="1418" t="s">
        <v>2112</v>
      </c>
      <c r="AI71" s="1427">
        <v>0</v>
      </c>
      <c r="AJ71" s="1427">
        <v>0</v>
      </c>
      <c r="AK71" s="1427">
        <f t="shared" si="12"/>
        <v>0</v>
      </c>
      <c r="AL71" s="1419">
        <f t="shared" si="13"/>
        <v>0</v>
      </c>
      <c r="AM71"/>
      <c r="AN71"/>
      <c r="AO71"/>
      <c r="AP71"/>
      <c r="AQ71"/>
    </row>
    <row r="72" spans="1:43" x14ac:dyDescent="0.3">
      <c r="A72" s="287" t="s">
        <v>804</v>
      </c>
      <c r="B72" s="851" t="s">
        <v>1115</v>
      </c>
      <c r="C72" s="717">
        <v>110500</v>
      </c>
      <c r="D72" s="718">
        <v>0</v>
      </c>
      <c r="E72" s="718">
        <v>0</v>
      </c>
      <c r="F72" s="718">
        <v>772200</v>
      </c>
      <c r="G72" s="718">
        <v>0</v>
      </c>
      <c r="H72" s="718">
        <v>0</v>
      </c>
      <c r="I72" s="718">
        <v>0</v>
      </c>
      <c r="J72" s="718">
        <v>0</v>
      </c>
      <c r="K72" s="718">
        <v>0</v>
      </c>
      <c r="L72" s="718">
        <v>0</v>
      </c>
      <c r="M72" s="718">
        <v>0</v>
      </c>
      <c r="N72" s="718">
        <v>0</v>
      </c>
      <c r="O72" s="718" t="s">
        <v>251</v>
      </c>
      <c r="P72" s="1497">
        <f t="shared" si="9"/>
        <v>882700</v>
      </c>
      <c r="Q72" s="1405">
        <f t="shared" si="10"/>
        <v>882700</v>
      </c>
      <c r="R72" s="717">
        <v>1067900</v>
      </c>
      <c r="S72" s="718"/>
      <c r="T72" s="718">
        <v>0</v>
      </c>
      <c r="U72" s="718">
        <v>0</v>
      </c>
      <c r="V72" s="718">
        <v>109950</v>
      </c>
      <c r="W72" s="718">
        <v>0</v>
      </c>
      <c r="X72" s="718">
        <v>0</v>
      </c>
      <c r="Y72" s="718">
        <v>0</v>
      </c>
      <c r="Z72" s="718"/>
      <c r="AA72" s="718"/>
      <c r="AB72" s="718"/>
      <c r="AC72" s="718"/>
      <c r="AD72" s="1405">
        <f t="shared" si="7"/>
        <v>1177850</v>
      </c>
      <c r="AE72" s="852">
        <f t="shared" si="8"/>
        <v>0.33437181375325703</v>
      </c>
      <c r="AF72" s="853">
        <f t="shared" si="11"/>
        <v>289</v>
      </c>
      <c r="AH72" s="1418" t="s">
        <v>1364</v>
      </c>
      <c r="AI72" s="1427">
        <v>3677600</v>
      </c>
      <c r="AJ72" s="1427">
        <v>0</v>
      </c>
      <c r="AK72" s="1427">
        <f t="shared" si="12"/>
        <v>-3677600</v>
      </c>
      <c r="AL72" s="1419">
        <f t="shared" si="13"/>
        <v>-1</v>
      </c>
      <c r="AM72"/>
      <c r="AN72"/>
      <c r="AO72"/>
      <c r="AP72"/>
      <c r="AQ72"/>
    </row>
    <row r="73" spans="1:43" x14ac:dyDescent="0.3">
      <c r="A73" s="287" t="s">
        <v>804</v>
      </c>
      <c r="B73" s="851" t="s">
        <v>1116</v>
      </c>
      <c r="C73" s="717">
        <v>0</v>
      </c>
      <c r="D73" s="718">
        <v>60550</v>
      </c>
      <c r="E73" s="718">
        <v>265800</v>
      </c>
      <c r="F73" s="718">
        <v>140700</v>
      </c>
      <c r="G73" s="718">
        <v>440950</v>
      </c>
      <c r="H73" s="718">
        <v>542000</v>
      </c>
      <c r="I73" s="718">
        <v>1327100</v>
      </c>
      <c r="J73" s="718">
        <v>328400</v>
      </c>
      <c r="K73" s="718">
        <v>205550</v>
      </c>
      <c r="L73" s="718">
        <v>533000</v>
      </c>
      <c r="M73" s="718">
        <v>0</v>
      </c>
      <c r="N73" s="718">
        <v>0</v>
      </c>
      <c r="O73" s="718" t="s">
        <v>251</v>
      </c>
      <c r="P73" s="1497">
        <f t="shared" si="9"/>
        <v>2982650</v>
      </c>
      <c r="Q73" s="1405">
        <f t="shared" si="10"/>
        <v>3638500</v>
      </c>
      <c r="R73" s="717"/>
      <c r="S73" s="718"/>
      <c r="T73" s="718"/>
      <c r="U73" s="718"/>
      <c r="V73" s="718"/>
      <c r="W73" s="718"/>
      <c r="X73" s="718"/>
      <c r="Y73" s="718"/>
      <c r="Z73" s="718"/>
      <c r="AA73" s="718"/>
      <c r="AB73" s="718"/>
      <c r="AC73" s="718"/>
      <c r="AD73" s="1405">
        <f t="shared" si="7"/>
        <v>0</v>
      </c>
      <c r="AE73" s="852">
        <f t="shared" si="8"/>
        <v>-1</v>
      </c>
      <c r="AF73" s="853">
        <f t="shared" si="11"/>
        <v>983</v>
      </c>
      <c r="AH73" s="1418" t="s">
        <v>2163</v>
      </c>
      <c r="AI73" s="1427">
        <v>0</v>
      </c>
      <c r="AJ73" s="1427">
        <v>0</v>
      </c>
      <c r="AK73" s="1427">
        <f t="shared" si="12"/>
        <v>0</v>
      </c>
      <c r="AL73" s="1419">
        <f t="shared" si="13"/>
        <v>0</v>
      </c>
      <c r="AM73"/>
      <c r="AN73"/>
      <c r="AO73"/>
      <c r="AP73"/>
      <c r="AQ73"/>
    </row>
    <row r="74" spans="1:43" x14ac:dyDescent="0.3">
      <c r="A74" s="287" t="s">
        <v>804</v>
      </c>
      <c r="B74" s="851" t="s">
        <v>1117</v>
      </c>
      <c r="C74" s="717"/>
      <c r="D74" s="718">
        <v>0</v>
      </c>
      <c r="E74" s="718">
        <v>48650</v>
      </c>
      <c r="F74" s="718">
        <v>454300</v>
      </c>
      <c r="G74" s="718">
        <v>373500</v>
      </c>
      <c r="H74" s="718">
        <v>356400</v>
      </c>
      <c r="I74" s="718">
        <v>390700</v>
      </c>
      <c r="J74" s="718">
        <v>180000</v>
      </c>
      <c r="K74" s="718">
        <v>135550</v>
      </c>
      <c r="L74" s="718">
        <v>171500</v>
      </c>
      <c r="M74" s="718">
        <v>75250</v>
      </c>
      <c r="N74" s="718">
        <v>66850</v>
      </c>
      <c r="O74" s="718">
        <v>188300</v>
      </c>
      <c r="P74" s="1497">
        <f t="shared" si="9"/>
        <v>1759100</v>
      </c>
      <c r="Q74" s="1405">
        <f t="shared" si="10"/>
        <v>2305450</v>
      </c>
      <c r="R74" s="717"/>
      <c r="S74" s="718"/>
      <c r="T74" s="718">
        <v>265650</v>
      </c>
      <c r="U74" s="718">
        <v>81750</v>
      </c>
      <c r="V74" s="718">
        <v>0</v>
      </c>
      <c r="W74" s="718">
        <v>0</v>
      </c>
      <c r="X74" s="718">
        <v>0</v>
      </c>
      <c r="Y74" s="718">
        <v>0</v>
      </c>
      <c r="Z74" s="718"/>
      <c r="AA74" s="718"/>
      <c r="AB74" s="718"/>
      <c r="AC74" s="718"/>
      <c r="AD74" s="1405">
        <f t="shared" si="7"/>
        <v>347400</v>
      </c>
      <c r="AE74" s="852">
        <f t="shared" si="8"/>
        <v>-0.80251264851344439</v>
      </c>
      <c r="AF74" s="853">
        <f t="shared" si="11"/>
        <v>505</v>
      </c>
      <c r="AH74" s="1418" t="s">
        <v>2158</v>
      </c>
      <c r="AI74" s="1427">
        <v>0</v>
      </c>
      <c r="AJ74" s="1427">
        <v>0</v>
      </c>
      <c r="AK74" s="1427">
        <f t="shared" si="12"/>
        <v>0</v>
      </c>
      <c r="AL74" s="1419">
        <f t="shared" si="13"/>
        <v>0</v>
      </c>
      <c r="AM74"/>
      <c r="AN74"/>
      <c r="AO74"/>
      <c r="AP74"/>
      <c r="AQ74"/>
    </row>
    <row r="75" spans="1:43" x14ac:dyDescent="0.3">
      <c r="A75" s="287" t="s">
        <v>804</v>
      </c>
      <c r="B75" s="851" t="s">
        <v>1118</v>
      </c>
      <c r="C75" s="717">
        <v>306000</v>
      </c>
      <c r="D75" s="718">
        <v>0</v>
      </c>
      <c r="E75" s="718"/>
      <c r="F75" s="718">
        <v>258250</v>
      </c>
      <c r="G75" s="718">
        <v>288250</v>
      </c>
      <c r="H75" s="718">
        <v>1258200</v>
      </c>
      <c r="I75" s="718">
        <v>3381050</v>
      </c>
      <c r="J75" s="718">
        <v>2209500</v>
      </c>
      <c r="K75" s="718">
        <v>2209500</v>
      </c>
      <c r="L75" s="718">
        <v>132900</v>
      </c>
      <c r="M75" s="718">
        <v>6182850</v>
      </c>
      <c r="N75" s="718">
        <v>748500</v>
      </c>
      <c r="O75" s="718">
        <v>2717700</v>
      </c>
      <c r="P75" s="1497">
        <f t="shared" si="9"/>
        <v>7701250</v>
      </c>
      <c r="Q75" s="1405">
        <f t="shared" si="10"/>
        <v>17483200</v>
      </c>
      <c r="R75" s="717">
        <v>1635550</v>
      </c>
      <c r="S75" s="718">
        <v>746800</v>
      </c>
      <c r="T75" s="718">
        <v>0</v>
      </c>
      <c r="U75" s="718">
        <v>1795000</v>
      </c>
      <c r="V75" s="718">
        <v>1003050</v>
      </c>
      <c r="W75" s="718">
        <v>2250050</v>
      </c>
      <c r="X75" s="718">
        <v>2477000</v>
      </c>
      <c r="Y75" s="718">
        <v>160200</v>
      </c>
      <c r="Z75" s="718"/>
      <c r="AA75" s="718"/>
      <c r="AB75" s="718"/>
      <c r="AC75" s="718"/>
      <c r="AD75" s="1405">
        <f t="shared" si="7"/>
        <v>10067650</v>
      </c>
      <c r="AE75" s="852">
        <f t="shared" si="8"/>
        <v>0.30727479305307581</v>
      </c>
      <c r="AF75" s="853">
        <f t="shared" si="11"/>
        <v>33</v>
      </c>
      <c r="AH75" s="1418" t="s">
        <v>733</v>
      </c>
      <c r="AI75" s="1427">
        <v>85000</v>
      </c>
      <c r="AJ75" s="1427">
        <v>0</v>
      </c>
      <c r="AK75" s="1427">
        <f t="shared" si="12"/>
        <v>-85000</v>
      </c>
      <c r="AL75" s="1419">
        <f t="shared" si="13"/>
        <v>-1</v>
      </c>
      <c r="AM75"/>
      <c r="AN75"/>
      <c r="AO75"/>
      <c r="AP75"/>
      <c r="AQ75"/>
    </row>
    <row r="76" spans="1:43" x14ac:dyDescent="0.3">
      <c r="A76" s="287" t="s">
        <v>804</v>
      </c>
      <c r="B76" s="851" t="s">
        <v>818</v>
      </c>
      <c r="C76" s="717">
        <v>0</v>
      </c>
      <c r="D76" s="718">
        <v>218150</v>
      </c>
      <c r="E76" s="718">
        <v>633700</v>
      </c>
      <c r="F76" s="718">
        <v>0</v>
      </c>
      <c r="G76" s="718">
        <v>0</v>
      </c>
      <c r="H76" s="718">
        <v>0</v>
      </c>
      <c r="I76" s="718">
        <v>0</v>
      </c>
      <c r="J76" s="718">
        <v>0</v>
      </c>
      <c r="K76" s="718">
        <v>0</v>
      </c>
      <c r="L76" s="718">
        <v>0</v>
      </c>
      <c r="M76" s="718">
        <v>0</v>
      </c>
      <c r="N76" s="718">
        <v>0</v>
      </c>
      <c r="O76" s="718" t="s">
        <v>251</v>
      </c>
      <c r="P76" s="1497">
        <f t="shared" si="9"/>
        <v>851850</v>
      </c>
      <c r="Q76" s="1405">
        <f t="shared" si="10"/>
        <v>851850</v>
      </c>
      <c r="R76" s="717"/>
      <c r="S76" s="718"/>
      <c r="T76" s="718"/>
      <c r="U76" s="718"/>
      <c r="V76" s="718"/>
      <c r="W76" s="718"/>
      <c r="X76" s="718"/>
      <c r="Y76" s="718"/>
      <c r="Z76" s="718"/>
      <c r="AA76" s="718"/>
      <c r="AB76" s="718"/>
      <c r="AC76" s="718"/>
      <c r="AD76" s="1405">
        <f t="shared" si="7"/>
        <v>0</v>
      </c>
      <c r="AE76" s="852">
        <f t="shared" si="8"/>
        <v>-1</v>
      </c>
      <c r="AF76" s="853">
        <f t="shared" si="11"/>
        <v>983</v>
      </c>
      <c r="AH76" s="1418" t="s">
        <v>1457</v>
      </c>
      <c r="AI76" s="1427">
        <v>258400</v>
      </c>
      <c r="AJ76" s="1427">
        <v>0</v>
      </c>
      <c r="AK76" s="1427">
        <f t="shared" si="12"/>
        <v>-258400</v>
      </c>
      <c r="AL76" s="1419">
        <f t="shared" si="13"/>
        <v>-1</v>
      </c>
      <c r="AM76"/>
      <c r="AN76"/>
      <c r="AO76"/>
      <c r="AP76"/>
      <c r="AQ76"/>
    </row>
    <row r="77" spans="1:43" x14ac:dyDescent="0.3">
      <c r="A77" s="287" t="s">
        <v>804</v>
      </c>
      <c r="B77" s="851" t="s">
        <v>1119</v>
      </c>
      <c r="C77" s="717">
        <v>206750</v>
      </c>
      <c r="D77" s="718">
        <v>0</v>
      </c>
      <c r="E77" s="718">
        <v>457900</v>
      </c>
      <c r="F77" s="718">
        <v>0</v>
      </c>
      <c r="G77" s="718">
        <v>153500</v>
      </c>
      <c r="H77" s="718">
        <v>0</v>
      </c>
      <c r="I77" s="718">
        <v>0</v>
      </c>
      <c r="J77" s="718">
        <v>0</v>
      </c>
      <c r="K77" s="718">
        <v>0</v>
      </c>
      <c r="L77" s="718">
        <v>0</v>
      </c>
      <c r="M77" s="718">
        <v>0</v>
      </c>
      <c r="N77" s="718">
        <v>0</v>
      </c>
      <c r="O77" s="718">
        <v>141500</v>
      </c>
      <c r="P77" s="1497">
        <f t="shared" si="9"/>
        <v>818150</v>
      </c>
      <c r="Q77" s="1405">
        <f t="shared" si="10"/>
        <v>959650</v>
      </c>
      <c r="R77" s="717">
        <v>337350</v>
      </c>
      <c r="S77" s="718"/>
      <c r="T77" s="718">
        <v>0</v>
      </c>
      <c r="U77" s="718">
        <v>670300</v>
      </c>
      <c r="V77" s="718">
        <v>0</v>
      </c>
      <c r="W77" s="718">
        <v>0</v>
      </c>
      <c r="X77" s="718">
        <v>0</v>
      </c>
      <c r="Y77" s="718">
        <v>0</v>
      </c>
      <c r="Z77" s="718"/>
      <c r="AA77" s="718"/>
      <c r="AB77" s="718"/>
      <c r="AC77" s="718"/>
      <c r="AD77" s="1405">
        <f t="shared" si="7"/>
        <v>1007650</v>
      </c>
      <c r="AE77" s="852">
        <f t="shared" si="8"/>
        <v>0.23162011856016623</v>
      </c>
      <c r="AF77" s="853">
        <f t="shared" si="11"/>
        <v>316</v>
      </c>
      <c r="AH77" s="1418" t="s">
        <v>910</v>
      </c>
      <c r="AI77" s="1427">
        <v>0</v>
      </c>
      <c r="AJ77" s="1427">
        <v>0</v>
      </c>
      <c r="AK77" s="1427">
        <f t="shared" si="12"/>
        <v>0</v>
      </c>
      <c r="AL77" s="1419">
        <f t="shared" si="13"/>
        <v>0</v>
      </c>
    </row>
    <row r="78" spans="1:43" x14ac:dyDescent="0.3">
      <c r="A78" s="287" t="s">
        <v>804</v>
      </c>
      <c r="B78" s="851" t="s">
        <v>1120</v>
      </c>
      <c r="C78" s="717"/>
      <c r="D78" s="718">
        <v>0</v>
      </c>
      <c r="E78" s="718"/>
      <c r="F78" s="718">
        <v>0</v>
      </c>
      <c r="G78" s="718">
        <v>707100</v>
      </c>
      <c r="H78" s="718">
        <v>0</v>
      </c>
      <c r="I78" s="718">
        <v>0</v>
      </c>
      <c r="J78" s="718">
        <v>0</v>
      </c>
      <c r="K78" s="718">
        <v>0</v>
      </c>
      <c r="L78" s="718">
        <v>0</v>
      </c>
      <c r="M78" s="718">
        <v>0</v>
      </c>
      <c r="N78" s="718">
        <v>0</v>
      </c>
      <c r="O78" s="718">
        <v>17000</v>
      </c>
      <c r="P78" s="1497">
        <f t="shared" si="9"/>
        <v>707100</v>
      </c>
      <c r="Q78" s="1405">
        <f t="shared" si="10"/>
        <v>724100</v>
      </c>
      <c r="R78" s="717"/>
      <c r="S78" s="718"/>
      <c r="T78" s="718"/>
      <c r="U78" s="718"/>
      <c r="V78" s="718"/>
      <c r="W78" s="718"/>
      <c r="X78" s="718"/>
      <c r="Y78" s="718"/>
      <c r="Z78" s="718"/>
      <c r="AA78" s="718"/>
      <c r="AB78" s="718"/>
      <c r="AC78" s="718"/>
      <c r="AD78" s="1405">
        <f t="shared" si="7"/>
        <v>0</v>
      </c>
      <c r="AE78" s="852">
        <f t="shared" si="8"/>
        <v>-1</v>
      </c>
      <c r="AF78" s="853">
        <f t="shared" si="11"/>
        <v>983</v>
      </c>
      <c r="AH78" s="1418" t="s">
        <v>758</v>
      </c>
      <c r="AI78" s="1427">
        <v>2496000</v>
      </c>
      <c r="AJ78" s="1427">
        <v>0</v>
      </c>
      <c r="AK78" s="1427">
        <f t="shared" si="12"/>
        <v>-2496000</v>
      </c>
      <c r="AL78" s="1419">
        <f t="shared" si="13"/>
        <v>-1</v>
      </c>
    </row>
    <row r="79" spans="1:43" x14ac:dyDescent="0.3">
      <c r="A79" s="287" t="s">
        <v>804</v>
      </c>
      <c r="B79" s="851" t="s">
        <v>828</v>
      </c>
      <c r="C79" s="717"/>
      <c r="D79" s="718">
        <v>22500</v>
      </c>
      <c r="E79" s="718">
        <v>429200</v>
      </c>
      <c r="F79" s="718">
        <v>276700</v>
      </c>
      <c r="G79" s="718">
        <v>54000</v>
      </c>
      <c r="H79" s="718">
        <v>54000</v>
      </c>
      <c r="I79" s="718">
        <v>0</v>
      </c>
      <c r="J79" s="718">
        <v>116800</v>
      </c>
      <c r="K79" s="718">
        <v>116800</v>
      </c>
      <c r="L79" s="718">
        <v>0</v>
      </c>
      <c r="M79" s="718">
        <v>290950</v>
      </c>
      <c r="N79" s="718">
        <v>149800</v>
      </c>
      <c r="O79" s="718">
        <v>80600</v>
      </c>
      <c r="P79" s="1497">
        <f t="shared" si="9"/>
        <v>953200</v>
      </c>
      <c r="Q79" s="1405">
        <f t="shared" si="10"/>
        <v>1474550</v>
      </c>
      <c r="R79" s="717"/>
      <c r="S79" s="718"/>
      <c r="T79" s="718">
        <v>99150</v>
      </c>
      <c r="U79" s="718">
        <v>0</v>
      </c>
      <c r="V79" s="718">
        <v>0</v>
      </c>
      <c r="W79" s="718">
        <v>0</v>
      </c>
      <c r="X79" s="718">
        <v>0</v>
      </c>
      <c r="Y79" s="718">
        <v>0</v>
      </c>
      <c r="Z79" s="718"/>
      <c r="AA79" s="718"/>
      <c r="AB79" s="718"/>
      <c r="AC79" s="718"/>
      <c r="AD79" s="1405">
        <f t="shared" si="7"/>
        <v>99150</v>
      </c>
      <c r="AE79" s="852">
        <f t="shared" si="8"/>
        <v>-0.89598195551825432</v>
      </c>
      <c r="AF79" s="853">
        <f t="shared" si="11"/>
        <v>743</v>
      </c>
      <c r="AH79" s="1418" t="s">
        <v>253</v>
      </c>
      <c r="AI79" s="1427">
        <v>325500</v>
      </c>
      <c r="AJ79" s="1427">
        <v>0</v>
      </c>
      <c r="AK79" s="1427">
        <f t="shared" si="12"/>
        <v>-325500</v>
      </c>
      <c r="AL79" s="1419">
        <f t="shared" si="13"/>
        <v>-1</v>
      </c>
    </row>
    <row r="80" spans="1:43" ht="17.25" thickBot="1" x14ac:dyDescent="0.35">
      <c r="A80" s="287" t="s">
        <v>804</v>
      </c>
      <c r="B80" s="851" t="s">
        <v>1121</v>
      </c>
      <c r="C80" s="717">
        <v>68500</v>
      </c>
      <c r="D80" s="718">
        <v>33200</v>
      </c>
      <c r="E80" s="718">
        <v>108000</v>
      </c>
      <c r="F80" s="718">
        <v>337250</v>
      </c>
      <c r="G80" s="718">
        <v>219450</v>
      </c>
      <c r="H80" s="718">
        <v>174150</v>
      </c>
      <c r="I80" s="718">
        <v>382800</v>
      </c>
      <c r="J80" s="718">
        <v>490050</v>
      </c>
      <c r="K80" s="718">
        <v>490050</v>
      </c>
      <c r="L80" s="718">
        <v>111350</v>
      </c>
      <c r="M80" s="718">
        <v>180740</v>
      </c>
      <c r="N80" s="718">
        <v>78200</v>
      </c>
      <c r="O80" s="718">
        <v>953200</v>
      </c>
      <c r="P80" s="1497">
        <f t="shared" si="9"/>
        <v>1813400</v>
      </c>
      <c r="Q80" s="1405">
        <f t="shared" si="10"/>
        <v>3136890</v>
      </c>
      <c r="R80" s="717">
        <v>5200</v>
      </c>
      <c r="S80" s="718"/>
      <c r="T80" s="718">
        <v>239400</v>
      </c>
      <c r="U80" s="718">
        <v>465200</v>
      </c>
      <c r="V80" s="718">
        <v>295000</v>
      </c>
      <c r="W80" s="718">
        <v>239800</v>
      </c>
      <c r="X80" s="718">
        <v>1778500</v>
      </c>
      <c r="Y80" s="718">
        <v>544800</v>
      </c>
      <c r="Z80" s="718"/>
      <c r="AA80" s="718"/>
      <c r="AB80" s="718"/>
      <c r="AC80" s="718"/>
      <c r="AD80" s="1405">
        <f t="shared" si="7"/>
        <v>3567900</v>
      </c>
      <c r="AE80" s="852">
        <f t="shared" si="8"/>
        <v>0.96751957648615861</v>
      </c>
      <c r="AF80" s="853">
        <f t="shared" si="11"/>
        <v>130</v>
      </c>
      <c r="AH80" s="1420" t="s">
        <v>783</v>
      </c>
      <c r="AI80" s="1432">
        <v>1717194610</v>
      </c>
      <c r="AJ80" s="1432">
        <v>1867986570</v>
      </c>
      <c r="AK80" s="1433">
        <f>AJ80-AI80</f>
        <v>150791960</v>
      </c>
      <c r="AL80" s="1434">
        <f t="shared" ref="AL80" si="14">IFERROR((AJ80-AI80)/AI80, 0)</f>
        <v>8.7812970715066482E-2</v>
      </c>
    </row>
    <row r="81" spans="1:32" x14ac:dyDescent="0.3">
      <c r="A81" s="287" t="s">
        <v>804</v>
      </c>
      <c r="B81" s="851" t="s">
        <v>1122</v>
      </c>
      <c r="C81" s="717"/>
      <c r="D81" s="718">
        <v>0</v>
      </c>
      <c r="E81" s="718"/>
      <c r="F81" s="718">
        <v>460750</v>
      </c>
      <c r="G81" s="718">
        <v>299770</v>
      </c>
      <c r="H81" s="718">
        <v>0</v>
      </c>
      <c r="I81" s="718">
        <v>0</v>
      </c>
      <c r="J81" s="718">
        <v>0</v>
      </c>
      <c r="K81" s="718">
        <v>0</v>
      </c>
      <c r="L81" s="718">
        <v>0</v>
      </c>
      <c r="M81" s="718">
        <v>0</v>
      </c>
      <c r="N81" s="718">
        <v>0</v>
      </c>
      <c r="O81" s="718" t="s">
        <v>251</v>
      </c>
      <c r="P81" s="1497">
        <f t="shared" si="9"/>
        <v>760520</v>
      </c>
      <c r="Q81" s="1405">
        <f t="shared" si="10"/>
        <v>760520</v>
      </c>
      <c r="R81" s="717"/>
      <c r="S81" s="718"/>
      <c r="T81" s="718"/>
      <c r="U81" s="718"/>
      <c r="V81" s="718"/>
      <c r="W81" s="718"/>
      <c r="X81" s="718"/>
      <c r="Y81" s="718"/>
      <c r="Z81" s="718"/>
      <c r="AA81" s="718"/>
      <c r="AB81" s="718"/>
      <c r="AC81" s="718"/>
      <c r="AD81" s="1405">
        <f t="shared" si="7"/>
        <v>0</v>
      </c>
      <c r="AE81" s="852">
        <f t="shared" si="8"/>
        <v>-1</v>
      </c>
      <c r="AF81" s="853">
        <f t="shared" si="11"/>
        <v>983</v>
      </c>
    </row>
    <row r="82" spans="1:32" x14ac:dyDescent="0.3">
      <c r="A82" s="287" t="s">
        <v>804</v>
      </c>
      <c r="B82" s="851" t="s">
        <v>1123</v>
      </c>
      <c r="C82" s="717">
        <v>241400</v>
      </c>
      <c r="D82" s="718">
        <v>0</v>
      </c>
      <c r="E82" s="718">
        <v>241400</v>
      </c>
      <c r="F82" s="718">
        <v>241400</v>
      </c>
      <c r="G82" s="718">
        <v>0</v>
      </c>
      <c r="H82" s="718">
        <v>13400</v>
      </c>
      <c r="I82" s="718">
        <v>439700</v>
      </c>
      <c r="J82" s="718">
        <v>151400</v>
      </c>
      <c r="K82" s="718">
        <v>151400</v>
      </c>
      <c r="L82" s="718">
        <v>1257100</v>
      </c>
      <c r="M82" s="718">
        <v>83800</v>
      </c>
      <c r="N82" s="718">
        <v>0</v>
      </c>
      <c r="O82" s="718">
        <v>62100</v>
      </c>
      <c r="P82" s="1497">
        <f t="shared" si="9"/>
        <v>1328700</v>
      </c>
      <c r="Q82" s="1405">
        <f t="shared" si="10"/>
        <v>2731700</v>
      </c>
      <c r="R82" s="717">
        <v>27600</v>
      </c>
      <c r="S82" s="718">
        <v>251600</v>
      </c>
      <c r="T82" s="718">
        <v>738900</v>
      </c>
      <c r="U82" s="718">
        <v>0</v>
      </c>
      <c r="V82" s="718">
        <v>0</v>
      </c>
      <c r="W82" s="718">
        <v>269600</v>
      </c>
      <c r="X82" s="718">
        <v>411900</v>
      </c>
      <c r="Y82" s="718">
        <v>160700</v>
      </c>
      <c r="Z82" s="718"/>
      <c r="AA82" s="718"/>
      <c r="AB82" s="718"/>
      <c r="AC82" s="718"/>
      <c r="AD82" s="1405">
        <f t="shared" si="7"/>
        <v>1860300</v>
      </c>
      <c r="AE82" s="852">
        <f t="shared" si="8"/>
        <v>0.40009031384059607</v>
      </c>
      <c r="AF82" s="853">
        <f t="shared" si="11"/>
        <v>223</v>
      </c>
    </row>
    <row r="83" spans="1:32" x14ac:dyDescent="0.3">
      <c r="A83" s="287" t="s">
        <v>804</v>
      </c>
      <c r="B83" s="851" t="s">
        <v>858</v>
      </c>
      <c r="C83" s="717">
        <v>0</v>
      </c>
      <c r="D83" s="718">
        <v>0</v>
      </c>
      <c r="E83" s="718">
        <v>0</v>
      </c>
      <c r="F83" s="718">
        <v>224700</v>
      </c>
      <c r="G83" s="718">
        <v>491400</v>
      </c>
      <c r="H83" s="718">
        <v>8500</v>
      </c>
      <c r="I83" s="718">
        <v>0</v>
      </c>
      <c r="J83" s="718">
        <v>0</v>
      </c>
      <c r="K83" s="718">
        <v>0</v>
      </c>
      <c r="L83" s="718">
        <v>449400</v>
      </c>
      <c r="M83" s="718">
        <v>112350</v>
      </c>
      <c r="N83" s="718">
        <v>149800</v>
      </c>
      <c r="O83" s="718" t="s">
        <v>251</v>
      </c>
      <c r="P83" s="1497">
        <f t="shared" si="9"/>
        <v>724600</v>
      </c>
      <c r="Q83" s="1405">
        <f t="shared" si="10"/>
        <v>1436150</v>
      </c>
      <c r="R83" s="717"/>
      <c r="S83" s="718"/>
      <c r="T83" s="718"/>
      <c r="U83" s="718">
        <v>372250</v>
      </c>
      <c r="V83" s="718">
        <v>149800</v>
      </c>
      <c r="W83" s="718">
        <v>251650</v>
      </c>
      <c r="X83" s="718">
        <v>0</v>
      </c>
      <c r="Y83" s="718">
        <v>0</v>
      </c>
      <c r="Z83" s="718"/>
      <c r="AA83" s="718"/>
      <c r="AB83" s="718"/>
      <c r="AC83" s="718"/>
      <c r="AD83" s="1405">
        <f t="shared" si="7"/>
        <v>773700</v>
      </c>
      <c r="AE83" s="852">
        <f t="shared" si="8"/>
        <v>6.7761523599227158E-2</v>
      </c>
      <c r="AF83" s="853">
        <f t="shared" si="11"/>
        <v>361</v>
      </c>
    </row>
    <row r="84" spans="1:32" x14ac:dyDescent="0.3">
      <c r="A84" s="287" t="s">
        <v>804</v>
      </c>
      <c r="B84" s="851" t="s">
        <v>1979</v>
      </c>
      <c r="C84" s="717">
        <v>506500</v>
      </c>
      <c r="D84" s="718">
        <v>213950</v>
      </c>
      <c r="E84" s="718">
        <v>186350</v>
      </c>
      <c r="F84" s="718">
        <v>0</v>
      </c>
      <c r="G84" s="718">
        <v>0</v>
      </c>
      <c r="H84" s="718">
        <v>0</v>
      </c>
      <c r="I84" s="718">
        <v>0</v>
      </c>
      <c r="J84" s="718">
        <v>0</v>
      </c>
      <c r="K84" s="718">
        <v>0</v>
      </c>
      <c r="L84" s="718">
        <v>0</v>
      </c>
      <c r="M84" s="718">
        <v>0</v>
      </c>
      <c r="N84" s="718">
        <v>0</v>
      </c>
      <c r="O84" s="718" t="s">
        <v>251</v>
      </c>
      <c r="P84" s="1497">
        <f t="shared" si="9"/>
        <v>906800</v>
      </c>
      <c r="Q84" s="1405">
        <f t="shared" si="10"/>
        <v>906800</v>
      </c>
      <c r="R84" s="717"/>
      <c r="S84" s="718"/>
      <c r="T84" s="718"/>
      <c r="U84" s="718"/>
      <c r="V84" s="718"/>
      <c r="W84" s="718"/>
      <c r="X84" s="718"/>
      <c r="Y84" s="718"/>
      <c r="Z84" s="718"/>
      <c r="AA84" s="718"/>
      <c r="AB84" s="718"/>
      <c r="AC84" s="718"/>
      <c r="AD84" s="1405">
        <f t="shared" si="7"/>
        <v>0</v>
      </c>
      <c r="AE84" s="852">
        <f t="shared" si="8"/>
        <v>-1</v>
      </c>
      <c r="AF84" s="853">
        <f t="shared" si="11"/>
        <v>983</v>
      </c>
    </row>
    <row r="85" spans="1:32" x14ac:dyDescent="0.3">
      <c r="A85" s="287" t="s">
        <v>804</v>
      </c>
      <c r="B85" s="851" t="s">
        <v>839</v>
      </c>
      <c r="C85" s="717">
        <v>85250</v>
      </c>
      <c r="D85" s="718">
        <v>0</v>
      </c>
      <c r="E85" s="718">
        <v>127650</v>
      </c>
      <c r="F85" s="718">
        <v>384250</v>
      </c>
      <c r="G85" s="718">
        <v>54250</v>
      </c>
      <c r="H85" s="718">
        <v>94000</v>
      </c>
      <c r="I85" s="718">
        <v>0</v>
      </c>
      <c r="J85" s="718">
        <v>197700</v>
      </c>
      <c r="K85" s="718">
        <v>15500</v>
      </c>
      <c r="L85" s="718">
        <v>82900</v>
      </c>
      <c r="M85" s="718">
        <v>130450</v>
      </c>
      <c r="N85" s="718">
        <v>0</v>
      </c>
      <c r="O85" s="718" t="s">
        <v>251</v>
      </c>
      <c r="P85" s="1497">
        <f t="shared" si="9"/>
        <v>760900</v>
      </c>
      <c r="Q85" s="1405">
        <f t="shared" si="10"/>
        <v>1156450</v>
      </c>
      <c r="R85" s="717"/>
      <c r="S85" s="718"/>
      <c r="T85" s="718"/>
      <c r="U85" s="718"/>
      <c r="V85" s="718"/>
      <c r="W85" s="718">
        <v>117800</v>
      </c>
      <c r="X85" s="718">
        <v>0</v>
      </c>
      <c r="Y85" s="718">
        <v>0</v>
      </c>
      <c r="Z85" s="718"/>
      <c r="AA85" s="718"/>
      <c r="AB85" s="718"/>
      <c r="AC85" s="718"/>
      <c r="AD85" s="1405">
        <f t="shared" si="7"/>
        <v>117800</v>
      </c>
      <c r="AE85" s="852">
        <f t="shared" si="8"/>
        <v>-0.84518333552372193</v>
      </c>
      <c r="AF85" s="853">
        <f t="shared" si="11"/>
        <v>717</v>
      </c>
    </row>
    <row r="86" spans="1:32" x14ac:dyDescent="0.3">
      <c r="A86" s="287" t="s">
        <v>804</v>
      </c>
      <c r="B86" s="851" t="s">
        <v>1125</v>
      </c>
      <c r="C86" s="717" t="s">
        <v>251</v>
      </c>
      <c r="D86" s="718" t="s">
        <v>251</v>
      </c>
      <c r="E86" s="718" t="s">
        <v>251</v>
      </c>
      <c r="F86" s="718" t="s">
        <v>251</v>
      </c>
      <c r="G86" s="718" t="s">
        <v>251</v>
      </c>
      <c r="H86" s="718" t="s">
        <v>251</v>
      </c>
      <c r="I86" s="718" t="s">
        <v>251</v>
      </c>
      <c r="J86" s="718" t="s">
        <v>251</v>
      </c>
      <c r="K86" s="718"/>
      <c r="L86" s="718" t="s">
        <v>251</v>
      </c>
      <c r="M86" s="718" t="s">
        <v>251</v>
      </c>
      <c r="N86" s="718" t="s">
        <v>251</v>
      </c>
      <c r="O86" s="718" t="s">
        <v>251</v>
      </c>
      <c r="P86" s="1497">
        <f t="shared" si="9"/>
        <v>0</v>
      </c>
      <c r="Q86" s="1405">
        <f t="shared" si="10"/>
        <v>0</v>
      </c>
      <c r="R86" s="717"/>
      <c r="S86" s="718"/>
      <c r="T86" s="718"/>
      <c r="U86" s="718"/>
      <c r="V86" s="718"/>
      <c r="W86" s="718"/>
      <c r="X86" s="718"/>
      <c r="Y86" s="718"/>
      <c r="Z86" s="718"/>
      <c r="AA86" s="718"/>
      <c r="AB86" s="718"/>
      <c r="AC86" s="718"/>
      <c r="AD86" s="1405">
        <f t="shared" si="7"/>
        <v>0</v>
      </c>
      <c r="AE86" s="852">
        <f t="shared" si="8"/>
        <v>0</v>
      </c>
      <c r="AF86" s="853">
        <f t="shared" si="11"/>
        <v>983</v>
      </c>
    </row>
    <row r="87" spans="1:32" x14ac:dyDescent="0.3">
      <c r="A87" s="287" t="s">
        <v>804</v>
      </c>
      <c r="B87" s="851" t="s">
        <v>1126</v>
      </c>
      <c r="C87" s="717"/>
      <c r="D87" s="718">
        <v>0</v>
      </c>
      <c r="E87" s="718">
        <v>615000</v>
      </c>
      <c r="F87" s="718">
        <v>0</v>
      </c>
      <c r="G87" s="718">
        <v>0</v>
      </c>
      <c r="H87" s="718">
        <v>0</v>
      </c>
      <c r="I87" s="718">
        <v>0</v>
      </c>
      <c r="J87" s="718">
        <v>0</v>
      </c>
      <c r="K87" s="718">
        <v>0</v>
      </c>
      <c r="L87" s="718">
        <v>0</v>
      </c>
      <c r="M87" s="718">
        <v>0</v>
      </c>
      <c r="N87" s="718">
        <v>0</v>
      </c>
      <c r="O87" s="718" t="s">
        <v>251</v>
      </c>
      <c r="P87" s="1497">
        <f t="shared" si="9"/>
        <v>615000</v>
      </c>
      <c r="Q87" s="1405">
        <f t="shared" si="10"/>
        <v>615000</v>
      </c>
      <c r="R87" s="717"/>
      <c r="S87" s="718"/>
      <c r="T87" s="718"/>
      <c r="U87" s="718"/>
      <c r="V87" s="718"/>
      <c r="W87" s="718"/>
      <c r="X87" s="718"/>
      <c r="Y87" s="718"/>
      <c r="Z87" s="718"/>
      <c r="AA87" s="718"/>
      <c r="AB87" s="718"/>
      <c r="AC87" s="718"/>
      <c r="AD87" s="1405">
        <f t="shared" si="7"/>
        <v>0</v>
      </c>
      <c r="AE87" s="852">
        <f t="shared" si="8"/>
        <v>-1</v>
      </c>
      <c r="AF87" s="853">
        <f t="shared" si="11"/>
        <v>983</v>
      </c>
    </row>
    <row r="88" spans="1:32" x14ac:dyDescent="0.3">
      <c r="A88" s="287" t="s">
        <v>804</v>
      </c>
      <c r="B88" s="851" t="s">
        <v>1127</v>
      </c>
      <c r="C88" s="717">
        <v>306400</v>
      </c>
      <c r="D88" s="718">
        <v>0</v>
      </c>
      <c r="E88" s="718">
        <v>301400</v>
      </c>
      <c r="F88" s="718">
        <v>0</v>
      </c>
      <c r="G88" s="718">
        <v>0</v>
      </c>
      <c r="H88" s="718">
        <v>0</v>
      </c>
      <c r="I88" s="718">
        <v>0</v>
      </c>
      <c r="J88" s="718">
        <v>0</v>
      </c>
      <c r="K88" s="718">
        <v>0</v>
      </c>
      <c r="L88" s="718">
        <v>0</v>
      </c>
      <c r="M88" s="718">
        <v>0</v>
      </c>
      <c r="N88" s="718">
        <v>0</v>
      </c>
      <c r="O88" s="718" t="s">
        <v>251</v>
      </c>
      <c r="P88" s="1497">
        <f t="shared" si="9"/>
        <v>607800</v>
      </c>
      <c r="Q88" s="1405">
        <f t="shared" si="10"/>
        <v>607800</v>
      </c>
      <c r="R88" s="717"/>
      <c r="S88" s="718"/>
      <c r="T88" s="718"/>
      <c r="U88" s="718"/>
      <c r="V88" s="718"/>
      <c r="W88" s="718"/>
      <c r="X88" s="718"/>
      <c r="Y88" s="718"/>
      <c r="Z88" s="718"/>
      <c r="AA88" s="718"/>
      <c r="AB88" s="718"/>
      <c r="AC88" s="718"/>
      <c r="AD88" s="1405">
        <f t="shared" si="7"/>
        <v>0</v>
      </c>
      <c r="AE88" s="852">
        <f t="shared" si="8"/>
        <v>-1</v>
      </c>
      <c r="AF88" s="853">
        <f t="shared" si="11"/>
        <v>983</v>
      </c>
    </row>
    <row r="89" spans="1:32" x14ac:dyDescent="0.3">
      <c r="A89" s="287" t="s">
        <v>804</v>
      </c>
      <c r="B89" s="851" t="s">
        <v>826</v>
      </c>
      <c r="C89" s="717"/>
      <c r="D89" s="718">
        <v>273800</v>
      </c>
      <c r="E89" s="718">
        <v>73000</v>
      </c>
      <c r="F89" s="718">
        <v>130900</v>
      </c>
      <c r="G89" s="718">
        <v>124800</v>
      </c>
      <c r="H89" s="718">
        <v>7100</v>
      </c>
      <c r="I89" s="718">
        <v>0</v>
      </c>
      <c r="J89" s="718">
        <v>0</v>
      </c>
      <c r="K89" s="718">
        <v>0</v>
      </c>
      <c r="L89" s="718">
        <v>148700</v>
      </c>
      <c r="M89" s="718">
        <v>0</v>
      </c>
      <c r="N89" s="718">
        <v>133800</v>
      </c>
      <c r="O89" s="718">
        <v>9550</v>
      </c>
      <c r="P89" s="1497">
        <f t="shared" si="9"/>
        <v>609600</v>
      </c>
      <c r="Q89" s="1405">
        <f t="shared" si="10"/>
        <v>901650</v>
      </c>
      <c r="R89" s="717"/>
      <c r="S89" s="718"/>
      <c r="T89" s="718"/>
      <c r="U89" s="718"/>
      <c r="V89" s="718"/>
      <c r="W89" s="718"/>
      <c r="X89" s="718"/>
      <c r="Y89" s="718"/>
      <c r="Z89" s="718"/>
      <c r="AA89" s="718"/>
      <c r="AB89" s="718"/>
      <c r="AC89" s="718"/>
      <c r="AD89" s="1405">
        <f t="shared" si="7"/>
        <v>0</v>
      </c>
      <c r="AE89" s="852">
        <f t="shared" si="8"/>
        <v>-1</v>
      </c>
      <c r="AF89" s="853">
        <f t="shared" si="11"/>
        <v>983</v>
      </c>
    </row>
    <row r="90" spans="1:32" x14ac:dyDescent="0.3">
      <c r="A90" s="287" t="s">
        <v>804</v>
      </c>
      <c r="B90" s="851" t="s">
        <v>1128</v>
      </c>
      <c r="C90" s="717">
        <v>465600</v>
      </c>
      <c r="D90" s="718">
        <v>82000</v>
      </c>
      <c r="E90" s="718"/>
      <c r="F90" s="718">
        <v>0</v>
      </c>
      <c r="G90" s="718">
        <v>0</v>
      </c>
      <c r="H90" s="718">
        <v>0</v>
      </c>
      <c r="I90" s="718">
        <v>0</v>
      </c>
      <c r="J90" s="718">
        <v>0</v>
      </c>
      <c r="K90" s="718">
        <v>0</v>
      </c>
      <c r="L90" s="718">
        <v>0</v>
      </c>
      <c r="M90" s="718">
        <v>0</v>
      </c>
      <c r="N90" s="718">
        <v>0</v>
      </c>
      <c r="O90" s="718" t="s">
        <v>251</v>
      </c>
      <c r="P90" s="1497">
        <f t="shared" si="9"/>
        <v>547600</v>
      </c>
      <c r="Q90" s="1405">
        <f t="shared" si="10"/>
        <v>547600</v>
      </c>
      <c r="R90" s="717">
        <v>213600</v>
      </c>
      <c r="S90" s="718"/>
      <c r="T90" s="718">
        <v>0</v>
      </c>
      <c r="U90" s="718">
        <v>0</v>
      </c>
      <c r="V90" s="718">
        <v>0</v>
      </c>
      <c r="W90" s="718">
        <v>0</v>
      </c>
      <c r="X90" s="718">
        <v>0</v>
      </c>
      <c r="Y90" s="718">
        <v>0</v>
      </c>
      <c r="Z90" s="718"/>
      <c r="AA90" s="718"/>
      <c r="AB90" s="718"/>
      <c r="AC90" s="718"/>
      <c r="AD90" s="1405">
        <f t="shared" si="7"/>
        <v>213600</v>
      </c>
      <c r="AE90" s="852">
        <f t="shared" si="8"/>
        <v>-0.60993425858290728</v>
      </c>
      <c r="AF90" s="853">
        <f t="shared" si="11"/>
        <v>601</v>
      </c>
    </row>
    <row r="91" spans="1:32" x14ac:dyDescent="0.3">
      <c r="A91" s="287" t="s">
        <v>804</v>
      </c>
      <c r="B91" s="851" t="s">
        <v>1129</v>
      </c>
      <c r="C91" s="717">
        <v>0</v>
      </c>
      <c r="D91" s="718">
        <v>282800</v>
      </c>
      <c r="E91" s="718">
        <v>0</v>
      </c>
      <c r="F91" s="718">
        <v>0</v>
      </c>
      <c r="G91" s="718">
        <v>253550</v>
      </c>
      <c r="H91" s="718">
        <v>241400</v>
      </c>
      <c r="I91" s="718">
        <v>0</v>
      </c>
      <c r="J91" s="718">
        <v>0</v>
      </c>
      <c r="K91" s="718">
        <v>0</v>
      </c>
      <c r="L91" s="718">
        <v>0</v>
      </c>
      <c r="M91" s="718">
        <v>261950</v>
      </c>
      <c r="N91" s="718">
        <v>247000</v>
      </c>
      <c r="O91" s="718">
        <v>401500</v>
      </c>
      <c r="P91" s="1497">
        <f t="shared" si="9"/>
        <v>777750</v>
      </c>
      <c r="Q91" s="1405">
        <f t="shared" si="10"/>
        <v>1688200</v>
      </c>
      <c r="R91" s="717"/>
      <c r="S91" s="718"/>
      <c r="T91" s="718"/>
      <c r="U91" s="718"/>
      <c r="V91" s="718"/>
      <c r="W91" s="718"/>
      <c r="X91" s="718"/>
      <c r="Y91" s="718"/>
      <c r="Z91" s="718"/>
      <c r="AA91" s="718"/>
      <c r="AB91" s="718"/>
      <c r="AC91" s="718"/>
      <c r="AD91" s="1405">
        <f t="shared" si="7"/>
        <v>0</v>
      </c>
      <c r="AE91" s="852">
        <f t="shared" si="8"/>
        <v>-1</v>
      </c>
      <c r="AF91" s="853">
        <f t="shared" si="11"/>
        <v>983</v>
      </c>
    </row>
    <row r="92" spans="1:32" x14ac:dyDescent="0.3">
      <c r="A92" s="287" t="s">
        <v>804</v>
      </c>
      <c r="B92" s="851" t="s">
        <v>813</v>
      </c>
      <c r="C92" s="717">
        <v>214050</v>
      </c>
      <c r="D92" s="718">
        <v>0</v>
      </c>
      <c r="E92" s="718">
        <v>317950</v>
      </c>
      <c r="F92" s="718">
        <v>0</v>
      </c>
      <c r="G92" s="718">
        <v>0</v>
      </c>
      <c r="H92" s="718">
        <v>0</v>
      </c>
      <c r="I92" s="718">
        <v>0</v>
      </c>
      <c r="J92" s="718">
        <v>0</v>
      </c>
      <c r="K92" s="718">
        <v>0</v>
      </c>
      <c r="L92" s="718">
        <v>218150</v>
      </c>
      <c r="M92" s="718">
        <v>20050</v>
      </c>
      <c r="N92" s="718">
        <v>99150</v>
      </c>
      <c r="O92" s="718" t="s">
        <v>251</v>
      </c>
      <c r="P92" s="1497">
        <f t="shared" si="9"/>
        <v>532000</v>
      </c>
      <c r="Q92" s="1405">
        <f t="shared" si="10"/>
        <v>869350</v>
      </c>
      <c r="R92" s="717"/>
      <c r="S92" s="718"/>
      <c r="T92" s="718"/>
      <c r="U92" s="718"/>
      <c r="V92" s="718"/>
      <c r="W92" s="718">
        <v>204150</v>
      </c>
      <c r="X92" s="718">
        <v>322630</v>
      </c>
      <c r="Y92" s="718">
        <v>146600</v>
      </c>
      <c r="Z92" s="718"/>
      <c r="AA92" s="718"/>
      <c r="AB92" s="718"/>
      <c r="AC92" s="718"/>
      <c r="AD92" s="1405">
        <f t="shared" si="7"/>
        <v>673380</v>
      </c>
      <c r="AE92" s="852">
        <f t="shared" si="8"/>
        <v>0.26575187969924813</v>
      </c>
      <c r="AF92" s="853">
        <f t="shared" si="11"/>
        <v>388</v>
      </c>
    </row>
    <row r="93" spans="1:32" x14ac:dyDescent="0.3">
      <c r="A93" s="287" t="s">
        <v>804</v>
      </c>
      <c r="B93" s="851" t="s">
        <v>849</v>
      </c>
      <c r="C93" s="717">
        <v>0</v>
      </c>
      <c r="D93" s="718">
        <v>0</v>
      </c>
      <c r="E93" s="718">
        <v>171450</v>
      </c>
      <c r="F93" s="718">
        <v>153700</v>
      </c>
      <c r="G93" s="718">
        <v>179950</v>
      </c>
      <c r="H93" s="718">
        <v>0</v>
      </c>
      <c r="I93" s="718">
        <v>0</v>
      </c>
      <c r="J93" s="718">
        <v>0</v>
      </c>
      <c r="K93" s="718">
        <v>0</v>
      </c>
      <c r="L93" s="718">
        <v>156150</v>
      </c>
      <c r="M93" s="718">
        <v>146600</v>
      </c>
      <c r="N93" s="718">
        <v>622450</v>
      </c>
      <c r="O93" s="718">
        <v>979170</v>
      </c>
      <c r="P93" s="1497">
        <f t="shared" si="9"/>
        <v>505100</v>
      </c>
      <c r="Q93" s="1405">
        <f t="shared" si="10"/>
        <v>2409470</v>
      </c>
      <c r="R93" s="717">
        <v>629070</v>
      </c>
      <c r="S93" s="718">
        <v>12350</v>
      </c>
      <c r="T93" s="718">
        <v>75600</v>
      </c>
      <c r="U93" s="718">
        <v>219650</v>
      </c>
      <c r="V93" s="718">
        <v>9200</v>
      </c>
      <c r="W93" s="718">
        <v>0</v>
      </c>
      <c r="X93" s="718">
        <v>325850</v>
      </c>
      <c r="Y93" s="718">
        <v>0</v>
      </c>
      <c r="Z93" s="718"/>
      <c r="AA93" s="718"/>
      <c r="AB93" s="718"/>
      <c r="AC93" s="718"/>
      <c r="AD93" s="1405">
        <f t="shared" si="7"/>
        <v>1271720</v>
      </c>
      <c r="AE93" s="852">
        <f t="shared" si="8"/>
        <v>1.5177588596317562</v>
      </c>
      <c r="AF93" s="853">
        <f t="shared" si="11"/>
        <v>271</v>
      </c>
    </row>
    <row r="94" spans="1:32" x14ac:dyDescent="0.3">
      <c r="A94" s="287" t="s">
        <v>804</v>
      </c>
      <c r="B94" s="851" t="s">
        <v>1130</v>
      </c>
      <c r="C94" s="717">
        <v>75000</v>
      </c>
      <c r="D94" s="718">
        <v>211300</v>
      </c>
      <c r="E94" s="718">
        <v>0</v>
      </c>
      <c r="F94" s="718">
        <v>0</v>
      </c>
      <c r="G94" s="718">
        <v>218150</v>
      </c>
      <c r="H94" s="718">
        <v>110250</v>
      </c>
      <c r="I94" s="718">
        <v>209200</v>
      </c>
      <c r="J94" s="718">
        <v>146600</v>
      </c>
      <c r="K94" s="718">
        <v>146600</v>
      </c>
      <c r="L94" s="718">
        <v>0</v>
      </c>
      <c r="M94" s="718">
        <v>0</v>
      </c>
      <c r="N94" s="718">
        <v>0</v>
      </c>
      <c r="O94" s="718">
        <v>267400</v>
      </c>
      <c r="P94" s="1497">
        <f t="shared" si="9"/>
        <v>970500</v>
      </c>
      <c r="Q94" s="1405">
        <f t="shared" si="10"/>
        <v>1237900</v>
      </c>
      <c r="R94" s="717"/>
      <c r="S94" s="718"/>
      <c r="T94" s="718"/>
      <c r="U94" s="718"/>
      <c r="V94" s="718"/>
      <c r="W94" s="718">
        <v>108150</v>
      </c>
      <c r="X94" s="718">
        <v>148600</v>
      </c>
      <c r="Y94" s="718">
        <v>0</v>
      </c>
      <c r="Z94" s="718"/>
      <c r="AA94" s="718"/>
      <c r="AB94" s="718"/>
      <c r="AC94" s="718"/>
      <c r="AD94" s="1405">
        <f t="shared" si="7"/>
        <v>256750</v>
      </c>
      <c r="AE94" s="852">
        <f t="shared" si="8"/>
        <v>-0.73544564657393097</v>
      </c>
      <c r="AF94" s="853">
        <f t="shared" si="11"/>
        <v>562</v>
      </c>
    </row>
    <row r="95" spans="1:32" x14ac:dyDescent="0.3">
      <c r="A95" s="287" t="s">
        <v>804</v>
      </c>
      <c r="B95" s="851" t="s">
        <v>1131</v>
      </c>
      <c r="C95" s="717"/>
      <c r="D95" s="718">
        <v>213500</v>
      </c>
      <c r="E95" s="718">
        <v>276000</v>
      </c>
      <c r="F95" s="718">
        <v>0</v>
      </c>
      <c r="G95" s="718">
        <v>0</v>
      </c>
      <c r="H95" s="718">
        <v>9400</v>
      </c>
      <c r="I95" s="718">
        <v>689900</v>
      </c>
      <c r="J95" s="718">
        <v>0</v>
      </c>
      <c r="K95" s="718">
        <v>0</v>
      </c>
      <c r="L95" s="718">
        <v>0</v>
      </c>
      <c r="M95" s="718">
        <v>0</v>
      </c>
      <c r="N95" s="718">
        <v>0</v>
      </c>
      <c r="O95" s="718" t="s">
        <v>251</v>
      </c>
      <c r="P95" s="1497">
        <f t="shared" si="9"/>
        <v>1188800</v>
      </c>
      <c r="Q95" s="1405">
        <f t="shared" si="10"/>
        <v>1188800</v>
      </c>
      <c r="R95" s="717"/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1405">
        <f t="shared" si="7"/>
        <v>0</v>
      </c>
      <c r="AE95" s="852">
        <f t="shared" si="8"/>
        <v>-1</v>
      </c>
      <c r="AF95" s="853">
        <f t="shared" si="11"/>
        <v>983</v>
      </c>
    </row>
    <row r="96" spans="1:32" x14ac:dyDescent="0.3">
      <c r="A96" s="287" t="s">
        <v>804</v>
      </c>
      <c r="B96" s="851" t="s">
        <v>1132</v>
      </c>
      <c r="C96" s="717"/>
      <c r="D96" s="718">
        <v>0</v>
      </c>
      <c r="E96" s="718"/>
      <c r="F96" s="718">
        <v>482800</v>
      </c>
      <c r="G96" s="718">
        <v>0</v>
      </c>
      <c r="H96" s="718">
        <v>0</v>
      </c>
      <c r="I96" s="718">
        <v>19000</v>
      </c>
      <c r="J96" s="718">
        <v>0</v>
      </c>
      <c r="K96" s="718">
        <v>0</v>
      </c>
      <c r="L96" s="718">
        <v>0</v>
      </c>
      <c r="M96" s="718">
        <v>0</v>
      </c>
      <c r="N96" s="718">
        <v>0</v>
      </c>
      <c r="O96" s="718">
        <v>124600</v>
      </c>
      <c r="P96" s="1497">
        <f t="shared" si="9"/>
        <v>501800</v>
      </c>
      <c r="Q96" s="1405">
        <f t="shared" si="10"/>
        <v>626400</v>
      </c>
      <c r="R96" s="717"/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1405">
        <f t="shared" si="7"/>
        <v>0</v>
      </c>
      <c r="AE96" s="852">
        <f t="shared" si="8"/>
        <v>-1</v>
      </c>
      <c r="AF96" s="853">
        <f t="shared" si="11"/>
        <v>983</v>
      </c>
    </row>
    <row r="97" spans="1:32" x14ac:dyDescent="0.3">
      <c r="A97" s="287" t="s">
        <v>804</v>
      </c>
      <c r="B97" s="851" t="s">
        <v>1133</v>
      </c>
      <c r="C97" s="717">
        <v>0</v>
      </c>
      <c r="D97" s="718">
        <v>235900</v>
      </c>
      <c r="E97" s="718">
        <v>235900</v>
      </c>
      <c r="F97" s="718">
        <v>0</v>
      </c>
      <c r="G97" s="718">
        <v>0</v>
      </c>
      <c r="H97" s="718">
        <v>235900</v>
      </c>
      <c r="I97" s="718">
        <v>7100</v>
      </c>
      <c r="J97" s="718">
        <v>360850</v>
      </c>
      <c r="K97" s="718">
        <v>360850</v>
      </c>
      <c r="L97" s="718">
        <v>0</v>
      </c>
      <c r="M97" s="718">
        <v>0</v>
      </c>
      <c r="N97" s="718">
        <v>242900</v>
      </c>
      <c r="O97" s="718" t="s">
        <v>251</v>
      </c>
      <c r="P97" s="1497">
        <f t="shared" si="9"/>
        <v>1075650</v>
      </c>
      <c r="Q97" s="1405">
        <f t="shared" si="10"/>
        <v>1318550</v>
      </c>
      <c r="R97" s="717"/>
      <c r="S97" s="718"/>
      <c r="T97" s="718">
        <v>249900</v>
      </c>
      <c r="U97" s="718">
        <v>0</v>
      </c>
      <c r="V97" s="718">
        <v>0</v>
      </c>
      <c r="W97" s="718">
        <v>0</v>
      </c>
      <c r="X97" s="718">
        <v>0</v>
      </c>
      <c r="Y97" s="718">
        <v>0</v>
      </c>
      <c r="Z97" s="718"/>
      <c r="AA97" s="718"/>
      <c r="AB97" s="718"/>
      <c r="AC97" s="718"/>
      <c r="AD97" s="1405">
        <f t="shared" si="7"/>
        <v>249900</v>
      </c>
      <c r="AE97" s="852">
        <f t="shared" si="8"/>
        <v>-0.76767535908520435</v>
      </c>
      <c r="AF97" s="853">
        <f t="shared" si="11"/>
        <v>569</v>
      </c>
    </row>
    <row r="98" spans="1:32" x14ac:dyDescent="0.3">
      <c r="A98" s="287" t="s">
        <v>804</v>
      </c>
      <c r="B98" s="851" t="s">
        <v>1134</v>
      </c>
      <c r="C98" s="717">
        <v>0</v>
      </c>
      <c r="D98" s="718">
        <v>0</v>
      </c>
      <c r="E98" s="718">
        <v>454850</v>
      </c>
      <c r="F98" s="718">
        <v>0</v>
      </c>
      <c r="G98" s="718">
        <v>0</v>
      </c>
      <c r="H98" s="718">
        <v>0</v>
      </c>
      <c r="I98" s="718">
        <v>0</v>
      </c>
      <c r="J98" s="718">
        <v>0</v>
      </c>
      <c r="K98" s="718">
        <v>0</v>
      </c>
      <c r="L98" s="718">
        <v>0</v>
      </c>
      <c r="M98" s="718">
        <v>0</v>
      </c>
      <c r="N98" s="718">
        <v>0</v>
      </c>
      <c r="O98" s="718" t="s">
        <v>251</v>
      </c>
      <c r="P98" s="1497">
        <f t="shared" si="9"/>
        <v>454850</v>
      </c>
      <c r="Q98" s="1405">
        <f t="shared" si="10"/>
        <v>454850</v>
      </c>
      <c r="R98" s="717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1405">
        <f t="shared" si="7"/>
        <v>0</v>
      </c>
      <c r="AE98" s="852">
        <f t="shared" si="8"/>
        <v>-1</v>
      </c>
      <c r="AF98" s="853">
        <f t="shared" si="11"/>
        <v>983</v>
      </c>
    </row>
    <row r="99" spans="1:32" x14ac:dyDescent="0.3">
      <c r="A99" s="287" t="s">
        <v>804</v>
      </c>
      <c r="B99" s="851" t="s">
        <v>709</v>
      </c>
      <c r="C99" s="717">
        <v>146600</v>
      </c>
      <c r="D99" s="718">
        <v>136700</v>
      </c>
      <c r="E99" s="718">
        <v>0</v>
      </c>
      <c r="F99" s="718">
        <v>150700</v>
      </c>
      <c r="G99" s="718">
        <v>0</v>
      </c>
      <c r="H99" s="718">
        <v>0</v>
      </c>
      <c r="I99" s="718">
        <v>0</v>
      </c>
      <c r="J99" s="718">
        <v>0</v>
      </c>
      <c r="K99" s="718">
        <v>0</v>
      </c>
      <c r="L99" s="718">
        <v>0</v>
      </c>
      <c r="M99" s="718">
        <v>444250</v>
      </c>
      <c r="N99" s="718">
        <v>209150</v>
      </c>
      <c r="O99" s="718" t="s">
        <v>251</v>
      </c>
      <c r="P99" s="1497">
        <f t="shared" si="9"/>
        <v>434000</v>
      </c>
      <c r="Q99" s="1405">
        <f t="shared" si="10"/>
        <v>1087400</v>
      </c>
      <c r="R99" s="717">
        <v>153050</v>
      </c>
      <c r="S99" s="718"/>
      <c r="T99" s="718">
        <v>66600</v>
      </c>
      <c r="U99" s="718">
        <v>217550</v>
      </c>
      <c r="V99" s="718">
        <v>689900</v>
      </c>
      <c r="W99" s="718">
        <v>281000</v>
      </c>
      <c r="X99" s="718">
        <v>340000</v>
      </c>
      <c r="Y99" s="718">
        <v>0</v>
      </c>
      <c r="Z99" s="718"/>
      <c r="AA99" s="718"/>
      <c r="AB99" s="718"/>
      <c r="AC99" s="718"/>
      <c r="AD99" s="1405">
        <f t="shared" si="7"/>
        <v>1748100</v>
      </c>
      <c r="AE99" s="852">
        <f t="shared" si="8"/>
        <v>3.0278801843317971</v>
      </c>
      <c r="AF99" s="853">
        <f t="shared" si="11"/>
        <v>231</v>
      </c>
    </row>
    <row r="100" spans="1:32" x14ac:dyDescent="0.3">
      <c r="A100" s="287" t="s">
        <v>804</v>
      </c>
      <c r="B100" s="851" t="s">
        <v>856</v>
      </c>
      <c r="C100" s="717">
        <v>0</v>
      </c>
      <c r="D100" s="718">
        <v>0</v>
      </c>
      <c r="E100" s="718">
        <v>0</v>
      </c>
      <c r="F100" s="718">
        <v>0</v>
      </c>
      <c r="G100" s="718">
        <v>426200</v>
      </c>
      <c r="H100" s="718">
        <v>426200</v>
      </c>
      <c r="I100" s="718">
        <v>0</v>
      </c>
      <c r="J100" s="718">
        <v>0</v>
      </c>
      <c r="K100" s="718">
        <v>0</v>
      </c>
      <c r="L100" s="718">
        <v>236350</v>
      </c>
      <c r="M100" s="718">
        <v>0</v>
      </c>
      <c r="N100" s="718">
        <v>0</v>
      </c>
      <c r="O100" s="718">
        <v>202100</v>
      </c>
      <c r="P100" s="1497">
        <f t="shared" si="9"/>
        <v>852400</v>
      </c>
      <c r="Q100" s="1405">
        <f t="shared" si="10"/>
        <v>1290850</v>
      </c>
      <c r="R100" s="717"/>
      <c r="S100" s="718"/>
      <c r="T100" s="718">
        <v>231900</v>
      </c>
      <c r="U100" s="718">
        <v>0</v>
      </c>
      <c r="V100" s="718">
        <v>647350</v>
      </c>
      <c r="W100" s="718">
        <v>1084500</v>
      </c>
      <c r="X100" s="718">
        <v>352020</v>
      </c>
      <c r="Y100" s="718">
        <v>0</v>
      </c>
      <c r="Z100" s="718"/>
      <c r="AA100" s="718"/>
      <c r="AB100" s="718"/>
      <c r="AC100" s="718"/>
      <c r="AD100" s="1405">
        <f t="shared" si="7"/>
        <v>2315770</v>
      </c>
      <c r="AE100" s="852">
        <f t="shared" si="8"/>
        <v>1.7167644298451432</v>
      </c>
      <c r="AF100" s="853">
        <f t="shared" si="11"/>
        <v>187</v>
      </c>
    </row>
    <row r="101" spans="1:32" x14ac:dyDescent="0.3">
      <c r="A101" s="287" t="s">
        <v>804</v>
      </c>
      <c r="B101" s="851" t="s">
        <v>1135</v>
      </c>
      <c r="C101" s="717">
        <v>0</v>
      </c>
      <c r="D101" s="718">
        <v>0</v>
      </c>
      <c r="E101" s="718">
        <v>419600</v>
      </c>
      <c r="F101" s="718">
        <v>0</v>
      </c>
      <c r="G101" s="718">
        <v>0</v>
      </c>
      <c r="H101" s="718">
        <v>0</v>
      </c>
      <c r="I101" s="718">
        <v>0</v>
      </c>
      <c r="J101" s="718">
        <v>291800</v>
      </c>
      <c r="K101" s="718">
        <v>291800</v>
      </c>
      <c r="L101" s="718">
        <v>0</v>
      </c>
      <c r="M101" s="718">
        <v>623950</v>
      </c>
      <c r="N101" s="718">
        <v>0</v>
      </c>
      <c r="O101" s="718" t="s">
        <v>251</v>
      </c>
      <c r="P101" s="1497">
        <f t="shared" si="9"/>
        <v>711400</v>
      </c>
      <c r="Q101" s="1405">
        <f t="shared" si="10"/>
        <v>1335350</v>
      </c>
      <c r="R101" s="717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1405">
        <f t="shared" si="7"/>
        <v>0</v>
      </c>
      <c r="AE101" s="852">
        <f t="shared" si="8"/>
        <v>-1</v>
      </c>
      <c r="AF101" s="853">
        <f t="shared" si="11"/>
        <v>983</v>
      </c>
    </row>
    <row r="102" spans="1:32" x14ac:dyDescent="0.3">
      <c r="A102" s="287" t="s">
        <v>804</v>
      </c>
      <c r="B102" s="851" t="s">
        <v>1136</v>
      </c>
      <c r="C102" s="717">
        <v>0</v>
      </c>
      <c r="D102" s="718">
        <v>0</v>
      </c>
      <c r="E102" s="718">
        <v>386100</v>
      </c>
      <c r="F102" s="718">
        <v>0</v>
      </c>
      <c r="G102" s="718">
        <v>0</v>
      </c>
      <c r="H102" s="718">
        <v>0</v>
      </c>
      <c r="I102" s="718">
        <v>0</v>
      </c>
      <c r="J102" s="718">
        <v>0</v>
      </c>
      <c r="K102" s="718">
        <v>0</v>
      </c>
      <c r="L102" s="718">
        <v>0</v>
      </c>
      <c r="M102" s="718">
        <v>181050</v>
      </c>
      <c r="N102" s="718">
        <v>0</v>
      </c>
      <c r="O102" s="718">
        <v>840600</v>
      </c>
      <c r="P102" s="1497">
        <f t="shared" si="9"/>
        <v>386100</v>
      </c>
      <c r="Q102" s="1405">
        <f t="shared" si="10"/>
        <v>1407750</v>
      </c>
      <c r="R102" s="717">
        <v>807150</v>
      </c>
      <c r="S102" s="718"/>
      <c r="T102" s="718">
        <v>0</v>
      </c>
      <c r="U102" s="718">
        <v>0</v>
      </c>
      <c r="V102" s="718">
        <v>0</v>
      </c>
      <c r="W102" s="718">
        <v>104400</v>
      </c>
      <c r="X102" s="718">
        <v>71500</v>
      </c>
      <c r="Y102" s="718">
        <v>0</v>
      </c>
      <c r="Z102" s="718"/>
      <c r="AA102" s="718"/>
      <c r="AB102" s="718"/>
      <c r="AC102" s="718"/>
      <c r="AD102" s="1405">
        <f t="shared" si="7"/>
        <v>983050</v>
      </c>
      <c r="AE102" s="852">
        <f t="shared" si="8"/>
        <v>1.546102046102046</v>
      </c>
      <c r="AF102" s="853">
        <f t="shared" si="11"/>
        <v>322</v>
      </c>
    </row>
    <row r="103" spans="1:32" x14ac:dyDescent="0.3">
      <c r="A103" s="287" t="s">
        <v>804</v>
      </c>
      <c r="B103" s="851" t="s">
        <v>806</v>
      </c>
      <c r="C103" s="717">
        <v>65850</v>
      </c>
      <c r="D103" s="718">
        <v>105050</v>
      </c>
      <c r="E103" s="718"/>
      <c r="F103" s="718">
        <v>204500</v>
      </c>
      <c r="G103" s="718">
        <v>0</v>
      </c>
      <c r="H103" s="718">
        <v>0</v>
      </c>
      <c r="I103" s="718">
        <v>0</v>
      </c>
      <c r="J103" s="718">
        <v>0</v>
      </c>
      <c r="K103" s="718"/>
      <c r="L103" s="718">
        <v>0</v>
      </c>
      <c r="M103" s="718">
        <v>446300</v>
      </c>
      <c r="N103" s="718">
        <v>1047000</v>
      </c>
      <c r="O103" s="718">
        <v>100550</v>
      </c>
      <c r="P103" s="1497">
        <f t="shared" si="9"/>
        <v>375400</v>
      </c>
      <c r="Q103" s="1405">
        <f t="shared" si="10"/>
        <v>1969250</v>
      </c>
      <c r="R103" s="717">
        <v>261150</v>
      </c>
      <c r="S103" s="718">
        <v>73550</v>
      </c>
      <c r="T103" s="718">
        <v>448170</v>
      </c>
      <c r="U103" s="718">
        <v>631050</v>
      </c>
      <c r="V103" s="718">
        <v>0</v>
      </c>
      <c r="W103" s="718"/>
      <c r="X103" s="718"/>
      <c r="Y103" s="718"/>
      <c r="Z103" s="718"/>
      <c r="AA103" s="718"/>
      <c r="AB103" s="718"/>
      <c r="AC103" s="718"/>
      <c r="AD103" s="1405">
        <f t="shared" si="7"/>
        <v>1413920</v>
      </c>
      <c r="AE103" s="852">
        <f t="shared" si="8"/>
        <v>2.7664358018114013</v>
      </c>
      <c r="AF103" s="853">
        <f t="shared" si="11"/>
        <v>252</v>
      </c>
    </row>
    <row r="104" spans="1:32" x14ac:dyDescent="0.3">
      <c r="A104" s="287" t="s">
        <v>804</v>
      </c>
      <c r="B104" s="851" t="s">
        <v>1137</v>
      </c>
      <c r="C104" s="717">
        <v>0</v>
      </c>
      <c r="D104" s="718">
        <v>0</v>
      </c>
      <c r="E104" s="718">
        <v>0</v>
      </c>
      <c r="F104" s="718">
        <v>375100</v>
      </c>
      <c r="G104" s="718">
        <v>0</v>
      </c>
      <c r="H104" s="718">
        <v>1490600</v>
      </c>
      <c r="I104" s="718">
        <v>889700</v>
      </c>
      <c r="J104" s="718">
        <v>314800</v>
      </c>
      <c r="K104" s="718">
        <v>156700</v>
      </c>
      <c r="L104" s="718">
        <v>0</v>
      </c>
      <c r="M104" s="718">
        <v>159500</v>
      </c>
      <c r="N104" s="718">
        <v>626600</v>
      </c>
      <c r="O104" s="718">
        <v>464300</v>
      </c>
      <c r="P104" s="1497">
        <f t="shared" si="9"/>
        <v>2912100</v>
      </c>
      <c r="Q104" s="1405">
        <f t="shared" si="10"/>
        <v>4320600</v>
      </c>
      <c r="R104" s="717"/>
      <c r="S104" s="718"/>
      <c r="T104" s="718"/>
      <c r="U104" s="718"/>
      <c r="V104" s="718">
        <v>126000</v>
      </c>
      <c r="W104" s="718">
        <v>469300</v>
      </c>
      <c r="X104" s="718">
        <v>311200</v>
      </c>
      <c r="Y104" s="718">
        <v>1382900</v>
      </c>
      <c r="Z104" s="718"/>
      <c r="AA104" s="718"/>
      <c r="AB104" s="718"/>
      <c r="AC104" s="718"/>
      <c r="AD104" s="1405">
        <f t="shared" si="7"/>
        <v>2289400</v>
      </c>
      <c r="AE104" s="852">
        <f t="shared" si="8"/>
        <v>-0.21383194258438928</v>
      </c>
      <c r="AF104" s="853">
        <f t="shared" si="11"/>
        <v>188</v>
      </c>
    </row>
    <row r="105" spans="1:32" x14ac:dyDescent="0.3">
      <c r="A105" s="287" t="s">
        <v>804</v>
      </c>
      <c r="B105" s="851" t="s">
        <v>811</v>
      </c>
      <c r="C105" s="717"/>
      <c r="D105" s="718">
        <v>7450</v>
      </c>
      <c r="E105" s="718"/>
      <c r="F105" s="718">
        <v>0</v>
      </c>
      <c r="G105" s="718">
        <v>373250</v>
      </c>
      <c r="H105" s="718">
        <v>0</v>
      </c>
      <c r="I105" s="718">
        <v>0</v>
      </c>
      <c r="J105" s="718">
        <v>0</v>
      </c>
      <c r="K105" s="718">
        <v>0</v>
      </c>
      <c r="L105" s="718">
        <v>0</v>
      </c>
      <c r="M105" s="718">
        <v>0</v>
      </c>
      <c r="N105" s="718">
        <v>0</v>
      </c>
      <c r="O105" s="718" t="s">
        <v>251</v>
      </c>
      <c r="P105" s="1497">
        <f t="shared" si="9"/>
        <v>380700</v>
      </c>
      <c r="Q105" s="1405">
        <f t="shared" si="10"/>
        <v>380700</v>
      </c>
      <c r="R105" s="717"/>
      <c r="S105" s="718"/>
      <c r="T105" s="718"/>
      <c r="U105" s="718"/>
      <c r="V105" s="718">
        <v>152800</v>
      </c>
      <c r="W105" s="718">
        <v>187800</v>
      </c>
      <c r="X105" s="718">
        <v>0</v>
      </c>
      <c r="Y105" s="718">
        <v>0</v>
      </c>
      <c r="Z105" s="718"/>
      <c r="AA105" s="718"/>
      <c r="AB105" s="718"/>
      <c r="AC105" s="718"/>
      <c r="AD105" s="1405">
        <f t="shared" si="7"/>
        <v>340600</v>
      </c>
      <c r="AE105" s="852">
        <f t="shared" si="8"/>
        <v>-0.10533228263724717</v>
      </c>
      <c r="AF105" s="853">
        <f t="shared" si="11"/>
        <v>508</v>
      </c>
    </row>
    <row r="106" spans="1:32" x14ac:dyDescent="0.3">
      <c r="A106" s="287" t="s">
        <v>804</v>
      </c>
      <c r="B106" s="851" t="s">
        <v>816</v>
      </c>
      <c r="C106" s="717">
        <v>98700</v>
      </c>
      <c r="D106" s="718">
        <v>0</v>
      </c>
      <c r="E106" s="718">
        <v>209150</v>
      </c>
      <c r="F106" s="718">
        <v>0</v>
      </c>
      <c r="G106" s="718">
        <v>0</v>
      </c>
      <c r="H106" s="718">
        <v>159150</v>
      </c>
      <c r="I106" s="718">
        <v>0</v>
      </c>
      <c r="J106" s="718">
        <v>0</v>
      </c>
      <c r="K106" s="718">
        <v>0</v>
      </c>
      <c r="L106" s="718">
        <v>148700</v>
      </c>
      <c r="M106" s="718">
        <v>23650</v>
      </c>
      <c r="N106" s="718">
        <v>0</v>
      </c>
      <c r="O106" s="718" t="s">
        <v>251</v>
      </c>
      <c r="P106" s="1497">
        <f t="shared" si="9"/>
        <v>467000</v>
      </c>
      <c r="Q106" s="1405">
        <f t="shared" si="10"/>
        <v>639350</v>
      </c>
      <c r="R106" s="717">
        <v>150700</v>
      </c>
      <c r="S106" s="718"/>
      <c r="T106" s="718">
        <v>0</v>
      </c>
      <c r="U106" s="718">
        <v>0</v>
      </c>
      <c r="V106" s="718">
        <v>0</v>
      </c>
      <c r="W106" s="718">
        <v>280450</v>
      </c>
      <c r="X106" s="718">
        <v>0</v>
      </c>
      <c r="Y106" s="718">
        <v>0</v>
      </c>
      <c r="Z106" s="718"/>
      <c r="AA106" s="718"/>
      <c r="AB106" s="718"/>
      <c r="AC106" s="718"/>
      <c r="AD106" s="1405">
        <f t="shared" si="7"/>
        <v>431150</v>
      </c>
      <c r="AE106" s="852">
        <f t="shared" si="8"/>
        <v>-7.6766595289079226E-2</v>
      </c>
      <c r="AF106" s="853">
        <f t="shared" si="11"/>
        <v>468</v>
      </c>
    </row>
    <row r="107" spans="1:32" x14ac:dyDescent="0.3">
      <c r="A107" s="287" t="s">
        <v>804</v>
      </c>
      <c r="B107" s="851" t="s">
        <v>641</v>
      </c>
      <c r="C107" s="717"/>
      <c r="D107" s="718">
        <v>0</v>
      </c>
      <c r="E107" s="718"/>
      <c r="F107" s="718">
        <v>261000</v>
      </c>
      <c r="G107" s="718">
        <v>0</v>
      </c>
      <c r="H107" s="718">
        <v>0</v>
      </c>
      <c r="I107" s="718">
        <v>0</v>
      </c>
      <c r="J107" s="718">
        <v>0</v>
      </c>
      <c r="K107" s="718">
        <v>0</v>
      </c>
      <c r="L107" s="718">
        <v>0</v>
      </c>
      <c r="M107" s="718">
        <v>0</v>
      </c>
      <c r="N107" s="718">
        <v>0</v>
      </c>
      <c r="O107" s="718">
        <v>60650</v>
      </c>
      <c r="P107" s="1497">
        <f t="shared" si="9"/>
        <v>261000</v>
      </c>
      <c r="Q107" s="1405">
        <f t="shared" si="10"/>
        <v>321650</v>
      </c>
      <c r="R107" s="717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1405">
        <f t="shared" si="7"/>
        <v>0</v>
      </c>
      <c r="AE107" s="852">
        <f t="shared" si="8"/>
        <v>-1</v>
      </c>
      <c r="AF107" s="853">
        <f t="shared" si="11"/>
        <v>983</v>
      </c>
    </row>
    <row r="108" spans="1:32" x14ac:dyDescent="0.3">
      <c r="A108" s="287" t="s">
        <v>804</v>
      </c>
      <c r="B108" s="851" t="s">
        <v>1138</v>
      </c>
      <c r="C108" s="717"/>
      <c r="D108" s="718">
        <v>0</v>
      </c>
      <c r="E108" s="718">
        <v>256100</v>
      </c>
      <c r="F108" s="718">
        <v>0</v>
      </c>
      <c r="G108" s="718">
        <v>0</v>
      </c>
      <c r="H108" s="718">
        <v>0</v>
      </c>
      <c r="I108" s="718">
        <v>0</v>
      </c>
      <c r="J108" s="718">
        <v>0</v>
      </c>
      <c r="K108" s="718">
        <v>0</v>
      </c>
      <c r="L108" s="718">
        <v>93800</v>
      </c>
      <c r="M108" s="718">
        <v>0</v>
      </c>
      <c r="N108" s="718">
        <v>0</v>
      </c>
      <c r="O108" s="718" t="s">
        <v>251</v>
      </c>
      <c r="P108" s="1497">
        <f t="shared" si="9"/>
        <v>256100</v>
      </c>
      <c r="Q108" s="1405">
        <f t="shared" si="10"/>
        <v>349900</v>
      </c>
      <c r="R108" s="717"/>
      <c r="S108" s="718"/>
      <c r="T108" s="718">
        <v>107250</v>
      </c>
      <c r="U108" s="718">
        <v>71000</v>
      </c>
      <c r="V108" s="718">
        <v>398670</v>
      </c>
      <c r="W108" s="718">
        <v>0</v>
      </c>
      <c r="X108" s="718">
        <v>0</v>
      </c>
      <c r="Y108" s="718">
        <v>0</v>
      </c>
      <c r="Z108" s="718"/>
      <c r="AA108" s="718"/>
      <c r="AB108" s="718"/>
      <c r="AC108" s="718"/>
      <c r="AD108" s="1405">
        <f t="shared" si="7"/>
        <v>576920</v>
      </c>
      <c r="AE108" s="852">
        <f t="shared" si="8"/>
        <v>1.2527137836782507</v>
      </c>
      <c r="AF108" s="853">
        <f t="shared" si="11"/>
        <v>411</v>
      </c>
    </row>
    <row r="109" spans="1:32" x14ac:dyDescent="0.3">
      <c r="A109" s="287" t="s">
        <v>804</v>
      </c>
      <c r="B109" s="851" t="s">
        <v>628</v>
      </c>
      <c r="C109" s="717"/>
      <c r="D109" s="718">
        <v>0</v>
      </c>
      <c r="E109" s="718">
        <v>245800</v>
      </c>
      <c r="F109" s="718">
        <v>0</v>
      </c>
      <c r="G109" s="718">
        <v>0</v>
      </c>
      <c r="H109" s="718">
        <v>0</v>
      </c>
      <c r="I109" s="718">
        <v>0</v>
      </c>
      <c r="J109" s="718">
        <v>0</v>
      </c>
      <c r="K109" s="718">
        <v>0</v>
      </c>
      <c r="L109" s="718">
        <v>0</v>
      </c>
      <c r="M109" s="718">
        <v>0</v>
      </c>
      <c r="N109" s="718">
        <v>0</v>
      </c>
      <c r="O109" s="718" t="s">
        <v>251</v>
      </c>
      <c r="P109" s="1497">
        <f t="shared" si="9"/>
        <v>245800</v>
      </c>
      <c r="Q109" s="1405">
        <f t="shared" si="10"/>
        <v>245800</v>
      </c>
      <c r="R109" s="717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1405">
        <f t="shared" si="7"/>
        <v>0</v>
      </c>
      <c r="AE109" s="852">
        <f t="shared" si="8"/>
        <v>-1</v>
      </c>
      <c r="AF109" s="853">
        <f t="shared" si="11"/>
        <v>983</v>
      </c>
    </row>
    <row r="110" spans="1:32" x14ac:dyDescent="0.3">
      <c r="A110" s="287" t="s">
        <v>804</v>
      </c>
      <c r="B110" s="851" t="s">
        <v>815</v>
      </c>
      <c r="C110" s="717">
        <v>0</v>
      </c>
      <c r="D110" s="718">
        <v>22500</v>
      </c>
      <c r="E110" s="718">
        <v>0</v>
      </c>
      <c r="F110" s="718">
        <v>223300</v>
      </c>
      <c r="G110" s="718">
        <v>0</v>
      </c>
      <c r="H110" s="718">
        <v>0</v>
      </c>
      <c r="I110" s="718">
        <v>0</v>
      </c>
      <c r="J110" s="718">
        <v>0</v>
      </c>
      <c r="K110" s="718">
        <v>0</v>
      </c>
      <c r="L110" s="718">
        <v>0</v>
      </c>
      <c r="M110" s="718">
        <v>222350</v>
      </c>
      <c r="N110" s="718">
        <v>0</v>
      </c>
      <c r="O110" s="718" t="s">
        <v>251</v>
      </c>
      <c r="P110" s="1497">
        <f t="shared" si="9"/>
        <v>245800</v>
      </c>
      <c r="Q110" s="1405">
        <f t="shared" si="10"/>
        <v>468150</v>
      </c>
      <c r="R110" s="717">
        <v>267850</v>
      </c>
      <c r="S110" s="718"/>
      <c r="T110" s="718">
        <v>152800</v>
      </c>
      <c r="U110" s="718">
        <v>250850</v>
      </c>
      <c r="V110" s="718">
        <v>0</v>
      </c>
      <c r="W110" s="718">
        <v>0</v>
      </c>
      <c r="X110" s="718">
        <v>70700</v>
      </c>
      <c r="Y110" s="718">
        <v>0</v>
      </c>
      <c r="Z110" s="718"/>
      <c r="AA110" s="718"/>
      <c r="AB110" s="718"/>
      <c r="AC110" s="718"/>
      <c r="AD110" s="1405">
        <f t="shared" si="7"/>
        <v>742200</v>
      </c>
      <c r="AE110" s="852">
        <f t="shared" si="8"/>
        <v>2.0195280716029291</v>
      </c>
      <c r="AF110" s="853">
        <f t="shared" si="11"/>
        <v>367</v>
      </c>
    </row>
    <row r="111" spans="1:32" x14ac:dyDescent="0.3">
      <c r="A111" s="287" t="s">
        <v>804</v>
      </c>
      <c r="B111" s="851" t="s">
        <v>1139</v>
      </c>
      <c r="C111" s="717"/>
      <c r="D111" s="718">
        <v>0</v>
      </c>
      <c r="E111" s="718">
        <v>113200</v>
      </c>
      <c r="F111" s="718">
        <v>125000</v>
      </c>
      <c r="G111" s="718">
        <v>0</v>
      </c>
      <c r="H111" s="718">
        <v>33100</v>
      </c>
      <c r="I111" s="718">
        <v>0</v>
      </c>
      <c r="J111" s="718">
        <v>524200</v>
      </c>
      <c r="K111" s="718">
        <v>524200</v>
      </c>
      <c r="L111" s="718">
        <v>43250</v>
      </c>
      <c r="M111" s="718">
        <v>183850</v>
      </c>
      <c r="N111" s="718">
        <v>69200</v>
      </c>
      <c r="O111" s="718" t="s">
        <v>251</v>
      </c>
      <c r="P111" s="1497">
        <f t="shared" si="9"/>
        <v>795500</v>
      </c>
      <c r="Q111" s="1405">
        <f t="shared" si="10"/>
        <v>1091800</v>
      </c>
      <c r="R111" s="717">
        <v>154550</v>
      </c>
      <c r="S111" s="718"/>
      <c r="T111" s="718">
        <v>146150</v>
      </c>
      <c r="U111" s="718">
        <v>162400</v>
      </c>
      <c r="V111" s="718">
        <v>364700</v>
      </c>
      <c r="W111" s="718">
        <v>47250</v>
      </c>
      <c r="X111" s="718">
        <v>96450</v>
      </c>
      <c r="Y111" s="718">
        <v>254000</v>
      </c>
      <c r="Z111" s="718"/>
      <c r="AA111" s="718"/>
      <c r="AB111" s="718"/>
      <c r="AC111" s="718"/>
      <c r="AD111" s="1405">
        <f t="shared" si="7"/>
        <v>1225500</v>
      </c>
      <c r="AE111" s="852">
        <f t="shared" si="8"/>
        <v>0.54054054054054057</v>
      </c>
      <c r="AF111" s="853">
        <f t="shared" si="11"/>
        <v>278</v>
      </c>
    </row>
    <row r="112" spans="1:32" x14ac:dyDescent="0.3">
      <c r="A112" s="287" t="s">
        <v>804</v>
      </c>
      <c r="B112" s="851" t="s">
        <v>1140</v>
      </c>
      <c r="C112" s="717"/>
      <c r="D112" s="718">
        <v>222200</v>
      </c>
      <c r="E112" s="718"/>
      <c r="F112" s="718">
        <v>0</v>
      </c>
      <c r="G112" s="718">
        <v>0</v>
      </c>
      <c r="H112" s="718">
        <v>0</v>
      </c>
      <c r="I112" s="718">
        <v>0</v>
      </c>
      <c r="J112" s="718">
        <v>0</v>
      </c>
      <c r="K112" s="718"/>
      <c r="L112" s="718">
        <v>0</v>
      </c>
      <c r="M112" s="718">
        <v>0</v>
      </c>
      <c r="N112" s="718">
        <v>0</v>
      </c>
      <c r="O112" s="718" t="s">
        <v>251</v>
      </c>
      <c r="P112" s="1497">
        <f t="shared" si="9"/>
        <v>222200</v>
      </c>
      <c r="Q112" s="1405">
        <f t="shared" si="10"/>
        <v>222200</v>
      </c>
      <c r="R112" s="717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1405">
        <f t="shared" si="7"/>
        <v>0</v>
      </c>
      <c r="AE112" s="852">
        <f t="shared" si="8"/>
        <v>-1</v>
      </c>
      <c r="AF112" s="853">
        <f t="shared" si="11"/>
        <v>983</v>
      </c>
    </row>
    <row r="113" spans="1:32" x14ac:dyDescent="0.3">
      <c r="A113" s="287" t="s">
        <v>804</v>
      </c>
      <c r="B113" s="851" t="s">
        <v>805</v>
      </c>
      <c r="C113" s="717">
        <v>218950</v>
      </c>
      <c r="D113" s="718">
        <v>0</v>
      </c>
      <c r="E113" s="718">
        <v>29250</v>
      </c>
      <c r="F113" s="718">
        <v>0</v>
      </c>
      <c r="G113" s="718">
        <v>0</v>
      </c>
      <c r="H113" s="718">
        <v>208600</v>
      </c>
      <c r="I113" s="718">
        <v>0</v>
      </c>
      <c r="J113" s="718">
        <v>0</v>
      </c>
      <c r="K113" s="718">
        <v>0</v>
      </c>
      <c r="L113" s="718">
        <v>204150</v>
      </c>
      <c r="M113" s="718">
        <v>0</v>
      </c>
      <c r="N113" s="718">
        <v>313850</v>
      </c>
      <c r="O113" s="718" t="s">
        <v>251</v>
      </c>
      <c r="P113" s="1497">
        <f t="shared" si="9"/>
        <v>456800</v>
      </c>
      <c r="Q113" s="1405">
        <f t="shared" si="10"/>
        <v>974800</v>
      </c>
      <c r="R113" s="717"/>
      <c r="S113" s="718"/>
      <c r="T113" s="718"/>
      <c r="U113" s="718">
        <v>54000</v>
      </c>
      <c r="V113" s="718">
        <v>210700</v>
      </c>
      <c r="W113" s="718">
        <v>0</v>
      </c>
      <c r="X113" s="718">
        <v>0</v>
      </c>
      <c r="Y113" s="718">
        <v>227750</v>
      </c>
      <c r="Z113" s="718"/>
      <c r="AA113" s="718"/>
      <c r="AB113" s="718"/>
      <c r="AC113" s="718"/>
      <c r="AD113" s="1405">
        <f t="shared" si="7"/>
        <v>492450</v>
      </c>
      <c r="AE113" s="852">
        <f t="shared" si="8"/>
        <v>7.8042907180385285E-2</v>
      </c>
      <c r="AF113" s="853">
        <f t="shared" si="11"/>
        <v>446</v>
      </c>
    </row>
    <row r="114" spans="1:32" x14ac:dyDescent="0.3">
      <c r="A114" s="287" t="s">
        <v>804</v>
      </c>
      <c r="B114" s="851" t="s">
        <v>819</v>
      </c>
      <c r="C114" s="717">
        <v>171450</v>
      </c>
      <c r="D114" s="718">
        <v>7450</v>
      </c>
      <c r="E114" s="718"/>
      <c r="F114" s="718">
        <v>0</v>
      </c>
      <c r="G114" s="718">
        <v>0</v>
      </c>
      <c r="H114" s="718">
        <v>0</v>
      </c>
      <c r="I114" s="718">
        <v>0</v>
      </c>
      <c r="J114" s="718">
        <v>0</v>
      </c>
      <c r="K114" s="718">
        <v>0</v>
      </c>
      <c r="L114" s="718">
        <v>0</v>
      </c>
      <c r="M114" s="718">
        <v>0</v>
      </c>
      <c r="N114" s="718">
        <v>0</v>
      </c>
      <c r="O114" s="718" t="s">
        <v>251</v>
      </c>
      <c r="P114" s="1497">
        <f t="shared" si="9"/>
        <v>178900</v>
      </c>
      <c r="Q114" s="1405">
        <f t="shared" si="10"/>
        <v>178900</v>
      </c>
      <c r="R114" s="717"/>
      <c r="S114" s="718"/>
      <c r="T114" s="718"/>
      <c r="U114" s="718"/>
      <c r="V114" s="718"/>
      <c r="W114" s="718"/>
      <c r="X114" s="718"/>
      <c r="Y114" s="718"/>
      <c r="Z114" s="718"/>
      <c r="AA114" s="718"/>
      <c r="AB114" s="718"/>
      <c r="AC114" s="718"/>
      <c r="AD114" s="1405">
        <f t="shared" si="7"/>
        <v>0</v>
      </c>
      <c r="AE114" s="852">
        <f t="shared" si="8"/>
        <v>-1</v>
      </c>
      <c r="AF114" s="853">
        <f t="shared" si="11"/>
        <v>983</v>
      </c>
    </row>
    <row r="115" spans="1:32" x14ac:dyDescent="0.3">
      <c r="A115" s="287" t="s">
        <v>804</v>
      </c>
      <c r="B115" s="851" t="s">
        <v>1141</v>
      </c>
      <c r="C115" s="717">
        <v>165950</v>
      </c>
      <c r="D115" s="718">
        <v>0</v>
      </c>
      <c r="E115" s="718"/>
      <c r="F115" s="718">
        <v>0</v>
      </c>
      <c r="G115" s="718">
        <v>0</v>
      </c>
      <c r="H115" s="718">
        <v>0</v>
      </c>
      <c r="I115" s="718">
        <v>0</v>
      </c>
      <c r="J115" s="718">
        <v>0</v>
      </c>
      <c r="K115" s="718">
        <v>0</v>
      </c>
      <c r="L115" s="718">
        <v>0</v>
      </c>
      <c r="M115" s="718">
        <v>0</v>
      </c>
      <c r="N115" s="718">
        <v>0</v>
      </c>
      <c r="O115" s="718" t="s">
        <v>251</v>
      </c>
      <c r="P115" s="1497">
        <f t="shared" si="9"/>
        <v>165950</v>
      </c>
      <c r="Q115" s="1405">
        <f t="shared" si="10"/>
        <v>165950</v>
      </c>
      <c r="R115" s="717"/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1405">
        <f t="shared" si="7"/>
        <v>0</v>
      </c>
      <c r="AE115" s="852">
        <f t="shared" si="8"/>
        <v>-1</v>
      </c>
      <c r="AF115" s="853">
        <f t="shared" si="11"/>
        <v>983</v>
      </c>
    </row>
    <row r="116" spans="1:32" x14ac:dyDescent="0.3">
      <c r="A116" s="287" t="s">
        <v>804</v>
      </c>
      <c r="B116" s="851" t="s">
        <v>837</v>
      </c>
      <c r="C116" s="717"/>
      <c r="D116" s="718">
        <v>0</v>
      </c>
      <c r="E116" s="718"/>
      <c r="F116" s="718">
        <v>0</v>
      </c>
      <c r="G116" s="718">
        <v>159250</v>
      </c>
      <c r="H116" s="718">
        <v>0</v>
      </c>
      <c r="I116" s="718">
        <v>0</v>
      </c>
      <c r="J116" s="718">
        <v>0</v>
      </c>
      <c r="K116" s="718">
        <v>0</v>
      </c>
      <c r="L116" s="718">
        <v>155250</v>
      </c>
      <c r="M116" s="718">
        <v>9900</v>
      </c>
      <c r="N116" s="718">
        <v>0</v>
      </c>
      <c r="O116" s="718">
        <v>143250</v>
      </c>
      <c r="P116" s="1497">
        <f t="shared" si="9"/>
        <v>159250</v>
      </c>
      <c r="Q116" s="1405">
        <f t="shared" si="10"/>
        <v>467650</v>
      </c>
      <c r="R116" s="717">
        <v>138250</v>
      </c>
      <c r="S116" s="718"/>
      <c r="T116" s="718">
        <v>143250</v>
      </c>
      <c r="U116" s="718">
        <v>285620</v>
      </c>
      <c r="V116" s="718">
        <v>0</v>
      </c>
      <c r="W116" s="718">
        <v>92500</v>
      </c>
      <c r="X116" s="718">
        <v>0</v>
      </c>
      <c r="Y116" s="718">
        <v>343700</v>
      </c>
      <c r="Z116" s="718"/>
      <c r="AA116" s="718"/>
      <c r="AB116" s="718"/>
      <c r="AC116" s="718"/>
      <c r="AD116" s="1405">
        <f t="shared" si="7"/>
        <v>1003320</v>
      </c>
      <c r="AE116" s="852">
        <f t="shared" si="8"/>
        <v>5.3002825745682891</v>
      </c>
      <c r="AF116" s="853">
        <f t="shared" si="11"/>
        <v>317</v>
      </c>
    </row>
    <row r="117" spans="1:32" x14ac:dyDescent="0.3">
      <c r="A117" s="287" t="s">
        <v>804</v>
      </c>
      <c r="B117" s="851" t="s">
        <v>1142</v>
      </c>
      <c r="C117" s="717">
        <v>0</v>
      </c>
      <c r="D117" s="718">
        <v>153200</v>
      </c>
      <c r="E117" s="718">
        <v>0</v>
      </c>
      <c r="F117" s="718">
        <v>0</v>
      </c>
      <c r="G117" s="718">
        <v>0</v>
      </c>
      <c r="H117" s="718">
        <v>0</v>
      </c>
      <c r="I117" s="718">
        <v>468700</v>
      </c>
      <c r="J117" s="718">
        <v>0</v>
      </c>
      <c r="K117" s="718">
        <v>0</v>
      </c>
      <c r="L117" s="718">
        <v>0</v>
      </c>
      <c r="M117" s="718">
        <v>0</v>
      </c>
      <c r="N117" s="718">
        <v>0</v>
      </c>
      <c r="O117" s="718">
        <v>319000</v>
      </c>
      <c r="P117" s="1497">
        <f t="shared" si="9"/>
        <v>621900</v>
      </c>
      <c r="Q117" s="1405">
        <f t="shared" si="10"/>
        <v>940900</v>
      </c>
      <c r="R117" s="717"/>
      <c r="S117" s="718"/>
      <c r="T117" s="718"/>
      <c r="U117" s="718"/>
      <c r="V117" s="718">
        <v>159500</v>
      </c>
      <c r="W117" s="718">
        <v>0</v>
      </c>
      <c r="X117" s="718">
        <v>0</v>
      </c>
      <c r="Y117" s="718">
        <v>0</v>
      </c>
      <c r="Z117" s="718"/>
      <c r="AA117" s="718"/>
      <c r="AB117" s="718"/>
      <c r="AC117" s="718"/>
      <c r="AD117" s="1405">
        <f t="shared" si="7"/>
        <v>159500</v>
      </c>
      <c r="AE117" s="852">
        <f t="shared" si="8"/>
        <v>-0.74352789837594468</v>
      </c>
      <c r="AF117" s="853">
        <f t="shared" si="11"/>
        <v>662</v>
      </c>
    </row>
    <row r="118" spans="1:32" x14ac:dyDescent="0.3">
      <c r="A118" s="287" t="s">
        <v>804</v>
      </c>
      <c r="B118" s="851" t="s">
        <v>447</v>
      </c>
      <c r="C118" s="717">
        <v>0</v>
      </c>
      <c r="D118" s="718">
        <v>0</v>
      </c>
      <c r="E118" s="718">
        <v>0</v>
      </c>
      <c r="F118" s="718">
        <v>151900</v>
      </c>
      <c r="G118" s="718">
        <v>0</v>
      </c>
      <c r="H118" s="718">
        <v>0</v>
      </c>
      <c r="I118" s="718">
        <v>148700</v>
      </c>
      <c r="J118" s="718">
        <v>0</v>
      </c>
      <c r="K118" s="718">
        <v>0</v>
      </c>
      <c r="L118" s="718">
        <v>208600</v>
      </c>
      <c r="M118" s="718">
        <v>0</v>
      </c>
      <c r="N118" s="718">
        <v>0</v>
      </c>
      <c r="O118" s="718">
        <v>104300</v>
      </c>
      <c r="P118" s="1497">
        <f t="shared" si="9"/>
        <v>300600</v>
      </c>
      <c r="Q118" s="1405">
        <f t="shared" si="10"/>
        <v>613500</v>
      </c>
      <c r="R118" s="717"/>
      <c r="S118" s="718"/>
      <c r="T118" s="718"/>
      <c r="U118" s="718">
        <v>262150</v>
      </c>
      <c r="V118" s="718">
        <v>299450</v>
      </c>
      <c r="W118" s="718">
        <v>0</v>
      </c>
      <c r="X118" s="718">
        <v>187800</v>
      </c>
      <c r="Y118" s="718">
        <v>0</v>
      </c>
      <c r="Z118" s="718"/>
      <c r="AA118" s="718"/>
      <c r="AB118" s="718"/>
      <c r="AC118" s="718"/>
      <c r="AD118" s="1405">
        <f t="shared" si="7"/>
        <v>749400</v>
      </c>
      <c r="AE118" s="852">
        <f t="shared" si="8"/>
        <v>1.4930139720558881</v>
      </c>
      <c r="AF118" s="853">
        <f t="shared" si="11"/>
        <v>364</v>
      </c>
    </row>
    <row r="119" spans="1:32" x14ac:dyDescent="0.3">
      <c r="A119" s="287" t="s">
        <v>804</v>
      </c>
      <c r="B119" s="851" t="s">
        <v>829</v>
      </c>
      <c r="C119" s="717"/>
      <c r="D119" s="718">
        <v>148700</v>
      </c>
      <c r="E119" s="718"/>
      <c r="F119" s="718">
        <v>0</v>
      </c>
      <c r="G119" s="718">
        <v>0</v>
      </c>
      <c r="H119" s="718">
        <v>0</v>
      </c>
      <c r="I119" s="718">
        <v>0</v>
      </c>
      <c r="J119" s="718">
        <v>0</v>
      </c>
      <c r="K119" s="718">
        <v>0</v>
      </c>
      <c r="L119" s="718">
        <v>0</v>
      </c>
      <c r="M119" s="718">
        <v>0</v>
      </c>
      <c r="N119" s="718">
        <v>0</v>
      </c>
      <c r="O119" s="718" t="s">
        <v>251</v>
      </c>
      <c r="P119" s="1497">
        <f t="shared" si="9"/>
        <v>148700</v>
      </c>
      <c r="Q119" s="1405">
        <f t="shared" si="10"/>
        <v>148700</v>
      </c>
      <c r="R119" s="717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1405">
        <f t="shared" si="7"/>
        <v>0</v>
      </c>
      <c r="AE119" s="852">
        <f t="shared" si="8"/>
        <v>-1</v>
      </c>
      <c r="AF119" s="853">
        <f t="shared" si="11"/>
        <v>983</v>
      </c>
    </row>
    <row r="120" spans="1:32" x14ac:dyDescent="0.3">
      <c r="A120" s="287" t="s">
        <v>804</v>
      </c>
      <c r="B120" s="851" t="s">
        <v>1143</v>
      </c>
      <c r="C120" s="717"/>
      <c r="D120" s="718">
        <v>0</v>
      </c>
      <c r="E120" s="718"/>
      <c r="F120" s="718">
        <v>0</v>
      </c>
      <c r="G120" s="718">
        <v>148600</v>
      </c>
      <c r="H120" s="718">
        <v>0</v>
      </c>
      <c r="I120" s="718">
        <v>0</v>
      </c>
      <c r="J120" s="718">
        <v>0</v>
      </c>
      <c r="K120" s="718">
        <v>0</v>
      </c>
      <c r="L120" s="718">
        <v>0</v>
      </c>
      <c r="M120" s="718">
        <v>0</v>
      </c>
      <c r="N120" s="718">
        <v>0</v>
      </c>
      <c r="O120" s="718" t="s">
        <v>251</v>
      </c>
      <c r="P120" s="1497">
        <f t="shared" si="9"/>
        <v>148600</v>
      </c>
      <c r="Q120" s="1405">
        <f t="shared" si="10"/>
        <v>148600</v>
      </c>
      <c r="R120" s="717"/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1405">
        <f t="shared" si="7"/>
        <v>0</v>
      </c>
      <c r="AE120" s="852">
        <f t="shared" si="8"/>
        <v>-1</v>
      </c>
      <c r="AF120" s="853">
        <f t="shared" si="11"/>
        <v>983</v>
      </c>
    </row>
    <row r="121" spans="1:32" x14ac:dyDescent="0.3">
      <c r="A121" s="287" t="s">
        <v>804</v>
      </c>
      <c r="B121" s="851" t="s">
        <v>878</v>
      </c>
      <c r="C121" s="717"/>
      <c r="D121" s="718">
        <v>0</v>
      </c>
      <c r="E121" s="718"/>
      <c r="F121" s="718">
        <v>0</v>
      </c>
      <c r="G121" s="718">
        <v>145450</v>
      </c>
      <c r="H121" s="718">
        <v>0</v>
      </c>
      <c r="I121" s="718">
        <v>0</v>
      </c>
      <c r="J121" s="718">
        <v>0</v>
      </c>
      <c r="K121" s="718">
        <v>0</v>
      </c>
      <c r="L121" s="718">
        <v>0</v>
      </c>
      <c r="M121" s="718">
        <v>0</v>
      </c>
      <c r="N121" s="718">
        <v>0</v>
      </c>
      <c r="O121" s="718" t="s">
        <v>251</v>
      </c>
      <c r="P121" s="1497">
        <f t="shared" si="9"/>
        <v>145450</v>
      </c>
      <c r="Q121" s="1405">
        <f t="shared" si="10"/>
        <v>145450</v>
      </c>
      <c r="R121" s="717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1405">
        <f t="shared" si="7"/>
        <v>0</v>
      </c>
      <c r="AE121" s="852">
        <f t="shared" si="8"/>
        <v>-1</v>
      </c>
      <c r="AF121" s="853">
        <f t="shared" si="11"/>
        <v>983</v>
      </c>
    </row>
    <row r="122" spans="1:32" x14ac:dyDescent="0.3">
      <c r="A122" s="287" t="s">
        <v>804</v>
      </c>
      <c r="B122" s="851" t="s">
        <v>854</v>
      </c>
      <c r="C122" s="717"/>
      <c r="D122" s="718">
        <v>0</v>
      </c>
      <c r="E122" s="718">
        <v>136950</v>
      </c>
      <c r="F122" s="718">
        <v>0</v>
      </c>
      <c r="G122" s="718">
        <v>0</v>
      </c>
      <c r="H122" s="718">
        <v>0</v>
      </c>
      <c r="I122" s="718">
        <v>0</v>
      </c>
      <c r="J122" s="718">
        <v>108150</v>
      </c>
      <c r="K122" s="718">
        <v>108150</v>
      </c>
      <c r="L122" s="718">
        <v>0</v>
      </c>
      <c r="M122" s="718">
        <v>0</v>
      </c>
      <c r="N122" s="718">
        <v>0</v>
      </c>
      <c r="O122" s="718" t="s">
        <v>251</v>
      </c>
      <c r="P122" s="1497">
        <f t="shared" si="9"/>
        <v>245100</v>
      </c>
      <c r="Q122" s="1405">
        <f t="shared" si="10"/>
        <v>245100</v>
      </c>
      <c r="R122" s="717">
        <v>147700</v>
      </c>
      <c r="S122" s="718">
        <v>225000</v>
      </c>
      <c r="T122" s="718">
        <v>0</v>
      </c>
      <c r="U122" s="718">
        <v>199370</v>
      </c>
      <c r="V122" s="718">
        <v>157600</v>
      </c>
      <c r="W122" s="718">
        <v>151600</v>
      </c>
      <c r="X122" s="718">
        <v>0</v>
      </c>
      <c r="Y122" s="718">
        <v>0</v>
      </c>
      <c r="Z122" s="718"/>
      <c r="AA122" s="718"/>
      <c r="AB122" s="718"/>
      <c r="AC122" s="718"/>
      <c r="AD122" s="1405">
        <f t="shared" si="7"/>
        <v>881270</v>
      </c>
      <c r="AE122" s="852">
        <f t="shared" si="8"/>
        <v>2.5955528355773154</v>
      </c>
      <c r="AF122" s="853">
        <f t="shared" si="11"/>
        <v>338</v>
      </c>
    </row>
    <row r="123" spans="1:32" x14ac:dyDescent="0.3">
      <c r="A123" s="287" t="s">
        <v>804</v>
      </c>
      <c r="B123" s="851" t="s">
        <v>1144</v>
      </c>
      <c r="C123" s="717"/>
      <c r="D123" s="718">
        <v>0</v>
      </c>
      <c r="E123" s="718"/>
      <c r="F123" s="718">
        <v>135700</v>
      </c>
      <c r="G123" s="718">
        <v>0</v>
      </c>
      <c r="H123" s="718">
        <v>0</v>
      </c>
      <c r="I123" s="718">
        <v>0</v>
      </c>
      <c r="J123" s="718">
        <v>0</v>
      </c>
      <c r="K123" s="718">
        <v>0</v>
      </c>
      <c r="L123" s="718">
        <v>0</v>
      </c>
      <c r="M123" s="718">
        <v>0</v>
      </c>
      <c r="N123" s="718">
        <v>0</v>
      </c>
      <c r="O123" s="718">
        <v>145250</v>
      </c>
      <c r="P123" s="1497">
        <f t="shared" si="9"/>
        <v>135700</v>
      </c>
      <c r="Q123" s="1405">
        <f t="shared" si="10"/>
        <v>280950</v>
      </c>
      <c r="R123" s="717"/>
      <c r="S123" s="718"/>
      <c r="T123" s="718"/>
      <c r="U123" s="718"/>
      <c r="V123" s="718"/>
      <c r="W123" s="718"/>
      <c r="X123" s="718"/>
      <c r="Y123" s="718"/>
      <c r="Z123" s="718"/>
      <c r="AA123" s="718"/>
      <c r="AB123" s="718"/>
      <c r="AC123" s="718"/>
      <c r="AD123" s="1405">
        <f t="shared" si="7"/>
        <v>0</v>
      </c>
      <c r="AE123" s="852">
        <f t="shared" si="8"/>
        <v>-1</v>
      </c>
      <c r="AF123" s="853">
        <f t="shared" si="11"/>
        <v>983</v>
      </c>
    </row>
    <row r="124" spans="1:32" x14ac:dyDescent="0.3">
      <c r="A124" s="287" t="s">
        <v>804</v>
      </c>
      <c r="B124" s="851" t="s">
        <v>196</v>
      </c>
      <c r="C124" s="717"/>
      <c r="D124" s="718">
        <v>0</v>
      </c>
      <c r="E124" s="718"/>
      <c r="F124" s="718">
        <v>120400</v>
      </c>
      <c r="G124" s="718">
        <v>0</v>
      </c>
      <c r="H124" s="718">
        <v>0</v>
      </c>
      <c r="I124" s="718">
        <v>0</v>
      </c>
      <c r="J124" s="718">
        <v>209150</v>
      </c>
      <c r="K124" s="718">
        <v>0</v>
      </c>
      <c r="L124" s="718">
        <v>0</v>
      </c>
      <c r="M124" s="718">
        <v>112350</v>
      </c>
      <c r="N124" s="718">
        <v>0</v>
      </c>
      <c r="O124" s="718" t="s">
        <v>251</v>
      </c>
      <c r="P124" s="1497">
        <f t="shared" si="9"/>
        <v>120400</v>
      </c>
      <c r="Q124" s="1405">
        <f t="shared" si="10"/>
        <v>441900</v>
      </c>
      <c r="R124" s="717">
        <v>116550</v>
      </c>
      <c r="S124" s="718"/>
      <c r="T124" s="718">
        <v>0</v>
      </c>
      <c r="U124" s="718">
        <v>0</v>
      </c>
      <c r="V124" s="718">
        <v>0</v>
      </c>
      <c r="W124" s="718">
        <v>0</v>
      </c>
      <c r="X124" s="718">
        <v>0</v>
      </c>
      <c r="Y124" s="718">
        <v>0</v>
      </c>
      <c r="Z124" s="718"/>
      <c r="AA124" s="718"/>
      <c r="AB124" s="718"/>
      <c r="AC124" s="718"/>
      <c r="AD124" s="1405">
        <f t="shared" si="7"/>
        <v>116550</v>
      </c>
      <c r="AE124" s="852">
        <f t="shared" si="8"/>
        <v>-3.1976744186046513E-2</v>
      </c>
      <c r="AF124" s="853">
        <f t="shared" si="11"/>
        <v>719</v>
      </c>
    </row>
    <row r="125" spans="1:32" x14ac:dyDescent="0.3">
      <c r="A125" s="287" t="s">
        <v>804</v>
      </c>
      <c r="B125" s="851" t="s">
        <v>1145</v>
      </c>
      <c r="C125" s="717">
        <v>0</v>
      </c>
      <c r="D125" s="718">
        <v>0</v>
      </c>
      <c r="E125" s="718">
        <v>0</v>
      </c>
      <c r="F125" s="718">
        <v>115500</v>
      </c>
      <c r="G125" s="718">
        <v>0</v>
      </c>
      <c r="H125" s="718">
        <v>262800</v>
      </c>
      <c r="I125" s="718">
        <v>9200</v>
      </c>
      <c r="J125" s="718">
        <v>0</v>
      </c>
      <c r="K125" s="718">
        <v>0</v>
      </c>
      <c r="L125" s="718">
        <v>0</v>
      </c>
      <c r="M125" s="718">
        <v>0</v>
      </c>
      <c r="N125" s="718">
        <v>0</v>
      </c>
      <c r="O125" s="718" t="s">
        <v>251</v>
      </c>
      <c r="P125" s="1497">
        <f t="shared" si="9"/>
        <v>387500</v>
      </c>
      <c r="Q125" s="1405">
        <f t="shared" si="10"/>
        <v>387500</v>
      </c>
      <c r="R125" s="717">
        <v>106650</v>
      </c>
      <c r="S125" s="718">
        <v>7100</v>
      </c>
      <c r="T125" s="718">
        <v>0</v>
      </c>
      <c r="U125" s="718">
        <v>0</v>
      </c>
      <c r="V125" s="718">
        <v>0</v>
      </c>
      <c r="W125" s="718">
        <v>0</v>
      </c>
      <c r="X125" s="718">
        <v>0</v>
      </c>
      <c r="Y125" s="718">
        <v>0</v>
      </c>
      <c r="Z125" s="718"/>
      <c r="AA125" s="718"/>
      <c r="AB125" s="718"/>
      <c r="AC125" s="718"/>
      <c r="AD125" s="1405">
        <f t="shared" si="7"/>
        <v>113750</v>
      </c>
      <c r="AE125" s="852">
        <f t="shared" si="8"/>
        <v>-0.70645161290322578</v>
      </c>
      <c r="AF125" s="853">
        <f t="shared" si="11"/>
        <v>725</v>
      </c>
    </row>
    <row r="126" spans="1:32" x14ac:dyDescent="0.3">
      <c r="A126" s="287" t="s">
        <v>804</v>
      </c>
      <c r="B126" s="851" t="s">
        <v>1146</v>
      </c>
      <c r="C126" s="717"/>
      <c r="D126" s="718">
        <v>0</v>
      </c>
      <c r="E126" s="718"/>
      <c r="F126" s="718">
        <v>115000</v>
      </c>
      <c r="G126" s="718">
        <v>0</v>
      </c>
      <c r="H126" s="718">
        <v>0</v>
      </c>
      <c r="I126" s="718">
        <v>0</v>
      </c>
      <c r="J126" s="718">
        <v>0</v>
      </c>
      <c r="K126" s="718">
        <v>0</v>
      </c>
      <c r="L126" s="718">
        <v>0</v>
      </c>
      <c r="M126" s="718">
        <v>0</v>
      </c>
      <c r="N126" s="718">
        <v>0</v>
      </c>
      <c r="O126" s="718" t="s">
        <v>251</v>
      </c>
      <c r="P126" s="1497">
        <f t="shared" si="9"/>
        <v>115000</v>
      </c>
      <c r="Q126" s="1405">
        <f t="shared" si="10"/>
        <v>115000</v>
      </c>
      <c r="R126" s="717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1405">
        <f t="shared" si="7"/>
        <v>0</v>
      </c>
      <c r="AE126" s="852">
        <f t="shared" si="8"/>
        <v>-1</v>
      </c>
      <c r="AF126" s="853">
        <f t="shared" si="11"/>
        <v>983</v>
      </c>
    </row>
    <row r="127" spans="1:32" x14ac:dyDescent="0.3">
      <c r="A127" s="287" t="s">
        <v>804</v>
      </c>
      <c r="B127" s="851" t="s">
        <v>830</v>
      </c>
      <c r="C127" s="717">
        <v>103450</v>
      </c>
      <c r="D127" s="718">
        <v>0</v>
      </c>
      <c r="E127" s="718"/>
      <c r="F127" s="718">
        <v>0</v>
      </c>
      <c r="G127" s="718">
        <v>0</v>
      </c>
      <c r="H127" s="718">
        <v>0</v>
      </c>
      <c r="I127" s="718">
        <v>0</v>
      </c>
      <c r="J127" s="718">
        <v>0</v>
      </c>
      <c r="K127" s="718">
        <v>0</v>
      </c>
      <c r="L127" s="718">
        <v>0</v>
      </c>
      <c r="M127" s="718">
        <v>0</v>
      </c>
      <c r="N127" s="718">
        <v>0</v>
      </c>
      <c r="O127" s="718" t="s">
        <v>251</v>
      </c>
      <c r="P127" s="1497">
        <f t="shared" si="9"/>
        <v>103450</v>
      </c>
      <c r="Q127" s="1405">
        <f t="shared" si="10"/>
        <v>103450</v>
      </c>
      <c r="R127" s="717"/>
      <c r="S127" s="718"/>
      <c r="T127" s="718"/>
      <c r="U127" s="718"/>
      <c r="V127" s="718"/>
      <c r="W127" s="718"/>
      <c r="X127" s="718"/>
      <c r="Y127" s="718"/>
      <c r="Z127" s="718"/>
      <c r="AA127" s="718"/>
      <c r="AB127" s="718"/>
      <c r="AC127" s="718"/>
      <c r="AD127" s="1405">
        <f t="shared" si="7"/>
        <v>0</v>
      </c>
      <c r="AE127" s="852">
        <f t="shared" si="8"/>
        <v>-1</v>
      </c>
      <c r="AF127" s="853">
        <f t="shared" si="11"/>
        <v>983</v>
      </c>
    </row>
    <row r="128" spans="1:32" x14ac:dyDescent="0.3">
      <c r="A128" s="287" t="s">
        <v>804</v>
      </c>
      <c r="B128" s="851" t="s">
        <v>1147</v>
      </c>
      <c r="C128" s="717"/>
      <c r="D128" s="718">
        <v>0</v>
      </c>
      <c r="E128" s="718"/>
      <c r="F128" s="718">
        <v>0</v>
      </c>
      <c r="G128" s="718">
        <v>96650</v>
      </c>
      <c r="H128" s="718">
        <v>94900</v>
      </c>
      <c r="I128" s="718">
        <v>33100</v>
      </c>
      <c r="J128" s="718">
        <v>51650</v>
      </c>
      <c r="K128" s="718">
        <v>51650</v>
      </c>
      <c r="L128" s="718">
        <v>0</v>
      </c>
      <c r="M128" s="718">
        <v>88520</v>
      </c>
      <c r="N128" s="718">
        <v>96300</v>
      </c>
      <c r="O128" s="718">
        <v>100650</v>
      </c>
      <c r="P128" s="1497">
        <f t="shared" si="9"/>
        <v>276300</v>
      </c>
      <c r="Q128" s="1405">
        <f t="shared" si="10"/>
        <v>561770</v>
      </c>
      <c r="R128" s="717">
        <v>43250</v>
      </c>
      <c r="S128" s="718"/>
      <c r="T128" s="718">
        <v>45350</v>
      </c>
      <c r="U128" s="718">
        <v>0</v>
      </c>
      <c r="V128" s="718">
        <v>0</v>
      </c>
      <c r="W128" s="718">
        <v>197850</v>
      </c>
      <c r="X128" s="718">
        <v>0</v>
      </c>
      <c r="Y128" s="718">
        <v>0</v>
      </c>
      <c r="Z128" s="718"/>
      <c r="AA128" s="718"/>
      <c r="AB128" s="718"/>
      <c r="AC128" s="718"/>
      <c r="AD128" s="1405">
        <f t="shared" si="7"/>
        <v>286450</v>
      </c>
      <c r="AE128" s="852">
        <f t="shared" si="8"/>
        <v>3.6735432500904816E-2</v>
      </c>
      <c r="AF128" s="853">
        <f t="shared" si="11"/>
        <v>541</v>
      </c>
    </row>
    <row r="129" spans="1:32" x14ac:dyDescent="0.3">
      <c r="A129" s="287" t="s">
        <v>804</v>
      </c>
      <c r="B129" s="851" t="s">
        <v>1148</v>
      </c>
      <c r="C129" s="717">
        <v>89850</v>
      </c>
      <c r="D129" s="718">
        <v>0</v>
      </c>
      <c r="E129" s="718">
        <v>0</v>
      </c>
      <c r="F129" s="718">
        <v>0</v>
      </c>
      <c r="G129" s="718">
        <v>0</v>
      </c>
      <c r="H129" s="718">
        <v>58450</v>
      </c>
      <c r="I129" s="718">
        <v>107800</v>
      </c>
      <c r="J129" s="718">
        <v>71750</v>
      </c>
      <c r="K129" s="718">
        <v>71750</v>
      </c>
      <c r="L129" s="718">
        <v>183300</v>
      </c>
      <c r="M129" s="718">
        <v>49350</v>
      </c>
      <c r="N129" s="718">
        <v>149100</v>
      </c>
      <c r="O129" s="718">
        <v>54950</v>
      </c>
      <c r="P129" s="1497">
        <f t="shared" si="9"/>
        <v>327850</v>
      </c>
      <c r="Q129" s="1405">
        <f t="shared" si="10"/>
        <v>764550</v>
      </c>
      <c r="R129" s="717"/>
      <c r="S129" s="718"/>
      <c r="T129" s="718"/>
      <c r="U129" s="718"/>
      <c r="V129" s="718"/>
      <c r="W129" s="718">
        <v>71750</v>
      </c>
      <c r="X129" s="718">
        <v>0</v>
      </c>
      <c r="Y129" s="718">
        <v>67550</v>
      </c>
      <c r="Z129" s="718"/>
      <c r="AA129" s="718"/>
      <c r="AB129" s="718"/>
      <c r="AC129" s="718"/>
      <c r="AD129" s="1405">
        <f t="shared" si="7"/>
        <v>139300</v>
      </c>
      <c r="AE129" s="852">
        <f t="shared" si="8"/>
        <v>-0.57511056885770928</v>
      </c>
      <c r="AF129" s="853">
        <f t="shared" si="11"/>
        <v>684</v>
      </c>
    </row>
    <row r="130" spans="1:32" x14ac:dyDescent="0.3">
      <c r="A130" s="287" t="s">
        <v>804</v>
      </c>
      <c r="B130" s="851" t="s">
        <v>851</v>
      </c>
      <c r="C130" s="717">
        <v>0</v>
      </c>
      <c r="D130" s="718">
        <v>0</v>
      </c>
      <c r="E130" s="718">
        <v>0</v>
      </c>
      <c r="F130" s="718">
        <v>0</v>
      </c>
      <c r="G130" s="718">
        <v>87700</v>
      </c>
      <c r="H130" s="718">
        <v>226750</v>
      </c>
      <c r="I130" s="718">
        <v>0</v>
      </c>
      <c r="J130" s="718">
        <v>0</v>
      </c>
      <c r="K130" s="718">
        <v>0</v>
      </c>
      <c r="L130" s="718">
        <v>146600</v>
      </c>
      <c r="M130" s="718">
        <v>0</v>
      </c>
      <c r="N130" s="718">
        <v>0</v>
      </c>
      <c r="O130" s="718" t="s">
        <v>251</v>
      </c>
      <c r="P130" s="1497">
        <f t="shared" si="9"/>
        <v>314450</v>
      </c>
      <c r="Q130" s="1405">
        <f t="shared" si="10"/>
        <v>461050</v>
      </c>
      <c r="R130" s="717"/>
      <c r="S130" s="718"/>
      <c r="T130" s="718"/>
      <c r="U130" s="718">
        <v>35450</v>
      </c>
      <c r="V130" s="718">
        <v>0</v>
      </c>
      <c r="W130" s="718">
        <v>0</v>
      </c>
      <c r="X130" s="718">
        <v>0</v>
      </c>
      <c r="Y130" s="718">
        <v>0</v>
      </c>
      <c r="Z130" s="718"/>
      <c r="AA130" s="718"/>
      <c r="AB130" s="718"/>
      <c r="AC130" s="718"/>
      <c r="AD130" s="1405">
        <f t="shared" ref="AD130:AD193" si="15">SUM(R130:AC130)</f>
        <v>35450</v>
      </c>
      <c r="AE130" s="852">
        <f t="shared" ref="AE130:AE193" si="16">IF(OR(AD130="", P130=""), 0, IFERROR((AD130-P130)/P130, IF(AD130&lt;&gt;0, 1, 0)))</f>
        <v>-0.88726347591031962</v>
      </c>
      <c r="AF130" s="853">
        <f t="shared" si="11"/>
        <v>879</v>
      </c>
    </row>
    <row r="131" spans="1:32" x14ac:dyDescent="0.3">
      <c r="A131" s="287" t="s">
        <v>804</v>
      </c>
      <c r="B131" s="851" t="s">
        <v>1149</v>
      </c>
      <c r="C131" s="717">
        <v>0</v>
      </c>
      <c r="D131" s="718">
        <v>0</v>
      </c>
      <c r="E131" s="718">
        <v>0</v>
      </c>
      <c r="F131" s="718">
        <v>86700</v>
      </c>
      <c r="G131" s="718">
        <v>0</v>
      </c>
      <c r="H131" s="718">
        <v>0</v>
      </c>
      <c r="I131" s="718">
        <v>0</v>
      </c>
      <c r="J131" s="718">
        <v>0</v>
      </c>
      <c r="K131" s="718">
        <v>0</v>
      </c>
      <c r="L131" s="718">
        <v>0</v>
      </c>
      <c r="M131" s="718">
        <v>397900</v>
      </c>
      <c r="N131" s="718">
        <v>0</v>
      </c>
      <c r="O131" s="718" t="s">
        <v>251</v>
      </c>
      <c r="P131" s="1497">
        <f t="shared" ref="P131:P194" si="17">SUM(C131:I131,K131)</f>
        <v>86700</v>
      </c>
      <c r="Q131" s="1405">
        <f t="shared" ref="Q131:Q194" si="18">SUM(C131:J131,L131:O131)</f>
        <v>484600</v>
      </c>
      <c r="R131" s="717"/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1405">
        <f t="shared" si="15"/>
        <v>0</v>
      </c>
      <c r="AE131" s="852">
        <f t="shared" si="16"/>
        <v>-1</v>
      </c>
      <c r="AF131" s="853">
        <f t="shared" ref="AF131:AF194" si="19">IFERROR(_xlfn.RANK.EQ(AD131, $AD$2:$AD$2064), "")</f>
        <v>983</v>
      </c>
    </row>
    <row r="132" spans="1:32" x14ac:dyDescent="0.3">
      <c r="A132" s="287" t="s">
        <v>804</v>
      </c>
      <c r="B132" s="851" t="s">
        <v>1150</v>
      </c>
      <c r="C132" s="717">
        <v>0</v>
      </c>
      <c r="D132" s="718">
        <v>0</v>
      </c>
      <c r="E132" s="718">
        <v>0</v>
      </c>
      <c r="F132" s="718">
        <v>85170</v>
      </c>
      <c r="G132" s="718">
        <v>0</v>
      </c>
      <c r="H132" s="718">
        <v>0</v>
      </c>
      <c r="I132" s="718">
        <v>96950</v>
      </c>
      <c r="J132" s="718">
        <v>0</v>
      </c>
      <c r="K132" s="718">
        <v>0</v>
      </c>
      <c r="L132" s="718">
        <v>0</v>
      </c>
      <c r="M132" s="718">
        <v>138600</v>
      </c>
      <c r="N132" s="718">
        <v>0</v>
      </c>
      <c r="O132" s="718" t="s">
        <v>251</v>
      </c>
      <c r="P132" s="1497">
        <f t="shared" si="17"/>
        <v>182120</v>
      </c>
      <c r="Q132" s="1405">
        <f t="shared" si="18"/>
        <v>320720</v>
      </c>
      <c r="R132" s="717"/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1405">
        <f t="shared" si="15"/>
        <v>0</v>
      </c>
      <c r="AE132" s="852">
        <f t="shared" si="16"/>
        <v>-1</v>
      </c>
      <c r="AF132" s="853">
        <f t="shared" si="19"/>
        <v>983</v>
      </c>
    </row>
    <row r="133" spans="1:32" x14ac:dyDescent="0.3">
      <c r="A133" s="287" t="s">
        <v>804</v>
      </c>
      <c r="B133" s="851" t="s">
        <v>1151</v>
      </c>
      <c r="C133" s="717"/>
      <c r="D133" s="718">
        <v>0</v>
      </c>
      <c r="E133" s="718"/>
      <c r="F133" s="718">
        <v>68700</v>
      </c>
      <c r="G133" s="718">
        <v>0</v>
      </c>
      <c r="H133" s="718">
        <v>0</v>
      </c>
      <c r="I133" s="718">
        <v>0</v>
      </c>
      <c r="J133" s="718">
        <v>0</v>
      </c>
      <c r="K133" s="718">
        <v>0</v>
      </c>
      <c r="L133" s="718">
        <v>0</v>
      </c>
      <c r="M133" s="718">
        <v>0</v>
      </c>
      <c r="N133" s="718">
        <v>70700</v>
      </c>
      <c r="O133" s="718" t="s">
        <v>251</v>
      </c>
      <c r="P133" s="1497">
        <f t="shared" si="17"/>
        <v>68700</v>
      </c>
      <c r="Q133" s="1405">
        <f t="shared" si="18"/>
        <v>139400</v>
      </c>
      <c r="R133" s="717"/>
      <c r="S133" s="718"/>
      <c r="T133" s="718"/>
      <c r="U133" s="718"/>
      <c r="V133" s="718">
        <v>157000</v>
      </c>
      <c r="W133" s="718">
        <v>0</v>
      </c>
      <c r="X133" s="718">
        <v>0</v>
      </c>
      <c r="Y133" s="718">
        <v>0</v>
      </c>
      <c r="Z133" s="718"/>
      <c r="AA133" s="718"/>
      <c r="AB133" s="718"/>
      <c r="AC133" s="718"/>
      <c r="AD133" s="1405">
        <f t="shared" si="15"/>
        <v>157000</v>
      </c>
      <c r="AE133" s="852">
        <f t="shared" si="16"/>
        <v>1.2852983988355167</v>
      </c>
      <c r="AF133" s="853">
        <f t="shared" si="19"/>
        <v>666</v>
      </c>
    </row>
    <row r="134" spans="1:32" x14ac:dyDescent="0.3">
      <c r="A134" s="287" t="s">
        <v>804</v>
      </c>
      <c r="B134" s="851" t="s">
        <v>774</v>
      </c>
      <c r="C134" s="717">
        <v>0</v>
      </c>
      <c r="D134" s="718">
        <v>0</v>
      </c>
      <c r="E134" s="718">
        <v>0</v>
      </c>
      <c r="F134" s="718">
        <v>58300</v>
      </c>
      <c r="G134" s="718">
        <v>0</v>
      </c>
      <c r="H134" s="718">
        <v>0</v>
      </c>
      <c r="I134" s="718">
        <v>0</v>
      </c>
      <c r="J134" s="718">
        <v>185000</v>
      </c>
      <c r="K134" s="718">
        <v>185000</v>
      </c>
      <c r="L134" s="718">
        <v>0</v>
      </c>
      <c r="M134" s="718">
        <v>0</v>
      </c>
      <c r="N134" s="718">
        <v>0</v>
      </c>
      <c r="O134" s="718" t="s">
        <v>251</v>
      </c>
      <c r="P134" s="1497">
        <f t="shared" si="17"/>
        <v>243300</v>
      </c>
      <c r="Q134" s="1405">
        <f t="shared" si="18"/>
        <v>243300</v>
      </c>
      <c r="R134" s="717"/>
      <c r="S134" s="718"/>
      <c r="T134" s="718"/>
      <c r="U134" s="718"/>
      <c r="V134" s="718"/>
      <c r="W134" s="718"/>
      <c r="X134" s="718"/>
      <c r="Y134" s="718"/>
      <c r="Z134" s="718"/>
      <c r="AA134" s="718"/>
      <c r="AB134" s="718"/>
      <c r="AC134" s="718"/>
      <c r="AD134" s="1405">
        <f t="shared" si="15"/>
        <v>0</v>
      </c>
      <c r="AE134" s="852">
        <f t="shared" si="16"/>
        <v>-1</v>
      </c>
      <c r="AF134" s="853">
        <f t="shared" si="19"/>
        <v>983</v>
      </c>
    </row>
    <row r="135" spans="1:32" x14ac:dyDescent="0.3">
      <c r="A135" s="287" t="s">
        <v>804</v>
      </c>
      <c r="B135" s="851" t="s">
        <v>1152</v>
      </c>
      <c r="C135" s="717"/>
      <c r="D135" s="718">
        <v>0</v>
      </c>
      <c r="E135" s="718">
        <v>57750</v>
      </c>
      <c r="F135" s="718">
        <v>0</v>
      </c>
      <c r="G135" s="718">
        <v>0</v>
      </c>
      <c r="H135" s="718">
        <v>0</v>
      </c>
      <c r="I135" s="718">
        <v>1311850</v>
      </c>
      <c r="J135" s="718">
        <v>6400</v>
      </c>
      <c r="K135" s="718">
        <v>6400</v>
      </c>
      <c r="L135" s="718">
        <v>0</v>
      </c>
      <c r="M135" s="718">
        <v>0</v>
      </c>
      <c r="N135" s="718">
        <v>0</v>
      </c>
      <c r="O135" s="718" t="s">
        <v>251</v>
      </c>
      <c r="P135" s="1497">
        <f t="shared" si="17"/>
        <v>1376000</v>
      </c>
      <c r="Q135" s="1405">
        <f t="shared" si="18"/>
        <v>1376000</v>
      </c>
      <c r="R135" s="717"/>
      <c r="S135" s="718"/>
      <c r="T135" s="718"/>
      <c r="U135" s="718"/>
      <c r="V135" s="718"/>
      <c r="W135" s="718"/>
      <c r="X135" s="718"/>
      <c r="Y135" s="718"/>
      <c r="Z135" s="718"/>
      <c r="AA135" s="718"/>
      <c r="AB135" s="718"/>
      <c r="AC135" s="718"/>
      <c r="AD135" s="1405">
        <f t="shared" si="15"/>
        <v>0</v>
      </c>
      <c r="AE135" s="852">
        <f t="shared" si="16"/>
        <v>-1</v>
      </c>
      <c r="AF135" s="853">
        <f t="shared" si="19"/>
        <v>983</v>
      </c>
    </row>
    <row r="136" spans="1:32" x14ac:dyDescent="0.3">
      <c r="A136" s="287" t="s">
        <v>804</v>
      </c>
      <c r="B136" s="851" t="s">
        <v>1153</v>
      </c>
      <c r="C136" s="717">
        <v>0</v>
      </c>
      <c r="D136" s="718">
        <v>0</v>
      </c>
      <c r="E136" s="718">
        <v>0</v>
      </c>
      <c r="F136" s="718">
        <v>42700</v>
      </c>
      <c r="G136" s="718">
        <v>0</v>
      </c>
      <c r="H136" s="718">
        <v>0</v>
      </c>
      <c r="I136" s="718">
        <v>0</v>
      </c>
      <c r="J136" s="718">
        <v>0</v>
      </c>
      <c r="K136" s="718">
        <v>0</v>
      </c>
      <c r="L136" s="718">
        <v>0</v>
      </c>
      <c r="M136" s="718">
        <v>0</v>
      </c>
      <c r="N136" s="718">
        <v>0</v>
      </c>
      <c r="O136" s="718" t="s">
        <v>251</v>
      </c>
      <c r="P136" s="1497">
        <f t="shared" si="17"/>
        <v>42700</v>
      </c>
      <c r="Q136" s="1405">
        <f t="shared" si="18"/>
        <v>42700</v>
      </c>
      <c r="R136" s="717"/>
      <c r="S136" s="718"/>
      <c r="T136" s="718"/>
      <c r="U136" s="718"/>
      <c r="V136" s="718"/>
      <c r="W136" s="718"/>
      <c r="X136" s="718"/>
      <c r="Y136" s="718"/>
      <c r="Z136" s="718"/>
      <c r="AA136" s="718"/>
      <c r="AB136" s="718"/>
      <c r="AC136" s="718"/>
      <c r="AD136" s="1405">
        <f t="shared" si="15"/>
        <v>0</v>
      </c>
      <c r="AE136" s="852">
        <f t="shared" si="16"/>
        <v>-1</v>
      </c>
      <c r="AF136" s="853">
        <f t="shared" si="19"/>
        <v>983</v>
      </c>
    </row>
    <row r="137" spans="1:32" x14ac:dyDescent="0.3">
      <c r="A137" s="287" t="s">
        <v>804</v>
      </c>
      <c r="B137" s="851" t="s">
        <v>1154</v>
      </c>
      <c r="C137" s="717"/>
      <c r="D137" s="718">
        <v>0</v>
      </c>
      <c r="E137" s="718">
        <v>44480</v>
      </c>
      <c r="F137" s="718">
        <v>0</v>
      </c>
      <c r="G137" s="718">
        <v>0</v>
      </c>
      <c r="H137" s="718">
        <v>0</v>
      </c>
      <c r="I137" s="718">
        <v>0</v>
      </c>
      <c r="J137" s="718">
        <v>0</v>
      </c>
      <c r="K137" s="718">
        <v>0</v>
      </c>
      <c r="L137" s="718">
        <v>0</v>
      </c>
      <c r="M137" s="718">
        <v>0</v>
      </c>
      <c r="N137" s="718">
        <v>0</v>
      </c>
      <c r="O137" s="718" t="s">
        <v>251</v>
      </c>
      <c r="P137" s="1497">
        <f t="shared" si="17"/>
        <v>44480</v>
      </c>
      <c r="Q137" s="1405">
        <f t="shared" si="18"/>
        <v>44480</v>
      </c>
      <c r="R137" s="717"/>
      <c r="S137" s="718"/>
      <c r="T137" s="718"/>
      <c r="U137" s="718"/>
      <c r="V137" s="718"/>
      <c r="W137" s="718"/>
      <c r="X137" s="718"/>
      <c r="Y137" s="718"/>
      <c r="Z137" s="718"/>
      <c r="AA137" s="718"/>
      <c r="AB137" s="718"/>
      <c r="AC137" s="718"/>
      <c r="AD137" s="1405">
        <f t="shared" si="15"/>
        <v>0</v>
      </c>
      <c r="AE137" s="852">
        <f t="shared" si="16"/>
        <v>-1</v>
      </c>
      <c r="AF137" s="853">
        <f t="shared" si="19"/>
        <v>983</v>
      </c>
    </row>
    <row r="138" spans="1:32" x14ac:dyDescent="0.3">
      <c r="A138" s="287" t="s">
        <v>804</v>
      </c>
      <c r="B138" s="851" t="s">
        <v>1155</v>
      </c>
      <c r="C138" s="717"/>
      <c r="D138" s="718">
        <v>0</v>
      </c>
      <c r="E138" s="718"/>
      <c r="F138" s="718">
        <v>0</v>
      </c>
      <c r="G138" s="718">
        <v>11300</v>
      </c>
      <c r="H138" s="718">
        <v>13400</v>
      </c>
      <c r="I138" s="718">
        <v>102700</v>
      </c>
      <c r="J138" s="718">
        <v>893400</v>
      </c>
      <c r="K138" s="718">
        <v>18400</v>
      </c>
      <c r="L138" s="718">
        <v>728450</v>
      </c>
      <c r="M138" s="718">
        <v>11300</v>
      </c>
      <c r="N138" s="718">
        <v>2058000</v>
      </c>
      <c r="O138" s="718">
        <v>293100</v>
      </c>
      <c r="P138" s="1497">
        <f t="shared" si="17"/>
        <v>145800</v>
      </c>
      <c r="Q138" s="1405">
        <f t="shared" si="18"/>
        <v>4111650</v>
      </c>
      <c r="R138" s="717">
        <v>692600</v>
      </c>
      <c r="S138" s="718"/>
      <c r="T138" s="718">
        <v>9200</v>
      </c>
      <c r="U138" s="718">
        <v>115300</v>
      </c>
      <c r="V138" s="718">
        <v>33100</v>
      </c>
      <c r="W138" s="718">
        <v>769550</v>
      </c>
      <c r="X138" s="718">
        <v>18400</v>
      </c>
      <c r="Y138" s="718">
        <v>9200</v>
      </c>
      <c r="Z138" s="718"/>
      <c r="AA138" s="718"/>
      <c r="AB138" s="718"/>
      <c r="AC138" s="718"/>
      <c r="AD138" s="1405">
        <f t="shared" si="15"/>
        <v>1647350</v>
      </c>
      <c r="AE138" s="852">
        <f t="shared" si="16"/>
        <v>10.298696844993142</v>
      </c>
      <c r="AF138" s="853">
        <f t="shared" si="19"/>
        <v>236</v>
      </c>
    </row>
    <row r="139" spans="1:32" x14ac:dyDescent="0.3">
      <c r="A139" s="287" t="s">
        <v>804</v>
      </c>
      <c r="B139" s="851" t="s">
        <v>1156</v>
      </c>
      <c r="C139" s="717"/>
      <c r="D139" s="718" t="s">
        <v>251</v>
      </c>
      <c r="E139" s="718">
        <v>14200</v>
      </c>
      <c r="F139" s="718">
        <v>0</v>
      </c>
      <c r="G139" s="718" t="s">
        <v>251</v>
      </c>
      <c r="H139" s="718" t="s">
        <v>251</v>
      </c>
      <c r="I139" s="718" t="s">
        <v>251</v>
      </c>
      <c r="J139" s="718">
        <v>0</v>
      </c>
      <c r="K139" s="718">
        <v>0</v>
      </c>
      <c r="L139" s="718">
        <v>0</v>
      </c>
      <c r="M139" s="718">
        <v>0</v>
      </c>
      <c r="N139" s="718">
        <v>0</v>
      </c>
      <c r="O139" s="718" t="s">
        <v>251</v>
      </c>
      <c r="P139" s="1497">
        <f t="shared" si="17"/>
        <v>14200</v>
      </c>
      <c r="Q139" s="1405">
        <f t="shared" si="18"/>
        <v>14200</v>
      </c>
      <c r="R139" s="717"/>
      <c r="S139" s="718"/>
      <c r="T139" s="718"/>
      <c r="U139" s="718"/>
      <c r="V139" s="718"/>
      <c r="W139" s="718"/>
      <c r="X139" s="718"/>
      <c r="Y139" s="718"/>
      <c r="Z139" s="718"/>
      <c r="AA139" s="718"/>
      <c r="AB139" s="718"/>
      <c r="AC139" s="718"/>
      <c r="AD139" s="1405">
        <f t="shared" si="15"/>
        <v>0</v>
      </c>
      <c r="AE139" s="852">
        <f t="shared" si="16"/>
        <v>-1</v>
      </c>
      <c r="AF139" s="853">
        <f t="shared" si="19"/>
        <v>983</v>
      </c>
    </row>
    <row r="140" spans="1:32" x14ac:dyDescent="0.3">
      <c r="A140" s="287" t="s">
        <v>804</v>
      </c>
      <c r="B140" s="851" t="s">
        <v>1157</v>
      </c>
      <c r="C140" s="717"/>
      <c r="D140" s="718">
        <v>0</v>
      </c>
      <c r="E140" s="718"/>
      <c r="F140" s="718">
        <v>7100</v>
      </c>
      <c r="G140" s="718">
        <v>0</v>
      </c>
      <c r="H140" s="718">
        <v>0</v>
      </c>
      <c r="I140" s="718">
        <v>0</v>
      </c>
      <c r="J140" s="718">
        <v>0</v>
      </c>
      <c r="K140" s="718">
        <v>0</v>
      </c>
      <c r="L140" s="718">
        <v>0</v>
      </c>
      <c r="M140" s="718">
        <v>0</v>
      </c>
      <c r="N140" s="718">
        <v>0</v>
      </c>
      <c r="O140" s="718" t="s">
        <v>251</v>
      </c>
      <c r="P140" s="1497">
        <f t="shared" si="17"/>
        <v>7100</v>
      </c>
      <c r="Q140" s="1405">
        <f t="shared" si="18"/>
        <v>7100</v>
      </c>
      <c r="R140" s="717"/>
      <c r="S140" s="718"/>
      <c r="T140" s="718"/>
      <c r="U140" s="718"/>
      <c r="V140" s="718"/>
      <c r="W140" s="718"/>
      <c r="X140" s="718"/>
      <c r="Y140" s="718"/>
      <c r="Z140" s="718"/>
      <c r="AA140" s="718"/>
      <c r="AB140" s="718"/>
      <c r="AC140" s="718"/>
      <c r="AD140" s="1405">
        <f t="shared" si="15"/>
        <v>0</v>
      </c>
      <c r="AE140" s="852">
        <f t="shared" si="16"/>
        <v>-1</v>
      </c>
      <c r="AF140" s="853">
        <f t="shared" si="19"/>
        <v>983</v>
      </c>
    </row>
    <row r="141" spans="1:32" x14ac:dyDescent="0.3">
      <c r="A141" s="287" t="s">
        <v>804</v>
      </c>
      <c r="B141" s="851" t="s">
        <v>1158</v>
      </c>
      <c r="C141" s="717" t="s">
        <v>251</v>
      </c>
      <c r="D141" s="718" t="s">
        <v>251</v>
      </c>
      <c r="E141" s="718" t="s">
        <v>251</v>
      </c>
      <c r="F141" s="718" t="s">
        <v>251</v>
      </c>
      <c r="G141" s="718" t="s">
        <v>251</v>
      </c>
      <c r="H141" s="718" t="s">
        <v>251</v>
      </c>
      <c r="I141" s="718" t="s">
        <v>251</v>
      </c>
      <c r="J141" s="718" t="s">
        <v>251</v>
      </c>
      <c r="K141" s="718"/>
      <c r="L141" s="718" t="s">
        <v>251</v>
      </c>
      <c r="M141" s="718" t="s">
        <v>251</v>
      </c>
      <c r="N141" s="718" t="s">
        <v>251</v>
      </c>
      <c r="O141" s="718" t="s">
        <v>251</v>
      </c>
      <c r="P141" s="1497">
        <f t="shared" si="17"/>
        <v>0</v>
      </c>
      <c r="Q141" s="1405">
        <f t="shared" si="18"/>
        <v>0</v>
      </c>
      <c r="R141" s="717"/>
      <c r="S141" s="718"/>
      <c r="T141" s="718"/>
      <c r="U141" s="718"/>
      <c r="V141" s="718"/>
      <c r="W141" s="718"/>
      <c r="X141" s="718"/>
      <c r="Y141" s="718"/>
      <c r="Z141" s="718"/>
      <c r="AA141" s="718"/>
      <c r="AB141" s="718"/>
      <c r="AC141" s="718"/>
      <c r="AD141" s="1405">
        <f t="shared" si="15"/>
        <v>0</v>
      </c>
      <c r="AE141" s="852">
        <f t="shared" si="16"/>
        <v>0</v>
      </c>
      <c r="AF141" s="853">
        <f t="shared" si="19"/>
        <v>983</v>
      </c>
    </row>
    <row r="142" spans="1:32" x14ac:dyDescent="0.3">
      <c r="A142" s="287" t="s">
        <v>804</v>
      </c>
      <c r="B142" s="851" t="s">
        <v>836</v>
      </c>
      <c r="C142" s="717">
        <v>0</v>
      </c>
      <c r="D142" s="718" t="s">
        <v>251</v>
      </c>
      <c r="E142" s="718">
        <v>0</v>
      </c>
      <c r="F142" s="718" t="s">
        <v>251</v>
      </c>
      <c r="G142" s="718" t="s">
        <v>251</v>
      </c>
      <c r="H142" s="718" t="s">
        <v>251</v>
      </c>
      <c r="I142" s="718" t="s">
        <v>251</v>
      </c>
      <c r="J142" s="718" t="s">
        <v>251</v>
      </c>
      <c r="K142" s="718"/>
      <c r="L142" s="718" t="s">
        <v>251</v>
      </c>
      <c r="M142" s="718" t="s">
        <v>251</v>
      </c>
      <c r="N142" s="718">
        <v>0</v>
      </c>
      <c r="O142" s="718" t="s">
        <v>251</v>
      </c>
      <c r="P142" s="1497">
        <f t="shared" si="17"/>
        <v>0</v>
      </c>
      <c r="Q142" s="1405">
        <f t="shared" si="18"/>
        <v>0</v>
      </c>
      <c r="R142" s="717"/>
      <c r="S142" s="718"/>
      <c r="T142" s="718"/>
      <c r="U142" s="718"/>
      <c r="V142" s="718"/>
      <c r="W142" s="718"/>
      <c r="X142" s="718"/>
      <c r="Y142" s="718"/>
      <c r="Z142" s="718"/>
      <c r="AA142" s="718"/>
      <c r="AB142" s="718"/>
      <c r="AC142" s="718"/>
      <c r="AD142" s="1405">
        <f t="shared" si="15"/>
        <v>0</v>
      </c>
      <c r="AE142" s="852">
        <f t="shared" si="16"/>
        <v>0</v>
      </c>
      <c r="AF142" s="853">
        <f t="shared" si="19"/>
        <v>983</v>
      </c>
    </row>
    <row r="143" spans="1:32" x14ac:dyDescent="0.3">
      <c r="A143" s="287" t="s">
        <v>804</v>
      </c>
      <c r="B143" s="851" t="s">
        <v>1159</v>
      </c>
      <c r="C143" s="717">
        <v>0</v>
      </c>
      <c r="D143" s="718" t="s">
        <v>251</v>
      </c>
      <c r="E143" s="718">
        <v>0</v>
      </c>
      <c r="F143" s="718" t="s">
        <v>251</v>
      </c>
      <c r="G143" s="718" t="s">
        <v>251</v>
      </c>
      <c r="H143" s="718" t="s">
        <v>251</v>
      </c>
      <c r="I143" s="718" t="s">
        <v>251</v>
      </c>
      <c r="J143" s="718" t="s">
        <v>251</v>
      </c>
      <c r="K143" s="718"/>
      <c r="L143" s="718" t="s">
        <v>251</v>
      </c>
      <c r="M143" s="718" t="s">
        <v>251</v>
      </c>
      <c r="N143" s="718">
        <v>0</v>
      </c>
      <c r="O143" s="718" t="s">
        <v>251</v>
      </c>
      <c r="P143" s="1497">
        <f t="shared" si="17"/>
        <v>0</v>
      </c>
      <c r="Q143" s="1405">
        <f t="shared" si="18"/>
        <v>0</v>
      </c>
      <c r="R143" s="717"/>
      <c r="S143" s="718"/>
      <c r="T143" s="718"/>
      <c r="U143" s="718"/>
      <c r="V143" s="718"/>
      <c r="W143" s="718"/>
      <c r="X143" s="718"/>
      <c r="Y143" s="718"/>
      <c r="Z143" s="718"/>
      <c r="AA143" s="718"/>
      <c r="AB143" s="718"/>
      <c r="AC143" s="718"/>
      <c r="AD143" s="1405">
        <f t="shared" si="15"/>
        <v>0</v>
      </c>
      <c r="AE143" s="852">
        <f t="shared" si="16"/>
        <v>0</v>
      </c>
      <c r="AF143" s="853">
        <f t="shared" si="19"/>
        <v>983</v>
      </c>
    </row>
    <row r="144" spans="1:32" x14ac:dyDescent="0.3">
      <c r="A144" s="287" t="s">
        <v>804</v>
      </c>
      <c r="B144" s="851" t="s">
        <v>1160</v>
      </c>
      <c r="C144" s="717">
        <v>0</v>
      </c>
      <c r="D144" s="718" t="s">
        <v>251</v>
      </c>
      <c r="E144" s="718">
        <v>0</v>
      </c>
      <c r="F144" s="718" t="s">
        <v>251</v>
      </c>
      <c r="G144" s="718" t="s">
        <v>251</v>
      </c>
      <c r="H144" s="718" t="s">
        <v>251</v>
      </c>
      <c r="I144" s="718" t="s">
        <v>251</v>
      </c>
      <c r="J144" s="718" t="s">
        <v>251</v>
      </c>
      <c r="K144" s="718"/>
      <c r="L144" s="718" t="s">
        <v>251</v>
      </c>
      <c r="M144" s="718" t="s">
        <v>251</v>
      </c>
      <c r="N144" s="718">
        <v>0</v>
      </c>
      <c r="O144" s="718" t="s">
        <v>251</v>
      </c>
      <c r="P144" s="1497">
        <f t="shared" si="17"/>
        <v>0</v>
      </c>
      <c r="Q144" s="1405">
        <f t="shared" si="18"/>
        <v>0</v>
      </c>
      <c r="R144" s="717"/>
      <c r="S144" s="718"/>
      <c r="T144" s="718"/>
      <c r="U144" s="718"/>
      <c r="V144" s="718"/>
      <c r="W144" s="718"/>
      <c r="X144" s="718"/>
      <c r="Y144" s="718"/>
      <c r="Z144" s="718"/>
      <c r="AA144" s="718"/>
      <c r="AB144" s="718"/>
      <c r="AC144" s="718"/>
      <c r="AD144" s="1405">
        <f t="shared" si="15"/>
        <v>0</v>
      </c>
      <c r="AE144" s="852">
        <f t="shared" si="16"/>
        <v>0</v>
      </c>
      <c r="AF144" s="853">
        <f t="shared" si="19"/>
        <v>983</v>
      </c>
    </row>
    <row r="145" spans="1:32" x14ac:dyDescent="0.3">
      <c r="A145" s="287" t="s">
        <v>804</v>
      </c>
      <c r="B145" s="851" t="s">
        <v>802</v>
      </c>
      <c r="C145" s="717">
        <v>0</v>
      </c>
      <c r="D145" s="718" t="s">
        <v>251</v>
      </c>
      <c r="E145" s="718">
        <v>0</v>
      </c>
      <c r="F145" s="718" t="s">
        <v>251</v>
      </c>
      <c r="G145" s="718" t="s">
        <v>251</v>
      </c>
      <c r="H145" s="718" t="s">
        <v>251</v>
      </c>
      <c r="I145" s="718" t="s">
        <v>251</v>
      </c>
      <c r="J145" s="718" t="s">
        <v>251</v>
      </c>
      <c r="K145" s="718"/>
      <c r="L145" s="718" t="s">
        <v>251</v>
      </c>
      <c r="M145" s="718" t="s">
        <v>251</v>
      </c>
      <c r="N145" s="718">
        <v>0</v>
      </c>
      <c r="O145" s="718">
        <v>84350</v>
      </c>
      <c r="P145" s="1497">
        <f t="shared" si="17"/>
        <v>0</v>
      </c>
      <c r="Q145" s="1405">
        <f t="shared" si="18"/>
        <v>84350</v>
      </c>
      <c r="R145" s="717"/>
      <c r="S145" s="718"/>
      <c r="T145" s="718"/>
      <c r="U145" s="718"/>
      <c r="V145" s="718"/>
      <c r="W145" s="718"/>
      <c r="X145" s="718"/>
      <c r="Y145" s="718"/>
      <c r="Z145" s="718"/>
      <c r="AA145" s="718"/>
      <c r="AB145" s="718"/>
      <c r="AC145" s="718"/>
      <c r="AD145" s="1405">
        <f t="shared" si="15"/>
        <v>0</v>
      </c>
      <c r="AE145" s="852">
        <f t="shared" si="16"/>
        <v>0</v>
      </c>
      <c r="AF145" s="853">
        <f t="shared" si="19"/>
        <v>983</v>
      </c>
    </row>
    <row r="146" spans="1:32" x14ac:dyDescent="0.3">
      <c r="A146" s="287" t="s">
        <v>804</v>
      </c>
      <c r="B146" s="851" t="s">
        <v>853</v>
      </c>
      <c r="C146" s="717">
        <v>0</v>
      </c>
      <c r="D146" s="718" t="s">
        <v>251</v>
      </c>
      <c r="E146" s="718">
        <v>0</v>
      </c>
      <c r="F146" s="718" t="s">
        <v>251</v>
      </c>
      <c r="G146" s="718" t="s">
        <v>251</v>
      </c>
      <c r="H146" s="718" t="s">
        <v>251</v>
      </c>
      <c r="I146" s="718" t="s">
        <v>251</v>
      </c>
      <c r="J146" s="718" t="s">
        <v>251</v>
      </c>
      <c r="K146" s="718"/>
      <c r="L146" s="718" t="s">
        <v>251</v>
      </c>
      <c r="M146" s="718" t="s">
        <v>251</v>
      </c>
      <c r="N146" s="718">
        <v>0</v>
      </c>
      <c r="O146" s="718" t="s">
        <v>251</v>
      </c>
      <c r="P146" s="1497">
        <f t="shared" si="17"/>
        <v>0</v>
      </c>
      <c r="Q146" s="1405">
        <f t="shared" si="18"/>
        <v>0</v>
      </c>
      <c r="R146" s="717"/>
      <c r="S146" s="718"/>
      <c r="T146" s="718"/>
      <c r="U146" s="718"/>
      <c r="V146" s="718"/>
      <c r="W146" s="718"/>
      <c r="X146" s="718"/>
      <c r="Y146" s="718"/>
      <c r="Z146" s="718"/>
      <c r="AA146" s="718"/>
      <c r="AB146" s="718"/>
      <c r="AC146" s="718"/>
      <c r="AD146" s="1405">
        <f t="shared" si="15"/>
        <v>0</v>
      </c>
      <c r="AE146" s="852">
        <f t="shared" si="16"/>
        <v>0</v>
      </c>
      <c r="AF146" s="853">
        <f t="shared" si="19"/>
        <v>983</v>
      </c>
    </row>
    <row r="147" spans="1:32" x14ac:dyDescent="0.3">
      <c r="A147" s="287" t="s">
        <v>804</v>
      </c>
      <c r="B147" s="851" t="s">
        <v>833</v>
      </c>
      <c r="C147" s="717">
        <v>0</v>
      </c>
      <c r="D147" s="718" t="s">
        <v>251</v>
      </c>
      <c r="E147" s="718">
        <v>0</v>
      </c>
      <c r="F147" s="718" t="s">
        <v>251</v>
      </c>
      <c r="G147" s="718" t="s">
        <v>251</v>
      </c>
      <c r="H147" s="718" t="s">
        <v>251</v>
      </c>
      <c r="I147" s="718" t="s">
        <v>251</v>
      </c>
      <c r="J147" s="718" t="s">
        <v>251</v>
      </c>
      <c r="K147" s="718"/>
      <c r="L147" s="718" t="s">
        <v>251</v>
      </c>
      <c r="M147" s="718" t="s">
        <v>251</v>
      </c>
      <c r="N147" s="718">
        <v>0</v>
      </c>
      <c r="O147" s="718" t="s">
        <v>251</v>
      </c>
      <c r="P147" s="1497">
        <f t="shared" si="17"/>
        <v>0</v>
      </c>
      <c r="Q147" s="1405">
        <f t="shared" si="18"/>
        <v>0</v>
      </c>
      <c r="R147" s="717"/>
      <c r="S147" s="718"/>
      <c r="T147" s="718"/>
      <c r="U147" s="718"/>
      <c r="V147" s="718"/>
      <c r="W147" s="718"/>
      <c r="X147" s="718"/>
      <c r="Y147" s="718"/>
      <c r="Z147" s="718"/>
      <c r="AA147" s="718"/>
      <c r="AB147" s="718"/>
      <c r="AC147" s="718"/>
      <c r="AD147" s="1405">
        <f t="shared" si="15"/>
        <v>0</v>
      </c>
      <c r="AE147" s="852">
        <f t="shared" si="16"/>
        <v>0</v>
      </c>
      <c r="AF147" s="853">
        <f t="shared" si="19"/>
        <v>983</v>
      </c>
    </row>
    <row r="148" spans="1:32" x14ac:dyDescent="0.3">
      <c r="A148" s="287" t="s">
        <v>804</v>
      </c>
      <c r="B148" s="851" t="s">
        <v>1161</v>
      </c>
      <c r="C148" s="717" t="s">
        <v>251</v>
      </c>
      <c r="D148" s="718" t="s">
        <v>251</v>
      </c>
      <c r="E148" s="718" t="s">
        <v>251</v>
      </c>
      <c r="F148" s="718" t="s">
        <v>251</v>
      </c>
      <c r="G148" s="718" t="s">
        <v>251</v>
      </c>
      <c r="H148" s="718" t="s">
        <v>251</v>
      </c>
      <c r="I148" s="718" t="s">
        <v>251</v>
      </c>
      <c r="J148" s="718" t="s">
        <v>251</v>
      </c>
      <c r="K148" s="718"/>
      <c r="L148" s="718" t="s">
        <v>251</v>
      </c>
      <c r="M148" s="718" t="s">
        <v>251</v>
      </c>
      <c r="N148" s="718" t="s">
        <v>251</v>
      </c>
      <c r="O148" s="718" t="s">
        <v>251</v>
      </c>
      <c r="P148" s="1497">
        <f t="shared" si="17"/>
        <v>0</v>
      </c>
      <c r="Q148" s="1405">
        <f t="shared" si="18"/>
        <v>0</v>
      </c>
      <c r="R148" s="717"/>
      <c r="S148" s="718"/>
      <c r="T148" s="718"/>
      <c r="U148" s="718"/>
      <c r="V148" s="718"/>
      <c r="W148" s="718"/>
      <c r="X148" s="718"/>
      <c r="Y148" s="718"/>
      <c r="Z148" s="718"/>
      <c r="AA148" s="718"/>
      <c r="AB148" s="718"/>
      <c r="AC148" s="718"/>
      <c r="AD148" s="1405">
        <f t="shared" si="15"/>
        <v>0</v>
      </c>
      <c r="AE148" s="852">
        <f t="shared" si="16"/>
        <v>0</v>
      </c>
      <c r="AF148" s="853">
        <f t="shared" si="19"/>
        <v>983</v>
      </c>
    </row>
    <row r="149" spans="1:32" x14ac:dyDescent="0.3">
      <c r="A149" s="287" t="s">
        <v>804</v>
      </c>
      <c r="B149" s="851" t="s">
        <v>860</v>
      </c>
      <c r="C149" s="717">
        <v>0</v>
      </c>
      <c r="D149" s="718" t="s">
        <v>251</v>
      </c>
      <c r="E149" s="718">
        <v>0</v>
      </c>
      <c r="F149" s="718" t="s">
        <v>251</v>
      </c>
      <c r="G149" s="718" t="s">
        <v>251</v>
      </c>
      <c r="H149" s="718" t="s">
        <v>251</v>
      </c>
      <c r="I149" s="718" t="s">
        <v>251</v>
      </c>
      <c r="J149" s="718" t="s">
        <v>251</v>
      </c>
      <c r="K149" s="718"/>
      <c r="L149" s="718" t="s">
        <v>251</v>
      </c>
      <c r="M149" s="718" t="s">
        <v>251</v>
      </c>
      <c r="N149" s="718">
        <v>0</v>
      </c>
      <c r="O149" s="718" t="s">
        <v>251</v>
      </c>
      <c r="P149" s="1497">
        <f t="shared" si="17"/>
        <v>0</v>
      </c>
      <c r="Q149" s="1405">
        <f t="shared" si="18"/>
        <v>0</v>
      </c>
      <c r="R149" s="717"/>
      <c r="S149" s="718"/>
      <c r="T149" s="718"/>
      <c r="U149" s="718"/>
      <c r="V149" s="718"/>
      <c r="W149" s="718"/>
      <c r="X149" s="718"/>
      <c r="Y149" s="718"/>
      <c r="Z149" s="718"/>
      <c r="AA149" s="718"/>
      <c r="AB149" s="718"/>
      <c r="AC149" s="718"/>
      <c r="AD149" s="1405">
        <f t="shared" si="15"/>
        <v>0</v>
      </c>
      <c r="AE149" s="852">
        <f t="shared" si="16"/>
        <v>0</v>
      </c>
      <c r="AF149" s="853">
        <f t="shared" si="19"/>
        <v>983</v>
      </c>
    </row>
    <row r="150" spans="1:32" x14ac:dyDescent="0.3">
      <c r="A150" s="287" t="s">
        <v>804</v>
      </c>
      <c r="B150" s="851" t="s">
        <v>1162</v>
      </c>
      <c r="C150" s="717" t="s">
        <v>251</v>
      </c>
      <c r="D150" s="718" t="s">
        <v>251</v>
      </c>
      <c r="E150" s="718" t="s">
        <v>251</v>
      </c>
      <c r="F150" s="718" t="s">
        <v>251</v>
      </c>
      <c r="G150" s="718" t="s">
        <v>251</v>
      </c>
      <c r="H150" s="718" t="s">
        <v>251</v>
      </c>
      <c r="I150" s="718" t="s">
        <v>251</v>
      </c>
      <c r="J150" s="718" t="s">
        <v>251</v>
      </c>
      <c r="K150" s="718"/>
      <c r="L150" s="718" t="s">
        <v>251</v>
      </c>
      <c r="M150" s="718" t="s">
        <v>251</v>
      </c>
      <c r="N150" s="718" t="s">
        <v>251</v>
      </c>
      <c r="O150" s="718" t="s">
        <v>251</v>
      </c>
      <c r="P150" s="1497">
        <f t="shared" si="17"/>
        <v>0</v>
      </c>
      <c r="Q150" s="1405">
        <f t="shared" si="18"/>
        <v>0</v>
      </c>
      <c r="R150" s="717"/>
      <c r="S150" s="718"/>
      <c r="T150" s="718"/>
      <c r="U150" s="718"/>
      <c r="V150" s="718"/>
      <c r="W150" s="718"/>
      <c r="X150" s="718"/>
      <c r="Y150" s="718"/>
      <c r="Z150" s="718"/>
      <c r="AA150" s="718"/>
      <c r="AB150" s="718"/>
      <c r="AC150" s="718"/>
      <c r="AD150" s="1405">
        <f t="shared" si="15"/>
        <v>0</v>
      </c>
      <c r="AE150" s="852">
        <f t="shared" si="16"/>
        <v>0</v>
      </c>
      <c r="AF150" s="853">
        <f t="shared" si="19"/>
        <v>983</v>
      </c>
    </row>
    <row r="151" spans="1:32" x14ac:dyDescent="0.3">
      <c r="A151" s="287" t="s">
        <v>804</v>
      </c>
      <c r="B151" s="851" t="s">
        <v>814</v>
      </c>
      <c r="C151" s="717">
        <v>0</v>
      </c>
      <c r="D151" s="718" t="s">
        <v>251</v>
      </c>
      <c r="E151" s="718">
        <v>0</v>
      </c>
      <c r="F151" s="718" t="s">
        <v>251</v>
      </c>
      <c r="G151" s="718" t="s">
        <v>251</v>
      </c>
      <c r="H151" s="718" t="s">
        <v>251</v>
      </c>
      <c r="I151" s="718" t="s">
        <v>251</v>
      </c>
      <c r="J151" s="718" t="s">
        <v>251</v>
      </c>
      <c r="K151" s="718"/>
      <c r="L151" s="718" t="s">
        <v>251</v>
      </c>
      <c r="M151" s="718" t="s">
        <v>251</v>
      </c>
      <c r="N151" s="718">
        <v>0</v>
      </c>
      <c r="O151" s="718" t="s">
        <v>251</v>
      </c>
      <c r="P151" s="1497">
        <f t="shared" si="17"/>
        <v>0</v>
      </c>
      <c r="Q151" s="1405">
        <f t="shared" si="18"/>
        <v>0</v>
      </c>
      <c r="R151" s="717"/>
      <c r="S151" s="718"/>
      <c r="T151" s="718"/>
      <c r="U151" s="718"/>
      <c r="V151" s="718"/>
      <c r="W151" s="718"/>
      <c r="X151" s="718"/>
      <c r="Y151" s="718"/>
      <c r="Z151" s="718"/>
      <c r="AA151" s="718"/>
      <c r="AB151" s="718"/>
      <c r="AC151" s="718"/>
      <c r="AD151" s="1405">
        <f t="shared" si="15"/>
        <v>0</v>
      </c>
      <c r="AE151" s="852">
        <f t="shared" si="16"/>
        <v>0</v>
      </c>
      <c r="AF151" s="853">
        <f t="shared" si="19"/>
        <v>983</v>
      </c>
    </row>
    <row r="152" spans="1:32" x14ac:dyDescent="0.3">
      <c r="A152" s="287" t="s">
        <v>804</v>
      </c>
      <c r="B152" s="851" t="s">
        <v>844</v>
      </c>
      <c r="C152" s="717">
        <v>0</v>
      </c>
      <c r="D152" s="718" t="s">
        <v>251</v>
      </c>
      <c r="E152" s="718">
        <v>0</v>
      </c>
      <c r="F152" s="718" t="s">
        <v>251</v>
      </c>
      <c r="G152" s="718" t="s">
        <v>251</v>
      </c>
      <c r="H152" s="718" t="s">
        <v>251</v>
      </c>
      <c r="I152" s="718" t="s">
        <v>251</v>
      </c>
      <c r="J152" s="718" t="s">
        <v>251</v>
      </c>
      <c r="K152" s="718"/>
      <c r="L152" s="718" t="s">
        <v>251</v>
      </c>
      <c r="M152" s="718" t="s">
        <v>251</v>
      </c>
      <c r="N152" s="718">
        <v>0</v>
      </c>
      <c r="O152" s="718" t="s">
        <v>251</v>
      </c>
      <c r="P152" s="1497">
        <f t="shared" si="17"/>
        <v>0</v>
      </c>
      <c r="Q152" s="1405">
        <f t="shared" si="18"/>
        <v>0</v>
      </c>
      <c r="R152" s="717"/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1405">
        <f t="shared" si="15"/>
        <v>0</v>
      </c>
      <c r="AE152" s="852">
        <f t="shared" si="16"/>
        <v>0</v>
      </c>
      <c r="AF152" s="853">
        <f t="shared" si="19"/>
        <v>983</v>
      </c>
    </row>
    <row r="153" spans="1:32" x14ac:dyDescent="0.3">
      <c r="A153" s="287" t="s">
        <v>804</v>
      </c>
      <c r="B153" s="851" t="s">
        <v>809</v>
      </c>
      <c r="C153" s="717" t="s">
        <v>251</v>
      </c>
      <c r="D153" s="718" t="s">
        <v>251</v>
      </c>
      <c r="E153" s="718" t="s">
        <v>251</v>
      </c>
      <c r="F153" s="718" t="s">
        <v>251</v>
      </c>
      <c r="G153" s="718" t="s">
        <v>251</v>
      </c>
      <c r="H153" s="718" t="s">
        <v>251</v>
      </c>
      <c r="I153" s="718" t="s">
        <v>251</v>
      </c>
      <c r="J153" s="718" t="s">
        <v>251</v>
      </c>
      <c r="K153" s="718"/>
      <c r="L153" s="718" t="s">
        <v>251</v>
      </c>
      <c r="M153" s="718" t="s">
        <v>251</v>
      </c>
      <c r="N153" s="718" t="s">
        <v>251</v>
      </c>
      <c r="O153" s="718" t="s">
        <v>251</v>
      </c>
      <c r="P153" s="1497">
        <f t="shared" si="17"/>
        <v>0</v>
      </c>
      <c r="Q153" s="1405">
        <f t="shared" si="18"/>
        <v>0</v>
      </c>
      <c r="R153" s="717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1405">
        <f t="shared" si="15"/>
        <v>0</v>
      </c>
      <c r="AE153" s="852">
        <f t="shared" si="16"/>
        <v>0</v>
      </c>
      <c r="AF153" s="853">
        <f t="shared" si="19"/>
        <v>983</v>
      </c>
    </row>
    <row r="154" spans="1:32" x14ac:dyDescent="0.3">
      <c r="A154" s="287" t="s">
        <v>804</v>
      </c>
      <c r="B154" s="851" t="s">
        <v>1163</v>
      </c>
      <c r="C154" s="717">
        <v>0</v>
      </c>
      <c r="D154" s="718" t="s">
        <v>251</v>
      </c>
      <c r="E154" s="718">
        <v>0</v>
      </c>
      <c r="F154" s="718" t="s">
        <v>251</v>
      </c>
      <c r="G154" s="718" t="s">
        <v>251</v>
      </c>
      <c r="H154" s="718" t="s">
        <v>251</v>
      </c>
      <c r="I154" s="718" t="s">
        <v>251</v>
      </c>
      <c r="J154" s="718" t="s">
        <v>251</v>
      </c>
      <c r="K154" s="718"/>
      <c r="L154" s="718" t="s">
        <v>251</v>
      </c>
      <c r="M154" s="718" t="s">
        <v>251</v>
      </c>
      <c r="N154" s="718">
        <v>0</v>
      </c>
      <c r="O154" s="718" t="s">
        <v>251</v>
      </c>
      <c r="P154" s="1497">
        <f t="shared" si="17"/>
        <v>0</v>
      </c>
      <c r="Q154" s="1405">
        <f t="shared" si="18"/>
        <v>0</v>
      </c>
      <c r="R154" s="717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1405">
        <f t="shared" si="15"/>
        <v>0</v>
      </c>
      <c r="AE154" s="852">
        <f t="shared" si="16"/>
        <v>0</v>
      </c>
      <c r="AF154" s="853">
        <f t="shared" si="19"/>
        <v>983</v>
      </c>
    </row>
    <row r="155" spans="1:32" x14ac:dyDescent="0.3">
      <c r="A155" s="287" t="s">
        <v>804</v>
      </c>
      <c r="B155" s="851" t="s">
        <v>1164</v>
      </c>
      <c r="C155" s="717" t="s">
        <v>251</v>
      </c>
      <c r="D155" s="718" t="s">
        <v>251</v>
      </c>
      <c r="E155" s="718" t="s">
        <v>251</v>
      </c>
      <c r="F155" s="718" t="s">
        <v>251</v>
      </c>
      <c r="G155" s="718" t="s">
        <v>251</v>
      </c>
      <c r="H155" s="718" t="s">
        <v>251</v>
      </c>
      <c r="I155" s="718" t="s">
        <v>251</v>
      </c>
      <c r="J155" s="718" t="s">
        <v>251</v>
      </c>
      <c r="K155" s="718"/>
      <c r="L155" s="718" t="s">
        <v>251</v>
      </c>
      <c r="M155" s="718" t="s">
        <v>251</v>
      </c>
      <c r="N155" s="718" t="s">
        <v>251</v>
      </c>
      <c r="O155" s="718" t="s">
        <v>251</v>
      </c>
      <c r="P155" s="1497">
        <f t="shared" si="17"/>
        <v>0</v>
      </c>
      <c r="Q155" s="1405">
        <f t="shared" si="18"/>
        <v>0</v>
      </c>
      <c r="R155" s="717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1405">
        <f t="shared" si="15"/>
        <v>0</v>
      </c>
      <c r="AE155" s="852">
        <f t="shared" si="16"/>
        <v>0</v>
      </c>
      <c r="AF155" s="853">
        <f t="shared" si="19"/>
        <v>983</v>
      </c>
    </row>
    <row r="156" spans="1:32" x14ac:dyDescent="0.3">
      <c r="A156" s="287" t="s">
        <v>804</v>
      </c>
      <c r="B156" s="851" t="s">
        <v>1165</v>
      </c>
      <c r="C156" s="717">
        <v>0</v>
      </c>
      <c r="D156" s="718" t="s">
        <v>251</v>
      </c>
      <c r="E156" s="718">
        <v>0</v>
      </c>
      <c r="F156" s="718" t="s">
        <v>251</v>
      </c>
      <c r="G156" s="718" t="s">
        <v>251</v>
      </c>
      <c r="H156" s="718" t="s">
        <v>251</v>
      </c>
      <c r="I156" s="718" t="s">
        <v>251</v>
      </c>
      <c r="J156" s="718" t="s">
        <v>251</v>
      </c>
      <c r="K156" s="718"/>
      <c r="L156" s="718" t="s">
        <v>251</v>
      </c>
      <c r="M156" s="718" t="s">
        <v>251</v>
      </c>
      <c r="N156" s="718">
        <v>0</v>
      </c>
      <c r="O156" s="718" t="s">
        <v>251</v>
      </c>
      <c r="P156" s="1497">
        <f t="shared" si="17"/>
        <v>0</v>
      </c>
      <c r="Q156" s="1405">
        <f t="shared" si="18"/>
        <v>0</v>
      </c>
      <c r="R156" s="717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1405">
        <f t="shared" si="15"/>
        <v>0</v>
      </c>
      <c r="AE156" s="852">
        <f t="shared" si="16"/>
        <v>0</v>
      </c>
      <c r="AF156" s="853">
        <f t="shared" si="19"/>
        <v>983</v>
      </c>
    </row>
    <row r="157" spans="1:32" x14ac:dyDescent="0.3">
      <c r="A157" s="287" t="s">
        <v>804</v>
      </c>
      <c r="B157" s="851" t="s">
        <v>1166</v>
      </c>
      <c r="C157" s="717" t="s">
        <v>251</v>
      </c>
      <c r="D157" s="718" t="s">
        <v>251</v>
      </c>
      <c r="E157" s="718" t="s">
        <v>251</v>
      </c>
      <c r="F157" s="718" t="s">
        <v>251</v>
      </c>
      <c r="G157" s="718" t="s">
        <v>251</v>
      </c>
      <c r="H157" s="718" t="s">
        <v>251</v>
      </c>
      <c r="I157" s="718" t="s">
        <v>251</v>
      </c>
      <c r="J157" s="718" t="s">
        <v>251</v>
      </c>
      <c r="K157" s="718"/>
      <c r="L157" s="718" t="s">
        <v>251</v>
      </c>
      <c r="M157" s="718" t="s">
        <v>251</v>
      </c>
      <c r="N157" s="718" t="s">
        <v>251</v>
      </c>
      <c r="O157" s="718">
        <v>57500</v>
      </c>
      <c r="P157" s="1497">
        <f t="shared" si="17"/>
        <v>0</v>
      </c>
      <c r="Q157" s="1405">
        <f t="shared" si="18"/>
        <v>57500</v>
      </c>
      <c r="R157" s="717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1405">
        <f t="shared" si="15"/>
        <v>0</v>
      </c>
      <c r="AE157" s="852">
        <f t="shared" si="16"/>
        <v>0</v>
      </c>
      <c r="AF157" s="853">
        <f t="shared" si="19"/>
        <v>983</v>
      </c>
    </row>
    <row r="158" spans="1:32" x14ac:dyDescent="0.3">
      <c r="A158" s="287" t="s">
        <v>804</v>
      </c>
      <c r="B158" s="851" t="s">
        <v>1167</v>
      </c>
      <c r="C158" s="717" t="s">
        <v>251</v>
      </c>
      <c r="D158" s="718" t="s">
        <v>251</v>
      </c>
      <c r="E158" s="718" t="s">
        <v>251</v>
      </c>
      <c r="F158" s="718" t="s">
        <v>251</v>
      </c>
      <c r="G158" s="718" t="s">
        <v>251</v>
      </c>
      <c r="H158" s="718" t="s">
        <v>251</v>
      </c>
      <c r="I158" s="718" t="s">
        <v>251</v>
      </c>
      <c r="J158" s="718" t="s">
        <v>251</v>
      </c>
      <c r="K158" s="718"/>
      <c r="L158" s="718" t="s">
        <v>251</v>
      </c>
      <c r="M158" s="718" t="s">
        <v>251</v>
      </c>
      <c r="N158" s="718" t="s">
        <v>251</v>
      </c>
      <c r="O158" s="718" t="s">
        <v>251</v>
      </c>
      <c r="P158" s="1497">
        <f t="shared" si="17"/>
        <v>0</v>
      </c>
      <c r="Q158" s="1405">
        <f t="shared" si="18"/>
        <v>0</v>
      </c>
      <c r="R158" s="717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1405">
        <f t="shared" si="15"/>
        <v>0</v>
      </c>
      <c r="AE158" s="852">
        <f t="shared" si="16"/>
        <v>0</v>
      </c>
      <c r="AF158" s="853">
        <f t="shared" si="19"/>
        <v>983</v>
      </c>
    </row>
    <row r="159" spans="1:32" x14ac:dyDescent="0.3">
      <c r="A159" s="287" t="s">
        <v>804</v>
      </c>
      <c r="B159" s="851" t="s">
        <v>1168</v>
      </c>
      <c r="C159" s="717" t="s">
        <v>251</v>
      </c>
      <c r="D159" s="718" t="s">
        <v>251</v>
      </c>
      <c r="E159" s="718" t="s">
        <v>251</v>
      </c>
      <c r="F159" s="718" t="s">
        <v>251</v>
      </c>
      <c r="G159" s="718" t="s">
        <v>251</v>
      </c>
      <c r="H159" s="718" t="s">
        <v>251</v>
      </c>
      <c r="I159" s="718" t="s">
        <v>251</v>
      </c>
      <c r="J159" s="718" t="s">
        <v>251</v>
      </c>
      <c r="K159" s="718"/>
      <c r="L159" s="718" t="s">
        <v>251</v>
      </c>
      <c r="M159" s="718" t="s">
        <v>251</v>
      </c>
      <c r="N159" s="718" t="s">
        <v>251</v>
      </c>
      <c r="O159" s="718" t="s">
        <v>251</v>
      </c>
      <c r="P159" s="1497">
        <f t="shared" si="17"/>
        <v>0</v>
      </c>
      <c r="Q159" s="1405">
        <f t="shared" si="18"/>
        <v>0</v>
      </c>
      <c r="R159" s="717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1405">
        <f t="shared" si="15"/>
        <v>0</v>
      </c>
      <c r="AE159" s="852">
        <f t="shared" si="16"/>
        <v>0</v>
      </c>
      <c r="AF159" s="853">
        <f t="shared" si="19"/>
        <v>983</v>
      </c>
    </row>
    <row r="160" spans="1:32" x14ac:dyDescent="0.3">
      <c r="A160" s="287" t="s">
        <v>804</v>
      </c>
      <c r="B160" s="851" t="s">
        <v>1169</v>
      </c>
      <c r="C160" s="717" t="s">
        <v>251</v>
      </c>
      <c r="D160" s="718" t="s">
        <v>251</v>
      </c>
      <c r="E160" s="718" t="s">
        <v>251</v>
      </c>
      <c r="F160" s="718" t="s">
        <v>251</v>
      </c>
      <c r="G160" s="718" t="s">
        <v>251</v>
      </c>
      <c r="H160" s="718" t="s">
        <v>251</v>
      </c>
      <c r="I160" s="718" t="s">
        <v>251</v>
      </c>
      <c r="J160" s="718" t="s">
        <v>251</v>
      </c>
      <c r="K160" s="718"/>
      <c r="L160" s="718" t="s">
        <v>251</v>
      </c>
      <c r="M160" s="718" t="s">
        <v>251</v>
      </c>
      <c r="N160" s="718" t="s">
        <v>251</v>
      </c>
      <c r="O160" s="718" t="s">
        <v>251</v>
      </c>
      <c r="P160" s="1497">
        <f t="shared" si="17"/>
        <v>0</v>
      </c>
      <c r="Q160" s="1405">
        <f t="shared" si="18"/>
        <v>0</v>
      </c>
      <c r="R160" s="717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1405">
        <f t="shared" si="15"/>
        <v>0</v>
      </c>
      <c r="AE160" s="852">
        <f t="shared" si="16"/>
        <v>0</v>
      </c>
      <c r="AF160" s="853">
        <f t="shared" si="19"/>
        <v>983</v>
      </c>
    </row>
    <row r="161" spans="1:32" x14ac:dyDescent="0.3">
      <c r="A161" s="287" t="s">
        <v>804</v>
      </c>
      <c r="B161" s="851" t="s">
        <v>1170</v>
      </c>
      <c r="C161" s="717" t="s">
        <v>251</v>
      </c>
      <c r="D161" s="718" t="s">
        <v>251</v>
      </c>
      <c r="E161" s="718" t="s">
        <v>251</v>
      </c>
      <c r="F161" s="718" t="s">
        <v>251</v>
      </c>
      <c r="G161" s="718" t="s">
        <v>251</v>
      </c>
      <c r="H161" s="718" t="s">
        <v>251</v>
      </c>
      <c r="I161" s="718" t="s">
        <v>251</v>
      </c>
      <c r="J161" s="718" t="s">
        <v>251</v>
      </c>
      <c r="K161" s="718"/>
      <c r="L161" s="718" t="s">
        <v>251</v>
      </c>
      <c r="M161" s="718" t="s">
        <v>251</v>
      </c>
      <c r="N161" s="718" t="s">
        <v>251</v>
      </c>
      <c r="O161" s="718" t="s">
        <v>251</v>
      </c>
      <c r="P161" s="1497">
        <f t="shared" si="17"/>
        <v>0</v>
      </c>
      <c r="Q161" s="1405">
        <f t="shared" si="18"/>
        <v>0</v>
      </c>
      <c r="R161" s="717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1405">
        <f t="shared" si="15"/>
        <v>0</v>
      </c>
      <c r="AE161" s="852">
        <f t="shared" si="16"/>
        <v>0</v>
      </c>
      <c r="AF161" s="853">
        <f t="shared" si="19"/>
        <v>983</v>
      </c>
    </row>
    <row r="162" spans="1:32" x14ac:dyDescent="0.3">
      <c r="A162" s="287" t="s">
        <v>804</v>
      </c>
      <c r="B162" s="851" t="s">
        <v>1171</v>
      </c>
      <c r="C162" s="717" t="s">
        <v>251</v>
      </c>
      <c r="D162" s="718" t="s">
        <v>251</v>
      </c>
      <c r="E162" s="718" t="s">
        <v>251</v>
      </c>
      <c r="F162" s="718" t="s">
        <v>251</v>
      </c>
      <c r="G162" s="718" t="s">
        <v>251</v>
      </c>
      <c r="H162" s="718" t="s">
        <v>251</v>
      </c>
      <c r="I162" s="718" t="s">
        <v>251</v>
      </c>
      <c r="J162" s="718" t="s">
        <v>251</v>
      </c>
      <c r="K162" s="718"/>
      <c r="L162" s="718" t="s">
        <v>251</v>
      </c>
      <c r="M162" s="718" t="s">
        <v>251</v>
      </c>
      <c r="N162" s="718" t="s">
        <v>251</v>
      </c>
      <c r="O162" s="718" t="s">
        <v>251</v>
      </c>
      <c r="P162" s="1497">
        <f t="shared" si="17"/>
        <v>0</v>
      </c>
      <c r="Q162" s="1405">
        <f t="shared" si="18"/>
        <v>0</v>
      </c>
      <c r="R162" s="717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1405">
        <f t="shared" si="15"/>
        <v>0</v>
      </c>
      <c r="AE162" s="852">
        <f t="shared" si="16"/>
        <v>0</v>
      </c>
      <c r="AF162" s="853">
        <f t="shared" si="19"/>
        <v>983</v>
      </c>
    </row>
    <row r="163" spans="1:32" x14ac:dyDescent="0.3">
      <c r="A163" s="287" t="s">
        <v>804</v>
      </c>
      <c r="B163" s="851" t="s">
        <v>1172</v>
      </c>
      <c r="C163" s="717" t="s">
        <v>251</v>
      </c>
      <c r="D163" s="718" t="s">
        <v>251</v>
      </c>
      <c r="E163" s="718" t="s">
        <v>251</v>
      </c>
      <c r="F163" s="718" t="s">
        <v>251</v>
      </c>
      <c r="G163" s="718" t="s">
        <v>251</v>
      </c>
      <c r="H163" s="718" t="s">
        <v>251</v>
      </c>
      <c r="I163" s="718" t="s">
        <v>251</v>
      </c>
      <c r="J163" s="718" t="s">
        <v>251</v>
      </c>
      <c r="K163" s="718"/>
      <c r="L163" s="718" t="s">
        <v>251</v>
      </c>
      <c r="M163" s="718" t="s">
        <v>251</v>
      </c>
      <c r="N163" s="718" t="s">
        <v>251</v>
      </c>
      <c r="O163" s="718" t="s">
        <v>251</v>
      </c>
      <c r="P163" s="1497">
        <f t="shared" si="17"/>
        <v>0</v>
      </c>
      <c r="Q163" s="1405">
        <f t="shared" si="18"/>
        <v>0</v>
      </c>
      <c r="R163" s="717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1405">
        <f t="shared" si="15"/>
        <v>0</v>
      </c>
      <c r="AE163" s="852">
        <f t="shared" si="16"/>
        <v>0</v>
      </c>
      <c r="AF163" s="853">
        <f t="shared" si="19"/>
        <v>983</v>
      </c>
    </row>
    <row r="164" spans="1:32" x14ac:dyDescent="0.3">
      <c r="A164" s="287" t="s">
        <v>804</v>
      </c>
      <c r="B164" s="851" t="s">
        <v>807</v>
      </c>
      <c r="C164" s="717" t="s">
        <v>251</v>
      </c>
      <c r="D164" s="718" t="s">
        <v>251</v>
      </c>
      <c r="E164" s="718" t="s">
        <v>251</v>
      </c>
      <c r="F164" s="718" t="s">
        <v>251</v>
      </c>
      <c r="G164" s="718" t="s">
        <v>251</v>
      </c>
      <c r="H164" s="718" t="s">
        <v>251</v>
      </c>
      <c r="I164" s="718" t="s">
        <v>251</v>
      </c>
      <c r="J164" s="718" t="s">
        <v>251</v>
      </c>
      <c r="K164" s="718"/>
      <c r="L164" s="718" t="s">
        <v>251</v>
      </c>
      <c r="M164" s="718" t="s">
        <v>251</v>
      </c>
      <c r="N164" s="718" t="s">
        <v>251</v>
      </c>
      <c r="O164" s="718" t="s">
        <v>251</v>
      </c>
      <c r="P164" s="1497">
        <f t="shared" si="17"/>
        <v>0</v>
      </c>
      <c r="Q164" s="1405">
        <f t="shared" si="18"/>
        <v>0</v>
      </c>
      <c r="R164" s="717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1405">
        <f t="shared" si="15"/>
        <v>0</v>
      </c>
      <c r="AE164" s="852">
        <f t="shared" si="16"/>
        <v>0</v>
      </c>
      <c r="AF164" s="853">
        <f t="shared" si="19"/>
        <v>983</v>
      </c>
    </row>
    <row r="165" spans="1:32" x14ac:dyDescent="0.3">
      <c r="A165" s="287" t="s">
        <v>804</v>
      </c>
      <c r="B165" s="851" t="s">
        <v>1173</v>
      </c>
      <c r="C165" s="717" t="s">
        <v>251</v>
      </c>
      <c r="D165" s="718" t="s">
        <v>251</v>
      </c>
      <c r="E165" s="718" t="s">
        <v>251</v>
      </c>
      <c r="F165" s="718" t="s">
        <v>251</v>
      </c>
      <c r="G165" s="718" t="s">
        <v>251</v>
      </c>
      <c r="H165" s="718" t="s">
        <v>251</v>
      </c>
      <c r="I165" s="718" t="s">
        <v>251</v>
      </c>
      <c r="J165" s="718" t="s">
        <v>251</v>
      </c>
      <c r="K165" s="718"/>
      <c r="L165" s="718" t="s">
        <v>251</v>
      </c>
      <c r="M165" s="718" t="s">
        <v>251</v>
      </c>
      <c r="N165" s="718" t="s">
        <v>251</v>
      </c>
      <c r="O165" s="718" t="s">
        <v>251</v>
      </c>
      <c r="P165" s="1497">
        <f t="shared" si="17"/>
        <v>0</v>
      </c>
      <c r="Q165" s="1405">
        <f t="shared" si="18"/>
        <v>0</v>
      </c>
      <c r="R165" s="717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1405">
        <f t="shared" si="15"/>
        <v>0</v>
      </c>
      <c r="AE165" s="852">
        <f t="shared" si="16"/>
        <v>0</v>
      </c>
      <c r="AF165" s="853">
        <f t="shared" si="19"/>
        <v>983</v>
      </c>
    </row>
    <row r="166" spans="1:32" x14ac:dyDescent="0.3">
      <c r="A166" s="287" t="s">
        <v>804</v>
      </c>
      <c r="B166" s="851" t="s">
        <v>838</v>
      </c>
      <c r="C166" s="717" t="s">
        <v>251</v>
      </c>
      <c r="D166" s="718" t="s">
        <v>251</v>
      </c>
      <c r="E166" s="718" t="s">
        <v>251</v>
      </c>
      <c r="F166" s="718" t="s">
        <v>251</v>
      </c>
      <c r="G166" s="718" t="s">
        <v>251</v>
      </c>
      <c r="H166" s="718" t="s">
        <v>251</v>
      </c>
      <c r="I166" s="718" t="s">
        <v>251</v>
      </c>
      <c r="J166" s="718" t="s">
        <v>251</v>
      </c>
      <c r="K166" s="718"/>
      <c r="L166" s="718" t="s">
        <v>251</v>
      </c>
      <c r="M166" s="718" t="s">
        <v>251</v>
      </c>
      <c r="N166" s="718" t="s">
        <v>251</v>
      </c>
      <c r="O166" s="718" t="s">
        <v>251</v>
      </c>
      <c r="P166" s="1497">
        <f t="shared" si="17"/>
        <v>0</v>
      </c>
      <c r="Q166" s="1405">
        <f t="shared" si="18"/>
        <v>0</v>
      </c>
      <c r="R166" s="717"/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1405">
        <f t="shared" si="15"/>
        <v>0</v>
      </c>
      <c r="AE166" s="852">
        <f t="shared" si="16"/>
        <v>0</v>
      </c>
      <c r="AF166" s="853">
        <f t="shared" si="19"/>
        <v>983</v>
      </c>
    </row>
    <row r="167" spans="1:32" x14ac:dyDescent="0.3">
      <c r="A167" s="287" t="s">
        <v>804</v>
      </c>
      <c r="B167" s="851" t="s">
        <v>1174</v>
      </c>
      <c r="C167" s="717" t="s">
        <v>251</v>
      </c>
      <c r="D167" s="718" t="s">
        <v>251</v>
      </c>
      <c r="E167" s="718" t="s">
        <v>251</v>
      </c>
      <c r="F167" s="718" t="s">
        <v>251</v>
      </c>
      <c r="G167" s="718" t="s">
        <v>251</v>
      </c>
      <c r="H167" s="718" t="s">
        <v>251</v>
      </c>
      <c r="I167" s="718" t="s">
        <v>251</v>
      </c>
      <c r="J167" s="718" t="s">
        <v>251</v>
      </c>
      <c r="K167" s="718"/>
      <c r="L167" s="718" t="s">
        <v>251</v>
      </c>
      <c r="M167" s="718" t="s">
        <v>251</v>
      </c>
      <c r="N167" s="718" t="s">
        <v>251</v>
      </c>
      <c r="O167" s="718" t="s">
        <v>251</v>
      </c>
      <c r="P167" s="1497">
        <f t="shared" si="17"/>
        <v>0</v>
      </c>
      <c r="Q167" s="1405">
        <f t="shared" si="18"/>
        <v>0</v>
      </c>
      <c r="R167" s="717"/>
      <c r="S167" s="718"/>
      <c r="T167" s="718"/>
      <c r="U167" s="718"/>
      <c r="V167" s="718"/>
      <c r="W167" s="718"/>
      <c r="X167" s="718">
        <v>95900</v>
      </c>
      <c r="Y167" s="718">
        <v>0</v>
      </c>
      <c r="Z167" s="718"/>
      <c r="AA167" s="718"/>
      <c r="AB167" s="718"/>
      <c r="AC167" s="718"/>
      <c r="AD167" s="1405">
        <f t="shared" si="15"/>
        <v>95900</v>
      </c>
      <c r="AE167" s="852">
        <f t="shared" si="16"/>
        <v>1</v>
      </c>
      <c r="AF167" s="853">
        <f t="shared" si="19"/>
        <v>747</v>
      </c>
    </row>
    <row r="168" spans="1:32" x14ac:dyDescent="0.3">
      <c r="A168" s="287" t="s">
        <v>804</v>
      </c>
      <c r="B168" s="851" t="s">
        <v>1175</v>
      </c>
      <c r="C168" s="717" t="s">
        <v>251</v>
      </c>
      <c r="D168" s="718" t="s">
        <v>251</v>
      </c>
      <c r="E168" s="718" t="s">
        <v>251</v>
      </c>
      <c r="F168" s="718" t="s">
        <v>251</v>
      </c>
      <c r="G168" s="718" t="s">
        <v>251</v>
      </c>
      <c r="H168" s="718" t="s">
        <v>251</v>
      </c>
      <c r="I168" s="718" t="s">
        <v>251</v>
      </c>
      <c r="J168" s="718" t="s">
        <v>251</v>
      </c>
      <c r="K168" s="718"/>
      <c r="L168" s="718" t="s">
        <v>251</v>
      </c>
      <c r="M168" s="718" t="s">
        <v>251</v>
      </c>
      <c r="N168" s="718" t="s">
        <v>251</v>
      </c>
      <c r="O168" s="718" t="s">
        <v>251</v>
      </c>
      <c r="P168" s="1497">
        <f t="shared" si="17"/>
        <v>0</v>
      </c>
      <c r="Q168" s="1405">
        <f t="shared" si="18"/>
        <v>0</v>
      </c>
      <c r="R168" s="717"/>
      <c r="S168" s="718"/>
      <c r="T168" s="718"/>
      <c r="U168" s="718"/>
      <c r="V168" s="718"/>
      <c r="W168" s="718"/>
      <c r="X168" s="718"/>
      <c r="Y168" s="718"/>
      <c r="Z168" s="718"/>
      <c r="AA168" s="718"/>
      <c r="AB168" s="718"/>
      <c r="AC168" s="718"/>
      <c r="AD168" s="1405">
        <f t="shared" si="15"/>
        <v>0</v>
      </c>
      <c r="AE168" s="852">
        <f t="shared" si="16"/>
        <v>0</v>
      </c>
      <c r="AF168" s="853">
        <f t="shared" si="19"/>
        <v>983</v>
      </c>
    </row>
    <row r="169" spans="1:32" x14ac:dyDescent="0.3">
      <c r="A169" s="287" t="s">
        <v>804</v>
      </c>
      <c r="B169" s="851" t="s">
        <v>1176</v>
      </c>
      <c r="C169" s="717" t="s">
        <v>251</v>
      </c>
      <c r="D169" s="718" t="s">
        <v>251</v>
      </c>
      <c r="E169" s="718" t="s">
        <v>251</v>
      </c>
      <c r="F169" s="718" t="s">
        <v>251</v>
      </c>
      <c r="G169" s="718" t="s">
        <v>251</v>
      </c>
      <c r="H169" s="718" t="s">
        <v>251</v>
      </c>
      <c r="I169" s="718" t="s">
        <v>251</v>
      </c>
      <c r="J169" s="718" t="s">
        <v>251</v>
      </c>
      <c r="K169" s="718"/>
      <c r="L169" s="718" t="s">
        <v>251</v>
      </c>
      <c r="M169" s="718" t="s">
        <v>251</v>
      </c>
      <c r="N169" s="718" t="s">
        <v>251</v>
      </c>
      <c r="O169" s="718" t="s">
        <v>251</v>
      </c>
      <c r="P169" s="1497">
        <f t="shared" si="17"/>
        <v>0</v>
      </c>
      <c r="Q169" s="1405">
        <f t="shared" si="18"/>
        <v>0</v>
      </c>
      <c r="R169" s="717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1405">
        <f t="shared" si="15"/>
        <v>0</v>
      </c>
      <c r="AE169" s="852">
        <f t="shared" si="16"/>
        <v>0</v>
      </c>
      <c r="AF169" s="853">
        <f t="shared" si="19"/>
        <v>983</v>
      </c>
    </row>
    <row r="170" spans="1:32" x14ac:dyDescent="0.3">
      <c r="A170" s="287" t="s">
        <v>804</v>
      </c>
      <c r="B170" s="851" t="s">
        <v>1681</v>
      </c>
      <c r="C170" s="717">
        <v>643500</v>
      </c>
      <c r="D170" s="718">
        <v>0</v>
      </c>
      <c r="E170" s="718"/>
      <c r="F170" s="718">
        <v>0</v>
      </c>
      <c r="G170" s="718">
        <v>0</v>
      </c>
      <c r="H170" s="718">
        <v>0</v>
      </c>
      <c r="I170" s="718">
        <v>0</v>
      </c>
      <c r="J170" s="718">
        <v>0</v>
      </c>
      <c r="K170" s="718">
        <v>0</v>
      </c>
      <c r="L170" s="718">
        <v>0</v>
      </c>
      <c r="M170" s="718">
        <v>0</v>
      </c>
      <c r="N170" s="718">
        <v>0</v>
      </c>
      <c r="O170" s="718" t="s">
        <v>251</v>
      </c>
      <c r="P170" s="1497">
        <f t="shared" si="17"/>
        <v>643500</v>
      </c>
      <c r="Q170" s="1405">
        <f t="shared" si="18"/>
        <v>643500</v>
      </c>
      <c r="R170" s="717"/>
      <c r="S170" s="718"/>
      <c r="T170" s="718"/>
      <c r="U170" s="718"/>
      <c r="V170" s="718"/>
      <c r="W170" s="718"/>
      <c r="X170" s="718"/>
      <c r="Y170" s="718"/>
      <c r="Z170" s="718"/>
      <c r="AA170" s="718"/>
      <c r="AB170" s="718"/>
      <c r="AC170" s="718"/>
      <c r="AD170" s="1405">
        <f t="shared" si="15"/>
        <v>0</v>
      </c>
      <c r="AE170" s="852">
        <f t="shared" si="16"/>
        <v>-1</v>
      </c>
      <c r="AF170" s="853">
        <f t="shared" si="19"/>
        <v>983</v>
      </c>
    </row>
    <row r="171" spans="1:32" x14ac:dyDescent="0.3">
      <c r="A171" s="287" t="s">
        <v>804</v>
      </c>
      <c r="B171" s="851" t="s">
        <v>1980</v>
      </c>
      <c r="C171" s="717"/>
      <c r="D171" s="718">
        <v>0</v>
      </c>
      <c r="E171" s="718"/>
      <c r="F171" s="718">
        <v>0</v>
      </c>
      <c r="G171" s="718">
        <v>0</v>
      </c>
      <c r="H171" s="718">
        <v>39200</v>
      </c>
      <c r="I171" s="718">
        <v>538750</v>
      </c>
      <c r="J171" s="718">
        <v>72000</v>
      </c>
      <c r="K171" s="718">
        <v>72000</v>
      </c>
      <c r="L171" s="718">
        <v>159400</v>
      </c>
      <c r="M171" s="718">
        <v>38500</v>
      </c>
      <c r="N171" s="718">
        <v>58100</v>
      </c>
      <c r="O171" s="718" t="s">
        <v>251</v>
      </c>
      <c r="P171" s="1497">
        <f t="shared" si="17"/>
        <v>649950</v>
      </c>
      <c r="Q171" s="1405">
        <f t="shared" si="18"/>
        <v>905950</v>
      </c>
      <c r="R171" s="717"/>
      <c r="S171" s="718"/>
      <c r="T171" s="718"/>
      <c r="U171" s="718"/>
      <c r="V171" s="718"/>
      <c r="W171" s="718">
        <v>517900</v>
      </c>
      <c r="X171" s="718">
        <v>185900</v>
      </c>
      <c r="Y171" s="718">
        <v>41850</v>
      </c>
      <c r="Z171" s="718"/>
      <c r="AA171" s="718"/>
      <c r="AB171" s="718"/>
      <c r="AC171" s="718"/>
      <c r="AD171" s="1405">
        <f t="shared" si="15"/>
        <v>745650</v>
      </c>
      <c r="AE171" s="852">
        <f t="shared" si="16"/>
        <v>0.14724209554581122</v>
      </c>
      <c r="AF171" s="853">
        <f t="shared" si="19"/>
        <v>366</v>
      </c>
    </row>
    <row r="172" spans="1:32" x14ac:dyDescent="0.3">
      <c r="A172" s="287" t="s">
        <v>804</v>
      </c>
      <c r="B172" s="851" t="s">
        <v>1981</v>
      </c>
      <c r="C172" s="717"/>
      <c r="D172" s="718">
        <v>0</v>
      </c>
      <c r="E172" s="718"/>
      <c r="F172" s="718">
        <v>0</v>
      </c>
      <c r="G172" s="718">
        <v>0</v>
      </c>
      <c r="H172" s="718">
        <v>0</v>
      </c>
      <c r="I172" s="718">
        <v>432700</v>
      </c>
      <c r="J172" s="718">
        <v>115000</v>
      </c>
      <c r="K172" s="718">
        <v>115000</v>
      </c>
      <c r="L172" s="718">
        <v>0</v>
      </c>
      <c r="M172" s="718">
        <v>0</v>
      </c>
      <c r="N172" s="718">
        <v>0</v>
      </c>
      <c r="O172" s="718" t="s">
        <v>251</v>
      </c>
      <c r="P172" s="1497">
        <f t="shared" si="17"/>
        <v>547700</v>
      </c>
      <c r="Q172" s="1405">
        <f t="shared" si="18"/>
        <v>547700</v>
      </c>
      <c r="R172" s="717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1405">
        <f t="shared" si="15"/>
        <v>0</v>
      </c>
      <c r="AE172" s="852">
        <f t="shared" si="16"/>
        <v>-1</v>
      </c>
      <c r="AF172" s="853">
        <f t="shared" si="19"/>
        <v>983</v>
      </c>
    </row>
    <row r="173" spans="1:32" x14ac:dyDescent="0.3">
      <c r="A173" s="287" t="s">
        <v>804</v>
      </c>
      <c r="B173" s="851" t="s">
        <v>1443</v>
      </c>
      <c r="C173" s="717">
        <v>0</v>
      </c>
      <c r="D173" s="718" t="s">
        <v>251</v>
      </c>
      <c r="E173" s="718">
        <v>0</v>
      </c>
      <c r="F173" s="718" t="s">
        <v>251</v>
      </c>
      <c r="G173" s="718" t="s">
        <v>251</v>
      </c>
      <c r="H173" s="718" t="s">
        <v>251</v>
      </c>
      <c r="I173" s="718" t="s">
        <v>251</v>
      </c>
      <c r="J173" s="718" t="s">
        <v>251</v>
      </c>
      <c r="K173" s="718"/>
      <c r="L173" s="718" t="s">
        <v>251</v>
      </c>
      <c r="M173" s="718" t="s">
        <v>251</v>
      </c>
      <c r="N173" s="718">
        <v>0</v>
      </c>
      <c r="O173" s="718" t="s">
        <v>251</v>
      </c>
      <c r="P173" s="1497">
        <f t="shared" si="17"/>
        <v>0</v>
      </c>
      <c r="Q173" s="1405">
        <f t="shared" si="18"/>
        <v>0</v>
      </c>
      <c r="R173" s="717"/>
      <c r="S173" s="718"/>
      <c r="T173" s="718"/>
      <c r="U173" s="718"/>
      <c r="V173" s="718"/>
      <c r="W173" s="718"/>
      <c r="X173" s="718"/>
      <c r="Y173" s="718"/>
      <c r="Z173" s="718"/>
      <c r="AA173" s="718"/>
      <c r="AB173" s="718"/>
      <c r="AC173" s="718"/>
      <c r="AD173" s="1405">
        <f t="shared" si="15"/>
        <v>0</v>
      </c>
      <c r="AE173" s="852">
        <f t="shared" si="16"/>
        <v>0</v>
      </c>
      <c r="AF173" s="853">
        <f t="shared" si="19"/>
        <v>983</v>
      </c>
    </row>
    <row r="174" spans="1:32" x14ac:dyDescent="0.3">
      <c r="A174" s="287" t="s">
        <v>804</v>
      </c>
      <c r="B174" s="851" t="s">
        <v>840</v>
      </c>
      <c r="C174" s="717">
        <v>0</v>
      </c>
      <c r="D174" s="718" t="s">
        <v>251</v>
      </c>
      <c r="E174" s="718">
        <v>0</v>
      </c>
      <c r="F174" s="718" t="s">
        <v>251</v>
      </c>
      <c r="G174" s="718" t="s">
        <v>251</v>
      </c>
      <c r="H174" s="718" t="s">
        <v>251</v>
      </c>
      <c r="I174" s="718" t="s">
        <v>251</v>
      </c>
      <c r="J174" s="718" t="s">
        <v>251</v>
      </c>
      <c r="K174" s="718"/>
      <c r="L174" s="718" t="s">
        <v>251</v>
      </c>
      <c r="M174" s="718" t="s">
        <v>251</v>
      </c>
      <c r="N174" s="718">
        <v>0</v>
      </c>
      <c r="O174" s="718" t="s">
        <v>251</v>
      </c>
      <c r="P174" s="1497">
        <f t="shared" si="17"/>
        <v>0</v>
      </c>
      <c r="Q174" s="1405">
        <f t="shared" si="18"/>
        <v>0</v>
      </c>
      <c r="R174" s="717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1405">
        <f t="shared" si="15"/>
        <v>0</v>
      </c>
      <c r="AE174" s="852">
        <f t="shared" si="16"/>
        <v>0</v>
      </c>
      <c r="AF174" s="853">
        <f t="shared" si="19"/>
        <v>983</v>
      </c>
    </row>
    <row r="175" spans="1:32" x14ac:dyDescent="0.3">
      <c r="A175" s="287" t="s">
        <v>804</v>
      </c>
      <c r="B175" s="851" t="s">
        <v>1982</v>
      </c>
      <c r="C175" s="717"/>
      <c r="D175" s="718" t="s">
        <v>251</v>
      </c>
      <c r="E175" s="718"/>
      <c r="F175" s="718" t="s">
        <v>251</v>
      </c>
      <c r="G175" s="718" t="s">
        <v>251</v>
      </c>
      <c r="H175" s="718" t="s">
        <v>251</v>
      </c>
      <c r="I175" s="718" t="s">
        <v>251</v>
      </c>
      <c r="J175" s="718" t="s">
        <v>251</v>
      </c>
      <c r="K175" s="718"/>
      <c r="L175" s="718" t="s">
        <v>251</v>
      </c>
      <c r="M175" s="718" t="s">
        <v>251</v>
      </c>
      <c r="N175" s="718" t="s">
        <v>251</v>
      </c>
      <c r="O175" s="718" t="s">
        <v>251</v>
      </c>
      <c r="P175" s="1497">
        <f t="shared" si="17"/>
        <v>0</v>
      </c>
      <c r="Q175" s="1405">
        <f t="shared" si="18"/>
        <v>0</v>
      </c>
      <c r="R175" s="717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1405">
        <f t="shared" si="15"/>
        <v>0</v>
      </c>
      <c r="AE175" s="852">
        <f t="shared" si="16"/>
        <v>0</v>
      </c>
      <c r="AF175" s="853">
        <f t="shared" si="19"/>
        <v>983</v>
      </c>
    </row>
    <row r="176" spans="1:32" x14ac:dyDescent="0.3">
      <c r="A176" s="287" t="s">
        <v>804</v>
      </c>
      <c r="B176" s="851" t="s">
        <v>1983</v>
      </c>
      <c r="C176" s="717"/>
      <c r="D176" s="718" t="s">
        <v>251</v>
      </c>
      <c r="E176" s="718"/>
      <c r="F176" s="718" t="s">
        <v>251</v>
      </c>
      <c r="G176" s="718" t="s">
        <v>251</v>
      </c>
      <c r="H176" s="718" t="s">
        <v>251</v>
      </c>
      <c r="I176" s="718" t="s">
        <v>251</v>
      </c>
      <c r="J176" s="718" t="s">
        <v>251</v>
      </c>
      <c r="K176" s="718"/>
      <c r="L176" s="718" t="s">
        <v>251</v>
      </c>
      <c r="M176" s="718" t="s">
        <v>251</v>
      </c>
      <c r="N176" s="718" t="s">
        <v>251</v>
      </c>
      <c r="O176" s="718" t="s">
        <v>251</v>
      </c>
      <c r="P176" s="1497">
        <f t="shared" si="17"/>
        <v>0</v>
      </c>
      <c r="Q176" s="1405">
        <f t="shared" si="18"/>
        <v>0</v>
      </c>
      <c r="R176" s="717"/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1405">
        <f t="shared" si="15"/>
        <v>0</v>
      </c>
      <c r="AE176" s="852">
        <f t="shared" si="16"/>
        <v>0</v>
      </c>
      <c r="AF176" s="853">
        <f t="shared" si="19"/>
        <v>983</v>
      </c>
    </row>
    <row r="177" spans="1:32" x14ac:dyDescent="0.3">
      <c r="A177" s="287" t="s">
        <v>804</v>
      </c>
      <c r="B177" s="851" t="s">
        <v>1984</v>
      </c>
      <c r="C177" s="717"/>
      <c r="D177" s="718" t="s">
        <v>251</v>
      </c>
      <c r="E177" s="718"/>
      <c r="F177" s="718" t="s">
        <v>251</v>
      </c>
      <c r="G177" s="718" t="s">
        <v>251</v>
      </c>
      <c r="H177" s="718" t="s">
        <v>251</v>
      </c>
      <c r="I177" s="718" t="s">
        <v>251</v>
      </c>
      <c r="J177" s="718" t="s">
        <v>251</v>
      </c>
      <c r="K177" s="718"/>
      <c r="L177" s="718" t="s">
        <v>251</v>
      </c>
      <c r="M177" s="718" t="s">
        <v>251</v>
      </c>
      <c r="N177" s="718" t="s">
        <v>251</v>
      </c>
      <c r="O177" s="718" t="s">
        <v>251</v>
      </c>
      <c r="P177" s="1497">
        <f t="shared" si="17"/>
        <v>0</v>
      </c>
      <c r="Q177" s="1405">
        <f t="shared" si="18"/>
        <v>0</v>
      </c>
      <c r="R177" s="717"/>
      <c r="S177" s="718"/>
      <c r="T177" s="718"/>
      <c r="U177" s="718"/>
      <c r="V177" s="718"/>
      <c r="W177" s="718"/>
      <c r="X177" s="718"/>
      <c r="Y177" s="718"/>
      <c r="Z177" s="718"/>
      <c r="AA177" s="718"/>
      <c r="AB177" s="718"/>
      <c r="AC177" s="718"/>
      <c r="AD177" s="1405">
        <f t="shared" si="15"/>
        <v>0</v>
      </c>
      <c r="AE177" s="852">
        <f t="shared" si="16"/>
        <v>0</v>
      </c>
      <c r="AF177" s="853">
        <f t="shared" si="19"/>
        <v>983</v>
      </c>
    </row>
    <row r="178" spans="1:32" x14ac:dyDescent="0.3">
      <c r="A178" s="287" t="s">
        <v>804</v>
      </c>
      <c r="B178" s="851" t="s">
        <v>1985</v>
      </c>
      <c r="C178" s="717"/>
      <c r="D178" s="718">
        <v>0</v>
      </c>
      <c r="E178" s="718"/>
      <c r="F178" s="718">
        <v>0</v>
      </c>
      <c r="G178" s="718">
        <v>0</v>
      </c>
      <c r="H178" s="718">
        <v>0</v>
      </c>
      <c r="I178" s="718">
        <v>0</v>
      </c>
      <c r="J178" s="718">
        <v>0</v>
      </c>
      <c r="K178" s="718"/>
      <c r="L178" s="718">
        <v>0</v>
      </c>
      <c r="M178" s="718">
        <v>0</v>
      </c>
      <c r="N178" s="718">
        <v>151900</v>
      </c>
      <c r="O178" s="718" t="s">
        <v>251</v>
      </c>
      <c r="P178" s="1497">
        <f t="shared" si="17"/>
        <v>0</v>
      </c>
      <c r="Q178" s="1405">
        <f t="shared" si="18"/>
        <v>151900</v>
      </c>
      <c r="R178" s="717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1405">
        <f t="shared" si="15"/>
        <v>0</v>
      </c>
      <c r="AE178" s="852">
        <f t="shared" si="16"/>
        <v>0</v>
      </c>
      <c r="AF178" s="853">
        <f t="shared" si="19"/>
        <v>983</v>
      </c>
    </row>
    <row r="179" spans="1:32" x14ac:dyDescent="0.3">
      <c r="A179" s="287" t="s">
        <v>804</v>
      </c>
      <c r="B179" s="851" t="s">
        <v>1986</v>
      </c>
      <c r="C179" s="717"/>
      <c r="D179" s="718" t="s">
        <v>251</v>
      </c>
      <c r="E179" s="718"/>
      <c r="F179" s="718" t="s">
        <v>251</v>
      </c>
      <c r="G179" s="718" t="s">
        <v>251</v>
      </c>
      <c r="H179" s="718" t="s">
        <v>251</v>
      </c>
      <c r="I179" s="718" t="s">
        <v>251</v>
      </c>
      <c r="J179" s="718" t="s">
        <v>251</v>
      </c>
      <c r="K179" s="718"/>
      <c r="L179" s="718" t="s">
        <v>251</v>
      </c>
      <c r="M179" s="718" t="s">
        <v>251</v>
      </c>
      <c r="N179" s="718" t="s">
        <v>251</v>
      </c>
      <c r="O179" s="718" t="s">
        <v>251</v>
      </c>
      <c r="P179" s="1497">
        <f t="shared" si="17"/>
        <v>0</v>
      </c>
      <c r="Q179" s="1405">
        <f t="shared" si="18"/>
        <v>0</v>
      </c>
      <c r="R179" s="717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1405">
        <f t="shared" si="15"/>
        <v>0</v>
      </c>
      <c r="AE179" s="852">
        <f t="shared" si="16"/>
        <v>0</v>
      </c>
      <c r="AF179" s="853">
        <f t="shared" si="19"/>
        <v>983</v>
      </c>
    </row>
    <row r="180" spans="1:32" x14ac:dyDescent="0.3">
      <c r="A180" s="287" t="s">
        <v>804</v>
      </c>
      <c r="B180" s="851" t="s">
        <v>1987</v>
      </c>
      <c r="C180" s="717"/>
      <c r="D180" s="718">
        <v>0</v>
      </c>
      <c r="E180" s="718"/>
      <c r="F180" s="718">
        <v>0</v>
      </c>
      <c r="G180" s="718">
        <v>0</v>
      </c>
      <c r="H180" s="718">
        <v>0</v>
      </c>
      <c r="I180" s="718">
        <v>0</v>
      </c>
      <c r="J180" s="718">
        <v>10950</v>
      </c>
      <c r="K180" s="718">
        <v>10950</v>
      </c>
      <c r="L180" s="718">
        <v>0</v>
      </c>
      <c r="M180" s="718">
        <v>0</v>
      </c>
      <c r="N180" s="718">
        <v>0</v>
      </c>
      <c r="O180" s="718" t="s">
        <v>251</v>
      </c>
      <c r="P180" s="1497">
        <f t="shared" si="17"/>
        <v>10950</v>
      </c>
      <c r="Q180" s="1405">
        <f t="shared" si="18"/>
        <v>10950</v>
      </c>
      <c r="R180" s="717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1405">
        <f t="shared" si="15"/>
        <v>0</v>
      </c>
      <c r="AE180" s="852">
        <f t="shared" si="16"/>
        <v>-1</v>
      </c>
      <c r="AF180" s="853">
        <f t="shared" si="19"/>
        <v>983</v>
      </c>
    </row>
    <row r="181" spans="1:32" x14ac:dyDescent="0.3">
      <c r="A181" s="287" t="s">
        <v>804</v>
      </c>
      <c r="B181" s="851" t="s">
        <v>1988</v>
      </c>
      <c r="C181" s="717"/>
      <c r="D181" s="718" t="s">
        <v>251</v>
      </c>
      <c r="E181" s="718"/>
      <c r="F181" s="718" t="s">
        <v>251</v>
      </c>
      <c r="G181" s="718" t="s">
        <v>251</v>
      </c>
      <c r="H181" s="718" t="s">
        <v>251</v>
      </c>
      <c r="I181" s="718" t="s">
        <v>251</v>
      </c>
      <c r="J181" s="718" t="s">
        <v>251</v>
      </c>
      <c r="K181" s="718"/>
      <c r="L181" s="718" t="s">
        <v>251</v>
      </c>
      <c r="M181" s="718" t="s">
        <v>251</v>
      </c>
      <c r="N181" s="718" t="s">
        <v>251</v>
      </c>
      <c r="O181" s="718" t="s">
        <v>251</v>
      </c>
      <c r="P181" s="1497">
        <f t="shared" si="17"/>
        <v>0</v>
      </c>
      <c r="Q181" s="1405">
        <f t="shared" si="18"/>
        <v>0</v>
      </c>
      <c r="R181" s="717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1405">
        <f t="shared" si="15"/>
        <v>0</v>
      </c>
      <c r="AE181" s="852">
        <f t="shared" si="16"/>
        <v>0</v>
      </c>
      <c r="AF181" s="853">
        <f t="shared" si="19"/>
        <v>983</v>
      </c>
    </row>
    <row r="182" spans="1:32" x14ac:dyDescent="0.3">
      <c r="A182" s="287" t="s">
        <v>804</v>
      </c>
      <c r="B182" s="851" t="s">
        <v>1350</v>
      </c>
      <c r="C182" s="717"/>
      <c r="D182" s="718">
        <v>0</v>
      </c>
      <c r="E182" s="718"/>
      <c r="F182" s="718">
        <v>0</v>
      </c>
      <c r="G182" s="718">
        <v>0</v>
      </c>
      <c r="H182" s="718">
        <v>312700</v>
      </c>
      <c r="I182" s="718">
        <v>0</v>
      </c>
      <c r="J182" s="718">
        <v>0</v>
      </c>
      <c r="K182" s="718">
        <v>0</v>
      </c>
      <c r="L182" s="718">
        <v>0</v>
      </c>
      <c r="M182" s="718">
        <v>0</v>
      </c>
      <c r="N182" s="718">
        <v>0</v>
      </c>
      <c r="O182" s="718">
        <v>80850</v>
      </c>
      <c r="P182" s="1497">
        <f t="shared" si="17"/>
        <v>312700</v>
      </c>
      <c r="Q182" s="1405">
        <f t="shared" si="18"/>
        <v>393550</v>
      </c>
      <c r="R182" s="717"/>
      <c r="S182" s="718"/>
      <c r="T182" s="718"/>
      <c r="U182" s="718"/>
      <c r="V182" s="718"/>
      <c r="W182" s="718"/>
      <c r="X182" s="718">
        <v>63350</v>
      </c>
      <c r="Y182" s="718">
        <v>126700</v>
      </c>
      <c r="Z182" s="718"/>
      <c r="AA182" s="718"/>
      <c r="AB182" s="718"/>
      <c r="AC182" s="718"/>
      <c r="AD182" s="1405">
        <f t="shared" si="15"/>
        <v>190050</v>
      </c>
      <c r="AE182" s="852">
        <f t="shared" si="16"/>
        <v>-0.39222897345698754</v>
      </c>
      <c r="AF182" s="853">
        <f t="shared" si="19"/>
        <v>621</v>
      </c>
    </row>
    <row r="183" spans="1:32" x14ac:dyDescent="0.3">
      <c r="A183" s="287" t="s">
        <v>804</v>
      </c>
      <c r="B183" s="851" t="s">
        <v>1989</v>
      </c>
      <c r="C183" s="717"/>
      <c r="D183" s="718">
        <v>0</v>
      </c>
      <c r="E183" s="718"/>
      <c r="F183" s="718">
        <v>0</v>
      </c>
      <c r="G183" s="718">
        <v>0</v>
      </c>
      <c r="H183" s="718">
        <v>0</v>
      </c>
      <c r="I183" s="718">
        <v>0</v>
      </c>
      <c r="J183" s="718">
        <v>117200</v>
      </c>
      <c r="K183" s="718">
        <v>101700</v>
      </c>
      <c r="L183" s="718">
        <v>2067800</v>
      </c>
      <c r="M183" s="718">
        <v>232200</v>
      </c>
      <c r="N183" s="718">
        <v>14900</v>
      </c>
      <c r="O183" s="718" t="s">
        <v>251</v>
      </c>
      <c r="P183" s="1497">
        <f t="shared" si="17"/>
        <v>101700</v>
      </c>
      <c r="Q183" s="1405">
        <f t="shared" si="18"/>
        <v>2432100</v>
      </c>
      <c r="R183" s="717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1405">
        <f t="shared" si="15"/>
        <v>0</v>
      </c>
      <c r="AE183" s="852">
        <f t="shared" si="16"/>
        <v>-1</v>
      </c>
      <c r="AF183" s="853">
        <f t="shared" si="19"/>
        <v>983</v>
      </c>
    </row>
    <row r="184" spans="1:32" x14ac:dyDescent="0.3">
      <c r="A184" s="287" t="s">
        <v>804</v>
      </c>
      <c r="B184" s="851" t="s">
        <v>1422</v>
      </c>
      <c r="C184" s="717">
        <v>0</v>
      </c>
      <c r="D184" s="718" t="s">
        <v>251</v>
      </c>
      <c r="E184" s="718">
        <v>0</v>
      </c>
      <c r="F184" s="718" t="s">
        <v>251</v>
      </c>
      <c r="G184" s="718" t="s">
        <v>251</v>
      </c>
      <c r="H184" s="718" t="s">
        <v>251</v>
      </c>
      <c r="I184" s="718" t="s">
        <v>251</v>
      </c>
      <c r="J184" s="718" t="s">
        <v>251</v>
      </c>
      <c r="K184" s="718"/>
      <c r="L184" s="718" t="s">
        <v>251</v>
      </c>
      <c r="M184" s="718" t="s">
        <v>251</v>
      </c>
      <c r="N184" s="718">
        <v>0</v>
      </c>
      <c r="O184" s="718" t="s">
        <v>251</v>
      </c>
      <c r="P184" s="1497">
        <f t="shared" si="17"/>
        <v>0</v>
      </c>
      <c r="Q184" s="1405">
        <f t="shared" si="18"/>
        <v>0</v>
      </c>
      <c r="R184" s="717"/>
      <c r="S184" s="718"/>
      <c r="T184" s="718"/>
      <c r="U184" s="718"/>
      <c r="V184" s="718"/>
      <c r="W184" s="718"/>
      <c r="X184" s="718"/>
      <c r="Y184" s="718"/>
      <c r="Z184" s="718"/>
      <c r="AA184" s="718"/>
      <c r="AB184" s="718"/>
      <c r="AC184" s="718"/>
      <c r="AD184" s="1405">
        <f t="shared" si="15"/>
        <v>0</v>
      </c>
      <c r="AE184" s="852">
        <f t="shared" si="16"/>
        <v>0</v>
      </c>
      <c r="AF184" s="853">
        <f t="shared" si="19"/>
        <v>983</v>
      </c>
    </row>
    <row r="185" spans="1:32" x14ac:dyDescent="0.3">
      <c r="A185" s="287" t="s">
        <v>804</v>
      </c>
      <c r="B185" s="851" t="s">
        <v>1990</v>
      </c>
      <c r="C185" s="717"/>
      <c r="D185" s="718" t="s">
        <v>251</v>
      </c>
      <c r="E185" s="718"/>
      <c r="F185" s="718" t="s">
        <v>251</v>
      </c>
      <c r="G185" s="718" t="s">
        <v>251</v>
      </c>
      <c r="H185" s="718" t="s">
        <v>251</v>
      </c>
      <c r="I185" s="718" t="s">
        <v>251</v>
      </c>
      <c r="J185" s="718" t="s">
        <v>251</v>
      </c>
      <c r="K185" s="718"/>
      <c r="L185" s="718" t="s">
        <v>251</v>
      </c>
      <c r="M185" s="718" t="s">
        <v>251</v>
      </c>
      <c r="N185" s="718" t="s">
        <v>251</v>
      </c>
      <c r="O185" s="718" t="s">
        <v>251</v>
      </c>
      <c r="P185" s="1497">
        <f t="shared" si="17"/>
        <v>0</v>
      </c>
      <c r="Q185" s="1405">
        <f t="shared" si="18"/>
        <v>0</v>
      </c>
      <c r="R185" s="717">
        <v>326350</v>
      </c>
      <c r="S185" s="718"/>
      <c r="T185" s="718">
        <v>0</v>
      </c>
      <c r="U185" s="718">
        <v>0</v>
      </c>
      <c r="V185" s="718">
        <v>1093070</v>
      </c>
      <c r="W185" s="718">
        <v>0</v>
      </c>
      <c r="X185" s="718">
        <v>524650</v>
      </c>
      <c r="Y185" s="718">
        <v>0</v>
      </c>
      <c r="Z185" s="718"/>
      <c r="AA185" s="718"/>
      <c r="AB185" s="718"/>
      <c r="AC185" s="718"/>
      <c r="AD185" s="1405">
        <f t="shared" si="15"/>
        <v>1944070</v>
      </c>
      <c r="AE185" s="852">
        <f t="shared" si="16"/>
        <v>1</v>
      </c>
      <c r="AF185" s="853">
        <f t="shared" si="19"/>
        <v>215</v>
      </c>
    </row>
    <row r="186" spans="1:32" x14ac:dyDescent="0.3">
      <c r="A186" s="287" t="s">
        <v>804</v>
      </c>
      <c r="B186" s="851" t="s">
        <v>1991</v>
      </c>
      <c r="C186" s="717"/>
      <c r="D186" s="718">
        <v>0</v>
      </c>
      <c r="E186" s="718"/>
      <c r="F186" s="718">
        <v>0</v>
      </c>
      <c r="G186" s="718">
        <v>0</v>
      </c>
      <c r="H186" s="718">
        <v>0</v>
      </c>
      <c r="I186" s="718">
        <v>0</v>
      </c>
      <c r="J186" s="718">
        <v>283050</v>
      </c>
      <c r="K186" s="718">
        <v>283050</v>
      </c>
      <c r="L186" s="718">
        <v>237500</v>
      </c>
      <c r="M186" s="718">
        <v>0</v>
      </c>
      <c r="N186" s="718">
        <v>0</v>
      </c>
      <c r="O186" s="718" t="s">
        <v>251</v>
      </c>
      <c r="P186" s="1497">
        <f t="shared" si="17"/>
        <v>283050</v>
      </c>
      <c r="Q186" s="1405">
        <f t="shared" si="18"/>
        <v>520550</v>
      </c>
      <c r="R186" s="717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1405">
        <f t="shared" si="15"/>
        <v>0</v>
      </c>
      <c r="AE186" s="852">
        <f t="shared" si="16"/>
        <v>-1</v>
      </c>
      <c r="AF186" s="853">
        <f t="shared" si="19"/>
        <v>983</v>
      </c>
    </row>
    <row r="187" spans="1:32" x14ac:dyDescent="0.3">
      <c r="A187" s="287" t="s">
        <v>804</v>
      </c>
      <c r="B187" s="851" t="s">
        <v>1992</v>
      </c>
      <c r="C187" s="717"/>
      <c r="D187" s="718" t="s">
        <v>251</v>
      </c>
      <c r="E187" s="718"/>
      <c r="F187" s="718" t="s">
        <v>251</v>
      </c>
      <c r="G187" s="718" t="s">
        <v>251</v>
      </c>
      <c r="H187" s="718" t="s">
        <v>251</v>
      </c>
      <c r="I187" s="718" t="s">
        <v>251</v>
      </c>
      <c r="J187" s="718" t="s">
        <v>251</v>
      </c>
      <c r="K187" s="718"/>
      <c r="L187" s="718" t="s">
        <v>251</v>
      </c>
      <c r="M187" s="718" t="s">
        <v>251</v>
      </c>
      <c r="N187" s="718" t="s">
        <v>251</v>
      </c>
      <c r="O187" s="718" t="s">
        <v>251</v>
      </c>
      <c r="P187" s="1497">
        <f t="shared" si="17"/>
        <v>0</v>
      </c>
      <c r="Q187" s="1405">
        <f t="shared" si="18"/>
        <v>0</v>
      </c>
      <c r="R187" s="717"/>
      <c r="S187" s="718"/>
      <c r="T187" s="718"/>
      <c r="U187" s="718"/>
      <c r="V187" s="718"/>
      <c r="W187" s="718"/>
      <c r="X187" s="718"/>
      <c r="Y187" s="718"/>
      <c r="Z187" s="718"/>
      <c r="AA187" s="718"/>
      <c r="AB187" s="718"/>
      <c r="AC187" s="718"/>
      <c r="AD187" s="1405">
        <f t="shared" si="15"/>
        <v>0</v>
      </c>
      <c r="AE187" s="852">
        <f t="shared" si="16"/>
        <v>0</v>
      </c>
      <c r="AF187" s="853">
        <f t="shared" si="19"/>
        <v>983</v>
      </c>
    </row>
    <row r="188" spans="1:32" x14ac:dyDescent="0.3">
      <c r="A188" s="287" t="s">
        <v>804</v>
      </c>
      <c r="B188" s="851" t="s">
        <v>1993</v>
      </c>
      <c r="C188" s="717"/>
      <c r="D188" s="718">
        <v>0</v>
      </c>
      <c r="E188" s="718"/>
      <c r="F188" s="718">
        <v>0</v>
      </c>
      <c r="G188" s="718">
        <v>0</v>
      </c>
      <c r="H188" s="718">
        <v>2186600</v>
      </c>
      <c r="I188" s="718">
        <v>709600</v>
      </c>
      <c r="J188" s="718">
        <v>194400</v>
      </c>
      <c r="K188" s="718">
        <v>194400</v>
      </c>
      <c r="L188" s="718">
        <v>996700</v>
      </c>
      <c r="M188" s="718">
        <v>178400</v>
      </c>
      <c r="N188" s="718">
        <v>0</v>
      </c>
      <c r="O188" s="718">
        <v>1186950</v>
      </c>
      <c r="P188" s="1497">
        <f t="shared" si="17"/>
        <v>3090600</v>
      </c>
      <c r="Q188" s="1405">
        <f t="shared" si="18"/>
        <v>5452650</v>
      </c>
      <c r="R188" s="717">
        <v>333100</v>
      </c>
      <c r="S188" s="718"/>
      <c r="T188" s="718">
        <v>159500</v>
      </c>
      <c r="U188" s="718">
        <v>0</v>
      </c>
      <c r="V188" s="718">
        <v>159500</v>
      </c>
      <c r="W188" s="718">
        <v>163000</v>
      </c>
      <c r="X188" s="718">
        <v>197000</v>
      </c>
      <c r="Y188" s="718">
        <v>83600</v>
      </c>
      <c r="Z188" s="718"/>
      <c r="AA188" s="718"/>
      <c r="AB188" s="718"/>
      <c r="AC188" s="718"/>
      <c r="AD188" s="1405">
        <f t="shared" si="15"/>
        <v>1095700</v>
      </c>
      <c r="AE188" s="852">
        <f t="shared" si="16"/>
        <v>-0.64547337086649836</v>
      </c>
      <c r="AF188" s="853">
        <f t="shared" si="19"/>
        <v>304</v>
      </c>
    </row>
    <row r="189" spans="1:32" x14ac:dyDescent="0.3">
      <c r="A189" s="287" t="s">
        <v>804</v>
      </c>
      <c r="B189" s="851" t="s">
        <v>1362</v>
      </c>
      <c r="C189" s="717"/>
      <c r="D189" s="718">
        <v>0</v>
      </c>
      <c r="E189" s="718"/>
      <c r="F189" s="718">
        <v>0</v>
      </c>
      <c r="G189" s="718">
        <v>0</v>
      </c>
      <c r="H189" s="718">
        <v>59000</v>
      </c>
      <c r="I189" s="718">
        <v>0</v>
      </c>
      <c r="J189" s="718">
        <v>223000</v>
      </c>
      <c r="K189" s="718">
        <v>223000</v>
      </c>
      <c r="L189" s="718">
        <v>0</v>
      </c>
      <c r="M189" s="718">
        <v>0</v>
      </c>
      <c r="N189" s="718">
        <v>0</v>
      </c>
      <c r="O189" s="718" t="s">
        <v>251</v>
      </c>
      <c r="P189" s="1497">
        <f t="shared" si="17"/>
        <v>282000</v>
      </c>
      <c r="Q189" s="1405">
        <f t="shared" si="18"/>
        <v>282000</v>
      </c>
      <c r="R189" s="717"/>
      <c r="S189" s="718"/>
      <c r="T189" s="718"/>
      <c r="U189" s="718"/>
      <c r="V189" s="718"/>
      <c r="W189" s="718"/>
      <c r="X189" s="718"/>
      <c r="Y189" s="718"/>
      <c r="Z189" s="718"/>
      <c r="AA189" s="718"/>
      <c r="AB189" s="718"/>
      <c r="AC189" s="718"/>
      <c r="AD189" s="1405">
        <f t="shared" si="15"/>
        <v>0</v>
      </c>
      <c r="AE189" s="852">
        <f t="shared" si="16"/>
        <v>-1</v>
      </c>
      <c r="AF189" s="853">
        <f t="shared" si="19"/>
        <v>983</v>
      </c>
    </row>
    <row r="190" spans="1:32" x14ac:dyDescent="0.3">
      <c r="A190" s="287" t="s">
        <v>804</v>
      </c>
      <c r="B190" s="851" t="s">
        <v>1994</v>
      </c>
      <c r="C190" s="717"/>
      <c r="D190" s="718">
        <v>0</v>
      </c>
      <c r="E190" s="718"/>
      <c r="F190" s="718">
        <v>0</v>
      </c>
      <c r="G190" s="718">
        <v>0</v>
      </c>
      <c r="H190" s="718">
        <v>505400</v>
      </c>
      <c r="I190" s="718">
        <v>18400</v>
      </c>
      <c r="J190" s="718">
        <v>0</v>
      </c>
      <c r="K190" s="718">
        <v>0</v>
      </c>
      <c r="L190" s="718">
        <v>0</v>
      </c>
      <c r="M190" s="718">
        <v>0</v>
      </c>
      <c r="N190" s="718">
        <v>0</v>
      </c>
      <c r="O190" s="718" t="s">
        <v>251</v>
      </c>
      <c r="P190" s="1497">
        <f t="shared" si="17"/>
        <v>523800</v>
      </c>
      <c r="Q190" s="1405">
        <f t="shared" si="18"/>
        <v>523800</v>
      </c>
      <c r="R190" s="717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1405">
        <f t="shared" si="15"/>
        <v>0</v>
      </c>
      <c r="AE190" s="852">
        <f t="shared" si="16"/>
        <v>-1</v>
      </c>
      <c r="AF190" s="853">
        <f t="shared" si="19"/>
        <v>983</v>
      </c>
    </row>
    <row r="191" spans="1:32" x14ac:dyDescent="0.3">
      <c r="A191" s="287" t="s">
        <v>804</v>
      </c>
      <c r="B191" s="851" t="s">
        <v>1995</v>
      </c>
      <c r="C191" s="717"/>
      <c r="D191" s="718">
        <v>0</v>
      </c>
      <c r="E191" s="718"/>
      <c r="F191" s="718">
        <v>0</v>
      </c>
      <c r="G191" s="718">
        <v>0</v>
      </c>
      <c r="H191" s="718">
        <v>123100</v>
      </c>
      <c r="I191" s="718">
        <v>0</v>
      </c>
      <c r="J191" s="718">
        <v>0</v>
      </c>
      <c r="K191" s="718">
        <v>0</v>
      </c>
      <c r="L191" s="718">
        <v>0</v>
      </c>
      <c r="M191" s="718">
        <v>387800</v>
      </c>
      <c r="N191" s="718">
        <v>244000</v>
      </c>
      <c r="O191" s="718" t="s">
        <v>251</v>
      </c>
      <c r="P191" s="1497">
        <f t="shared" si="17"/>
        <v>123100</v>
      </c>
      <c r="Q191" s="1405">
        <f t="shared" si="18"/>
        <v>754900</v>
      </c>
      <c r="R191" s="717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1405">
        <f t="shared" si="15"/>
        <v>0</v>
      </c>
      <c r="AE191" s="852">
        <f t="shared" si="16"/>
        <v>-1</v>
      </c>
      <c r="AF191" s="853">
        <f t="shared" si="19"/>
        <v>983</v>
      </c>
    </row>
    <row r="192" spans="1:32" x14ac:dyDescent="0.3">
      <c r="A192" s="287" t="s">
        <v>804</v>
      </c>
      <c r="B192" s="851" t="s">
        <v>1996</v>
      </c>
      <c r="C192" s="717"/>
      <c r="D192" s="718">
        <v>0</v>
      </c>
      <c r="E192" s="718"/>
      <c r="F192" s="718">
        <v>0</v>
      </c>
      <c r="G192" s="718">
        <v>0</v>
      </c>
      <c r="H192" s="718">
        <v>388550</v>
      </c>
      <c r="I192" s="718">
        <v>0</v>
      </c>
      <c r="J192" s="718">
        <v>0</v>
      </c>
      <c r="K192" s="718">
        <v>0</v>
      </c>
      <c r="L192" s="718">
        <v>0</v>
      </c>
      <c r="M192" s="718">
        <v>0</v>
      </c>
      <c r="N192" s="718">
        <v>0</v>
      </c>
      <c r="O192" s="718" t="s">
        <v>251</v>
      </c>
      <c r="P192" s="1497">
        <f t="shared" si="17"/>
        <v>388550</v>
      </c>
      <c r="Q192" s="1405">
        <f t="shared" si="18"/>
        <v>388550</v>
      </c>
      <c r="R192" s="717">
        <v>1012350</v>
      </c>
      <c r="S192" s="718"/>
      <c r="T192" s="718">
        <v>356700</v>
      </c>
      <c r="U192" s="718">
        <v>0</v>
      </c>
      <c r="V192" s="718">
        <v>0</v>
      </c>
      <c r="W192" s="718">
        <v>2020000</v>
      </c>
      <c r="X192" s="718">
        <v>1368000</v>
      </c>
      <c r="Y192" s="718">
        <v>1008400</v>
      </c>
      <c r="Z192" s="718"/>
      <c r="AA192" s="718"/>
      <c r="AB192" s="718"/>
      <c r="AC192" s="718"/>
      <c r="AD192" s="1405">
        <f t="shared" si="15"/>
        <v>5765450</v>
      </c>
      <c r="AE192" s="852">
        <f t="shared" si="16"/>
        <v>13.838373439711749</v>
      </c>
      <c r="AF192" s="853">
        <f t="shared" si="19"/>
        <v>72</v>
      </c>
    </row>
    <row r="193" spans="1:32" x14ac:dyDescent="0.3">
      <c r="A193" s="287" t="s">
        <v>804</v>
      </c>
      <c r="B193" s="851" t="s">
        <v>1997</v>
      </c>
      <c r="C193" s="717"/>
      <c r="D193" s="718">
        <v>0</v>
      </c>
      <c r="E193" s="718"/>
      <c r="F193" s="718">
        <v>0</v>
      </c>
      <c r="G193" s="718">
        <v>0</v>
      </c>
      <c r="H193" s="718">
        <v>314000</v>
      </c>
      <c r="I193" s="718">
        <v>0</v>
      </c>
      <c r="J193" s="718">
        <v>0</v>
      </c>
      <c r="K193" s="718">
        <v>0</v>
      </c>
      <c r="L193" s="718">
        <v>0</v>
      </c>
      <c r="M193" s="718">
        <v>0</v>
      </c>
      <c r="N193" s="718">
        <v>0</v>
      </c>
      <c r="O193" s="718" t="s">
        <v>251</v>
      </c>
      <c r="P193" s="1497">
        <f t="shared" si="17"/>
        <v>314000</v>
      </c>
      <c r="Q193" s="1405">
        <f t="shared" si="18"/>
        <v>314000</v>
      </c>
      <c r="R193" s="717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1405">
        <f t="shared" si="15"/>
        <v>0</v>
      </c>
      <c r="AE193" s="852">
        <f t="shared" si="16"/>
        <v>-1</v>
      </c>
      <c r="AF193" s="853">
        <f t="shared" si="19"/>
        <v>983</v>
      </c>
    </row>
    <row r="194" spans="1:32" x14ac:dyDescent="0.3">
      <c r="A194" s="287" t="s">
        <v>804</v>
      </c>
      <c r="B194" s="851" t="s">
        <v>1998</v>
      </c>
      <c r="C194" s="717"/>
      <c r="D194" s="718">
        <v>0</v>
      </c>
      <c r="E194" s="718"/>
      <c r="F194" s="718">
        <v>0</v>
      </c>
      <c r="G194" s="718">
        <v>0</v>
      </c>
      <c r="H194" s="718">
        <v>77820</v>
      </c>
      <c r="I194" s="718">
        <v>0</v>
      </c>
      <c r="J194" s="718">
        <v>0</v>
      </c>
      <c r="K194" s="718">
        <v>0</v>
      </c>
      <c r="L194" s="718">
        <v>0</v>
      </c>
      <c r="M194" s="718">
        <v>0</v>
      </c>
      <c r="N194" s="718">
        <v>0</v>
      </c>
      <c r="O194" s="718" t="s">
        <v>251</v>
      </c>
      <c r="P194" s="1497">
        <f t="shared" si="17"/>
        <v>77820</v>
      </c>
      <c r="Q194" s="1405">
        <f t="shared" si="18"/>
        <v>77820</v>
      </c>
      <c r="R194" s="717"/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1405">
        <f t="shared" ref="AD194:AD257" si="20">SUM(R194:AC194)</f>
        <v>0</v>
      </c>
      <c r="AE194" s="852">
        <f t="shared" ref="AE194:AE257" si="21">IF(OR(AD194="", P194=""), 0, IFERROR((AD194-P194)/P194, IF(AD194&lt;&gt;0, 1, 0)))</f>
        <v>-1</v>
      </c>
      <c r="AF194" s="853">
        <f t="shared" si="19"/>
        <v>983</v>
      </c>
    </row>
    <row r="195" spans="1:32" x14ac:dyDescent="0.3">
      <c r="A195" s="287" t="s">
        <v>804</v>
      </c>
      <c r="B195" s="851" t="s">
        <v>1999</v>
      </c>
      <c r="C195" s="717"/>
      <c r="D195" s="718">
        <v>0</v>
      </c>
      <c r="E195" s="718"/>
      <c r="F195" s="718">
        <v>0</v>
      </c>
      <c r="G195" s="718">
        <v>0</v>
      </c>
      <c r="H195" s="718">
        <v>19700</v>
      </c>
      <c r="I195" s="718">
        <v>0</v>
      </c>
      <c r="J195" s="718">
        <v>0</v>
      </c>
      <c r="K195" s="718">
        <v>0</v>
      </c>
      <c r="L195" s="718">
        <v>0</v>
      </c>
      <c r="M195" s="718">
        <v>0</v>
      </c>
      <c r="N195" s="718">
        <v>0</v>
      </c>
      <c r="O195" s="718" t="s">
        <v>251</v>
      </c>
      <c r="P195" s="1497">
        <f t="shared" ref="P195:P258" si="22">SUM(C195:I195,K195)</f>
        <v>19700</v>
      </c>
      <c r="Q195" s="1405">
        <f t="shared" ref="Q195:Q258" si="23">SUM(C195:J195,L195:O195)</f>
        <v>19700</v>
      </c>
      <c r="R195" s="717"/>
      <c r="S195" s="718"/>
      <c r="T195" s="718"/>
      <c r="U195" s="718"/>
      <c r="V195" s="718"/>
      <c r="W195" s="718"/>
      <c r="X195" s="718"/>
      <c r="Y195" s="718"/>
      <c r="Z195" s="718"/>
      <c r="AA195" s="718"/>
      <c r="AB195" s="718"/>
      <c r="AC195" s="718"/>
      <c r="AD195" s="1405">
        <f t="shared" si="20"/>
        <v>0</v>
      </c>
      <c r="AE195" s="852">
        <f t="shared" si="21"/>
        <v>-1</v>
      </c>
      <c r="AF195" s="853">
        <f t="shared" ref="AF195:AF258" si="24">IFERROR(_xlfn.RANK.EQ(AD195, $AD$2:$AD$2064), "")</f>
        <v>983</v>
      </c>
    </row>
    <row r="196" spans="1:32" x14ac:dyDescent="0.3">
      <c r="A196" s="287" t="s">
        <v>804</v>
      </c>
      <c r="B196" s="851" t="s">
        <v>1441</v>
      </c>
      <c r="C196" s="717">
        <v>0</v>
      </c>
      <c r="D196" s="718">
        <v>0</v>
      </c>
      <c r="E196" s="718">
        <v>0</v>
      </c>
      <c r="F196" s="718">
        <v>0</v>
      </c>
      <c r="G196" s="718">
        <v>0</v>
      </c>
      <c r="H196" s="718">
        <v>0</v>
      </c>
      <c r="I196" s="718">
        <v>1807200</v>
      </c>
      <c r="J196" s="718">
        <v>0</v>
      </c>
      <c r="K196" s="718">
        <v>0</v>
      </c>
      <c r="L196" s="718">
        <v>0</v>
      </c>
      <c r="M196" s="718">
        <v>0</v>
      </c>
      <c r="N196" s="718">
        <v>0</v>
      </c>
      <c r="O196" s="718" t="s">
        <v>251</v>
      </c>
      <c r="P196" s="1497">
        <f t="shared" si="22"/>
        <v>1807200</v>
      </c>
      <c r="Q196" s="1405">
        <f t="shared" si="23"/>
        <v>1807200</v>
      </c>
      <c r="R196" s="717"/>
      <c r="S196" s="718"/>
      <c r="T196" s="718"/>
      <c r="U196" s="718"/>
      <c r="V196" s="718"/>
      <c r="W196" s="718"/>
      <c r="X196" s="718"/>
      <c r="Y196" s="718">
        <v>1305550</v>
      </c>
      <c r="Z196" s="718"/>
      <c r="AA196" s="718"/>
      <c r="AB196" s="718"/>
      <c r="AC196" s="718"/>
      <c r="AD196" s="1405">
        <f t="shared" si="20"/>
        <v>1305550</v>
      </c>
      <c r="AE196" s="852">
        <f t="shared" si="21"/>
        <v>-0.27758410801239486</v>
      </c>
      <c r="AF196" s="853">
        <f t="shared" si="24"/>
        <v>267</v>
      </c>
    </row>
    <row r="197" spans="1:32" x14ac:dyDescent="0.3">
      <c r="A197" s="287" t="s">
        <v>804</v>
      </c>
      <c r="B197" s="851" t="s">
        <v>2000</v>
      </c>
      <c r="C197" s="717"/>
      <c r="D197" s="718">
        <v>0</v>
      </c>
      <c r="E197" s="718"/>
      <c r="F197" s="718">
        <v>0</v>
      </c>
      <c r="G197" s="718">
        <v>0</v>
      </c>
      <c r="H197" s="718">
        <v>0</v>
      </c>
      <c r="I197" s="718">
        <v>487000</v>
      </c>
      <c r="J197" s="718">
        <v>399400</v>
      </c>
      <c r="K197" s="718">
        <v>0</v>
      </c>
      <c r="L197" s="718">
        <v>6400</v>
      </c>
      <c r="M197" s="718">
        <v>0</v>
      </c>
      <c r="N197" s="718">
        <v>1302850</v>
      </c>
      <c r="O197" s="718">
        <v>6400</v>
      </c>
      <c r="P197" s="1497">
        <f t="shared" si="22"/>
        <v>487000</v>
      </c>
      <c r="Q197" s="1405">
        <f t="shared" si="23"/>
        <v>2202050</v>
      </c>
      <c r="R197" s="717">
        <v>5511250</v>
      </c>
      <c r="S197" s="718"/>
      <c r="T197" s="718">
        <v>6400</v>
      </c>
      <c r="U197" s="718">
        <v>950250</v>
      </c>
      <c r="V197" s="718">
        <v>6400</v>
      </c>
      <c r="W197" s="718">
        <v>0</v>
      </c>
      <c r="X197" s="718">
        <v>0</v>
      </c>
      <c r="Y197" s="718">
        <v>0</v>
      </c>
      <c r="Z197" s="718"/>
      <c r="AA197" s="718"/>
      <c r="AB197" s="718"/>
      <c r="AC197" s="718"/>
      <c r="AD197" s="1405">
        <f t="shared" si="20"/>
        <v>6474300</v>
      </c>
      <c r="AE197" s="852">
        <f t="shared" si="21"/>
        <v>12.294250513347023</v>
      </c>
      <c r="AF197" s="853">
        <f t="shared" si="24"/>
        <v>63</v>
      </c>
    </row>
    <row r="198" spans="1:32" x14ac:dyDescent="0.3">
      <c r="A198" s="287" t="s">
        <v>804</v>
      </c>
      <c r="B198" s="851" t="s">
        <v>2001</v>
      </c>
      <c r="C198" s="717"/>
      <c r="D198" s="718">
        <v>0</v>
      </c>
      <c r="E198" s="718"/>
      <c r="F198" s="718">
        <v>0</v>
      </c>
      <c r="G198" s="718">
        <v>0</v>
      </c>
      <c r="H198" s="718">
        <v>0</v>
      </c>
      <c r="I198" s="718">
        <v>105000</v>
      </c>
      <c r="J198" s="718">
        <v>0</v>
      </c>
      <c r="K198" s="718">
        <v>0</v>
      </c>
      <c r="L198" s="718">
        <v>0</v>
      </c>
      <c r="M198" s="718">
        <v>0</v>
      </c>
      <c r="N198" s="718">
        <v>0</v>
      </c>
      <c r="O198" s="718" t="s">
        <v>251</v>
      </c>
      <c r="P198" s="1497">
        <f t="shared" si="22"/>
        <v>105000</v>
      </c>
      <c r="Q198" s="1405">
        <f t="shared" si="23"/>
        <v>105000</v>
      </c>
      <c r="R198" s="717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1405">
        <f t="shared" si="20"/>
        <v>0</v>
      </c>
      <c r="AE198" s="852">
        <f t="shared" si="21"/>
        <v>-1</v>
      </c>
      <c r="AF198" s="853">
        <f t="shared" si="24"/>
        <v>983</v>
      </c>
    </row>
    <row r="199" spans="1:32" x14ac:dyDescent="0.3">
      <c r="A199" s="287" t="s">
        <v>804</v>
      </c>
      <c r="B199" s="851" t="s">
        <v>2002</v>
      </c>
      <c r="C199" s="717"/>
      <c r="D199" s="718">
        <v>0</v>
      </c>
      <c r="E199" s="718"/>
      <c r="F199" s="718">
        <v>0</v>
      </c>
      <c r="G199" s="718">
        <v>0</v>
      </c>
      <c r="H199" s="718">
        <v>0</v>
      </c>
      <c r="I199" s="718">
        <v>562200</v>
      </c>
      <c r="J199" s="718">
        <v>0</v>
      </c>
      <c r="K199" s="718">
        <v>0</v>
      </c>
      <c r="L199" s="718">
        <v>311200</v>
      </c>
      <c r="M199" s="718">
        <v>0</v>
      </c>
      <c r="N199" s="718">
        <v>0</v>
      </c>
      <c r="O199" s="718">
        <v>720750</v>
      </c>
      <c r="P199" s="1497">
        <f t="shared" si="22"/>
        <v>562200</v>
      </c>
      <c r="Q199" s="1405">
        <f t="shared" si="23"/>
        <v>1594150</v>
      </c>
      <c r="R199" s="717">
        <v>7800</v>
      </c>
      <c r="S199" s="718"/>
      <c r="T199" s="718">
        <v>0</v>
      </c>
      <c r="U199" s="718">
        <v>0</v>
      </c>
      <c r="V199" s="718">
        <v>0</v>
      </c>
      <c r="W199" s="718">
        <v>0</v>
      </c>
      <c r="X199" s="718">
        <v>0</v>
      </c>
      <c r="Y199" s="718">
        <v>0</v>
      </c>
      <c r="Z199" s="718"/>
      <c r="AA199" s="718"/>
      <c r="AB199" s="718"/>
      <c r="AC199" s="718"/>
      <c r="AD199" s="1405">
        <f t="shared" si="20"/>
        <v>7800</v>
      </c>
      <c r="AE199" s="852">
        <f t="shared" si="21"/>
        <v>-0.9861259338313767</v>
      </c>
      <c r="AF199" s="853">
        <f t="shared" si="24"/>
        <v>971</v>
      </c>
    </row>
    <row r="200" spans="1:32" x14ac:dyDescent="0.3">
      <c r="A200" s="287" t="s">
        <v>804</v>
      </c>
      <c r="B200" s="851" t="s">
        <v>2003</v>
      </c>
      <c r="C200" s="717"/>
      <c r="D200" s="718">
        <v>0</v>
      </c>
      <c r="E200" s="718"/>
      <c r="F200" s="718">
        <v>0</v>
      </c>
      <c r="G200" s="718">
        <v>0</v>
      </c>
      <c r="H200" s="718">
        <v>0</v>
      </c>
      <c r="I200" s="718">
        <v>575400</v>
      </c>
      <c r="J200" s="718">
        <v>0</v>
      </c>
      <c r="K200" s="718">
        <v>0</v>
      </c>
      <c r="L200" s="718">
        <v>0</v>
      </c>
      <c r="M200" s="718">
        <v>0</v>
      </c>
      <c r="N200" s="718">
        <v>0</v>
      </c>
      <c r="O200" s="718" t="s">
        <v>251</v>
      </c>
      <c r="P200" s="1497">
        <f t="shared" si="22"/>
        <v>575400</v>
      </c>
      <c r="Q200" s="1405">
        <f t="shared" si="23"/>
        <v>575400</v>
      </c>
      <c r="R200" s="717">
        <v>141600</v>
      </c>
      <c r="S200" s="718"/>
      <c r="T200" s="718">
        <v>194000</v>
      </c>
      <c r="U200" s="718">
        <v>0</v>
      </c>
      <c r="V200" s="718">
        <v>0</v>
      </c>
      <c r="W200" s="718">
        <v>0</v>
      </c>
      <c r="X200" s="718">
        <v>0</v>
      </c>
      <c r="Y200" s="718">
        <v>0</v>
      </c>
      <c r="Z200" s="718"/>
      <c r="AA200" s="718"/>
      <c r="AB200" s="718"/>
      <c r="AC200" s="718"/>
      <c r="AD200" s="1405">
        <f t="shared" si="20"/>
        <v>335600</v>
      </c>
      <c r="AE200" s="852">
        <f t="shared" si="21"/>
        <v>-0.41675356273896419</v>
      </c>
      <c r="AF200" s="853">
        <f t="shared" si="24"/>
        <v>512</v>
      </c>
    </row>
    <row r="201" spans="1:32" x14ac:dyDescent="0.3">
      <c r="A201" s="287" t="s">
        <v>804</v>
      </c>
      <c r="B201" s="851" t="s">
        <v>2004</v>
      </c>
      <c r="C201" s="717"/>
      <c r="D201" s="718">
        <v>0</v>
      </c>
      <c r="E201" s="718"/>
      <c r="F201" s="718">
        <v>0</v>
      </c>
      <c r="G201" s="718">
        <v>0</v>
      </c>
      <c r="H201" s="718">
        <v>0</v>
      </c>
      <c r="I201" s="718">
        <v>363800</v>
      </c>
      <c r="J201" s="718">
        <v>124600</v>
      </c>
      <c r="K201" s="718">
        <v>124600</v>
      </c>
      <c r="L201" s="718">
        <v>0</v>
      </c>
      <c r="M201" s="718">
        <v>0</v>
      </c>
      <c r="N201" s="718">
        <v>488400</v>
      </c>
      <c r="O201" s="718" t="s">
        <v>251</v>
      </c>
      <c r="P201" s="1497">
        <f t="shared" si="22"/>
        <v>488400</v>
      </c>
      <c r="Q201" s="1405">
        <f t="shared" si="23"/>
        <v>976800</v>
      </c>
      <c r="R201" s="717"/>
      <c r="S201" s="718"/>
      <c r="T201" s="718">
        <v>251300</v>
      </c>
      <c r="U201" s="718">
        <v>0</v>
      </c>
      <c r="V201" s="718">
        <v>0</v>
      </c>
      <c r="W201" s="718">
        <v>0</v>
      </c>
      <c r="X201" s="718">
        <v>1919400</v>
      </c>
      <c r="Y201" s="718">
        <v>327600</v>
      </c>
      <c r="Z201" s="718"/>
      <c r="AA201" s="718"/>
      <c r="AB201" s="718"/>
      <c r="AC201" s="718"/>
      <c r="AD201" s="1405">
        <f t="shared" si="20"/>
        <v>2498300</v>
      </c>
      <c r="AE201" s="852">
        <f t="shared" si="21"/>
        <v>4.1152743652743649</v>
      </c>
      <c r="AF201" s="853">
        <f t="shared" si="24"/>
        <v>174</v>
      </c>
    </row>
    <row r="202" spans="1:32" x14ac:dyDescent="0.3">
      <c r="A202" s="287" t="s">
        <v>804</v>
      </c>
      <c r="B202" s="851" t="s">
        <v>2005</v>
      </c>
      <c r="C202" s="717"/>
      <c r="D202" s="718">
        <v>0</v>
      </c>
      <c r="E202" s="718"/>
      <c r="F202" s="718">
        <v>0</v>
      </c>
      <c r="G202" s="718">
        <v>0</v>
      </c>
      <c r="H202" s="718">
        <v>0</v>
      </c>
      <c r="I202" s="718">
        <v>128600</v>
      </c>
      <c r="J202" s="718">
        <v>0</v>
      </c>
      <c r="K202" s="718">
        <v>0</v>
      </c>
      <c r="L202" s="718">
        <v>0</v>
      </c>
      <c r="M202" s="718">
        <v>0</v>
      </c>
      <c r="N202" s="718">
        <v>0</v>
      </c>
      <c r="O202" s="718" t="s">
        <v>251</v>
      </c>
      <c r="P202" s="1497">
        <f t="shared" si="22"/>
        <v>128600</v>
      </c>
      <c r="Q202" s="1405">
        <f t="shared" si="23"/>
        <v>128600</v>
      </c>
      <c r="R202" s="717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1405">
        <f t="shared" si="20"/>
        <v>0</v>
      </c>
      <c r="AE202" s="852">
        <f t="shared" si="21"/>
        <v>-1</v>
      </c>
      <c r="AF202" s="853">
        <f t="shared" si="24"/>
        <v>983</v>
      </c>
    </row>
    <row r="203" spans="1:32" x14ac:dyDescent="0.3">
      <c r="A203" s="287" t="s">
        <v>804</v>
      </c>
      <c r="B203" s="851" t="s">
        <v>2006</v>
      </c>
      <c r="C203" s="717"/>
      <c r="D203" s="718">
        <v>0</v>
      </c>
      <c r="E203" s="718"/>
      <c r="F203" s="718">
        <v>0</v>
      </c>
      <c r="G203" s="718">
        <v>0</v>
      </c>
      <c r="H203" s="718">
        <v>0</v>
      </c>
      <c r="I203" s="718">
        <v>276400</v>
      </c>
      <c r="J203" s="718">
        <v>0</v>
      </c>
      <c r="K203" s="718">
        <v>0</v>
      </c>
      <c r="L203" s="718">
        <v>0</v>
      </c>
      <c r="M203" s="718">
        <v>0</v>
      </c>
      <c r="N203" s="718">
        <v>0</v>
      </c>
      <c r="O203" s="718" t="s">
        <v>251</v>
      </c>
      <c r="P203" s="1497">
        <f t="shared" si="22"/>
        <v>276400</v>
      </c>
      <c r="Q203" s="1405">
        <f t="shared" si="23"/>
        <v>276400</v>
      </c>
      <c r="R203" s="717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1405">
        <f t="shared" si="20"/>
        <v>0</v>
      </c>
      <c r="AE203" s="852">
        <f t="shared" si="21"/>
        <v>-1</v>
      </c>
      <c r="AF203" s="853">
        <f t="shared" si="24"/>
        <v>983</v>
      </c>
    </row>
    <row r="204" spans="1:32" x14ac:dyDescent="0.3">
      <c r="A204" s="287" t="s">
        <v>804</v>
      </c>
      <c r="B204" s="851" t="s">
        <v>2007</v>
      </c>
      <c r="C204" s="717"/>
      <c r="D204" s="718">
        <v>0</v>
      </c>
      <c r="E204" s="718"/>
      <c r="F204" s="718">
        <v>0</v>
      </c>
      <c r="G204" s="718">
        <v>0</v>
      </c>
      <c r="H204" s="718">
        <v>0</v>
      </c>
      <c r="I204" s="718">
        <v>190170</v>
      </c>
      <c r="J204" s="718">
        <v>0</v>
      </c>
      <c r="K204" s="718">
        <v>0</v>
      </c>
      <c r="L204" s="718">
        <v>0</v>
      </c>
      <c r="M204" s="718">
        <v>0</v>
      </c>
      <c r="N204" s="718">
        <v>0</v>
      </c>
      <c r="O204" s="718" t="s">
        <v>251</v>
      </c>
      <c r="P204" s="1497">
        <f t="shared" si="22"/>
        <v>190170</v>
      </c>
      <c r="Q204" s="1405">
        <f t="shared" si="23"/>
        <v>190170</v>
      </c>
      <c r="R204" s="717"/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1405">
        <f t="shared" si="20"/>
        <v>0</v>
      </c>
      <c r="AE204" s="852">
        <f t="shared" si="21"/>
        <v>-1</v>
      </c>
      <c r="AF204" s="853">
        <f t="shared" si="24"/>
        <v>983</v>
      </c>
    </row>
    <row r="205" spans="1:32" x14ac:dyDescent="0.3">
      <c r="A205" s="287" t="s">
        <v>804</v>
      </c>
      <c r="B205" s="851" t="s">
        <v>2008</v>
      </c>
      <c r="C205" s="717"/>
      <c r="D205" s="718">
        <v>0</v>
      </c>
      <c r="E205" s="718"/>
      <c r="F205" s="718">
        <v>0</v>
      </c>
      <c r="G205" s="718">
        <v>0</v>
      </c>
      <c r="H205" s="718">
        <v>0</v>
      </c>
      <c r="I205" s="718">
        <v>276700</v>
      </c>
      <c r="J205" s="718">
        <v>530400</v>
      </c>
      <c r="K205" s="718">
        <v>149150</v>
      </c>
      <c r="L205" s="718">
        <v>469200</v>
      </c>
      <c r="M205" s="718">
        <v>0</v>
      </c>
      <c r="N205" s="718">
        <v>0</v>
      </c>
      <c r="O205" s="718">
        <v>309800</v>
      </c>
      <c r="P205" s="1497">
        <f t="shared" si="22"/>
        <v>425850</v>
      </c>
      <c r="Q205" s="1405">
        <f t="shared" si="23"/>
        <v>1586100</v>
      </c>
      <c r="R205" s="717"/>
      <c r="S205" s="718"/>
      <c r="T205" s="718"/>
      <c r="U205" s="718"/>
      <c r="V205" s="718"/>
      <c r="W205" s="718"/>
      <c r="X205" s="718"/>
      <c r="Y205" s="718"/>
      <c r="Z205" s="718"/>
      <c r="AA205" s="718"/>
      <c r="AB205" s="718"/>
      <c r="AC205" s="718"/>
      <c r="AD205" s="1405">
        <f t="shared" si="20"/>
        <v>0</v>
      </c>
      <c r="AE205" s="852">
        <f t="shared" si="21"/>
        <v>-1</v>
      </c>
      <c r="AF205" s="853">
        <f t="shared" si="24"/>
        <v>983</v>
      </c>
    </row>
    <row r="206" spans="1:32" x14ac:dyDescent="0.3">
      <c r="A206" s="287" t="s">
        <v>804</v>
      </c>
      <c r="B206" s="851" t="s">
        <v>2009</v>
      </c>
      <c r="C206" s="717"/>
      <c r="D206" s="718">
        <v>0</v>
      </c>
      <c r="E206" s="718"/>
      <c r="F206" s="718">
        <v>0</v>
      </c>
      <c r="G206" s="718">
        <v>0</v>
      </c>
      <c r="H206" s="718">
        <v>0</v>
      </c>
      <c r="I206" s="718">
        <v>0</v>
      </c>
      <c r="J206" s="718">
        <v>726000</v>
      </c>
      <c r="K206" s="718">
        <v>726000</v>
      </c>
      <c r="L206" s="718">
        <v>0</v>
      </c>
      <c r="M206" s="718">
        <v>0</v>
      </c>
      <c r="N206" s="718">
        <v>0</v>
      </c>
      <c r="O206" s="718" t="s">
        <v>251</v>
      </c>
      <c r="P206" s="1497">
        <f t="shared" si="22"/>
        <v>726000</v>
      </c>
      <c r="Q206" s="1405">
        <f t="shared" si="23"/>
        <v>726000</v>
      </c>
      <c r="R206" s="717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1405">
        <f t="shared" si="20"/>
        <v>0</v>
      </c>
      <c r="AE206" s="852">
        <f t="shared" si="21"/>
        <v>-1</v>
      </c>
      <c r="AF206" s="853">
        <f t="shared" si="24"/>
        <v>983</v>
      </c>
    </row>
    <row r="207" spans="1:32" x14ac:dyDescent="0.3">
      <c r="A207" s="287" t="s">
        <v>804</v>
      </c>
      <c r="B207" s="851" t="s">
        <v>2010</v>
      </c>
      <c r="C207" s="717"/>
      <c r="D207" s="718">
        <v>0</v>
      </c>
      <c r="E207" s="718"/>
      <c r="F207" s="718">
        <v>0</v>
      </c>
      <c r="G207" s="718">
        <v>0</v>
      </c>
      <c r="H207" s="718">
        <v>0</v>
      </c>
      <c r="I207" s="718">
        <v>0</v>
      </c>
      <c r="J207" s="718">
        <v>50500</v>
      </c>
      <c r="K207" s="718"/>
      <c r="L207" s="718">
        <v>0</v>
      </c>
      <c r="M207" s="718">
        <v>440750</v>
      </c>
      <c r="N207" s="718">
        <v>0</v>
      </c>
      <c r="O207" s="718" t="s">
        <v>251</v>
      </c>
      <c r="P207" s="1497">
        <f t="shared" si="22"/>
        <v>0</v>
      </c>
      <c r="Q207" s="1405">
        <f t="shared" si="23"/>
        <v>491250</v>
      </c>
      <c r="R207" s="717"/>
      <c r="S207" s="718"/>
      <c r="T207" s="718"/>
      <c r="U207" s="718"/>
      <c r="V207" s="718"/>
      <c r="W207" s="718"/>
      <c r="X207" s="718">
        <v>484500</v>
      </c>
      <c r="Y207" s="718">
        <v>164700</v>
      </c>
      <c r="Z207" s="718"/>
      <c r="AA207" s="718"/>
      <c r="AB207" s="718"/>
      <c r="AC207" s="718"/>
      <c r="AD207" s="1405">
        <f t="shared" si="20"/>
        <v>649200</v>
      </c>
      <c r="AE207" s="852">
        <f t="shared" si="21"/>
        <v>1</v>
      </c>
      <c r="AF207" s="853">
        <f t="shared" si="24"/>
        <v>394</v>
      </c>
    </row>
    <row r="208" spans="1:32" x14ac:dyDescent="0.3">
      <c r="A208" s="287" t="s">
        <v>804</v>
      </c>
      <c r="B208" s="851" t="s">
        <v>2011</v>
      </c>
      <c r="C208" s="717"/>
      <c r="D208" s="718">
        <v>0</v>
      </c>
      <c r="E208" s="718"/>
      <c r="F208" s="718">
        <v>0</v>
      </c>
      <c r="G208" s="718">
        <v>0</v>
      </c>
      <c r="H208" s="718">
        <v>0</v>
      </c>
      <c r="I208" s="718">
        <v>0</v>
      </c>
      <c r="J208" s="718">
        <v>327600</v>
      </c>
      <c r="K208" s="718">
        <v>327600</v>
      </c>
      <c r="L208" s="718">
        <v>0</v>
      </c>
      <c r="M208" s="718">
        <v>0</v>
      </c>
      <c r="N208" s="718">
        <v>0</v>
      </c>
      <c r="O208" s="718" t="s">
        <v>251</v>
      </c>
      <c r="P208" s="1497">
        <f t="shared" si="22"/>
        <v>327600</v>
      </c>
      <c r="Q208" s="1405">
        <f t="shared" si="23"/>
        <v>327600</v>
      </c>
      <c r="R208" s="717"/>
      <c r="S208" s="718"/>
      <c r="T208" s="718"/>
      <c r="U208" s="718"/>
      <c r="V208" s="718">
        <v>159500</v>
      </c>
      <c r="W208" s="718">
        <v>0</v>
      </c>
      <c r="X208" s="718">
        <v>0</v>
      </c>
      <c r="Y208" s="718">
        <v>0</v>
      </c>
      <c r="Z208" s="718"/>
      <c r="AA208" s="718"/>
      <c r="AB208" s="718"/>
      <c r="AC208" s="718"/>
      <c r="AD208" s="1405">
        <f t="shared" si="20"/>
        <v>159500</v>
      </c>
      <c r="AE208" s="852">
        <f t="shared" si="21"/>
        <v>-0.51312576312576308</v>
      </c>
      <c r="AF208" s="853">
        <f t="shared" si="24"/>
        <v>662</v>
      </c>
    </row>
    <row r="209" spans="1:32" x14ac:dyDescent="0.3">
      <c r="A209" s="287" t="s">
        <v>804</v>
      </c>
      <c r="B209" s="851" t="s">
        <v>825</v>
      </c>
      <c r="C209" s="717"/>
      <c r="D209" s="718">
        <v>0</v>
      </c>
      <c r="E209" s="718"/>
      <c r="F209" s="718">
        <v>0</v>
      </c>
      <c r="G209" s="718">
        <v>0</v>
      </c>
      <c r="H209" s="718">
        <v>0</v>
      </c>
      <c r="I209" s="718">
        <v>0</v>
      </c>
      <c r="J209" s="718">
        <v>175550</v>
      </c>
      <c r="K209" s="718"/>
      <c r="L209" s="718">
        <v>0</v>
      </c>
      <c r="M209" s="718">
        <v>0</v>
      </c>
      <c r="N209" s="718">
        <v>175550</v>
      </c>
      <c r="O209" s="718">
        <v>187250</v>
      </c>
      <c r="P209" s="1497">
        <f t="shared" si="22"/>
        <v>0</v>
      </c>
      <c r="Q209" s="1405">
        <f t="shared" si="23"/>
        <v>538350</v>
      </c>
      <c r="R209" s="717"/>
      <c r="S209" s="718"/>
      <c r="T209" s="718">
        <v>126700</v>
      </c>
      <c r="U209" s="718">
        <v>6400</v>
      </c>
      <c r="V209" s="718">
        <v>0</v>
      </c>
      <c r="W209" s="718">
        <v>0</v>
      </c>
      <c r="X209" s="718">
        <v>0</v>
      </c>
      <c r="Y209" s="718">
        <v>0</v>
      </c>
      <c r="Z209" s="718"/>
      <c r="AA209" s="718"/>
      <c r="AB209" s="718"/>
      <c r="AC209" s="718"/>
      <c r="AD209" s="1405">
        <f t="shared" si="20"/>
        <v>133100</v>
      </c>
      <c r="AE209" s="852">
        <f t="shared" si="21"/>
        <v>1</v>
      </c>
      <c r="AF209" s="853">
        <f t="shared" si="24"/>
        <v>696</v>
      </c>
    </row>
    <row r="210" spans="1:32" x14ac:dyDescent="0.3">
      <c r="A210" s="287" t="s">
        <v>804</v>
      </c>
      <c r="B210" s="851" t="s">
        <v>2012</v>
      </c>
      <c r="C210" s="717"/>
      <c r="D210" s="718">
        <v>0</v>
      </c>
      <c r="E210" s="718"/>
      <c r="F210" s="718">
        <v>0</v>
      </c>
      <c r="G210" s="718">
        <v>0</v>
      </c>
      <c r="H210" s="718">
        <v>0</v>
      </c>
      <c r="I210" s="718">
        <v>0</v>
      </c>
      <c r="J210" s="718">
        <v>154150</v>
      </c>
      <c r="K210" s="718">
        <v>154150</v>
      </c>
      <c r="L210" s="718">
        <v>0</v>
      </c>
      <c r="M210" s="718">
        <v>0</v>
      </c>
      <c r="N210" s="718">
        <v>0</v>
      </c>
      <c r="O210" s="718">
        <v>84500</v>
      </c>
      <c r="P210" s="1497">
        <f t="shared" si="22"/>
        <v>154150</v>
      </c>
      <c r="Q210" s="1405">
        <f t="shared" si="23"/>
        <v>238650</v>
      </c>
      <c r="R210" s="717">
        <v>78500</v>
      </c>
      <c r="S210" s="718"/>
      <c r="T210" s="718">
        <v>0</v>
      </c>
      <c r="U210" s="718">
        <v>0</v>
      </c>
      <c r="V210" s="718">
        <v>0</v>
      </c>
      <c r="W210" s="718">
        <v>0</v>
      </c>
      <c r="X210" s="718">
        <v>0</v>
      </c>
      <c r="Y210" s="718">
        <v>0</v>
      </c>
      <c r="Z210" s="718"/>
      <c r="AA210" s="718"/>
      <c r="AB210" s="718"/>
      <c r="AC210" s="718"/>
      <c r="AD210" s="1405">
        <f t="shared" si="20"/>
        <v>78500</v>
      </c>
      <c r="AE210" s="852">
        <f t="shared" si="21"/>
        <v>-0.49075575737917615</v>
      </c>
      <c r="AF210" s="853">
        <f t="shared" si="24"/>
        <v>777</v>
      </c>
    </row>
    <row r="211" spans="1:32" x14ac:dyDescent="0.3">
      <c r="A211" s="287" t="s">
        <v>804</v>
      </c>
      <c r="B211" s="851" t="s">
        <v>2013</v>
      </c>
      <c r="C211" s="717"/>
      <c r="D211" s="718">
        <v>0</v>
      </c>
      <c r="E211" s="718"/>
      <c r="F211" s="718">
        <v>0</v>
      </c>
      <c r="G211" s="718">
        <v>0</v>
      </c>
      <c r="H211" s="718">
        <v>0</v>
      </c>
      <c r="I211" s="718">
        <v>0</v>
      </c>
      <c r="J211" s="718">
        <v>0</v>
      </c>
      <c r="K211" s="718"/>
      <c r="L211" s="718">
        <v>1116950</v>
      </c>
      <c r="M211" s="718">
        <v>326500</v>
      </c>
      <c r="N211" s="718">
        <v>64750</v>
      </c>
      <c r="O211" s="718" t="s">
        <v>251</v>
      </c>
      <c r="P211" s="1497">
        <f t="shared" si="22"/>
        <v>0</v>
      </c>
      <c r="Q211" s="1405">
        <f t="shared" si="23"/>
        <v>1508200</v>
      </c>
      <c r="R211" s="717">
        <v>746970</v>
      </c>
      <c r="S211" s="718">
        <v>2400920</v>
      </c>
      <c r="T211" s="718">
        <v>304750</v>
      </c>
      <c r="U211" s="718">
        <v>268400</v>
      </c>
      <c r="V211" s="718">
        <v>12800</v>
      </c>
      <c r="W211" s="718">
        <v>152250</v>
      </c>
      <c r="X211" s="718">
        <v>0</v>
      </c>
      <c r="Y211" s="718">
        <v>0</v>
      </c>
      <c r="Z211" s="718"/>
      <c r="AA211" s="718"/>
      <c r="AB211" s="718"/>
      <c r="AC211" s="718"/>
      <c r="AD211" s="1405">
        <f t="shared" si="20"/>
        <v>3886090</v>
      </c>
      <c r="AE211" s="852">
        <f t="shared" si="21"/>
        <v>1</v>
      </c>
      <c r="AF211" s="853">
        <f t="shared" si="24"/>
        <v>119</v>
      </c>
    </row>
    <row r="212" spans="1:32" x14ac:dyDescent="0.3">
      <c r="A212" s="287" t="s">
        <v>804</v>
      </c>
      <c r="B212" s="851" t="s">
        <v>2014</v>
      </c>
      <c r="C212" s="717"/>
      <c r="D212" s="718">
        <v>0</v>
      </c>
      <c r="E212" s="718"/>
      <c r="F212" s="718">
        <v>0</v>
      </c>
      <c r="G212" s="718">
        <v>0</v>
      </c>
      <c r="H212" s="718">
        <v>0</v>
      </c>
      <c r="I212" s="718">
        <v>0</v>
      </c>
      <c r="J212" s="718">
        <v>0</v>
      </c>
      <c r="K212" s="718"/>
      <c r="L212" s="718">
        <v>504710</v>
      </c>
      <c r="M212" s="718">
        <v>0</v>
      </c>
      <c r="N212" s="718">
        <v>0</v>
      </c>
      <c r="O212" s="718" t="s">
        <v>251</v>
      </c>
      <c r="P212" s="1497">
        <f t="shared" si="22"/>
        <v>0</v>
      </c>
      <c r="Q212" s="1405">
        <f t="shared" si="23"/>
        <v>504710</v>
      </c>
      <c r="R212" s="717"/>
      <c r="S212" s="718"/>
      <c r="T212" s="718"/>
      <c r="U212" s="718"/>
      <c r="V212" s="718"/>
      <c r="W212" s="718"/>
      <c r="X212" s="718"/>
      <c r="Y212" s="718"/>
      <c r="Z212" s="718"/>
      <c r="AA212" s="718"/>
      <c r="AB212" s="718"/>
      <c r="AC212" s="718"/>
      <c r="AD212" s="1405">
        <f t="shared" si="20"/>
        <v>0</v>
      </c>
      <c r="AE212" s="852">
        <f t="shared" si="21"/>
        <v>0</v>
      </c>
      <c r="AF212" s="853">
        <f t="shared" si="24"/>
        <v>983</v>
      </c>
    </row>
    <row r="213" spans="1:32" x14ac:dyDescent="0.3">
      <c r="A213" s="287" t="s">
        <v>804</v>
      </c>
      <c r="B213" s="851" t="s">
        <v>2015</v>
      </c>
      <c r="C213" s="717"/>
      <c r="D213" s="718">
        <v>0</v>
      </c>
      <c r="E213" s="718"/>
      <c r="F213" s="718">
        <v>0</v>
      </c>
      <c r="G213" s="718">
        <v>0</v>
      </c>
      <c r="H213" s="718">
        <v>0</v>
      </c>
      <c r="I213" s="718">
        <v>0</v>
      </c>
      <c r="J213" s="718">
        <v>0</v>
      </c>
      <c r="K213" s="718"/>
      <c r="L213" s="718">
        <v>94200</v>
      </c>
      <c r="M213" s="718">
        <v>120000</v>
      </c>
      <c r="N213" s="718">
        <v>0</v>
      </c>
      <c r="O213" s="718" t="s">
        <v>251</v>
      </c>
      <c r="P213" s="1497">
        <f t="shared" si="22"/>
        <v>0</v>
      </c>
      <c r="Q213" s="1405">
        <f t="shared" si="23"/>
        <v>214200</v>
      </c>
      <c r="R213" s="717"/>
      <c r="S213" s="718"/>
      <c r="T213" s="718"/>
      <c r="U213" s="718"/>
      <c r="V213" s="718"/>
      <c r="W213" s="718"/>
      <c r="X213" s="718"/>
      <c r="Y213" s="718"/>
      <c r="Z213" s="718"/>
      <c r="AA213" s="718"/>
      <c r="AB213" s="718"/>
      <c r="AC213" s="718"/>
      <c r="AD213" s="1405">
        <f t="shared" si="20"/>
        <v>0</v>
      </c>
      <c r="AE213" s="852">
        <f t="shared" si="21"/>
        <v>0</v>
      </c>
      <c r="AF213" s="853">
        <f t="shared" si="24"/>
        <v>983</v>
      </c>
    </row>
    <row r="214" spans="1:32" x14ac:dyDescent="0.3">
      <c r="A214" s="287" t="s">
        <v>804</v>
      </c>
      <c r="B214" s="851" t="s">
        <v>2016</v>
      </c>
      <c r="C214" s="717"/>
      <c r="D214" s="718">
        <v>0</v>
      </c>
      <c r="E214" s="718"/>
      <c r="F214" s="718">
        <v>0</v>
      </c>
      <c r="G214" s="718">
        <v>0</v>
      </c>
      <c r="H214" s="718">
        <v>0</v>
      </c>
      <c r="I214" s="718">
        <v>0</v>
      </c>
      <c r="J214" s="718">
        <v>0</v>
      </c>
      <c r="K214" s="718"/>
      <c r="L214" s="718">
        <v>9200</v>
      </c>
      <c r="M214" s="718">
        <v>0</v>
      </c>
      <c r="N214" s="718">
        <v>0</v>
      </c>
      <c r="O214" s="718" t="s">
        <v>251</v>
      </c>
      <c r="P214" s="1497">
        <f t="shared" si="22"/>
        <v>0</v>
      </c>
      <c r="Q214" s="1405">
        <f t="shared" si="23"/>
        <v>9200</v>
      </c>
      <c r="R214" s="717"/>
      <c r="S214" s="718"/>
      <c r="T214" s="718"/>
      <c r="U214" s="718"/>
      <c r="V214" s="718"/>
      <c r="W214" s="718"/>
      <c r="X214" s="718"/>
      <c r="Y214" s="718"/>
      <c r="Z214" s="718"/>
      <c r="AA214" s="718"/>
      <c r="AB214" s="718"/>
      <c r="AC214" s="718"/>
      <c r="AD214" s="1405">
        <f t="shared" si="20"/>
        <v>0</v>
      </c>
      <c r="AE214" s="852">
        <f t="shared" si="21"/>
        <v>0</v>
      </c>
      <c r="AF214" s="853">
        <f t="shared" si="24"/>
        <v>983</v>
      </c>
    </row>
    <row r="215" spans="1:32" x14ac:dyDescent="0.3">
      <c r="A215" s="287" t="s">
        <v>804</v>
      </c>
      <c r="B215" s="851" t="s">
        <v>741</v>
      </c>
      <c r="C215" s="717"/>
      <c r="D215" s="718">
        <v>0</v>
      </c>
      <c r="E215" s="718"/>
      <c r="F215" s="718">
        <v>0</v>
      </c>
      <c r="G215" s="718">
        <v>0</v>
      </c>
      <c r="H215" s="718">
        <v>0</v>
      </c>
      <c r="I215" s="718">
        <v>0</v>
      </c>
      <c r="J215" s="718">
        <v>0</v>
      </c>
      <c r="K215" s="718"/>
      <c r="L215" s="718">
        <v>0</v>
      </c>
      <c r="M215" s="718">
        <v>82050</v>
      </c>
      <c r="N215" s="718">
        <v>0</v>
      </c>
      <c r="O215" s="718" t="s">
        <v>251</v>
      </c>
      <c r="P215" s="1497">
        <f t="shared" si="22"/>
        <v>0</v>
      </c>
      <c r="Q215" s="1405">
        <f t="shared" si="23"/>
        <v>82050</v>
      </c>
      <c r="R215" s="717">
        <v>274150</v>
      </c>
      <c r="S215" s="718"/>
      <c r="T215" s="718">
        <v>0</v>
      </c>
      <c r="U215" s="718">
        <v>0</v>
      </c>
      <c r="V215" s="718">
        <v>0</v>
      </c>
      <c r="W215" s="718">
        <v>0</v>
      </c>
      <c r="X215" s="718">
        <v>0</v>
      </c>
      <c r="Y215" s="718">
        <v>0</v>
      </c>
      <c r="Z215" s="718"/>
      <c r="AA215" s="718"/>
      <c r="AB215" s="718"/>
      <c r="AC215" s="718"/>
      <c r="AD215" s="1405">
        <f t="shared" si="20"/>
        <v>274150</v>
      </c>
      <c r="AE215" s="852">
        <f t="shared" si="21"/>
        <v>1</v>
      </c>
      <c r="AF215" s="853">
        <f t="shared" si="24"/>
        <v>547</v>
      </c>
    </row>
    <row r="216" spans="1:32" x14ac:dyDescent="0.3">
      <c r="A216" s="287" t="s">
        <v>804</v>
      </c>
      <c r="B216" s="851" t="s">
        <v>2017</v>
      </c>
      <c r="C216" s="717"/>
      <c r="D216" s="718">
        <v>0</v>
      </c>
      <c r="E216" s="718"/>
      <c r="F216" s="718">
        <v>0</v>
      </c>
      <c r="G216" s="718">
        <v>0</v>
      </c>
      <c r="H216" s="718">
        <v>0</v>
      </c>
      <c r="I216" s="718">
        <v>0</v>
      </c>
      <c r="J216" s="718">
        <v>0</v>
      </c>
      <c r="K216" s="718"/>
      <c r="L216" s="718">
        <v>0</v>
      </c>
      <c r="M216" s="718">
        <v>744700</v>
      </c>
      <c r="N216" s="718">
        <v>115000</v>
      </c>
      <c r="O216" s="718" t="s">
        <v>251</v>
      </c>
      <c r="P216" s="1497">
        <f t="shared" si="22"/>
        <v>0</v>
      </c>
      <c r="Q216" s="1405">
        <f t="shared" si="23"/>
        <v>859700</v>
      </c>
      <c r="R216" s="717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1405">
        <f t="shared" si="20"/>
        <v>0</v>
      </c>
      <c r="AE216" s="852">
        <f t="shared" si="21"/>
        <v>0</v>
      </c>
      <c r="AF216" s="853">
        <f t="shared" si="24"/>
        <v>983</v>
      </c>
    </row>
    <row r="217" spans="1:32" x14ac:dyDescent="0.3">
      <c r="A217" s="287" t="s">
        <v>804</v>
      </c>
      <c r="B217" s="851" t="s">
        <v>2018</v>
      </c>
      <c r="C217" s="717"/>
      <c r="D217" s="718">
        <v>0</v>
      </c>
      <c r="E217" s="718"/>
      <c r="F217" s="718">
        <v>0</v>
      </c>
      <c r="G217" s="718">
        <v>0</v>
      </c>
      <c r="H217" s="718">
        <v>0</v>
      </c>
      <c r="I217" s="718">
        <v>0</v>
      </c>
      <c r="J217" s="718">
        <v>0</v>
      </c>
      <c r="K217" s="718"/>
      <c r="L217" s="718">
        <v>0</v>
      </c>
      <c r="M217" s="718">
        <v>380600</v>
      </c>
      <c r="N217" s="718">
        <v>0</v>
      </c>
      <c r="O217" s="718" t="s">
        <v>251</v>
      </c>
      <c r="P217" s="1497">
        <f t="shared" si="22"/>
        <v>0</v>
      </c>
      <c r="Q217" s="1405">
        <f t="shared" si="23"/>
        <v>380600</v>
      </c>
      <c r="R217" s="717"/>
      <c r="S217" s="718"/>
      <c r="T217" s="718"/>
      <c r="U217" s="718"/>
      <c r="V217" s="718"/>
      <c r="W217" s="718"/>
      <c r="X217" s="718"/>
      <c r="Y217" s="718"/>
      <c r="Z217" s="718"/>
      <c r="AA217" s="718"/>
      <c r="AB217" s="718"/>
      <c r="AC217" s="718"/>
      <c r="AD217" s="1405">
        <f t="shared" si="20"/>
        <v>0</v>
      </c>
      <c r="AE217" s="852">
        <f t="shared" si="21"/>
        <v>0</v>
      </c>
      <c r="AF217" s="853">
        <f t="shared" si="24"/>
        <v>983</v>
      </c>
    </row>
    <row r="218" spans="1:32" x14ac:dyDescent="0.3">
      <c r="A218" s="287" t="s">
        <v>804</v>
      </c>
      <c r="B218" s="851" t="s">
        <v>2019</v>
      </c>
      <c r="C218" s="717"/>
      <c r="D218" s="718">
        <v>0</v>
      </c>
      <c r="E218" s="718"/>
      <c r="F218" s="718">
        <v>0</v>
      </c>
      <c r="G218" s="718">
        <v>0</v>
      </c>
      <c r="H218" s="718">
        <v>0</v>
      </c>
      <c r="I218" s="718">
        <v>0</v>
      </c>
      <c r="J218" s="718">
        <v>0</v>
      </c>
      <c r="K218" s="718"/>
      <c r="L218" s="718">
        <v>0</v>
      </c>
      <c r="M218" s="718">
        <v>93570</v>
      </c>
      <c r="N218" s="718">
        <v>0</v>
      </c>
      <c r="O218" s="718" t="s">
        <v>251</v>
      </c>
      <c r="P218" s="1497">
        <f t="shared" si="22"/>
        <v>0</v>
      </c>
      <c r="Q218" s="1405">
        <f t="shared" si="23"/>
        <v>93570</v>
      </c>
      <c r="R218" s="717"/>
      <c r="S218" s="718"/>
      <c r="T218" s="718"/>
      <c r="U218" s="718"/>
      <c r="V218" s="718"/>
      <c r="W218" s="718"/>
      <c r="X218" s="718"/>
      <c r="Y218" s="718"/>
      <c r="Z218" s="718"/>
      <c r="AA218" s="718"/>
      <c r="AB218" s="718"/>
      <c r="AC218" s="718"/>
      <c r="AD218" s="1405">
        <f t="shared" si="20"/>
        <v>0</v>
      </c>
      <c r="AE218" s="852">
        <f t="shared" si="21"/>
        <v>0</v>
      </c>
      <c r="AF218" s="853">
        <f t="shared" si="24"/>
        <v>983</v>
      </c>
    </row>
    <row r="219" spans="1:32" x14ac:dyDescent="0.3">
      <c r="A219" s="287" t="s">
        <v>804</v>
      </c>
      <c r="B219" s="851" t="s">
        <v>2020</v>
      </c>
      <c r="C219" s="717"/>
      <c r="D219" s="718">
        <v>0</v>
      </c>
      <c r="E219" s="718"/>
      <c r="F219" s="718">
        <v>0</v>
      </c>
      <c r="G219" s="718">
        <v>0</v>
      </c>
      <c r="H219" s="718">
        <v>0</v>
      </c>
      <c r="I219" s="718">
        <v>0</v>
      </c>
      <c r="J219" s="718">
        <v>0</v>
      </c>
      <c r="K219" s="718"/>
      <c r="L219" s="718">
        <v>0</v>
      </c>
      <c r="M219" s="718">
        <v>216750</v>
      </c>
      <c r="N219" s="718">
        <v>0</v>
      </c>
      <c r="O219" s="718" t="s">
        <v>251</v>
      </c>
      <c r="P219" s="1497">
        <f t="shared" si="22"/>
        <v>0</v>
      </c>
      <c r="Q219" s="1405">
        <f t="shared" si="23"/>
        <v>216750</v>
      </c>
      <c r="R219" s="717"/>
      <c r="S219" s="718"/>
      <c r="T219" s="718"/>
      <c r="U219" s="718"/>
      <c r="V219" s="718"/>
      <c r="W219" s="718"/>
      <c r="X219" s="718"/>
      <c r="Y219" s="718"/>
      <c r="Z219" s="718"/>
      <c r="AA219" s="718"/>
      <c r="AB219" s="718"/>
      <c r="AC219" s="718"/>
      <c r="AD219" s="1405">
        <f t="shared" si="20"/>
        <v>0</v>
      </c>
      <c r="AE219" s="852">
        <f t="shared" si="21"/>
        <v>0</v>
      </c>
      <c r="AF219" s="853">
        <f t="shared" si="24"/>
        <v>983</v>
      </c>
    </row>
    <row r="220" spans="1:32" x14ac:dyDescent="0.3">
      <c r="A220" s="287" t="s">
        <v>804</v>
      </c>
      <c r="B220" s="851" t="s">
        <v>2021</v>
      </c>
      <c r="C220" s="717"/>
      <c r="D220" s="718">
        <v>0</v>
      </c>
      <c r="E220" s="718"/>
      <c r="F220" s="718">
        <v>0</v>
      </c>
      <c r="G220" s="718">
        <v>0</v>
      </c>
      <c r="H220" s="718">
        <v>0</v>
      </c>
      <c r="I220" s="718">
        <v>0</v>
      </c>
      <c r="J220" s="718">
        <v>0</v>
      </c>
      <c r="K220" s="718"/>
      <c r="L220" s="718">
        <v>0</v>
      </c>
      <c r="M220" s="718">
        <v>95000</v>
      </c>
      <c r="N220" s="718">
        <v>0</v>
      </c>
      <c r="O220" s="718" t="s">
        <v>251</v>
      </c>
      <c r="P220" s="1497">
        <f t="shared" si="22"/>
        <v>0</v>
      </c>
      <c r="Q220" s="1405">
        <f t="shared" si="23"/>
        <v>95000</v>
      </c>
      <c r="R220" s="717"/>
      <c r="S220" s="718"/>
      <c r="T220" s="718"/>
      <c r="U220" s="718"/>
      <c r="V220" s="718"/>
      <c r="W220" s="718"/>
      <c r="X220" s="718">
        <v>73600</v>
      </c>
      <c r="Y220" s="718">
        <v>0</v>
      </c>
      <c r="Z220" s="718"/>
      <c r="AA220" s="718"/>
      <c r="AB220" s="718"/>
      <c r="AC220" s="718"/>
      <c r="AD220" s="1405">
        <f t="shared" si="20"/>
        <v>73600</v>
      </c>
      <c r="AE220" s="852">
        <f t="shared" si="21"/>
        <v>1</v>
      </c>
      <c r="AF220" s="853">
        <f t="shared" si="24"/>
        <v>792</v>
      </c>
    </row>
    <row r="221" spans="1:32" x14ac:dyDescent="0.3">
      <c r="A221" s="287" t="s">
        <v>804</v>
      </c>
      <c r="B221" s="851" t="s">
        <v>648</v>
      </c>
      <c r="C221" s="717">
        <v>0</v>
      </c>
      <c r="D221" s="718" t="s">
        <v>251</v>
      </c>
      <c r="E221" s="718">
        <v>0</v>
      </c>
      <c r="F221" s="718" t="s">
        <v>251</v>
      </c>
      <c r="G221" s="718" t="s">
        <v>251</v>
      </c>
      <c r="H221" s="718" t="s">
        <v>251</v>
      </c>
      <c r="I221" s="718" t="s">
        <v>251</v>
      </c>
      <c r="J221" s="718" t="s">
        <v>251</v>
      </c>
      <c r="K221" s="718"/>
      <c r="L221" s="718" t="s">
        <v>251</v>
      </c>
      <c r="M221" s="718" t="s">
        <v>251</v>
      </c>
      <c r="N221" s="718">
        <v>0</v>
      </c>
      <c r="O221" s="718" t="s">
        <v>251</v>
      </c>
      <c r="P221" s="1497">
        <f t="shared" si="22"/>
        <v>0</v>
      </c>
      <c r="Q221" s="1405">
        <f t="shared" si="23"/>
        <v>0</v>
      </c>
      <c r="R221" s="717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1405">
        <f t="shared" si="20"/>
        <v>0</v>
      </c>
      <c r="AE221" s="852">
        <f t="shared" si="21"/>
        <v>0</v>
      </c>
      <c r="AF221" s="853">
        <f t="shared" si="24"/>
        <v>983</v>
      </c>
    </row>
    <row r="222" spans="1:32" x14ac:dyDescent="0.3">
      <c r="A222" s="287" t="s">
        <v>804</v>
      </c>
      <c r="B222" s="851" t="s">
        <v>2022</v>
      </c>
      <c r="C222" s="717"/>
      <c r="D222" s="718" t="s">
        <v>251</v>
      </c>
      <c r="E222" s="718"/>
      <c r="F222" s="718" t="s">
        <v>251</v>
      </c>
      <c r="G222" s="718" t="s">
        <v>251</v>
      </c>
      <c r="H222" s="718" t="s">
        <v>251</v>
      </c>
      <c r="I222" s="718" t="s">
        <v>251</v>
      </c>
      <c r="J222" s="718" t="s">
        <v>251</v>
      </c>
      <c r="K222" s="718"/>
      <c r="L222" s="718" t="s">
        <v>251</v>
      </c>
      <c r="M222" s="718" t="s">
        <v>251</v>
      </c>
      <c r="N222" s="718" t="s">
        <v>251</v>
      </c>
      <c r="O222" s="718" t="s">
        <v>251</v>
      </c>
      <c r="P222" s="1497">
        <f t="shared" si="22"/>
        <v>0</v>
      </c>
      <c r="Q222" s="1405">
        <f t="shared" si="23"/>
        <v>0</v>
      </c>
      <c r="R222" s="717"/>
      <c r="S222" s="718"/>
      <c r="T222" s="718"/>
      <c r="U222" s="718"/>
      <c r="V222" s="718"/>
      <c r="W222" s="718"/>
      <c r="X222" s="718"/>
      <c r="Y222" s="718"/>
      <c r="Z222" s="718"/>
      <c r="AA222" s="718"/>
      <c r="AB222" s="718"/>
      <c r="AC222" s="718"/>
      <c r="AD222" s="1405">
        <f t="shared" si="20"/>
        <v>0</v>
      </c>
      <c r="AE222" s="852">
        <f t="shared" si="21"/>
        <v>0</v>
      </c>
      <c r="AF222" s="853">
        <f t="shared" si="24"/>
        <v>983</v>
      </c>
    </row>
    <row r="223" spans="1:32" x14ac:dyDescent="0.3">
      <c r="A223" s="287" t="s">
        <v>804</v>
      </c>
      <c r="B223" s="851" t="s">
        <v>1412</v>
      </c>
      <c r="C223" s="717">
        <v>0</v>
      </c>
      <c r="D223" s="718" t="s">
        <v>251</v>
      </c>
      <c r="E223" s="718">
        <v>0</v>
      </c>
      <c r="F223" s="718" t="s">
        <v>251</v>
      </c>
      <c r="G223" s="718" t="s">
        <v>251</v>
      </c>
      <c r="H223" s="718" t="s">
        <v>251</v>
      </c>
      <c r="I223" s="718" t="s">
        <v>251</v>
      </c>
      <c r="J223" s="718" t="s">
        <v>251</v>
      </c>
      <c r="K223" s="718"/>
      <c r="L223" s="718" t="s">
        <v>251</v>
      </c>
      <c r="M223" s="718" t="s">
        <v>251</v>
      </c>
      <c r="N223" s="718">
        <v>0</v>
      </c>
      <c r="O223" s="718" t="s">
        <v>251</v>
      </c>
      <c r="P223" s="1497">
        <f t="shared" si="22"/>
        <v>0</v>
      </c>
      <c r="Q223" s="1405">
        <f t="shared" si="23"/>
        <v>0</v>
      </c>
      <c r="R223" s="717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1405">
        <f t="shared" si="20"/>
        <v>0</v>
      </c>
      <c r="AE223" s="852">
        <f t="shared" si="21"/>
        <v>0</v>
      </c>
      <c r="AF223" s="853">
        <f t="shared" si="24"/>
        <v>983</v>
      </c>
    </row>
    <row r="224" spans="1:32" x14ac:dyDescent="0.3">
      <c r="A224" s="287" t="s">
        <v>804</v>
      </c>
      <c r="B224" s="851" t="s">
        <v>2023</v>
      </c>
      <c r="C224" s="717"/>
      <c r="D224" s="718" t="s">
        <v>251</v>
      </c>
      <c r="E224" s="718"/>
      <c r="F224" s="718" t="s">
        <v>251</v>
      </c>
      <c r="G224" s="718" t="s">
        <v>251</v>
      </c>
      <c r="H224" s="718" t="s">
        <v>251</v>
      </c>
      <c r="I224" s="718" t="s">
        <v>251</v>
      </c>
      <c r="J224" s="718" t="s">
        <v>251</v>
      </c>
      <c r="K224" s="718"/>
      <c r="L224" s="718" t="s">
        <v>251</v>
      </c>
      <c r="M224" s="718" t="s">
        <v>251</v>
      </c>
      <c r="N224" s="718" t="s">
        <v>251</v>
      </c>
      <c r="O224" s="718" t="s">
        <v>251</v>
      </c>
      <c r="P224" s="1497">
        <f t="shared" si="22"/>
        <v>0</v>
      </c>
      <c r="Q224" s="1405">
        <f t="shared" si="23"/>
        <v>0</v>
      </c>
      <c r="R224" s="717"/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1405">
        <f t="shared" si="20"/>
        <v>0</v>
      </c>
      <c r="AE224" s="852">
        <f t="shared" si="21"/>
        <v>0</v>
      </c>
      <c r="AF224" s="853">
        <f t="shared" si="24"/>
        <v>983</v>
      </c>
    </row>
    <row r="225" spans="1:32" x14ac:dyDescent="0.3">
      <c r="A225" s="287" t="s">
        <v>804</v>
      </c>
      <c r="B225" s="851" t="s">
        <v>1434</v>
      </c>
      <c r="C225" s="717">
        <v>0</v>
      </c>
      <c r="D225" s="718" t="s">
        <v>251</v>
      </c>
      <c r="E225" s="718">
        <v>0</v>
      </c>
      <c r="F225" s="718" t="s">
        <v>251</v>
      </c>
      <c r="G225" s="718" t="s">
        <v>251</v>
      </c>
      <c r="H225" s="718" t="s">
        <v>251</v>
      </c>
      <c r="I225" s="718" t="s">
        <v>251</v>
      </c>
      <c r="J225" s="718" t="s">
        <v>251</v>
      </c>
      <c r="K225" s="718"/>
      <c r="L225" s="718" t="s">
        <v>251</v>
      </c>
      <c r="M225" s="718" t="s">
        <v>251</v>
      </c>
      <c r="N225" s="718">
        <v>0</v>
      </c>
      <c r="O225" s="718" t="s">
        <v>251</v>
      </c>
      <c r="P225" s="1497">
        <f t="shared" si="22"/>
        <v>0</v>
      </c>
      <c r="Q225" s="1405">
        <f t="shared" si="23"/>
        <v>0</v>
      </c>
      <c r="R225" s="717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1405">
        <f t="shared" si="20"/>
        <v>0</v>
      </c>
      <c r="AE225" s="852">
        <f t="shared" si="21"/>
        <v>0</v>
      </c>
      <c r="AF225" s="853">
        <f t="shared" si="24"/>
        <v>983</v>
      </c>
    </row>
    <row r="226" spans="1:32" x14ac:dyDescent="0.3">
      <c r="A226" s="287" t="s">
        <v>804</v>
      </c>
      <c r="B226" s="851" t="s">
        <v>2024</v>
      </c>
      <c r="C226" s="717"/>
      <c r="D226" s="718" t="s">
        <v>251</v>
      </c>
      <c r="E226" s="718"/>
      <c r="F226" s="718" t="s">
        <v>251</v>
      </c>
      <c r="G226" s="718" t="s">
        <v>251</v>
      </c>
      <c r="H226" s="718" t="s">
        <v>251</v>
      </c>
      <c r="I226" s="718" t="s">
        <v>251</v>
      </c>
      <c r="J226" s="718" t="s">
        <v>251</v>
      </c>
      <c r="K226" s="718"/>
      <c r="L226" s="718" t="s">
        <v>251</v>
      </c>
      <c r="M226" s="718" t="s">
        <v>251</v>
      </c>
      <c r="N226" s="718" t="s">
        <v>251</v>
      </c>
      <c r="O226" s="718" t="s">
        <v>251</v>
      </c>
      <c r="P226" s="1497">
        <f t="shared" si="22"/>
        <v>0</v>
      </c>
      <c r="Q226" s="1405">
        <f t="shared" si="23"/>
        <v>0</v>
      </c>
      <c r="R226" s="717"/>
      <c r="S226" s="718">
        <v>19000</v>
      </c>
      <c r="T226" s="718">
        <v>0</v>
      </c>
      <c r="U226" s="718">
        <v>0</v>
      </c>
      <c r="V226" s="718">
        <v>0</v>
      </c>
      <c r="W226" s="718">
        <v>0</v>
      </c>
      <c r="X226" s="718">
        <v>0</v>
      </c>
      <c r="Y226" s="718">
        <v>0</v>
      </c>
      <c r="Z226" s="718"/>
      <c r="AA226" s="718"/>
      <c r="AB226" s="718"/>
      <c r="AC226" s="718"/>
      <c r="AD226" s="1405">
        <f t="shared" si="20"/>
        <v>19000</v>
      </c>
      <c r="AE226" s="852">
        <f t="shared" si="21"/>
        <v>1</v>
      </c>
      <c r="AF226" s="853">
        <f t="shared" si="24"/>
        <v>926</v>
      </c>
    </row>
    <row r="227" spans="1:32" x14ac:dyDescent="0.3">
      <c r="A227" s="287" t="s">
        <v>804</v>
      </c>
      <c r="B227" s="851" t="s">
        <v>1431</v>
      </c>
      <c r="C227" s="717">
        <v>0</v>
      </c>
      <c r="D227" s="718" t="s">
        <v>251</v>
      </c>
      <c r="E227" s="718">
        <v>0</v>
      </c>
      <c r="F227" s="718" t="s">
        <v>251</v>
      </c>
      <c r="G227" s="718" t="s">
        <v>251</v>
      </c>
      <c r="H227" s="718" t="s">
        <v>251</v>
      </c>
      <c r="I227" s="718" t="s">
        <v>251</v>
      </c>
      <c r="J227" s="718" t="s">
        <v>251</v>
      </c>
      <c r="K227" s="718"/>
      <c r="L227" s="718" t="s">
        <v>251</v>
      </c>
      <c r="M227" s="718" t="s">
        <v>251</v>
      </c>
      <c r="N227" s="718">
        <v>0</v>
      </c>
      <c r="O227" s="718" t="s">
        <v>251</v>
      </c>
      <c r="P227" s="1497">
        <f t="shared" si="22"/>
        <v>0</v>
      </c>
      <c r="Q227" s="1405">
        <f t="shared" si="23"/>
        <v>0</v>
      </c>
      <c r="R227" s="717"/>
      <c r="S227" s="718"/>
      <c r="T227" s="718"/>
      <c r="U227" s="718"/>
      <c r="V227" s="718"/>
      <c r="W227" s="718"/>
      <c r="X227" s="718"/>
      <c r="Y227" s="718"/>
      <c r="Z227" s="718"/>
      <c r="AA227" s="718"/>
      <c r="AB227" s="718"/>
      <c r="AC227" s="718"/>
      <c r="AD227" s="1405">
        <f t="shared" si="20"/>
        <v>0</v>
      </c>
      <c r="AE227" s="852">
        <f t="shared" si="21"/>
        <v>0</v>
      </c>
      <c r="AF227" s="853">
        <f t="shared" si="24"/>
        <v>983</v>
      </c>
    </row>
    <row r="228" spans="1:32" x14ac:dyDescent="0.3">
      <c r="A228" s="287" t="s">
        <v>804</v>
      </c>
      <c r="B228" s="851" t="s">
        <v>2025</v>
      </c>
      <c r="C228" s="717"/>
      <c r="D228" s="718" t="s">
        <v>251</v>
      </c>
      <c r="E228" s="718"/>
      <c r="F228" s="718" t="s">
        <v>251</v>
      </c>
      <c r="G228" s="718" t="s">
        <v>251</v>
      </c>
      <c r="H228" s="718" t="s">
        <v>251</v>
      </c>
      <c r="I228" s="718" t="s">
        <v>251</v>
      </c>
      <c r="J228" s="718" t="s">
        <v>251</v>
      </c>
      <c r="K228" s="718"/>
      <c r="L228" s="718" t="s">
        <v>251</v>
      </c>
      <c r="M228" s="718" t="s">
        <v>251</v>
      </c>
      <c r="N228" s="718" t="s">
        <v>251</v>
      </c>
      <c r="O228" s="718" t="s">
        <v>251</v>
      </c>
      <c r="P228" s="1497">
        <f t="shared" si="22"/>
        <v>0</v>
      </c>
      <c r="Q228" s="1405">
        <f t="shared" si="23"/>
        <v>0</v>
      </c>
      <c r="R228" s="717"/>
      <c r="S228" s="718"/>
      <c r="T228" s="718"/>
      <c r="U228" s="718"/>
      <c r="V228" s="718"/>
      <c r="W228" s="718"/>
      <c r="X228" s="718"/>
      <c r="Y228" s="718"/>
      <c r="Z228" s="718"/>
      <c r="AA228" s="718"/>
      <c r="AB228" s="718"/>
      <c r="AC228" s="718"/>
      <c r="AD228" s="1405">
        <f t="shared" si="20"/>
        <v>0</v>
      </c>
      <c r="AE228" s="852">
        <f t="shared" si="21"/>
        <v>0</v>
      </c>
      <c r="AF228" s="853">
        <f t="shared" si="24"/>
        <v>983</v>
      </c>
    </row>
    <row r="229" spans="1:32" x14ac:dyDescent="0.3">
      <c r="A229" s="287" t="s">
        <v>804</v>
      </c>
      <c r="B229" s="851" t="s">
        <v>2026</v>
      </c>
      <c r="C229" s="717"/>
      <c r="D229" s="718" t="s">
        <v>251</v>
      </c>
      <c r="E229" s="718"/>
      <c r="F229" s="718" t="s">
        <v>251</v>
      </c>
      <c r="G229" s="718" t="s">
        <v>251</v>
      </c>
      <c r="H229" s="718" t="s">
        <v>251</v>
      </c>
      <c r="I229" s="718" t="s">
        <v>251</v>
      </c>
      <c r="J229" s="718" t="s">
        <v>251</v>
      </c>
      <c r="K229" s="718"/>
      <c r="L229" s="718" t="s">
        <v>251</v>
      </c>
      <c r="M229" s="718" t="s">
        <v>251</v>
      </c>
      <c r="N229" s="718" t="s">
        <v>251</v>
      </c>
      <c r="O229" s="718" t="s">
        <v>251</v>
      </c>
      <c r="P229" s="1497">
        <f t="shared" si="22"/>
        <v>0</v>
      </c>
      <c r="Q229" s="1405">
        <f t="shared" si="23"/>
        <v>0</v>
      </c>
      <c r="R229" s="717"/>
      <c r="S229" s="718"/>
      <c r="T229" s="718"/>
      <c r="U229" s="718"/>
      <c r="V229" s="718"/>
      <c r="W229" s="718"/>
      <c r="X229" s="718"/>
      <c r="Y229" s="718"/>
      <c r="Z229" s="718"/>
      <c r="AA229" s="718"/>
      <c r="AB229" s="718"/>
      <c r="AC229" s="718"/>
      <c r="AD229" s="1405">
        <f t="shared" si="20"/>
        <v>0</v>
      </c>
      <c r="AE229" s="852">
        <f t="shared" si="21"/>
        <v>0</v>
      </c>
      <c r="AF229" s="853">
        <f t="shared" si="24"/>
        <v>983</v>
      </c>
    </row>
    <row r="230" spans="1:32" x14ac:dyDescent="0.3">
      <c r="A230" s="287" t="s">
        <v>804</v>
      </c>
      <c r="B230" s="851" t="s">
        <v>820</v>
      </c>
      <c r="C230" s="717"/>
      <c r="D230" s="718" t="s">
        <v>251</v>
      </c>
      <c r="E230" s="718"/>
      <c r="F230" s="718" t="s">
        <v>251</v>
      </c>
      <c r="G230" s="718" t="s">
        <v>251</v>
      </c>
      <c r="H230" s="718" t="s">
        <v>251</v>
      </c>
      <c r="I230" s="718" t="s">
        <v>251</v>
      </c>
      <c r="J230" s="718" t="s">
        <v>251</v>
      </c>
      <c r="K230" s="718"/>
      <c r="L230" s="718" t="s">
        <v>251</v>
      </c>
      <c r="M230" s="718" t="s">
        <v>251</v>
      </c>
      <c r="N230" s="718" t="s">
        <v>251</v>
      </c>
      <c r="O230" s="718" t="s">
        <v>251</v>
      </c>
      <c r="P230" s="1497">
        <f t="shared" si="22"/>
        <v>0</v>
      </c>
      <c r="Q230" s="1405">
        <f t="shared" si="23"/>
        <v>0</v>
      </c>
      <c r="R230" s="717"/>
      <c r="S230" s="718"/>
      <c r="T230" s="718"/>
      <c r="U230" s="718"/>
      <c r="V230" s="718"/>
      <c r="W230" s="718"/>
      <c r="X230" s="718"/>
      <c r="Y230" s="718"/>
      <c r="Z230" s="718"/>
      <c r="AA230" s="718"/>
      <c r="AB230" s="718"/>
      <c r="AC230" s="718"/>
      <c r="AD230" s="1405">
        <f t="shared" si="20"/>
        <v>0</v>
      </c>
      <c r="AE230" s="852">
        <f t="shared" si="21"/>
        <v>0</v>
      </c>
      <c r="AF230" s="853">
        <f t="shared" si="24"/>
        <v>983</v>
      </c>
    </row>
    <row r="231" spans="1:32" x14ac:dyDescent="0.3">
      <c r="A231" s="287" t="s">
        <v>804</v>
      </c>
      <c r="B231" s="851" t="s">
        <v>1418</v>
      </c>
      <c r="C231" s="717">
        <v>0</v>
      </c>
      <c r="D231" s="718" t="s">
        <v>251</v>
      </c>
      <c r="E231" s="718">
        <v>0</v>
      </c>
      <c r="F231" s="718" t="s">
        <v>251</v>
      </c>
      <c r="G231" s="718" t="s">
        <v>251</v>
      </c>
      <c r="H231" s="718" t="s">
        <v>251</v>
      </c>
      <c r="I231" s="718" t="s">
        <v>251</v>
      </c>
      <c r="J231" s="718" t="s">
        <v>251</v>
      </c>
      <c r="K231" s="718"/>
      <c r="L231" s="718" t="s">
        <v>251</v>
      </c>
      <c r="M231" s="718" t="s">
        <v>251</v>
      </c>
      <c r="N231" s="718">
        <v>0</v>
      </c>
      <c r="O231" s="718">
        <v>877700</v>
      </c>
      <c r="P231" s="1497">
        <f t="shared" si="22"/>
        <v>0</v>
      </c>
      <c r="Q231" s="1405">
        <f t="shared" si="23"/>
        <v>877700</v>
      </c>
      <c r="R231" s="717">
        <v>508600</v>
      </c>
      <c r="S231" s="718"/>
      <c r="T231" s="718">
        <v>590600</v>
      </c>
      <c r="U231" s="718">
        <v>0</v>
      </c>
      <c r="V231" s="718">
        <v>0</v>
      </c>
      <c r="W231" s="718">
        <v>0</v>
      </c>
      <c r="X231" s="718">
        <v>0</v>
      </c>
      <c r="Y231" s="718">
        <v>0</v>
      </c>
      <c r="Z231" s="718"/>
      <c r="AA231" s="718"/>
      <c r="AB231" s="718"/>
      <c r="AC231" s="718"/>
      <c r="AD231" s="1405">
        <f t="shared" si="20"/>
        <v>1099200</v>
      </c>
      <c r="AE231" s="852">
        <f t="shared" si="21"/>
        <v>1</v>
      </c>
      <c r="AF231" s="853">
        <f t="shared" si="24"/>
        <v>302</v>
      </c>
    </row>
    <row r="232" spans="1:32" x14ac:dyDescent="0.3">
      <c r="A232" s="287" t="s">
        <v>804</v>
      </c>
      <c r="B232" s="851" t="s">
        <v>2027</v>
      </c>
      <c r="C232" s="717"/>
      <c r="D232" s="718" t="s">
        <v>251</v>
      </c>
      <c r="E232" s="718"/>
      <c r="F232" s="718" t="s">
        <v>251</v>
      </c>
      <c r="G232" s="718" t="s">
        <v>251</v>
      </c>
      <c r="H232" s="718" t="s">
        <v>251</v>
      </c>
      <c r="I232" s="718" t="s">
        <v>251</v>
      </c>
      <c r="J232" s="718" t="s">
        <v>251</v>
      </c>
      <c r="K232" s="718"/>
      <c r="L232" s="718" t="s">
        <v>251</v>
      </c>
      <c r="M232" s="718" t="s">
        <v>251</v>
      </c>
      <c r="N232" s="718" t="s">
        <v>251</v>
      </c>
      <c r="O232" s="718" t="s">
        <v>251</v>
      </c>
      <c r="P232" s="1497">
        <f t="shared" si="22"/>
        <v>0</v>
      </c>
      <c r="Q232" s="1405">
        <f t="shared" si="23"/>
        <v>0</v>
      </c>
      <c r="R232" s="717"/>
      <c r="S232" s="718"/>
      <c r="T232" s="718"/>
      <c r="U232" s="718"/>
      <c r="V232" s="718"/>
      <c r="W232" s="718"/>
      <c r="X232" s="718"/>
      <c r="Y232" s="718"/>
      <c r="Z232" s="718"/>
      <c r="AA232" s="718"/>
      <c r="AB232" s="718"/>
      <c r="AC232" s="718"/>
      <c r="AD232" s="1405">
        <f t="shared" si="20"/>
        <v>0</v>
      </c>
      <c r="AE232" s="852">
        <f t="shared" si="21"/>
        <v>0</v>
      </c>
      <c r="AF232" s="853">
        <f t="shared" si="24"/>
        <v>983</v>
      </c>
    </row>
    <row r="233" spans="1:32" x14ac:dyDescent="0.3">
      <c r="A233" s="287" t="s">
        <v>804</v>
      </c>
      <c r="B233" s="851" t="s">
        <v>2028</v>
      </c>
      <c r="C233" s="717"/>
      <c r="D233" s="718" t="s">
        <v>251</v>
      </c>
      <c r="E233" s="718"/>
      <c r="F233" s="718" t="s">
        <v>251</v>
      </c>
      <c r="G233" s="718" t="s">
        <v>251</v>
      </c>
      <c r="H233" s="718" t="s">
        <v>251</v>
      </c>
      <c r="I233" s="718" t="s">
        <v>251</v>
      </c>
      <c r="J233" s="718" t="s">
        <v>251</v>
      </c>
      <c r="K233" s="718"/>
      <c r="L233" s="718" t="s">
        <v>251</v>
      </c>
      <c r="M233" s="718" t="s">
        <v>251</v>
      </c>
      <c r="N233" s="718" t="s">
        <v>251</v>
      </c>
      <c r="O233" s="718" t="s">
        <v>251</v>
      </c>
      <c r="P233" s="1497">
        <f t="shared" si="22"/>
        <v>0</v>
      </c>
      <c r="Q233" s="1405">
        <f t="shared" si="23"/>
        <v>0</v>
      </c>
      <c r="R233" s="717"/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1405">
        <f t="shared" si="20"/>
        <v>0</v>
      </c>
      <c r="AE233" s="852">
        <f t="shared" si="21"/>
        <v>0</v>
      </c>
      <c r="AF233" s="853">
        <f t="shared" si="24"/>
        <v>983</v>
      </c>
    </row>
    <row r="234" spans="1:32" x14ac:dyDescent="0.3">
      <c r="A234" s="287" t="s">
        <v>804</v>
      </c>
      <c r="B234" s="851" t="s">
        <v>2029</v>
      </c>
      <c r="C234" s="717"/>
      <c r="D234" s="718" t="s">
        <v>251</v>
      </c>
      <c r="E234" s="718"/>
      <c r="F234" s="718" t="s">
        <v>251</v>
      </c>
      <c r="G234" s="718" t="s">
        <v>251</v>
      </c>
      <c r="H234" s="718" t="s">
        <v>251</v>
      </c>
      <c r="I234" s="718" t="s">
        <v>251</v>
      </c>
      <c r="J234" s="718" t="s">
        <v>251</v>
      </c>
      <c r="K234" s="718"/>
      <c r="L234" s="718" t="s">
        <v>251</v>
      </c>
      <c r="M234" s="718" t="s">
        <v>251</v>
      </c>
      <c r="N234" s="718" t="s">
        <v>251</v>
      </c>
      <c r="O234" s="718" t="s">
        <v>251</v>
      </c>
      <c r="P234" s="1497">
        <f t="shared" si="22"/>
        <v>0</v>
      </c>
      <c r="Q234" s="1405">
        <f t="shared" si="23"/>
        <v>0</v>
      </c>
      <c r="R234" s="717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1405">
        <f t="shared" si="20"/>
        <v>0</v>
      </c>
      <c r="AE234" s="852">
        <f t="shared" si="21"/>
        <v>0</v>
      </c>
      <c r="AF234" s="853">
        <f t="shared" si="24"/>
        <v>983</v>
      </c>
    </row>
    <row r="235" spans="1:32" x14ac:dyDescent="0.3">
      <c r="A235" s="287" t="s">
        <v>804</v>
      </c>
      <c r="B235" s="851" t="s">
        <v>1437</v>
      </c>
      <c r="C235" s="717">
        <v>0</v>
      </c>
      <c r="D235" s="718">
        <v>0</v>
      </c>
      <c r="E235" s="718">
        <v>0</v>
      </c>
      <c r="F235" s="718">
        <v>0</v>
      </c>
      <c r="G235" s="718">
        <v>0</v>
      </c>
      <c r="H235" s="718">
        <v>0</v>
      </c>
      <c r="I235" s="718">
        <v>0</v>
      </c>
      <c r="J235" s="718">
        <v>0</v>
      </c>
      <c r="K235" s="718"/>
      <c r="L235" s="718">
        <v>0</v>
      </c>
      <c r="M235" s="718">
        <v>0</v>
      </c>
      <c r="N235" s="718">
        <v>161600</v>
      </c>
      <c r="O235" s="718" t="s">
        <v>251</v>
      </c>
      <c r="P235" s="1497">
        <f t="shared" si="22"/>
        <v>0</v>
      </c>
      <c r="Q235" s="1405">
        <f t="shared" si="23"/>
        <v>161600</v>
      </c>
      <c r="R235" s="717">
        <v>314700</v>
      </c>
      <c r="S235" s="718"/>
      <c r="T235" s="718">
        <v>0</v>
      </c>
      <c r="U235" s="718">
        <v>0</v>
      </c>
      <c r="V235" s="718">
        <v>0</v>
      </c>
      <c r="W235" s="718">
        <v>0</v>
      </c>
      <c r="X235" s="718">
        <v>318200</v>
      </c>
      <c r="Y235" s="718">
        <v>79000</v>
      </c>
      <c r="Z235" s="718"/>
      <c r="AA235" s="718"/>
      <c r="AB235" s="718"/>
      <c r="AC235" s="718"/>
      <c r="AD235" s="1405">
        <f t="shared" si="20"/>
        <v>711900</v>
      </c>
      <c r="AE235" s="852">
        <f t="shared" si="21"/>
        <v>1</v>
      </c>
      <c r="AF235" s="853">
        <f t="shared" si="24"/>
        <v>377</v>
      </c>
    </row>
    <row r="236" spans="1:32" x14ac:dyDescent="0.3">
      <c r="A236" s="287" t="s">
        <v>804</v>
      </c>
      <c r="B236" s="851" t="s">
        <v>2030</v>
      </c>
      <c r="C236" s="717"/>
      <c r="D236" s="718" t="s">
        <v>251</v>
      </c>
      <c r="E236" s="718"/>
      <c r="F236" s="718" t="s">
        <v>251</v>
      </c>
      <c r="G236" s="718" t="s">
        <v>251</v>
      </c>
      <c r="H236" s="718" t="s">
        <v>251</v>
      </c>
      <c r="I236" s="718" t="s">
        <v>251</v>
      </c>
      <c r="J236" s="718" t="s">
        <v>251</v>
      </c>
      <c r="K236" s="718"/>
      <c r="L236" s="718" t="s">
        <v>251</v>
      </c>
      <c r="M236" s="718" t="s">
        <v>251</v>
      </c>
      <c r="N236" s="718" t="s">
        <v>251</v>
      </c>
      <c r="O236" s="718" t="s">
        <v>251</v>
      </c>
      <c r="P236" s="1497">
        <f t="shared" si="22"/>
        <v>0</v>
      </c>
      <c r="Q236" s="1405">
        <f t="shared" si="23"/>
        <v>0</v>
      </c>
      <c r="R236" s="717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1405">
        <f t="shared" si="20"/>
        <v>0</v>
      </c>
      <c r="AE236" s="852">
        <f t="shared" si="21"/>
        <v>0</v>
      </c>
      <c r="AF236" s="853">
        <f t="shared" si="24"/>
        <v>983</v>
      </c>
    </row>
    <row r="237" spans="1:32" x14ac:dyDescent="0.3">
      <c r="A237" s="287" t="s">
        <v>804</v>
      </c>
      <c r="B237" s="851" t="s">
        <v>2031</v>
      </c>
      <c r="C237" s="717"/>
      <c r="D237" s="718" t="s">
        <v>251</v>
      </c>
      <c r="E237" s="718"/>
      <c r="F237" s="718" t="s">
        <v>251</v>
      </c>
      <c r="G237" s="718" t="s">
        <v>251</v>
      </c>
      <c r="H237" s="718" t="s">
        <v>251</v>
      </c>
      <c r="I237" s="718" t="s">
        <v>251</v>
      </c>
      <c r="J237" s="718" t="s">
        <v>251</v>
      </c>
      <c r="K237" s="718"/>
      <c r="L237" s="718" t="s">
        <v>251</v>
      </c>
      <c r="M237" s="718" t="s">
        <v>251</v>
      </c>
      <c r="N237" s="718" t="s">
        <v>251</v>
      </c>
      <c r="O237" s="718" t="s">
        <v>251</v>
      </c>
      <c r="P237" s="1497">
        <f t="shared" si="22"/>
        <v>0</v>
      </c>
      <c r="Q237" s="1405">
        <f t="shared" si="23"/>
        <v>0</v>
      </c>
      <c r="R237" s="717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1405">
        <f t="shared" si="20"/>
        <v>0</v>
      </c>
      <c r="AE237" s="852">
        <f t="shared" si="21"/>
        <v>0</v>
      </c>
      <c r="AF237" s="853">
        <f t="shared" si="24"/>
        <v>983</v>
      </c>
    </row>
    <row r="238" spans="1:32" x14ac:dyDescent="0.3">
      <c r="A238" s="287" t="s">
        <v>804</v>
      </c>
      <c r="B238" s="851" t="s">
        <v>2032</v>
      </c>
      <c r="C238" s="717"/>
      <c r="D238" s="718" t="s">
        <v>251</v>
      </c>
      <c r="E238" s="718"/>
      <c r="F238" s="718" t="s">
        <v>251</v>
      </c>
      <c r="G238" s="718" t="s">
        <v>251</v>
      </c>
      <c r="H238" s="718" t="s">
        <v>251</v>
      </c>
      <c r="I238" s="718" t="s">
        <v>251</v>
      </c>
      <c r="J238" s="718" t="s">
        <v>251</v>
      </c>
      <c r="K238" s="718"/>
      <c r="L238" s="718" t="s">
        <v>251</v>
      </c>
      <c r="M238" s="718" t="s">
        <v>251</v>
      </c>
      <c r="N238" s="718" t="s">
        <v>251</v>
      </c>
      <c r="O238" s="718" t="s">
        <v>251</v>
      </c>
      <c r="P238" s="1497">
        <f t="shared" si="22"/>
        <v>0</v>
      </c>
      <c r="Q238" s="1405">
        <f t="shared" si="23"/>
        <v>0</v>
      </c>
      <c r="R238" s="717"/>
      <c r="S238" s="718"/>
      <c r="T238" s="718"/>
      <c r="U238" s="718"/>
      <c r="V238" s="718"/>
      <c r="W238" s="718"/>
      <c r="X238" s="718"/>
      <c r="Y238" s="718"/>
      <c r="Z238" s="718"/>
      <c r="AA238" s="718"/>
      <c r="AB238" s="718"/>
      <c r="AC238" s="718"/>
      <c r="AD238" s="1405">
        <f t="shared" si="20"/>
        <v>0</v>
      </c>
      <c r="AE238" s="852">
        <f t="shared" si="21"/>
        <v>0</v>
      </c>
      <c r="AF238" s="853">
        <f t="shared" si="24"/>
        <v>983</v>
      </c>
    </row>
    <row r="239" spans="1:32" x14ac:dyDescent="0.3">
      <c r="A239" s="287" t="s">
        <v>804</v>
      </c>
      <c r="B239" s="851" t="s">
        <v>2033</v>
      </c>
      <c r="C239" s="717"/>
      <c r="D239" s="718" t="s">
        <v>251</v>
      </c>
      <c r="E239" s="718"/>
      <c r="F239" s="718" t="s">
        <v>251</v>
      </c>
      <c r="G239" s="718" t="s">
        <v>251</v>
      </c>
      <c r="H239" s="718" t="s">
        <v>251</v>
      </c>
      <c r="I239" s="718" t="s">
        <v>251</v>
      </c>
      <c r="J239" s="718" t="s">
        <v>251</v>
      </c>
      <c r="K239" s="718"/>
      <c r="L239" s="718" t="s">
        <v>251</v>
      </c>
      <c r="M239" s="718" t="s">
        <v>251</v>
      </c>
      <c r="N239" s="718" t="s">
        <v>251</v>
      </c>
      <c r="O239" s="718" t="s">
        <v>251</v>
      </c>
      <c r="P239" s="1497">
        <f t="shared" si="22"/>
        <v>0</v>
      </c>
      <c r="Q239" s="1405">
        <f t="shared" si="23"/>
        <v>0</v>
      </c>
      <c r="R239" s="717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1405">
        <f t="shared" si="20"/>
        <v>0</v>
      </c>
      <c r="AE239" s="852">
        <f t="shared" si="21"/>
        <v>0</v>
      </c>
      <c r="AF239" s="853">
        <f t="shared" si="24"/>
        <v>983</v>
      </c>
    </row>
    <row r="240" spans="1:32" x14ac:dyDescent="0.3">
      <c r="A240" s="287" t="s">
        <v>804</v>
      </c>
      <c r="B240" s="851" t="s">
        <v>2034</v>
      </c>
      <c r="C240" s="717"/>
      <c r="D240" s="718">
        <v>0</v>
      </c>
      <c r="E240" s="718"/>
      <c r="F240" s="718">
        <v>0</v>
      </c>
      <c r="G240" s="718">
        <v>0</v>
      </c>
      <c r="H240" s="718">
        <v>0</v>
      </c>
      <c r="I240" s="718">
        <v>0</v>
      </c>
      <c r="J240" s="718">
        <v>0</v>
      </c>
      <c r="K240" s="718"/>
      <c r="L240" s="718">
        <v>0</v>
      </c>
      <c r="M240" s="718">
        <v>0</v>
      </c>
      <c r="N240" s="718">
        <v>5961500</v>
      </c>
      <c r="O240" s="718">
        <v>5625800</v>
      </c>
      <c r="P240" s="1497">
        <f t="shared" si="22"/>
        <v>0</v>
      </c>
      <c r="Q240" s="1405">
        <f t="shared" si="23"/>
        <v>11587300</v>
      </c>
      <c r="R240" s="717"/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1405">
        <f t="shared" si="20"/>
        <v>0</v>
      </c>
      <c r="AE240" s="852">
        <f t="shared" si="21"/>
        <v>0</v>
      </c>
      <c r="AF240" s="853">
        <f t="shared" si="24"/>
        <v>983</v>
      </c>
    </row>
    <row r="241" spans="1:32" x14ac:dyDescent="0.3">
      <c r="A241" s="287" t="s">
        <v>804</v>
      </c>
      <c r="B241" s="851" t="s">
        <v>1455</v>
      </c>
      <c r="C241" s="717"/>
      <c r="D241" s="718">
        <v>0</v>
      </c>
      <c r="E241" s="718"/>
      <c r="F241" s="718">
        <v>0</v>
      </c>
      <c r="G241" s="718">
        <v>0</v>
      </c>
      <c r="H241" s="718">
        <v>0</v>
      </c>
      <c r="I241" s="718">
        <v>0</v>
      </c>
      <c r="J241" s="718">
        <v>0</v>
      </c>
      <c r="K241" s="718"/>
      <c r="L241" s="718">
        <v>0</v>
      </c>
      <c r="M241" s="718">
        <v>0</v>
      </c>
      <c r="N241" s="718">
        <v>146150</v>
      </c>
      <c r="O241" s="718" t="s">
        <v>251</v>
      </c>
      <c r="P241" s="1497">
        <f t="shared" si="22"/>
        <v>0</v>
      </c>
      <c r="Q241" s="1405">
        <f t="shared" si="23"/>
        <v>146150</v>
      </c>
      <c r="R241" s="717"/>
      <c r="S241" s="718"/>
      <c r="T241" s="718"/>
      <c r="U241" s="718"/>
      <c r="V241" s="718">
        <v>144550</v>
      </c>
      <c r="W241" s="718">
        <v>0</v>
      </c>
      <c r="X241" s="718">
        <v>0</v>
      </c>
      <c r="Y241" s="718">
        <v>0</v>
      </c>
      <c r="Z241" s="718"/>
      <c r="AA241" s="718"/>
      <c r="AB241" s="718"/>
      <c r="AC241" s="718"/>
      <c r="AD241" s="1405">
        <f t="shared" si="20"/>
        <v>144550</v>
      </c>
      <c r="AE241" s="852">
        <f t="shared" si="21"/>
        <v>1</v>
      </c>
      <c r="AF241" s="853">
        <f t="shared" si="24"/>
        <v>679</v>
      </c>
    </row>
    <row r="242" spans="1:32" x14ac:dyDescent="0.3">
      <c r="A242" s="287" t="s">
        <v>804</v>
      </c>
      <c r="B242" s="851" t="s">
        <v>2035</v>
      </c>
      <c r="C242" s="717"/>
      <c r="D242" s="718">
        <v>0</v>
      </c>
      <c r="E242" s="718"/>
      <c r="F242" s="718">
        <v>0</v>
      </c>
      <c r="G242" s="718">
        <v>0</v>
      </c>
      <c r="H242" s="718">
        <v>0</v>
      </c>
      <c r="I242" s="718">
        <v>0</v>
      </c>
      <c r="J242" s="718">
        <v>0</v>
      </c>
      <c r="K242" s="718"/>
      <c r="L242" s="718">
        <v>0</v>
      </c>
      <c r="M242" s="718">
        <v>0</v>
      </c>
      <c r="N242" s="718">
        <v>125800</v>
      </c>
      <c r="O242" s="718">
        <v>691550</v>
      </c>
      <c r="P242" s="1497">
        <f t="shared" si="22"/>
        <v>0</v>
      </c>
      <c r="Q242" s="1405">
        <f t="shared" si="23"/>
        <v>817350</v>
      </c>
      <c r="R242" s="717"/>
      <c r="S242" s="718"/>
      <c r="T242" s="718">
        <v>145500</v>
      </c>
      <c r="U242" s="718">
        <v>361250</v>
      </c>
      <c r="V242" s="718">
        <v>0</v>
      </c>
      <c r="W242" s="718">
        <v>0</v>
      </c>
      <c r="X242" s="718">
        <v>0</v>
      </c>
      <c r="Y242" s="718">
        <v>0</v>
      </c>
      <c r="Z242" s="718"/>
      <c r="AA242" s="718"/>
      <c r="AB242" s="718"/>
      <c r="AC242" s="718"/>
      <c r="AD242" s="1405">
        <f t="shared" si="20"/>
        <v>506750</v>
      </c>
      <c r="AE242" s="852">
        <f t="shared" si="21"/>
        <v>1</v>
      </c>
      <c r="AF242" s="853">
        <f t="shared" si="24"/>
        <v>436</v>
      </c>
    </row>
    <row r="243" spans="1:32" x14ac:dyDescent="0.3">
      <c r="A243" s="287" t="s">
        <v>804</v>
      </c>
      <c r="B243" s="851" t="s">
        <v>2036</v>
      </c>
      <c r="C243" s="717"/>
      <c r="D243" s="718">
        <v>0</v>
      </c>
      <c r="E243" s="718"/>
      <c r="F243" s="718">
        <v>0</v>
      </c>
      <c r="G243" s="718">
        <v>0</v>
      </c>
      <c r="H243" s="718">
        <v>0</v>
      </c>
      <c r="I243" s="718">
        <v>0</v>
      </c>
      <c r="J243" s="718">
        <v>0</v>
      </c>
      <c r="K243" s="718"/>
      <c r="L243" s="718">
        <v>0</v>
      </c>
      <c r="M243" s="718">
        <v>0</v>
      </c>
      <c r="N243" s="718">
        <v>124000</v>
      </c>
      <c r="O243" s="718" t="s">
        <v>251</v>
      </c>
      <c r="P243" s="1497">
        <f t="shared" si="22"/>
        <v>0</v>
      </c>
      <c r="Q243" s="1405">
        <f t="shared" si="23"/>
        <v>124000</v>
      </c>
      <c r="R243" s="717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1405">
        <f t="shared" si="20"/>
        <v>0</v>
      </c>
      <c r="AE243" s="852">
        <f t="shared" si="21"/>
        <v>0</v>
      </c>
      <c r="AF243" s="853">
        <f t="shared" si="24"/>
        <v>983</v>
      </c>
    </row>
    <row r="244" spans="1:32" x14ac:dyDescent="0.3">
      <c r="A244" s="287" t="s">
        <v>804</v>
      </c>
      <c r="B244" s="851" t="s">
        <v>2037</v>
      </c>
      <c r="C244" s="717"/>
      <c r="D244" s="718">
        <v>0</v>
      </c>
      <c r="E244" s="718"/>
      <c r="F244" s="718">
        <v>0</v>
      </c>
      <c r="G244" s="718">
        <v>0</v>
      </c>
      <c r="H244" s="718">
        <v>0</v>
      </c>
      <c r="I244" s="718">
        <v>0</v>
      </c>
      <c r="J244" s="718">
        <v>0</v>
      </c>
      <c r="K244" s="718"/>
      <c r="L244" s="718">
        <v>0</v>
      </c>
      <c r="M244" s="718">
        <v>0</v>
      </c>
      <c r="N244" s="718">
        <v>119200</v>
      </c>
      <c r="O244" s="718" t="s">
        <v>251</v>
      </c>
      <c r="P244" s="1497">
        <f t="shared" si="22"/>
        <v>0</v>
      </c>
      <c r="Q244" s="1405">
        <f t="shared" si="23"/>
        <v>119200</v>
      </c>
      <c r="R244" s="717"/>
      <c r="S244" s="718"/>
      <c r="T244" s="718"/>
      <c r="U244" s="718"/>
      <c r="V244" s="718"/>
      <c r="W244" s="718"/>
      <c r="X244" s="718"/>
      <c r="Y244" s="718"/>
      <c r="Z244" s="718"/>
      <c r="AA244" s="718"/>
      <c r="AB244" s="718"/>
      <c r="AC244" s="718"/>
      <c r="AD244" s="1405">
        <f t="shared" si="20"/>
        <v>0</v>
      </c>
      <c r="AE244" s="852">
        <f t="shared" si="21"/>
        <v>0</v>
      </c>
      <c r="AF244" s="853">
        <f t="shared" si="24"/>
        <v>983</v>
      </c>
    </row>
    <row r="245" spans="1:32" x14ac:dyDescent="0.3">
      <c r="A245" s="287" t="s">
        <v>804</v>
      </c>
      <c r="B245" s="851" t="s">
        <v>2038</v>
      </c>
      <c r="C245" s="717"/>
      <c r="D245" s="718" t="s">
        <v>251</v>
      </c>
      <c r="E245" s="718"/>
      <c r="F245" s="718">
        <v>0</v>
      </c>
      <c r="G245" s="718" t="s">
        <v>251</v>
      </c>
      <c r="H245" s="718" t="s">
        <v>251</v>
      </c>
      <c r="I245" s="718" t="s">
        <v>251</v>
      </c>
      <c r="J245" s="718">
        <v>0</v>
      </c>
      <c r="K245" s="718"/>
      <c r="L245" s="718">
        <v>0</v>
      </c>
      <c r="M245" s="718">
        <v>0</v>
      </c>
      <c r="N245" s="718">
        <v>88520</v>
      </c>
      <c r="O245" s="718" t="s">
        <v>251</v>
      </c>
      <c r="P245" s="1497">
        <f t="shared" si="22"/>
        <v>0</v>
      </c>
      <c r="Q245" s="1405">
        <f t="shared" si="23"/>
        <v>88520</v>
      </c>
      <c r="R245" s="717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1405">
        <f t="shared" si="20"/>
        <v>0</v>
      </c>
      <c r="AE245" s="852">
        <f t="shared" si="21"/>
        <v>0</v>
      </c>
      <c r="AF245" s="853">
        <f t="shared" si="24"/>
        <v>983</v>
      </c>
    </row>
    <row r="246" spans="1:32" x14ac:dyDescent="0.3">
      <c r="A246" s="287" t="s">
        <v>804</v>
      </c>
      <c r="B246" s="851" t="s">
        <v>1413</v>
      </c>
      <c r="C246" s="717"/>
      <c r="D246" s="718" t="s">
        <v>251</v>
      </c>
      <c r="E246" s="718"/>
      <c r="F246" s="718" t="s">
        <v>251</v>
      </c>
      <c r="G246" s="718" t="s">
        <v>251</v>
      </c>
      <c r="H246" s="718" t="s">
        <v>251</v>
      </c>
      <c r="I246" s="718" t="s">
        <v>251</v>
      </c>
      <c r="J246" s="718" t="s">
        <v>251</v>
      </c>
      <c r="K246" s="718"/>
      <c r="L246" s="718" t="s">
        <v>251</v>
      </c>
      <c r="M246" s="718" t="s">
        <v>251</v>
      </c>
      <c r="N246" s="718" t="s">
        <v>251</v>
      </c>
      <c r="O246" s="718" t="s">
        <v>251</v>
      </c>
      <c r="P246" s="1497">
        <f t="shared" si="22"/>
        <v>0</v>
      </c>
      <c r="Q246" s="1405">
        <f t="shared" si="23"/>
        <v>0</v>
      </c>
      <c r="R246" s="717"/>
      <c r="S246" s="718"/>
      <c r="T246" s="718"/>
      <c r="U246" s="718"/>
      <c r="V246" s="718"/>
      <c r="W246" s="718"/>
      <c r="X246" s="718"/>
      <c r="Y246" s="718"/>
      <c r="Z246" s="718"/>
      <c r="AA246" s="718"/>
      <c r="AB246" s="718"/>
      <c r="AC246" s="718"/>
      <c r="AD246" s="1405">
        <f t="shared" si="20"/>
        <v>0</v>
      </c>
      <c r="AE246" s="852">
        <f t="shared" si="21"/>
        <v>0</v>
      </c>
      <c r="AF246" s="853">
        <f t="shared" si="24"/>
        <v>983</v>
      </c>
    </row>
    <row r="247" spans="1:32" x14ac:dyDescent="0.3">
      <c r="A247" s="287" t="s">
        <v>804</v>
      </c>
      <c r="B247" s="851" t="s">
        <v>1414</v>
      </c>
      <c r="C247" s="717"/>
      <c r="D247" s="718" t="s">
        <v>251</v>
      </c>
      <c r="E247" s="718"/>
      <c r="F247" s="718" t="s">
        <v>251</v>
      </c>
      <c r="G247" s="718" t="s">
        <v>251</v>
      </c>
      <c r="H247" s="718" t="s">
        <v>251</v>
      </c>
      <c r="I247" s="718" t="s">
        <v>251</v>
      </c>
      <c r="J247" s="718" t="s">
        <v>251</v>
      </c>
      <c r="K247" s="718"/>
      <c r="L247" s="718" t="s">
        <v>251</v>
      </c>
      <c r="M247" s="718" t="s">
        <v>251</v>
      </c>
      <c r="N247" s="718" t="s">
        <v>251</v>
      </c>
      <c r="O247" s="718" t="s">
        <v>251</v>
      </c>
      <c r="P247" s="1497">
        <f t="shared" si="22"/>
        <v>0</v>
      </c>
      <c r="Q247" s="1405">
        <f t="shared" si="23"/>
        <v>0</v>
      </c>
      <c r="R247" s="717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1405">
        <f t="shared" si="20"/>
        <v>0</v>
      </c>
      <c r="AE247" s="852">
        <f t="shared" si="21"/>
        <v>0</v>
      </c>
      <c r="AF247" s="853">
        <f t="shared" si="24"/>
        <v>983</v>
      </c>
    </row>
    <row r="248" spans="1:32" x14ac:dyDescent="0.3">
      <c r="A248" s="287" t="s">
        <v>804</v>
      </c>
      <c r="B248" s="851" t="s">
        <v>1415</v>
      </c>
      <c r="C248" s="717"/>
      <c r="D248" s="718" t="s">
        <v>251</v>
      </c>
      <c r="E248" s="718"/>
      <c r="F248" s="718" t="s">
        <v>251</v>
      </c>
      <c r="G248" s="718" t="s">
        <v>251</v>
      </c>
      <c r="H248" s="718" t="s">
        <v>251</v>
      </c>
      <c r="I248" s="718" t="s">
        <v>251</v>
      </c>
      <c r="J248" s="718" t="s">
        <v>251</v>
      </c>
      <c r="K248" s="718"/>
      <c r="L248" s="718" t="s">
        <v>251</v>
      </c>
      <c r="M248" s="718" t="s">
        <v>251</v>
      </c>
      <c r="N248" s="718" t="s">
        <v>251</v>
      </c>
      <c r="O248" s="718" t="s">
        <v>251</v>
      </c>
      <c r="P248" s="1497">
        <f t="shared" si="22"/>
        <v>0</v>
      </c>
      <c r="Q248" s="1405">
        <f t="shared" si="23"/>
        <v>0</v>
      </c>
      <c r="R248" s="717"/>
      <c r="S248" s="718"/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1405">
        <f t="shared" si="20"/>
        <v>0</v>
      </c>
      <c r="AE248" s="852">
        <f t="shared" si="21"/>
        <v>0</v>
      </c>
      <c r="AF248" s="853">
        <f t="shared" si="24"/>
        <v>983</v>
      </c>
    </row>
    <row r="249" spans="1:32" x14ac:dyDescent="0.3">
      <c r="A249" s="287" t="s">
        <v>804</v>
      </c>
      <c r="B249" s="851" t="s">
        <v>1416</v>
      </c>
      <c r="C249" s="717"/>
      <c r="D249" s="718" t="s">
        <v>251</v>
      </c>
      <c r="E249" s="718"/>
      <c r="F249" s="718" t="s">
        <v>251</v>
      </c>
      <c r="G249" s="718" t="s">
        <v>251</v>
      </c>
      <c r="H249" s="718" t="s">
        <v>251</v>
      </c>
      <c r="I249" s="718" t="s">
        <v>251</v>
      </c>
      <c r="J249" s="718" t="s">
        <v>251</v>
      </c>
      <c r="K249" s="718"/>
      <c r="L249" s="718" t="s">
        <v>251</v>
      </c>
      <c r="M249" s="718" t="s">
        <v>251</v>
      </c>
      <c r="N249" s="718" t="s">
        <v>251</v>
      </c>
      <c r="O249" s="718" t="s">
        <v>251</v>
      </c>
      <c r="P249" s="1497">
        <f t="shared" si="22"/>
        <v>0</v>
      </c>
      <c r="Q249" s="1405">
        <f t="shared" si="23"/>
        <v>0</v>
      </c>
      <c r="R249" s="717"/>
      <c r="S249" s="718"/>
      <c r="T249" s="718"/>
      <c r="U249" s="718"/>
      <c r="V249" s="718"/>
      <c r="W249" s="718"/>
      <c r="X249" s="718"/>
      <c r="Y249" s="718"/>
      <c r="Z249" s="718"/>
      <c r="AA249" s="718"/>
      <c r="AB249" s="718"/>
      <c r="AC249" s="718"/>
      <c r="AD249" s="1405">
        <f t="shared" si="20"/>
        <v>0</v>
      </c>
      <c r="AE249" s="852">
        <f t="shared" si="21"/>
        <v>0</v>
      </c>
      <c r="AF249" s="853">
        <f t="shared" si="24"/>
        <v>983</v>
      </c>
    </row>
    <row r="250" spans="1:32" x14ac:dyDescent="0.3">
      <c r="A250" s="287" t="s">
        <v>804</v>
      </c>
      <c r="B250" s="851" t="s">
        <v>1417</v>
      </c>
      <c r="C250" s="717">
        <v>0</v>
      </c>
      <c r="D250" s="718" t="s">
        <v>251</v>
      </c>
      <c r="E250" s="718">
        <v>0</v>
      </c>
      <c r="F250" s="718" t="s">
        <v>251</v>
      </c>
      <c r="G250" s="718" t="s">
        <v>251</v>
      </c>
      <c r="H250" s="718" t="s">
        <v>251</v>
      </c>
      <c r="I250" s="718" t="s">
        <v>251</v>
      </c>
      <c r="J250" s="718" t="s">
        <v>251</v>
      </c>
      <c r="K250" s="718"/>
      <c r="L250" s="718" t="s">
        <v>251</v>
      </c>
      <c r="M250" s="718" t="s">
        <v>251</v>
      </c>
      <c r="N250" s="718">
        <v>0</v>
      </c>
      <c r="O250" s="718" t="s">
        <v>251</v>
      </c>
      <c r="P250" s="1497">
        <f t="shared" si="22"/>
        <v>0</v>
      </c>
      <c r="Q250" s="1405">
        <f t="shared" si="23"/>
        <v>0</v>
      </c>
      <c r="R250" s="717"/>
      <c r="S250" s="718"/>
      <c r="T250" s="718"/>
      <c r="U250" s="718"/>
      <c r="V250" s="718"/>
      <c r="W250" s="718"/>
      <c r="X250" s="718"/>
      <c r="Y250" s="718"/>
      <c r="Z250" s="718"/>
      <c r="AA250" s="718"/>
      <c r="AB250" s="718"/>
      <c r="AC250" s="718"/>
      <c r="AD250" s="1405">
        <f t="shared" si="20"/>
        <v>0</v>
      </c>
      <c r="AE250" s="852">
        <f t="shared" si="21"/>
        <v>0</v>
      </c>
      <c r="AF250" s="853">
        <f t="shared" si="24"/>
        <v>983</v>
      </c>
    </row>
    <row r="251" spans="1:32" x14ac:dyDescent="0.3">
      <c r="A251" s="287" t="s">
        <v>804</v>
      </c>
      <c r="B251" s="851" t="s">
        <v>1419</v>
      </c>
      <c r="C251" s="717" t="s">
        <v>251</v>
      </c>
      <c r="D251" s="718" t="s">
        <v>251</v>
      </c>
      <c r="E251" s="718" t="s">
        <v>251</v>
      </c>
      <c r="F251" s="718" t="s">
        <v>251</v>
      </c>
      <c r="G251" s="718" t="s">
        <v>251</v>
      </c>
      <c r="H251" s="718" t="s">
        <v>251</v>
      </c>
      <c r="I251" s="718" t="s">
        <v>251</v>
      </c>
      <c r="J251" s="718" t="s">
        <v>251</v>
      </c>
      <c r="K251" s="718"/>
      <c r="L251" s="718" t="s">
        <v>251</v>
      </c>
      <c r="M251" s="718" t="s">
        <v>251</v>
      </c>
      <c r="N251" s="718" t="s">
        <v>251</v>
      </c>
      <c r="O251" s="718" t="s">
        <v>251</v>
      </c>
      <c r="P251" s="1497">
        <f t="shared" si="22"/>
        <v>0</v>
      </c>
      <c r="Q251" s="1405">
        <f t="shared" si="23"/>
        <v>0</v>
      </c>
      <c r="R251" s="717"/>
      <c r="S251" s="718"/>
      <c r="T251" s="718"/>
      <c r="U251" s="718"/>
      <c r="V251" s="718"/>
      <c r="W251" s="718">
        <v>1207800</v>
      </c>
      <c r="X251" s="718">
        <v>1176650</v>
      </c>
      <c r="Y251" s="718">
        <v>30150</v>
      </c>
      <c r="Z251" s="718"/>
      <c r="AA251" s="718"/>
      <c r="AB251" s="718"/>
      <c r="AC251" s="718"/>
      <c r="AD251" s="1405">
        <f t="shared" si="20"/>
        <v>2414600</v>
      </c>
      <c r="AE251" s="852">
        <f t="shared" si="21"/>
        <v>1</v>
      </c>
      <c r="AF251" s="853">
        <f t="shared" si="24"/>
        <v>180</v>
      </c>
    </row>
    <row r="252" spans="1:32" x14ac:dyDescent="0.3">
      <c r="A252" s="287" t="s">
        <v>804</v>
      </c>
      <c r="B252" s="851" t="s">
        <v>1420</v>
      </c>
      <c r="C252" s="717" t="s">
        <v>251</v>
      </c>
      <c r="D252" s="718" t="s">
        <v>251</v>
      </c>
      <c r="E252" s="718" t="s">
        <v>251</v>
      </c>
      <c r="F252" s="718" t="s">
        <v>251</v>
      </c>
      <c r="G252" s="718" t="s">
        <v>251</v>
      </c>
      <c r="H252" s="718" t="s">
        <v>251</v>
      </c>
      <c r="I252" s="718" t="s">
        <v>251</v>
      </c>
      <c r="J252" s="718" t="s">
        <v>251</v>
      </c>
      <c r="K252" s="718"/>
      <c r="L252" s="718" t="s">
        <v>251</v>
      </c>
      <c r="M252" s="718" t="s">
        <v>251</v>
      </c>
      <c r="N252" s="718" t="s">
        <v>251</v>
      </c>
      <c r="O252" s="718" t="s">
        <v>251</v>
      </c>
      <c r="P252" s="1497">
        <f t="shared" si="22"/>
        <v>0</v>
      </c>
      <c r="Q252" s="1405">
        <f t="shared" si="23"/>
        <v>0</v>
      </c>
      <c r="R252" s="717"/>
      <c r="S252" s="718"/>
      <c r="T252" s="718"/>
      <c r="U252" s="718"/>
      <c r="V252" s="718"/>
      <c r="W252" s="718"/>
      <c r="X252" s="718"/>
      <c r="Y252" s="718"/>
      <c r="Z252" s="718"/>
      <c r="AA252" s="718"/>
      <c r="AB252" s="718"/>
      <c r="AC252" s="718"/>
      <c r="AD252" s="1405">
        <f t="shared" si="20"/>
        <v>0</v>
      </c>
      <c r="AE252" s="852">
        <f t="shared" si="21"/>
        <v>0</v>
      </c>
      <c r="AF252" s="853">
        <f t="shared" si="24"/>
        <v>983</v>
      </c>
    </row>
    <row r="253" spans="1:32" x14ac:dyDescent="0.3">
      <c r="A253" s="287" t="s">
        <v>804</v>
      </c>
      <c r="B253" s="851" t="s">
        <v>779</v>
      </c>
      <c r="C253" s="717">
        <v>0</v>
      </c>
      <c r="D253" s="718" t="s">
        <v>251</v>
      </c>
      <c r="E253" s="718">
        <v>0</v>
      </c>
      <c r="F253" s="718" t="s">
        <v>251</v>
      </c>
      <c r="G253" s="718" t="s">
        <v>251</v>
      </c>
      <c r="H253" s="718" t="s">
        <v>251</v>
      </c>
      <c r="I253" s="718" t="s">
        <v>251</v>
      </c>
      <c r="J253" s="718" t="s">
        <v>251</v>
      </c>
      <c r="K253" s="718"/>
      <c r="L253" s="718" t="s">
        <v>251</v>
      </c>
      <c r="M253" s="718" t="s">
        <v>251</v>
      </c>
      <c r="N253" s="718">
        <v>0</v>
      </c>
      <c r="O253" s="718" t="s">
        <v>251</v>
      </c>
      <c r="P253" s="1497">
        <f t="shared" si="22"/>
        <v>0</v>
      </c>
      <c r="Q253" s="1405">
        <f t="shared" si="23"/>
        <v>0</v>
      </c>
      <c r="R253" s="717"/>
      <c r="S253" s="718"/>
      <c r="T253" s="718"/>
      <c r="U253" s="718"/>
      <c r="V253" s="718"/>
      <c r="W253" s="718"/>
      <c r="X253" s="718"/>
      <c r="Y253" s="718"/>
      <c r="Z253" s="718"/>
      <c r="AA253" s="718"/>
      <c r="AB253" s="718"/>
      <c r="AC253" s="718"/>
      <c r="AD253" s="1405">
        <f t="shared" si="20"/>
        <v>0</v>
      </c>
      <c r="AE253" s="852">
        <f t="shared" si="21"/>
        <v>0</v>
      </c>
      <c r="AF253" s="853">
        <f t="shared" si="24"/>
        <v>983</v>
      </c>
    </row>
    <row r="254" spans="1:32" x14ac:dyDescent="0.3">
      <c r="A254" s="287" t="s">
        <v>804</v>
      </c>
      <c r="B254" s="851" t="s">
        <v>1421</v>
      </c>
      <c r="C254" s="717" t="s">
        <v>251</v>
      </c>
      <c r="D254" s="718" t="s">
        <v>251</v>
      </c>
      <c r="E254" s="718" t="s">
        <v>251</v>
      </c>
      <c r="F254" s="718" t="s">
        <v>251</v>
      </c>
      <c r="G254" s="718" t="s">
        <v>251</v>
      </c>
      <c r="H254" s="718" t="s">
        <v>251</v>
      </c>
      <c r="I254" s="718" t="s">
        <v>251</v>
      </c>
      <c r="J254" s="718" t="s">
        <v>251</v>
      </c>
      <c r="K254" s="718"/>
      <c r="L254" s="718" t="s">
        <v>251</v>
      </c>
      <c r="M254" s="718" t="s">
        <v>251</v>
      </c>
      <c r="N254" s="718" t="s">
        <v>251</v>
      </c>
      <c r="O254" s="718" t="s">
        <v>251</v>
      </c>
      <c r="P254" s="1497">
        <f t="shared" si="22"/>
        <v>0</v>
      </c>
      <c r="Q254" s="1405">
        <f t="shared" si="23"/>
        <v>0</v>
      </c>
      <c r="R254" s="717"/>
      <c r="S254" s="718"/>
      <c r="T254" s="718"/>
      <c r="U254" s="718"/>
      <c r="V254" s="718"/>
      <c r="W254" s="718"/>
      <c r="X254" s="718"/>
      <c r="Y254" s="718"/>
      <c r="Z254" s="718"/>
      <c r="AA254" s="718"/>
      <c r="AB254" s="718"/>
      <c r="AC254" s="718"/>
      <c r="AD254" s="1405">
        <f t="shared" si="20"/>
        <v>0</v>
      </c>
      <c r="AE254" s="852">
        <f t="shared" si="21"/>
        <v>0</v>
      </c>
      <c r="AF254" s="853">
        <f t="shared" si="24"/>
        <v>983</v>
      </c>
    </row>
    <row r="255" spans="1:32" x14ac:dyDescent="0.3">
      <c r="A255" s="287" t="s">
        <v>804</v>
      </c>
      <c r="B255" s="851" t="s">
        <v>1423</v>
      </c>
      <c r="C255" s="717" t="s">
        <v>251</v>
      </c>
      <c r="D255" s="718" t="s">
        <v>251</v>
      </c>
      <c r="E255" s="718" t="s">
        <v>251</v>
      </c>
      <c r="F255" s="718" t="s">
        <v>251</v>
      </c>
      <c r="G255" s="718" t="s">
        <v>251</v>
      </c>
      <c r="H255" s="718" t="s">
        <v>251</v>
      </c>
      <c r="I255" s="718" t="s">
        <v>251</v>
      </c>
      <c r="J255" s="718" t="s">
        <v>251</v>
      </c>
      <c r="K255" s="718"/>
      <c r="L255" s="718" t="s">
        <v>251</v>
      </c>
      <c r="M255" s="718" t="s">
        <v>251</v>
      </c>
      <c r="N255" s="718" t="s">
        <v>251</v>
      </c>
      <c r="O255" s="718" t="s">
        <v>251</v>
      </c>
      <c r="P255" s="1497">
        <f t="shared" si="22"/>
        <v>0</v>
      </c>
      <c r="Q255" s="1405">
        <f t="shared" si="23"/>
        <v>0</v>
      </c>
      <c r="R255" s="717"/>
      <c r="S255" s="718"/>
      <c r="T255" s="718"/>
      <c r="U255" s="718"/>
      <c r="V255" s="718"/>
      <c r="W255" s="718"/>
      <c r="X255" s="718"/>
      <c r="Y255" s="718"/>
      <c r="Z255" s="718"/>
      <c r="AA255" s="718"/>
      <c r="AB255" s="718"/>
      <c r="AC255" s="718"/>
      <c r="AD255" s="1405">
        <f t="shared" si="20"/>
        <v>0</v>
      </c>
      <c r="AE255" s="852">
        <f t="shared" si="21"/>
        <v>0</v>
      </c>
      <c r="AF255" s="853">
        <f t="shared" si="24"/>
        <v>983</v>
      </c>
    </row>
    <row r="256" spans="1:32" x14ac:dyDescent="0.3">
      <c r="A256" s="287" t="s">
        <v>804</v>
      </c>
      <c r="B256" s="851" t="s">
        <v>1424</v>
      </c>
      <c r="C256" s="717" t="s">
        <v>251</v>
      </c>
      <c r="D256" s="718" t="s">
        <v>251</v>
      </c>
      <c r="E256" s="718" t="s">
        <v>251</v>
      </c>
      <c r="F256" s="718" t="s">
        <v>251</v>
      </c>
      <c r="G256" s="718" t="s">
        <v>251</v>
      </c>
      <c r="H256" s="718" t="s">
        <v>251</v>
      </c>
      <c r="I256" s="718" t="s">
        <v>251</v>
      </c>
      <c r="J256" s="718" t="s">
        <v>251</v>
      </c>
      <c r="K256" s="718"/>
      <c r="L256" s="718" t="s">
        <v>251</v>
      </c>
      <c r="M256" s="718" t="s">
        <v>251</v>
      </c>
      <c r="N256" s="718" t="s">
        <v>251</v>
      </c>
      <c r="O256" s="718" t="s">
        <v>251</v>
      </c>
      <c r="P256" s="1497">
        <f t="shared" si="22"/>
        <v>0</v>
      </c>
      <c r="Q256" s="1405">
        <f t="shared" si="23"/>
        <v>0</v>
      </c>
      <c r="R256" s="717"/>
      <c r="S256" s="718"/>
      <c r="T256" s="718"/>
      <c r="U256" s="718"/>
      <c r="V256" s="718"/>
      <c r="W256" s="718"/>
      <c r="X256" s="718"/>
      <c r="Y256" s="718"/>
      <c r="Z256" s="718"/>
      <c r="AA256" s="718"/>
      <c r="AB256" s="718"/>
      <c r="AC256" s="718"/>
      <c r="AD256" s="1405">
        <f t="shared" si="20"/>
        <v>0</v>
      </c>
      <c r="AE256" s="852">
        <f t="shared" si="21"/>
        <v>0</v>
      </c>
      <c r="AF256" s="853">
        <f t="shared" si="24"/>
        <v>983</v>
      </c>
    </row>
    <row r="257" spans="1:32" x14ac:dyDescent="0.3">
      <c r="A257" s="287" t="s">
        <v>804</v>
      </c>
      <c r="B257" s="851" t="s">
        <v>848</v>
      </c>
      <c r="C257" s="717">
        <v>0</v>
      </c>
      <c r="D257" s="718" t="s">
        <v>251</v>
      </c>
      <c r="E257" s="718">
        <v>0</v>
      </c>
      <c r="F257" s="718" t="s">
        <v>251</v>
      </c>
      <c r="G257" s="718" t="s">
        <v>251</v>
      </c>
      <c r="H257" s="718" t="s">
        <v>251</v>
      </c>
      <c r="I257" s="718" t="s">
        <v>251</v>
      </c>
      <c r="J257" s="718" t="s">
        <v>251</v>
      </c>
      <c r="K257" s="718"/>
      <c r="L257" s="718" t="s">
        <v>251</v>
      </c>
      <c r="M257" s="718" t="s">
        <v>251</v>
      </c>
      <c r="N257" s="718">
        <v>0</v>
      </c>
      <c r="O257" s="718" t="s">
        <v>251</v>
      </c>
      <c r="P257" s="1497">
        <f t="shared" si="22"/>
        <v>0</v>
      </c>
      <c r="Q257" s="1405">
        <f t="shared" si="23"/>
        <v>0</v>
      </c>
      <c r="R257" s="717"/>
      <c r="S257" s="718"/>
      <c r="T257" s="718"/>
      <c r="U257" s="718"/>
      <c r="V257" s="718"/>
      <c r="W257" s="718"/>
      <c r="X257" s="718"/>
      <c r="Y257" s="718"/>
      <c r="Z257" s="718"/>
      <c r="AA257" s="718"/>
      <c r="AB257" s="718"/>
      <c r="AC257" s="718"/>
      <c r="AD257" s="1405">
        <f t="shared" si="20"/>
        <v>0</v>
      </c>
      <c r="AE257" s="852">
        <f t="shared" si="21"/>
        <v>0</v>
      </c>
      <c r="AF257" s="853">
        <f t="shared" si="24"/>
        <v>983</v>
      </c>
    </row>
    <row r="258" spans="1:32" x14ac:dyDescent="0.3">
      <c r="A258" s="287" t="s">
        <v>804</v>
      </c>
      <c r="B258" s="851" t="s">
        <v>852</v>
      </c>
      <c r="C258" s="717">
        <v>0</v>
      </c>
      <c r="D258" s="718" t="s">
        <v>251</v>
      </c>
      <c r="E258" s="718">
        <v>0</v>
      </c>
      <c r="F258" s="718" t="s">
        <v>251</v>
      </c>
      <c r="G258" s="718" t="s">
        <v>251</v>
      </c>
      <c r="H258" s="718" t="s">
        <v>251</v>
      </c>
      <c r="I258" s="718" t="s">
        <v>251</v>
      </c>
      <c r="J258" s="718" t="s">
        <v>251</v>
      </c>
      <c r="K258" s="718"/>
      <c r="L258" s="718" t="s">
        <v>251</v>
      </c>
      <c r="M258" s="718" t="s">
        <v>251</v>
      </c>
      <c r="N258" s="718">
        <v>0</v>
      </c>
      <c r="O258" s="718" t="s">
        <v>251</v>
      </c>
      <c r="P258" s="1497">
        <f t="shared" si="22"/>
        <v>0</v>
      </c>
      <c r="Q258" s="1405">
        <f t="shared" si="23"/>
        <v>0</v>
      </c>
      <c r="R258" s="717"/>
      <c r="S258" s="718"/>
      <c r="T258" s="718"/>
      <c r="U258" s="718"/>
      <c r="V258" s="718"/>
      <c r="W258" s="718"/>
      <c r="X258" s="718"/>
      <c r="Y258" s="718"/>
      <c r="Z258" s="718"/>
      <c r="AA258" s="718"/>
      <c r="AB258" s="718"/>
      <c r="AC258" s="718"/>
      <c r="AD258" s="1405">
        <f t="shared" ref="AD258:AD327" si="25">SUM(R258:AC258)</f>
        <v>0</v>
      </c>
      <c r="AE258" s="852">
        <f t="shared" ref="AE258:AE327" si="26">IF(OR(AD258="", P258=""), 0, IFERROR((AD258-P258)/P258, IF(AD258&lt;&gt;0, 1, 0)))</f>
        <v>0</v>
      </c>
      <c r="AF258" s="853">
        <f t="shared" si="24"/>
        <v>983</v>
      </c>
    </row>
    <row r="259" spans="1:32" x14ac:dyDescent="0.3">
      <c r="A259" s="287" t="s">
        <v>804</v>
      </c>
      <c r="B259" s="851" t="s">
        <v>1425</v>
      </c>
      <c r="C259" s="717" t="s">
        <v>251</v>
      </c>
      <c r="D259" s="718" t="s">
        <v>251</v>
      </c>
      <c r="E259" s="718" t="s">
        <v>251</v>
      </c>
      <c r="F259" s="718" t="s">
        <v>251</v>
      </c>
      <c r="G259" s="718" t="s">
        <v>251</v>
      </c>
      <c r="H259" s="718" t="s">
        <v>251</v>
      </c>
      <c r="I259" s="718" t="s">
        <v>251</v>
      </c>
      <c r="J259" s="718" t="s">
        <v>251</v>
      </c>
      <c r="K259" s="718"/>
      <c r="L259" s="718" t="s">
        <v>251</v>
      </c>
      <c r="M259" s="718" t="s">
        <v>251</v>
      </c>
      <c r="N259" s="718" t="s">
        <v>251</v>
      </c>
      <c r="O259" s="718" t="s">
        <v>251</v>
      </c>
      <c r="P259" s="1497">
        <f t="shared" ref="P259:P323" si="27">SUM(C259:I259,K259)</f>
        <v>0</v>
      </c>
      <c r="Q259" s="1405">
        <f t="shared" ref="Q259:Q322" si="28">SUM(C259:J259,L259:O259)</f>
        <v>0</v>
      </c>
      <c r="R259" s="717"/>
      <c r="S259" s="718"/>
      <c r="T259" s="718"/>
      <c r="U259" s="718"/>
      <c r="V259" s="718"/>
      <c r="W259" s="718"/>
      <c r="X259" s="718"/>
      <c r="Y259" s="718"/>
      <c r="Z259" s="718"/>
      <c r="AA259" s="718"/>
      <c r="AB259" s="718"/>
      <c r="AC259" s="718"/>
      <c r="AD259" s="1405">
        <f t="shared" si="25"/>
        <v>0</v>
      </c>
      <c r="AE259" s="852">
        <f t="shared" si="26"/>
        <v>0</v>
      </c>
      <c r="AF259" s="853">
        <f t="shared" ref="AF259:AF322" si="29">IFERROR(_xlfn.RANK.EQ(AD259, $AD$2:$AD$2064), "")</f>
        <v>983</v>
      </c>
    </row>
    <row r="260" spans="1:32" x14ac:dyDescent="0.3">
      <c r="A260" s="287" t="s">
        <v>804</v>
      </c>
      <c r="B260" s="851" t="s">
        <v>1426</v>
      </c>
      <c r="C260" s="717" t="s">
        <v>251</v>
      </c>
      <c r="D260" s="718" t="s">
        <v>251</v>
      </c>
      <c r="E260" s="718" t="s">
        <v>251</v>
      </c>
      <c r="F260" s="718" t="s">
        <v>251</v>
      </c>
      <c r="G260" s="718" t="s">
        <v>251</v>
      </c>
      <c r="H260" s="718" t="s">
        <v>251</v>
      </c>
      <c r="I260" s="718" t="s">
        <v>251</v>
      </c>
      <c r="J260" s="718" t="s">
        <v>251</v>
      </c>
      <c r="K260" s="718"/>
      <c r="L260" s="718" t="s">
        <v>251</v>
      </c>
      <c r="M260" s="718" t="s">
        <v>251</v>
      </c>
      <c r="N260" s="718" t="s">
        <v>251</v>
      </c>
      <c r="O260" s="718" t="s">
        <v>251</v>
      </c>
      <c r="P260" s="1497">
        <f t="shared" si="27"/>
        <v>0</v>
      </c>
      <c r="Q260" s="1405">
        <f t="shared" si="28"/>
        <v>0</v>
      </c>
      <c r="R260" s="717"/>
      <c r="S260" s="718"/>
      <c r="T260" s="718"/>
      <c r="U260" s="718"/>
      <c r="V260" s="718"/>
      <c r="W260" s="718"/>
      <c r="X260" s="718"/>
      <c r="Y260" s="718"/>
      <c r="Z260" s="718"/>
      <c r="AA260" s="718"/>
      <c r="AB260" s="718"/>
      <c r="AC260" s="718"/>
      <c r="AD260" s="1405">
        <f t="shared" si="25"/>
        <v>0</v>
      </c>
      <c r="AE260" s="852">
        <f t="shared" si="26"/>
        <v>0</v>
      </c>
      <c r="AF260" s="853">
        <f t="shared" si="29"/>
        <v>983</v>
      </c>
    </row>
    <row r="261" spans="1:32" x14ac:dyDescent="0.3">
      <c r="A261" s="287" t="s">
        <v>804</v>
      </c>
      <c r="B261" s="851" t="s">
        <v>1427</v>
      </c>
      <c r="C261" s="717" t="s">
        <v>251</v>
      </c>
      <c r="D261" s="718" t="s">
        <v>251</v>
      </c>
      <c r="E261" s="718" t="s">
        <v>251</v>
      </c>
      <c r="F261" s="718" t="s">
        <v>251</v>
      </c>
      <c r="G261" s="718" t="s">
        <v>251</v>
      </c>
      <c r="H261" s="718" t="s">
        <v>251</v>
      </c>
      <c r="I261" s="718" t="s">
        <v>251</v>
      </c>
      <c r="J261" s="718" t="s">
        <v>251</v>
      </c>
      <c r="K261" s="718"/>
      <c r="L261" s="718" t="s">
        <v>251</v>
      </c>
      <c r="M261" s="718" t="s">
        <v>251</v>
      </c>
      <c r="N261" s="718" t="s">
        <v>251</v>
      </c>
      <c r="O261" s="718" t="s">
        <v>251</v>
      </c>
      <c r="P261" s="1497">
        <f t="shared" si="27"/>
        <v>0</v>
      </c>
      <c r="Q261" s="1405">
        <f t="shared" si="28"/>
        <v>0</v>
      </c>
      <c r="R261" s="717"/>
      <c r="S261" s="718"/>
      <c r="T261" s="718"/>
      <c r="U261" s="718"/>
      <c r="V261" s="718"/>
      <c r="W261" s="718"/>
      <c r="X261" s="718"/>
      <c r="Y261" s="718"/>
      <c r="Z261" s="718"/>
      <c r="AA261" s="718"/>
      <c r="AB261" s="718"/>
      <c r="AC261" s="718"/>
      <c r="AD261" s="1405">
        <f t="shared" si="25"/>
        <v>0</v>
      </c>
      <c r="AE261" s="852">
        <f t="shared" si="26"/>
        <v>0</v>
      </c>
      <c r="AF261" s="853">
        <f t="shared" si="29"/>
        <v>983</v>
      </c>
    </row>
    <row r="262" spans="1:32" x14ac:dyDescent="0.3">
      <c r="A262" s="287" t="s">
        <v>804</v>
      </c>
      <c r="B262" s="851" t="s">
        <v>1428</v>
      </c>
      <c r="C262" s="717">
        <v>0</v>
      </c>
      <c r="D262" s="718" t="s">
        <v>251</v>
      </c>
      <c r="E262" s="718">
        <v>0</v>
      </c>
      <c r="F262" s="718" t="s">
        <v>251</v>
      </c>
      <c r="G262" s="718" t="s">
        <v>251</v>
      </c>
      <c r="H262" s="718" t="s">
        <v>251</v>
      </c>
      <c r="I262" s="718" t="s">
        <v>251</v>
      </c>
      <c r="J262" s="718" t="s">
        <v>251</v>
      </c>
      <c r="K262" s="718"/>
      <c r="L262" s="718" t="s">
        <v>251</v>
      </c>
      <c r="M262" s="718" t="s">
        <v>251</v>
      </c>
      <c r="N262" s="718">
        <v>0</v>
      </c>
      <c r="O262" s="718" t="s">
        <v>251</v>
      </c>
      <c r="P262" s="1497">
        <f t="shared" si="27"/>
        <v>0</v>
      </c>
      <c r="Q262" s="1405">
        <f t="shared" si="28"/>
        <v>0</v>
      </c>
      <c r="R262" s="717"/>
      <c r="S262" s="718"/>
      <c r="T262" s="718"/>
      <c r="U262" s="718"/>
      <c r="V262" s="718"/>
      <c r="W262" s="718"/>
      <c r="X262" s="718"/>
      <c r="Y262" s="718"/>
      <c r="Z262" s="718"/>
      <c r="AA262" s="718"/>
      <c r="AB262" s="718"/>
      <c r="AC262" s="718"/>
      <c r="AD262" s="1405">
        <f t="shared" si="25"/>
        <v>0</v>
      </c>
      <c r="AE262" s="852">
        <f t="shared" si="26"/>
        <v>0</v>
      </c>
      <c r="AF262" s="853">
        <f t="shared" si="29"/>
        <v>983</v>
      </c>
    </row>
    <row r="263" spans="1:32" x14ac:dyDescent="0.3">
      <c r="A263" s="287" t="s">
        <v>804</v>
      </c>
      <c r="B263" s="851" t="s">
        <v>1429</v>
      </c>
      <c r="C263" s="717" t="s">
        <v>251</v>
      </c>
      <c r="D263" s="718" t="s">
        <v>251</v>
      </c>
      <c r="E263" s="718" t="s">
        <v>251</v>
      </c>
      <c r="F263" s="718" t="s">
        <v>251</v>
      </c>
      <c r="G263" s="718" t="s">
        <v>251</v>
      </c>
      <c r="H263" s="718" t="s">
        <v>251</v>
      </c>
      <c r="I263" s="718" t="s">
        <v>251</v>
      </c>
      <c r="J263" s="718" t="s">
        <v>251</v>
      </c>
      <c r="K263" s="718"/>
      <c r="L263" s="718" t="s">
        <v>251</v>
      </c>
      <c r="M263" s="718" t="s">
        <v>251</v>
      </c>
      <c r="N263" s="718" t="s">
        <v>251</v>
      </c>
      <c r="O263" s="718" t="s">
        <v>251</v>
      </c>
      <c r="P263" s="1497">
        <f t="shared" si="27"/>
        <v>0</v>
      </c>
      <c r="Q263" s="1405">
        <f t="shared" si="28"/>
        <v>0</v>
      </c>
      <c r="R263" s="717"/>
      <c r="S263" s="718"/>
      <c r="T263" s="718"/>
      <c r="U263" s="718"/>
      <c r="V263" s="718"/>
      <c r="W263" s="718"/>
      <c r="X263" s="718"/>
      <c r="Y263" s="718"/>
      <c r="Z263" s="718"/>
      <c r="AA263" s="718"/>
      <c r="AB263" s="718"/>
      <c r="AC263" s="718"/>
      <c r="AD263" s="1405">
        <f t="shared" si="25"/>
        <v>0</v>
      </c>
      <c r="AE263" s="852">
        <f t="shared" si="26"/>
        <v>0</v>
      </c>
      <c r="AF263" s="853">
        <f t="shared" si="29"/>
        <v>983</v>
      </c>
    </row>
    <row r="264" spans="1:32" x14ac:dyDescent="0.3">
      <c r="A264" s="287" t="s">
        <v>804</v>
      </c>
      <c r="B264" s="851" t="s">
        <v>1430</v>
      </c>
      <c r="C264" s="717" t="s">
        <v>251</v>
      </c>
      <c r="D264" s="718" t="s">
        <v>251</v>
      </c>
      <c r="E264" s="718" t="s">
        <v>251</v>
      </c>
      <c r="F264" s="718" t="s">
        <v>251</v>
      </c>
      <c r="G264" s="718" t="s">
        <v>251</v>
      </c>
      <c r="H264" s="718" t="s">
        <v>251</v>
      </c>
      <c r="I264" s="718" t="s">
        <v>251</v>
      </c>
      <c r="J264" s="718" t="s">
        <v>251</v>
      </c>
      <c r="K264" s="718"/>
      <c r="L264" s="718" t="s">
        <v>251</v>
      </c>
      <c r="M264" s="718" t="s">
        <v>251</v>
      </c>
      <c r="N264" s="718" t="s">
        <v>251</v>
      </c>
      <c r="O264" s="718" t="s">
        <v>251</v>
      </c>
      <c r="P264" s="1497">
        <f t="shared" si="27"/>
        <v>0</v>
      </c>
      <c r="Q264" s="1405">
        <f t="shared" si="28"/>
        <v>0</v>
      </c>
      <c r="R264" s="717"/>
      <c r="S264" s="718"/>
      <c r="T264" s="718"/>
      <c r="U264" s="718"/>
      <c r="V264" s="718"/>
      <c r="W264" s="718"/>
      <c r="X264" s="718"/>
      <c r="Y264" s="718"/>
      <c r="Z264" s="718"/>
      <c r="AA264" s="718"/>
      <c r="AB264" s="718"/>
      <c r="AC264" s="718"/>
      <c r="AD264" s="1405">
        <f t="shared" si="25"/>
        <v>0</v>
      </c>
      <c r="AE264" s="852">
        <f t="shared" si="26"/>
        <v>0</v>
      </c>
      <c r="AF264" s="853">
        <f t="shared" si="29"/>
        <v>983</v>
      </c>
    </row>
    <row r="265" spans="1:32" x14ac:dyDescent="0.3">
      <c r="A265" s="287" t="s">
        <v>804</v>
      </c>
      <c r="B265" s="851" t="s">
        <v>1432</v>
      </c>
      <c r="C265" s="717" t="s">
        <v>251</v>
      </c>
      <c r="D265" s="718" t="s">
        <v>251</v>
      </c>
      <c r="E265" s="718" t="s">
        <v>251</v>
      </c>
      <c r="F265" s="718" t="s">
        <v>251</v>
      </c>
      <c r="G265" s="718" t="s">
        <v>251</v>
      </c>
      <c r="H265" s="718" t="s">
        <v>251</v>
      </c>
      <c r="I265" s="718" t="s">
        <v>251</v>
      </c>
      <c r="J265" s="718" t="s">
        <v>251</v>
      </c>
      <c r="K265" s="718"/>
      <c r="L265" s="718" t="s">
        <v>251</v>
      </c>
      <c r="M265" s="718" t="s">
        <v>251</v>
      </c>
      <c r="N265" s="718" t="s">
        <v>251</v>
      </c>
      <c r="O265" s="718" t="s">
        <v>251</v>
      </c>
      <c r="P265" s="1497">
        <f t="shared" si="27"/>
        <v>0</v>
      </c>
      <c r="Q265" s="1405">
        <f t="shared" si="28"/>
        <v>0</v>
      </c>
      <c r="R265" s="717"/>
      <c r="S265" s="718"/>
      <c r="T265" s="718"/>
      <c r="U265" s="718"/>
      <c r="V265" s="718"/>
      <c r="W265" s="718"/>
      <c r="X265" s="718"/>
      <c r="Y265" s="718"/>
      <c r="Z265" s="718"/>
      <c r="AA265" s="718"/>
      <c r="AB265" s="718"/>
      <c r="AC265" s="718"/>
      <c r="AD265" s="1405">
        <f t="shared" si="25"/>
        <v>0</v>
      </c>
      <c r="AE265" s="852">
        <f t="shared" si="26"/>
        <v>0</v>
      </c>
      <c r="AF265" s="853">
        <f t="shared" si="29"/>
        <v>983</v>
      </c>
    </row>
    <row r="266" spans="1:32" x14ac:dyDescent="0.3">
      <c r="A266" s="287" t="s">
        <v>804</v>
      </c>
      <c r="B266" s="851" t="s">
        <v>1433</v>
      </c>
      <c r="C266" s="717" t="s">
        <v>251</v>
      </c>
      <c r="D266" s="718" t="s">
        <v>251</v>
      </c>
      <c r="E266" s="718" t="s">
        <v>251</v>
      </c>
      <c r="F266" s="718" t="s">
        <v>251</v>
      </c>
      <c r="G266" s="718" t="s">
        <v>251</v>
      </c>
      <c r="H266" s="718" t="s">
        <v>251</v>
      </c>
      <c r="I266" s="718" t="s">
        <v>251</v>
      </c>
      <c r="J266" s="718" t="s">
        <v>251</v>
      </c>
      <c r="K266" s="718"/>
      <c r="L266" s="718" t="s">
        <v>251</v>
      </c>
      <c r="M266" s="718" t="s">
        <v>251</v>
      </c>
      <c r="N266" s="718" t="s">
        <v>251</v>
      </c>
      <c r="O266" s="718" t="s">
        <v>251</v>
      </c>
      <c r="P266" s="1497">
        <f t="shared" si="27"/>
        <v>0</v>
      </c>
      <c r="Q266" s="1405">
        <f t="shared" si="28"/>
        <v>0</v>
      </c>
      <c r="R266" s="717"/>
      <c r="S266" s="718"/>
      <c r="T266" s="718"/>
      <c r="U266" s="718"/>
      <c r="V266" s="718"/>
      <c r="W266" s="718"/>
      <c r="X266" s="718"/>
      <c r="Y266" s="718"/>
      <c r="Z266" s="718"/>
      <c r="AA266" s="718"/>
      <c r="AB266" s="718"/>
      <c r="AC266" s="718"/>
      <c r="AD266" s="1405">
        <f t="shared" si="25"/>
        <v>0</v>
      </c>
      <c r="AE266" s="852">
        <f t="shared" si="26"/>
        <v>0</v>
      </c>
      <c r="AF266" s="853">
        <f t="shared" si="29"/>
        <v>983</v>
      </c>
    </row>
    <row r="267" spans="1:32" x14ac:dyDescent="0.3">
      <c r="A267" s="287" t="s">
        <v>804</v>
      </c>
      <c r="B267" s="851" t="s">
        <v>1435</v>
      </c>
      <c r="C267" s="717" t="s">
        <v>251</v>
      </c>
      <c r="D267" s="718" t="s">
        <v>251</v>
      </c>
      <c r="E267" s="718" t="s">
        <v>251</v>
      </c>
      <c r="F267" s="718" t="s">
        <v>251</v>
      </c>
      <c r="G267" s="718" t="s">
        <v>251</v>
      </c>
      <c r="H267" s="718" t="s">
        <v>251</v>
      </c>
      <c r="I267" s="718" t="s">
        <v>251</v>
      </c>
      <c r="J267" s="718" t="s">
        <v>251</v>
      </c>
      <c r="K267" s="718"/>
      <c r="L267" s="718" t="s">
        <v>251</v>
      </c>
      <c r="M267" s="718" t="s">
        <v>251</v>
      </c>
      <c r="N267" s="718" t="s">
        <v>251</v>
      </c>
      <c r="O267" s="718" t="s">
        <v>251</v>
      </c>
      <c r="P267" s="1497">
        <f t="shared" si="27"/>
        <v>0</v>
      </c>
      <c r="Q267" s="1405">
        <f t="shared" si="28"/>
        <v>0</v>
      </c>
      <c r="R267" s="717"/>
      <c r="S267" s="718"/>
      <c r="T267" s="718"/>
      <c r="U267" s="718"/>
      <c r="V267" s="718"/>
      <c r="W267" s="718"/>
      <c r="X267" s="718"/>
      <c r="Y267" s="718"/>
      <c r="Z267" s="718"/>
      <c r="AA267" s="718"/>
      <c r="AB267" s="718"/>
      <c r="AC267" s="718"/>
      <c r="AD267" s="1405">
        <f t="shared" si="25"/>
        <v>0</v>
      </c>
      <c r="AE267" s="852">
        <f t="shared" si="26"/>
        <v>0</v>
      </c>
      <c r="AF267" s="853">
        <f t="shared" si="29"/>
        <v>983</v>
      </c>
    </row>
    <row r="268" spans="1:32" x14ac:dyDescent="0.3">
      <c r="A268" s="287" t="s">
        <v>804</v>
      </c>
      <c r="B268" s="851" t="s">
        <v>1436</v>
      </c>
      <c r="C268" s="717" t="s">
        <v>251</v>
      </c>
      <c r="D268" s="718" t="s">
        <v>251</v>
      </c>
      <c r="E268" s="718" t="s">
        <v>251</v>
      </c>
      <c r="F268" s="718" t="s">
        <v>251</v>
      </c>
      <c r="G268" s="718" t="s">
        <v>251</v>
      </c>
      <c r="H268" s="718" t="s">
        <v>251</v>
      </c>
      <c r="I268" s="718" t="s">
        <v>251</v>
      </c>
      <c r="J268" s="718" t="s">
        <v>251</v>
      </c>
      <c r="K268" s="718"/>
      <c r="L268" s="718" t="s">
        <v>251</v>
      </c>
      <c r="M268" s="718" t="s">
        <v>251</v>
      </c>
      <c r="N268" s="718" t="s">
        <v>251</v>
      </c>
      <c r="O268" s="718" t="s">
        <v>251</v>
      </c>
      <c r="P268" s="1497">
        <f t="shared" si="27"/>
        <v>0</v>
      </c>
      <c r="Q268" s="1405">
        <f t="shared" si="28"/>
        <v>0</v>
      </c>
      <c r="R268" s="717"/>
      <c r="S268" s="718"/>
      <c r="T268" s="718"/>
      <c r="U268" s="718"/>
      <c r="V268" s="718"/>
      <c r="W268" s="718"/>
      <c r="X268" s="718"/>
      <c r="Y268" s="718"/>
      <c r="Z268" s="718"/>
      <c r="AA268" s="718"/>
      <c r="AB268" s="718"/>
      <c r="AC268" s="718"/>
      <c r="AD268" s="1405">
        <f t="shared" si="25"/>
        <v>0</v>
      </c>
      <c r="AE268" s="852">
        <f t="shared" si="26"/>
        <v>0</v>
      </c>
      <c r="AF268" s="853">
        <f t="shared" si="29"/>
        <v>983</v>
      </c>
    </row>
    <row r="269" spans="1:32" x14ac:dyDescent="0.3">
      <c r="A269" s="287" t="s">
        <v>804</v>
      </c>
      <c r="B269" s="851" t="s">
        <v>1438</v>
      </c>
      <c r="C269" s="717" t="s">
        <v>251</v>
      </c>
      <c r="D269" s="718" t="s">
        <v>251</v>
      </c>
      <c r="E269" s="718" t="s">
        <v>251</v>
      </c>
      <c r="F269" s="718" t="s">
        <v>251</v>
      </c>
      <c r="G269" s="718" t="s">
        <v>251</v>
      </c>
      <c r="H269" s="718" t="s">
        <v>251</v>
      </c>
      <c r="I269" s="718" t="s">
        <v>251</v>
      </c>
      <c r="J269" s="718" t="s">
        <v>251</v>
      </c>
      <c r="K269" s="718"/>
      <c r="L269" s="718" t="s">
        <v>251</v>
      </c>
      <c r="M269" s="718" t="s">
        <v>251</v>
      </c>
      <c r="N269" s="718" t="s">
        <v>251</v>
      </c>
      <c r="O269" s="718" t="s">
        <v>251</v>
      </c>
      <c r="P269" s="1497">
        <f t="shared" si="27"/>
        <v>0</v>
      </c>
      <c r="Q269" s="1405">
        <f t="shared" si="28"/>
        <v>0</v>
      </c>
      <c r="R269" s="717"/>
      <c r="S269" s="718"/>
      <c r="T269" s="718"/>
      <c r="U269" s="718"/>
      <c r="V269" s="718"/>
      <c r="W269" s="718"/>
      <c r="X269" s="718"/>
      <c r="Y269" s="718"/>
      <c r="Z269" s="718"/>
      <c r="AA269" s="718"/>
      <c r="AB269" s="718"/>
      <c r="AC269" s="718"/>
      <c r="AD269" s="1405">
        <f t="shared" si="25"/>
        <v>0</v>
      </c>
      <c r="AE269" s="852">
        <f t="shared" si="26"/>
        <v>0</v>
      </c>
      <c r="AF269" s="853">
        <f t="shared" si="29"/>
        <v>983</v>
      </c>
    </row>
    <row r="270" spans="1:32" x14ac:dyDescent="0.3">
      <c r="A270" s="287" t="s">
        <v>804</v>
      </c>
      <c r="B270" s="851" t="s">
        <v>821</v>
      </c>
      <c r="C270" s="717">
        <v>0</v>
      </c>
      <c r="D270" s="718" t="s">
        <v>251</v>
      </c>
      <c r="E270" s="718">
        <v>0</v>
      </c>
      <c r="F270" s="718" t="s">
        <v>251</v>
      </c>
      <c r="G270" s="718" t="s">
        <v>251</v>
      </c>
      <c r="H270" s="718" t="s">
        <v>251</v>
      </c>
      <c r="I270" s="718" t="s">
        <v>251</v>
      </c>
      <c r="J270" s="718" t="s">
        <v>251</v>
      </c>
      <c r="K270" s="718"/>
      <c r="L270" s="718" t="s">
        <v>251</v>
      </c>
      <c r="M270" s="718" t="s">
        <v>251</v>
      </c>
      <c r="N270" s="718">
        <v>0</v>
      </c>
      <c r="O270" s="718" t="s">
        <v>251</v>
      </c>
      <c r="P270" s="1497">
        <f t="shared" si="27"/>
        <v>0</v>
      </c>
      <c r="Q270" s="1405">
        <f t="shared" si="28"/>
        <v>0</v>
      </c>
      <c r="R270" s="717"/>
      <c r="S270" s="718"/>
      <c r="T270" s="718"/>
      <c r="U270" s="718"/>
      <c r="V270" s="718"/>
      <c r="W270" s="718"/>
      <c r="X270" s="718"/>
      <c r="Y270" s="718">
        <v>136150</v>
      </c>
      <c r="Z270" s="718"/>
      <c r="AA270" s="718"/>
      <c r="AB270" s="718"/>
      <c r="AC270" s="718"/>
      <c r="AD270" s="1405">
        <f t="shared" si="25"/>
        <v>136150</v>
      </c>
      <c r="AE270" s="852">
        <f t="shared" si="26"/>
        <v>1</v>
      </c>
      <c r="AF270" s="853">
        <f t="shared" si="29"/>
        <v>688</v>
      </c>
    </row>
    <row r="271" spans="1:32" x14ac:dyDescent="0.3">
      <c r="A271" s="287" t="s">
        <v>804</v>
      </c>
      <c r="B271" s="851" t="s">
        <v>1439</v>
      </c>
      <c r="C271" s="717" t="s">
        <v>251</v>
      </c>
      <c r="D271" s="718" t="s">
        <v>251</v>
      </c>
      <c r="E271" s="718" t="s">
        <v>251</v>
      </c>
      <c r="F271" s="718" t="s">
        <v>251</v>
      </c>
      <c r="G271" s="718" t="s">
        <v>251</v>
      </c>
      <c r="H271" s="718" t="s">
        <v>251</v>
      </c>
      <c r="I271" s="718" t="s">
        <v>251</v>
      </c>
      <c r="J271" s="718" t="s">
        <v>251</v>
      </c>
      <c r="K271" s="718"/>
      <c r="L271" s="718" t="s">
        <v>251</v>
      </c>
      <c r="M271" s="718" t="s">
        <v>251</v>
      </c>
      <c r="N271" s="718" t="s">
        <v>251</v>
      </c>
      <c r="O271" s="718" t="s">
        <v>251</v>
      </c>
      <c r="P271" s="1497">
        <f t="shared" si="27"/>
        <v>0</v>
      </c>
      <c r="Q271" s="1405">
        <f t="shared" si="28"/>
        <v>0</v>
      </c>
      <c r="R271" s="717"/>
      <c r="S271" s="718"/>
      <c r="T271" s="718"/>
      <c r="U271" s="718"/>
      <c r="V271" s="718"/>
      <c r="W271" s="718"/>
      <c r="X271" s="718"/>
      <c r="Y271" s="718"/>
      <c r="Z271" s="718"/>
      <c r="AA271" s="718"/>
      <c r="AB271" s="718"/>
      <c r="AC271" s="718"/>
      <c r="AD271" s="1405">
        <f t="shared" si="25"/>
        <v>0</v>
      </c>
      <c r="AE271" s="852">
        <f t="shared" si="26"/>
        <v>0</v>
      </c>
      <c r="AF271" s="853">
        <f t="shared" si="29"/>
        <v>983</v>
      </c>
    </row>
    <row r="272" spans="1:32" x14ac:dyDescent="0.3">
      <c r="A272" s="287" t="s">
        <v>804</v>
      </c>
      <c r="B272" s="851" t="s">
        <v>1440</v>
      </c>
      <c r="C272" s="717" t="s">
        <v>251</v>
      </c>
      <c r="D272" s="718" t="s">
        <v>251</v>
      </c>
      <c r="E272" s="718" t="s">
        <v>251</v>
      </c>
      <c r="F272" s="718" t="s">
        <v>251</v>
      </c>
      <c r="G272" s="718" t="s">
        <v>251</v>
      </c>
      <c r="H272" s="718" t="s">
        <v>251</v>
      </c>
      <c r="I272" s="718" t="s">
        <v>251</v>
      </c>
      <c r="J272" s="718" t="s">
        <v>251</v>
      </c>
      <c r="K272" s="718"/>
      <c r="L272" s="718" t="s">
        <v>251</v>
      </c>
      <c r="M272" s="718" t="s">
        <v>251</v>
      </c>
      <c r="N272" s="718" t="s">
        <v>251</v>
      </c>
      <c r="O272" s="718" t="s">
        <v>251</v>
      </c>
      <c r="P272" s="1497">
        <f t="shared" si="27"/>
        <v>0</v>
      </c>
      <c r="Q272" s="1405">
        <f t="shared" si="28"/>
        <v>0</v>
      </c>
      <c r="R272" s="717"/>
      <c r="S272" s="718"/>
      <c r="T272" s="718"/>
      <c r="U272" s="718"/>
      <c r="V272" s="718"/>
      <c r="W272" s="718"/>
      <c r="X272" s="718"/>
      <c r="Y272" s="718"/>
      <c r="Z272" s="718"/>
      <c r="AA272" s="718"/>
      <c r="AB272" s="718"/>
      <c r="AC272" s="718"/>
      <c r="AD272" s="1405">
        <f t="shared" si="25"/>
        <v>0</v>
      </c>
      <c r="AE272" s="852">
        <f t="shared" si="26"/>
        <v>0</v>
      </c>
      <c r="AF272" s="853">
        <f t="shared" si="29"/>
        <v>983</v>
      </c>
    </row>
    <row r="273" spans="1:32" x14ac:dyDescent="0.3">
      <c r="A273" s="287" t="s">
        <v>804</v>
      </c>
      <c r="B273" s="851" t="s">
        <v>1442</v>
      </c>
      <c r="C273" s="717" t="s">
        <v>251</v>
      </c>
      <c r="D273" s="718" t="s">
        <v>251</v>
      </c>
      <c r="E273" s="718" t="s">
        <v>251</v>
      </c>
      <c r="F273" s="718" t="s">
        <v>251</v>
      </c>
      <c r="G273" s="718" t="s">
        <v>251</v>
      </c>
      <c r="H273" s="718" t="s">
        <v>251</v>
      </c>
      <c r="I273" s="718" t="s">
        <v>251</v>
      </c>
      <c r="J273" s="718" t="s">
        <v>251</v>
      </c>
      <c r="K273" s="718"/>
      <c r="L273" s="718" t="s">
        <v>251</v>
      </c>
      <c r="M273" s="718" t="s">
        <v>251</v>
      </c>
      <c r="N273" s="718" t="s">
        <v>251</v>
      </c>
      <c r="O273" s="718" t="s">
        <v>251</v>
      </c>
      <c r="P273" s="1497">
        <f t="shared" si="27"/>
        <v>0</v>
      </c>
      <c r="Q273" s="1405">
        <f t="shared" si="28"/>
        <v>0</v>
      </c>
      <c r="R273" s="717"/>
      <c r="S273" s="718"/>
      <c r="T273" s="718"/>
      <c r="U273" s="718"/>
      <c r="V273" s="718"/>
      <c r="W273" s="718"/>
      <c r="X273" s="718"/>
      <c r="Y273" s="718"/>
      <c r="Z273" s="718"/>
      <c r="AA273" s="718"/>
      <c r="AB273" s="718"/>
      <c r="AC273" s="718"/>
      <c r="AD273" s="1405">
        <f t="shared" si="25"/>
        <v>0</v>
      </c>
      <c r="AE273" s="852">
        <f t="shared" si="26"/>
        <v>0</v>
      </c>
      <c r="AF273" s="853">
        <f t="shared" si="29"/>
        <v>983</v>
      </c>
    </row>
    <row r="274" spans="1:32" x14ac:dyDescent="0.3">
      <c r="A274" s="287" t="s">
        <v>804</v>
      </c>
      <c r="B274" s="851" t="s">
        <v>714</v>
      </c>
      <c r="C274" s="717" t="s">
        <v>251</v>
      </c>
      <c r="D274" s="718" t="s">
        <v>251</v>
      </c>
      <c r="E274" s="718" t="s">
        <v>251</v>
      </c>
      <c r="F274" s="718" t="s">
        <v>251</v>
      </c>
      <c r="G274" s="718" t="s">
        <v>251</v>
      </c>
      <c r="H274" s="718" t="s">
        <v>251</v>
      </c>
      <c r="I274" s="718" t="s">
        <v>251</v>
      </c>
      <c r="J274" s="718" t="s">
        <v>251</v>
      </c>
      <c r="K274" s="718"/>
      <c r="L274" s="718" t="s">
        <v>251</v>
      </c>
      <c r="M274" s="718" t="s">
        <v>251</v>
      </c>
      <c r="N274" s="718" t="s">
        <v>251</v>
      </c>
      <c r="O274" s="718" t="s">
        <v>251</v>
      </c>
      <c r="P274" s="1497">
        <f t="shared" si="27"/>
        <v>0</v>
      </c>
      <c r="Q274" s="1405">
        <f t="shared" si="28"/>
        <v>0</v>
      </c>
      <c r="R274" s="717"/>
      <c r="S274" s="718"/>
      <c r="T274" s="718"/>
      <c r="U274" s="718"/>
      <c r="V274" s="718"/>
      <c r="W274" s="718"/>
      <c r="X274" s="718"/>
      <c r="Y274" s="718"/>
      <c r="Z274" s="718"/>
      <c r="AA274" s="718"/>
      <c r="AB274" s="718"/>
      <c r="AC274" s="718"/>
      <c r="AD274" s="1405">
        <f t="shared" si="25"/>
        <v>0</v>
      </c>
      <c r="AE274" s="852">
        <f t="shared" si="26"/>
        <v>0</v>
      </c>
      <c r="AF274" s="853">
        <f t="shared" si="29"/>
        <v>983</v>
      </c>
    </row>
    <row r="275" spans="1:32" x14ac:dyDescent="0.3">
      <c r="A275" s="287" t="s">
        <v>804</v>
      </c>
      <c r="B275" s="851" t="s">
        <v>386</v>
      </c>
      <c r="C275" s="717" t="s">
        <v>251</v>
      </c>
      <c r="D275" s="718" t="s">
        <v>251</v>
      </c>
      <c r="E275" s="718" t="s">
        <v>251</v>
      </c>
      <c r="F275" s="718" t="s">
        <v>251</v>
      </c>
      <c r="G275" s="718" t="s">
        <v>251</v>
      </c>
      <c r="H275" s="718" t="s">
        <v>251</v>
      </c>
      <c r="I275" s="718" t="s">
        <v>251</v>
      </c>
      <c r="J275" s="718" t="s">
        <v>251</v>
      </c>
      <c r="K275" s="718"/>
      <c r="L275" s="718" t="s">
        <v>251</v>
      </c>
      <c r="M275" s="718" t="s">
        <v>251</v>
      </c>
      <c r="N275" s="718" t="s">
        <v>251</v>
      </c>
      <c r="O275" s="718" t="s">
        <v>251</v>
      </c>
      <c r="P275" s="1497">
        <f t="shared" si="27"/>
        <v>0</v>
      </c>
      <c r="Q275" s="1405">
        <f t="shared" si="28"/>
        <v>0</v>
      </c>
      <c r="R275" s="717"/>
      <c r="S275" s="718"/>
      <c r="T275" s="718"/>
      <c r="U275" s="718"/>
      <c r="V275" s="718"/>
      <c r="W275" s="718"/>
      <c r="X275" s="718"/>
      <c r="Y275" s="718"/>
      <c r="Z275" s="718"/>
      <c r="AA275" s="718"/>
      <c r="AB275" s="718"/>
      <c r="AC275" s="718"/>
      <c r="AD275" s="1405">
        <f t="shared" si="25"/>
        <v>0</v>
      </c>
      <c r="AE275" s="852">
        <f t="shared" si="26"/>
        <v>0</v>
      </c>
      <c r="AF275" s="853">
        <f t="shared" si="29"/>
        <v>983</v>
      </c>
    </row>
    <row r="276" spans="1:32" x14ac:dyDescent="0.3">
      <c r="A276" s="287" t="s">
        <v>804</v>
      </c>
      <c r="B276" s="851" t="s">
        <v>2039</v>
      </c>
      <c r="C276" s="717"/>
      <c r="D276" s="718" t="s">
        <v>251</v>
      </c>
      <c r="E276" s="718"/>
      <c r="F276" s="718" t="s">
        <v>251</v>
      </c>
      <c r="G276" s="718" t="s">
        <v>251</v>
      </c>
      <c r="H276" s="718" t="s">
        <v>251</v>
      </c>
      <c r="I276" s="718" t="s">
        <v>251</v>
      </c>
      <c r="J276" s="718" t="s">
        <v>251</v>
      </c>
      <c r="K276" s="718"/>
      <c r="L276" s="718" t="s">
        <v>251</v>
      </c>
      <c r="M276" s="718" t="s">
        <v>251</v>
      </c>
      <c r="N276" s="718" t="s">
        <v>251</v>
      </c>
      <c r="O276" s="718" t="s">
        <v>251</v>
      </c>
      <c r="P276" s="1497">
        <f t="shared" si="27"/>
        <v>0</v>
      </c>
      <c r="Q276" s="1405">
        <f t="shared" si="28"/>
        <v>0</v>
      </c>
      <c r="R276" s="717"/>
      <c r="S276" s="718"/>
      <c r="T276" s="718"/>
      <c r="U276" s="718"/>
      <c r="V276" s="718"/>
      <c r="W276" s="718"/>
      <c r="X276" s="718"/>
      <c r="Y276" s="718"/>
      <c r="Z276" s="718"/>
      <c r="AA276" s="718"/>
      <c r="AB276" s="718"/>
      <c r="AC276" s="718"/>
      <c r="AD276" s="1405">
        <f t="shared" si="25"/>
        <v>0</v>
      </c>
      <c r="AE276" s="852">
        <f t="shared" si="26"/>
        <v>0</v>
      </c>
      <c r="AF276" s="853">
        <f t="shared" si="29"/>
        <v>983</v>
      </c>
    </row>
    <row r="277" spans="1:32" x14ac:dyDescent="0.3">
      <c r="A277" s="287" t="s">
        <v>804</v>
      </c>
      <c r="B277" s="851" t="s">
        <v>2040</v>
      </c>
      <c r="C277" s="717"/>
      <c r="D277" s="718" t="s">
        <v>251</v>
      </c>
      <c r="E277" s="718"/>
      <c r="F277" s="718" t="s">
        <v>251</v>
      </c>
      <c r="G277" s="718" t="s">
        <v>251</v>
      </c>
      <c r="H277" s="718" t="s">
        <v>251</v>
      </c>
      <c r="I277" s="718" t="s">
        <v>251</v>
      </c>
      <c r="J277" s="718" t="s">
        <v>251</v>
      </c>
      <c r="K277" s="718"/>
      <c r="L277" s="718" t="s">
        <v>251</v>
      </c>
      <c r="M277" s="718" t="s">
        <v>251</v>
      </c>
      <c r="N277" s="718" t="s">
        <v>251</v>
      </c>
      <c r="O277" s="718" t="s">
        <v>251</v>
      </c>
      <c r="P277" s="1497">
        <f t="shared" si="27"/>
        <v>0</v>
      </c>
      <c r="Q277" s="1405">
        <f t="shared" si="28"/>
        <v>0</v>
      </c>
      <c r="R277" s="717"/>
      <c r="S277" s="718"/>
      <c r="T277" s="718"/>
      <c r="U277" s="718"/>
      <c r="V277" s="718"/>
      <c r="W277" s="718"/>
      <c r="X277" s="718"/>
      <c r="Y277" s="718"/>
      <c r="Z277" s="718"/>
      <c r="AA277" s="718"/>
      <c r="AB277" s="718"/>
      <c r="AC277" s="718"/>
      <c r="AD277" s="1405">
        <f t="shared" si="25"/>
        <v>0</v>
      </c>
      <c r="AE277" s="852">
        <f t="shared" si="26"/>
        <v>0</v>
      </c>
      <c r="AF277" s="853">
        <f t="shared" si="29"/>
        <v>983</v>
      </c>
    </row>
    <row r="278" spans="1:32" x14ac:dyDescent="0.3">
      <c r="A278" s="287" t="s">
        <v>804</v>
      </c>
      <c r="B278" s="851" t="s">
        <v>2041</v>
      </c>
      <c r="C278" s="717"/>
      <c r="D278" s="718" t="s">
        <v>251</v>
      </c>
      <c r="E278" s="718"/>
      <c r="F278" s="718" t="s">
        <v>251</v>
      </c>
      <c r="G278" s="718" t="s">
        <v>251</v>
      </c>
      <c r="H278" s="718" t="s">
        <v>251</v>
      </c>
      <c r="I278" s="718" t="s">
        <v>251</v>
      </c>
      <c r="J278" s="718" t="s">
        <v>251</v>
      </c>
      <c r="K278" s="718"/>
      <c r="L278" s="718" t="s">
        <v>251</v>
      </c>
      <c r="M278" s="718" t="s">
        <v>251</v>
      </c>
      <c r="N278" s="718" t="s">
        <v>251</v>
      </c>
      <c r="O278" s="718" t="s">
        <v>251</v>
      </c>
      <c r="P278" s="1497">
        <f t="shared" si="27"/>
        <v>0</v>
      </c>
      <c r="Q278" s="1405">
        <f t="shared" si="28"/>
        <v>0</v>
      </c>
      <c r="R278" s="717"/>
      <c r="S278" s="718"/>
      <c r="T278" s="718"/>
      <c r="U278" s="718"/>
      <c r="V278" s="718"/>
      <c r="W278" s="718"/>
      <c r="X278" s="718"/>
      <c r="Y278" s="718"/>
      <c r="Z278" s="718"/>
      <c r="AA278" s="718"/>
      <c r="AB278" s="718"/>
      <c r="AC278" s="718"/>
      <c r="AD278" s="1405">
        <f t="shared" si="25"/>
        <v>0</v>
      </c>
      <c r="AE278" s="852">
        <f t="shared" si="26"/>
        <v>0</v>
      </c>
      <c r="AF278" s="853">
        <f t="shared" si="29"/>
        <v>983</v>
      </c>
    </row>
    <row r="279" spans="1:32" x14ac:dyDescent="0.3">
      <c r="A279" s="287" t="s">
        <v>804</v>
      </c>
      <c r="B279" s="851" t="s">
        <v>2042</v>
      </c>
      <c r="C279" s="717"/>
      <c r="D279" s="718" t="s">
        <v>251</v>
      </c>
      <c r="E279" s="718"/>
      <c r="F279" s="718" t="s">
        <v>251</v>
      </c>
      <c r="G279" s="718" t="s">
        <v>251</v>
      </c>
      <c r="H279" s="718" t="s">
        <v>251</v>
      </c>
      <c r="I279" s="718" t="s">
        <v>251</v>
      </c>
      <c r="J279" s="718" t="s">
        <v>251</v>
      </c>
      <c r="K279" s="718"/>
      <c r="L279" s="718" t="s">
        <v>251</v>
      </c>
      <c r="M279" s="718" t="s">
        <v>251</v>
      </c>
      <c r="N279" s="718" t="s">
        <v>251</v>
      </c>
      <c r="O279" s="718" t="s">
        <v>251</v>
      </c>
      <c r="P279" s="1497">
        <f t="shared" si="27"/>
        <v>0</v>
      </c>
      <c r="Q279" s="1405">
        <f t="shared" si="28"/>
        <v>0</v>
      </c>
      <c r="R279" s="717"/>
      <c r="S279" s="718"/>
      <c r="T279" s="718"/>
      <c r="U279" s="718"/>
      <c r="V279" s="718"/>
      <c r="W279" s="718"/>
      <c r="X279" s="718"/>
      <c r="Y279" s="718"/>
      <c r="Z279" s="718"/>
      <c r="AA279" s="718"/>
      <c r="AB279" s="718"/>
      <c r="AC279" s="718"/>
      <c r="AD279" s="1405">
        <f t="shared" si="25"/>
        <v>0</v>
      </c>
      <c r="AE279" s="852">
        <f t="shared" si="26"/>
        <v>0</v>
      </c>
      <c r="AF279" s="853">
        <f t="shared" si="29"/>
        <v>983</v>
      </c>
    </row>
    <row r="280" spans="1:32" x14ac:dyDescent="0.3">
      <c r="A280" s="287" t="s">
        <v>804</v>
      </c>
      <c r="B280" s="851" t="s">
        <v>2043</v>
      </c>
      <c r="C280" s="717"/>
      <c r="D280" s="718" t="s">
        <v>251</v>
      </c>
      <c r="E280" s="718"/>
      <c r="F280" s="718" t="s">
        <v>251</v>
      </c>
      <c r="G280" s="718" t="s">
        <v>251</v>
      </c>
      <c r="H280" s="718" t="s">
        <v>251</v>
      </c>
      <c r="I280" s="718" t="s">
        <v>251</v>
      </c>
      <c r="J280" s="718" t="s">
        <v>251</v>
      </c>
      <c r="K280" s="718"/>
      <c r="L280" s="718" t="s">
        <v>251</v>
      </c>
      <c r="M280" s="718" t="s">
        <v>251</v>
      </c>
      <c r="N280" s="718" t="s">
        <v>251</v>
      </c>
      <c r="O280" s="718" t="s">
        <v>251</v>
      </c>
      <c r="P280" s="1497">
        <f t="shared" si="27"/>
        <v>0</v>
      </c>
      <c r="Q280" s="1405">
        <f t="shared" si="28"/>
        <v>0</v>
      </c>
      <c r="R280" s="717"/>
      <c r="S280" s="718"/>
      <c r="T280" s="718"/>
      <c r="U280" s="718"/>
      <c r="V280" s="718"/>
      <c r="W280" s="718"/>
      <c r="X280" s="718"/>
      <c r="Y280" s="718"/>
      <c r="Z280" s="718"/>
      <c r="AA280" s="718"/>
      <c r="AB280" s="718"/>
      <c r="AC280" s="718"/>
      <c r="AD280" s="1405">
        <f t="shared" si="25"/>
        <v>0</v>
      </c>
      <c r="AE280" s="852">
        <f t="shared" si="26"/>
        <v>0</v>
      </c>
      <c r="AF280" s="853">
        <f t="shared" si="29"/>
        <v>983</v>
      </c>
    </row>
    <row r="281" spans="1:32" x14ac:dyDescent="0.3">
      <c r="A281" s="287" t="s">
        <v>804</v>
      </c>
      <c r="B281" s="851" t="s">
        <v>2044</v>
      </c>
      <c r="C281" s="717"/>
      <c r="D281" s="718" t="s">
        <v>251</v>
      </c>
      <c r="E281" s="718"/>
      <c r="F281" s="718" t="s">
        <v>251</v>
      </c>
      <c r="G281" s="718" t="s">
        <v>251</v>
      </c>
      <c r="H281" s="718" t="s">
        <v>251</v>
      </c>
      <c r="I281" s="718" t="s">
        <v>251</v>
      </c>
      <c r="J281" s="718" t="s">
        <v>251</v>
      </c>
      <c r="K281" s="718"/>
      <c r="L281" s="718" t="s">
        <v>251</v>
      </c>
      <c r="M281" s="718" t="s">
        <v>251</v>
      </c>
      <c r="N281" s="718" t="s">
        <v>251</v>
      </c>
      <c r="O281" s="718" t="s">
        <v>251</v>
      </c>
      <c r="P281" s="1497">
        <f t="shared" si="27"/>
        <v>0</v>
      </c>
      <c r="Q281" s="1405">
        <f t="shared" si="28"/>
        <v>0</v>
      </c>
      <c r="R281" s="717"/>
      <c r="S281" s="718"/>
      <c r="T281" s="718"/>
      <c r="U281" s="718"/>
      <c r="V281" s="718"/>
      <c r="W281" s="718"/>
      <c r="X281" s="718"/>
      <c r="Y281" s="718"/>
      <c r="Z281" s="718"/>
      <c r="AA281" s="718"/>
      <c r="AB281" s="718"/>
      <c r="AC281" s="718"/>
      <c r="AD281" s="1405">
        <f t="shared" si="25"/>
        <v>0</v>
      </c>
      <c r="AE281" s="852">
        <f t="shared" si="26"/>
        <v>0</v>
      </c>
      <c r="AF281" s="853">
        <f t="shared" si="29"/>
        <v>983</v>
      </c>
    </row>
    <row r="282" spans="1:32" x14ac:dyDescent="0.3">
      <c r="A282" s="287" t="s">
        <v>804</v>
      </c>
      <c r="B282" s="851" t="s">
        <v>832</v>
      </c>
      <c r="C282" s="717" t="s">
        <v>251</v>
      </c>
      <c r="D282" s="718" t="s">
        <v>251</v>
      </c>
      <c r="E282" s="718" t="s">
        <v>251</v>
      </c>
      <c r="F282" s="718" t="s">
        <v>251</v>
      </c>
      <c r="G282" s="718" t="s">
        <v>251</v>
      </c>
      <c r="H282" s="718" t="s">
        <v>251</v>
      </c>
      <c r="I282" s="718" t="s">
        <v>251</v>
      </c>
      <c r="J282" s="718" t="s">
        <v>251</v>
      </c>
      <c r="K282" s="718"/>
      <c r="L282" s="718" t="s">
        <v>251</v>
      </c>
      <c r="M282" s="718" t="s">
        <v>251</v>
      </c>
      <c r="N282" s="718" t="s">
        <v>251</v>
      </c>
      <c r="O282" s="718" t="s">
        <v>251</v>
      </c>
      <c r="P282" s="1497">
        <f t="shared" si="27"/>
        <v>0</v>
      </c>
      <c r="Q282" s="1405">
        <f t="shared" si="28"/>
        <v>0</v>
      </c>
      <c r="R282" s="717"/>
      <c r="S282" s="718"/>
      <c r="T282" s="718"/>
      <c r="U282" s="718"/>
      <c r="V282" s="718"/>
      <c r="W282" s="718"/>
      <c r="X282" s="718"/>
      <c r="Y282" s="718"/>
      <c r="Z282" s="718"/>
      <c r="AA282" s="718"/>
      <c r="AB282" s="718"/>
      <c r="AC282" s="718"/>
      <c r="AD282" s="1405">
        <f t="shared" si="25"/>
        <v>0</v>
      </c>
      <c r="AE282" s="852">
        <f t="shared" si="26"/>
        <v>0</v>
      </c>
      <c r="AF282" s="853">
        <f t="shared" si="29"/>
        <v>983</v>
      </c>
    </row>
    <row r="283" spans="1:32" x14ac:dyDescent="0.3">
      <c r="A283" s="287" t="s">
        <v>804</v>
      </c>
      <c r="B283" s="851" t="s">
        <v>1452</v>
      </c>
      <c r="C283" s="717"/>
      <c r="D283" s="718">
        <v>0</v>
      </c>
      <c r="E283" s="718"/>
      <c r="F283" s="718">
        <v>0</v>
      </c>
      <c r="G283" s="718" t="s">
        <v>251</v>
      </c>
      <c r="H283" s="718" t="s">
        <v>251</v>
      </c>
      <c r="I283" s="718">
        <v>123850</v>
      </c>
      <c r="J283" s="718">
        <v>0</v>
      </c>
      <c r="K283" s="718"/>
      <c r="L283" s="718">
        <v>0</v>
      </c>
      <c r="M283" s="718">
        <v>0</v>
      </c>
      <c r="N283" s="718">
        <v>0</v>
      </c>
      <c r="O283" s="718" t="s">
        <v>251</v>
      </c>
      <c r="P283" s="1497">
        <f t="shared" si="27"/>
        <v>123850</v>
      </c>
      <c r="Q283" s="1405">
        <f t="shared" si="28"/>
        <v>123850</v>
      </c>
      <c r="R283" s="717"/>
      <c r="S283" s="718"/>
      <c r="T283" s="718"/>
      <c r="U283" s="718"/>
      <c r="V283" s="718"/>
      <c r="W283" s="718">
        <v>123850</v>
      </c>
      <c r="X283" s="718"/>
      <c r="Y283" s="718"/>
      <c r="Z283" s="718"/>
      <c r="AA283" s="718"/>
      <c r="AB283" s="718"/>
      <c r="AC283" s="718"/>
      <c r="AD283" s="1405">
        <f t="shared" si="25"/>
        <v>123850</v>
      </c>
      <c r="AE283" s="852">
        <f t="shared" si="26"/>
        <v>0</v>
      </c>
      <c r="AF283" s="853">
        <f t="shared" si="29"/>
        <v>709</v>
      </c>
    </row>
    <row r="284" spans="1:32" x14ac:dyDescent="0.3">
      <c r="A284" s="287" t="s">
        <v>804</v>
      </c>
      <c r="B284" s="851" t="s">
        <v>1453</v>
      </c>
      <c r="C284" s="717"/>
      <c r="D284" s="718" t="s">
        <v>251</v>
      </c>
      <c r="E284" s="718"/>
      <c r="F284" s="718" t="s">
        <v>251</v>
      </c>
      <c r="G284" s="718" t="s">
        <v>251</v>
      </c>
      <c r="H284" s="718" t="s">
        <v>251</v>
      </c>
      <c r="I284" s="718" t="s">
        <v>251</v>
      </c>
      <c r="J284" s="718" t="s">
        <v>251</v>
      </c>
      <c r="K284" s="718"/>
      <c r="L284" s="718" t="s">
        <v>251</v>
      </c>
      <c r="M284" s="718" t="s">
        <v>251</v>
      </c>
      <c r="N284" s="718" t="s">
        <v>251</v>
      </c>
      <c r="O284" s="718" t="s">
        <v>251</v>
      </c>
      <c r="P284" s="1497">
        <f t="shared" si="27"/>
        <v>0</v>
      </c>
      <c r="Q284" s="1405">
        <f t="shared" si="28"/>
        <v>0</v>
      </c>
      <c r="R284" s="717"/>
      <c r="S284" s="718"/>
      <c r="T284" s="718"/>
      <c r="U284" s="718"/>
      <c r="V284" s="718"/>
      <c r="W284" s="718"/>
      <c r="X284" s="718"/>
      <c r="Y284" s="718"/>
      <c r="Z284" s="718"/>
      <c r="AA284" s="718"/>
      <c r="AB284" s="718"/>
      <c r="AC284" s="718"/>
      <c r="AD284" s="1405">
        <f t="shared" si="25"/>
        <v>0</v>
      </c>
      <c r="AE284" s="852">
        <f t="shared" si="26"/>
        <v>0</v>
      </c>
      <c r="AF284" s="853">
        <f t="shared" si="29"/>
        <v>983</v>
      </c>
    </row>
    <row r="285" spans="1:32" x14ac:dyDescent="0.3">
      <c r="A285" s="287" t="s">
        <v>804</v>
      </c>
      <c r="B285" s="851" t="s">
        <v>1454</v>
      </c>
      <c r="C285" s="717"/>
      <c r="D285" s="718" t="s">
        <v>251</v>
      </c>
      <c r="E285" s="718"/>
      <c r="F285" s="718" t="s">
        <v>251</v>
      </c>
      <c r="G285" s="718" t="s">
        <v>251</v>
      </c>
      <c r="H285" s="718" t="s">
        <v>251</v>
      </c>
      <c r="I285" s="718" t="s">
        <v>251</v>
      </c>
      <c r="J285" s="718" t="s">
        <v>251</v>
      </c>
      <c r="K285" s="718"/>
      <c r="L285" s="718" t="s">
        <v>251</v>
      </c>
      <c r="M285" s="718" t="s">
        <v>251</v>
      </c>
      <c r="N285" s="718" t="s">
        <v>251</v>
      </c>
      <c r="O285" s="718" t="s">
        <v>251</v>
      </c>
      <c r="P285" s="1497">
        <f t="shared" si="27"/>
        <v>0</v>
      </c>
      <c r="Q285" s="1405">
        <f t="shared" si="28"/>
        <v>0</v>
      </c>
      <c r="R285" s="717"/>
      <c r="S285" s="718"/>
      <c r="T285" s="718"/>
      <c r="U285" s="718"/>
      <c r="V285" s="718"/>
      <c r="W285" s="718"/>
      <c r="X285" s="718"/>
      <c r="Y285" s="718"/>
      <c r="Z285" s="718"/>
      <c r="AA285" s="718"/>
      <c r="AB285" s="718"/>
      <c r="AC285" s="718"/>
      <c r="AD285" s="1405">
        <f t="shared" si="25"/>
        <v>0</v>
      </c>
      <c r="AE285" s="852">
        <f t="shared" si="26"/>
        <v>0</v>
      </c>
      <c r="AF285" s="853">
        <f t="shared" si="29"/>
        <v>983</v>
      </c>
    </row>
    <row r="286" spans="1:32" x14ac:dyDescent="0.3">
      <c r="A286" s="287" t="s">
        <v>804</v>
      </c>
      <c r="B286" s="851" t="s">
        <v>850</v>
      </c>
      <c r="C286" s="717"/>
      <c r="D286" s="718" t="s">
        <v>251</v>
      </c>
      <c r="E286" s="718"/>
      <c r="F286" s="718" t="s">
        <v>251</v>
      </c>
      <c r="G286" s="718" t="s">
        <v>251</v>
      </c>
      <c r="H286" s="718" t="s">
        <v>251</v>
      </c>
      <c r="I286" s="718" t="s">
        <v>251</v>
      </c>
      <c r="J286" s="718" t="s">
        <v>251</v>
      </c>
      <c r="K286" s="718"/>
      <c r="L286" s="718" t="s">
        <v>251</v>
      </c>
      <c r="M286" s="718" t="s">
        <v>251</v>
      </c>
      <c r="N286" s="718" t="s">
        <v>251</v>
      </c>
      <c r="O286" s="718" t="s">
        <v>251</v>
      </c>
      <c r="P286" s="1497">
        <f t="shared" si="27"/>
        <v>0</v>
      </c>
      <c r="Q286" s="1405">
        <f t="shared" si="28"/>
        <v>0</v>
      </c>
      <c r="R286" s="717"/>
      <c r="S286" s="718"/>
      <c r="T286" s="718"/>
      <c r="U286" s="718"/>
      <c r="V286" s="718"/>
      <c r="W286" s="718"/>
      <c r="X286" s="718"/>
      <c r="Y286" s="718"/>
      <c r="Z286" s="718"/>
      <c r="AA286" s="718"/>
      <c r="AB286" s="718"/>
      <c r="AC286" s="718"/>
      <c r="AD286" s="1405">
        <f t="shared" si="25"/>
        <v>0</v>
      </c>
      <c r="AE286" s="852">
        <f t="shared" si="26"/>
        <v>0</v>
      </c>
      <c r="AF286" s="853">
        <f t="shared" si="29"/>
        <v>983</v>
      </c>
    </row>
    <row r="287" spans="1:32" x14ac:dyDescent="0.3">
      <c r="A287" s="287" t="s">
        <v>804</v>
      </c>
      <c r="B287" s="851" t="s">
        <v>1456</v>
      </c>
      <c r="C287" s="717"/>
      <c r="D287" s="718" t="s">
        <v>251</v>
      </c>
      <c r="E287" s="718"/>
      <c r="F287" s="718" t="s">
        <v>251</v>
      </c>
      <c r="G287" s="718" t="s">
        <v>251</v>
      </c>
      <c r="H287" s="718" t="s">
        <v>251</v>
      </c>
      <c r="I287" s="718" t="s">
        <v>251</v>
      </c>
      <c r="J287" s="718" t="s">
        <v>251</v>
      </c>
      <c r="K287" s="718"/>
      <c r="L287" s="718" t="s">
        <v>251</v>
      </c>
      <c r="M287" s="718" t="s">
        <v>251</v>
      </c>
      <c r="N287" s="718" t="s">
        <v>251</v>
      </c>
      <c r="O287" s="718" t="s">
        <v>251</v>
      </c>
      <c r="P287" s="1497">
        <f t="shared" si="27"/>
        <v>0</v>
      </c>
      <c r="Q287" s="1405">
        <f t="shared" si="28"/>
        <v>0</v>
      </c>
      <c r="R287" s="717"/>
      <c r="S287" s="718"/>
      <c r="T287" s="718"/>
      <c r="U287" s="718"/>
      <c r="V287" s="718"/>
      <c r="W287" s="718"/>
      <c r="X287" s="718"/>
      <c r="Y287" s="718"/>
      <c r="Z287" s="718"/>
      <c r="AA287" s="718"/>
      <c r="AB287" s="718"/>
      <c r="AC287" s="718"/>
      <c r="AD287" s="1405">
        <f t="shared" si="25"/>
        <v>0</v>
      </c>
      <c r="AE287" s="852">
        <f t="shared" si="26"/>
        <v>0</v>
      </c>
      <c r="AF287" s="853">
        <f t="shared" si="29"/>
        <v>983</v>
      </c>
    </row>
    <row r="288" spans="1:32" x14ac:dyDescent="0.3">
      <c r="A288" s="287" t="s">
        <v>804</v>
      </c>
      <c r="B288" s="851" t="s">
        <v>2045</v>
      </c>
      <c r="C288" s="717"/>
      <c r="D288" s="718" t="s">
        <v>251</v>
      </c>
      <c r="E288" s="718"/>
      <c r="F288" s="718" t="s">
        <v>251</v>
      </c>
      <c r="G288" s="718" t="s">
        <v>251</v>
      </c>
      <c r="H288" s="718" t="s">
        <v>251</v>
      </c>
      <c r="I288" s="718" t="s">
        <v>251</v>
      </c>
      <c r="J288" s="718" t="s">
        <v>251</v>
      </c>
      <c r="K288" s="718"/>
      <c r="L288" s="718" t="s">
        <v>251</v>
      </c>
      <c r="M288" s="718" t="s">
        <v>251</v>
      </c>
      <c r="N288" s="718" t="s">
        <v>251</v>
      </c>
      <c r="O288" s="718" t="s">
        <v>251</v>
      </c>
      <c r="P288" s="1497">
        <f t="shared" si="27"/>
        <v>0</v>
      </c>
      <c r="Q288" s="1405">
        <f t="shared" si="28"/>
        <v>0</v>
      </c>
      <c r="R288" s="717"/>
      <c r="S288" s="718"/>
      <c r="T288" s="718"/>
      <c r="U288" s="718"/>
      <c r="V288" s="718"/>
      <c r="W288" s="718"/>
      <c r="X288" s="718"/>
      <c r="Y288" s="718"/>
      <c r="Z288" s="718"/>
      <c r="AA288" s="718"/>
      <c r="AB288" s="718"/>
      <c r="AC288" s="718"/>
      <c r="AD288" s="1405">
        <f t="shared" si="25"/>
        <v>0</v>
      </c>
      <c r="AE288" s="852">
        <f t="shared" si="26"/>
        <v>0</v>
      </c>
      <c r="AF288" s="853">
        <f t="shared" si="29"/>
        <v>983</v>
      </c>
    </row>
    <row r="289" spans="1:32" x14ac:dyDescent="0.3">
      <c r="A289" s="287" t="s">
        <v>804</v>
      </c>
      <c r="B289" s="851" t="s">
        <v>394</v>
      </c>
      <c r="C289" s="717"/>
      <c r="D289" s="718" t="s">
        <v>251</v>
      </c>
      <c r="E289" s="718"/>
      <c r="F289" s="718" t="s">
        <v>251</v>
      </c>
      <c r="G289" s="718" t="s">
        <v>251</v>
      </c>
      <c r="H289" s="718" t="s">
        <v>251</v>
      </c>
      <c r="I289" s="718" t="s">
        <v>251</v>
      </c>
      <c r="J289" s="718" t="s">
        <v>251</v>
      </c>
      <c r="K289" s="718"/>
      <c r="L289" s="718" t="s">
        <v>251</v>
      </c>
      <c r="M289" s="718" t="s">
        <v>251</v>
      </c>
      <c r="N289" s="718"/>
      <c r="O289" s="718">
        <v>401450</v>
      </c>
      <c r="P289" s="1497">
        <f t="shared" si="27"/>
        <v>0</v>
      </c>
      <c r="Q289" s="1405">
        <f t="shared" si="28"/>
        <v>401450</v>
      </c>
      <c r="R289" s="717"/>
      <c r="S289" s="718"/>
      <c r="T289" s="718">
        <v>55550</v>
      </c>
      <c r="U289" s="718">
        <v>0</v>
      </c>
      <c r="V289" s="718">
        <v>0</v>
      </c>
      <c r="W289" s="718">
        <v>0</v>
      </c>
      <c r="X289" s="718">
        <v>0</v>
      </c>
      <c r="Y289" s="718">
        <v>0</v>
      </c>
      <c r="Z289" s="718"/>
      <c r="AA289" s="718"/>
      <c r="AB289" s="718"/>
      <c r="AC289" s="718"/>
      <c r="AD289" s="1405">
        <f t="shared" si="25"/>
        <v>55550</v>
      </c>
      <c r="AE289" s="852">
        <f t="shared" si="26"/>
        <v>1</v>
      </c>
      <c r="AF289" s="853">
        <f t="shared" si="29"/>
        <v>827</v>
      </c>
    </row>
    <row r="290" spans="1:32" x14ac:dyDescent="0.3">
      <c r="A290" s="287" t="s">
        <v>804</v>
      </c>
      <c r="B290" s="851" t="s">
        <v>2349</v>
      </c>
      <c r="C290" s="717"/>
      <c r="D290" s="718" t="s">
        <v>251</v>
      </c>
      <c r="E290" s="718"/>
      <c r="F290" s="718" t="s">
        <v>251</v>
      </c>
      <c r="G290" s="718" t="s">
        <v>251</v>
      </c>
      <c r="H290" s="718" t="s">
        <v>251</v>
      </c>
      <c r="I290" s="718" t="s">
        <v>251</v>
      </c>
      <c r="J290" s="718" t="s">
        <v>251</v>
      </c>
      <c r="K290" s="718"/>
      <c r="L290" s="718" t="s">
        <v>251</v>
      </c>
      <c r="M290" s="718" t="s">
        <v>251</v>
      </c>
      <c r="N290" s="718"/>
      <c r="O290" s="718">
        <v>4428200</v>
      </c>
      <c r="P290" s="1497">
        <f t="shared" si="27"/>
        <v>0</v>
      </c>
      <c r="Q290" s="1405">
        <f t="shared" si="28"/>
        <v>4428200</v>
      </c>
      <c r="R290" s="717">
        <v>6550750</v>
      </c>
      <c r="S290" s="718"/>
      <c r="T290" s="718">
        <v>1820450</v>
      </c>
      <c r="U290" s="718">
        <v>5288200</v>
      </c>
      <c r="V290" s="718">
        <v>1469400</v>
      </c>
      <c r="W290" s="718">
        <v>1153850</v>
      </c>
      <c r="X290" s="718">
        <v>2854420</v>
      </c>
      <c r="Y290" s="718">
        <v>3883450</v>
      </c>
      <c r="Z290" s="718"/>
      <c r="AA290" s="718"/>
      <c r="AB290" s="718"/>
      <c r="AC290" s="718"/>
      <c r="AD290" s="1405">
        <f t="shared" si="25"/>
        <v>23020520</v>
      </c>
      <c r="AE290" s="852">
        <f t="shared" si="26"/>
        <v>1</v>
      </c>
      <c r="AF290" s="853">
        <f t="shared" si="29"/>
        <v>14</v>
      </c>
    </row>
    <row r="291" spans="1:32" x14ac:dyDescent="0.3">
      <c r="A291" s="287" t="s">
        <v>804</v>
      </c>
      <c r="B291" s="851" t="s">
        <v>2350</v>
      </c>
      <c r="C291" s="717"/>
      <c r="D291" s="718" t="s">
        <v>251</v>
      </c>
      <c r="E291" s="718"/>
      <c r="F291" s="718" t="s">
        <v>251</v>
      </c>
      <c r="G291" s="718" t="s">
        <v>251</v>
      </c>
      <c r="H291" s="718" t="s">
        <v>251</v>
      </c>
      <c r="I291" s="718" t="s">
        <v>251</v>
      </c>
      <c r="J291" s="718" t="s">
        <v>251</v>
      </c>
      <c r="K291" s="718"/>
      <c r="L291" s="718" t="s">
        <v>251</v>
      </c>
      <c r="M291" s="718" t="s">
        <v>251</v>
      </c>
      <c r="N291" s="718"/>
      <c r="O291" s="718">
        <v>395650</v>
      </c>
      <c r="P291" s="1497">
        <f t="shared" si="27"/>
        <v>0</v>
      </c>
      <c r="Q291" s="1405">
        <f t="shared" si="28"/>
        <v>395650</v>
      </c>
      <c r="R291" s="717"/>
      <c r="S291" s="718"/>
      <c r="T291" s="718"/>
      <c r="U291" s="718"/>
      <c r="V291" s="718"/>
      <c r="W291" s="718"/>
      <c r="X291" s="718"/>
      <c r="Y291" s="718"/>
      <c r="Z291" s="718"/>
      <c r="AA291" s="718"/>
      <c r="AB291" s="718"/>
      <c r="AC291" s="718"/>
      <c r="AD291" s="1405">
        <f t="shared" si="25"/>
        <v>0</v>
      </c>
      <c r="AE291" s="852">
        <f t="shared" si="26"/>
        <v>0</v>
      </c>
      <c r="AF291" s="853">
        <f t="shared" si="29"/>
        <v>983</v>
      </c>
    </row>
    <row r="292" spans="1:32" x14ac:dyDescent="0.3">
      <c r="A292" s="287" t="s">
        <v>804</v>
      </c>
      <c r="B292" s="851" t="s">
        <v>2393</v>
      </c>
      <c r="C292" s="717"/>
      <c r="D292" s="718" t="s">
        <v>251</v>
      </c>
      <c r="E292" s="718"/>
      <c r="F292" s="718"/>
      <c r="G292" s="718" t="s">
        <v>251</v>
      </c>
      <c r="H292" s="718" t="s">
        <v>251</v>
      </c>
      <c r="I292" s="718" t="s">
        <v>251</v>
      </c>
      <c r="J292" s="718"/>
      <c r="K292" s="718"/>
      <c r="L292" s="718"/>
      <c r="M292" s="718"/>
      <c r="N292" s="718"/>
      <c r="O292" s="718">
        <v>3161450</v>
      </c>
      <c r="P292" s="1497">
        <f t="shared" si="27"/>
        <v>0</v>
      </c>
      <c r="Q292" s="1405">
        <f t="shared" si="28"/>
        <v>3161450</v>
      </c>
      <c r="R292" s="717"/>
      <c r="S292" s="718"/>
      <c r="T292" s="718">
        <v>512800</v>
      </c>
      <c r="U292" s="718">
        <v>0</v>
      </c>
      <c r="V292" s="718">
        <v>0</v>
      </c>
      <c r="W292" s="718">
        <v>0</v>
      </c>
      <c r="X292" s="718">
        <v>0</v>
      </c>
      <c r="Y292" s="718">
        <v>0</v>
      </c>
      <c r="Z292" s="718"/>
      <c r="AA292" s="718"/>
      <c r="AB292" s="718"/>
      <c r="AC292" s="718"/>
      <c r="AD292" s="1405">
        <f t="shared" si="25"/>
        <v>512800</v>
      </c>
      <c r="AE292" s="852">
        <f t="shared" si="26"/>
        <v>1</v>
      </c>
      <c r="AF292" s="853">
        <f t="shared" si="29"/>
        <v>430</v>
      </c>
    </row>
    <row r="293" spans="1:32" x14ac:dyDescent="0.3">
      <c r="A293" s="287" t="s">
        <v>804</v>
      </c>
      <c r="B293" s="851" t="s">
        <v>804</v>
      </c>
      <c r="C293" s="717"/>
      <c r="D293" s="718" t="s">
        <v>251</v>
      </c>
      <c r="E293" s="718"/>
      <c r="F293" s="718"/>
      <c r="G293" s="718" t="s">
        <v>251</v>
      </c>
      <c r="H293" s="718" t="s">
        <v>251</v>
      </c>
      <c r="I293" s="718" t="s">
        <v>251</v>
      </c>
      <c r="J293" s="718"/>
      <c r="K293" s="718"/>
      <c r="L293" s="718"/>
      <c r="M293" s="718"/>
      <c r="N293" s="718"/>
      <c r="O293" s="718">
        <v>653600</v>
      </c>
      <c r="P293" s="1497">
        <f t="shared" si="27"/>
        <v>0</v>
      </c>
      <c r="Q293" s="1405">
        <f t="shared" si="28"/>
        <v>653600</v>
      </c>
      <c r="R293" s="717"/>
      <c r="S293" s="718"/>
      <c r="T293" s="718"/>
      <c r="U293" s="718"/>
      <c r="V293" s="718"/>
      <c r="W293" s="718"/>
      <c r="X293" s="718"/>
      <c r="Y293" s="718"/>
      <c r="Z293" s="718"/>
      <c r="AA293" s="718"/>
      <c r="AB293" s="718"/>
      <c r="AC293" s="718"/>
      <c r="AD293" s="1405">
        <f t="shared" si="25"/>
        <v>0</v>
      </c>
      <c r="AE293" s="852">
        <f t="shared" si="26"/>
        <v>0</v>
      </c>
      <c r="AF293" s="853">
        <f t="shared" si="29"/>
        <v>983</v>
      </c>
    </row>
    <row r="294" spans="1:32" x14ac:dyDescent="0.3">
      <c r="A294" s="287" t="s">
        <v>804</v>
      </c>
      <c r="B294" s="851" t="s">
        <v>2169</v>
      </c>
      <c r="C294" s="717"/>
      <c r="D294" s="718" t="s">
        <v>251</v>
      </c>
      <c r="E294" s="718"/>
      <c r="F294" s="718"/>
      <c r="G294" s="718" t="s">
        <v>251</v>
      </c>
      <c r="H294" s="718" t="s">
        <v>251</v>
      </c>
      <c r="I294" s="718" t="s">
        <v>251</v>
      </c>
      <c r="J294" s="718"/>
      <c r="K294" s="718"/>
      <c r="L294" s="718"/>
      <c r="M294" s="718"/>
      <c r="N294" s="718"/>
      <c r="O294" s="718">
        <v>197850</v>
      </c>
      <c r="P294" s="1497">
        <f t="shared" si="27"/>
        <v>0</v>
      </c>
      <c r="Q294" s="1405">
        <f t="shared" si="28"/>
        <v>197850</v>
      </c>
      <c r="R294" s="717">
        <v>434200</v>
      </c>
      <c r="S294" s="718">
        <v>194800</v>
      </c>
      <c r="T294" s="718">
        <v>262050</v>
      </c>
      <c r="U294" s="718">
        <v>1243450</v>
      </c>
      <c r="V294" s="718">
        <v>297900</v>
      </c>
      <c r="W294" s="718">
        <v>1012620</v>
      </c>
      <c r="X294" s="718">
        <v>975450</v>
      </c>
      <c r="Y294" s="718">
        <v>719700</v>
      </c>
      <c r="Z294" s="718"/>
      <c r="AA294" s="718"/>
      <c r="AB294" s="718"/>
      <c r="AC294" s="718"/>
      <c r="AD294" s="1405">
        <f t="shared" si="25"/>
        <v>5140170</v>
      </c>
      <c r="AE294" s="852">
        <f t="shared" si="26"/>
        <v>1</v>
      </c>
      <c r="AF294" s="853">
        <f t="shared" si="29"/>
        <v>86</v>
      </c>
    </row>
    <row r="295" spans="1:32" x14ac:dyDescent="0.3">
      <c r="A295" s="287" t="s">
        <v>804</v>
      </c>
      <c r="B295" s="851" t="s">
        <v>2394</v>
      </c>
      <c r="C295" s="717"/>
      <c r="D295" s="718" t="s">
        <v>251</v>
      </c>
      <c r="E295" s="718"/>
      <c r="F295" s="718"/>
      <c r="G295" s="718" t="s">
        <v>251</v>
      </c>
      <c r="H295" s="718" t="s">
        <v>251</v>
      </c>
      <c r="I295" s="718" t="s">
        <v>251</v>
      </c>
      <c r="J295" s="718"/>
      <c r="K295" s="718"/>
      <c r="L295" s="718"/>
      <c r="M295" s="718"/>
      <c r="N295" s="718"/>
      <c r="O295" s="718">
        <v>171900</v>
      </c>
      <c r="P295" s="1497">
        <f t="shared" si="27"/>
        <v>0</v>
      </c>
      <c r="Q295" s="1405">
        <f t="shared" si="28"/>
        <v>171900</v>
      </c>
      <c r="R295" s="717"/>
      <c r="S295" s="718"/>
      <c r="T295" s="718"/>
      <c r="U295" s="718"/>
      <c r="V295" s="718"/>
      <c r="W295" s="718"/>
      <c r="X295" s="718"/>
      <c r="Y295" s="718"/>
      <c r="Z295" s="718"/>
      <c r="AA295" s="718"/>
      <c r="AB295" s="718"/>
      <c r="AC295" s="718"/>
      <c r="AD295" s="1405">
        <f t="shared" si="25"/>
        <v>0</v>
      </c>
      <c r="AE295" s="852">
        <f t="shared" si="26"/>
        <v>0</v>
      </c>
      <c r="AF295" s="853">
        <f t="shared" si="29"/>
        <v>983</v>
      </c>
    </row>
    <row r="296" spans="1:32" x14ac:dyDescent="0.3">
      <c r="A296" s="287" t="s">
        <v>804</v>
      </c>
      <c r="B296" s="851" t="s">
        <v>2395</v>
      </c>
      <c r="C296" s="717"/>
      <c r="D296" s="718" t="s">
        <v>251</v>
      </c>
      <c r="E296" s="718"/>
      <c r="F296" s="718"/>
      <c r="G296" s="718" t="s">
        <v>251</v>
      </c>
      <c r="H296" s="718" t="s">
        <v>251</v>
      </c>
      <c r="I296" s="718" t="s">
        <v>251</v>
      </c>
      <c r="J296" s="718"/>
      <c r="K296" s="718"/>
      <c r="L296" s="718"/>
      <c r="M296" s="718"/>
      <c r="N296" s="718"/>
      <c r="O296" s="718">
        <v>96250</v>
      </c>
      <c r="P296" s="1497">
        <f t="shared" si="27"/>
        <v>0</v>
      </c>
      <c r="Q296" s="1405">
        <f t="shared" si="28"/>
        <v>96250</v>
      </c>
      <c r="R296" s="717"/>
      <c r="S296" s="718"/>
      <c r="T296" s="718"/>
      <c r="U296" s="718"/>
      <c r="V296" s="718"/>
      <c r="W296" s="718"/>
      <c r="X296" s="718"/>
      <c r="Y296" s="718"/>
      <c r="Z296" s="718"/>
      <c r="AA296" s="718"/>
      <c r="AB296" s="718"/>
      <c r="AC296" s="718"/>
      <c r="AD296" s="1405">
        <f t="shared" si="25"/>
        <v>0</v>
      </c>
      <c r="AE296" s="852">
        <f t="shared" si="26"/>
        <v>0</v>
      </c>
      <c r="AF296" s="853">
        <f t="shared" si="29"/>
        <v>983</v>
      </c>
    </row>
    <row r="297" spans="1:32" x14ac:dyDescent="0.3">
      <c r="A297" s="287" t="s">
        <v>804</v>
      </c>
      <c r="B297" s="851" t="s">
        <v>2496</v>
      </c>
      <c r="C297" s="717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1497">
        <f t="shared" si="27"/>
        <v>0</v>
      </c>
      <c r="Q297" s="1405">
        <f t="shared" si="28"/>
        <v>0</v>
      </c>
      <c r="R297" s="717">
        <v>322500</v>
      </c>
      <c r="S297" s="718">
        <v>184500</v>
      </c>
      <c r="T297" s="718">
        <v>0</v>
      </c>
      <c r="U297" s="718">
        <v>0</v>
      </c>
      <c r="V297" s="718">
        <v>0</v>
      </c>
      <c r="W297" s="718">
        <v>0</v>
      </c>
      <c r="X297" s="718">
        <v>0</v>
      </c>
      <c r="Y297" s="718">
        <v>0</v>
      </c>
      <c r="Z297" s="718"/>
      <c r="AA297" s="718"/>
      <c r="AB297" s="718"/>
      <c r="AC297" s="718"/>
      <c r="AD297" s="1405">
        <f t="shared" si="25"/>
        <v>507000</v>
      </c>
      <c r="AE297" s="852">
        <f t="shared" si="26"/>
        <v>1</v>
      </c>
      <c r="AF297" s="853">
        <f t="shared" si="29"/>
        <v>435</v>
      </c>
    </row>
    <row r="298" spans="1:32" x14ac:dyDescent="0.3">
      <c r="A298" s="287" t="s">
        <v>804</v>
      </c>
      <c r="B298" s="851" t="s">
        <v>822</v>
      </c>
      <c r="C298" s="717"/>
      <c r="D298" s="718"/>
      <c r="E298" s="718"/>
      <c r="F298" s="718"/>
      <c r="G298" s="718"/>
      <c r="H298" s="718"/>
      <c r="I298" s="718"/>
      <c r="J298" s="718"/>
      <c r="K298" s="718"/>
      <c r="L298" s="718"/>
      <c r="M298" s="718"/>
      <c r="N298" s="718"/>
      <c r="O298" s="718"/>
      <c r="P298" s="1497">
        <f t="shared" si="27"/>
        <v>0</v>
      </c>
      <c r="Q298" s="1405">
        <f t="shared" si="28"/>
        <v>0</v>
      </c>
      <c r="R298" s="717">
        <v>152800</v>
      </c>
      <c r="S298" s="718"/>
      <c r="T298" s="718">
        <v>0</v>
      </c>
      <c r="U298" s="718">
        <v>0</v>
      </c>
      <c r="V298" s="718">
        <v>0</v>
      </c>
      <c r="W298" s="718">
        <v>0</v>
      </c>
      <c r="X298" s="718">
        <v>0</v>
      </c>
      <c r="Y298" s="718">
        <v>0</v>
      </c>
      <c r="Z298" s="718"/>
      <c r="AA298" s="718"/>
      <c r="AB298" s="718"/>
      <c r="AC298" s="718"/>
      <c r="AD298" s="1405">
        <f t="shared" si="25"/>
        <v>152800</v>
      </c>
      <c r="AE298" s="852">
        <f t="shared" si="26"/>
        <v>1</v>
      </c>
      <c r="AF298" s="853">
        <f t="shared" si="29"/>
        <v>674</v>
      </c>
    </row>
    <row r="299" spans="1:32" x14ac:dyDescent="0.3">
      <c r="A299" s="287" t="s">
        <v>804</v>
      </c>
      <c r="B299" s="851" t="s">
        <v>2003</v>
      </c>
      <c r="C299" s="717"/>
      <c r="D299" s="718"/>
      <c r="E299" s="718"/>
      <c r="F299" s="718"/>
      <c r="G299" s="718"/>
      <c r="H299" s="718"/>
      <c r="I299" s="718"/>
      <c r="J299" s="718"/>
      <c r="K299" s="718"/>
      <c r="L299" s="718"/>
      <c r="M299" s="718"/>
      <c r="N299" s="718"/>
      <c r="O299" s="718"/>
      <c r="P299" s="1497">
        <f t="shared" si="27"/>
        <v>0</v>
      </c>
      <c r="Q299" s="1405">
        <f t="shared" si="28"/>
        <v>0</v>
      </c>
      <c r="R299" s="717"/>
      <c r="S299" s="718"/>
      <c r="T299" s="718"/>
      <c r="U299" s="718"/>
      <c r="V299" s="718"/>
      <c r="W299" s="718"/>
      <c r="X299" s="718"/>
      <c r="Y299" s="718"/>
      <c r="Z299" s="718"/>
      <c r="AA299" s="718"/>
      <c r="AB299" s="718"/>
      <c r="AC299" s="718"/>
      <c r="AD299" s="1405">
        <f t="shared" si="25"/>
        <v>0</v>
      </c>
      <c r="AE299" s="852">
        <f t="shared" si="26"/>
        <v>0</v>
      </c>
      <c r="AF299" s="853">
        <f t="shared" si="29"/>
        <v>983</v>
      </c>
    </row>
    <row r="300" spans="1:32" x14ac:dyDescent="0.3">
      <c r="A300" s="287" t="s">
        <v>804</v>
      </c>
      <c r="B300" s="851" t="s">
        <v>2540</v>
      </c>
      <c r="C300" s="717"/>
      <c r="D300" s="718"/>
      <c r="E300" s="718"/>
      <c r="F300" s="718"/>
      <c r="G300" s="718"/>
      <c r="H300" s="718"/>
      <c r="I300" s="718"/>
      <c r="J300" s="718"/>
      <c r="K300" s="718"/>
      <c r="L300" s="718"/>
      <c r="M300" s="718"/>
      <c r="N300" s="718"/>
      <c r="O300" s="718"/>
      <c r="P300" s="1497">
        <f t="shared" si="27"/>
        <v>0</v>
      </c>
      <c r="Q300" s="1405">
        <f t="shared" si="28"/>
        <v>0</v>
      </c>
      <c r="R300" s="717">
        <v>469250</v>
      </c>
      <c r="S300" s="718"/>
      <c r="T300" s="718">
        <v>0</v>
      </c>
      <c r="U300" s="718">
        <v>0</v>
      </c>
      <c r="V300" s="718">
        <v>0</v>
      </c>
      <c r="W300" s="718">
        <v>0</v>
      </c>
      <c r="X300" s="718">
        <v>0</v>
      </c>
      <c r="Y300" s="718">
        <v>0</v>
      </c>
      <c r="Z300" s="718"/>
      <c r="AA300" s="718"/>
      <c r="AB300" s="718"/>
      <c r="AC300" s="718"/>
      <c r="AD300" s="1405">
        <f t="shared" si="25"/>
        <v>469250</v>
      </c>
      <c r="AE300" s="852">
        <f t="shared" si="26"/>
        <v>1</v>
      </c>
      <c r="AF300" s="853">
        <f t="shared" si="29"/>
        <v>457</v>
      </c>
    </row>
    <row r="301" spans="1:32" x14ac:dyDescent="0.3">
      <c r="A301" s="287" t="s">
        <v>804</v>
      </c>
      <c r="B301" s="851" t="s">
        <v>2541</v>
      </c>
      <c r="C301" s="717"/>
      <c r="D301" s="718"/>
      <c r="E301" s="718"/>
      <c r="F301" s="718"/>
      <c r="G301" s="718"/>
      <c r="H301" s="718"/>
      <c r="I301" s="718"/>
      <c r="J301" s="718"/>
      <c r="K301" s="718"/>
      <c r="L301" s="718"/>
      <c r="M301" s="718"/>
      <c r="N301" s="718"/>
      <c r="O301" s="718"/>
      <c r="P301" s="1497">
        <f t="shared" si="27"/>
        <v>0</v>
      </c>
      <c r="Q301" s="1405">
        <f t="shared" si="28"/>
        <v>0</v>
      </c>
      <c r="R301" s="717">
        <v>103350</v>
      </c>
      <c r="S301" s="718"/>
      <c r="T301" s="718">
        <v>0</v>
      </c>
      <c r="U301" s="718">
        <v>0</v>
      </c>
      <c r="V301" s="718">
        <v>0</v>
      </c>
      <c r="W301" s="718">
        <v>0</v>
      </c>
      <c r="X301" s="718">
        <v>0</v>
      </c>
      <c r="Y301" s="718">
        <v>0</v>
      </c>
      <c r="Z301" s="718"/>
      <c r="AA301" s="718"/>
      <c r="AB301" s="718"/>
      <c r="AC301" s="718"/>
      <c r="AD301" s="1405">
        <f t="shared" si="25"/>
        <v>103350</v>
      </c>
      <c r="AE301" s="852">
        <f t="shared" si="26"/>
        <v>1</v>
      </c>
      <c r="AF301" s="853">
        <f t="shared" si="29"/>
        <v>735</v>
      </c>
    </row>
    <row r="302" spans="1:32" x14ac:dyDescent="0.3">
      <c r="A302" s="287" t="s">
        <v>804</v>
      </c>
      <c r="B302" s="851" t="s">
        <v>2003</v>
      </c>
      <c r="C302" s="717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1497">
        <f t="shared" si="27"/>
        <v>0</v>
      </c>
      <c r="Q302" s="1405">
        <f t="shared" si="28"/>
        <v>0</v>
      </c>
      <c r="R302" s="717">
        <v>266700</v>
      </c>
      <c r="S302" s="718"/>
      <c r="T302" s="718"/>
      <c r="U302" s="718"/>
      <c r="V302" s="718"/>
      <c r="W302" s="718"/>
      <c r="X302" s="718"/>
      <c r="Y302" s="718"/>
      <c r="Z302" s="718"/>
      <c r="AA302" s="718"/>
      <c r="AB302" s="718"/>
      <c r="AC302" s="718"/>
      <c r="AD302" s="1405">
        <f t="shared" si="25"/>
        <v>266700</v>
      </c>
      <c r="AE302" s="852">
        <f t="shared" si="26"/>
        <v>1</v>
      </c>
      <c r="AF302" s="853">
        <f t="shared" si="29"/>
        <v>551</v>
      </c>
    </row>
    <row r="303" spans="1:32" x14ac:dyDescent="0.3">
      <c r="A303" s="287" t="s">
        <v>804</v>
      </c>
      <c r="B303" s="851" t="s">
        <v>2007</v>
      </c>
      <c r="C303" s="717"/>
      <c r="D303" s="718"/>
      <c r="E303" s="718"/>
      <c r="F303" s="718"/>
      <c r="G303" s="718"/>
      <c r="H303" s="718"/>
      <c r="I303" s="718"/>
      <c r="J303" s="718"/>
      <c r="K303" s="718"/>
      <c r="L303" s="718"/>
      <c r="M303" s="718"/>
      <c r="N303" s="718"/>
      <c r="O303" s="718"/>
      <c r="P303" s="1497">
        <f t="shared" si="27"/>
        <v>0</v>
      </c>
      <c r="Q303" s="1405">
        <f t="shared" si="28"/>
        <v>0</v>
      </c>
      <c r="R303" s="717">
        <v>154700</v>
      </c>
      <c r="S303" s="718"/>
      <c r="T303" s="718"/>
      <c r="U303" s="718"/>
      <c r="V303" s="718"/>
      <c r="W303" s="718"/>
      <c r="X303" s="718"/>
      <c r="Y303" s="718"/>
      <c r="Z303" s="718"/>
      <c r="AA303" s="718"/>
      <c r="AB303" s="718"/>
      <c r="AC303" s="718"/>
      <c r="AD303" s="1405">
        <f t="shared" si="25"/>
        <v>154700</v>
      </c>
      <c r="AE303" s="852">
        <f t="shared" si="26"/>
        <v>1</v>
      </c>
      <c r="AF303" s="853">
        <f t="shared" si="29"/>
        <v>671</v>
      </c>
    </row>
    <row r="304" spans="1:32" x14ac:dyDescent="0.3">
      <c r="A304" s="287" t="s">
        <v>804</v>
      </c>
      <c r="B304" s="851" t="s">
        <v>812</v>
      </c>
      <c r="C304" s="717"/>
      <c r="D304" s="718"/>
      <c r="E304" s="718"/>
      <c r="F304" s="718"/>
      <c r="G304" s="718"/>
      <c r="H304" s="718"/>
      <c r="I304" s="718"/>
      <c r="J304" s="718"/>
      <c r="K304" s="718"/>
      <c r="L304" s="718"/>
      <c r="M304" s="718"/>
      <c r="N304" s="718"/>
      <c r="O304" s="718"/>
      <c r="P304" s="1497">
        <f t="shared" si="27"/>
        <v>0</v>
      </c>
      <c r="Q304" s="1405">
        <f t="shared" si="28"/>
        <v>0</v>
      </c>
      <c r="R304" s="717">
        <v>34600</v>
      </c>
      <c r="S304" s="718">
        <v>34700</v>
      </c>
      <c r="T304" s="718">
        <v>0</v>
      </c>
      <c r="U304" s="718">
        <v>0</v>
      </c>
      <c r="V304" s="718">
        <v>57400</v>
      </c>
      <c r="W304" s="718">
        <v>0</v>
      </c>
      <c r="X304" s="718">
        <v>0</v>
      </c>
      <c r="Y304" s="718">
        <v>0</v>
      </c>
      <c r="Z304" s="718"/>
      <c r="AA304" s="718"/>
      <c r="AB304" s="718"/>
      <c r="AC304" s="718"/>
      <c r="AD304" s="1405">
        <f t="shared" si="25"/>
        <v>126700</v>
      </c>
      <c r="AE304" s="852">
        <f t="shared" si="26"/>
        <v>1</v>
      </c>
      <c r="AF304" s="853">
        <f t="shared" si="29"/>
        <v>703</v>
      </c>
    </row>
    <row r="305" spans="1:32" x14ac:dyDescent="0.3">
      <c r="A305" s="287" t="s">
        <v>804</v>
      </c>
      <c r="B305" s="851" t="s">
        <v>2491</v>
      </c>
      <c r="C305" s="717"/>
      <c r="D305" s="718"/>
      <c r="E305" s="718"/>
      <c r="F305" s="718"/>
      <c r="G305" s="718"/>
      <c r="H305" s="718"/>
      <c r="I305" s="718"/>
      <c r="J305" s="718"/>
      <c r="K305" s="718"/>
      <c r="L305" s="718"/>
      <c r="M305" s="718"/>
      <c r="N305" s="718"/>
      <c r="O305" s="718"/>
      <c r="P305" s="1497">
        <f t="shared" si="27"/>
        <v>0</v>
      </c>
      <c r="Q305" s="1405">
        <f t="shared" si="28"/>
        <v>0</v>
      </c>
      <c r="R305" s="717"/>
      <c r="S305" s="718">
        <v>3201800</v>
      </c>
      <c r="T305" s="718">
        <v>0</v>
      </c>
      <c r="U305" s="718">
        <v>0</v>
      </c>
      <c r="V305" s="718">
        <v>0</v>
      </c>
      <c r="W305" s="718">
        <v>0</v>
      </c>
      <c r="X305" s="718">
        <v>0</v>
      </c>
      <c r="Y305" s="718">
        <v>0</v>
      </c>
      <c r="Z305" s="718"/>
      <c r="AA305" s="718"/>
      <c r="AB305" s="718"/>
      <c r="AC305" s="718"/>
      <c r="AD305" s="1405">
        <f t="shared" si="25"/>
        <v>3201800</v>
      </c>
      <c r="AE305" s="852">
        <f t="shared" si="26"/>
        <v>1</v>
      </c>
      <c r="AF305" s="853">
        <f t="shared" si="29"/>
        <v>143</v>
      </c>
    </row>
    <row r="306" spans="1:32" x14ac:dyDescent="0.3">
      <c r="A306" s="287" t="s">
        <v>804</v>
      </c>
      <c r="B306" s="851" t="s">
        <v>2614</v>
      </c>
      <c r="C306" s="717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8"/>
      <c r="P306" s="1497">
        <f t="shared" si="27"/>
        <v>0</v>
      </c>
      <c r="Q306" s="1405">
        <f t="shared" si="28"/>
        <v>0</v>
      </c>
      <c r="R306" s="717"/>
      <c r="S306" s="718"/>
      <c r="T306" s="718">
        <v>420680</v>
      </c>
      <c r="U306" s="718">
        <v>59150</v>
      </c>
      <c r="V306" s="718">
        <v>0</v>
      </c>
      <c r="W306" s="718">
        <v>0</v>
      </c>
      <c r="X306" s="718">
        <v>0</v>
      </c>
      <c r="Y306" s="718">
        <v>0</v>
      </c>
      <c r="Z306" s="718"/>
      <c r="AA306" s="718"/>
      <c r="AB306" s="718"/>
      <c r="AC306" s="718"/>
      <c r="AD306" s="1405">
        <f t="shared" si="25"/>
        <v>479830</v>
      </c>
      <c r="AE306" s="852">
        <f t="shared" si="26"/>
        <v>1</v>
      </c>
      <c r="AF306" s="853">
        <f t="shared" si="29"/>
        <v>453</v>
      </c>
    </row>
    <row r="307" spans="1:32" x14ac:dyDescent="0.3">
      <c r="A307" s="287" t="s">
        <v>804</v>
      </c>
      <c r="B307" s="851" t="s">
        <v>2528</v>
      </c>
      <c r="C307" s="717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1497">
        <f t="shared" si="27"/>
        <v>0</v>
      </c>
      <c r="Q307" s="1405">
        <f t="shared" si="28"/>
        <v>0</v>
      </c>
      <c r="R307" s="717"/>
      <c r="S307" s="718"/>
      <c r="T307" s="718"/>
      <c r="U307" s="718">
        <v>549800</v>
      </c>
      <c r="V307" s="718">
        <v>0</v>
      </c>
      <c r="W307" s="718">
        <v>0</v>
      </c>
      <c r="X307" s="718">
        <v>0</v>
      </c>
      <c r="Y307" s="718">
        <v>0</v>
      </c>
      <c r="Z307" s="718"/>
      <c r="AA307" s="718"/>
      <c r="AB307" s="718"/>
      <c r="AC307" s="718"/>
      <c r="AD307" s="1405">
        <f t="shared" si="25"/>
        <v>549800</v>
      </c>
      <c r="AE307" s="852">
        <f t="shared" si="26"/>
        <v>1</v>
      </c>
      <c r="AF307" s="853">
        <f t="shared" si="29"/>
        <v>420</v>
      </c>
    </row>
    <row r="308" spans="1:32" x14ac:dyDescent="0.3">
      <c r="A308" s="287" t="s">
        <v>804</v>
      </c>
      <c r="B308" s="851" t="s">
        <v>2678</v>
      </c>
      <c r="C308" s="717"/>
      <c r="D308" s="718"/>
      <c r="E308" s="718"/>
      <c r="F308" s="718"/>
      <c r="G308" s="718"/>
      <c r="H308" s="718"/>
      <c r="I308" s="718"/>
      <c r="J308" s="718"/>
      <c r="K308" s="718"/>
      <c r="L308" s="718"/>
      <c r="M308" s="718"/>
      <c r="N308" s="718"/>
      <c r="O308" s="718"/>
      <c r="P308" s="1497">
        <f t="shared" si="27"/>
        <v>0</v>
      </c>
      <c r="Q308" s="1405">
        <f t="shared" si="28"/>
        <v>0</v>
      </c>
      <c r="R308" s="717"/>
      <c r="S308" s="718"/>
      <c r="T308" s="718"/>
      <c r="U308" s="718">
        <v>327400</v>
      </c>
      <c r="V308" s="718">
        <v>606650</v>
      </c>
      <c r="W308" s="718">
        <v>588200</v>
      </c>
      <c r="X308" s="718">
        <v>318200</v>
      </c>
      <c r="Y308" s="718">
        <v>640500</v>
      </c>
      <c r="Z308" s="718"/>
      <c r="AA308" s="718"/>
      <c r="AB308" s="718"/>
      <c r="AC308" s="718"/>
      <c r="AD308" s="1405">
        <f t="shared" si="25"/>
        <v>2480950</v>
      </c>
      <c r="AE308" s="852">
        <f t="shared" si="26"/>
        <v>1</v>
      </c>
      <c r="AF308" s="853">
        <f t="shared" si="29"/>
        <v>176</v>
      </c>
    </row>
    <row r="309" spans="1:32" x14ac:dyDescent="0.3">
      <c r="A309" s="287" t="s">
        <v>804</v>
      </c>
      <c r="B309" s="851" t="s">
        <v>2702</v>
      </c>
      <c r="C309" s="717"/>
      <c r="D309" s="718"/>
      <c r="E309" s="718"/>
      <c r="F309" s="718"/>
      <c r="G309" s="718"/>
      <c r="H309" s="718"/>
      <c r="I309" s="718"/>
      <c r="J309" s="718"/>
      <c r="K309" s="718"/>
      <c r="L309" s="718"/>
      <c r="M309" s="718"/>
      <c r="N309" s="718"/>
      <c r="O309" s="718"/>
      <c r="P309" s="1497">
        <f t="shared" si="27"/>
        <v>0</v>
      </c>
      <c r="Q309" s="1405">
        <f t="shared" si="28"/>
        <v>0</v>
      </c>
      <c r="R309" s="717"/>
      <c r="S309" s="718"/>
      <c r="T309" s="718"/>
      <c r="U309" s="718">
        <v>172900</v>
      </c>
      <c r="V309" s="718"/>
      <c r="W309" s="718"/>
      <c r="X309" s="718"/>
      <c r="Y309" s="718"/>
      <c r="Z309" s="718"/>
      <c r="AA309" s="718"/>
      <c r="AB309" s="718"/>
      <c r="AC309" s="718"/>
      <c r="AD309" s="1405">
        <f t="shared" si="25"/>
        <v>172900</v>
      </c>
      <c r="AE309" s="852">
        <f t="shared" si="26"/>
        <v>1</v>
      </c>
      <c r="AF309" s="853">
        <f t="shared" si="29"/>
        <v>647</v>
      </c>
    </row>
    <row r="310" spans="1:32" x14ac:dyDescent="0.3">
      <c r="A310" s="287" t="s">
        <v>804</v>
      </c>
      <c r="B310" s="851" t="s">
        <v>1230</v>
      </c>
      <c r="C310" s="717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8"/>
      <c r="P310" s="1497">
        <f t="shared" si="27"/>
        <v>0</v>
      </c>
      <c r="Q310" s="1405">
        <f t="shared" si="28"/>
        <v>0</v>
      </c>
      <c r="R310" s="717"/>
      <c r="S310" s="718"/>
      <c r="T310" s="718"/>
      <c r="U310" s="718"/>
      <c r="V310" s="718">
        <v>0</v>
      </c>
      <c r="W310" s="718">
        <v>0</v>
      </c>
      <c r="X310" s="718">
        <v>0</v>
      </c>
      <c r="Y310" s="718">
        <v>0</v>
      </c>
      <c r="Z310" s="718"/>
      <c r="AA310" s="718"/>
      <c r="AB310" s="718"/>
      <c r="AC310" s="718"/>
      <c r="AD310" s="1405">
        <f t="shared" si="25"/>
        <v>0</v>
      </c>
      <c r="AE310" s="852">
        <f t="shared" si="26"/>
        <v>0</v>
      </c>
      <c r="AF310" s="853">
        <f t="shared" si="29"/>
        <v>983</v>
      </c>
    </row>
    <row r="311" spans="1:32" x14ac:dyDescent="0.3">
      <c r="A311" s="287" t="s">
        <v>804</v>
      </c>
      <c r="B311" s="851" t="s">
        <v>2775</v>
      </c>
      <c r="C311" s="717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1497">
        <f t="shared" si="27"/>
        <v>0</v>
      </c>
      <c r="Q311" s="1405">
        <f t="shared" si="28"/>
        <v>0</v>
      </c>
      <c r="R311" s="717"/>
      <c r="S311" s="718"/>
      <c r="T311" s="718"/>
      <c r="U311" s="718"/>
      <c r="V311" s="718">
        <v>329000</v>
      </c>
      <c r="W311" s="718">
        <v>54950</v>
      </c>
      <c r="X311" s="718">
        <v>64050</v>
      </c>
      <c r="Y311" s="718">
        <v>0</v>
      </c>
      <c r="Z311" s="718"/>
      <c r="AA311" s="718"/>
      <c r="AB311" s="718"/>
      <c r="AC311" s="718"/>
      <c r="AD311" s="1405">
        <f t="shared" si="25"/>
        <v>448000</v>
      </c>
      <c r="AE311" s="852">
        <f t="shared" si="26"/>
        <v>1</v>
      </c>
      <c r="AF311" s="853">
        <f t="shared" si="29"/>
        <v>463</v>
      </c>
    </row>
    <row r="312" spans="1:32" x14ac:dyDescent="0.3">
      <c r="A312" s="287" t="s">
        <v>804</v>
      </c>
      <c r="B312" s="851" t="s">
        <v>2776</v>
      </c>
      <c r="C312" s="717"/>
      <c r="D312" s="718"/>
      <c r="E312" s="718"/>
      <c r="F312" s="718"/>
      <c r="G312" s="718"/>
      <c r="H312" s="718"/>
      <c r="I312" s="718"/>
      <c r="J312" s="718"/>
      <c r="K312" s="718"/>
      <c r="L312" s="718"/>
      <c r="M312" s="718"/>
      <c r="N312" s="718"/>
      <c r="O312" s="718"/>
      <c r="P312" s="1497">
        <f t="shared" si="27"/>
        <v>0</v>
      </c>
      <c r="Q312" s="1405">
        <f t="shared" si="28"/>
        <v>0</v>
      </c>
      <c r="R312" s="717"/>
      <c r="S312" s="718"/>
      <c r="T312" s="718"/>
      <c r="U312" s="718"/>
      <c r="V312" s="718">
        <v>70700</v>
      </c>
      <c r="W312" s="718">
        <v>0</v>
      </c>
      <c r="X312" s="718">
        <v>0</v>
      </c>
      <c r="Y312" s="718">
        <v>0</v>
      </c>
      <c r="Z312" s="718"/>
      <c r="AA312" s="718"/>
      <c r="AB312" s="718"/>
      <c r="AC312" s="718"/>
      <c r="AD312" s="1405">
        <f t="shared" si="25"/>
        <v>70700</v>
      </c>
      <c r="AE312" s="852">
        <f t="shared" si="26"/>
        <v>1</v>
      </c>
      <c r="AF312" s="853">
        <f t="shared" si="29"/>
        <v>796</v>
      </c>
    </row>
    <row r="313" spans="1:32" x14ac:dyDescent="0.3">
      <c r="A313" s="287" t="s">
        <v>804</v>
      </c>
      <c r="B313" s="851" t="s">
        <v>2809</v>
      </c>
      <c r="C313" s="717"/>
      <c r="D313" s="718"/>
      <c r="E313" s="718"/>
      <c r="F313" s="718"/>
      <c r="G313" s="718"/>
      <c r="H313" s="718"/>
      <c r="I313" s="718"/>
      <c r="J313" s="718"/>
      <c r="K313" s="718"/>
      <c r="L313" s="718"/>
      <c r="M313" s="718"/>
      <c r="N313" s="718"/>
      <c r="O313" s="718"/>
      <c r="P313" s="1497">
        <f t="shared" si="27"/>
        <v>0</v>
      </c>
      <c r="Q313" s="1405">
        <f t="shared" si="28"/>
        <v>0</v>
      </c>
      <c r="R313" s="717"/>
      <c r="S313" s="718"/>
      <c r="T313" s="718"/>
      <c r="U313" s="718"/>
      <c r="V313" s="718">
        <v>136200</v>
      </c>
      <c r="W313" s="718">
        <v>1036800</v>
      </c>
      <c r="X313" s="718">
        <v>192900</v>
      </c>
      <c r="Y313" s="718">
        <v>243600</v>
      </c>
      <c r="Z313" s="718"/>
      <c r="AA313" s="718"/>
      <c r="AB313" s="718"/>
      <c r="AC313" s="718"/>
      <c r="AD313" s="1405">
        <f t="shared" si="25"/>
        <v>1609500</v>
      </c>
      <c r="AE313" s="852">
        <f t="shared" si="26"/>
        <v>1</v>
      </c>
      <c r="AF313" s="853">
        <f t="shared" si="29"/>
        <v>241</v>
      </c>
    </row>
    <row r="314" spans="1:32" x14ac:dyDescent="0.3">
      <c r="A314" s="287" t="s">
        <v>804</v>
      </c>
      <c r="B314" s="851" t="s">
        <v>2850</v>
      </c>
      <c r="C314" s="717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8"/>
      <c r="P314" s="1497">
        <f t="shared" si="27"/>
        <v>0</v>
      </c>
      <c r="Q314" s="1405">
        <f t="shared" si="28"/>
        <v>0</v>
      </c>
      <c r="R314" s="717"/>
      <c r="S314" s="718"/>
      <c r="T314" s="718"/>
      <c r="U314" s="718"/>
      <c r="V314" s="718"/>
      <c r="W314" s="718"/>
      <c r="X314" s="718"/>
      <c r="Y314" s="718"/>
      <c r="Z314" s="718"/>
      <c r="AA314" s="718"/>
      <c r="AB314" s="718"/>
      <c r="AC314" s="718"/>
      <c r="AD314" s="1405">
        <f t="shared" si="25"/>
        <v>0</v>
      </c>
      <c r="AE314" s="852">
        <f t="shared" si="26"/>
        <v>0</v>
      </c>
      <c r="AF314" s="853">
        <f t="shared" si="29"/>
        <v>983</v>
      </c>
    </row>
    <row r="315" spans="1:32" x14ac:dyDescent="0.3">
      <c r="A315" s="287" t="s">
        <v>804</v>
      </c>
      <c r="B315" s="851" t="s">
        <v>2851</v>
      </c>
      <c r="C315" s="717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1497">
        <f t="shared" si="27"/>
        <v>0</v>
      </c>
      <c r="Q315" s="1405">
        <f t="shared" si="28"/>
        <v>0</v>
      </c>
      <c r="R315" s="717"/>
      <c r="S315" s="718"/>
      <c r="T315" s="718"/>
      <c r="U315" s="718"/>
      <c r="V315" s="718"/>
      <c r="W315" s="718"/>
      <c r="X315" s="718"/>
      <c r="Y315" s="718"/>
      <c r="Z315" s="718"/>
      <c r="AA315" s="718"/>
      <c r="AB315" s="718"/>
      <c r="AC315" s="718"/>
      <c r="AD315" s="1405">
        <f t="shared" si="25"/>
        <v>0</v>
      </c>
      <c r="AE315" s="852">
        <f t="shared" si="26"/>
        <v>0</v>
      </c>
      <c r="AF315" s="853">
        <f t="shared" si="29"/>
        <v>983</v>
      </c>
    </row>
    <row r="316" spans="1:32" x14ac:dyDescent="0.3">
      <c r="A316" s="287" t="s">
        <v>804</v>
      </c>
      <c r="B316" s="851" t="s">
        <v>2852</v>
      </c>
      <c r="C316" s="717"/>
      <c r="D316" s="718"/>
      <c r="E316" s="718"/>
      <c r="F316" s="718"/>
      <c r="G316" s="718"/>
      <c r="H316" s="718"/>
      <c r="I316" s="718"/>
      <c r="J316" s="718"/>
      <c r="K316" s="718"/>
      <c r="L316" s="718"/>
      <c r="M316" s="718"/>
      <c r="N316" s="718"/>
      <c r="O316" s="718"/>
      <c r="P316" s="1497">
        <f t="shared" si="27"/>
        <v>0</v>
      </c>
      <c r="Q316" s="1405">
        <f t="shared" si="28"/>
        <v>0</v>
      </c>
      <c r="R316" s="717"/>
      <c r="S316" s="718"/>
      <c r="T316" s="718"/>
      <c r="U316" s="718"/>
      <c r="V316" s="718"/>
      <c r="W316" s="718"/>
      <c r="X316" s="718"/>
      <c r="Y316" s="718"/>
      <c r="Z316" s="718"/>
      <c r="AA316" s="718"/>
      <c r="AB316" s="718"/>
      <c r="AC316" s="718"/>
      <c r="AD316" s="1405">
        <f t="shared" si="25"/>
        <v>0</v>
      </c>
      <c r="AE316" s="852">
        <f t="shared" si="26"/>
        <v>0</v>
      </c>
      <c r="AF316" s="853">
        <f t="shared" si="29"/>
        <v>983</v>
      </c>
    </row>
    <row r="317" spans="1:32" x14ac:dyDescent="0.3">
      <c r="A317" s="287" t="s">
        <v>804</v>
      </c>
      <c r="B317" s="851" t="s">
        <v>2849</v>
      </c>
      <c r="C317" s="717"/>
      <c r="D317" s="718"/>
      <c r="E317" s="718"/>
      <c r="F317" s="718"/>
      <c r="G317" s="718"/>
      <c r="H317" s="718"/>
      <c r="I317" s="718"/>
      <c r="J317" s="718"/>
      <c r="K317" s="718">
        <v>0</v>
      </c>
      <c r="L317" s="718"/>
      <c r="M317" s="718"/>
      <c r="N317" s="718"/>
      <c r="O317" s="718"/>
      <c r="P317" s="1497">
        <f t="shared" si="27"/>
        <v>0</v>
      </c>
      <c r="Q317" s="1405">
        <f t="shared" si="28"/>
        <v>0</v>
      </c>
      <c r="R317" s="717"/>
      <c r="S317" s="718"/>
      <c r="T317" s="718"/>
      <c r="U317" s="718"/>
      <c r="V317" s="718"/>
      <c r="W317" s="718">
        <v>0</v>
      </c>
      <c r="X317" s="718">
        <v>0</v>
      </c>
      <c r="Y317" s="718">
        <v>0</v>
      </c>
      <c r="Z317" s="718"/>
      <c r="AA317" s="718"/>
      <c r="AB317" s="718"/>
      <c r="AC317" s="718"/>
      <c r="AD317" s="1405">
        <f t="shared" si="25"/>
        <v>0</v>
      </c>
      <c r="AE317" s="852">
        <f t="shared" si="26"/>
        <v>0</v>
      </c>
      <c r="AF317" s="853">
        <f t="shared" si="29"/>
        <v>983</v>
      </c>
    </row>
    <row r="318" spans="1:32" x14ac:dyDescent="0.3">
      <c r="A318" s="287" t="s">
        <v>804</v>
      </c>
      <c r="B318" s="851" t="s">
        <v>2896</v>
      </c>
      <c r="C318" s="717"/>
      <c r="D318" s="718"/>
      <c r="E318" s="718"/>
      <c r="F318" s="718"/>
      <c r="G318" s="718"/>
      <c r="H318" s="718"/>
      <c r="I318" s="718"/>
      <c r="J318" s="718"/>
      <c r="K318" s="718"/>
      <c r="L318" s="718"/>
      <c r="M318" s="718"/>
      <c r="N318" s="718"/>
      <c r="O318" s="718"/>
      <c r="P318" s="1497">
        <f t="shared" si="27"/>
        <v>0</v>
      </c>
      <c r="Q318" s="1405">
        <f t="shared" si="28"/>
        <v>0</v>
      </c>
      <c r="R318" s="717"/>
      <c r="S318" s="718"/>
      <c r="T318" s="718"/>
      <c r="U318" s="718"/>
      <c r="V318" s="718"/>
      <c r="W318" s="718">
        <v>110250</v>
      </c>
      <c r="X318" s="718">
        <v>0</v>
      </c>
      <c r="Y318" s="718">
        <v>0</v>
      </c>
      <c r="Z318" s="718"/>
      <c r="AA318" s="718"/>
      <c r="AB318" s="718"/>
      <c r="AC318" s="718"/>
      <c r="AD318" s="1405">
        <f t="shared" si="25"/>
        <v>110250</v>
      </c>
      <c r="AE318" s="852">
        <f t="shared" si="26"/>
        <v>1</v>
      </c>
      <c r="AF318" s="853">
        <f t="shared" si="29"/>
        <v>727</v>
      </c>
    </row>
    <row r="319" spans="1:32" x14ac:dyDescent="0.3">
      <c r="A319" s="287" t="s">
        <v>804</v>
      </c>
      <c r="B319" s="851" t="s">
        <v>2950</v>
      </c>
      <c r="C319" s="717"/>
      <c r="D319" s="718"/>
      <c r="E319" s="718"/>
      <c r="F319" s="718"/>
      <c r="G319" s="718"/>
      <c r="H319" s="718"/>
      <c r="I319" s="718"/>
      <c r="J319" s="718"/>
      <c r="K319" s="718"/>
      <c r="L319" s="718"/>
      <c r="M319" s="718"/>
      <c r="N319" s="718"/>
      <c r="O319" s="718"/>
      <c r="P319" s="1497">
        <f t="shared" si="27"/>
        <v>0</v>
      </c>
      <c r="Q319" s="1405">
        <f t="shared" si="28"/>
        <v>0</v>
      </c>
      <c r="R319" s="717"/>
      <c r="S319" s="718"/>
      <c r="T319" s="718"/>
      <c r="U319" s="718"/>
      <c r="V319" s="718"/>
      <c r="W319" s="718"/>
      <c r="X319" s="718">
        <v>777600</v>
      </c>
      <c r="Y319" s="718">
        <v>0</v>
      </c>
      <c r="Z319" s="718"/>
      <c r="AA319" s="718"/>
      <c r="AB319" s="718"/>
      <c r="AC319" s="718"/>
      <c r="AD319" s="1405">
        <f t="shared" si="25"/>
        <v>777600</v>
      </c>
      <c r="AE319" s="852">
        <f t="shared" si="26"/>
        <v>1</v>
      </c>
      <c r="AF319" s="853">
        <f t="shared" si="29"/>
        <v>360</v>
      </c>
    </row>
    <row r="320" spans="1:32" x14ac:dyDescent="0.3">
      <c r="A320" s="287" t="s">
        <v>804</v>
      </c>
      <c r="B320" s="851" t="s">
        <v>2951</v>
      </c>
      <c r="C320" s="717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1497">
        <f t="shared" si="27"/>
        <v>0</v>
      </c>
      <c r="Q320" s="1405">
        <f t="shared" si="28"/>
        <v>0</v>
      </c>
      <c r="R320" s="717"/>
      <c r="S320" s="718"/>
      <c r="T320" s="718"/>
      <c r="U320" s="718"/>
      <c r="V320" s="718"/>
      <c r="W320" s="718"/>
      <c r="X320" s="718">
        <v>362700</v>
      </c>
      <c r="Y320" s="718">
        <v>0</v>
      </c>
      <c r="Z320" s="718"/>
      <c r="AA320" s="718"/>
      <c r="AB320" s="718"/>
      <c r="AC320" s="718"/>
      <c r="AD320" s="1405">
        <f t="shared" si="25"/>
        <v>362700</v>
      </c>
      <c r="AE320" s="852">
        <f t="shared" si="26"/>
        <v>1</v>
      </c>
      <c r="AF320" s="853">
        <f t="shared" si="29"/>
        <v>498</v>
      </c>
    </row>
    <row r="321" spans="1:32" x14ac:dyDescent="0.3">
      <c r="A321" s="287" t="s">
        <v>804</v>
      </c>
      <c r="B321" s="851" t="s">
        <v>2983</v>
      </c>
      <c r="C321" s="717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8"/>
      <c r="P321" s="1497">
        <f t="shared" si="27"/>
        <v>0</v>
      </c>
      <c r="Q321" s="1405">
        <f t="shared" si="28"/>
        <v>0</v>
      </c>
      <c r="R321" s="717"/>
      <c r="S321" s="718"/>
      <c r="T321" s="718"/>
      <c r="U321" s="718"/>
      <c r="V321" s="718"/>
      <c r="W321" s="718"/>
      <c r="X321" s="718">
        <v>270750</v>
      </c>
      <c r="Y321" s="718">
        <v>0</v>
      </c>
      <c r="Z321" s="718"/>
      <c r="AA321" s="718"/>
      <c r="AB321" s="718"/>
      <c r="AC321" s="718"/>
      <c r="AD321" s="1405">
        <f t="shared" si="25"/>
        <v>270750</v>
      </c>
      <c r="AE321" s="852">
        <f t="shared" si="26"/>
        <v>1</v>
      </c>
      <c r="AF321" s="853">
        <f t="shared" si="29"/>
        <v>549</v>
      </c>
    </row>
    <row r="322" spans="1:32" x14ac:dyDescent="0.3">
      <c r="A322" s="287" t="s">
        <v>804</v>
      </c>
      <c r="B322" s="851" t="s">
        <v>3021</v>
      </c>
      <c r="C322" s="717"/>
      <c r="D322" s="718"/>
      <c r="E322" s="718"/>
      <c r="F322" s="718"/>
      <c r="G322" s="718"/>
      <c r="H322" s="718"/>
      <c r="I322" s="718"/>
      <c r="J322" s="718"/>
      <c r="K322" s="718"/>
      <c r="L322" s="718"/>
      <c r="M322" s="718"/>
      <c r="N322" s="718"/>
      <c r="O322" s="718"/>
      <c r="P322" s="1497">
        <f t="shared" si="27"/>
        <v>0</v>
      </c>
      <c r="Q322" s="1405">
        <f t="shared" si="28"/>
        <v>0</v>
      </c>
      <c r="R322" s="717"/>
      <c r="S322" s="718"/>
      <c r="T322" s="718"/>
      <c r="U322" s="718"/>
      <c r="V322" s="718"/>
      <c r="W322" s="718"/>
      <c r="X322" s="718"/>
      <c r="Y322" s="718">
        <v>40950</v>
      </c>
      <c r="Z322" s="718"/>
      <c r="AA322" s="718"/>
      <c r="AB322" s="718"/>
      <c r="AC322" s="718"/>
      <c r="AD322" s="1405">
        <f t="shared" si="25"/>
        <v>40950</v>
      </c>
      <c r="AE322" s="852">
        <f t="shared" si="26"/>
        <v>1</v>
      </c>
      <c r="AF322" s="853">
        <f t="shared" si="29"/>
        <v>865</v>
      </c>
    </row>
    <row r="323" spans="1:32" ht="15.75" customHeight="1" x14ac:dyDescent="0.3">
      <c r="A323" s="291" t="s">
        <v>1177</v>
      </c>
      <c r="B323" s="854" t="s">
        <v>1178</v>
      </c>
      <c r="C323" s="719">
        <v>14927500</v>
      </c>
      <c r="D323" s="720">
        <v>1114000</v>
      </c>
      <c r="E323" s="720">
        <v>6015500</v>
      </c>
      <c r="F323" s="720">
        <v>1372000</v>
      </c>
      <c r="G323" s="720">
        <v>1902000</v>
      </c>
      <c r="H323" s="720">
        <v>3248000</v>
      </c>
      <c r="I323" s="720">
        <v>1572500</v>
      </c>
      <c r="J323" s="720">
        <v>307500</v>
      </c>
      <c r="K323" s="720">
        <v>299500</v>
      </c>
      <c r="L323" s="720">
        <v>2588000</v>
      </c>
      <c r="M323" s="720">
        <v>3022500</v>
      </c>
      <c r="N323" s="720">
        <v>2939000</v>
      </c>
      <c r="O323" s="720">
        <v>1943500</v>
      </c>
      <c r="P323" s="1497">
        <f t="shared" si="27"/>
        <v>30451000</v>
      </c>
      <c r="Q323" s="1125">
        <f>SUM(C323:J323,L323:O323)</f>
        <v>40952000</v>
      </c>
      <c r="R323" s="719">
        <v>6052250</v>
      </c>
      <c r="S323" s="720">
        <v>2863500</v>
      </c>
      <c r="T323" s="720">
        <v>510500</v>
      </c>
      <c r="U323" s="720">
        <v>634500</v>
      </c>
      <c r="V323" s="720">
        <v>488500</v>
      </c>
      <c r="W323" s="720">
        <v>617700</v>
      </c>
      <c r="X323" s="720">
        <v>1566600</v>
      </c>
      <c r="Y323" s="720">
        <v>943000</v>
      </c>
      <c r="Z323" s="720"/>
      <c r="AA323" s="720"/>
      <c r="AB323" s="720"/>
      <c r="AC323" s="720"/>
      <c r="AD323" s="1125">
        <f t="shared" si="25"/>
        <v>13676550</v>
      </c>
      <c r="AE323" s="855">
        <f t="shared" si="26"/>
        <v>-0.55086696660208201</v>
      </c>
      <c r="AF323" s="856">
        <f>IFERROR(_xlfn.RANK.EQ(AD323, $AD$2:$AD$2064), "")</f>
        <v>25</v>
      </c>
    </row>
    <row r="324" spans="1:32" x14ac:dyDescent="0.3">
      <c r="A324" s="291" t="s">
        <v>1177</v>
      </c>
      <c r="B324" s="854" t="s">
        <v>1179</v>
      </c>
      <c r="C324" s="719">
        <v>4371000</v>
      </c>
      <c r="D324" s="720">
        <v>270500</v>
      </c>
      <c r="E324" s="720">
        <v>6721000</v>
      </c>
      <c r="F324" s="720">
        <v>0</v>
      </c>
      <c r="G324" s="720">
        <v>0</v>
      </c>
      <c r="H324" s="720">
        <v>39500</v>
      </c>
      <c r="I324" s="720">
        <v>2462000</v>
      </c>
      <c r="J324" s="720">
        <v>1350500</v>
      </c>
      <c r="K324" s="720">
        <v>39500</v>
      </c>
      <c r="L324" s="720">
        <v>14618000</v>
      </c>
      <c r="M324" s="720">
        <v>4057000</v>
      </c>
      <c r="N324" s="720">
        <v>666000</v>
      </c>
      <c r="O324" s="720">
        <v>456000</v>
      </c>
      <c r="P324" s="1497">
        <f t="shared" ref="P324:P327" si="30">SUM(C324:I324,K324)</f>
        <v>13903500</v>
      </c>
      <c r="Q324" s="1125">
        <f t="shared" ref="Q324:Q387" si="31">SUM(C324:J324,L324:O324)</f>
        <v>35011500</v>
      </c>
      <c r="R324" s="719">
        <v>26737000</v>
      </c>
      <c r="S324" s="720">
        <v>5106000</v>
      </c>
      <c r="T324" s="720">
        <v>867500</v>
      </c>
      <c r="U324" s="720">
        <v>2347000</v>
      </c>
      <c r="V324" s="720">
        <v>0</v>
      </c>
      <c r="W324" s="720">
        <v>169500</v>
      </c>
      <c r="X324" s="720">
        <v>1010500</v>
      </c>
      <c r="Y324" s="720">
        <v>4724000</v>
      </c>
      <c r="Z324" s="720"/>
      <c r="AA324" s="720"/>
      <c r="AB324" s="720"/>
      <c r="AC324" s="720"/>
      <c r="AD324" s="1125">
        <f t="shared" si="25"/>
        <v>40961500</v>
      </c>
      <c r="AE324" s="855">
        <f t="shared" si="26"/>
        <v>1.9461286726363864</v>
      </c>
      <c r="AF324" s="856">
        <f t="shared" ref="AF324:AF387" si="32">IFERROR(_xlfn.RANK.EQ(AD324, $AD$2:$AD$2064), "")</f>
        <v>4</v>
      </c>
    </row>
    <row r="325" spans="1:32" x14ac:dyDescent="0.3">
      <c r="A325" s="291" t="s">
        <v>1177</v>
      </c>
      <c r="B325" s="854" t="s">
        <v>1180</v>
      </c>
      <c r="C325" s="719">
        <v>6206500</v>
      </c>
      <c r="D325" s="720">
        <v>2929000</v>
      </c>
      <c r="E325" s="720">
        <v>1117500</v>
      </c>
      <c r="F325" s="720">
        <v>16500</v>
      </c>
      <c r="G325" s="720">
        <v>0</v>
      </c>
      <c r="H325" s="720">
        <v>43000</v>
      </c>
      <c r="I325" s="720">
        <v>2684000</v>
      </c>
      <c r="J325" s="720">
        <v>1837500</v>
      </c>
      <c r="K325" s="720">
        <v>626500</v>
      </c>
      <c r="L325" s="720">
        <v>2944000</v>
      </c>
      <c r="M325" s="720">
        <v>1920000</v>
      </c>
      <c r="N325" s="720">
        <v>0</v>
      </c>
      <c r="O325" s="720">
        <v>8041500</v>
      </c>
      <c r="P325" s="1497">
        <f t="shared" si="30"/>
        <v>13623000</v>
      </c>
      <c r="Q325" s="1125">
        <f t="shared" si="31"/>
        <v>27739500</v>
      </c>
      <c r="R325" s="719">
        <v>3263000</v>
      </c>
      <c r="S325" s="720"/>
      <c r="T325" s="720">
        <v>388000</v>
      </c>
      <c r="U325" s="720">
        <v>0</v>
      </c>
      <c r="V325" s="720">
        <v>0</v>
      </c>
      <c r="W325" s="720">
        <v>93000</v>
      </c>
      <c r="X325" s="720">
        <v>1901500</v>
      </c>
      <c r="Y325" s="720">
        <v>2316500</v>
      </c>
      <c r="Z325" s="720"/>
      <c r="AA325" s="720"/>
      <c r="AB325" s="720"/>
      <c r="AC325" s="720"/>
      <c r="AD325" s="1125">
        <f t="shared" si="25"/>
        <v>7962000</v>
      </c>
      <c r="AE325" s="855">
        <f t="shared" si="26"/>
        <v>-0.41554723629156576</v>
      </c>
      <c r="AF325" s="856">
        <f t="shared" si="32"/>
        <v>48</v>
      </c>
    </row>
    <row r="326" spans="1:32" x14ac:dyDescent="0.3">
      <c r="A326" s="291" t="s">
        <v>1177</v>
      </c>
      <c r="B326" s="854" t="s">
        <v>1181</v>
      </c>
      <c r="C326" s="719">
        <v>1304000</v>
      </c>
      <c r="D326" s="720">
        <v>0</v>
      </c>
      <c r="E326" s="720"/>
      <c r="F326" s="720">
        <v>0</v>
      </c>
      <c r="G326" s="720">
        <v>4383500</v>
      </c>
      <c r="H326" s="720">
        <v>0</v>
      </c>
      <c r="I326" s="720">
        <v>2168000</v>
      </c>
      <c r="J326" s="720">
        <v>0</v>
      </c>
      <c r="K326" s="720">
        <v>0</v>
      </c>
      <c r="L326" s="720">
        <v>0</v>
      </c>
      <c r="M326" s="720">
        <v>0</v>
      </c>
      <c r="N326" s="720">
        <v>0</v>
      </c>
      <c r="O326" s="720" t="s">
        <v>251</v>
      </c>
      <c r="P326" s="1497">
        <f t="shared" si="30"/>
        <v>7855500</v>
      </c>
      <c r="Q326" s="1125">
        <f t="shared" si="31"/>
        <v>7855500</v>
      </c>
      <c r="R326" s="719"/>
      <c r="S326" s="720"/>
      <c r="T326" s="720"/>
      <c r="U326" s="720"/>
      <c r="V326" s="720"/>
      <c r="W326" s="720">
        <v>5287000</v>
      </c>
      <c r="X326" s="720">
        <v>0</v>
      </c>
      <c r="Y326" s="720">
        <v>0</v>
      </c>
      <c r="Z326" s="720"/>
      <c r="AA326" s="720"/>
      <c r="AB326" s="720"/>
      <c r="AC326" s="720"/>
      <c r="AD326" s="1125">
        <f t="shared" si="25"/>
        <v>5287000</v>
      </c>
      <c r="AE326" s="855">
        <f t="shared" si="26"/>
        <v>-0.32696836611291452</v>
      </c>
      <c r="AF326" s="856">
        <f t="shared" si="32"/>
        <v>81</v>
      </c>
    </row>
    <row r="327" spans="1:32" x14ac:dyDescent="0.3">
      <c r="A327" s="291" t="s">
        <v>1177</v>
      </c>
      <c r="B327" s="854" t="s">
        <v>1182</v>
      </c>
      <c r="C327" s="719"/>
      <c r="D327" s="720">
        <v>0</v>
      </c>
      <c r="E327" s="720">
        <v>1180000</v>
      </c>
      <c r="F327" s="720">
        <v>2038000</v>
      </c>
      <c r="G327" s="720">
        <v>0</v>
      </c>
      <c r="H327" s="720">
        <v>0</v>
      </c>
      <c r="I327" s="720">
        <v>1178000</v>
      </c>
      <c r="J327" s="720">
        <v>394000</v>
      </c>
      <c r="K327" s="720">
        <v>394000</v>
      </c>
      <c r="L327" s="720">
        <v>70000</v>
      </c>
      <c r="M327" s="720">
        <v>0</v>
      </c>
      <c r="N327" s="720">
        <v>566000</v>
      </c>
      <c r="O327" s="720" t="s">
        <v>251</v>
      </c>
      <c r="P327" s="1497">
        <f t="shared" si="30"/>
        <v>4790000</v>
      </c>
      <c r="Q327" s="1125">
        <f t="shared" si="31"/>
        <v>5426000</v>
      </c>
      <c r="R327" s="719">
        <v>369000</v>
      </c>
      <c r="S327" s="720"/>
      <c r="T327" s="720">
        <v>0</v>
      </c>
      <c r="U327" s="720">
        <v>630000</v>
      </c>
      <c r="V327" s="720">
        <v>739000</v>
      </c>
      <c r="W327" s="720">
        <v>0</v>
      </c>
      <c r="X327" s="720">
        <v>394000</v>
      </c>
      <c r="Y327" s="720">
        <v>239000</v>
      </c>
      <c r="Z327" s="720"/>
      <c r="AA327" s="720"/>
      <c r="AB327" s="720"/>
      <c r="AC327" s="720"/>
      <c r="AD327" s="1125">
        <f t="shared" si="25"/>
        <v>2371000</v>
      </c>
      <c r="AE327" s="855">
        <f t="shared" si="26"/>
        <v>-0.50501043841336113</v>
      </c>
      <c r="AF327" s="856">
        <f t="shared" si="32"/>
        <v>185</v>
      </c>
    </row>
    <row r="328" spans="1:32" x14ac:dyDescent="0.3">
      <c r="A328" s="291" t="s">
        <v>1177</v>
      </c>
      <c r="B328" s="854" t="s">
        <v>1177</v>
      </c>
      <c r="C328" s="719"/>
      <c r="D328" s="720">
        <v>0</v>
      </c>
      <c r="E328" s="720">
        <v>417500</v>
      </c>
      <c r="F328" s="720">
        <v>0</v>
      </c>
      <c r="G328" s="720">
        <v>2953500</v>
      </c>
      <c r="H328" s="720">
        <v>95000</v>
      </c>
      <c r="I328" s="720">
        <v>1838500</v>
      </c>
      <c r="J328" s="720">
        <v>0</v>
      </c>
      <c r="K328" s="720">
        <v>0</v>
      </c>
      <c r="L328" s="720">
        <v>1010500</v>
      </c>
      <c r="M328" s="720">
        <v>0</v>
      </c>
      <c r="N328" s="720">
        <v>0</v>
      </c>
      <c r="O328" s="720" t="s">
        <v>251</v>
      </c>
      <c r="P328" s="1497">
        <f t="shared" ref="P328:P387" si="33">SUM(C328:I328,K328)</f>
        <v>5304500</v>
      </c>
      <c r="Q328" s="1125">
        <f t="shared" si="31"/>
        <v>6315000</v>
      </c>
      <c r="R328" s="719">
        <v>4397000</v>
      </c>
      <c r="S328" s="720"/>
      <c r="T328" s="720">
        <v>645000</v>
      </c>
      <c r="U328" s="720">
        <v>0</v>
      </c>
      <c r="V328" s="720">
        <v>0</v>
      </c>
      <c r="W328" s="720">
        <v>0</v>
      </c>
      <c r="X328" s="720">
        <v>0</v>
      </c>
      <c r="Y328" s="720">
        <v>0</v>
      </c>
      <c r="Z328" s="720"/>
      <c r="AA328" s="720"/>
      <c r="AB328" s="720"/>
      <c r="AC328" s="720"/>
      <c r="AD328" s="1125">
        <f t="shared" ref="AD328:AD392" si="34">SUM(R328:AC328)</f>
        <v>5042000</v>
      </c>
      <c r="AE328" s="855">
        <f t="shared" ref="AE328:AE392" si="35">IF(OR(AD328="", P328=""), 0, IFERROR((AD328-P328)/P328, IF(AD328&lt;&gt;0, 1, 0)))</f>
        <v>-4.9486285229522101E-2</v>
      </c>
      <c r="AF328" s="856">
        <f t="shared" si="32"/>
        <v>89</v>
      </c>
    </row>
    <row r="329" spans="1:32" x14ac:dyDescent="0.3">
      <c r="A329" s="291" t="s">
        <v>1177</v>
      </c>
      <c r="B329" s="854" t="s">
        <v>1183</v>
      </c>
      <c r="C329" s="719"/>
      <c r="D329" s="720">
        <v>0</v>
      </c>
      <c r="E329" s="720"/>
      <c r="F329" s="720">
        <v>1166000</v>
      </c>
      <c r="G329" s="720">
        <v>0</v>
      </c>
      <c r="H329" s="720">
        <v>0</v>
      </c>
      <c r="I329" s="720">
        <v>144000</v>
      </c>
      <c r="J329" s="720">
        <v>612000</v>
      </c>
      <c r="K329" s="720">
        <v>612000</v>
      </c>
      <c r="L329" s="720">
        <v>1335500</v>
      </c>
      <c r="M329" s="720">
        <v>116500</v>
      </c>
      <c r="N329" s="720">
        <v>1175250</v>
      </c>
      <c r="O329" s="720" t="s">
        <v>251</v>
      </c>
      <c r="P329" s="1497">
        <f t="shared" si="33"/>
        <v>1922000</v>
      </c>
      <c r="Q329" s="1125">
        <f t="shared" si="31"/>
        <v>4549250</v>
      </c>
      <c r="R329" s="719">
        <v>591500</v>
      </c>
      <c r="S329" s="720"/>
      <c r="T329" s="720">
        <v>2015500</v>
      </c>
      <c r="U329" s="720">
        <v>918000</v>
      </c>
      <c r="V329" s="720">
        <v>261000</v>
      </c>
      <c r="W329" s="720">
        <v>871500</v>
      </c>
      <c r="X329" s="720">
        <v>264000</v>
      </c>
      <c r="Y329" s="720">
        <v>330000</v>
      </c>
      <c r="Z329" s="720"/>
      <c r="AA329" s="720"/>
      <c r="AB329" s="720"/>
      <c r="AC329" s="720"/>
      <c r="AD329" s="1125">
        <f t="shared" si="34"/>
        <v>5251500</v>
      </c>
      <c r="AE329" s="855">
        <f t="shared" si="35"/>
        <v>1.7323100936524454</v>
      </c>
      <c r="AF329" s="856">
        <f t="shared" si="32"/>
        <v>83</v>
      </c>
    </row>
    <row r="330" spans="1:32" x14ac:dyDescent="0.3">
      <c r="A330" s="8" t="s">
        <v>1184</v>
      </c>
      <c r="B330" s="653" t="s">
        <v>1185</v>
      </c>
      <c r="C330" s="721">
        <v>1381900</v>
      </c>
      <c r="D330" s="722">
        <v>746200</v>
      </c>
      <c r="E330" s="722">
        <v>1716400</v>
      </c>
      <c r="F330" s="722">
        <v>1301400</v>
      </c>
      <c r="G330" s="722">
        <v>2058100</v>
      </c>
      <c r="H330" s="722">
        <v>662100</v>
      </c>
      <c r="I330" s="722">
        <v>842000</v>
      </c>
      <c r="J330" s="722">
        <v>451200</v>
      </c>
      <c r="K330" s="722">
        <v>451200</v>
      </c>
      <c r="L330" s="722">
        <v>418200</v>
      </c>
      <c r="M330" s="722">
        <v>69200</v>
      </c>
      <c r="N330" s="722">
        <v>157700</v>
      </c>
      <c r="O330" s="722">
        <v>207600</v>
      </c>
      <c r="P330" s="1497">
        <f t="shared" si="33"/>
        <v>9159300</v>
      </c>
      <c r="Q330" s="1126">
        <f t="shared" si="31"/>
        <v>10012000</v>
      </c>
      <c r="R330" s="721"/>
      <c r="S330" s="722"/>
      <c r="T330" s="722"/>
      <c r="U330" s="722"/>
      <c r="V330" s="722"/>
      <c r="W330" s="722"/>
      <c r="X330" s="722"/>
      <c r="Y330" s="722"/>
      <c r="Z330" s="722"/>
      <c r="AA330" s="722"/>
      <c r="AB330" s="722"/>
      <c r="AC330" s="722"/>
      <c r="AD330" s="1126">
        <f t="shared" si="34"/>
        <v>0</v>
      </c>
      <c r="AE330" s="578">
        <f t="shared" si="35"/>
        <v>-1</v>
      </c>
      <c r="AF330" s="579">
        <f t="shared" si="32"/>
        <v>983</v>
      </c>
    </row>
    <row r="331" spans="1:32" x14ac:dyDescent="0.3">
      <c r="A331" s="8" t="s">
        <v>1184</v>
      </c>
      <c r="B331" s="653" t="s">
        <v>1186</v>
      </c>
      <c r="C331" s="721">
        <v>552150</v>
      </c>
      <c r="D331" s="722">
        <v>679350</v>
      </c>
      <c r="E331" s="722">
        <v>985300</v>
      </c>
      <c r="F331" s="722">
        <v>2697600</v>
      </c>
      <c r="G331" s="722">
        <v>1619400</v>
      </c>
      <c r="H331" s="722">
        <v>1341100</v>
      </c>
      <c r="I331" s="722">
        <v>1022650</v>
      </c>
      <c r="J331" s="722">
        <v>1803710</v>
      </c>
      <c r="K331" s="722">
        <v>1633310</v>
      </c>
      <c r="L331" s="722">
        <v>292600</v>
      </c>
      <c r="M331" s="722">
        <v>81900</v>
      </c>
      <c r="N331" s="722">
        <v>452400</v>
      </c>
      <c r="O331" s="722">
        <v>900400</v>
      </c>
      <c r="P331" s="1497">
        <f t="shared" si="33"/>
        <v>10530860</v>
      </c>
      <c r="Q331" s="1126">
        <f t="shared" si="31"/>
        <v>12428560</v>
      </c>
      <c r="R331" s="721">
        <v>170400</v>
      </c>
      <c r="S331" s="722"/>
      <c r="T331" s="722">
        <v>0</v>
      </c>
      <c r="U331" s="722">
        <v>91850</v>
      </c>
      <c r="V331" s="722">
        <v>0</v>
      </c>
      <c r="W331" s="722">
        <v>187000</v>
      </c>
      <c r="X331" s="722">
        <v>0</v>
      </c>
      <c r="Y331" s="722">
        <v>0</v>
      </c>
      <c r="Z331" s="722"/>
      <c r="AA331" s="722"/>
      <c r="AB331" s="722"/>
      <c r="AC331" s="722"/>
      <c r="AD331" s="1126">
        <f t="shared" si="34"/>
        <v>449250</v>
      </c>
      <c r="AE331" s="578">
        <f t="shared" si="35"/>
        <v>-0.95733966646598667</v>
      </c>
      <c r="AF331" s="579">
        <f t="shared" si="32"/>
        <v>462</v>
      </c>
    </row>
    <row r="332" spans="1:32" x14ac:dyDescent="0.3">
      <c r="A332" s="8" t="s">
        <v>1184</v>
      </c>
      <c r="B332" s="653" t="s">
        <v>1187</v>
      </c>
      <c r="C332" s="721">
        <v>1008100</v>
      </c>
      <c r="D332" s="722">
        <v>1688800</v>
      </c>
      <c r="E332" s="722">
        <v>1571200</v>
      </c>
      <c r="F332" s="722">
        <v>1108650</v>
      </c>
      <c r="G332" s="722">
        <v>993850</v>
      </c>
      <c r="H332" s="722">
        <v>668050</v>
      </c>
      <c r="I332" s="722">
        <v>553950</v>
      </c>
      <c r="J332" s="722">
        <v>339500</v>
      </c>
      <c r="K332" s="722">
        <v>298100</v>
      </c>
      <c r="L332" s="722">
        <v>94950</v>
      </c>
      <c r="M332" s="722">
        <v>322650</v>
      </c>
      <c r="N332" s="722">
        <v>646300</v>
      </c>
      <c r="O332" s="722">
        <v>688850</v>
      </c>
      <c r="P332" s="1497">
        <f t="shared" si="33"/>
        <v>7890700</v>
      </c>
      <c r="Q332" s="1126">
        <f t="shared" si="31"/>
        <v>9684850</v>
      </c>
      <c r="R332" s="721">
        <v>1104450</v>
      </c>
      <c r="S332" s="722">
        <v>159500</v>
      </c>
      <c r="T332" s="722">
        <v>1002500</v>
      </c>
      <c r="U332" s="722">
        <v>225200</v>
      </c>
      <c r="V332" s="722">
        <v>809800</v>
      </c>
      <c r="W332" s="722">
        <v>623600</v>
      </c>
      <c r="X332" s="722">
        <v>232600</v>
      </c>
      <c r="Y332" s="722">
        <v>0</v>
      </c>
      <c r="Z332" s="722"/>
      <c r="AA332" s="722"/>
      <c r="AB332" s="722"/>
      <c r="AC332" s="722"/>
      <c r="AD332" s="1126">
        <f t="shared" si="34"/>
        <v>4157650</v>
      </c>
      <c r="AE332" s="578">
        <f t="shared" si="35"/>
        <v>-0.47309490919690267</v>
      </c>
      <c r="AF332" s="579">
        <f t="shared" si="32"/>
        <v>108</v>
      </c>
    </row>
    <row r="333" spans="1:32" x14ac:dyDescent="0.3">
      <c r="A333" s="8" t="s">
        <v>1184</v>
      </c>
      <c r="B333" s="653" t="s">
        <v>1188</v>
      </c>
      <c r="C333" s="721">
        <v>158550</v>
      </c>
      <c r="D333" s="722">
        <v>100100</v>
      </c>
      <c r="E333" s="722">
        <v>283700</v>
      </c>
      <c r="F333" s="722">
        <v>1081100</v>
      </c>
      <c r="G333" s="722">
        <v>1639600</v>
      </c>
      <c r="H333" s="722">
        <v>765400</v>
      </c>
      <c r="I333" s="722">
        <v>1013300</v>
      </c>
      <c r="J333" s="722">
        <v>87700</v>
      </c>
      <c r="K333" s="722">
        <v>87700</v>
      </c>
      <c r="L333" s="722">
        <v>585200</v>
      </c>
      <c r="M333" s="722">
        <v>1047440</v>
      </c>
      <c r="N333" s="722">
        <v>641050</v>
      </c>
      <c r="O333" s="722">
        <v>715650</v>
      </c>
      <c r="P333" s="1497">
        <f t="shared" si="33"/>
        <v>5129450</v>
      </c>
      <c r="Q333" s="1126">
        <f t="shared" si="31"/>
        <v>8118790</v>
      </c>
      <c r="R333" s="721">
        <v>563300</v>
      </c>
      <c r="S333" s="722">
        <v>183600</v>
      </c>
      <c r="T333" s="722">
        <v>391650</v>
      </c>
      <c r="U333" s="722">
        <v>324550</v>
      </c>
      <c r="V333" s="722">
        <v>188050</v>
      </c>
      <c r="W333" s="722">
        <v>1421500</v>
      </c>
      <c r="X333" s="722">
        <v>626200</v>
      </c>
      <c r="Y333" s="722">
        <v>262000</v>
      </c>
      <c r="Z333" s="722"/>
      <c r="AA333" s="722"/>
      <c r="AB333" s="722"/>
      <c r="AC333" s="722"/>
      <c r="AD333" s="1126">
        <f t="shared" si="34"/>
        <v>3960850</v>
      </c>
      <c r="AE333" s="578">
        <f t="shared" si="35"/>
        <v>-0.22782169628322724</v>
      </c>
      <c r="AF333" s="579">
        <f t="shared" si="32"/>
        <v>114</v>
      </c>
    </row>
    <row r="334" spans="1:32" x14ac:dyDescent="0.3">
      <c r="A334" s="8" t="s">
        <v>1184</v>
      </c>
      <c r="B334" s="653" t="s">
        <v>1189</v>
      </c>
      <c r="C334" s="721">
        <v>1149400</v>
      </c>
      <c r="D334" s="722">
        <v>138400</v>
      </c>
      <c r="E334" s="722">
        <v>690050</v>
      </c>
      <c r="F334" s="722">
        <v>499650</v>
      </c>
      <c r="G334" s="722">
        <v>317700</v>
      </c>
      <c r="H334" s="722">
        <v>304500</v>
      </c>
      <c r="I334" s="722">
        <v>555000</v>
      </c>
      <c r="J334" s="722">
        <v>365300</v>
      </c>
      <c r="K334" s="722">
        <v>226900</v>
      </c>
      <c r="L334" s="722">
        <v>69200</v>
      </c>
      <c r="M334" s="722">
        <v>101900</v>
      </c>
      <c r="N334" s="722">
        <v>712500</v>
      </c>
      <c r="O334" s="722">
        <v>1157800</v>
      </c>
      <c r="P334" s="1497">
        <f t="shared" si="33"/>
        <v>3881600</v>
      </c>
      <c r="Q334" s="1126">
        <f t="shared" si="31"/>
        <v>6061400</v>
      </c>
      <c r="R334" s="721">
        <v>883400</v>
      </c>
      <c r="S334" s="722">
        <v>346100</v>
      </c>
      <c r="T334" s="722">
        <v>69200</v>
      </c>
      <c r="U334" s="722">
        <v>507100</v>
      </c>
      <c r="V334" s="722">
        <v>1060800</v>
      </c>
      <c r="W334" s="722">
        <v>520400</v>
      </c>
      <c r="X334" s="722">
        <v>311000</v>
      </c>
      <c r="Y334" s="722">
        <v>258900</v>
      </c>
      <c r="Z334" s="722"/>
      <c r="AA334" s="722"/>
      <c r="AB334" s="722"/>
      <c r="AC334" s="722"/>
      <c r="AD334" s="1126">
        <f t="shared" si="34"/>
        <v>3956900</v>
      </c>
      <c r="AE334" s="578">
        <f t="shared" si="35"/>
        <v>1.939921681780709E-2</v>
      </c>
      <c r="AF334" s="579">
        <f t="shared" si="32"/>
        <v>115</v>
      </c>
    </row>
    <row r="335" spans="1:32" x14ac:dyDescent="0.3">
      <c r="A335" s="8" t="s">
        <v>1184</v>
      </c>
      <c r="B335" s="653" t="s">
        <v>1190</v>
      </c>
      <c r="C335" s="721">
        <v>891350</v>
      </c>
      <c r="D335" s="722">
        <v>168950</v>
      </c>
      <c r="E335" s="722">
        <v>661050</v>
      </c>
      <c r="F335" s="722">
        <v>261300</v>
      </c>
      <c r="G335" s="722">
        <v>381500</v>
      </c>
      <c r="H335" s="722">
        <v>169650</v>
      </c>
      <c r="I335" s="722">
        <v>257100</v>
      </c>
      <c r="J335" s="722">
        <v>0</v>
      </c>
      <c r="K335" s="722">
        <v>0</v>
      </c>
      <c r="L335" s="722">
        <v>0</v>
      </c>
      <c r="M335" s="722">
        <v>0</v>
      </c>
      <c r="N335" s="722">
        <v>0</v>
      </c>
      <c r="O335" s="722" t="s">
        <v>251</v>
      </c>
      <c r="P335" s="1497">
        <f t="shared" si="33"/>
        <v>2790900</v>
      </c>
      <c r="Q335" s="1126">
        <f t="shared" si="31"/>
        <v>2790900</v>
      </c>
      <c r="R335" s="721"/>
      <c r="S335" s="722"/>
      <c r="T335" s="722"/>
      <c r="U335" s="722"/>
      <c r="V335" s="722"/>
      <c r="W335" s="722"/>
      <c r="X335" s="722"/>
      <c r="Y335" s="722"/>
      <c r="Z335" s="722"/>
      <c r="AA335" s="722"/>
      <c r="AB335" s="722"/>
      <c r="AC335" s="722"/>
      <c r="AD335" s="1126">
        <f t="shared" si="34"/>
        <v>0</v>
      </c>
      <c r="AE335" s="578">
        <f t="shared" si="35"/>
        <v>-1</v>
      </c>
      <c r="AF335" s="579">
        <f t="shared" si="32"/>
        <v>983</v>
      </c>
    </row>
    <row r="336" spans="1:32" x14ac:dyDescent="0.3">
      <c r="A336" s="8" t="s">
        <v>1184</v>
      </c>
      <c r="B336" s="653" t="s">
        <v>1191</v>
      </c>
      <c r="C336" s="721">
        <v>538900</v>
      </c>
      <c r="D336" s="722">
        <v>232200</v>
      </c>
      <c r="E336" s="722">
        <v>554700</v>
      </c>
      <c r="F336" s="722">
        <v>566550</v>
      </c>
      <c r="G336" s="722">
        <v>260750</v>
      </c>
      <c r="H336" s="722">
        <v>181450</v>
      </c>
      <c r="I336" s="722">
        <v>274850</v>
      </c>
      <c r="J336" s="722">
        <v>479050</v>
      </c>
      <c r="K336" s="722">
        <v>442650</v>
      </c>
      <c r="L336" s="722">
        <v>187400</v>
      </c>
      <c r="M336" s="722">
        <v>325950</v>
      </c>
      <c r="N336" s="722">
        <v>698050</v>
      </c>
      <c r="O336" s="722">
        <v>501300</v>
      </c>
      <c r="P336" s="1497">
        <f t="shared" si="33"/>
        <v>3052050</v>
      </c>
      <c r="Q336" s="1126">
        <f t="shared" si="31"/>
        <v>4801150</v>
      </c>
      <c r="R336" s="721">
        <v>207400</v>
      </c>
      <c r="S336" s="722"/>
      <c r="T336" s="722">
        <v>147050</v>
      </c>
      <c r="U336" s="722">
        <v>97900</v>
      </c>
      <c r="V336" s="722">
        <v>183700</v>
      </c>
      <c r="W336" s="722">
        <v>590200</v>
      </c>
      <c r="X336" s="722">
        <v>666250</v>
      </c>
      <c r="Y336" s="722">
        <v>459450</v>
      </c>
      <c r="Z336" s="722"/>
      <c r="AA336" s="722"/>
      <c r="AB336" s="722"/>
      <c r="AC336" s="722"/>
      <c r="AD336" s="1126">
        <f t="shared" si="34"/>
        <v>2351950</v>
      </c>
      <c r="AE336" s="578">
        <f t="shared" si="35"/>
        <v>-0.22938680558968563</v>
      </c>
      <c r="AF336" s="579">
        <f t="shared" si="32"/>
        <v>186</v>
      </c>
    </row>
    <row r="337" spans="1:32" x14ac:dyDescent="0.3">
      <c r="A337" s="8" t="s">
        <v>1184</v>
      </c>
      <c r="B337" s="653" t="s">
        <v>1192</v>
      </c>
      <c r="C337" s="721">
        <v>264350</v>
      </c>
      <c r="D337" s="722">
        <v>59600</v>
      </c>
      <c r="E337" s="722">
        <v>614100</v>
      </c>
      <c r="F337" s="722">
        <v>387350</v>
      </c>
      <c r="G337" s="722">
        <v>551900</v>
      </c>
      <c r="H337" s="722">
        <v>249250</v>
      </c>
      <c r="I337" s="722">
        <v>829650</v>
      </c>
      <c r="J337" s="722">
        <v>231000</v>
      </c>
      <c r="K337" s="722">
        <v>80500</v>
      </c>
      <c r="L337" s="722">
        <v>150350</v>
      </c>
      <c r="M337" s="722">
        <v>900750</v>
      </c>
      <c r="N337" s="722">
        <v>1123900</v>
      </c>
      <c r="O337" s="722">
        <v>1352050</v>
      </c>
      <c r="P337" s="1497">
        <f t="shared" si="33"/>
        <v>3036700</v>
      </c>
      <c r="Q337" s="1126">
        <f t="shared" si="31"/>
        <v>6714250</v>
      </c>
      <c r="R337" s="721">
        <v>933950</v>
      </c>
      <c r="S337" s="722">
        <v>188700</v>
      </c>
      <c r="T337" s="722">
        <v>476800</v>
      </c>
      <c r="U337" s="722">
        <v>968250</v>
      </c>
      <c r="V337" s="722">
        <v>1672570</v>
      </c>
      <c r="W337" s="722">
        <v>2619110</v>
      </c>
      <c r="X337" s="722">
        <v>599770</v>
      </c>
      <c r="Y337" s="722">
        <v>245250</v>
      </c>
      <c r="Z337" s="722"/>
      <c r="AA337" s="722"/>
      <c r="AB337" s="722"/>
      <c r="AC337" s="722"/>
      <c r="AD337" s="1126">
        <f t="shared" si="34"/>
        <v>7704400</v>
      </c>
      <c r="AE337" s="578">
        <f t="shared" si="35"/>
        <v>1.5370961899430302</v>
      </c>
      <c r="AF337" s="579">
        <f t="shared" si="32"/>
        <v>53</v>
      </c>
    </row>
    <row r="338" spans="1:32" x14ac:dyDescent="0.3">
      <c r="A338" s="8" t="s">
        <v>1184</v>
      </c>
      <c r="B338" s="653" t="s">
        <v>1193</v>
      </c>
      <c r="C338" s="721">
        <v>245400</v>
      </c>
      <c r="D338" s="722">
        <v>114700</v>
      </c>
      <c r="E338" s="722">
        <v>307100</v>
      </c>
      <c r="F338" s="722">
        <v>584600</v>
      </c>
      <c r="G338" s="722">
        <v>614900</v>
      </c>
      <c r="H338" s="722">
        <v>306970</v>
      </c>
      <c r="I338" s="722">
        <v>90750</v>
      </c>
      <c r="J338" s="722">
        <v>114000</v>
      </c>
      <c r="K338" s="722">
        <v>114000</v>
      </c>
      <c r="L338" s="722">
        <v>367150</v>
      </c>
      <c r="M338" s="722">
        <v>0</v>
      </c>
      <c r="N338" s="722">
        <v>125300</v>
      </c>
      <c r="O338" s="722">
        <v>218400</v>
      </c>
      <c r="P338" s="1497">
        <f t="shared" si="33"/>
        <v>2378420</v>
      </c>
      <c r="Q338" s="1126">
        <f t="shared" si="31"/>
        <v>3089270</v>
      </c>
      <c r="R338" s="721">
        <v>602400</v>
      </c>
      <c r="S338" s="722">
        <v>76900</v>
      </c>
      <c r="T338" s="722">
        <v>69650</v>
      </c>
      <c r="U338" s="722">
        <v>385170</v>
      </c>
      <c r="V338" s="722">
        <v>0</v>
      </c>
      <c r="W338" s="722">
        <v>121000</v>
      </c>
      <c r="X338" s="722">
        <v>0</v>
      </c>
      <c r="Y338" s="722">
        <v>132300</v>
      </c>
      <c r="Z338" s="722"/>
      <c r="AA338" s="722"/>
      <c r="AB338" s="722"/>
      <c r="AC338" s="722"/>
      <c r="AD338" s="1126">
        <f t="shared" si="34"/>
        <v>1387420</v>
      </c>
      <c r="AE338" s="578">
        <f t="shared" si="35"/>
        <v>-0.41666316294010308</v>
      </c>
      <c r="AF338" s="579">
        <f t="shared" si="32"/>
        <v>259</v>
      </c>
    </row>
    <row r="339" spans="1:32" x14ac:dyDescent="0.3">
      <c r="A339" s="8" t="s">
        <v>1184</v>
      </c>
      <c r="B339" s="653" t="s">
        <v>1107</v>
      </c>
      <c r="C339" s="721">
        <v>516100</v>
      </c>
      <c r="D339" s="722">
        <v>81350</v>
      </c>
      <c r="E339" s="722"/>
      <c r="F339" s="722">
        <v>614500</v>
      </c>
      <c r="G339" s="722">
        <v>258900</v>
      </c>
      <c r="H339" s="722">
        <v>0</v>
      </c>
      <c r="I339" s="722">
        <v>0</v>
      </c>
      <c r="J339" s="722">
        <v>0</v>
      </c>
      <c r="K339" s="722">
        <v>0</v>
      </c>
      <c r="L339" s="722">
        <v>0</v>
      </c>
      <c r="M339" s="722">
        <v>0</v>
      </c>
      <c r="N339" s="722">
        <v>0</v>
      </c>
      <c r="O339" s="722" t="s">
        <v>251</v>
      </c>
      <c r="P339" s="1497">
        <f t="shared" si="33"/>
        <v>1470850</v>
      </c>
      <c r="Q339" s="1126">
        <f t="shared" si="31"/>
        <v>1470850</v>
      </c>
      <c r="R339" s="721"/>
      <c r="S339" s="722"/>
      <c r="T339" s="722"/>
      <c r="U339" s="722"/>
      <c r="V339" s="722"/>
      <c r="W339" s="722"/>
      <c r="X339" s="722"/>
      <c r="Y339" s="722"/>
      <c r="Z339" s="722"/>
      <c r="AA339" s="722"/>
      <c r="AB339" s="722"/>
      <c r="AC339" s="722"/>
      <c r="AD339" s="1126">
        <f t="shared" si="34"/>
        <v>0</v>
      </c>
      <c r="AE339" s="578">
        <f t="shared" si="35"/>
        <v>-1</v>
      </c>
      <c r="AF339" s="579">
        <f t="shared" si="32"/>
        <v>983</v>
      </c>
    </row>
    <row r="340" spans="1:32" x14ac:dyDescent="0.3">
      <c r="A340" s="8" t="s">
        <v>1184</v>
      </c>
      <c r="B340" s="653" t="s">
        <v>1194</v>
      </c>
      <c r="C340" s="721">
        <v>436620</v>
      </c>
      <c r="D340" s="722">
        <v>325950</v>
      </c>
      <c r="E340" s="722">
        <v>78050</v>
      </c>
      <c r="F340" s="722">
        <v>333970</v>
      </c>
      <c r="G340" s="722">
        <v>182550</v>
      </c>
      <c r="H340" s="722">
        <v>0</v>
      </c>
      <c r="I340" s="722">
        <v>460150</v>
      </c>
      <c r="J340" s="722">
        <v>165600</v>
      </c>
      <c r="K340" s="722">
        <v>165600</v>
      </c>
      <c r="L340" s="722">
        <v>81700</v>
      </c>
      <c r="M340" s="722">
        <v>684550</v>
      </c>
      <c r="N340" s="722">
        <v>263100</v>
      </c>
      <c r="O340" s="722">
        <v>906500</v>
      </c>
      <c r="P340" s="1497">
        <f t="shared" si="33"/>
        <v>1982890</v>
      </c>
      <c r="Q340" s="1126">
        <f t="shared" si="31"/>
        <v>3918740</v>
      </c>
      <c r="R340" s="721">
        <v>483250</v>
      </c>
      <c r="S340" s="722">
        <v>614230</v>
      </c>
      <c r="T340" s="722">
        <v>400100</v>
      </c>
      <c r="U340" s="722">
        <v>400800</v>
      </c>
      <c r="V340" s="722">
        <v>591300</v>
      </c>
      <c r="W340" s="722">
        <v>213050</v>
      </c>
      <c r="X340" s="722">
        <v>119450</v>
      </c>
      <c r="Y340" s="722">
        <v>0</v>
      </c>
      <c r="Z340" s="722"/>
      <c r="AA340" s="722"/>
      <c r="AB340" s="722"/>
      <c r="AC340" s="722"/>
      <c r="AD340" s="1126">
        <f t="shared" si="34"/>
        <v>2822180</v>
      </c>
      <c r="AE340" s="578">
        <f t="shared" si="35"/>
        <v>0.42326604098058895</v>
      </c>
      <c r="AF340" s="579">
        <f t="shared" si="32"/>
        <v>158</v>
      </c>
    </row>
    <row r="341" spans="1:32" x14ac:dyDescent="0.3">
      <c r="A341" s="8" t="s">
        <v>1184</v>
      </c>
      <c r="B341" s="653" t="s">
        <v>1195</v>
      </c>
      <c r="C341" s="721"/>
      <c r="D341" s="722">
        <v>0</v>
      </c>
      <c r="E341" s="722"/>
      <c r="F341" s="722">
        <v>221300</v>
      </c>
      <c r="G341" s="722">
        <v>1350000</v>
      </c>
      <c r="H341" s="722">
        <v>1037500</v>
      </c>
      <c r="I341" s="722">
        <v>969850</v>
      </c>
      <c r="J341" s="722">
        <v>1016350</v>
      </c>
      <c r="K341" s="722">
        <v>839350</v>
      </c>
      <c r="L341" s="722">
        <v>868650</v>
      </c>
      <c r="M341" s="722">
        <v>677800</v>
      </c>
      <c r="N341" s="722">
        <v>858050</v>
      </c>
      <c r="O341" s="722">
        <v>1254150</v>
      </c>
      <c r="P341" s="1497">
        <f t="shared" si="33"/>
        <v>4418000</v>
      </c>
      <c r="Q341" s="1126">
        <f t="shared" si="31"/>
        <v>8253650</v>
      </c>
      <c r="R341" s="721">
        <v>1618550</v>
      </c>
      <c r="S341" s="722">
        <v>15450</v>
      </c>
      <c r="T341" s="722">
        <v>204600</v>
      </c>
      <c r="U341" s="722">
        <v>100050</v>
      </c>
      <c r="V341" s="722">
        <v>446000</v>
      </c>
      <c r="W341" s="722">
        <v>2446400</v>
      </c>
      <c r="X341" s="722">
        <v>1498300</v>
      </c>
      <c r="Y341" s="722">
        <v>637300</v>
      </c>
      <c r="Z341" s="722"/>
      <c r="AA341" s="722"/>
      <c r="AB341" s="722"/>
      <c r="AC341" s="722"/>
      <c r="AD341" s="1126">
        <f t="shared" si="34"/>
        <v>6966650</v>
      </c>
      <c r="AE341" s="578">
        <f t="shared" si="35"/>
        <v>0.57687867813490268</v>
      </c>
      <c r="AF341" s="579">
        <f t="shared" si="32"/>
        <v>59</v>
      </c>
    </row>
    <row r="342" spans="1:32" x14ac:dyDescent="0.3">
      <c r="A342" s="8" t="s">
        <v>1184</v>
      </c>
      <c r="B342" s="653" t="s">
        <v>1196</v>
      </c>
      <c r="C342" s="721"/>
      <c r="D342" s="722">
        <v>0</v>
      </c>
      <c r="E342" s="722"/>
      <c r="F342" s="722">
        <v>408900</v>
      </c>
      <c r="G342" s="722">
        <v>863100</v>
      </c>
      <c r="H342" s="722">
        <v>917500</v>
      </c>
      <c r="I342" s="722">
        <v>246700</v>
      </c>
      <c r="J342" s="722">
        <v>0</v>
      </c>
      <c r="K342" s="722">
        <v>0</v>
      </c>
      <c r="L342" s="722">
        <v>69200</v>
      </c>
      <c r="M342" s="722">
        <v>672200</v>
      </c>
      <c r="N342" s="722">
        <v>2161250</v>
      </c>
      <c r="O342" s="722">
        <v>2559200</v>
      </c>
      <c r="P342" s="1497">
        <f t="shared" si="33"/>
        <v>2436200</v>
      </c>
      <c r="Q342" s="1126">
        <f t="shared" si="31"/>
        <v>7898050</v>
      </c>
      <c r="R342" s="721">
        <v>1409690</v>
      </c>
      <c r="S342" s="722">
        <v>154400</v>
      </c>
      <c r="T342" s="722">
        <v>1126200</v>
      </c>
      <c r="U342" s="722">
        <v>841100</v>
      </c>
      <c r="V342" s="722">
        <v>1283800</v>
      </c>
      <c r="W342" s="722">
        <v>1400100</v>
      </c>
      <c r="X342" s="722">
        <v>1169400</v>
      </c>
      <c r="Y342" s="722">
        <v>812050</v>
      </c>
      <c r="Z342" s="722"/>
      <c r="AA342" s="722"/>
      <c r="AB342" s="722"/>
      <c r="AC342" s="722"/>
      <c r="AD342" s="1126">
        <f t="shared" si="34"/>
        <v>8196740</v>
      </c>
      <c r="AE342" s="578">
        <f t="shared" si="35"/>
        <v>2.3645595599704459</v>
      </c>
      <c r="AF342" s="579">
        <f t="shared" si="32"/>
        <v>46</v>
      </c>
    </row>
    <row r="343" spans="1:32" x14ac:dyDescent="0.3">
      <c r="A343" s="8" t="s">
        <v>1184</v>
      </c>
      <c r="B343" s="653" t="s">
        <v>1197</v>
      </c>
      <c r="C343" s="721">
        <v>293700</v>
      </c>
      <c r="D343" s="722">
        <v>193600</v>
      </c>
      <c r="E343" s="722">
        <v>96800</v>
      </c>
      <c r="F343" s="722">
        <v>0</v>
      </c>
      <c r="G343" s="722">
        <v>325650</v>
      </c>
      <c r="H343" s="722">
        <v>364100</v>
      </c>
      <c r="I343" s="722">
        <v>120500</v>
      </c>
      <c r="J343" s="722">
        <v>0</v>
      </c>
      <c r="K343" s="722">
        <v>0</v>
      </c>
      <c r="L343" s="722">
        <v>0</v>
      </c>
      <c r="M343" s="722">
        <v>0</v>
      </c>
      <c r="N343" s="722">
        <v>27050</v>
      </c>
      <c r="O343" s="722">
        <v>15450</v>
      </c>
      <c r="P343" s="1497">
        <f t="shared" si="33"/>
        <v>1394350</v>
      </c>
      <c r="Q343" s="1126">
        <f t="shared" si="31"/>
        <v>1436850</v>
      </c>
      <c r="R343" s="721"/>
      <c r="S343" s="722"/>
      <c r="T343" s="722"/>
      <c r="U343" s="722"/>
      <c r="V343" s="722"/>
      <c r="W343" s="722"/>
      <c r="X343" s="722"/>
      <c r="Y343" s="722"/>
      <c r="Z343" s="722"/>
      <c r="AA343" s="722"/>
      <c r="AB343" s="722"/>
      <c r="AC343" s="722"/>
      <c r="AD343" s="1126">
        <f t="shared" si="34"/>
        <v>0</v>
      </c>
      <c r="AE343" s="578">
        <f t="shared" si="35"/>
        <v>-1</v>
      </c>
      <c r="AF343" s="579">
        <f t="shared" si="32"/>
        <v>983</v>
      </c>
    </row>
    <row r="344" spans="1:32" x14ac:dyDescent="0.3">
      <c r="A344" s="8" t="s">
        <v>1184</v>
      </c>
      <c r="B344" s="653" t="s">
        <v>1198</v>
      </c>
      <c r="C344" s="721"/>
      <c r="D344" s="722">
        <v>0</v>
      </c>
      <c r="E344" s="722">
        <v>494800</v>
      </c>
      <c r="F344" s="722">
        <v>163800</v>
      </c>
      <c r="G344" s="722">
        <v>250600</v>
      </c>
      <c r="H344" s="722">
        <v>0</v>
      </c>
      <c r="I344" s="722">
        <v>0</v>
      </c>
      <c r="J344" s="722">
        <v>370900</v>
      </c>
      <c r="K344" s="722">
        <v>125300</v>
      </c>
      <c r="L344" s="722">
        <v>0</v>
      </c>
      <c r="M344" s="722">
        <v>0</v>
      </c>
      <c r="N344" s="722">
        <v>0</v>
      </c>
      <c r="O344" s="722">
        <v>125300</v>
      </c>
      <c r="P344" s="1497">
        <f t="shared" si="33"/>
        <v>1034500</v>
      </c>
      <c r="Q344" s="1126">
        <f t="shared" si="31"/>
        <v>1405400</v>
      </c>
      <c r="R344" s="721">
        <v>444050</v>
      </c>
      <c r="S344" s="722">
        <v>94050</v>
      </c>
      <c r="T344" s="722">
        <v>81900</v>
      </c>
      <c r="U344" s="722">
        <v>342300</v>
      </c>
      <c r="V344" s="722">
        <v>0</v>
      </c>
      <c r="W344" s="722">
        <v>12150</v>
      </c>
      <c r="X344" s="722">
        <v>81900</v>
      </c>
      <c r="Y344" s="722">
        <v>245600</v>
      </c>
      <c r="Z344" s="722"/>
      <c r="AA344" s="722"/>
      <c r="AB344" s="722"/>
      <c r="AC344" s="722"/>
      <c r="AD344" s="1126">
        <f t="shared" si="34"/>
        <v>1301950</v>
      </c>
      <c r="AE344" s="578">
        <f t="shared" si="35"/>
        <v>0.25853069115514743</v>
      </c>
      <c r="AF344" s="579">
        <f t="shared" si="32"/>
        <v>269</v>
      </c>
    </row>
    <row r="345" spans="1:32" x14ac:dyDescent="0.3">
      <c r="A345" s="8" t="s">
        <v>1184</v>
      </c>
      <c r="B345" s="653" t="s">
        <v>1199</v>
      </c>
      <c r="C345" s="721"/>
      <c r="D345" s="722">
        <v>0</v>
      </c>
      <c r="E345" s="722"/>
      <c r="F345" s="722">
        <v>770000</v>
      </c>
      <c r="G345" s="722">
        <v>0</v>
      </c>
      <c r="H345" s="722">
        <v>0</v>
      </c>
      <c r="I345" s="722">
        <v>0</v>
      </c>
      <c r="J345" s="722">
        <v>0</v>
      </c>
      <c r="K345" s="722">
        <v>0</v>
      </c>
      <c r="L345" s="722">
        <v>0</v>
      </c>
      <c r="M345" s="722">
        <v>0</v>
      </c>
      <c r="N345" s="722">
        <v>0</v>
      </c>
      <c r="O345" s="722" t="s">
        <v>251</v>
      </c>
      <c r="P345" s="1497">
        <f t="shared" si="33"/>
        <v>770000</v>
      </c>
      <c r="Q345" s="1126">
        <f t="shared" si="31"/>
        <v>770000</v>
      </c>
      <c r="R345" s="721"/>
      <c r="S345" s="722"/>
      <c r="T345" s="722"/>
      <c r="U345" s="722"/>
      <c r="V345" s="722">
        <v>404000</v>
      </c>
      <c r="W345" s="722">
        <v>0</v>
      </c>
      <c r="X345" s="722">
        <v>0</v>
      </c>
      <c r="Y345" s="722">
        <v>0</v>
      </c>
      <c r="Z345" s="722"/>
      <c r="AA345" s="722"/>
      <c r="AB345" s="722"/>
      <c r="AC345" s="722"/>
      <c r="AD345" s="1126">
        <f t="shared" si="34"/>
        <v>404000</v>
      </c>
      <c r="AE345" s="578">
        <f t="shared" si="35"/>
        <v>-0.47532467532467532</v>
      </c>
      <c r="AF345" s="579">
        <f t="shared" si="32"/>
        <v>480</v>
      </c>
    </row>
    <row r="346" spans="1:32" x14ac:dyDescent="0.3">
      <c r="A346" s="8" t="s">
        <v>1184</v>
      </c>
      <c r="B346" s="653" t="s">
        <v>1200</v>
      </c>
      <c r="C346" s="721"/>
      <c r="D346" s="722">
        <v>257250</v>
      </c>
      <c r="E346" s="722">
        <v>239500</v>
      </c>
      <c r="F346" s="722">
        <v>0</v>
      </c>
      <c r="G346" s="722">
        <v>0</v>
      </c>
      <c r="H346" s="722">
        <v>0</v>
      </c>
      <c r="I346" s="722">
        <v>0</v>
      </c>
      <c r="J346" s="722">
        <v>0</v>
      </c>
      <c r="K346" s="722">
        <v>0</v>
      </c>
      <c r="L346" s="722">
        <v>0</v>
      </c>
      <c r="M346" s="722">
        <v>0</v>
      </c>
      <c r="N346" s="722">
        <v>0</v>
      </c>
      <c r="O346" s="722" t="s">
        <v>251</v>
      </c>
      <c r="P346" s="1497">
        <f t="shared" si="33"/>
        <v>496750</v>
      </c>
      <c r="Q346" s="1126">
        <f t="shared" si="31"/>
        <v>496750</v>
      </c>
      <c r="R346" s="721"/>
      <c r="S346" s="722"/>
      <c r="T346" s="722"/>
      <c r="U346" s="722"/>
      <c r="V346" s="722"/>
      <c r="W346" s="722"/>
      <c r="X346" s="722"/>
      <c r="Y346" s="722"/>
      <c r="Z346" s="722"/>
      <c r="AA346" s="722"/>
      <c r="AB346" s="722"/>
      <c r="AC346" s="722"/>
      <c r="AD346" s="1126">
        <f t="shared" si="34"/>
        <v>0</v>
      </c>
      <c r="AE346" s="578">
        <f t="shared" si="35"/>
        <v>-1</v>
      </c>
      <c r="AF346" s="579">
        <f t="shared" si="32"/>
        <v>983</v>
      </c>
    </row>
    <row r="347" spans="1:32" x14ac:dyDescent="0.3">
      <c r="A347" s="8" t="s">
        <v>1184</v>
      </c>
      <c r="B347" s="653" t="s">
        <v>1201</v>
      </c>
      <c r="C347" s="721"/>
      <c r="D347" s="722">
        <v>0</v>
      </c>
      <c r="E347" s="722">
        <v>439000</v>
      </c>
      <c r="F347" s="722">
        <v>0</v>
      </c>
      <c r="G347" s="722">
        <v>0</v>
      </c>
      <c r="H347" s="722">
        <v>102400</v>
      </c>
      <c r="I347" s="722">
        <v>0</v>
      </c>
      <c r="J347" s="722">
        <v>0</v>
      </c>
      <c r="K347" s="722">
        <v>0</v>
      </c>
      <c r="L347" s="722">
        <v>0</v>
      </c>
      <c r="M347" s="722">
        <v>0</v>
      </c>
      <c r="N347" s="722">
        <v>0</v>
      </c>
      <c r="O347" s="722" t="s">
        <v>251</v>
      </c>
      <c r="P347" s="1497">
        <f t="shared" si="33"/>
        <v>541400</v>
      </c>
      <c r="Q347" s="1126">
        <f t="shared" si="31"/>
        <v>541400</v>
      </c>
      <c r="R347" s="721"/>
      <c r="S347" s="722"/>
      <c r="T347" s="722"/>
      <c r="U347" s="722"/>
      <c r="V347" s="722"/>
      <c r="W347" s="722"/>
      <c r="X347" s="722"/>
      <c r="Y347" s="722"/>
      <c r="Z347" s="722"/>
      <c r="AA347" s="722"/>
      <c r="AB347" s="722"/>
      <c r="AC347" s="722"/>
      <c r="AD347" s="1126">
        <f t="shared" si="34"/>
        <v>0</v>
      </c>
      <c r="AE347" s="578">
        <f t="shared" si="35"/>
        <v>-1</v>
      </c>
      <c r="AF347" s="579">
        <f t="shared" si="32"/>
        <v>983</v>
      </c>
    </row>
    <row r="348" spans="1:32" x14ac:dyDescent="0.3">
      <c r="A348" s="8" t="s">
        <v>1184</v>
      </c>
      <c r="B348" s="653" t="s">
        <v>1202</v>
      </c>
      <c r="C348" s="721"/>
      <c r="D348" s="722">
        <v>0</v>
      </c>
      <c r="E348" s="722">
        <v>319000</v>
      </c>
      <c r="F348" s="722">
        <v>0</v>
      </c>
      <c r="G348" s="722">
        <v>0</v>
      </c>
      <c r="H348" s="722">
        <v>0</v>
      </c>
      <c r="I348" s="722">
        <v>0</v>
      </c>
      <c r="J348" s="722">
        <v>0</v>
      </c>
      <c r="K348" s="722">
        <v>0</v>
      </c>
      <c r="L348" s="722">
        <v>0</v>
      </c>
      <c r="M348" s="722">
        <v>0</v>
      </c>
      <c r="N348" s="722">
        <v>0</v>
      </c>
      <c r="O348" s="722" t="s">
        <v>251</v>
      </c>
      <c r="P348" s="1497">
        <f t="shared" si="33"/>
        <v>319000</v>
      </c>
      <c r="Q348" s="1126">
        <f t="shared" si="31"/>
        <v>319000</v>
      </c>
      <c r="R348" s="721"/>
      <c r="S348" s="722"/>
      <c r="T348" s="722"/>
      <c r="U348" s="722"/>
      <c r="V348" s="722"/>
      <c r="W348" s="722"/>
      <c r="X348" s="722"/>
      <c r="Y348" s="722"/>
      <c r="Z348" s="722"/>
      <c r="AA348" s="722"/>
      <c r="AB348" s="722"/>
      <c r="AC348" s="722"/>
      <c r="AD348" s="1126">
        <f t="shared" si="34"/>
        <v>0</v>
      </c>
      <c r="AE348" s="578">
        <f t="shared" si="35"/>
        <v>-1</v>
      </c>
      <c r="AF348" s="579">
        <f t="shared" si="32"/>
        <v>983</v>
      </c>
    </row>
    <row r="349" spans="1:32" x14ac:dyDescent="0.3">
      <c r="A349" s="8" t="s">
        <v>1184</v>
      </c>
      <c r="B349" s="653" t="s">
        <v>1203</v>
      </c>
      <c r="C349" s="721">
        <v>167100</v>
      </c>
      <c r="D349" s="722">
        <v>0</v>
      </c>
      <c r="E349" s="722"/>
      <c r="F349" s="722">
        <v>81900</v>
      </c>
      <c r="G349" s="722">
        <v>0</v>
      </c>
      <c r="H349" s="722">
        <v>745450</v>
      </c>
      <c r="I349" s="722">
        <v>387100</v>
      </c>
      <c r="J349" s="722">
        <v>14900</v>
      </c>
      <c r="K349" s="722">
        <v>14900</v>
      </c>
      <c r="L349" s="722">
        <v>134050</v>
      </c>
      <c r="M349" s="722">
        <v>0</v>
      </c>
      <c r="N349" s="722">
        <v>0</v>
      </c>
      <c r="O349" s="722">
        <v>88500</v>
      </c>
      <c r="P349" s="1497">
        <f t="shared" si="33"/>
        <v>1396450</v>
      </c>
      <c r="Q349" s="1126">
        <f t="shared" si="31"/>
        <v>1619000</v>
      </c>
      <c r="R349" s="721"/>
      <c r="S349" s="722"/>
      <c r="T349" s="722"/>
      <c r="U349" s="722"/>
      <c r="V349" s="722"/>
      <c r="W349" s="722"/>
      <c r="X349" s="722"/>
      <c r="Y349" s="722"/>
      <c r="Z349" s="722"/>
      <c r="AA349" s="722"/>
      <c r="AB349" s="722"/>
      <c r="AC349" s="722"/>
      <c r="AD349" s="1126">
        <f t="shared" si="34"/>
        <v>0</v>
      </c>
      <c r="AE349" s="578">
        <f t="shared" si="35"/>
        <v>-1</v>
      </c>
      <c r="AF349" s="579">
        <f t="shared" si="32"/>
        <v>983</v>
      </c>
    </row>
    <row r="350" spans="1:32" x14ac:dyDescent="0.3">
      <c r="A350" s="8" t="s">
        <v>1184</v>
      </c>
      <c r="B350" s="653" t="s">
        <v>1204</v>
      </c>
      <c r="C350" s="721"/>
      <c r="D350" s="722">
        <v>140900</v>
      </c>
      <c r="E350" s="722">
        <v>106800</v>
      </c>
      <c r="F350" s="722">
        <v>0</v>
      </c>
      <c r="G350" s="722">
        <v>0</v>
      </c>
      <c r="H350" s="722">
        <v>0</v>
      </c>
      <c r="I350" s="722">
        <v>0</v>
      </c>
      <c r="J350" s="722">
        <v>0</v>
      </c>
      <c r="K350" s="722">
        <v>0</v>
      </c>
      <c r="L350" s="722">
        <v>0</v>
      </c>
      <c r="M350" s="722">
        <v>0</v>
      </c>
      <c r="N350" s="722">
        <v>0</v>
      </c>
      <c r="O350" s="722" t="s">
        <v>251</v>
      </c>
      <c r="P350" s="1497">
        <f t="shared" si="33"/>
        <v>247700</v>
      </c>
      <c r="Q350" s="1126">
        <f t="shared" si="31"/>
        <v>247700</v>
      </c>
      <c r="R350" s="721"/>
      <c r="S350" s="722"/>
      <c r="T350" s="722"/>
      <c r="U350" s="722"/>
      <c r="V350" s="722"/>
      <c r="W350" s="722"/>
      <c r="X350" s="722"/>
      <c r="Y350" s="722"/>
      <c r="Z350" s="722"/>
      <c r="AA350" s="722"/>
      <c r="AB350" s="722"/>
      <c r="AC350" s="722"/>
      <c r="AD350" s="1126">
        <f t="shared" si="34"/>
        <v>0</v>
      </c>
      <c r="AE350" s="578">
        <f t="shared" si="35"/>
        <v>-1</v>
      </c>
      <c r="AF350" s="579">
        <f t="shared" si="32"/>
        <v>983</v>
      </c>
    </row>
    <row r="351" spans="1:32" x14ac:dyDescent="0.3">
      <c r="A351" s="8" t="s">
        <v>1184</v>
      </c>
      <c r="B351" s="653" t="s">
        <v>1205</v>
      </c>
      <c r="C351" s="721">
        <v>159400</v>
      </c>
      <c r="D351" s="722">
        <v>27600</v>
      </c>
      <c r="E351" s="722"/>
      <c r="F351" s="722">
        <v>0</v>
      </c>
      <c r="G351" s="722">
        <v>0</v>
      </c>
      <c r="H351" s="722">
        <v>0</v>
      </c>
      <c r="I351" s="722">
        <v>0</v>
      </c>
      <c r="J351" s="722">
        <v>0</v>
      </c>
      <c r="K351" s="722">
        <v>0</v>
      </c>
      <c r="L351" s="722">
        <v>102350</v>
      </c>
      <c r="M351" s="722">
        <v>28800</v>
      </c>
      <c r="N351" s="722">
        <v>13800</v>
      </c>
      <c r="O351" s="722" t="s">
        <v>251</v>
      </c>
      <c r="P351" s="1497">
        <f t="shared" si="33"/>
        <v>187000</v>
      </c>
      <c r="Q351" s="1126">
        <f t="shared" si="31"/>
        <v>331950</v>
      </c>
      <c r="R351" s="721"/>
      <c r="S351" s="722"/>
      <c r="T351" s="722"/>
      <c r="U351" s="722"/>
      <c r="V351" s="722"/>
      <c r="W351" s="722"/>
      <c r="X351" s="722"/>
      <c r="Y351" s="722"/>
      <c r="Z351" s="722"/>
      <c r="AA351" s="722"/>
      <c r="AB351" s="722"/>
      <c r="AC351" s="722"/>
      <c r="AD351" s="1126">
        <f t="shared" si="34"/>
        <v>0</v>
      </c>
      <c r="AE351" s="578">
        <f t="shared" si="35"/>
        <v>-1</v>
      </c>
      <c r="AF351" s="579">
        <f t="shared" si="32"/>
        <v>983</v>
      </c>
    </row>
    <row r="352" spans="1:32" x14ac:dyDescent="0.3">
      <c r="A352" s="8" t="s">
        <v>1184</v>
      </c>
      <c r="B352" s="653" t="s">
        <v>1206</v>
      </c>
      <c r="C352" s="721"/>
      <c r="D352" s="722">
        <v>0</v>
      </c>
      <c r="E352" s="722"/>
      <c r="F352" s="722">
        <v>0</v>
      </c>
      <c r="G352" s="722">
        <v>177000</v>
      </c>
      <c r="H352" s="722">
        <v>27600</v>
      </c>
      <c r="I352" s="722">
        <v>0</v>
      </c>
      <c r="J352" s="722">
        <v>0</v>
      </c>
      <c r="K352" s="722">
        <v>0</v>
      </c>
      <c r="L352" s="722">
        <v>0</v>
      </c>
      <c r="M352" s="722">
        <v>0</v>
      </c>
      <c r="N352" s="722">
        <v>0</v>
      </c>
      <c r="O352" s="722" t="s">
        <v>251</v>
      </c>
      <c r="P352" s="1497">
        <f t="shared" si="33"/>
        <v>204600</v>
      </c>
      <c r="Q352" s="1126">
        <f t="shared" si="31"/>
        <v>204600</v>
      </c>
      <c r="R352" s="721"/>
      <c r="S352" s="722"/>
      <c r="T352" s="722"/>
      <c r="U352" s="722"/>
      <c r="V352" s="722"/>
      <c r="W352" s="722"/>
      <c r="X352" s="722"/>
      <c r="Y352" s="722"/>
      <c r="Z352" s="722"/>
      <c r="AA352" s="722"/>
      <c r="AB352" s="722"/>
      <c r="AC352" s="722"/>
      <c r="AD352" s="1126">
        <f t="shared" si="34"/>
        <v>0</v>
      </c>
      <c r="AE352" s="578">
        <f t="shared" si="35"/>
        <v>-1</v>
      </c>
      <c r="AF352" s="579">
        <f t="shared" si="32"/>
        <v>983</v>
      </c>
    </row>
    <row r="353" spans="1:32" x14ac:dyDescent="0.3">
      <c r="A353" s="8" t="s">
        <v>1184</v>
      </c>
      <c r="B353" s="653" t="s">
        <v>1207</v>
      </c>
      <c r="C353" s="721"/>
      <c r="D353" s="722">
        <v>0</v>
      </c>
      <c r="E353" s="722"/>
      <c r="F353" s="722">
        <v>70870</v>
      </c>
      <c r="G353" s="722">
        <v>84000</v>
      </c>
      <c r="H353" s="722">
        <v>684600</v>
      </c>
      <c r="I353" s="722">
        <v>234400</v>
      </c>
      <c r="J353" s="722">
        <v>15450</v>
      </c>
      <c r="K353" s="722">
        <v>15450</v>
      </c>
      <c r="L353" s="722">
        <v>0</v>
      </c>
      <c r="M353" s="722">
        <v>257250</v>
      </c>
      <c r="N353" s="722">
        <v>464000</v>
      </c>
      <c r="O353" s="722">
        <v>637540</v>
      </c>
      <c r="P353" s="1497">
        <f t="shared" si="33"/>
        <v>1089320</v>
      </c>
      <c r="Q353" s="1126">
        <f t="shared" si="31"/>
        <v>2448110</v>
      </c>
      <c r="R353" s="721">
        <v>1117560</v>
      </c>
      <c r="S353" s="722"/>
      <c r="T353" s="722">
        <v>40900</v>
      </c>
      <c r="U353" s="722">
        <v>15450</v>
      </c>
      <c r="V353" s="722">
        <v>0</v>
      </c>
      <c r="W353" s="722">
        <v>551700</v>
      </c>
      <c r="X353" s="722">
        <v>474550</v>
      </c>
      <c r="Y353" s="722">
        <v>233570</v>
      </c>
      <c r="Z353" s="722"/>
      <c r="AA353" s="722"/>
      <c r="AB353" s="722"/>
      <c r="AC353" s="722"/>
      <c r="AD353" s="1126">
        <f t="shared" si="34"/>
        <v>2433730</v>
      </c>
      <c r="AE353" s="578">
        <f t="shared" si="35"/>
        <v>1.2341736128961187</v>
      </c>
      <c r="AF353" s="579">
        <f t="shared" si="32"/>
        <v>179</v>
      </c>
    </row>
    <row r="354" spans="1:32" x14ac:dyDescent="0.3">
      <c r="A354" s="8" t="s">
        <v>1184</v>
      </c>
      <c r="B354" s="653" t="s">
        <v>1208</v>
      </c>
      <c r="C354" s="721"/>
      <c r="D354" s="722">
        <v>0</v>
      </c>
      <c r="E354" s="722"/>
      <c r="F354" s="722">
        <v>125450</v>
      </c>
      <c r="G354" s="722">
        <v>9400</v>
      </c>
      <c r="H354" s="722">
        <v>342350</v>
      </c>
      <c r="I354" s="722">
        <v>0</v>
      </c>
      <c r="J354" s="722">
        <v>0</v>
      </c>
      <c r="K354" s="722">
        <v>0</v>
      </c>
      <c r="L354" s="722">
        <v>0</v>
      </c>
      <c r="M354" s="722">
        <v>0</v>
      </c>
      <c r="N354" s="722">
        <v>0</v>
      </c>
      <c r="O354" s="722" t="s">
        <v>251</v>
      </c>
      <c r="P354" s="1497">
        <f t="shared" si="33"/>
        <v>477200</v>
      </c>
      <c r="Q354" s="1126">
        <f t="shared" si="31"/>
        <v>477200</v>
      </c>
      <c r="R354" s="721"/>
      <c r="S354" s="722"/>
      <c r="T354" s="722"/>
      <c r="U354" s="722"/>
      <c r="V354" s="722"/>
      <c r="W354" s="722"/>
      <c r="X354" s="722"/>
      <c r="Y354" s="722"/>
      <c r="Z354" s="722"/>
      <c r="AA354" s="722"/>
      <c r="AB354" s="722"/>
      <c r="AC354" s="722"/>
      <c r="AD354" s="1126">
        <f t="shared" si="34"/>
        <v>0</v>
      </c>
      <c r="AE354" s="578">
        <f t="shared" si="35"/>
        <v>-1</v>
      </c>
      <c r="AF354" s="579">
        <f t="shared" si="32"/>
        <v>983</v>
      </c>
    </row>
    <row r="355" spans="1:32" x14ac:dyDescent="0.3">
      <c r="A355" s="8" t="s">
        <v>1184</v>
      </c>
      <c r="B355" s="653" t="s">
        <v>1209</v>
      </c>
      <c r="C355" s="721"/>
      <c r="D355" s="722">
        <v>107570</v>
      </c>
      <c r="E355" s="722">
        <v>12700</v>
      </c>
      <c r="F355" s="722">
        <v>0</v>
      </c>
      <c r="G355" s="722">
        <v>0</v>
      </c>
      <c r="H355" s="722">
        <v>0</v>
      </c>
      <c r="I355" s="722">
        <v>0</v>
      </c>
      <c r="J355" s="722">
        <v>0</v>
      </c>
      <c r="K355" s="722">
        <v>0</v>
      </c>
      <c r="L355" s="722">
        <v>0</v>
      </c>
      <c r="M355" s="722">
        <v>0</v>
      </c>
      <c r="N355" s="722">
        <v>0</v>
      </c>
      <c r="O355" s="722" t="s">
        <v>251</v>
      </c>
      <c r="P355" s="1497">
        <f t="shared" si="33"/>
        <v>120270</v>
      </c>
      <c r="Q355" s="1126">
        <f t="shared" si="31"/>
        <v>120270</v>
      </c>
      <c r="R355" s="721"/>
      <c r="S355" s="722"/>
      <c r="T355" s="722"/>
      <c r="U355" s="722"/>
      <c r="V355" s="722"/>
      <c r="W355" s="722"/>
      <c r="X355" s="722"/>
      <c r="Y355" s="722"/>
      <c r="Z355" s="722"/>
      <c r="AA355" s="722"/>
      <c r="AB355" s="722"/>
      <c r="AC355" s="722"/>
      <c r="AD355" s="1126">
        <f t="shared" si="34"/>
        <v>0</v>
      </c>
      <c r="AE355" s="578">
        <f t="shared" si="35"/>
        <v>-1</v>
      </c>
      <c r="AF355" s="579">
        <f t="shared" si="32"/>
        <v>983</v>
      </c>
    </row>
    <row r="356" spans="1:32" x14ac:dyDescent="0.3">
      <c r="A356" s="8" t="s">
        <v>1184</v>
      </c>
      <c r="B356" s="653" t="s">
        <v>1210</v>
      </c>
      <c r="C356" s="721"/>
      <c r="D356" s="722">
        <v>0</v>
      </c>
      <c r="E356" s="722">
        <v>89400</v>
      </c>
      <c r="F356" s="722">
        <v>14900</v>
      </c>
      <c r="G356" s="722">
        <v>14900</v>
      </c>
      <c r="H356" s="722">
        <v>0</v>
      </c>
      <c r="I356" s="722">
        <v>29800</v>
      </c>
      <c r="J356" s="722">
        <v>0</v>
      </c>
      <c r="K356" s="722">
        <v>0</v>
      </c>
      <c r="L356" s="722">
        <v>0</v>
      </c>
      <c r="M356" s="722">
        <v>0</v>
      </c>
      <c r="N356" s="722">
        <v>0</v>
      </c>
      <c r="O356" s="722" t="s">
        <v>251</v>
      </c>
      <c r="P356" s="1497">
        <f t="shared" si="33"/>
        <v>149000</v>
      </c>
      <c r="Q356" s="1126">
        <f t="shared" si="31"/>
        <v>149000</v>
      </c>
      <c r="R356" s="721"/>
      <c r="S356" s="722"/>
      <c r="T356" s="722"/>
      <c r="U356" s="722"/>
      <c r="V356" s="722"/>
      <c r="W356" s="722"/>
      <c r="X356" s="722"/>
      <c r="Y356" s="722"/>
      <c r="Z356" s="722"/>
      <c r="AA356" s="722"/>
      <c r="AB356" s="722"/>
      <c r="AC356" s="722"/>
      <c r="AD356" s="1126">
        <f t="shared" si="34"/>
        <v>0</v>
      </c>
      <c r="AE356" s="578">
        <f t="shared" si="35"/>
        <v>-1</v>
      </c>
      <c r="AF356" s="579">
        <f t="shared" si="32"/>
        <v>983</v>
      </c>
    </row>
    <row r="357" spans="1:32" x14ac:dyDescent="0.3">
      <c r="A357" s="8" t="s">
        <v>1184</v>
      </c>
      <c r="B357" s="653" t="s">
        <v>1184</v>
      </c>
      <c r="C357" s="721"/>
      <c r="D357" s="722">
        <v>0</v>
      </c>
      <c r="E357" s="722"/>
      <c r="F357" s="722">
        <v>96500</v>
      </c>
      <c r="G357" s="722">
        <v>0</v>
      </c>
      <c r="H357" s="722">
        <v>0</v>
      </c>
      <c r="I357" s="722">
        <v>0</v>
      </c>
      <c r="J357" s="722">
        <v>0</v>
      </c>
      <c r="K357" s="722">
        <v>0</v>
      </c>
      <c r="L357" s="722">
        <v>640100</v>
      </c>
      <c r="M357" s="722">
        <v>0</v>
      </c>
      <c r="N357" s="722">
        <v>0</v>
      </c>
      <c r="O357" s="722" t="s">
        <v>251</v>
      </c>
      <c r="P357" s="1497">
        <f t="shared" si="33"/>
        <v>96500</v>
      </c>
      <c r="Q357" s="1126">
        <f t="shared" si="31"/>
        <v>736600</v>
      </c>
      <c r="R357" s="721"/>
      <c r="S357" s="722"/>
      <c r="T357" s="722"/>
      <c r="U357" s="722"/>
      <c r="V357" s="722"/>
      <c r="W357" s="722"/>
      <c r="X357" s="722"/>
      <c r="Y357" s="722"/>
      <c r="Z357" s="722"/>
      <c r="AA357" s="722"/>
      <c r="AB357" s="722"/>
      <c r="AC357" s="722"/>
      <c r="AD357" s="1126">
        <f t="shared" si="34"/>
        <v>0</v>
      </c>
      <c r="AE357" s="578">
        <f t="shared" si="35"/>
        <v>-1</v>
      </c>
      <c r="AF357" s="579">
        <f t="shared" si="32"/>
        <v>983</v>
      </c>
    </row>
    <row r="358" spans="1:32" x14ac:dyDescent="0.3">
      <c r="A358" s="8" t="s">
        <v>1184</v>
      </c>
      <c r="B358" s="653" t="s">
        <v>1211</v>
      </c>
      <c r="C358" s="721"/>
      <c r="D358" s="722" t="s">
        <v>251</v>
      </c>
      <c r="E358" s="722"/>
      <c r="F358" s="722">
        <v>86900</v>
      </c>
      <c r="G358" s="722" t="s">
        <v>251</v>
      </c>
      <c r="H358" s="722">
        <v>183700</v>
      </c>
      <c r="I358" s="722" t="s">
        <v>251</v>
      </c>
      <c r="J358" s="722">
        <v>0</v>
      </c>
      <c r="K358" s="722">
        <v>0</v>
      </c>
      <c r="L358" s="722">
        <v>0</v>
      </c>
      <c r="M358" s="722">
        <v>0</v>
      </c>
      <c r="N358" s="722">
        <v>0</v>
      </c>
      <c r="O358" s="722" t="s">
        <v>251</v>
      </c>
      <c r="P358" s="1497">
        <f t="shared" si="33"/>
        <v>270600</v>
      </c>
      <c r="Q358" s="1126">
        <f t="shared" si="31"/>
        <v>270600</v>
      </c>
      <c r="R358" s="721"/>
      <c r="S358" s="722"/>
      <c r="T358" s="722"/>
      <c r="U358" s="722"/>
      <c r="V358" s="722"/>
      <c r="W358" s="722"/>
      <c r="X358" s="722"/>
      <c r="Y358" s="722"/>
      <c r="Z358" s="722"/>
      <c r="AA358" s="722"/>
      <c r="AB358" s="722"/>
      <c r="AC358" s="722"/>
      <c r="AD358" s="1126">
        <f t="shared" si="34"/>
        <v>0</v>
      </c>
      <c r="AE358" s="578">
        <f t="shared" si="35"/>
        <v>-1</v>
      </c>
      <c r="AF358" s="579">
        <f t="shared" si="32"/>
        <v>983</v>
      </c>
    </row>
    <row r="359" spans="1:32" x14ac:dyDescent="0.3">
      <c r="A359" s="8" t="s">
        <v>1184</v>
      </c>
      <c r="B359" s="653" t="s">
        <v>1212</v>
      </c>
      <c r="C359" s="721"/>
      <c r="D359" s="722">
        <v>0</v>
      </c>
      <c r="E359" s="722">
        <v>85200</v>
      </c>
      <c r="F359" s="722">
        <v>0</v>
      </c>
      <c r="G359" s="722">
        <v>0</v>
      </c>
      <c r="H359" s="722">
        <v>0</v>
      </c>
      <c r="I359" s="722">
        <v>0</v>
      </c>
      <c r="J359" s="722">
        <v>0</v>
      </c>
      <c r="K359" s="722">
        <v>0</v>
      </c>
      <c r="L359" s="722">
        <v>0</v>
      </c>
      <c r="M359" s="722">
        <v>0</v>
      </c>
      <c r="N359" s="722">
        <v>0</v>
      </c>
      <c r="O359" s="722" t="s">
        <v>251</v>
      </c>
      <c r="P359" s="1497">
        <f t="shared" si="33"/>
        <v>85200</v>
      </c>
      <c r="Q359" s="1126">
        <f t="shared" si="31"/>
        <v>85200</v>
      </c>
      <c r="R359" s="721"/>
      <c r="S359" s="722"/>
      <c r="T359" s="722"/>
      <c r="U359" s="722"/>
      <c r="V359" s="722"/>
      <c r="W359" s="722"/>
      <c r="X359" s="722"/>
      <c r="Y359" s="722"/>
      <c r="Z359" s="722"/>
      <c r="AA359" s="722"/>
      <c r="AB359" s="722"/>
      <c r="AC359" s="722"/>
      <c r="AD359" s="1126">
        <f t="shared" si="34"/>
        <v>0</v>
      </c>
      <c r="AE359" s="578">
        <f t="shared" si="35"/>
        <v>-1</v>
      </c>
      <c r="AF359" s="579">
        <f t="shared" si="32"/>
        <v>983</v>
      </c>
    </row>
    <row r="360" spans="1:32" x14ac:dyDescent="0.3">
      <c r="A360" s="8" t="s">
        <v>1184</v>
      </c>
      <c r="B360" s="653" t="s">
        <v>1213</v>
      </c>
      <c r="C360" s="721"/>
      <c r="D360" s="722">
        <v>30300</v>
      </c>
      <c r="E360" s="722"/>
      <c r="F360" s="722">
        <v>0</v>
      </c>
      <c r="G360" s="722">
        <v>0</v>
      </c>
      <c r="H360" s="722">
        <v>0</v>
      </c>
      <c r="I360" s="722">
        <v>0</v>
      </c>
      <c r="J360" s="722">
        <v>0</v>
      </c>
      <c r="K360" s="722">
        <v>0</v>
      </c>
      <c r="L360" s="722">
        <v>0</v>
      </c>
      <c r="M360" s="722">
        <v>0</v>
      </c>
      <c r="N360" s="722">
        <v>0</v>
      </c>
      <c r="O360" s="722" t="s">
        <v>251</v>
      </c>
      <c r="P360" s="1497">
        <f t="shared" si="33"/>
        <v>30300</v>
      </c>
      <c r="Q360" s="1126">
        <f t="shared" si="31"/>
        <v>30300</v>
      </c>
      <c r="R360" s="721"/>
      <c r="S360" s="722"/>
      <c r="T360" s="722"/>
      <c r="U360" s="722"/>
      <c r="V360" s="722"/>
      <c r="W360" s="722"/>
      <c r="X360" s="722"/>
      <c r="Y360" s="722"/>
      <c r="Z360" s="722"/>
      <c r="AA360" s="722"/>
      <c r="AB360" s="722"/>
      <c r="AC360" s="722"/>
      <c r="AD360" s="1126">
        <f t="shared" si="34"/>
        <v>0</v>
      </c>
      <c r="AE360" s="578">
        <f t="shared" si="35"/>
        <v>-1</v>
      </c>
      <c r="AF360" s="579">
        <f t="shared" si="32"/>
        <v>983</v>
      </c>
    </row>
    <row r="361" spans="1:32" x14ac:dyDescent="0.3">
      <c r="A361" s="8" t="s">
        <v>1184</v>
      </c>
      <c r="B361" s="653" t="s">
        <v>1214</v>
      </c>
      <c r="C361" s="721" t="s">
        <v>251</v>
      </c>
      <c r="D361" s="722" t="s">
        <v>251</v>
      </c>
      <c r="E361" s="722" t="s">
        <v>251</v>
      </c>
      <c r="F361" s="722" t="s">
        <v>251</v>
      </c>
      <c r="G361" s="722" t="s">
        <v>251</v>
      </c>
      <c r="H361" s="722" t="s">
        <v>251</v>
      </c>
      <c r="I361" s="722" t="s">
        <v>251</v>
      </c>
      <c r="J361" s="722" t="s">
        <v>251</v>
      </c>
      <c r="K361" s="722"/>
      <c r="L361" s="722" t="s">
        <v>251</v>
      </c>
      <c r="M361" s="722" t="s">
        <v>251</v>
      </c>
      <c r="N361" s="722" t="s">
        <v>251</v>
      </c>
      <c r="O361" s="722" t="s">
        <v>251</v>
      </c>
      <c r="P361" s="1497">
        <f t="shared" si="33"/>
        <v>0</v>
      </c>
      <c r="Q361" s="1126">
        <f t="shared" si="31"/>
        <v>0</v>
      </c>
      <c r="R361" s="721"/>
      <c r="S361" s="722"/>
      <c r="T361" s="722"/>
      <c r="U361" s="722"/>
      <c r="V361" s="722"/>
      <c r="W361" s="722"/>
      <c r="X361" s="722"/>
      <c r="Y361" s="722"/>
      <c r="Z361" s="722"/>
      <c r="AA361" s="722"/>
      <c r="AB361" s="722"/>
      <c r="AC361" s="722"/>
      <c r="AD361" s="1126">
        <f t="shared" si="34"/>
        <v>0</v>
      </c>
      <c r="AE361" s="578">
        <f t="shared" si="35"/>
        <v>0</v>
      </c>
      <c r="AF361" s="579">
        <f t="shared" si="32"/>
        <v>983</v>
      </c>
    </row>
    <row r="362" spans="1:32" x14ac:dyDescent="0.3">
      <c r="A362" s="8" t="s">
        <v>1184</v>
      </c>
      <c r="B362" s="653" t="s">
        <v>1215</v>
      </c>
      <c r="C362" s="721" t="s">
        <v>251</v>
      </c>
      <c r="D362" s="722" t="s">
        <v>251</v>
      </c>
      <c r="E362" s="722" t="s">
        <v>251</v>
      </c>
      <c r="F362" s="722" t="s">
        <v>251</v>
      </c>
      <c r="G362" s="722" t="s">
        <v>251</v>
      </c>
      <c r="H362" s="722" t="s">
        <v>251</v>
      </c>
      <c r="I362" s="722" t="s">
        <v>251</v>
      </c>
      <c r="J362" s="722" t="s">
        <v>251</v>
      </c>
      <c r="K362" s="722"/>
      <c r="L362" s="722" t="s">
        <v>251</v>
      </c>
      <c r="M362" s="722" t="s">
        <v>251</v>
      </c>
      <c r="N362" s="722" t="s">
        <v>251</v>
      </c>
      <c r="O362" s="722" t="s">
        <v>251</v>
      </c>
      <c r="P362" s="1497">
        <f t="shared" si="33"/>
        <v>0</v>
      </c>
      <c r="Q362" s="1126">
        <f t="shared" si="31"/>
        <v>0</v>
      </c>
      <c r="R362" s="721"/>
      <c r="S362" s="722"/>
      <c r="T362" s="722"/>
      <c r="U362" s="722"/>
      <c r="V362" s="722"/>
      <c r="W362" s="722"/>
      <c r="X362" s="722"/>
      <c r="Y362" s="722"/>
      <c r="Z362" s="722"/>
      <c r="AA362" s="722"/>
      <c r="AB362" s="722"/>
      <c r="AC362" s="722"/>
      <c r="AD362" s="1126">
        <f t="shared" si="34"/>
        <v>0</v>
      </c>
      <c r="AE362" s="578">
        <f t="shared" si="35"/>
        <v>0</v>
      </c>
      <c r="AF362" s="579">
        <f t="shared" si="32"/>
        <v>983</v>
      </c>
    </row>
    <row r="363" spans="1:32" x14ac:dyDescent="0.3">
      <c r="A363" s="8" t="s">
        <v>1184</v>
      </c>
      <c r="B363" s="653" t="s">
        <v>1216</v>
      </c>
      <c r="C363" s="721" t="s">
        <v>251</v>
      </c>
      <c r="D363" s="722" t="s">
        <v>251</v>
      </c>
      <c r="E363" s="722" t="s">
        <v>251</v>
      </c>
      <c r="F363" s="722" t="s">
        <v>251</v>
      </c>
      <c r="G363" s="722" t="s">
        <v>251</v>
      </c>
      <c r="H363" s="722" t="s">
        <v>251</v>
      </c>
      <c r="I363" s="722" t="s">
        <v>251</v>
      </c>
      <c r="J363" s="722" t="s">
        <v>251</v>
      </c>
      <c r="K363" s="722"/>
      <c r="L363" s="722" t="s">
        <v>251</v>
      </c>
      <c r="M363" s="722" t="s">
        <v>251</v>
      </c>
      <c r="N363" s="722" t="s">
        <v>251</v>
      </c>
      <c r="O363" s="722" t="s">
        <v>251</v>
      </c>
      <c r="P363" s="1497">
        <f t="shared" si="33"/>
        <v>0</v>
      </c>
      <c r="Q363" s="1126">
        <f t="shared" si="31"/>
        <v>0</v>
      </c>
      <c r="R363" s="721"/>
      <c r="S363" s="722"/>
      <c r="T363" s="722"/>
      <c r="U363" s="722"/>
      <c r="V363" s="722"/>
      <c r="W363" s="722"/>
      <c r="X363" s="722"/>
      <c r="Y363" s="722"/>
      <c r="Z363" s="722"/>
      <c r="AA363" s="722"/>
      <c r="AB363" s="722"/>
      <c r="AC363" s="722"/>
      <c r="AD363" s="1126">
        <f t="shared" si="34"/>
        <v>0</v>
      </c>
      <c r="AE363" s="578">
        <f t="shared" si="35"/>
        <v>0</v>
      </c>
      <c r="AF363" s="579">
        <f t="shared" si="32"/>
        <v>983</v>
      </c>
    </row>
    <row r="364" spans="1:32" x14ac:dyDescent="0.3">
      <c r="A364" s="8" t="s">
        <v>1184</v>
      </c>
      <c r="B364" s="653" t="s">
        <v>1217</v>
      </c>
      <c r="C364" s="721" t="s">
        <v>251</v>
      </c>
      <c r="D364" s="722" t="s">
        <v>251</v>
      </c>
      <c r="E364" s="722" t="s">
        <v>251</v>
      </c>
      <c r="F364" s="722" t="s">
        <v>251</v>
      </c>
      <c r="G364" s="722" t="s">
        <v>251</v>
      </c>
      <c r="H364" s="722" t="s">
        <v>251</v>
      </c>
      <c r="I364" s="722" t="s">
        <v>251</v>
      </c>
      <c r="J364" s="722" t="s">
        <v>251</v>
      </c>
      <c r="K364" s="722"/>
      <c r="L364" s="722" t="s">
        <v>251</v>
      </c>
      <c r="M364" s="722" t="s">
        <v>251</v>
      </c>
      <c r="N364" s="722" t="s">
        <v>251</v>
      </c>
      <c r="O364" s="722" t="s">
        <v>251</v>
      </c>
      <c r="P364" s="1497">
        <f t="shared" si="33"/>
        <v>0</v>
      </c>
      <c r="Q364" s="1126">
        <f t="shared" si="31"/>
        <v>0</v>
      </c>
      <c r="R364" s="721"/>
      <c r="S364" s="722"/>
      <c r="T364" s="722"/>
      <c r="U364" s="722"/>
      <c r="V364" s="722"/>
      <c r="W364" s="722"/>
      <c r="X364" s="722"/>
      <c r="Y364" s="722"/>
      <c r="Z364" s="722"/>
      <c r="AA364" s="722"/>
      <c r="AB364" s="722"/>
      <c r="AC364" s="722"/>
      <c r="AD364" s="1126">
        <f t="shared" si="34"/>
        <v>0</v>
      </c>
      <c r="AE364" s="578">
        <f t="shared" si="35"/>
        <v>0</v>
      </c>
      <c r="AF364" s="579">
        <f t="shared" si="32"/>
        <v>983</v>
      </c>
    </row>
    <row r="365" spans="1:32" x14ac:dyDescent="0.3">
      <c r="A365" s="8" t="s">
        <v>1184</v>
      </c>
      <c r="B365" s="653" t="s">
        <v>1218</v>
      </c>
      <c r="C365" s="721" t="s">
        <v>251</v>
      </c>
      <c r="D365" s="722" t="s">
        <v>251</v>
      </c>
      <c r="E365" s="722" t="s">
        <v>251</v>
      </c>
      <c r="F365" s="722" t="s">
        <v>251</v>
      </c>
      <c r="G365" s="722" t="s">
        <v>251</v>
      </c>
      <c r="H365" s="722" t="s">
        <v>251</v>
      </c>
      <c r="I365" s="722" t="s">
        <v>251</v>
      </c>
      <c r="J365" s="722" t="s">
        <v>251</v>
      </c>
      <c r="K365" s="722"/>
      <c r="L365" s="722" t="s">
        <v>251</v>
      </c>
      <c r="M365" s="722" t="s">
        <v>251</v>
      </c>
      <c r="N365" s="722" t="s">
        <v>251</v>
      </c>
      <c r="O365" s="722" t="s">
        <v>251</v>
      </c>
      <c r="P365" s="1497">
        <f t="shared" si="33"/>
        <v>0</v>
      </c>
      <c r="Q365" s="1126">
        <f t="shared" si="31"/>
        <v>0</v>
      </c>
      <c r="R365" s="721"/>
      <c r="S365" s="722"/>
      <c r="T365" s="722"/>
      <c r="U365" s="722"/>
      <c r="V365" s="722"/>
      <c r="W365" s="722"/>
      <c r="X365" s="722"/>
      <c r="Y365" s="722"/>
      <c r="Z365" s="722"/>
      <c r="AA365" s="722"/>
      <c r="AB365" s="722"/>
      <c r="AC365" s="722"/>
      <c r="AD365" s="1126">
        <f t="shared" si="34"/>
        <v>0</v>
      </c>
      <c r="AE365" s="578">
        <f t="shared" si="35"/>
        <v>0</v>
      </c>
      <c r="AF365" s="579">
        <f t="shared" si="32"/>
        <v>983</v>
      </c>
    </row>
    <row r="366" spans="1:32" x14ac:dyDescent="0.3">
      <c r="A366" s="8" t="s">
        <v>1184</v>
      </c>
      <c r="B366" s="653" t="s">
        <v>1219</v>
      </c>
      <c r="C366" s="721" t="s">
        <v>251</v>
      </c>
      <c r="D366" s="722" t="s">
        <v>251</v>
      </c>
      <c r="E366" s="722" t="s">
        <v>251</v>
      </c>
      <c r="F366" s="722" t="s">
        <v>251</v>
      </c>
      <c r="G366" s="722" t="s">
        <v>251</v>
      </c>
      <c r="H366" s="722" t="s">
        <v>251</v>
      </c>
      <c r="I366" s="722" t="s">
        <v>251</v>
      </c>
      <c r="J366" s="722" t="s">
        <v>251</v>
      </c>
      <c r="K366" s="722"/>
      <c r="L366" s="722" t="s">
        <v>251</v>
      </c>
      <c r="M366" s="722" t="s">
        <v>251</v>
      </c>
      <c r="N366" s="722" t="s">
        <v>251</v>
      </c>
      <c r="O366" s="722" t="s">
        <v>251</v>
      </c>
      <c r="P366" s="1497">
        <f t="shared" si="33"/>
        <v>0</v>
      </c>
      <c r="Q366" s="1126">
        <f t="shared" si="31"/>
        <v>0</v>
      </c>
      <c r="R366" s="721"/>
      <c r="S366" s="722"/>
      <c r="T366" s="722"/>
      <c r="U366" s="722"/>
      <c r="V366" s="722"/>
      <c r="W366" s="722"/>
      <c r="X366" s="722"/>
      <c r="Y366" s="722"/>
      <c r="Z366" s="722"/>
      <c r="AA366" s="722"/>
      <c r="AB366" s="722"/>
      <c r="AC366" s="722"/>
      <c r="AD366" s="1126">
        <f t="shared" si="34"/>
        <v>0</v>
      </c>
      <c r="AE366" s="578">
        <f t="shared" si="35"/>
        <v>0</v>
      </c>
      <c r="AF366" s="579">
        <f t="shared" si="32"/>
        <v>983</v>
      </c>
    </row>
    <row r="367" spans="1:32" x14ac:dyDescent="0.3">
      <c r="A367" s="8" t="s">
        <v>1184</v>
      </c>
      <c r="B367" s="653" t="s">
        <v>1220</v>
      </c>
      <c r="C367" s="721" t="s">
        <v>251</v>
      </c>
      <c r="D367" s="722" t="s">
        <v>251</v>
      </c>
      <c r="E367" s="722" t="s">
        <v>251</v>
      </c>
      <c r="F367" s="722" t="s">
        <v>251</v>
      </c>
      <c r="G367" s="722" t="s">
        <v>251</v>
      </c>
      <c r="H367" s="722" t="s">
        <v>251</v>
      </c>
      <c r="I367" s="722" t="s">
        <v>251</v>
      </c>
      <c r="J367" s="722" t="s">
        <v>251</v>
      </c>
      <c r="K367" s="722"/>
      <c r="L367" s="722" t="s">
        <v>251</v>
      </c>
      <c r="M367" s="722" t="s">
        <v>251</v>
      </c>
      <c r="N367" s="722" t="s">
        <v>251</v>
      </c>
      <c r="O367" s="722" t="s">
        <v>251</v>
      </c>
      <c r="P367" s="1497">
        <f t="shared" si="33"/>
        <v>0</v>
      </c>
      <c r="Q367" s="1126">
        <f t="shared" si="31"/>
        <v>0</v>
      </c>
      <c r="R367" s="721"/>
      <c r="S367" s="722"/>
      <c r="T367" s="722"/>
      <c r="U367" s="722"/>
      <c r="V367" s="722"/>
      <c r="W367" s="722"/>
      <c r="X367" s="722"/>
      <c r="Y367" s="722"/>
      <c r="Z367" s="722"/>
      <c r="AA367" s="722"/>
      <c r="AB367" s="722"/>
      <c r="AC367" s="722"/>
      <c r="AD367" s="1126">
        <f t="shared" si="34"/>
        <v>0</v>
      </c>
      <c r="AE367" s="578">
        <f t="shared" si="35"/>
        <v>0</v>
      </c>
      <c r="AF367" s="579">
        <f t="shared" si="32"/>
        <v>983</v>
      </c>
    </row>
    <row r="368" spans="1:32" x14ac:dyDescent="0.3">
      <c r="A368" s="8" t="s">
        <v>1184</v>
      </c>
      <c r="B368" s="653" t="s">
        <v>1221</v>
      </c>
      <c r="C368" s="721" t="s">
        <v>251</v>
      </c>
      <c r="D368" s="722" t="s">
        <v>251</v>
      </c>
      <c r="E368" s="722" t="s">
        <v>251</v>
      </c>
      <c r="F368" s="722" t="s">
        <v>251</v>
      </c>
      <c r="G368" s="722" t="s">
        <v>251</v>
      </c>
      <c r="H368" s="722" t="s">
        <v>251</v>
      </c>
      <c r="I368" s="722" t="s">
        <v>251</v>
      </c>
      <c r="J368" s="722" t="s">
        <v>251</v>
      </c>
      <c r="K368" s="722"/>
      <c r="L368" s="722" t="s">
        <v>251</v>
      </c>
      <c r="M368" s="722" t="s">
        <v>251</v>
      </c>
      <c r="N368" s="722" t="s">
        <v>251</v>
      </c>
      <c r="O368" s="722" t="s">
        <v>251</v>
      </c>
      <c r="P368" s="1497">
        <f t="shared" si="33"/>
        <v>0</v>
      </c>
      <c r="Q368" s="1126">
        <f t="shared" si="31"/>
        <v>0</v>
      </c>
      <c r="R368" s="721"/>
      <c r="S368" s="722"/>
      <c r="T368" s="722"/>
      <c r="U368" s="722"/>
      <c r="V368" s="722"/>
      <c r="W368" s="722"/>
      <c r="X368" s="722"/>
      <c r="Y368" s="722"/>
      <c r="Z368" s="722"/>
      <c r="AA368" s="722"/>
      <c r="AB368" s="722"/>
      <c r="AC368" s="722"/>
      <c r="AD368" s="1126">
        <f t="shared" si="34"/>
        <v>0</v>
      </c>
      <c r="AE368" s="578">
        <f t="shared" si="35"/>
        <v>0</v>
      </c>
      <c r="AF368" s="579">
        <f t="shared" si="32"/>
        <v>983</v>
      </c>
    </row>
    <row r="369" spans="1:32" x14ac:dyDescent="0.3">
      <c r="A369" s="8" t="s">
        <v>1184</v>
      </c>
      <c r="B369" s="653" t="s">
        <v>2046</v>
      </c>
      <c r="C369" s="721"/>
      <c r="D369" s="722" t="s">
        <v>251</v>
      </c>
      <c r="E369" s="722"/>
      <c r="F369" s="722" t="s">
        <v>251</v>
      </c>
      <c r="G369" s="722" t="s">
        <v>251</v>
      </c>
      <c r="H369" s="722" t="s">
        <v>251</v>
      </c>
      <c r="I369" s="722" t="s">
        <v>251</v>
      </c>
      <c r="J369" s="722" t="s">
        <v>251</v>
      </c>
      <c r="K369" s="722"/>
      <c r="L369" s="722" t="s">
        <v>251</v>
      </c>
      <c r="M369" s="722" t="s">
        <v>251</v>
      </c>
      <c r="N369" s="722" t="s">
        <v>251</v>
      </c>
      <c r="O369" s="722" t="s">
        <v>251</v>
      </c>
      <c r="P369" s="1497">
        <f t="shared" si="33"/>
        <v>0</v>
      </c>
      <c r="Q369" s="1126">
        <f t="shared" si="31"/>
        <v>0</v>
      </c>
      <c r="R369" s="721"/>
      <c r="S369" s="722"/>
      <c r="T369" s="722"/>
      <c r="U369" s="722"/>
      <c r="V369" s="722"/>
      <c r="W369" s="722"/>
      <c r="X369" s="722"/>
      <c r="Y369" s="722"/>
      <c r="Z369" s="722"/>
      <c r="AA369" s="722"/>
      <c r="AB369" s="722"/>
      <c r="AC369" s="722"/>
      <c r="AD369" s="1126">
        <f t="shared" si="34"/>
        <v>0</v>
      </c>
      <c r="AE369" s="578">
        <f t="shared" si="35"/>
        <v>0</v>
      </c>
      <c r="AF369" s="579">
        <f t="shared" si="32"/>
        <v>983</v>
      </c>
    </row>
    <row r="370" spans="1:32" x14ac:dyDescent="0.3">
      <c r="A370" s="8" t="s">
        <v>1184</v>
      </c>
      <c r="B370" s="653" t="s">
        <v>2047</v>
      </c>
      <c r="C370" s="721"/>
      <c r="D370" s="722" t="s">
        <v>251</v>
      </c>
      <c r="E370" s="722"/>
      <c r="F370" s="722" t="s">
        <v>251</v>
      </c>
      <c r="G370" s="722" t="s">
        <v>251</v>
      </c>
      <c r="H370" s="722" t="s">
        <v>251</v>
      </c>
      <c r="I370" s="722" t="s">
        <v>251</v>
      </c>
      <c r="J370" s="722" t="s">
        <v>251</v>
      </c>
      <c r="K370" s="722"/>
      <c r="L370" s="722" t="s">
        <v>251</v>
      </c>
      <c r="M370" s="722" t="s">
        <v>251</v>
      </c>
      <c r="N370" s="722" t="s">
        <v>251</v>
      </c>
      <c r="O370" s="722" t="s">
        <v>251</v>
      </c>
      <c r="P370" s="1497">
        <f t="shared" si="33"/>
        <v>0</v>
      </c>
      <c r="Q370" s="1126">
        <f t="shared" si="31"/>
        <v>0</v>
      </c>
      <c r="R370" s="721"/>
      <c r="S370" s="722"/>
      <c r="T370" s="722"/>
      <c r="U370" s="722"/>
      <c r="V370" s="722"/>
      <c r="W370" s="722"/>
      <c r="X370" s="722"/>
      <c r="Y370" s="722"/>
      <c r="Z370" s="722"/>
      <c r="AA370" s="722"/>
      <c r="AB370" s="722"/>
      <c r="AC370" s="722"/>
      <c r="AD370" s="1126">
        <f t="shared" si="34"/>
        <v>0</v>
      </c>
      <c r="AE370" s="578">
        <f t="shared" si="35"/>
        <v>0</v>
      </c>
      <c r="AF370" s="579">
        <f t="shared" si="32"/>
        <v>983</v>
      </c>
    </row>
    <row r="371" spans="1:32" x14ac:dyDescent="0.3">
      <c r="A371" s="8" t="s">
        <v>1184</v>
      </c>
      <c r="B371" s="653" t="s">
        <v>2048</v>
      </c>
      <c r="C371" s="721"/>
      <c r="D371" s="722" t="s">
        <v>251</v>
      </c>
      <c r="E371" s="722"/>
      <c r="F371" s="722" t="s">
        <v>251</v>
      </c>
      <c r="G371" s="722" t="s">
        <v>251</v>
      </c>
      <c r="H371" s="722" t="s">
        <v>251</v>
      </c>
      <c r="I371" s="722" t="s">
        <v>251</v>
      </c>
      <c r="J371" s="722" t="s">
        <v>251</v>
      </c>
      <c r="K371" s="722"/>
      <c r="L371" s="722" t="s">
        <v>251</v>
      </c>
      <c r="M371" s="722" t="s">
        <v>251</v>
      </c>
      <c r="N371" s="722" t="s">
        <v>251</v>
      </c>
      <c r="O371" s="722" t="s">
        <v>251</v>
      </c>
      <c r="P371" s="1497">
        <f t="shared" si="33"/>
        <v>0</v>
      </c>
      <c r="Q371" s="1126">
        <f t="shared" si="31"/>
        <v>0</v>
      </c>
      <c r="R371" s="721"/>
      <c r="S371" s="722"/>
      <c r="T371" s="722"/>
      <c r="U371" s="722"/>
      <c r="V371" s="722"/>
      <c r="W371" s="722"/>
      <c r="X371" s="722"/>
      <c r="Y371" s="722"/>
      <c r="Z371" s="722"/>
      <c r="AA371" s="722"/>
      <c r="AB371" s="722"/>
      <c r="AC371" s="722"/>
      <c r="AD371" s="1126">
        <f t="shared" si="34"/>
        <v>0</v>
      </c>
      <c r="AE371" s="578">
        <f t="shared" si="35"/>
        <v>0</v>
      </c>
      <c r="AF371" s="579">
        <f t="shared" si="32"/>
        <v>983</v>
      </c>
    </row>
    <row r="372" spans="1:32" x14ac:dyDescent="0.3">
      <c r="A372" s="8" t="s">
        <v>1184</v>
      </c>
      <c r="B372" s="653" t="s">
        <v>2049</v>
      </c>
      <c r="C372" s="721"/>
      <c r="D372" s="722" t="s">
        <v>251</v>
      </c>
      <c r="E372" s="722"/>
      <c r="F372" s="722" t="s">
        <v>251</v>
      </c>
      <c r="G372" s="722" t="s">
        <v>251</v>
      </c>
      <c r="H372" s="722" t="s">
        <v>251</v>
      </c>
      <c r="I372" s="722" t="s">
        <v>251</v>
      </c>
      <c r="J372" s="722" t="s">
        <v>251</v>
      </c>
      <c r="K372" s="722"/>
      <c r="L372" s="722" t="s">
        <v>251</v>
      </c>
      <c r="M372" s="722" t="s">
        <v>251</v>
      </c>
      <c r="N372" s="722" t="s">
        <v>251</v>
      </c>
      <c r="O372" s="722" t="s">
        <v>251</v>
      </c>
      <c r="P372" s="1497">
        <f t="shared" si="33"/>
        <v>0</v>
      </c>
      <c r="Q372" s="1126">
        <f t="shared" si="31"/>
        <v>0</v>
      </c>
      <c r="R372" s="721"/>
      <c r="S372" s="722"/>
      <c r="T372" s="722"/>
      <c r="U372" s="722"/>
      <c r="V372" s="722"/>
      <c r="W372" s="722"/>
      <c r="X372" s="722"/>
      <c r="Y372" s="722"/>
      <c r="Z372" s="722"/>
      <c r="AA372" s="722"/>
      <c r="AB372" s="722"/>
      <c r="AC372" s="722"/>
      <c r="AD372" s="1126">
        <f t="shared" si="34"/>
        <v>0</v>
      </c>
      <c r="AE372" s="578">
        <f t="shared" si="35"/>
        <v>0</v>
      </c>
      <c r="AF372" s="579">
        <f t="shared" si="32"/>
        <v>983</v>
      </c>
    </row>
    <row r="373" spans="1:32" x14ac:dyDescent="0.3">
      <c r="A373" s="8" t="s">
        <v>1184</v>
      </c>
      <c r="B373" s="653" t="s">
        <v>2050</v>
      </c>
      <c r="C373" s="721"/>
      <c r="D373" s="722" t="s">
        <v>251</v>
      </c>
      <c r="E373" s="722"/>
      <c r="F373" s="722" t="s">
        <v>251</v>
      </c>
      <c r="G373" s="722" t="s">
        <v>251</v>
      </c>
      <c r="H373" s="722" t="s">
        <v>251</v>
      </c>
      <c r="I373" s="722" t="s">
        <v>251</v>
      </c>
      <c r="J373" s="722" t="s">
        <v>251</v>
      </c>
      <c r="K373" s="722"/>
      <c r="L373" s="722" t="s">
        <v>251</v>
      </c>
      <c r="M373" s="722" t="s">
        <v>251</v>
      </c>
      <c r="N373" s="722" t="s">
        <v>251</v>
      </c>
      <c r="O373" s="722" t="s">
        <v>251</v>
      </c>
      <c r="P373" s="1497">
        <f t="shared" si="33"/>
        <v>0</v>
      </c>
      <c r="Q373" s="1126">
        <f t="shared" si="31"/>
        <v>0</v>
      </c>
      <c r="R373" s="721"/>
      <c r="S373" s="722"/>
      <c r="T373" s="722"/>
      <c r="U373" s="722"/>
      <c r="V373" s="722"/>
      <c r="W373" s="722"/>
      <c r="X373" s="722"/>
      <c r="Y373" s="722"/>
      <c r="Z373" s="722"/>
      <c r="AA373" s="722"/>
      <c r="AB373" s="722"/>
      <c r="AC373" s="722"/>
      <c r="AD373" s="1126">
        <f t="shared" si="34"/>
        <v>0</v>
      </c>
      <c r="AE373" s="578">
        <f t="shared" si="35"/>
        <v>0</v>
      </c>
      <c r="AF373" s="579">
        <f t="shared" si="32"/>
        <v>983</v>
      </c>
    </row>
    <row r="374" spans="1:32" x14ac:dyDescent="0.3">
      <c r="A374" s="8" t="s">
        <v>1184</v>
      </c>
      <c r="B374" s="653" t="s">
        <v>2051</v>
      </c>
      <c r="C374" s="721"/>
      <c r="D374" s="722">
        <v>0</v>
      </c>
      <c r="E374" s="722"/>
      <c r="F374" s="722">
        <v>0</v>
      </c>
      <c r="G374" s="722">
        <v>0</v>
      </c>
      <c r="H374" s="722">
        <v>272750</v>
      </c>
      <c r="I374" s="722">
        <v>193600</v>
      </c>
      <c r="J374" s="722">
        <v>27600</v>
      </c>
      <c r="K374" s="722">
        <v>27600</v>
      </c>
      <c r="L374" s="722">
        <v>0</v>
      </c>
      <c r="M374" s="722">
        <v>0</v>
      </c>
      <c r="N374" s="722">
        <v>81350</v>
      </c>
      <c r="O374" s="722">
        <v>659000</v>
      </c>
      <c r="P374" s="1497">
        <f t="shared" si="33"/>
        <v>493950</v>
      </c>
      <c r="Q374" s="1126">
        <f t="shared" si="31"/>
        <v>1234300</v>
      </c>
      <c r="R374" s="721">
        <v>389700</v>
      </c>
      <c r="S374" s="722"/>
      <c r="T374" s="722">
        <v>0</v>
      </c>
      <c r="U374" s="722">
        <v>0</v>
      </c>
      <c r="V374" s="722">
        <v>88500</v>
      </c>
      <c r="W374" s="722">
        <v>14620</v>
      </c>
      <c r="X374" s="722">
        <v>0</v>
      </c>
      <c r="Y374" s="722">
        <v>0</v>
      </c>
      <c r="Z374" s="722"/>
      <c r="AA374" s="722"/>
      <c r="AB374" s="722"/>
      <c r="AC374" s="722"/>
      <c r="AD374" s="1126">
        <f t="shared" si="34"/>
        <v>492820</v>
      </c>
      <c r="AE374" s="578">
        <f t="shared" si="35"/>
        <v>-2.2876809393663328E-3</v>
      </c>
      <c r="AF374" s="579">
        <f t="shared" si="32"/>
        <v>445</v>
      </c>
    </row>
    <row r="375" spans="1:32" x14ac:dyDescent="0.3">
      <c r="A375" s="8" t="s">
        <v>1184</v>
      </c>
      <c r="B375" s="653" t="s">
        <v>2052</v>
      </c>
      <c r="C375" s="721"/>
      <c r="D375" s="722">
        <v>0</v>
      </c>
      <c r="E375" s="722"/>
      <c r="F375" s="722">
        <v>0</v>
      </c>
      <c r="G375" s="722">
        <v>0</v>
      </c>
      <c r="H375" s="722">
        <v>0</v>
      </c>
      <c r="I375" s="722">
        <v>93500</v>
      </c>
      <c r="J375" s="722">
        <v>1319050</v>
      </c>
      <c r="K375" s="722">
        <v>1196900</v>
      </c>
      <c r="L375" s="722">
        <v>380900</v>
      </c>
      <c r="M375" s="722">
        <v>0</v>
      </c>
      <c r="N375" s="722">
        <v>570700</v>
      </c>
      <c r="O375" s="722">
        <v>502100</v>
      </c>
      <c r="P375" s="1497">
        <f t="shared" si="33"/>
        <v>1290400</v>
      </c>
      <c r="Q375" s="1126">
        <f t="shared" si="31"/>
        <v>2866250</v>
      </c>
      <c r="R375" s="721"/>
      <c r="S375" s="722"/>
      <c r="T375" s="722"/>
      <c r="U375" s="722"/>
      <c r="V375" s="722"/>
      <c r="W375" s="722"/>
      <c r="X375" s="722"/>
      <c r="Y375" s="722">
        <v>95100</v>
      </c>
      <c r="Z375" s="722"/>
      <c r="AA375" s="722"/>
      <c r="AB375" s="722"/>
      <c r="AC375" s="722"/>
      <c r="AD375" s="1126">
        <f t="shared" si="34"/>
        <v>95100</v>
      </c>
      <c r="AE375" s="578">
        <f t="shared" si="35"/>
        <v>-0.92630192188468696</v>
      </c>
      <c r="AF375" s="579">
        <f t="shared" si="32"/>
        <v>748</v>
      </c>
    </row>
    <row r="376" spans="1:32" x14ac:dyDescent="0.3">
      <c r="A376" s="8" t="s">
        <v>1184</v>
      </c>
      <c r="B376" s="653" t="s">
        <v>972</v>
      </c>
      <c r="C376" s="721"/>
      <c r="D376" s="722">
        <v>0</v>
      </c>
      <c r="E376" s="722"/>
      <c r="F376" s="722">
        <v>0</v>
      </c>
      <c r="G376" s="722">
        <v>0</v>
      </c>
      <c r="H376" s="722">
        <v>0</v>
      </c>
      <c r="I376" s="722">
        <v>0</v>
      </c>
      <c r="J376" s="722">
        <v>9900</v>
      </c>
      <c r="K376" s="722">
        <v>9900</v>
      </c>
      <c r="L376" s="722">
        <v>0</v>
      </c>
      <c r="M376" s="722">
        <v>0</v>
      </c>
      <c r="N376" s="722">
        <v>0</v>
      </c>
      <c r="O376" s="722" t="s">
        <v>251</v>
      </c>
      <c r="P376" s="1497">
        <f t="shared" si="33"/>
        <v>9900</v>
      </c>
      <c r="Q376" s="1126">
        <f t="shared" si="31"/>
        <v>9900</v>
      </c>
      <c r="R376" s="721"/>
      <c r="S376" s="722"/>
      <c r="T376" s="722"/>
      <c r="U376" s="722"/>
      <c r="V376" s="722"/>
      <c r="W376" s="722"/>
      <c r="X376" s="722"/>
      <c r="Y376" s="722"/>
      <c r="Z376" s="722"/>
      <c r="AA376" s="722"/>
      <c r="AB376" s="722"/>
      <c r="AC376" s="722"/>
      <c r="AD376" s="1126">
        <f t="shared" si="34"/>
        <v>0</v>
      </c>
      <c r="AE376" s="578">
        <f t="shared" si="35"/>
        <v>-1</v>
      </c>
      <c r="AF376" s="579">
        <f t="shared" si="32"/>
        <v>983</v>
      </c>
    </row>
    <row r="377" spans="1:32" x14ac:dyDescent="0.3">
      <c r="A377" s="8" t="s">
        <v>1184</v>
      </c>
      <c r="B377" s="653" t="s">
        <v>2053</v>
      </c>
      <c r="C377" s="721"/>
      <c r="D377" s="722">
        <v>0</v>
      </c>
      <c r="E377" s="722"/>
      <c r="F377" s="722">
        <v>0</v>
      </c>
      <c r="G377" s="722">
        <v>0</v>
      </c>
      <c r="H377" s="722">
        <v>0</v>
      </c>
      <c r="I377" s="722">
        <v>0</v>
      </c>
      <c r="J377" s="722">
        <v>0</v>
      </c>
      <c r="K377" s="722"/>
      <c r="L377" s="722">
        <v>0</v>
      </c>
      <c r="M377" s="722">
        <v>189400</v>
      </c>
      <c r="N377" s="722">
        <v>685650</v>
      </c>
      <c r="O377" s="722">
        <v>494950</v>
      </c>
      <c r="P377" s="1497">
        <f t="shared" si="33"/>
        <v>0</v>
      </c>
      <c r="Q377" s="1126">
        <f t="shared" si="31"/>
        <v>1370000</v>
      </c>
      <c r="R377" s="721">
        <v>1035400</v>
      </c>
      <c r="S377" s="722">
        <v>223250</v>
      </c>
      <c r="T377" s="722">
        <v>470650</v>
      </c>
      <c r="U377" s="722">
        <v>552650</v>
      </c>
      <c r="V377" s="722">
        <v>580800</v>
      </c>
      <c r="W377" s="722">
        <v>1562700</v>
      </c>
      <c r="X377" s="722">
        <v>957050</v>
      </c>
      <c r="Y377" s="722">
        <v>956150</v>
      </c>
      <c r="Z377" s="722"/>
      <c r="AA377" s="722"/>
      <c r="AB377" s="722"/>
      <c r="AC377" s="722"/>
      <c r="AD377" s="1126">
        <f t="shared" si="34"/>
        <v>6338650</v>
      </c>
      <c r="AE377" s="578">
        <f t="shared" si="35"/>
        <v>1</v>
      </c>
      <c r="AF377" s="579">
        <f t="shared" si="32"/>
        <v>64</v>
      </c>
    </row>
    <row r="378" spans="1:32" x14ac:dyDescent="0.3">
      <c r="A378" s="8" t="s">
        <v>1184</v>
      </c>
      <c r="B378" s="653" t="s">
        <v>2054</v>
      </c>
      <c r="C378" s="721"/>
      <c r="D378" s="722">
        <v>0</v>
      </c>
      <c r="E378" s="722"/>
      <c r="F378" s="722">
        <v>0</v>
      </c>
      <c r="G378" s="722">
        <v>0</v>
      </c>
      <c r="H378" s="722">
        <v>0</v>
      </c>
      <c r="I378" s="722">
        <v>0</v>
      </c>
      <c r="J378" s="722">
        <v>0</v>
      </c>
      <c r="K378" s="722"/>
      <c r="L378" s="722">
        <v>0</v>
      </c>
      <c r="M378" s="722">
        <v>86900</v>
      </c>
      <c r="N378" s="722">
        <v>377500</v>
      </c>
      <c r="O378" s="722">
        <v>954750</v>
      </c>
      <c r="P378" s="1497">
        <f t="shared" si="33"/>
        <v>0</v>
      </c>
      <c r="Q378" s="1126">
        <f t="shared" si="31"/>
        <v>1419150</v>
      </c>
      <c r="R378" s="721">
        <v>249150</v>
      </c>
      <c r="S378" s="722"/>
      <c r="T378" s="722">
        <v>381000</v>
      </c>
      <c r="U378" s="722">
        <v>296600</v>
      </c>
      <c r="V378" s="722">
        <v>259400</v>
      </c>
      <c r="W378" s="722">
        <v>1308000</v>
      </c>
      <c r="X378" s="722">
        <v>1565050</v>
      </c>
      <c r="Y378" s="722">
        <v>450850</v>
      </c>
      <c r="Z378" s="722"/>
      <c r="AA378" s="722"/>
      <c r="AB378" s="722"/>
      <c r="AC378" s="722"/>
      <c r="AD378" s="1126">
        <f t="shared" si="34"/>
        <v>4510050</v>
      </c>
      <c r="AE378" s="578">
        <f t="shared" si="35"/>
        <v>1</v>
      </c>
      <c r="AF378" s="579">
        <f t="shared" si="32"/>
        <v>97</v>
      </c>
    </row>
    <row r="379" spans="1:32" x14ac:dyDescent="0.3">
      <c r="A379" s="8" t="s">
        <v>1184</v>
      </c>
      <c r="B379" s="653" t="s">
        <v>2055</v>
      </c>
      <c r="C379" s="721"/>
      <c r="D379" s="722" t="s">
        <v>251</v>
      </c>
      <c r="E379" s="722"/>
      <c r="F379" s="722" t="s">
        <v>251</v>
      </c>
      <c r="G379" s="722" t="s">
        <v>251</v>
      </c>
      <c r="H379" s="722" t="s">
        <v>251</v>
      </c>
      <c r="I379" s="722" t="s">
        <v>251</v>
      </c>
      <c r="J379" s="722" t="s">
        <v>251</v>
      </c>
      <c r="K379" s="722"/>
      <c r="L379" s="722" t="s">
        <v>251</v>
      </c>
      <c r="M379" s="722" t="s">
        <v>251</v>
      </c>
      <c r="N379" s="722" t="s">
        <v>251</v>
      </c>
      <c r="O379" s="722" t="s">
        <v>251</v>
      </c>
      <c r="P379" s="1497">
        <f t="shared" si="33"/>
        <v>0</v>
      </c>
      <c r="Q379" s="1126">
        <f t="shared" si="31"/>
        <v>0</v>
      </c>
      <c r="R379" s="721"/>
      <c r="S379" s="722"/>
      <c r="T379" s="722"/>
      <c r="U379" s="722"/>
      <c r="V379" s="722"/>
      <c r="W379" s="722"/>
      <c r="X379" s="722"/>
      <c r="Y379" s="722"/>
      <c r="Z379" s="722"/>
      <c r="AA379" s="722"/>
      <c r="AB379" s="722"/>
      <c r="AC379" s="722"/>
      <c r="AD379" s="1126">
        <f t="shared" si="34"/>
        <v>0</v>
      </c>
      <c r="AE379" s="578">
        <f t="shared" si="35"/>
        <v>0</v>
      </c>
      <c r="AF379" s="579">
        <f t="shared" si="32"/>
        <v>983</v>
      </c>
    </row>
    <row r="380" spans="1:32" x14ac:dyDescent="0.3">
      <c r="A380" s="8" t="s">
        <v>1184</v>
      </c>
      <c r="B380" s="653" t="s">
        <v>2056</v>
      </c>
      <c r="C380" s="721"/>
      <c r="D380" s="722" t="s">
        <v>251</v>
      </c>
      <c r="E380" s="722"/>
      <c r="F380" s="722" t="s">
        <v>251</v>
      </c>
      <c r="G380" s="722" t="s">
        <v>251</v>
      </c>
      <c r="H380" s="722" t="s">
        <v>251</v>
      </c>
      <c r="I380" s="722" t="s">
        <v>251</v>
      </c>
      <c r="J380" s="722" t="s">
        <v>251</v>
      </c>
      <c r="K380" s="722"/>
      <c r="L380" s="722" t="s">
        <v>251</v>
      </c>
      <c r="M380" s="722" t="s">
        <v>251</v>
      </c>
      <c r="N380" s="722" t="s">
        <v>251</v>
      </c>
      <c r="O380" s="722" t="s">
        <v>251</v>
      </c>
      <c r="P380" s="1497">
        <f t="shared" si="33"/>
        <v>0</v>
      </c>
      <c r="Q380" s="1126">
        <f t="shared" si="31"/>
        <v>0</v>
      </c>
      <c r="R380" s="721"/>
      <c r="S380" s="722"/>
      <c r="T380" s="722"/>
      <c r="U380" s="722"/>
      <c r="V380" s="722"/>
      <c r="W380" s="722"/>
      <c r="X380" s="722"/>
      <c r="Y380" s="722"/>
      <c r="Z380" s="722"/>
      <c r="AA380" s="722"/>
      <c r="AB380" s="722"/>
      <c r="AC380" s="722"/>
      <c r="AD380" s="1126">
        <f t="shared" si="34"/>
        <v>0</v>
      </c>
      <c r="AE380" s="578">
        <f t="shared" si="35"/>
        <v>0</v>
      </c>
      <c r="AF380" s="579">
        <f t="shared" si="32"/>
        <v>983</v>
      </c>
    </row>
    <row r="381" spans="1:32" x14ac:dyDescent="0.3">
      <c r="A381" s="8" t="s">
        <v>1184</v>
      </c>
      <c r="B381" s="653" t="s">
        <v>2057</v>
      </c>
      <c r="C381" s="721"/>
      <c r="D381" s="722" t="s">
        <v>251</v>
      </c>
      <c r="E381" s="722"/>
      <c r="F381" s="722" t="s">
        <v>251</v>
      </c>
      <c r="G381" s="722" t="s">
        <v>251</v>
      </c>
      <c r="H381" s="722" t="s">
        <v>251</v>
      </c>
      <c r="I381" s="722" t="s">
        <v>251</v>
      </c>
      <c r="J381" s="722" t="s">
        <v>251</v>
      </c>
      <c r="K381" s="722"/>
      <c r="L381" s="722" t="s">
        <v>251</v>
      </c>
      <c r="M381" s="722" t="s">
        <v>251</v>
      </c>
      <c r="N381" s="722" t="s">
        <v>251</v>
      </c>
      <c r="O381" s="722" t="s">
        <v>251</v>
      </c>
      <c r="P381" s="1497">
        <f t="shared" si="33"/>
        <v>0</v>
      </c>
      <c r="Q381" s="1126">
        <f t="shared" si="31"/>
        <v>0</v>
      </c>
      <c r="R381" s="721"/>
      <c r="S381" s="722"/>
      <c r="T381" s="722"/>
      <c r="U381" s="722"/>
      <c r="V381" s="722"/>
      <c r="W381" s="722"/>
      <c r="X381" s="722"/>
      <c r="Y381" s="722"/>
      <c r="Z381" s="722"/>
      <c r="AA381" s="722"/>
      <c r="AB381" s="722"/>
      <c r="AC381" s="722"/>
      <c r="AD381" s="1126">
        <f t="shared" si="34"/>
        <v>0</v>
      </c>
      <c r="AE381" s="578">
        <f t="shared" si="35"/>
        <v>0</v>
      </c>
      <c r="AF381" s="579">
        <f t="shared" si="32"/>
        <v>983</v>
      </c>
    </row>
    <row r="382" spans="1:32" x14ac:dyDescent="0.3">
      <c r="A382" s="8" t="s">
        <v>1184</v>
      </c>
      <c r="B382" s="653" t="s">
        <v>2058</v>
      </c>
      <c r="C382" s="721"/>
      <c r="D382" s="722" t="s">
        <v>251</v>
      </c>
      <c r="E382" s="722"/>
      <c r="F382" s="722" t="s">
        <v>251</v>
      </c>
      <c r="G382" s="722" t="s">
        <v>251</v>
      </c>
      <c r="H382" s="722" t="s">
        <v>251</v>
      </c>
      <c r="I382" s="722" t="s">
        <v>251</v>
      </c>
      <c r="J382" s="722" t="s">
        <v>251</v>
      </c>
      <c r="K382" s="722"/>
      <c r="L382" s="722" t="s">
        <v>251</v>
      </c>
      <c r="M382" s="722" t="s">
        <v>251</v>
      </c>
      <c r="N382" s="722" t="s">
        <v>251</v>
      </c>
      <c r="O382" s="722" t="s">
        <v>251</v>
      </c>
      <c r="P382" s="1497">
        <f t="shared" si="33"/>
        <v>0</v>
      </c>
      <c r="Q382" s="1126">
        <f t="shared" si="31"/>
        <v>0</v>
      </c>
      <c r="R382" s="721"/>
      <c r="S382" s="722"/>
      <c r="T382" s="722"/>
      <c r="U382" s="722"/>
      <c r="V382" s="722"/>
      <c r="W382" s="722"/>
      <c r="X382" s="722"/>
      <c r="Y382" s="722"/>
      <c r="Z382" s="722"/>
      <c r="AA382" s="722"/>
      <c r="AB382" s="722"/>
      <c r="AC382" s="722"/>
      <c r="AD382" s="1126">
        <f t="shared" si="34"/>
        <v>0</v>
      </c>
      <c r="AE382" s="578">
        <f t="shared" si="35"/>
        <v>0</v>
      </c>
      <c r="AF382" s="579">
        <f t="shared" si="32"/>
        <v>983</v>
      </c>
    </row>
    <row r="383" spans="1:32" x14ac:dyDescent="0.3">
      <c r="A383" s="8" t="s">
        <v>1184</v>
      </c>
      <c r="B383" s="653" t="s">
        <v>2059</v>
      </c>
      <c r="C383" s="721"/>
      <c r="D383" s="722" t="s">
        <v>251</v>
      </c>
      <c r="E383" s="722"/>
      <c r="F383" s="722" t="s">
        <v>251</v>
      </c>
      <c r="G383" s="722" t="s">
        <v>251</v>
      </c>
      <c r="H383" s="722" t="s">
        <v>251</v>
      </c>
      <c r="I383" s="722" t="s">
        <v>251</v>
      </c>
      <c r="J383" s="722" t="s">
        <v>251</v>
      </c>
      <c r="K383" s="722"/>
      <c r="L383" s="722" t="s">
        <v>251</v>
      </c>
      <c r="M383" s="722" t="s">
        <v>251</v>
      </c>
      <c r="N383" s="722" t="s">
        <v>251</v>
      </c>
      <c r="O383" s="722" t="s">
        <v>251</v>
      </c>
      <c r="P383" s="1497">
        <f t="shared" si="33"/>
        <v>0</v>
      </c>
      <c r="Q383" s="1126">
        <f t="shared" si="31"/>
        <v>0</v>
      </c>
      <c r="R383" s="721"/>
      <c r="S383" s="722"/>
      <c r="T383" s="722"/>
      <c r="U383" s="722"/>
      <c r="V383" s="722"/>
      <c r="W383" s="722"/>
      <c r="X383" s="722"/>
      <c r="Y383" s="722"/>
      <c r="Z383" s="722"/>
      <c r="AA383" s="722"/>
      <c r="AB383" s="722"/>
      <c r="AC383" s="722"/>
      <c r="AD383" s="1126">
        <f t="shared" si="34"/>
        <v>0</v>
      </c>
      <c r="AE383" s="578">
        <f t="shared" si="35"/>
        <v>0</v>
      </c>
      <c r="AF383" s="579">
        <f t="shared" si="32"/>
        <v>983</v>
      </c>
    </row>
    <row r="384" spans="1:32" x14ac:dyDescent="0.3">
      <c r="A384" s="8" t="s">
        <v>1184</v>
      </c>
      <c r="B384" s="653" t="s">
        <v>2060</v>
      </c>
      <c r="C384" s="721"/>
      <c r="D384" s="722" t="s">
        <v>251</v>
      </c>
      <c r="E384" s="722"/>
      <c r="F384" s="722" t="s">
        <v>251</v>
      </c>
      <c r="G384" s="722" t="s">
        <v>251</v>
      </c>
      <c r="H384" s="722" t="s">
        <v>251</v>
      </c>
      <c r="I384" s="722" t="s">
        <v>251</v>
      </c>
      <c r="J384" s="722" t="s">
        <v>251</v>
      </c>
      <c r="K384" s="722"/>
      <c r="L384" s="722" t="s">
        <v>251</v>
      </c>
      <c r="M384" s="722" t="s">
        <v>251</v>
      </c>
      <c r="N384" s="722" t="s">
        <v>251</v>
      </c>
      <c r="O384" s="722" t="s">
        <v>251</v>
      </c>
      <c r="P384" s="1497">
        <f t="shared" si="33"/>
        <v>0</v>
      </c>
      <c r="Q384" s="1126">
        <f t="shared" si="31"/>
        <v>0</v>
      </c>
      <c r="R384" s="721"/>
      <c r="S384" s="722"/>
      <c r="T384" s="722"/>
      <c r="U384" s="722"/>
      <c r="V384" s="722"/>
      <c r="W384" s="722"/>
      <c r="X384" s="722"/>
      <c r="Y384" s="722"/>
      <c r="Z384" s="722"/>
      <c r="AA384" s="722"/>
      <c r="AB384" s="722"/>
      <c r="AC384" s="722"/>
      <c r="AD384" s="1126">
        <f t="shared" si="34"/>
        <v>0</v>
      </c>
      <c r="AE384" s="578">
        <f t="shared" si="35"/>
        <v>0</v>
      </c>
      <c r="AF384" s="579">
        <f t="shared" si="32"/>
        <v>983</v>
      </c>
    </row>
    <row r="385" spans="1:32" x14ac:dyDescent="0.3">
      <c r="A385" s="8" t="s">
        <v>1184</v>
      </c>
      <c r="B385" s="653" t="s">
        <v>2061</v>
      </c>
      <c r="C385" s="721"/>
      <c r="D385" s="722" t="s">
        <v>251</v>
      </c>
      <c r="E385" s="722"/>
      <c r="F385" s="722" t="s">
        <v>251</v>
      </c>
      <c r="G385" s="722" t="s">
        <v>251</v>
      </c>
      <c r="H385" s="722" t="s">
        <v>251</v>
      </c>
      <c r="I385" s="722" t="s">
        <v>251</v>
      </c>
      <c r="J385" s="722" t="s">
        <v>251</v>
      </c>
      <c r="K385" s="722"/>
      <c r="L385" s="722" t="s">
        <v>251</v>
      </c>
      <c r="M385" s="722" t="s">
        <v>251</v>
      </c>
      <c r="N385" s="722" t="s">
        <v>251</v>
      </c>
      <c r="O385" s="722" t="s">
        <v>251</v>
      </c>
      <c r="P385" s="1497">
        <f t="shared" si="33"/>
        <v>0</v>
      </c>
      <c r="Q385" s="1126">
        <f t="shared" si="31"/>
        <v>0</v>
      </c>
      <c r="R385" s="721"/>
      <c r="S385" s="722"/>
      <c r="T385" s="722"/>
      <c r="U385" s="722"/>
      <c r="V385" s="722"/>
      <c r="W385" s="722"/>
      <c r="X385" s="722"/>
      <c r="Y385" s="722"/>
      <c r="Z385" s="722"/>
      <c r="AA385" s="722"/>
      <c r="AB385" s="722"/>
      <c r="AC385" s="722"/>
      <c r="AD385" s="1126">
        <f t="shared" si="34"/>
        <v>0</v>
      </c>
      <c r="AE385" s="578">
        <f t="shared" si="35"/>
        <v>0</v>
      </c>
      <c r="AF385" s="579">
        <f t="shared" si="32"/>
        <v>983</v>
      </c>
    </row>
    <row r="386" spans="1:32" x14ac:dyDescent="0.3">
      <c r="A386" s="8" t="s">
        <v>1184</v>
      </c>
      <c r="B386" s="653" t="s">
        <v>2062</v>
      </c>
      <c r="C386" s="721"/>
      <c r="D386" s="722">
        <v>0</v>
      </c>
      <c r="E386" s="722"/>
      <c r="F386" s="722">
        <v>0</v>
      </c>
      <c r="G386" s="722">
        <v>0</v>
      </c>
      <c r="H386" s="722">
        <v>0</v>
      </c>
      <c r="I386" s="722">
        <v>0</v>
      </c>
      <c r="J386" s="722">
        <v>0</v>
      </c>
      <c r="K386" s="722"/>
      <c r="L386" s="722">
        <v>0</v>
      </c>
      <c r="M386" s="722">
        <v>0</v>
      </c>
      <c r="N386" s="722">
        <v>332650</v>
      </c>
      <c r="O386" s="722">
        <v>268950</v>
      </c>
      <c r="P386" s="1497">
        <f t="shared" si="33"/>
        <v>0</v>
      </c>
      <c r="Q386" s="1126">
        <f t="shared" si="31"/>
        <v>601600</v>
      </c>
      <c r="R386" s="721">
        <v>455350</v>
      </c>
      <c r="S386" s="722">
        <v>27600</v>
      </c>
      <c r="T386" s="722">
        <v>0</v>
      </c>
      <c r="U386" s="722">
        <v>81900</v>
      </c>
      <c r="V386" s="722">
        <v>0</v>
      </c>
      <c r="W386" s="722">
        <v>0</v>
      </c>
      <c r="X386" s="722">
        <v>99050</v>
      </c>
      <c r="Y386" s="722">
        <v>13800</v>
      </c>
      <c r="Z386" s="722"/>
      <c r="AA386" s="722"/>
      <c r="AB386" s="722"/>
      <c r="AC386" s="722"/>
      <c r="AD386" s="1126">
        <f t="shared" si="34"/>
        <v>677700</v>
      </c>
      <c r="AE386" s="578">
        <f t="shared" si="35"/>
        <v>1</v>
      </c>
      <c r="AF386" s="579">
        <f t="shared" si="32"/>
        <v>387</v>
      </c>
    </row>
    <row r="387" spans="1:32" x14ac:dyDescent="0.3">
      <c r="A387" s="8" t="s">
        <v>1184</v>
      </c>
      <c r="B387" s="653" t="s">
        <v>2063</v>
      </c>
      <c r="C387" s="721"/>
      <c r="D387" s="722" t="s">
        <v>251</v>
      </c>
      <c r="E387" s="722"/>
      <c r="F387" s="722">
        <v>0</v>
      </c>
      <c r="G387" s="722" t="s">
        <v>251</v>
      </c>
      <c r="H387" s="722" t="s">
        <v>251</v>
      </c>
      <c r="I387" s="722" t="s">
        <v>251</v>
      </c>
      <c r="J387" s="722">
        <v>0</v>
      </c>
      <c r="K387" s="722"/>
      <c r="L387" s="722">
        <v>0</v>
      </c>
      <c r="M387" s="722">
        <v>0</v>
      </c>
      <c r="N387" s="722">
        <v>88500</v>
      </c>
      <c r="O387" s="722" t="s">
        <v>251</v>
      </c>
      <c r="P387" s="1497">
        <f t="shared" si="33"/>
        <v>0</v>
      </c>
      <c r="Q387" s="1126">
        <f t="shared" si="31"/>
        <v>88500</v>
      </c>
      <c r="R387" s="721"/>
      <c r="S387" s="722"/>
      <c r="T387" s="722"/>
      <c r="U387" s="722"/>
      <c r="V387" s="722"/>
      <c r="W387" s="722"/>
      <c r="X387" s="722"/>
      <c r="Y387" s="722"/>
      <c r="Z387" s="722"/>
      <c r="AA387" s="722"/>
      <c r="AB387" s="722"/>
      <c r="AC387" s="722"/>
      <c r="AD387" s="1126">
        <f t="shared" si="34"/>
        <v>0</v>
      </c>
      <c r="AE387" s="578">
        <f t="shared" si="35"/>
        <v>0</v>
      </c>
      <c r="AF387" s="579">
        <f t="shared" si="32"/>
        <v>983</v>
      </c>
    </row>
    <row r="388" spans="1:32" x14ac:dyDescent="0.3">
      <c r="A388" s="8" t="s">
        <v>1184</v>
      </c>
      <c r="B388" s="653" t="s">
        <v>820</v>
      </c>
      <c r="C388" s="721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2"/>
      <c r="P388" s="1497">
        <f t="shared" ref="P388:P451" si="36">SUM(C388:I388,K388)</f>
        <v>0</v>
      </c>
      <c r="Q388" s="1126">
        <f t="shared" ref="Q388:Q451" si="37">SUM(C388:J388,L388:O388)</f>
        <v>0</v>
      </c>
      <c r="R388" s="721">
        <v>474000</v>
      </c>
      <c r="S388" s="722"/>
      <c r="T388" s="722">
        <v>0</v>
      </c>
      <c r="U388" s="722">
        <v>41000</v>
      </c>
      <c r="V388" s="722">
        <v>0</v>
      </c>
      <c r="W388" s="722">
        <v>0</v>
      </c>
      <c r="X388" s="722">
        <v>0</v>
      </c>
      <c r="Y388" s="722">
        <v>0</v>
      </c>
      <c r="Z388" s="722"/>
      <c r="AA388" s="722"/>
      <c r="AB388" s="722"/>
      <c r="AC388" s="722"/>
      <c r="AD388" s="1126">
        <f t="shared" si="34"/>
        <v>515000</v>
      </c>
      <c r="AE388" s="578">
        <f t="shared" si="35"/>
        <v>1</v>
      </c>
      <c r="AF388" s="579">
        <f t="shared" ref="AF388:AF451" si="38">IFERROR(_xlfn.RANK.EQ(AD388, $AD$2:$AD$2064), "")</f>
        <v>427</v>
      </c>
    </row>
    <row r="389" spans="1:32" x14ac:dyDescent="0.3">
      <c r="A389" s="8" t="s">
        <v>1184</v>
      </c>
      <c r="B389" s="653" t="s">
        <v>1284</v>
      </c>
      <c r="C389" s="721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2"/>
      <c r="P389" s="1497">
        <f t="shared" si="36"/>
        <v>0</v>
      </c>
      <c r="Q389" s="1126">
        <f t="shared" si="37"/>
        <v>0</v>
      </c>
      <c r="R389" s="721"/>
      <c r="S389" s="722">
        <v>38000</v>
      </c>
      <c r="T389" s="722">
        <v>0</v>
      </c>
      <c r="U389" s="722">
        <v>0</v>
      </c>
      <c r="V389" s="722">
        <v>0</v>
      </c>
      <c r="W389" s="722">
        <v>0</v>
      </c>
      <c r="X389" s="722">
        <v>0</v>
      </c>
      <c r="Y389" s="722">
        <v>0</v>
      </c>
      <c r="Z389" s="722"/>
      <c r="AA389" s="722"/>
      <c r="AB389" s="722"/>
      <c r="AC389" s="722"/>
      <c r="AD389" s="1126">
        <f t="shared" si="34"/>
        <v>38000</v>
      </c>
      <c r="AE389" s="578">
        <f t="shared" si="35"/>
        <v>1</v>
      </c>
      <c r="AF389" s="579">
        <f t="shared" si="38"/>
        <v>874</v>
      </c>
    </row>
    <row r="390" spans="1:32" x14ac:dyDescent="0.3">
      <c r="A390" s="8" t="s">
        <v>1184</v>
      </c>
      <c r="B390" s="653" t="s">
        <v>2615</v>
      </c>
      <c r="C390" s="721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1497">
        <f t="shared" si="36"/>
        <v>0</v>
      </c>
      <c r="Q390" s="1126">
        <f t="shared" si="37"/>
        <v>0</v>
      </c>
      <c r="R390" s="721"/>
      <c r="S390" s="722"/>
      <c r="T390" s="722">
        <v>201750</v>
      </c>
      <c r="U390" s="722">
        <v>0</v>
      </c>
      <c r="V390" s="722">
        <v>0</v>
      </c>
      <c r="W390" s="722">
        <v>0</v>
      </c>
      <c r="X390" s="722">
        <v>0</v>
      </c>
      <c r="Y390" s="722">
        <v>253950</v>
      </c>
      <c r="Z390" s="722"/>
      <c r="AA390" s="722"/>
      <c r="AB390" s="722"/>
      <c r="AC390" s="722"/>
      <c r="AD390" s="1126">
        <f t="shared" si="34"/>
        <v>455700</v>
      </c>
      <c r="AE390" s="578">
        <f t="shared" si="35"/>
        <v>1</v>
      </c>
      <c r="AF390" s="579">
        <f t="shared" si="38"/>
        <v>459</v>
      </c>
    </row>
    <row r="391" spans="1:32" x14ac:dyDescent="0.3">
      <c r="A391" s="8" t="s">
        <v>1184</v>
      </c>
      <c r="B391" s="653" t="s">
        <v>2952</v>
      </c>
      <c r="C391" s="721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1497">
        <f t="shared" si="36"/>
        <v>0</v>
      </c>
      <c r="Q391" s="1126">
        <f t="shared" si="37"/>
        <v>0</v>
      </c>
      <c r="R391" s="721"/>
      <c r="S391" s="722"/>
      <c r="T391" s="722"/>
      <c r="U391" s="722"/>
      <c r="V391" s="722"/>
      <c r="W391" s="722"/>
      <c r="X391" s="722">
        <v>495000</v>
      </c>
      <c r="Y391" s="722">
        <v>185050</v>
      </c>
      <c r="Z391" s="722"/>
      <c r="AA391" s="722"/>
      <c r="AB391" s="722"/>
      <c r="AC391" s="722"/>
      <c r="AD391" s="1126">
        <f t="shared" si="34"/>
        <v>680050</v>
      </c>
      <c r="AE391" s="578">
        <f t="shared" si="35"/>
        <v>1</v>
      </c>
      <c r="AF391" s="579">
        <f t="shared" si="38"/>
        <v>386</v>
      </c>
    </row>
    <row r="392" spans="1:32" x14ac:dyDescent="0.3">
      <c r="A392" s="293" t="s">
        <v>618</v>
      </c>
      <c r="B392" s="857" t="s">
        <v>624</v>
      </c>
      <c r="C392" s="723">
        <v>1460000</v>
      </c>
      <c r="D392" s="724">
        <v>1397440</v>
      </c>
      <c r="E392" s="724">
        <v>705000</v>
      </c>
      <c r="F392" s="724">
        <v>2001150</v>
      </c>
      <c r="G392" s="724">
        <v>1315000</v>
      </c>
      <c r="H392" s="724">
        <v>451320</v>
      </c>
      <c r="I392" s="724">
        <v>0</v>
      </c>
      <c r="J392" s="724">
        <v>0</v>
      </c>
      <c r="K392" s="724">
        <v>0</v>
      </c>
      <c r="L392" s="724">
        <v>465000</v>
      </c>
      <c r="M392" s="724">
        <v>305000</v>
      </c>
      <c r="N392" s="724">
        <v>0</v>
      </c>
      <c r="O392" s="724" t="s">
        <v>251</v>
      </c>
      <c r="P392" s="1497">
        <f t="shared" si="36"/>
        <v>7329910</v>
      </c>
      <c r="Q392" s="1127">
        <f t="shared" si="37"/>
        <v>8099910</v>
      </c>
      <c r="R392" s="723"/>
      <c r="S392" s="724"/>
      <c r="T392" s="724"/>
      <c r="U392" s="724"/>
      <c r="V392" s="724"/>
      <c r="W392" s="724"/>
      <c r="X392" s="724"/>
      <c r="Y392" s="724"/>
      <c r="Z392" s="724"/>
      <c r="AA392" s="724"/>
      <c r="AB392" s="724"/>
      <c r="AC392" s="724"/>
      <c r="AD392" s="1127">
        <f t="shared" si="34"/>
        <v>0</v>
      </c>
      <c r="AE392" s="858">
        <f t="shared" si="35"/>
        <v>-1</v>
      </c>
      <c r="AF392" s="859">
        <f t="shared" si="38"/>
        <v>983</v>
      </c>
    </row>
    <row r="393" spans="1:32" x14ac:dyDescent="0.3">
      <c r="A393" s="293" t="s">
        <v>618</v>
      </c>
      <c r="B393" s="857" t="s">
        <v>627</v>
      </c>
      <c r="C393" s="723"/>
      <c r="D393" s="724">
        <v>0</v>
      </c>
      <c r="E393" s="724"/>
      <c r="F393" s="724">
        <v>1805000</v>
      </c>
      <c r="G393" s="724">
        <v>2710000</v>
      </c>
      <c r="H393" s="724">
        <v>15000</v>
      </c>
      <c r="I393" s="724">
        <v>0</v>
      </c>
      <c r="J393" s="724">
        <v>0</v>
      </c>
      <c r="K393" s="724">
        <v>0</v>
      </c>
      <c r="L393" s="724">
        <v>0</v>
      </c>
      <c r="M393" s="724">
        <v>0</v>
      </c>
      <c r="N393" s="724">
        <v>0</v>
      </c>
      <c r="O393" s="724" t="s">
        <v>251</v>
      </c>
      <c r="P393" s="1497">
        <f t="shared" si="36"/>
        <v>4530000</v>
      </c>
      <c r="Q393" s="1127">
        <f t="shared" si="37"/>
        <v>4530000</v>
      </c>
      <c r="R393" s="723"/>
      <c r="S393" s="724"/>
      <c r="T393" s="724"/>
      <c r="U393" s="724"/>
      <c r="V393" s="724"/>
      <c r="W393" s="724"/>
      <c r="X393" s="724"/>
      <c r="Y393" s="724"/>
      <c r="Z393" s="724"/>
      <c r="AA393" s="724"/>
      <c r="AB393" s="724"/>
      <c r="AC393" s="724"/>
      <c r="AD393" s="1127">
        <f t="shared" ref="AD393:AD456" si="39">SUM(R393:AC393)</f>
        <v>0</v>
      </c>
      <c r="AE393" s="858">
        <f t="shared" ref="AE393:AE456" si="40">IF(OR(AD393="", P393=""), 0, IFERROR((AD393-P393)/P393, IF(AD393&lt;&gt;0, 1, 0)))</f>
        <v>-1</v>
      </c>
      <c r="AF393" s="859">
        <f t="shared" si="38"/>
        <v>983</v>
      </c>
    </row>
    <row r="394" spans="1:32" x14ac:dyDescent="0.3">
      <c r="A394" s="293" t="s">
        <v>618</v>
      </c>
      <c r="B394" s="857" t="s">
        <v>619</v>
      </c>
      <c r="C394" s="723">
        <v>82000</v>
      </c>
      <c r="D394" s="724">
        <v>5000</v>
      </c>
      <c r="E394" s="724">
        <v>20000</v>
      </c>
      <c r="F394" s="724">
        <v>2109520</v>
      </c>
      <c r="G394" s="724">
        <v>1521770</v>
      </c>
      <c r="H394" s="724">
        <v>635600</v>
      </c>
      <c r="I394" s="724">
        <v>475500</v>
      </c>
      <c r="J394" s="724">
        <v>142000</v>
      </c>
      <c r="K394" s="724">
        <v>142000</v>
      </c>
      <c r="L394" s="724">
        <v>2152460</v>
      </c>
      <c r="M394" s="724">
        <v>1455000</v>
      </c>
      <c r="N394" s="724">
        <v>2283000</v>
      </c>
      <c r="O394" s="724">
        <v>1783000</v>
      </c>
      <c r="P394" s="1497">
        <f t="shared" si="36"/>
        <v>4991390</v>
      </c>
      <c r="Q394" s="1127">
        <f t="shared" si="37"/>
        <v>12664850</v>
      </c>
      <c r="R394" s="723">
        <v>3901750</v>
      </c>
      <c r="S394" s="724">
        <v>915000</v>
      </c>
      <c r="T394" s="724">
        <v>1372000</v>
      </c>
      <c r="U394" s="724">
        <v>2284500</v>
      </c>
      <c r="V394" s="724">
        <v>1455000</v>
      </c>
      <c r="W394" s="724">
        <v>1657000</v>
      </c>
      <c r="X394" s="724">
        <v>1412750</v>
      </c>
      <c r="Y394" s="724">
        <v>167500</v>
      </c>
      <c r="Z394" s="724"/>
      <c r="AA394" s="724"/>
      <c r="AB394" s="724"/>
      <c r="AC394" s="724"/>
      <c r="AD394" s="1127">
        <f t="shared" si="39"/>
        <v>13165500</v>
      </c>
      <c r="AE394" s="858">
        <f t="shared" si="40"/>
        <v>1.6376420195576784</v>
      </c>
      <c r="AF394" s="859">
        <f t="shared" si="38"/>
        <v>27</v>
      </c>
    </row>
    <row r="395" spans="1:32" x14ac:dyDescent="0.3">
      <c r="A395" s="293" t="s">
        <v>618</v>
      </c>
      <c r="B395" s="857" t="s">
        <v>620</v>
      </c>
      <c r="C395" s="723"/>
      <c r="D395" s="724">
        <v>98000</v>
      </c>
      <c r="E395" s="724">
        <v>1822600</v>
      </c>
      <c r="F395" s="724">
        <v>646500</v>
      </c>
      <c r="G395" s="724">
        <v>275000</v>
      </c>
      <c r="H395" s="724">
        <v>32000</v>
      </c>
      <c r="I395" s="724">
        <v>13750</v>
      </c>
      <c r="J395" s="724">
        <v>154000</v>
      </c>
      <c r="K395" s="724">
        <v>154000</v>
      </c>
      <c r="L395" s="724">
        <v>1844650</v>
      </c>
      <c r="M395" s="724">
        <v>550250</v>
      </c>
      <c r="N395" s="724">
        <v>79000</v>
      </c>
      <c r="O395" s="724">
        <v>330250</v>
      </c>
      <c r="P395" s="1497">
        <f t="shared" si="36"/>
        <v>3041850</v>
      </c>
      <c r="Q395" s="1127">
        <f t="shared" si="37"/>
        <v>5846000</v>
      </c>
      <c r="R395" s="723">
        <v>25000</v>
      </c>
      <c r="S395" s="724">
        <v>15000</v>
      </c>
      <c r="T395" s="724">
        <v>572850</v>
      </c>
      <c r="U395" s="724">
        <v>1107500</v>
      </c>
      <c r="V395" s="724">
        <v>497000</v>
      </c>
      <c r="W395" s="724">
        <v>211500</v>
      </c>
      <c r="X395" s="724">
        <v>147500</v>
      </c>
      <c r="Y395" s="724">
        <v>111500</v>
      </c>
      <c r="Z395" s="724"/>
      <c r="AA395" s="724"/>
      <c r="AB395" s="724"/>
      <c r="AC395" s="724"/>
      <c r="AD395" s="1127">
        <f t="shared" si="39"/>
        <v>2687850</v>
      </c>
      <c r="AE395" s="858">
        <f t="shared" si="40"/>
        <v>-0.11637654716702008</v>
      </c>
      <c r="AF395" s="859">
        <f t="shared" si="38"/>
        <v>163</v>
      </c>
    </row>
    <row r="396" spans="1:32" x14ac:dyDescent="0.3">
      <c r="A396" s="293" t="s">
        <v>618</v>
      </c>
      <c r="B396" s="857" t="s">
        <v>623</v>
      </c>
      <c r="C396" s="723">
        <v>127500</v>
      </c>
      <c r="D396" s="724">
        <v>49500</v>
      </c>
      <c r="E396" s="724">
        <v>976500</v>
      </c>
      <c r="F396" s="724">
        <v>541500</v>
      </c>
      <c r="G396" s="724">
        <v>275250</v>
      </c>
      <c r="H396" s="724">
        <v>2362500</v>
      </c>
      <c r="I396" s="724">
        <v>1598000</v>
      </c>
      <c r="J396" s="724">
        <v>629000</v>
      </c>
      <c r="K396" s="724">
        <v>576500</v>
      </c>
      <c r="L396" s="724">
        <v>1072500</v>
      </c>
      <c r="M396" s="724">
        <v>473800</v>
      </c>
      <c r="N396" s="724">
        <v>1212000</v>
      </c>
      <c r="O396" s="724">
        <v>838500</v>
      </c>
      <c r="P396" s="1497">
        <f t="shared" si="36"/>
        <v>6507250</v>
      </c>
      <c r="Q396" s="1127">
        <f t="shared" si="37"/>
        <v>10156550</v>
      </c>
      <c r="R396" s="723">
        <v>69000</v>
      </c>
      <c r="S396" s="724">
        <v>74000</v>
      </c>
      <c r="T396" s="724">
        <v>502750</v>
      </c>
      <c r="U396" s="724">
        <v>321000</v>
      </c>
      <c r="V396" s="724">
        <v>745250</v>
      </c>
      <c r="W396" s="724">
        <v>3637850</v>
      </c>
      <c r="X396" s="724">
        <v>2657000</v>
      </c>
      <c r="Y396" s="724">
        <v>725500</v>
      </c>
      <c r="Z396" s="724"/>
      <c r="AA396" s="724"/>
      <c r="AB396" s="724"/>
      <c r="AC396" s="724"/>
      <c r="AD396" s="1127">
        <f t="shared" si="39"/>
        <v>8732350</v>
      </c>
      <c r="AE396" s="858">
        <f t="shared" si="40"/>
        <v>0.34194168043336276</v>
      </c>
      <c r="AF396" s="859">
        <f t="shared" si="38"/>
        <v>41</v>
      </c>
    </row>
    <row r="397" spans="1:32" x14ac:dyDescent="0.3">
      <c r="A397" s="293" t="s">
        <v>618</v>
      </c>
      <c r="B397" s="857" t="s">
        <v>639</v>
      </c>
      <c r="C397" s="723"/>
      <c r="D397" s="724">
        <v>0</v>
      </c>
      <c r="E397" s="724">
        <v>465000</v>
      </c>
      <c r="F397" s="724">
        <v>0</v>
      </c>
      <c r="G397" s="724">
        <v>1110000</v>
      </c>
      <c r="H397" s="724">
        <v>155000</v>
      </c>
      <c r="I397" s="724">
        <v>0</v>
      </c>
      <c r="J397" s="724">
        <v>0</v>
      </c>
      <c r="K397" s="724">
        <v>0</v>
      </c>
      <c r="L397" s="724">
        <v>439500</v>
      </c>
      <c r="M397" s="724">
        <v>421000</v>
      </c>
      <c r="N397" s="724">
        <v>0</v>
      </c>
      <c r="O397" s="724">
        <v>5000</v>
      </c>
      <c r="P397" s="1497">
        <f t="shared" si="36"/>
        <v>1730000</v>
      </c>
      <c r="Q397" s="1127">
        <f t="shared" si="37"/>
        <v>2595500</v>
      </c>
      <c r="R397" s="723"/>
      <c r="S397" s="724">
        <v>5000</v>
      </c>
      <c r="T397" s="724">
        <v>139500</v>
      </c>
      <c r="U397" s="724">
        <v>882500</v>
      </c>
      <c r="V397" s="724">
        <v>116000</v>
      </c>
      <c r="W397" s="724">
        <v>869000</v>
      </c>
      <c r="X397" s="724">
        <v>15000</v>
      </c>
      <c r="Y397" s="724">
        <v>0</v>
      </c>
      <c r="Z397" s="724"/>
      <c r="AA397" s="724"/>
      <c r="AB397" s="724"/>
      <c r="AC397" s="724"/>
      <c r="AD397" s="1127">
        <f t="shared" si="39"/>
        <v>2027000</v>
      </c>
      <c r="AE397" s="858">
        <f t="shared" si="40"/>
        <v>0.17167630057803468</v>
      </c>
      <c r="AF397" s="859">
        <f t="shared" si="38"/>
        <v>210</v>
      </c>
    </row>
    <row r="398" spans="1:32" x14ac:dyDescent="0.3">
      <c r="A398" s="293" t="s">
        <v>618</v>
      </c>
      <c r="B398" s="857" t="s">
        <v>621</v>
      </c>
      <c r="C398" s="723">
        <v>8500</v>
      </c>
      <c r="D398" s="724">
        <v>40250</v>
      </c>
      <c r="E398" s="724">
        <v>798010</v>
      </c>
      <c r="F398" s="724">
        <v>487410</v>
      </c>
      <c r="G398" s="724">
        <v>153000</v>
      </c>
      <c r="H398" s="724">
        <v>2765500</v>
      </c>
      <c r="I398" s="724">
        <v>102250</v>
      </c>
      <c r="J398" s="724">
        <v>359000</v>
      </c>
      <c r="K398" s="724">
        <v>85500</v>
      </c>
      <c r="L398" s="724">
        <v>1203250</v>
      </c>
      <c r="M398" s="724">
        <v>180500</v>
      </c>
      <c r="N398" s="724">
        <v>310000</v>
      </c>
      <c r="O398" s="724">
        <v>179500</v>
      </c>
      <c r="P398" s="1497">
        <f t="shared" si="36"/>
        <v>4440420</v>
      </c>
      <c r="Q398" s="1127">
        <f t="shared" si="37"/>
        <v>6587170</v>
      </c>
      <c r="R398" s="723">
        <v>20000</v>
      </c>
      <c r="S398" s="724">
        <v>10000</v>
      </c>
      <c r="T398" s="724">
        <v>206500</v>
      </c>
      <c r="U398" s="724">
        <v>460500</v>
      </c>
      <c r="V398" s="724">
        <v>148500</v>
      </c>
      <c r="W398" s="724">
        <v>332500</v>
      </c>
      <c r="X398" s="724">
        <v>147000</v>
      </c>
      <c r="Y398" s="724">
        <v>169500</v>
      </c>
      <c r="Z398" s="724"/>
      <c r="AA398" s="724"/>
      <c r="AB398" s="724"/>
      <c r="AC398" s="724"/>
      <c r="AD398" s="1127">
        <f t="shared" si="39"/>
        <v>1494500</v>
      </c>
      <c r="AE398" s="858">
        <f t="shared" si="40"/>
        <v>-0.66343273834457106</v>
      </c>
      <c r="AF398" s="859">
        <f t="shared" si="38"/>
        <v>249</v>
      </c>
    </row>
    <row r="399" spans="1:32" x14ac:dyDescent="0.3">
      <c r="A399" s="293" t="s">
        <v>618</v>
      </c>
      <c r="B399" s="857" t="s">
        <v>628</v>
      </c>
      <c r="C399" s="723"/>
      <c r="D399" s="724">
        <v>5000</v>
      </c>
      <c r="E399" s="724">
        <v>510000</v>
      </c>
      <c r="F399" s="724">
        <v>388770</v>
      </c>
      <c r="G399" s="724">
        <v>395000</v>
      </c>
      <c r="H399" s="724">
        <v>5000</v>
      </c>
      <c r="I399" s="724">
        <v>15000</v>
      </c>
      <c r="J399" s="724">
        <v>395000</v>
      </c>
      <c r="K399" s="724">
        <v>395000</v>
      </c>
      <c r="L399" s="724">
        <v>207000</v>
      </c>
      <c r="M399" s="724">
        <v>112500</v>
      </c>
      <c r="N399" s="724">
        <v>37500</v>
      </c>
      <c r="O399" s="724">
        <v>92000</v>
      </c>
      <c r="P399" s="1497">
        <f t="shared" si="36"/>
        <v>1713770</v>
      </c>
      <c r="Q399" s="1127">
        <f t="shared" si="37"/>
        <v>2162770</v>
      </c>
      <c r="R399" s="723">
        <v>5000</v>
      </c>
      <c r="S399" s="724"/>
      <c r="T399" s="724">
        <v>414500</v>
      </c>
      <c r="U399" s="724">
        <v>207000</v>
      </c>
      <c r="V399" s="724">
        <v>80000</v>
      </c>
      <c r="W399" s="724">
        <v>215500</v>
      </c>
      <c r="X399" s="724">
        <v>57500</v>
      </c>
      <c r="Y399" s="724">
        <v>0</v>
      </c>
      <c r="Z399" s="724"/>
      <c r="AA399" s="724"/>
      <c r="AB399" s="724"/>
      <c r="AC399" s="724"/>
      <c r="AD399" s="1127">
        <f t="shared" si="39"/>
        <v>979500</v>
      </c>
      <c r="AE399" s="858">
        <f t="shared" si="40"/>
        <v>-0.42845305962877167</v>
      </c>
      <c r="AF399" s="859">
        <f t="shared" si="38"/>
        <v>324</v>
      </c>
    </row>
    <row r="400" spans="1:32" x14ac:dyDescent="0.3">
      <c r="A400" s="293" t="s">
        <v>618</v>
      </c>
      <c r="B400" s="857" t="s">
        <v>622</v>
      </c>
      <c r="C400" s="723">
        <v>67000</v>
      </c>
      <c r="D400" s="724">
        <v>15000</v>
      </c>
      <c r="E400" s="724">
        <v>656500</v>
      </c>
      <c r="F400" s="724">
        <v>413250</v>
      </c>
      <c r="G400" s="724">
        <v>183500</v>
      </c>
      <c r="H400" s="724">
        <v>55000</v>
      </c>
      <c r="I400" s="724">
        <v>107000</v>
      </c>
      <c r="J400" s="724">
        <v>1261500</v>
      </c>
      <c r="K400" s="724"/>
      <c r="L400" s="724">
        <v>823500</v>
      </c>
      <c r="M400" s="724">
        <v>557000</v>
      </c>
      <c r="N400" s="724">
        <v>494500</v>
      </c>
      <c r="O400" s="724">
        <v>593000</v>
      </c>
      <c r="P400" s="1497">
        <f t="shared" si="36"/>
        <v>1497250</v>
      </c>
      <c r="Q400" s="1127">
        <f t="shared" si="37"/>
        <v>5226750</v>
      </c>
      <c r="R400" s="723">
        <v>23500</v>
      </c>
      <c r="S400" s="724">
        <v>33500</v>
      </c>
      <c r="T400" s="724">
        <v>340500</v>
      </c>
      <c r="U400" s="724"/>
      <c r="V400" s="724"/>
      <c r="W400" s="724"/>
      <c r="X400" s="724"/>
      <c r="Y400" s="724"/>
      <c r="Z400" s="724"/>
      <c r="AA400" s="724"/>
      <c r="AB400" s="724"/>
      <c r="AC400" s="724"/>
      <c r="AD400" s="1127">
        <f t="shared" si="39"/>
        <v>397500</v>
      </c>
      <c r="AE400" s="858">
        <f t="shared" si="40"/>
        <v>-0.73451327433628322</v>
      </c>
      <c r="AF400" s="859">
        <f t="shared" si="38"/>
        <v>484</v>
      </c>
    </row>
    <row r="401" spans="1:32" x14ac:dyDescent="0.3">
      <c r="A401" s="293" t="s">
        <v>618</v>
      </c>
      <c r="B401" s="857" t="s">
        <v>632</v>
      </c>
      <c r="C401" s="723"/>
      <c r="D401" s="724">
        <v>0</v>
      </c>
      <c r="E401" s="724">
        <v>519000</v>
      </c>
      <c r="F401" s="724">
        <v>604000</v>
      </c>
      <c r="G401" s="724">
        <v>26000</v>
      </c>
      <c r="H401" s="724">
        <v>0</v>
      </c>
      <c r="I401" s="724">
        <v>0</v>
      </c>
      <c r="J401" s="724">
        <v>0</v>
      </c>
      <c r="K401" s="724">
        <v>0</v>
      </c>
      <c r="L401" s="724">
        <v>282500</v>
      </c>
      <c r="M401" s="724">
        <v>22500</v>
      </c>
      <c r="N401" s="724">
        <v>0</v>
      </c>
      <c r="O401" s="724" t="s">
        <v>251</v>
      </c>
      <c r="P401" s="1497">
        <f t="shared" si="36"/>
        <v>1149000</v>
      </c>
      <c r="Q401" s="1127">
        <f t="shared" si="37"/>
        <v>1454000</v>
      </c>
      <c r="R401" s="723">
        <v>60500</v>
      </c>
      <c r="S401" s="724">
        <v>26000</v>
      </c>
      <c r="T401" s="724">
        <v>52000</v>
      </c>
      <c r="U401" s="724">
        <v>630500</v>
      </c>
      <c r="V401" s="724">
        <v>174000</v>
      </c>
      <c r="W401" s="724">
        <v>5000</v>
      </c>
      <c r="X401" s="724">
        <v>0</v>
      </c>
      <c r="Y401" s="724">
        <v>0</v>
      </c>
      <c r="Z401" s="724"/>
      <c r="AA401" s="724"/>
      <c r="AB401" s="724"/>
      <c r="AC401" s="724"/>
      <c r="AD401" s="1127">
        <f t="shared" si="39"/>
        <v>948000</v>
      </c>
      <c r="AE401" s="858">
        <f t="shared" si="40"/>
        <v>-0.17493472584856398</v>
      </c>
      <c r="AF401" s="859">
        <f t="shared" si="38"/>
        <v>328</v>
      </c>
    </row>
    <row r="402" spans="1:32" x14ac:dyDescent="0.3">
      <c r="A402" s="293" t="s">
        <v>618</v>
      </c>
      <c r="B402" s="857" t="s">
        <v>642</v>
      </c>
      <c r="C402" s="723">
        <v>20000</v>
      </c>
      <c r="D402" s="724">
        <v>192500</v>
      </c>
      <c r="E402" s="724">
        <v>370000</v>
      </c>
      <c r="F402" s="724">
        <v>427500</v>
      </c>
      <c r="G402" s="724">
        <v>5000</v>
      </c>
      <c r="H402" s="724">
        <v>0</v>
      </c>
      <c r="I402" s="724">
        <v>0</v>
      </c>
      <c r="J402" s="724">
        <v>0</v>
      </c>
      <c r="K402" s="724">
        <v>0</v>
      </c>
      <c r="L402" s="724">
        <v>0</v>
      </c>
      <c r="M402" s="724">
        <v>0</v>
      </c>
      <c r="N402" s="724">
        <v>0</v>
      </c>
      <c r="O402" s="724" t="s">
        <v>251</v>
      </c>
      <c r="P402" s="1497">
        <f t="shared" si="36"/>
        <v>1015000</v>
      </c>
      <c r="Q402" s="1127">
        <f t="shared" si="37"/>
        <v>1015000</v>
      </c>
      <c r="R402" s="723"/>
      <c r="S402" s="724"/>
      <c r="T402" s="724">
        <v>2415000</v>
      </c>
      <c r="U402" s="724">
        <v>575000</v>
      </c>
      <c r="V402" s="724">
        <v>5000</v>
      </c>
      <c r="W402" s="724">
        <v>0</v>
      </c>
      <c r="X402" s="724">
        <v>0</v>
      </c>
      <c r="Y402" s="724">
        <v>0</v>
      </c>
      <c r="Z402" s="724"/>
      <c r="AA402" s="724"/>
      <c r="AB402" s="724"/>
      <c r="AC402" s="724"/>
      <c r="AD402" s="1127">
        <f t="shared" si="39"/>
        <v>2995000</v>
      </c>
      <c r="AE402" s="858">
        <f t="shared" si="40"/>
        <v>1.9507389162561577</v>
      </c>
      <c r="AF402" s="859">
        <f t="shared" si="38"/>
        <v>155</v>
      </c>
    </row>
    <row r="403" spans="1:32" x14ac:dyDescent="0.3">
      <c r="A403" s="293" t="s">
        <v>618</v>
      </c>
      <c r="B403" s="857" t="s">
        <v>629</v>
      </c>
      <c r="C403" s="723">
        <v>5000</v>
      </c>
      <c r="D403" s="724">
        <v>0</v>
      </c>
      <c r="E403" s="724">
        <v>327500</v>
      </c>
      <c r="F403" s="724">
        <v>345500</v>
      </c>
      <c r="G403" s="724">
        <v>25000</v>
      </c>
      <c r="H403" s="724">
        <v>305000</v>
      </c>
      <c r="I403" s="724">
        <v>5000</v>
      </c>
      <c r="J403" s="724">
        <v>54000</v>
      </c>
      <c r="K403" s="724">
        <v>0</v>
      </c>
      <c r="L403" s="724">
        <v>361000</v>
      </c>
      <c r="M403" s="724">
        <v>103000</v>
      </c>
      <c r="N403" s="724">
        <v>320000</v>
      </c>
      <c r="O403" s="724">
        <v>204000</v>
      </c>
      <c r="P403" s="1497">
        <f t="shared" si="36"/>
        <v>1013000</v>
      </c>
      <c r="Q403" s="1127">
        <f t="shared" si="37"/>
        <v>2055000</v>
      </c>
      <c r="R403" s="723">
        <v>35000</v>
      </c>
      <c r="S403" s="724"/>
      <c r="T403" s="724">
        <v>54000</v>
      </c>
      <c r="U403" s="724">
        <v>302000</v>
      </c>
      <c r="V403" s="724">
        <v>351000</v>
      </c>
      <c r="W403" s="724">
        <v>372000</v>
      </c>
      <c r="X403" s="724">
        <v>42000</v>
      </c>
      <c r="Y403" s="724">
        <v>30000</v>
      </c>
      <c r="Z403" s="724"/>
      <c r="AA403" s="724"/>
      <c r="AB403" s="724"/>
      <c r="AC403" s="724"/>
      <c r="AD403" s="1127">
        <f t="shared" si="39"/>
        <v>1186000</v>
      </c>
      <c r="AE403" s="858">
        <f t="shared" si="40"/>
        <v>0.17077986179664364</v>
      </c>
      <c r="AF403" s="859">
        <f t="shared" si="38"/>
        <v>286</v>
      </c>
    </row>
    <row r="404" spans="1:32" x14ac:dyDescent="0.3">
      <c r="A404" s="293" t="s">
        <v>618</v>
      </c>
      <c r="B404" s="857" t="s">
        <v>643</v>
      </c>
      <c r="C404" s="723">
        <v>20000</v>
      </c>
      <c r="D404" s="724">
        <v>0</v>
      </c>
      <c r="E404" s="724"/>
      <c r="F404" s="724">
        <v>55500</v>
      </c>
      <c r="G404" s="724">
        <v>660000</v>
      </c>
      <c r="H404" s="724">
        <v>188500</v>
      </c>
      <c r="I404" s="724">
        <v>15000</v>
      </c>
      <c r="J404" s="724">
        <v>0</v>
      </c>
      <c r="K404" s="724">
        <v>0</v>
      </c>
      <c r="L404" s="724">
        <v>170500</v>
      </c>
      <c r="M404" s="724">
        <v>10000</v>
      </c>
      <c r="N404" s="724">
        <v>43500</v>
      </c>
      <c r="O404" s="724">
        <v>216500</v>
      </c>
      <c r="P404" s="1497">
        <f t="shared" si="36"/>
        <v>939000</v>
      </c>
      <c r="Q404" s="1127">
        <f t="shared" si="37"/>
        <v>1379500</v>
      </c>
      <c r="R404" s="723">
        <v>62000</v>
      </c>
      <c r="S404" s="724">
        <v>89000</v>
      </c>
      <c r="T404" s="724">
        <v>20000</v>
      </c>
      <c r="U404" s="724">
        <v>94500</v>
      </c>
      <c r="V404" s="724">
        <v>392000</v>
      </c>
      <c r="W404" s="724">
        <v>169500</v>
      </c>
      <c r="X404" s="724">
        <v>23500</v>
      </c>
      <c r="Y404" s="724">
        <v>60500</v>
      </c>
      <c r="Z404" s="724"/>
      <c r="AA404" s="724"/>
      <c r="AB404" s="724"/>
      <c r="AC404" s="724"/>
      <c r="AD404" s="1127">
        <f t="shared" si="39"/>
        <v>911000</v>
      </c>
      <c r="AE404" s="858">
        <f t="shared" si="40"/>
        <v>-2.9818956336528223E-2</v>
      </c>
      <c r="AF404" s="859">
        <f t="shared" si="38"/>
        <v>335</v>
      </c>
    </row>
    <row r="405" spans="1:32" x14ac:dyDescent="0.3">
      <c r="A405" s="293" t="s">
        <v>618</v>
      </c>
      <c r="B405" s="857" t="s">
        <v>626</v>
      </c>
      <c r="C405" s="723"/>
      <c r="D405" s="724">
        <v>0</v>
      </c>
      <c r="E405" s="724">
        <v>280000</v>
      </c>
      <c r="F405" s="724">
        <v>281500</v>
      </c>
      <c r="G405" s="724">
        <v>161000</v>
      </c>
      <c r="H405" s="724">
        <v>156000</v>
      </c>
      <c r="I405" s="724">
        <v>30000</v>
      </c>
      <c r="J405" s="724">
        <v>520000</v>
      </c>
      <c r="K405" s="724">
        <v>379000</v>
      </c>
      <c r="L405" s="724">
        <v>543500</v>
      </c>
      <c r="M405" s="724">
        <v>110500</v>
      </c>
      <c r="N405" s="724">
        <v>100500</v>
      </c>
      <c r="O405" s="724">
        <v>384000</v>
      </c>
      <c r="P405" s="1497">
        <f t="shared" si="36"/>
        <v>1287500</v>
      </c>
      <c r="Q405" s="1127">
        <f t="shared" si="37"/>
        <v>2567000</v>
      </c>
      <c r="R405" s="723">
        <v>125000</v>
      </c>
      <c r="S405" s="724">
        <v>45000</v>
      </c>
      <c r="T405" s="724">
        <v>5000</v>
      </c>
      <c r="U405" s="724">
        <v>77500</v>
      </c>
      <c r="V405" s="724">
        <v>110500</v>
      </c>
      <c r="W405" s="724">
        <v>220000</v>
      </c>
      <c r="X405" s="724">
        <v>380000</v>
      </c>
      <c r="Y405" s="724">
        <v>140000</v>
      </c>
      <c r="Z405" s="724"/>
      <c r="AA405" s="724"/>
      <c r="AB405" s="724"/>
      <c r="AC405" s="724"/>
      <c r="AD405" s="1127">
        <f t="shared" si="39"/>
        <v>1103000</v>
      </c>
      <c r="AE405" s="858">
        <f t="shared" si="40"/>
        <v>-0.1433009708737864</v>
      </c>
      <c r="AF405" s="859">
        <f t="shared" si="38"/>
        <v>301</v>
      </c>
    </row>
    <row r="406" spans="1:32" x14ac:dyDescent="0.3">
      <c r="A406" s="293" t="s">
        <v>618</v>
      </c>
      <c r="B406" s="857" t="s">
        <v>634</v>
      </c>
      <c r="C406" s="723"/>
      <c r="D406" s="724">
        <v>49300</v>
      </c>
      <c r="E406" s="724">
        <v>477750</v>
      </c>
      <c r="F406" s="724">
        <v>90000</v>
      </c>
      <c r="G406" s="724">
        <v>47500</v>
      </c>
      <c r="H406" s="724">
        <v>10000</v>
      </c>
      <c r="I406" s="724">
        <v>0</v>
      </c>
      <c r="J406" s="724">
        <v>580000</v>
      </c>
      <c r="K406" s="724">
        <v>570000</v>
      </c>
      <c r="L406" s="724">
        <v>809000</v>
      </c>
      <c r="M406" s="724">
        <v>37500</v>
      </c>
      <c r="N406" s="724">
        <v>0</v>
      </c>
      <c r="O406" s="724">
        <v>65000</v>
      </c>
      <c r="P406" s="1497">
        <f t="shared" si="36"/>
        <v>1244550</v>
      </c>
      <c r="Q406" s="1127">
        <f t="shared" si="37"/>
        <v>2166050</v>
      </c>
      <c r="R406" s="723">
        <v>81000</v>
      </c>
      <c r="S406" s="724"/>
      <c r="T406" s="724">
        <v>240000</v>
      </c>
      <c r="U406" s="724">
        <v>185000</v>
      </c>
      <c r="V406" s="724">
        <v>199000</v>
      </c>
      <c r="W406" s="724">
        <v>363500</v>
      </c>
      <c r="X406" s="724">
        <v>0</v>
      </c>
      <c r="Y406" s="724">
        <v>335000</v>
      </c>
      <c r="Z406" s="724"/>
      <c r="AA406" s="724"/>
      <c r="AB406" s="724"/>
      <c r="AC406" s="724"/>
      <c r="AD406" s="1127">
        <f t="shared" si="39"/>
        <v>1403500</v>
      </c>
      <c r="AE406" s="858">
        <f t="shared" si="40"/>
        <v>0.1277168454461452</v>
      </c>
      <c r="AF406" s="859">
        <f t="shared" si="38"/>
        <v>255</v>
      </c>
    </row>
    <row r="407" spans="1:32" x14ac:dyDescent="0.3">
      <c r="A407" s="293" t="s">
        <v>618</v>
      </c>
      <c r="B407" s="857" t="s">
        <v>739</v>
      </c>
      <c r="C407" s="723"/>
      <c r="D407" s="724">
        <v>0</v>
      </c>
      <c r="E407" s="724">
        <v>630000</v>
      </c>
      <c r="F407" s="724">
        <v>0</v>
      </c>
      <c r="G407" s="724">
        <v>10000</v>
      </c>
      <c r="H407" s="724">
        <v>0</v>
      </c>
      <c r="I407" s="724">
        <v>0</v>
      </c>
      <c r="J407" s="724">
        <v>475000</v>
      </c>
      <c r="K407" s="724">
        <v>155000</v>
      </c>
      <c r="L407" s="724">
        <v>1350000</v>
      </c>
      <c r="M407" s="724">
        <v>45000</v>
      </c>
      <c r="N407" s="724">
        <v>0</v>
      </c>
      <c r="O407" s="724" t="s">
        <v>251</v>
      </c>
      <c r="P407" s="1497">
        <f t="shared" si="36"/>
        <v>795000</v>
      </c>
      <c r="Q407" s="1127">
        <f t="shared" si="37"/>
        <v>2510000</v>
      </c>
      <c r="R407" s="723"/>
      <c r="S407" s="724"/>
      <c r="T407" s="724">
        <v>27500</v>
      </c>
      <c r="U407" s="724">
        <v>0</v>
      </c>
      <c r="V407" s="724">
        <v>10000</v>
      </c>
      <c r="W407" s="724">
        <v>41000</v>
      </c>
      <c r="X407" s="724">
        <v>15000</v>
      </c>
      <c r="Y407" s="724">
        <v>0</v>
      </c>
      <c r="Z407" s="724"/>
      <c r="AA407" s="724"/>
      <c r="AB407" s="724"/>
      <c r="AC407" s="724"/>
      <c r="AD407" s="1127">
        <f t="shared" si="39"/>
        <v>93500</v>
      </c>
      <c r="AE407" s="858">
        <f t="shared" si="40"/>
        <v>-0.88238993710691827</v>
      </c>
      <c r="AF407" s="859">
        <f t="shared" si="38"/>
        <v>754</v>
      </c>
    </row>
    <row r="408" spans="1:32" x14ac:dyDescent="0.3">
      <c r="A408" s="293" t="s">
        <v>618</v>
      </c>
      <c r="B408" s="857" t="s">
        <v>635</v>
      </c>
      <c r="C408" s="723">
        <v>66000</v>
      </c>
      <c r="D408" s="724">
        <v>0</v>
      </c>
      <c r="E408" s="724">
        <v>226000</v>
      </c>
      <c r="F408" s="724">
        <v>225500</v>
      </c>
      <c r="G408" s="724">
        <v>42000</v>
      </c>
      <c r="H408" s="724">
        <v>5000</v>
      </c>
      <c r="I408" s="724">
        <v>5000</v>
      </c>
      <c r="J408" s="724">
        <v>97500</v>
      </c>
      <c r="K408" s="724">
        <v>79000</v>
      </c>
      <c r="L408" s="724">
        <v>533500</v>
      </c>
      <c r="M408" s="724">
        <v>70500</v>
      </c>
      <c r="N408" s="724">
        <v>72000</v>
      </c>
      <c r="O408" s="724">
        <v>58500</v>
      </c>
      <c r="P408" s="1497">
        <f t="shared" si="36"/>
        <v>648500</v>
      </c>
      <c r="Q408" s="1127">
        <f t="shared" si="37"/>
        <v>1401500</v>
      </c>
      <c r="R408" s="723"/>
      <c r="S408" s="724"/>
      <c r="T408" s="724">
        <v>321500</v>
      </c>
      <c r="U408" s="724">
        <v>371500</v>
      </c>
      <c r="V408" s="724">
        <v>139000</v>
      </c>
      <c r="W408" s="724">
        <v>165000</v>
      </c>
      <c r="X408" s="724">
        <v>62000</v>
      </c>
      <c r="Y408" s="724">
        <v>79000</v>
      </c>
      <c r="Z408" s="724"/>
      <c r="AA408" s="724"/>
      <c r="AB408" s="724"/>
      <c r="AC408" s="724"/>
      <c r="AD408" s="1127">
        <f t="shared" si="39"/>
        <v>1138000</v>
      </c>
      <c r="AE408" s="858">
        <f t="shared" si="40"/>
        <v>0.75481881264456441</v>
      </c>
      <c r="AF408" s="859">
        <f t="shared" si="38"/>
        <v>294</v>
      </c>
    </row>
    <row r="409" spans="1:32" x14ac:dyDescent="0.3">
      <c r="A409" s="293" t="s">
        <v>618</v>
      </c>
      <c r="B409" s="857" t="s">
        <v>625</v>
      </c>
      <c r="C409" s="723"/>
      <c r="D409" s="724">
        <v>0</v>
      </c>
      <c r="E409" s="724"/>
      <c r="F409" s="724">
        <v>496000</v>
      </c>
      <c r="G409" s="724">
        <v>54000</v>
      </c>
      <c r="H409" s="724">
        <v>182500</v>
      </c>
      <c r="I409" s="724">
        <v>50000</v>
      </c>
      <c r="J409" s="724">
        <v>15000</v>
      </c>
      <c r="K409" s="724">
        <v>15000</v>
      </c>
      <c r="L409" s="724">
        <v>0</v>
      </c>
      <c r="M409" s="724">
        <v>435000</v>
      </c>
      <c r="N409" s="724">
        <v>321000</v>
      </c>
      <c r="O409" s="724">
        <v>227500</v>
      </c>
      <c r="P409" s="1497">
        <f t="shared" si="36"/>
        <v>797500</v>
      </c>
      <c r="Q409" s="1127">
        <f t="shared" si="37"/>
        <v>1781000</v>
      </c>
      <c r="R409" s="723">
        <v>29000</v>
      </c>
      <c r="S409" s="724"/>
      <c r="T409" s="724">
        <v>0</v>
      </c>
      <c r="U409" s="724">
        <v>184000</v>
      </c>
      <c r="V409" s="724">
        <v>1652500</v>
      </c>
      <c r="W409" s="724">
        <v>747000</v>
      </c>
      <c r="X409" s="724">
        <v>443500</v>
      </c>
      <c r="Y409" s="724">
        <v>89000</v>
      </c>
      <c r="Z409" s="724"/>
      <c r="AA409" s="724"/>
      <c r="AB409" s="724"/>
      <c r="AC409" s="724"/>
      <c r="AD409" s="1127">
        <f t="shared" si="39"/>
        <v>3145000</v>
      </c>
      <c r="AE409" s="858">
        <f t="shared" si="40"/>
        <v>2.9435736677115987</v>
      </c>
      <c r="AF409" s="859">
        <f t="shared" si="38"/>
        <v>147</v>
      </c>
    </row>
    <row r="410" spans="1:32" x14ac:dyDescent="0.3">
      <c r="A410" s="293" t="s">
        <v>618</v>
      </c>
      <c r="B410" s="857" t="s">
        <v>647</v>
      </c>
      <c r="C410" s="723"/>
      <c r="D410" s="724">
        <v>0</v>
      </c>
      <c r="E410" s="724">
        <v>465000</v>
      </c>
      <c r="F410" s="724">
        <v>0</v>
      </c>
      <c r="G410" s="724">
        <v>0</v>
      </c>
      <c r="H410" s="724">
        <v>0</v>
      </c>
      <c r="I410" s="724">
        <v>0</v>
      </c>
      <c r="J410" s="724">
        <v>0</v>
      </c>
      <c r="K410" s="724">
        <v>0</v>
      </c>
      <c r="L410" s="724">
        <v>0</v>
      </c>
      <c r="M410" s="724">
        <v>0</v>
      </c>
      <c r="N410" s="724">
        <v>0</v>
      </c>
      <c r="O410" s="724" t="s">
        <v>251</v>
      </c>
      <c r="P410" s="1497">
        <f t="shared" si="36"/>
        <v>465000</v>
      </c>
      <c r="Q410" s="1127">
        <f t="shared" si="37"/>
        <v>465000</v>
      </c>
      <c r="R410" s="723"/>
      <c r="S410" s="724"/>
      <c r="T410" s="724"/>
      <c r="U410" s="724"/>
      <c r="V410" s="724"/>
      <c r="W410" s="724"/>
      <c r="X410" s="724"/>
      <c r="Y410" s="724"/>
      <c r="Z410" s="724"/>
      <c r="AA410" s="724"/>
      <c r="AB410" s="724"/>
      <c r="AC410" s="724"/>
      <c r="AD410" s="1127">
        <f t="shared" si="39"/>
        <v>0</v>
      </c>
      <c r="AE410" s="858">
        <f t="shared" si="40"/>
        <v>-1</v>
      </c>
      <c r="AF410" s="859">
        <f t="shared" si="38"/>
        <v>983</v>
      </c>
    </row>
    <row r="411" spans="1:32" x14ac:dyDescent="0.3">
      <c r="A411" s="293" t="s">
        <v>618</v>
      </c>
      <c r="B411" s="857" t="s">
        <v>636</v>
      </c>
      <c r="C411" s="723"/>
      <c r="D411" s="724">
        <v>0</v>
      </c>
      <c r="E411" s="724">
        <v>210000</v>
      </c>
      <c r="F411" s="724">
        <v>159000</v>
      </c>
      <c r="G411" s="724">
        <v>94000</v>
      </c>
      <c r="H411" s="724">
        <v>200000</v>
      </c>
      <c r="I411" s="724">
        <v>165000</v>
      </c>
      <c r="J411" s="724">
        <v>72500</v>
      </c>
      <c r="K411" s="724">
        <v>54000</v>
      </c>
      <c r="L411" s="724">
        <v>36000</v>
      </c>
      <c r="M411" s="724">
        <v>25000</v>
      </c>
      <c r="N411" s="724">
        <v>731000</v>
      </c>
      <c r="O411" s="724">
        <v>154000</v>
      </c>
      <c r="P411" s="1497">
        <f t="shared" si="36"/>
        <v>882000</v>
      </c>
      <c r="Q411" s="1127">
        <f t="shared" si="37"/>
        <v>1846500</v>
      </c>
      <c r="R411" s="723">
        <v>5000</v>
      </c>
      <c r="S411" s="724"/>
      <c r="T411" s="724">
        <v>41000</v>
      </c>
      <c r="U411" s="724">
        <v>23000</v>
      </c>
      <c r="V411" s="724">
        <v>0</v>
      </c>
      <c r="W411" s="724">
        <v>0</v>
      </c>
      <c r="X411" s="724">
        <v>0</v>
      </c>
      <c r="Y411" s="724">
        <v>0</v>
      </c>
      <c r="Z411" s="724"/>
      <c r="AA411" s="724"/>
      <c r="AB411" s="724"/>
      <c r="AC411" s="724"/>
      <c r="AD411" s="1127">
        <f t="shared" si="39"/>
        <v>69000</v>
      </c>
      <c r="AE411" s="858">
        <f t="shared" si="40"/>
        <v>-0.92176870748299322</v>
      </c>
      <c r="AF411" s="859">
        <f t="shared" si="38"/>
        <v>800</v>
      </c>
    </row>
    <row r="412" spans="1:32" x14ac:dyDescent="0.3">
      <c r="A412" s="293" t="s">
        <v>618</v>
      </c>
      <c r="B412" s="857" t="s">
        <v>648</v>
      </c>
      <c r="C412" s="723"/>
      <c r="D412" s="724">
        <v>0</v>
      </c>
      <c r="E412" s="724"/>
      <c r="F412" s="724">
        <v>0</v>
      </c>
      <c r="G412" s="724">
        <v>425000</v>
      </c>
      <c r="H412" s="724">
        <v>530000</v>
      </c>
      <c r="I412" s="724">
        <v>300000</v>
      </c>
      <c r="J412" s="724">
        <v>0</v>
      </c>
      <c r="K412" s="724">
        <v>0</v>
      </c>
      <c r="L412" s="724">
        <v>0</v>
      </c>
      <c r="M412" s="724">
        <v>0</v>
      </c>
      <c r="N412" s="724">
        <v>10000</v>
      </c>
      <c r="O412" s="724">
        <v>50000</v>
      </c>
      <c r="P412" s="1497">
        <f t="shared" si="36"/>
        <v>1255000</v>
      </c>
      <c r="Q412" s="1127">
        <f t="shared" si="37"/>
        <v>1315000</v>
      </c>
      <c r="R412" s="723">
        <v>55000</v>
      </c>
      <c r="S412" s="724"/>
      <c r="T412" s="724">
        <v>0</v>
      </c>
      <c r="U412" s="724">
        <v>5000</v>
      </c>
      <c r="V412" s="724">
        <v>0</v>
      </c>
      <c r="W412" s="724">
        <v>0</v>
      </c>
      <c r="X412" s="724">
        <v>0</v>
      </c>
      <c r="Y412" s="724">
        <v>0</v>
      </c>
      <c r="Z412" s="724"/>
      <c r="AA412" s="724"/>
      <c r="AB412" s="724"/>
      <c r="AC412" s="724"/>
      <c r="AD412" s="1127">
        <f t="shared" si="39"/>
        <v>60000</v>
      </c>
      <c r="AE412" s="858">
        <f t="shared" si="40"/>
        <v>-0.952191235059761</v>
      </c>
      <c r="AF412" s="859">
        <f t="shared" si="38"/>
        <v>817</v>
      </c>
    </row>
    <row r="413" spans="1:32" x14ac:dyDescent="0.3">
      <c r="A413" s="293" t="s">
        <v>618</v>
      </c>
      <c r="B413" s="857" t="s">
        <v>633</v>
      </c>
      <c r="C413" s="723"/>
      <c r="D413" s="724">
        <v>0</v>
      </c>
      <c r="E413" s="724">
        <v>350000</v>
      </c>
      <c r="F413" s="724">
        <v>47000</v>
      </c>
      <c r="G413" s="724">
        <v>0</v>
      </c>
      <c r="H413" s="724">
        <v>0</v>
      </c>
      <c r="I413" s="724">
        <v>0</v>
      </c>
      <c r="J413" s="724">
        <v>310250</v>
      </c>
      <c r="K413" s="724">
        <v>310250</v>
      </c>
      <c r="L413" s="724">
        <v>0</v>
      </c>
      <c r="M413" s="724">
        <v>0</v>
      </c>
      <c r="N413" s="724">
        <v>0</v>
      </c>
      <c r="O413" s="724" t="s">
        <v>251</v>
      </c>
      <c r="P413" s="1497">
        <f t="shared" si="36"/>
        <v>707250</v>
      </c>
      <c r="Q413" s="1127">
        <f t="shared" si="37"/>
        <v>707250</v>
      </c>
      <c r="R413" s="723"/>
      <c r="S413" s="724"/>
      <c r="T413" s="724"/>
      <c r="U413" s="724">
        <v>538000</v>
      </c>
      <c r="V413" s="724">
        <v>47000</v>
      </c>
      <c r="W413" s="724">
        <v>0</v>
      </c>
      <c r="X413" s="724">
        <v>0</v>
      </c>
      <c r="Y413" s="724">
        <v>142500</v>
      </c>
      <c r="Z413" s="724"/>
      <c r="AA413" s="724"/>
      <c r="AB413" s="724"/>
      <c r="AC413" s="724"/>
      <c r="AD413" s="1127">
        <f t="shared" si="39"/>
        <v>727500</v>
      </c>
      <c r="AE413" s="858">
        <f t="shared" si="40"/>
        <v>2.863202545068929E-2</v>
      </c>
      <c r="AF413" s="859">
        <f t="shared" si="38"/>
        <v>371</v>
      </c>
    </row>
    <row r="414" spans="1:32" x14ac:dyDescent="0.3">
      <c r="A414" s="293" t="s">
        <v>618</v>
      </c>
      <c r="B414" s="857" t="s">
        <v>631</v>
      </c>
      <c r="C414" s="723"/>
      <c r="D414" s="724">
        <v>0</v>
      </c>
      <c r="E414" s="724"/>
      <c r="F414" s="724">
        <v>0</v>
      </c>
      <c r="G414" s="724">
        <v>354500</v>
      </c>
      <c r="H414" s="724">
        <v>150000</v>
      </c>
      <c r="I414" s="724">
        <v>70000</v>
      </c>
      <c r="J414" s="724">
        <v>0</v>
      </c>
      <c r="K414" s="724">
        <v>0</v>
      </c>
      <c r="L414" s="724">
        <v>39000</v>
      </c>
      <c r="M414" s="724">
        <v>10000</v>
      </c>
      <c r="N414" s="724">
        <v>505500</v>
      </c>
      <c r="O414" s="724">
        <v>371500</v>
      </c>
      <c r="P414" s="1497">
        <f t="shared" si="36"/>
        <v>574500</v>
      </c>
      <c r="Q414" s="1127">
        <f t="shared" si="37"/>
        <v>1500500</v>
      </c>
      <c r="R414" s="723">
        <v>222000</v>
      </c>
      <c r="S414" s="724"/>
      <c r="T414" s="724">
        <v>24000</v>
      </c>
      <c r="U414" s="724">
        <v>0</v>
      </c>
      <c r="V414" s="724">
        <v>0</v>
      </c>
      <c r="W414" s="724">
        <v>0</v>
      </c>
      <c r="X414" s="724">
        <v>0</v>
      </c>
      <c r="Y414" s="724">
        <v>0</v>
      </c>
      <c r="Z414" s="724"/>
      <c r="AA414" s="724"/>
      <c r="AB414" s="724"/>
      <c r="AC414" s="724"/>
      <c r="AD414" s="1127">
        <f t="shared" si="39"/>
        <v>246000</v>
      </c>
      <c r="AE414" s="858">
        <f t="shared" si="40"/>
        <v>-0.57180156657963443</v>
      </c>
      <c r="AF414" s="859">
        <f t="shared" si="38"/>
        <v>572</v>
      </c>
    </row>
    <row r="415" spans="1:32" x14ac:dyDescent="0.3">
      <c r="A415" s="293" t="s">
        <v>618</v>
      </c>
      <c r="B415" s="857" t="s">
        <v>655</v>
      </c>
      <c r="C415" s="723"/>
      <c r="D415" s="724">
        <v>0</v>
      </c>
      <c r="E415" s="724"/>
      <c r="F415" s="724">
        <v>0</v>
      </c>
      <c r="G415" s="724">
        <v>310000</v>
      </c>
      <c r="H415" s="724">
        <v>0</v>
      </c>
      <c r="I415" s="724">
        <v>0</v>
      </c>
      <c r="J415" s="724">
        <v>0</v>
      </c>
      <c r="K415" s="724">
        <v>0</v>
      </c>
      <c r="L415" s="724">
        <v>0</v>
      </c>
      <c r="M415" s="724">
        <v>0</v>
      </c>
      <c r="N415" s="724">
        <v>0</v>
      </c>
      <c r="O415" s="724" t="s">
        <v>251</v>
      </c>
      <c r="P415" s="1497">
        <f t="shared" si="36"/>
        <v>310000</v>
      </c>
      <c r="Q415" s="1127">
        <f t="shared" si="37"/>
        <v>310000</v>
      </c>
      <c r="R415" s="723"/>
      <c r="S415" s="724"/>
      <c r="T415" s="724">
        <v>178000</v>
      </c>
      <c r="U415" s="724">
        <v>0</v>
      </c>
      <c r="V415" s="724">
        <v>0</v>
      </c>
      <c r="W415" s="724">
        <v>0</v>
      </c>
      <c r="X415" s="724">
        <v>0</v>
      </c>
      <c r="Y415" s="724">
        <v>0</v>
      </c>
      <c r="Z415" s="724"/>
      <c r="AA415" s="724"/>
      <c r="AB415" s="724"/>
      <c r="AC415" s="724"/>
      <c r="AD415" s="1127">
        <f t="shared" si="39"/>
        <v>178000</v>
      </c>
      <c r="AE415" s="858">
        <f t="shared" si="40"/>
        <v>-0.4258064516129032</v>
      </c>
      <c r="AF415" s="859">
        <f t="shared" si="38"/>
        <v>641</v>
      </c>
    </row>
    <row r="416" spans="1:32" x14ac:dyDescent="0.3">
      <c r="A416" s="293" t="s">
        <v>618</v>
      </c>
      <c r="B416" s="857" t="s">
        <v>637</v>
      </c>
      <c r="C416" s="723"/>
      <c r="D416" s="724">
        <v>0</v>
      </c>
      <c r="E416" s="724"/>
      <c r="F416" s="724">
        <v>294800</v>
      </c>
      <c r="G416" s="724">
        <v>0</v>
      </c>
      <c r="H416" s="724">
        <v>57500</v>
      </c>
      <c r="I416" s="724">
        <v>0</v>
      </c>
      <c r="J416" s="724">
        <v>5000</v>
      </c>
      <c r="K416" s="724">
        <v>5000</v>
      </c>
      <c r="L416" s="724">
        <v>163300</v>
      </c>
      <c r="M416" s="724">
        <v>5000</v>
      </c>
      <c r="N416" s="724">
        <v>0</v>
      </c>
      <c r="O416" s="724" t="s">
        <v>251</v>
      </c>
      <c r="P416" s="1497">
        <f t="shared" si="36"/>
        <v>357300</v>
      </c>
      <c r="Q416" s="1127">
        <f t="shared" si="37"/>
        <v>525600</v>
      </c>
      <c r="R416" s="723">
        <v>5000</v>
      </c>
      <c r="S416" s="724"/>
      <c r="T416" s="724">
        <v>26500</v>
      </c>
      <c r="U416" s="724">
        <v>336500</v>
      </c>
      <c r="V416" s="724">
        <v>115500</v>
      </c>
      <c r="W416" s="724">
        <v>0</v>
      </c>
      <c r="X416" s="724">
        <v>0</v>
      </c>
      <c r="Y416" s="724">
        <v>0</v>
      </c>
      <c r="Z416" s="724"/>
      <c r="AA416" s="724"/>
      <c r="AB416" s="724"/>
      <c r="AC416" s="724"/>
      <c r="AD416" s="1127">
        <f t="shared" si="39"/>
        <v>483500</v>
      </c>
      <c r="AE416" s="858">
        <f t="shared" si="40"/>
        <v>0.3532045899804086</v>
      </c>
      <c r="AF416" s="859">
        <f t="shared" si="38"/>
        <v>449</v>
      </c>
    </row>
    <row r="417" spans="1:32" x14ac:dyDescent="0.3">
      <c r="A417" s="293" t="s">
        <v>618</v>
      </c>
      <c r="B417" s="857" t="s">
        <v>645</v>
      </c>
      <c r="C417" s="723"/>
      <c r="D417" s="724">
        <v>0</v>
      </c>
      <c r="E417" s="724">
        <v>80000</v>
      </c>
      <c r="F417" s="724">
        <v>0</v>
      </c>
      <c r="G417" s="724">
        <v>210000</v>
      </c>
      <c r="H417" s="724">
        <v>5000</v>
      </c>
      <c r="I417" s="724">
        <v>0</v>
      </c>
      <c r="J417" s="724">
        <v>385000</v>
      </c>
      <c r="K417" s="724">
        <v>0</v>
      </c>
      <c r="L417" s="724">
        <v>46500</v>
      </c>
      <c r="M417" s="724">
        <v>32500</v>
      </c>
      <c r="N417" s="724">
        <v>0</v>
      </c>
      <c r="O417" s="724" t="s">
        <v>251</v>
      </c>
      <c r="P417" s="1497">
        <f t="shared" si="36"/>
        <v>295000</v>
      </c>
      <c r="Q417" s="1127">
        <f t="shared" si="37"/>
        <v>759000</v>
      </c>
      <c r="R417" s="723"/>
      <c r="S417" s="724"/>
      <c r="T417" s="724"/>
      <c r="U417" s="724"/>
      <c r="V417" s="724"/>
      <c r="W417" s="724"/>
      <c r="X417" s="724"/>
      <c r="Y417" s="724"/>
      <c r="Z417" s="724"/>
      <c r="AA417" s="724"/>
      <c r="AB417" s="724"/>
      <c r="AC417" s="724"/>
      <c r="AD417" s="1127">
        <f t="shared" si="39"/>
        <v>0</v>
      </c>
      <c r="AE417" s="858">
        <f t="shared" si="40"/>
        <v>-1</v>
      </c>
      <c r="AF417" s="859">
        <f t="shared" si="38"/>
        <v>983</v>
      </c>
    </row>
    <row r="418" spans="1:32" x14ac:dyDescent="0.3">
      <c r="A418" s="293" t="s">
        <v>618</v>
      </c>
      <c r="B418" s="857" t="s">
        <v>644</v>
      </c>
      <c r="C418" s="723">
        <v>52000</v>
      </c>
      <c r="D418" s="724">
        <v>5000</v>
      </c>
      <c r="E418" s="724">
        <v>87500</v>
      </c>
      <c r="F418" s="724">
        <v>117250</v>
      </c>
      <c r="G418" s="724">
        <v>0</v>
      </c>
      <c r="H418" s="724">
        <v>0</v>
      </c>
      <c r="I418" s="724">
        <v>0</v>
      </c>
      <c r="J418" s="724">
        <v>40000</v>
      </c>
      <c r="K418" s="724">
        <v>40000</v>
      </c>
      <c r="L418" s="724">
        <v>65000</v>
      </c>
      <c r="M418" s="724">
        <v>0</v>
      </c>
      <c r="N418" s="724">
        <v>0</v>
      </c>
      <c r="O418" s="724" t="s">
        <v>251</v>
      </c>
      <c r="P418" s="1497">
        <f t="shared" si="36"/>
        <v>301750</v>
      </c>
      <c r="Q418" s="1127">
        <f t="shared" si="37"/>
        <v>366750</v>
      </c>
      <c r="R418" s="723"/>
      <c r="S418" s="724"/>
      <c r="T418" s="724"/>
      <c r="U418" s="724"/>
      <c r="V418" s="724"/>
      <c r="W418" s="724"/>
      <c r="X418" s="724"/>
      <c r="Y418" s="724">
        <v>10000</v>
      </c>
      <c r="Z418" s="724"/>
      <c r="AA418" s="724"/>
      <c r="AB418" s="724"/>
      <c r="AC418" s="724"/>
      <c r="AD418" s="1127">
        <f t="shared" si="39"/>
        <v>10000</v>
      </c>
      <c r="AE418" s="858">
        <f t="shared" si="40"/>
        <v>-0.96685998342999169</v>
      </c>
      <c r="AF418" s="859">
        <f t="shared" si="38"/>
        <v>958</v>
      </c>
    </row>
    <row r="419" spans="1:32" x14ac:dyDescent="0.3">
      <c r="A419" s="293" t="s">
        <v>618</v>
      </c>
      <c r="B419" s="857" t="s">
        <v>641</v>
      </c>
      <c r="C419" s="723"/>
      <c r="D419" s="724">
        <v>0</v>
      </c>
      <c r="E419" s="724">
        <v>97500</v>
      </c>
      <c r="F419" s="724">
        <v>147250</v>
      </c>
      <c r="G419" s="724">
        <v>10000</v>
      </c>
      <c r="H419" s="724">
        <v>0</v>
      </c>
      <c r="I419" s="724">
        <v>297500</v>
      </c>
      <c r="J419" s="724">
        <v>590000</v>
      </c>
      <c r="K419" s="724">
        <v>590000</v>
      </c>
      <c r="L419" s="724">
        <v>220000</v>
      </c>
      <c r="M419" s="724">
        <v>30000</v>
      </c>
      <c r="N419" s="724">
        <v>0</v>
      </c>
      <c r="O419" s="724">
        <v>32500</v>
      </c>
      <c r="P419" s="1497">
        <f t="shared" si="36"/>
        <v>1142250</v>
      </c>
      <c r="Q419" s="1127">
        <f t="shared" si="37"/>
        <v>1424750</v>
      </c>
      <c r="R419" s="723">
        <v>480000</v>
      </c>
      <c r="S419" s="724"/>
      <c r="T419" s="724">
        <v>242500</v>
      </c>
      <c r="U419" s="724">
        <v>160000</v>
      </c>
      <c r="V419" s="724">
        <v>10000</v>
      </c>
      <c r="W419" s="724">
        <v>0</v>
      </c>
      <c r="X419" s="724">
        <v>32500</v>
      </c>
      <c r="Y419" s="724">
        <v>0</v>
      </c>
      <c r="Z419" s="724"/>
      <c r="AA419" s="724"/>
      <c r="AB419" s="724"/>
      <c r="AC419" s="724"/>
      <c r="AD419" s="1127">
        <f t="shared" si="39"/>
        <v>925000</v>
      </c>
      <c r="AE419" s="858">
        <f t="shared" si="40"/>
        <v>-0.19019479098270956</v>
      </c>
      <c r="AF419" s="859">
        <f t="shared" si="38"/>
        <v>332</v>
      </c>
    </row>
    <row r="420" spans="1:32" x14ac:dyDescent="0.3">
      <c r="A420" s="293" t="s">
        <v>618</v>
      </c>
      <c r="B420" s="857" t="s">
        <v>630</v>
      </c>
      <c r="C420" s="723">
        <v>5000</v>
      </c>
      <c r="D420" s="724">
        <v>0</v>
      </c>
      <c r="E420" s="724">
        <v>5000</v>
      </c>
      <c r="F420" s="724">
        <v>147500</v>
      </c>
      <c r="G420" s="724">
        <v>55000</v>
      </c>
      <c r="H420" s="724">
        <v>35000</v>
      </c>
      <c r="I420" s="724">
        <v>0</v>
      </c>
      <c r="J420" s="724">
        <v>62000</v>
      </c>
      <c r="K420" s="724">
        <v>15000</v>
      </c>
      <c r="L420" s="724">
        <v>99000</v>
      </c>
      <c r="M420" s="724">
        <v>0</v>
      </c>
      <c r="N420" s="724">
        <v>5000</v>
      </c>
      <c r="O420" s="724">
        <v>10000</v>
      </c>
      <c r="P420" s="1497">
        <f t="shared" si="36"/>
        <v>262500</v>
      </c>
      <c r="Q420" s="1127">
        <f t="shared" si="37"/>
        <v>423500</v>
      </c>
      <c r="R420" s="723"/>
      <c r="S420" s="724">
        <v>10000</v>
      </c>
      <c r="T420" s="724">
        <v>30000</v>
      </c>
      <c r="U420" s="724">
        <v>80000</v>
      </c>
      <c r="V420" s="724">
        <v>10000</v>
      </c>
      <c r="W420" s="724">
        <v>20000</v>
      </c>
      <c r="X420" s="724">
        <v>20000</v>
      </c>
      <c r="Y420" s="724">
        <v>28000</v>
      </c>
      <c r="Z420" s="724"/>
      <c r="AA420" s="724"/>
      <c r="AB420" s="724"/>
      <c r="AC420" s="724"/>
      <c r="AD420" s="1127">
        <f t="shared" si="39"/>
        <v>198000</v>
      </c>
      <c r="AE420" s="858">
        <f t="shared" si="40"/>
        <v>-0.24571428571428572</v>
      </c>
      <c r="AF420" s="859">
        <f t="shared" si="38"/>
        <v>614</v>
      </c>
    </row>
    <row r="421" spans="1:32" x14ac:dyDescent="0.3">
      <c r="A421" s="293" t="s">
        <v>618</v>
      </c>
      <c r="B421" s="857" t="s">
        <v>640</v>
      </c>
      <c r="C421" s="723"/>
      <c r="D421" s="724">
        <v>0</v>
      </c>
      <c r="E421" s="724"/>
      <c r="F421" s="724">
        <v>162000</v>
      </c>
      <c r="G421" s="724">
        <v>36000</v>
      </c>
      <c r="H421" s="724">
        <v>0</v>
      </c>
      <c r="I421" s="724">
        <v>0</v>
      </c>
      <c r="J421" s="724">
        <v>0</v>
      </c>
      <c r="K421" s="724">
        <v>0</v>
      </c>
      <c r="L421" s="724">
        <v>234000</v>
      </c>
      <c r="M421" s="724">
        <v>0</v>
      </c>
      <c r="N421" s="724">
        <v>0</v>
      </c>
      <c r="O421" s="724">
        <v>54000</v>
      </c>
      <c r="P421" s="1497">
        <f t="shared" si="36"/>
        <v>198000</v>
      </c>
      <c r="Q421" s="1127">
        <f t="shared" si="37"/>
        <v>486000</v>
      </c>
      <c r="R421" s="723">
        <v>5000</v>
      </c>
      <c r="S421" s="724"/>
      <c r="T421" s="724">
        <v>0</v>
      </c>
      <c r="U421" s="724">
        <v>252000</v>
      </c>
      <c r="V421" s="724">
        <v>0</v>
      </c>
      <c r="W421" s="724">
        <v>0</v>
      </c>
      <c r="X421" s="724">
        <v>0</v>
      </c>
      <c r="Y421" s="724">
        <v>0</v>
      </c>
      <c r="Z421" s="724"/>
      <c r="AA421" s="724"/>
      <c r="AB421" s="724"/>
      <c r="AC421" s="724"/>
      <c r="AD421" s="1127">
        <f t="shared" si="39"/>
        <v>257000</v>
      </c>
      <c r="AE421" s="858">
        <f t="shared" si="40"/>
        <v>0.29797979797979796</v>
      </c>
      <c r="AF421" s="859">
        <f t="shared" si="38"/>
        <v>560</v>
      </c>
    </row>
    <row r="422" spans="1:32" x14ac:dyDescent="0.3">
      <c r="A422" s="293" t="s">
        <v>618</v>
      </c>
      <c r="B422" s="857" t="s">
        <v>649</v>
      </c>
      <c r="C422" s="723"/>
      <c r="D422" s="724">
        <v>30000</v>
      </c>
      <c r="E422" s="724">
        <v>108500</v>
      </c>
      <c r="F422" s="724">
        <v>25500</v>
      </c>
      <c r="G422" s="724">
        <v>0</v>
      </c>
      <c r="H422" s="724">
        <v>0</v>
      </c>
      <c r="I422" s="724">
        <v>0</v>
      </c>
      <c r="J422" s="724">
        <v>55000</v>
      </c>
      <c r="K422" s="724">
        <v>0</v>
      </c>
      <c r="L422" s="724">
        <v>5000</v>
      </c>
      <c r="M422" s="724">
        <v>0</v>
      </c>
      <c r="N422" s="724">
        <v>0</v>
      </c>
      <c r="O422" s="724" t="s">
        <v>251</v>
      </c>
      <c r="P422" s="1497">
        <f t="shared" si="36"/>
        <v>164000</v>
      </c>
      <c r="Q422" s="1127">
        <f t="shared" si="37"/>
        <v>224000</v>
      </c>
      <c r="R422" s="723"/>
      <c r="S422" s="724"/>
      <c r="T422" s="724">
        <v>42250</v>
      </c>
      <c r="U422" s="724">
        <v>135000</v>
      </c>
      <c r="V422" s="724">
        <v>0</v>
      </c>
      <c r="W422" s="724">
        <v>0</v>
      </c>
      <c r="X422" s="724">
        <v>0</v>
      </c>
      <c r="Y422" s="724">
        <v>0</v>
      </c>
      <c r="Z422" s="724"/>
      <c r="AA422" s="724"/>
      <c r="AB422" s="724"/>
      <c r="AC422" s="724"/>
      <c r="AD422" s="1127">
        <f t="shared" si="39"/>
        <v>177250</v>
      </c>
      <c r="AE422" s="858">
        <f t="shared" si="40"/>
        <v>8.0792682926829271E-2</v>
      </c>
      <c r="AF422" s="859">
        <f t="shared" si="38"/>
        <v>643</v>
      </c>
    </row>
    <row r="423" spans="1:32" x14ac:dyDescent="0.3">
      <c r="A423" s="293" t="s">
        <v>618</v>
      </c>
      <c r="B423" s="857" t="s">
        <v>646</v>
      </c>
      <c r="C423" s="723"/>
      <c r="D423" s="724">
        <v>0</v>
      </c>
      <c r="E423" s="724"/>
      <c r="F423" s="724">
        <v>37000</v>
      </c>
      <c r="G423" s="724">
        <v>64000</v>
      </c>
      <c r="H423" s="724">
        <v>0</v>
      </c>
      <c r="I423" s="724">
        <v>0</v>
      </c>
      <c r="J423" s="724">
        <v>0</v>
      </c>
      <c r="K423" s="724">
        <v>0</v>
      </c>
      <c r="L423" s="724">
        <v>129750</v>
      </c>
      <c r="M423" s="724">
        <v>0</v>
      </c>
      <c r="N423" s="724">
        <v>0</v>
      </c>
      <c r="O423" s="724" t="s">
        <v>251</v>
      </c>
      <c r="P423" s="1497">
        <f t="shared" si="36"/>
        <v>101000</v>
      </c>
      <c r="Q423" s="1127">
        <f t="shared" si="37"/>
        <v>230750</v>
      </c>
      <c r="R423" s="723"/>
      <c r="S423" s="724"/>
      <c r="T423" s="724"/>
      <c r="U423" s="724">
        <v>55500</v>
      </c>
      <c r="V423" s="724">
        <v>73500</v>
      </c>
      <c r="W423" s="724">
        <v>5000</v>
      </c>
      <c r="X423" s="724">
        <v>0</v>
      </c>
      <c r="Y423" s="724">
        <v>0</v>
      </c>
      <c r="Z423" s="724"/>
      <c r="AA423" s="724"/>
      <c r="AB423" s="724"/>
      <c r="AC423" s="724"/>
      <c r="AD423" s="1127">
        <f t="shared" si="39"/>
        <v>134000</v>
      </c>
      <c r="AE423" s="858">
        <f t="shared" si="40"/>
        <v>0.32673267326732675</v>
      </c>
      <c r="AF423" s="859">
        <f t="shared" si="38"/>
        <v>694</v>
      </c>
    </row>
    <row r="424" spans="1:32" x14ac:dyDescent="0.3">
      <c r="A424" s="293" t="s">
        <v>618</v>
      </c>
      <c r="B424" s="857" t="s">
        <v>638</v>
      </c>
      <c r="C424" s="723"/>
      <c r="D424" s="724">
        <v>0</v>
      </c>
      <c r="E424" s="724">
        <v>35000</v>
      </c>
      <c r="F424" s="724">
        <v>30000</v>
      </c>
      <c r="G424" s="724">
        <v>30000</v>
      </c>
      <c r="H424" s="724">
        <v>0</v>
      </c>
      <c r="I424" s="724">
        <v>0</v>
      </c>
      <c r="J424" s="724">
        <v>0</v>
      </c>
      <c r="K424" s="724">
        <v>0</v>
      </c>
      <c r="L424" s="724">
        <v>50000</v>
      </c>
      <c r="M424" s="724">
        <v>5000</v>
      </c>
      <c r="N424" s="724">
        <v>5000</v>
      </c>
      <c r="O424" s="724">
        <v>20000</v>
      </c>
      <c r="P424" s="1497">
        <f t="shared" si="36"/>
        <v>95000</v>
      </c>
      <c r="Q424" s="1127">
        <f t="shared" si="37"/>
        <v>175000</v>
      </c>
      <c r="R424" s="723"/>
      <c r="S424" s="724"/>
      <c r="T424" s="724"/>
      <c r="U424" s="724">
        <v>75000</v>
      </c>
      <c r="V424" s="724">
        <v>35000</v>
      </c>
      <c r="W424" s="724">
        <v>15000</v>
      </c>
      <c r="X424" s="724">
        <v>0</v>
      </c>
      <c r="Y424" s="724">
        <v>0</v>
      </c>
      <c r="Z424" s="724"/>
      <c r="AA424" s="724"/>
      <c r="AB424" s="724"/>
      <c r="AC424" s="724"/>
      <c r="AD424" s="1127">
        <f t="shared" si="39"/>
        <v>125000</v>
      </c>
      <c r="AE424" s="858">
        <f t="shared" si="40"/>
        <v>0.31578947368421051</v>
      </c>
      <c r="AF424" s="859">
        <f t="shared" si="38"/>
        <v>705</v>
      </c>
    </row>
    <row r="425" spans="1:32" x14ac:dyDescent="0.3">
      <c r="A425" s="293" t="s">
        <v>618</v>
      </c>
      <c r="B425" s="857" t="s">
        <v>652</v>
      </c>
      <c r="C425" s="723"/>
      <c r="D425" s="724">
        <v>0</v>
      </c>
      <c r="E425" s="724">
        <v>69000</v>
      </c>
      <c r="F425" s="724">
        <v>0</v>
      </c>
      <c r="G425" s="724">
        <v>0</v>
      </c>
      <c r="H425" s="724">
        <v>0</v>
      </c>
      <c r="I425" s="724">
        <v>0</v>
      </c>
      <c r="J425" s="724">
        <v>0</v>
      </c>
      <c r="K425" s="724">
        <v>0</v>
      </c>
      <c r="L425" s="724">
        <v>10000</v>
      </c>
      <c r="M425" s="724">
        <v>0</v>
      </c>
      <c r="N425" s="724">
        <v>0</v>
      </c>
      <c r="O425" s="724">
        <v>20000</v>
      </c>
      <c r="P425" s="1497">
        <f t="shared" si="36"/>
        <v>69000</v>
      </c>
      <c r="Q425" s="1127">
        <f t="shared" si="37"/>
        <v>99000</v>
      </c>
      <c r="R425" s="723">
        <v>40000</v>
      </c>
      <c r="S425" s="724">
        <v>165500</v>
      </c>
      <c r="T425" s="724">
        <v>150250</v>
      </c>
      <c r="U425" s="724">
        <v>20000</v>
      </c>
      <c r="V425" s="724">
        <v>109000</v>
      </c>
      <c r="W425" s="724">
        <v>295000</v>
      </c>
      <c r="X425" s="724">
        <v>115000</v>
      </c>
      <c r="Y425" s="724">
        <v>192000</v>
      </c>
      <c r="Z425" s="724"/>
      <c r="AA425" s="724"/>
      <c r="AB425" s="724"/>
      <c r="AC425" s="724"/>
      <c r="AD425" s="1127">
        <f t="shared" si="39"/>
        <v>1086750</v>
      </c>
      <c r="AE425" s="858">
        <f t="shared" si="40"/>
        <v>14.75</v>
      </c>
      <c r="AF425" s="859">
        <f t="shared" si="38"/>
        <v>305</v>
      </c>
    </row>
    <row r="426" spans="1:32" x14ac:dyDescent="0.3">
      <c r="A426" s="293" t="s">
        <v>618</v>
      </c>
      <c r="B426" s="857" t="s">
        <v>653</v>
      </c>
      <c r="C426" s="723"/>
      <c r="D426" s="724">
        <v>0</v>
      </c>
      <c r="E426" s="724"/>
      <c r="F426" s="724">
        <v>37500</v>
      </c>
      <c r="G426" s="724">
        <v>22500</v>
      </c>
      <c r="H426" s="724">
        <v>0</v>
      </c>
      <c r="I426" s="724">
        <v>0</v>
      </c>
      <c r="J426" s="724">
        <v>0</v>
      </c>
      <c r="K426" s="724">
        <v>0</v>
      </c>
      <c r="L426" s="724">
        <v>0</v>
      </c>
      <c r="M426" s="724">
        <v>0</v>
      </c>
      <c r="N426" s="724">
        <v>0</v>
      </c>
      <c r="O426" s="724" t="s">
        <v>251</v>
      </c>
      <c r="P426" s="1497">
        <f t="shared" si="36"/>
        <v>60000</v>
      </c>
      <c r="Q426" s="1127">
        <f t="shared" si="37"/>
        <v>60000</v>
      </c>
      <c r="R426" s="723"/>
      <c r="S426" s="724"/>
      <c r="T426" s="724"/>
      <c r="U426" s="724"/>
      <c r="V426" s="724"/>
      <c r="W426" s="724"/>
      <c r="X426" s="724"/>
      <c r="Y426" s="724"/>
      <c r="Z426" s="724"/>
      <c r="AA426" s="724"/>
      <c r="AB426" s="724"/>
      <c r="AC426" s="724"/>
      <c r="AD426" s="1127">
        <f t="shared" si="39"/>
        <v>0</v>
      </c>
      <c r="AE426" s="858">
        <f t="shared" si="40"/>
        <v>-1</v>
      </c>
      <c r="AF426" s="859">
        <f t="shared" si="38"/>
        <v>983</v>
      </c>
    </row>
    <row r="427" spans="1:32" x14ac:dyDescent="0.3">
      <c r="A427" s="293" t="s">
        <v>618</v>
      </c>
      <c r="B427" s="857" t="s">
        <v>654</v>
      </c>
      <c r="C427" s="723"/>
      <c r="D427" s="724">
        <v>0</v>
      </c>
      <c r="E427" s="724"/>
      <c r="F427" s="724">
        <v>59000</v>
      </c>
      <c r="G427" s="724">
        <v>0</v>
      </c>
      <c r="H427" s="724">
        <v>0</v>
      </c>
      <c r="I427" s="724">
        <v>0</v>
      </c>
      <c r="J427" s="724">
        <v>0</v>
      </c>
      <c r="K427" s="724">
        <v>0</v>
      </c>
      <c r="L427" s="724">
        <v>0</v>
      </c>
      <c r="M427" s="724">
        <v>37500</v>
      </c>
      <c r="N427" s="724">
        <v>0</v>
      </c>
      <c r="O427" s="724" t="s">
        <v>251</v>
      </c>
      <c r="P427" s="1497">
        <f t="shared" si="36"/>
        <v>59000</v>
      </c>
      <c r="Q427" s="1127">
        <f t="shared" si="37"/>
        <v>96500</v>
      </c>
      <c r="R427" s="723"/>
      <c r="S427" s="724"/>
      <c r="T427" s="724"/>
      <c r="U427" s="724">
        <v>80000</v>
      </c>
      <c r="V427" s="724">
        <v>0</v>
      </c>
      <c r="W427" s="724">
        <v>0</v>
      </c>
      <c r="X427" s="724">
        <v>0</v>
      </c>
      <c r="Y427" s="724">
        <v>0</v>
      </c>
      <c r="Z427" s="724"/>
      <c r="AA427" s="724"/>
      <c r="AB427" s="724"/>
      <c r="AC427" s="724"/>
      <c r="AD427" s="1127">
        <f t="shared" si="39"/>
        <v>80000</v>
      </c>
      <c r="AE427" s="858">
        <f t="shared" si="40"/>
        <v>0.3559322033898305</v>
      </c>
      <c r="AF427" s="859">
        <f t="shared" si="38"/>
        <v>773</v>
      </c>
    </row>
    <row r="428" spans="1:32" x14ac:dyDescent="0.3">
      <c r="A428" s="293" t="s">
        <v>618</v>
      </c>
      <c r="B428" s="857" t="s">
        <v>650</v>
      </c>
      <c r="C428" s="723"/>
      <c r="D428" s="724">
        <v>0</v>
      </c>
      <c r="E428" s="724">
        <v>5000</v>
      </c>
      <c r="F428" s="724">
        <v>5000</v>
      </c>
      <c r="G428" s="724">
        <v>35000</v>
      </c>
      <c r="H428" s="724">
        <v>25000</v>
      </c>
      <c r="I428" s="724">
        <v>10000</v>
      </c>
      <c r="J428" s="724">
        <v>0</v>
      </c>
      <c r="K428" s="724">
        <v>0</v>
      </c>
      <c r="L428" s="724">
        <v>10000</v>
      </c>
      <c r="M428" s="724">
        <v>0</v>
      </c>
      <c r="N428" s="724">
        <v>370250</v>
      </c>
      <c r="O428" s="724" t="s">
        <v>251</v>
      </c>
      <c r="P428" s="1497">
        <f t="shared" si="36"/>
        <v>80000</v>
      </c>
      <c r="Q428" s="1127">
        <f t="shared" si="37"/>
        <v>460250</v>
      </c>
      <c r="R428" s="723">
        <v>5000</v>
      </c>
      <c r="S428" s="724"/>
      <c r="T428" s="724">
        <v>0</v>
      </c>
      <c r="U428" s="724">
        <v>15000</v>
      </c>
      <c r="V428" s="724">
        <v>160000</v>
      </c>
      <c r="W428" s="724">
        <v>0</v>
      </c>
      <c r="X428" s="724">
        <v>15000</v>
      </c>
      <c r="Y428" s="724">
        <v>15000</v>
      </c>
      <c r="Z428" s="724"/>
      <c r="AA428" s="724"/>
      <c r="AB428" s="724"/>
      <c r="AC428" s="724"/>
      <c r="AD428" s="1127">
        <f t="shared" si="39"/>
        <v>210000</v>
      </c>
      <c r="AE428" s="858">
        <f t="shared" si="40"/>
        <v>1.625</v>
      </c>
      <c r="AF428" s="859">
        <f t="shared" si="38"/>
        <v>604</v>
      </c>
    </row>
    <row r="429" spans="1:32" x14ac:dyDescent="0.3">
      <c r="A429" s="293" t="s">
        <v>618</v>
      </c>
      <c r="B429" s="857" t="s">
        <v>651</v>
      </c>
      <c r="C429" s="723"/>
      <c r="D429" s="724">
        <v>0</v>
      </c>
      <c r="E429" s="724">
        <v>30000</v>
      </c>
      <c r="F429" s="724">
        <v>5000</v>
      </c>
      <c r="G429" s="724">
        <v>0</v>
      </c>
      <c r="H429" s="724">
        <v>0</v>
      </c>
      <c r="I429" s="724">
        <v>5000</v>
      </c>
      <c r="J429" s="724">
        <v>5000</v>
      </c>
      <c r="K429" s="724">
        <v>5000</v>
      </c>
      <c r="L429" s="724">
        <v>35000</v>
      </c>
      <c r="M429" s="724">
        <v>0</v>
      </c>
      <c r="N429" s="724">
        <v>0</v>
      </c>
      <c r="O429" s="724" t="s">
        <v>251</v>
      </c>
      <c r="P429" s="1497">
        <f t="shared" si="36"/>
        <v>45000</v>
      </c>
      <c r="Q429" s="1127">
        <f t="shared" si="37"/>
        <v>80000</v>
      </c>
      <c r="R429" s="723"/>
      <c r="S429" s="724"/>
      <c r="T429" s="724">
        <v>20000</v>
      </c>
      <c r="U429" s="724">
        <v>35000</v>
      </c>
      <c r="V429" s="724">
        <v>10000</v>
      </c>
      <c r="W429" s="724">
        <v>5000</v>
      </c>
      <c r="X429" s="724">
        <v>20000</v>
      </c>
      <c r="Y429" s="724">
        <v>5000</v>
      </c>
      <c r="Z429" s="724"/>
      <c r="AA429" s="724"/>
      <c r="AB429" s="724"/>
      <c r="AC429" s="724"/>
      <c r="AD429" s="1127">
        <f t="shared" si="39"/>
        <v>95000</v>
      </c>
      <c r="AE429" s="858">
        <f t="shared" si="40"/>
        <v>1.1111111111111112</v>
      </c>
      <c r="AF429" s="859">
        <f t="shared" si="38"/>
        <v>749</v>
      </c>
    </row>
    <row r="430" spans="1:32" x14ac:dyDescent="0.3">
      <c r="A430" s="293" t="s">
        <v>618</v>
      </c>
      <c r="B430" s="857" t="s">
        <v>656</v>
      </c>
      <c r="C430" s="723"/>
      <c r="D430" s="724">
        <v>0</v>
      </c>
      <c r="E430" s="724"/>
      <c r="F430" s="724">
        <v>0</v>
      </c>
      <c r="G430" s="724">
        <v>30000</v>
      </c>
      <c r="H430" s="724">
        <v>0</v>
      </c>
      <c r="I430" s="724">
        <v>0</v>
      </c>
      <c r="J430" s="724">
        <v>805000</v>
      </c>
      <c r="K430" s="724">
        <v>170000</v>
      </c>
      <c r="L430" s="724">
        <v>185000</v>
      </c>
      <c r="M430" s="724">
        <v>0</v>
      </c>
      <c r="N430" s="724">
        <v>0</v>
      </c>
      <c r="O430" s="724" t="s">
        <v>251</v>
      </c>
      <c r="P430" s="1497">
        <f t="shared" si="36"/>
        <v>200000</v>
      </c>
      <c r="Q430" s="1127">
        <f t="shared" si="37"/>
        <v>1020000</v>
      </c>
      <c r="R430" s="723"/>
      <c r="S430" s="724"/>
      <c r="T430" s="724">
        <v>160000</v>
      </c>
      <c r="U430" s="724">
        <v>640000</v>
      </c>
      <c r="V430" s="724">
        <v>0</v>
      </c>
      <c r="W430" s="724">
        <v>0</v>
      </c>
      <c r="X430" s="724">
        <v>0</v>
      </c>
      <c r="Y430" s="724">
        <v>0</v>
      </c>
      <c r="Z430" s="724"/>
      <c r="AA430" s="724"/>
      <c r="AB430" s="724"/>
      <c r="AC430" s="724"/>
      <c r="AD430" s="1127">
        <f t="shared" si="39"/>
        <v>800000</v>
      </c>
      <c r="AE430" s="858">
        <f t="shared" si="40"/>
        <v>3</v>
      </c>
      <c r="AF430" s="859">
        <f t="shared" si="38"/>
        <v>355</v>
      </c>
    </row>
    <row r="431" spans="1:32" x14ac:dyDescent="0.3">
      <c r="A431" s="293" t="s">
        <v>618</v>
      </c>
      <c r="B431" s="857" t="s">
        <v>657</v>
      </c>
      <c r="C431" s="723">
        <v>25000</v>
      </c>
      <c r="D431" s="724">
        <v>0</v>
      </c>
      <c r="E431" s="724"/>
      <c r="F431" s="724">
        <v>0</v>
      </c>
      <c r="G431" s="724">
        <v>0</v>
      </c>
      <c r="H431" s="724">
        <v>0</v>
      </c>
      <c r="I431" s="724">
        <v>0</v>
      </c>
      <c r="J431" s="724">
        <v>209000</v>
      </c>
      <c r="K431" s="724">
        <v>197500</v>
      </c>
      <c r="L431" s="724">
        <v>184000</v>
      </c>
      <c r="M431" s="724">
        <v>70000</v>
      </c>
      <c r="N431" s="724">
        <v>219000</v>
      </c>
      <c r="O431" s="724">
        <v>62500</v>
      </c>
      <c r="P431" s="1497">
        <f t="shared" si="36"/>
        <v>222500</v>
      </c>
      <c r="Q431" s="1127">
        <f t="shared" si="37"/>
        <v>769500</v>
      </c>
      <c r="R431" s="723">
        <v>215750</v>
      </c>
      <c r="S431" s="724">
        <v>5000</v>
      </c>
      <c r="T431" s="724">
        <v>697000</v>
      </c>
      <c r="U431" s="724">
        <v>306500</v>
      </c>
      <c r="V431" s="724">
        <v>86500</v>
      </c>
      <c r="W431" s="724">
        <v>56500</v>
      </c>
      <c r="X431" s="724">
        <v>10000</v>
      </c>
      <c r="Y431" s="724">
        <v>160000</v>
      </c>
      <c r="Z431" s="724"/>
      <c r="AA431" s="724"/>
      <c r="AB431" s="724"/>
      <c r="AC431" s="724"/>
      <c r="AD431" s="1127">
        <f t="shared" si="39"/>
        <v>1537250</v>
      </c>
      <c r="AE431" s="858">
        <f t="shared" si="40"/>
        <v>5.9089887640449437</v>
      </c>
      <c r="AF431" s="859">
        <f t="shared" si="38"/>
        <v>245</v>
      </c>
    </row>
    <row r="432" spans="1:32" x14ac:dyDescent="0.3">
      <c r="A432" s="293" t="s">
        <v>618</v>
      </c>
      <c r="B432" s="857" t="s">
        <v>740</v>
      </c>
      <c r="C432" s="723"/>
      <c r="D432" s="724">
        <v>0</v>
      </c>
      <c r="E432" s="724"/>
      <c r="F432" s="724">
        <v>0</v>
      </c>
      <c r="G432" s="724">
        <v>25000</v>
      </c>
      <c r="H432" s="724">
        <v>0</v>
      </c>
      <c r="I432" s="724">
        <v>0</v>
      </c>
      <c r="J432" s="724">
        <v>0</v>
      </c>
      <c r="K432" s="724">
        <v>0</v>
      </c>
      <c r="L432" s="724">
        <v>45000</v>
      </c>
      <c r="M432" s="724">
        <v>0</v>
      </c>
      <c r="N432" s="724">
        <v>0</v>
      </c>
      <c r="O432" s="724" t="s">
        <v>251</v>
      </c>
      <c r="P432" s="1497">
        <f t="shared" si="36"/>
        <v>25000</v>
      </c>
      <c r="Q432" s="1127">
        <f t="shared" si="37"/>
        <v>70000</v>
      </c>
      <c r="R432" s="723"/>
      <c r="S432" s="724"/>
      <c r="T432" s="724"/>
      <c r="U432" s="724"/>
      <c r="V432" s="724"/>
      <c r="W432" s="724"/>
      <c r="X432" s="724"/>
      <c r="Y432" s="724"/>
      <c r="Z432" s="724"/>
      <c r="AA432" s="724"/>
      <c r="AB432" s="724"/>
      <c r="AC432" s="724"/>
      <c r="AD432" s="1127">
        <f t="shared" si="39"/>
        <v>0</v>
      </c>
      <c r="AE432" s="858">
        <f t="shared" si="40"/>
        <v>-1</v>
      </c>
      <c r="AF432" s="859">
        <f t="shared" si="38"/>
        <v>983</v>
      </c>
    </row>
    <row r="433" spans="1:32" x14ac:dyDescent="0.3">
      <c r="A433" s="293" t="s">
        <v>618</v>
      </c>
      <c r="B433" s="857" t="s">
        <v>658</v>
      </c>
      <c r="C433" s="723"/>
      <c r="D433" s="724">
        <v>0</v>
      </c>
      <c r="E433" s="724">
        <v>5000</v>
      </c>
      <c r="F433" s="724">
        <v>18000</v>
      </c>
      <c r="G433" s="724">
        <v>0</v>
      </c>
      <c r="H433" s="724">
        <v>20000</v>
      </c>
      <c r="I433" s="724">
        <v>0</v>
      </c>
      <c r="J433" s="724">
        <v>15000</v>
      </c>
      <c r="K433" s="724">
        <v>15000</v>
      </c>
      <c r="L433" s="724">
        <v>0</v>
      </c>
      <c r="M433" s="724">
        <v>0</v>
      </c>
      <c r="N433" s="724">
        <v>0</v>
      </c>
      <c r="O433" s="724" t="s">
        <v>251</v>
      </c>
      <c r="P433" s="1497">
        <f t="shared" si="36"/>
        <v>58000</v>
      </c>
      <c r="Q433" s="1127">
        <f t="shared" si="37"/>
        <v>58000</v>
      </c>
      <c r="R433" s="723"/>
      <c r="S433" s="724"/>
      <c r="T433" s="724"/>
      <c r="U433" s="724"/>
      <c r="V433" s="724"/>
      <c r="W433" s="724"/>
      <c r="X433" s="724"/>
      <c r="Y433" s="724"/>
      <c r="Z433" s="724"/>
      <c r="AA433" s="724"/>
      <c r="AB433" s="724"/>
      <c r="AC433" s="724"/>
      <c r="AD433" s="1127">
        <f t="shared" si="39"/>
        <v>0</v>
      </c>
      <c r="AE433" s="858">
        <f t="shared" si="40"/>
        <v>-1</v>
      </c>
      <c r="AF433" s="859">
        <f t="shared" si="38"/>
        <v>983</v>
      </c>
    </row>
    <row r="434" spans="1:32" x14ac:dyDescent="0.3">
      <c r="A434" s="293" t="s">
        <v>618</v>
      </c>
      <c r="B434" s="857" t="s">
        <v>741</v>
      </c>
      <c r="C434" s="723"/>
      <c r="D434" s="724">
        <v>0</v>
      </c>
      <c r="E434" s="724"/>
      <c r="F434" s="724">
        <v>0</v>
      </c>
      <c r="G434" s="724">
        <v>15000</v>
      </c>
      <c r="H434" s="724">
        <v>0</v>
      </c>
      <c r="I434" s="724">
        <v>5000</v>
      </c>
      <c r="J434" s="724">
        <v>0</v>
      </c>
      <c r="K434" s="724">
        <v>0</v>
      </c>
      <c r="L434" s="724">
        <v>0</v>
      </c>
      <c r="M434" s="724">
        <v>0</v>
      </c>
      <c r="N434" s="724">
        <v>0</v>
      </c>
      <c r="O434" s="724" t="s">
        <v>251</v>
      </c>
      <c r="P434" s="1497">
        <f t="shared" si="36"/>
        <v>20000</v>
      </c>
      <c r="Q434" s="1127">
        <f t="shared" si="37"/>
        <v>20000</v>
      </c>
      <c r="R434" s="723"/>
      <c r="S434" s="724"/>
      <c r="T434" s="724"/>
      <c r="U434" s="724"/>
      <c r="V434" s="724"/>
      <c r="W434" s="724">
        <v>52000</v>
      </c>
      <c r="X434" s="724">
        <v>0</v>
      </c>
      <c r="Y434" s="724">
        <v>0</v>
      </c>
      <c r="Z434" s="724"/>
      <c r="AA434" s="724"/>
      <c r="AB434" s="724"/>
      <c r="AC434" s="724"/>
      <c r="AD434" s="1127">
        <f t="shared" si="39"/>
        <v>52000</v>
      </c>
      <c r="AE434" s="858">
        <f t="shared" si="40"/>
        <v>1.6</v>
      </c>
      <c r="AF434" s="859">
        <f t="shared" si="38"/>
        <v>841</v>
      </c>
    </row>
    <row r="435" spans="1:32" x14ac:dyDescent="0.3">
      <c r="A435" s="293" t="s">
        <v>618</v>
      </c>
      <c r="B435" s="857" t="s">
        <v>661</v>
      </c>
      <c r="C435" s="723"/>
      <c r="D435" s="724">
        <v>0</v>
      </c>
      <c r="E435" s="724">
        <v>10000</v>
      </c>
      <c r="F435" s="724">
        <v>0</v>
      </c>
      <c r="G435" s="724">
        <v>0</v>
      </c>
      <c r="H435" s="724">
        <v>0</v>
      </c>
      <c r="I435" s="724">
        <v>0</v>
      </c>
      <c r="J435" s="724">
        <v>0</v>
      </c>
      <c r="K435" s="724">
        <v>0</v>
      </c>
      <c r="L435" s="724">
        <v>0</v>
      </c>
      <c r="M435" s="724">
        <v>0</v>
      </c>
      <c r="N435" s="724">
        <v>0</v>
      </c>
      <c r="O435" s="724" t="s">
        <v>251</v>
      </c>
      <c r="P435" s="1497">
        <f t="shared" si="36"/>
        <v>10000</v>
      </c>
      <c r="Q435" s="1127">
        <f t="shared" si="37"/>
        <v>10000</v>
      </c>
      <c r="R435" s="723"/>
      <c r="S435" s="724"/>
      <c r="T435" s="724"/>
      <c r="U435" s="724"/>
      <c r="V435" s="724"/>
      <c r="W435" s="724">
        <v>140750</v>
      </c>
      <c r="X435" s="724">
        <v>0</v>
      </c>
      <c r="Y435" s="724">
        <v>0</v>
      </c>
      <c r="Z435" s="724"/>
      <c r="AA435" s="724"/>
      <c r="AB435" s="724"/>
      <c r="AC435" s="724"/>
      <c r="AD435" s="1127">
        <f t="shared" si="39"/>
        <v>140750</v>
      </c>
      <c r="AE435" s="858">
        <f t="shared" si="40"/>
        <v>13.074999999999999</v>
      </c>
      <c r="AF435" s="859">
        <f t="shared" si="38"/>
        <v>682</v>
      </c>
    </row>
    <row r="436" spans="1:32" x14ac:dyDescent="0.3">
      <c r="A436" s="293" t="s">
        <v>618</v>
      </c>
      <c r="B436" s="857" t="s">
        <v>659</v>
      </c>
      <c r="C436" s="723"/>
      <c r="D436" s="724">
        <v>0</v>
      </c>
      <c r="E436" s="724"/>
      <c r="F436" s="724">
        <v>0</v>
      </c>
      <c r="G436" s="724">
        <v>5000</v>
      </c>
      <c r="H436" s="724">
        <v>0</v>
      </c>
      <c r="I436" s="724">
        <v>0</v>
      </c>
      <c r="J436" s="724">
        <v>0</v>
      </c>
      <c r="K436" s="724">
        <v>0</v>
      </c>
      <c r="L436" s="724">
        <v>0</v>
      </c>
      <c r="M436" s="724">
        <v>0</v>
      </c>
      <c r="N436" s="724">
        <v>0</v>
      </c>
      <c r="O436" s="724" t="s">
        <v>251</v>
      </c>
      <c r="P436" s="1497">
        <f t="shared" si="36"/>
        <v>5000</v>
      </c>
      <c r="Q436" s="1127">
        <f t="shared" si="37"/>
        <v>5000</v>
      </c>
      <c r="R436" s="723"/>
      <c r="S436" s="724"/>
      <c r="T436" s="724"/>
      <c r="U436" s="724"/>
      <c r="V436" s="724"/>
      <c r="W436" s="724"/>
      <c r="X436" s="724"/>
      <c r="Y436" s="724"/>
      <c r="Z436" s="724"/>
      <c r="AA436" s="724"/>
      <c r="AB436" s="724"/>
      <c r="AC436" s="724"/>
      <c r="AD436" s="1127">
        <f t="shared" si="39"/>
        <v>0</v>
      </c>
      <c r="AE436" s="858">
        <f t="shared" si="40"/>
        <v>-1</v>
      </c>
      <c r="AF436" s="859">
        <f t="shared" si="38"/>
        <v>983</v>
      </c>
    </row>
    <row r="437" spans="1:32" x14ac:dyDescent="0.3">
      <c r="A437" s="293" t="s">
        <v>618</v>
      </c>
      <c r="B437" s="857" t="s">
        <v>667</v>
      </c>
      <c r="C437" s="723"/>
      <c r="D437" s="724" t="s">
        <v>251</v>
      </c>
      <c r="E437" s="724"/>
      <c r="F437" s="724" t="s">
        <v>251</v>
      </c>
      <c r="G437" s="724" t="s">
        <v>251</v>
      </c>
      <c r="H437" s="724" t="s">
        <v>251</v>
      </c>
      <c r="I437" s="724" t="s">
        <v>251</v>
      </c>
      <c r="J437" s="724" t="s">
        <v>251</v>
      </c>
      <c r="K437" s="724"/>
      <c r="L437" s="724" t="s">
        <v>251</v>
      </c>
      <c r="M437" s="724" t="s">
        <v>251</v>
      </c>
      <c r="N437" s="724" t="s">
        <v>251</v>
      </c>
      <c r="O437" s="724" t="s">
        <v>251</v>
      </c>
      <c r="P437" s="1497">
        <f t="shared" si="36"/>
        <v>0</v>
      </c>
      <c r="Q437" s="1127">
        <f t="shared" si="37"/>
        <v>0</v>
      </c>
      <c r="R437" s="723"/>
      <c r="S437" s="724"/>
      <c r="T437" s="724"/>
      <c r="U437" s="724"/>
      <c r="V437" s="724"/>
      <c r="W437" s="724"/>
      <c r="X437" s="724"/>
      <c r="Y437" s="724"/>
      <c r="Z437" s="724"/>
      <c r="AA437" s="724"/>
      <c r="AB437" s="724"/>
      <c r="AC437" s="724"/>
      <c r="AD437" s="1127">
        <f t="shared" si="39"/>
        <v>0</v>
      </c>
      <c r="AE437" s="858">
        <f t="shared" si="40"/>
        <v>0</v>
      </c>
      <c r="AF437" s="859">
        <f t="shared" si="38"/>
        <v>983</v>
      </c>
    </row>
    <row r="438" spans="1:32" x14ac:dyDescent="0.3">
      <c r="A438" s="293" t="s">
        <v>618</v>
      </c>
      <c r="B438" s="857" t="s">
        <v>666</v>
      </c>
      <c r="C438" s="723"/>
      <c r="D438" s="724" t="s">
        <v>251</v>
      </c>
      <c r="E438" s="724"/>
      <c r="F438" s="724" t="s">
        <v>251</v>
      </c>
      <c r="G438" s="724" t="s">
        <v>251</v>
      </c>
      <c r="H438" s="724" t="s">
        <v>251</v>
      </c>
      <c r="I438" s="724" t="s">
        <v>251</v>
      </c>
      <c r="J438" s="724" t="s">
        <v>251</v>
      </c>
      <c r="K438" s="724"/>
      <c r="L438" s="724" t="s">
        <v>251</v>
      </c>
      <c r="M438" s="724" t="s">
        <v>251</v>
      </c>
      <c r="N438" s="724" t="s">
        <v>251</v>
      </c>
      <c r="O438" s="724" t="s">
        <v>251</v>
      </c>
      <c r="P438" s="1497">
        <f t="shared" si="36"/>
        <v>0</v>
      </c>
      <c r="Q438" s="1127">
        <f t="shared" si="37"/>
        <v>0</v>
      </c>
      <c r="R438" s="723"/>
      <c r="S438" s="724"/>
      <c r="T438" s="724"/>
      <c r="U438" s="724"/>
      <c r="V438" s="724"/>
      <c r="W438" s="724"/>
      <c r="X438" s="724"/>
      <c r="Y438" s="724"/>
      <c r="Z438" s="724"/>
      <c r="AA438" s="724"/>
      <c r="AB438" s="724"/>
      <c r="AC438" s="724"/>
      <c r="AD438" s="1127">
        <f t="shared" si="39"/>
        <v>0</v>
      </c>
      <c r="AE438" s="858">
        <f t="shared" si="40"/>
        <v>0</v>
      </c>
      <c r="AF438" s="859">
        <f t="shared" si="38"/>
        <v>983</v>
      </c>
    </row>
    <row r="439" spans="1:32" x14ac:dyDescent="0.3">
      <c r="A439" s="293" t="s">
        <v>618</v>
      </c>
      <c r="B439" s="857" t="s">
        <v>663</v>
      </c>
      <c r="C439" s="723"/>
      <c r="D439" s="724" t="s">
        <v>251</v>
      </c>
      <c r="E439" s="724"/>
      <c r="F439" s="724" t="s">
        <v>251</v>
      </c>
      <c r="G439" s="724" t="s">
        <v>251</v>
      </c>
      <c r="H439" s="724" t="s">
        <v>251</v>
      </c>
      <c r="I439" s="724" t="s">
        <v>251</v>
      </c>
      <c r="J439" s="724" t="s">
        <v>251</v>
      </c>
      <c r="K439" s="724"/>
      <c r="L439" s="724" t="s">
        <v>251</v>
      </c>
      <c r="M439" s="724" t="s">
        <v>251</v>
      </c>
      <c r="N439" s="724" t="s">
        <v>251</v>
      </c>
      <c r="O439" s="724" t="s">
        <v>251</v>
      </c>
      <c r="P439" s="1497">
        <f t="shared" si="36"/>
        <v>0</v>
      </c>
      <c r="Q439" s="1127">
        <f t="shared" si="37"/>
        <v>0</v>
      </c>
      <c r="R439" s="723"/>
      <c r="S439" s="724"/>
      <c r="T439" s="724"/>
      <c r="U439" s="724"/>
      <c r="V439" s="724"/>
      <c r="W439" s="724"/>
      <c r="X439" s="724"/>
      <c r="Y439" s="724"/>
      <c r="Z439" s="724"/>
      <c r="AA439" s="724"/>
      <c r="AB439" s="724"/>
      <c r="AC439" s="724"/>
      <c r="AD439" s="1127">
        <f t="shared" si="39"/>
        <v>0</v>
      </c>
      <c r="AE439" s="858">
        <f t="shared" si="40"/>
        <v>0</v>
      </c>
      <c r="AF439" s="859">
        <f t="shared" si="38"/>
        <v>983</v>
      </c>
    </row>
    <row r="440" spans="1:32" x14ac:dyDescent="0.3">
      <c r="A440" s="293" t="s">
        <v>618</v>
      </c>
      <c r="B440" s="857" t="s">
        <v>662</v>
      </c>
      <c r="C440" s="723"/>
      <c r="D440" s="724" t="s">
        <v>251</v>
      </c>
      <c r="E440" s="724"/>
      <c r="F440" s="724" t="s">
        <v>251</v>
      </c>
      <c r="G440" s="724" t="s">
        <v>251</v>
      </c>
      <c r="H440" s="724" t="s">
        <v>251</v>
      </c>
      <c r="I440" s="724" t="s">
        <v>251</v>
      </c>
      <c r="J440" s="724" t="s">
        <v>251</v>
      </c>
      <c r="K440" s="724"/>
      <c r="L440" s="724" t="s">
        <v>251</v>
      </c>
      <c r="M440" s="724" t="s">
        <v>251</v>
      </c>
      <c r="N440" s="724" t="s">
        <v>251</v>
      </c>
      <c r="O440" s="724" t="s">
        <v>251</v>
      </c>
      <c r="P440" s="1497">
        <f t="shared" si="36"/>
        <v>0</v>
      </c>
      <c r="Q440" s="1127">
        <f t="shared" si="37"/>
        <v>0</v>
      </c>
      <c r="R440" s="723"/>
      <c r="S440" s="724"/>
      <c r="T440" s="724"/>
      <c r="U440" s="724"/>
      <c r="V440" s="724"/>
      <c r="W440" s="724"/>
      <c r="X440" s="724"/>
      <c r="Y440" s="724"/>
      <c r="Z440" s="724"/>
      <c r="AA440" s="724"/>
      <c r="AB440" s="724"/>
      <c r="AC440" s="724"/>
      <c r="AD440" s="1127">
        <f t="shared" si="39"/>
        <v>0</v>
      </c>
      <c r="AE440" s="858">
        <f t="shared" si="40"/>
        <v>0</v>
      </c>
      <c r="AF440" s="859">
        <f t="shared" si="38"/>
        <v>983</v>
      </c>
    </row>
    <row r="441" spans="1:32" x14ac:dyDescent="0.3">
      <c r="A441" s="293" t="s">
        <v>618</v>
      </c>
      <c r="B441" s="857" t="s">
        <v>267</v>
      </c>
      <c r="C441" s="723"/>
      <c r="D441" s="724">
        <v>0</v>
      </c>
      <c r="E441" s="724"/>
      <c r="F441" s="724">
        <v>0</v>
      </c>
      <c r="G441" s="724">
        <v>0</v>
      </c>
      <c r="H441" s="724">
        <v>0</v>
      </c>
      <c r="I441" s="724">
        <v>0</v>
      </c>
      <c r="J441" s="724">
        <v>0</v>
      </c>
      <c r="K441" s="724"/>
      <c r="L441" s="724">
        <v>93000</v>
      </c>
      <c r="M441" s="724">
        <v>0</v>
      </c>
      <c r="N441" s="724">
        <v>0</v>
      </c>
      <c r="O441" s="724" t="s">
        <v>251</v>
      </c>
      <c r="P441" s="1497">
        <f t="shared" si="36"/>
        <v>0</v>
      </c>
      <c r="Q441" s="1127">
        <f t="shared" si="37"/>
        <v>93000</v>
      </c>
      <c r="R441" s="723"/>
      <c r="S441" s="724"/>
      <c r="T441" s="724"/>
      <c r="U441" s="724"/>
      <c r="V441" s="724"/>
      <c r="W441" s="724"/>
      <c r="X441" s="724"/>
      <c r="Y441" s="724"/>
      <c r="Z441" s="724"/>
      <c r="AA441" s="724"/>
      <c r="AB441" s="724"/>
      <c r="AC441" s="724"/>
      <c r="AD441" s="1127">
        <f t="shared" si="39"/>
        <v>0</v>
      </c>
      <c r="AE441" s="858">
        <f t="shared" si="40"/>
        <v>0</v>
      </c>
      <c r="AF441" s="859">
        <f t="shared" si="38"/>
        <v>983</v>
      </c>
    </row>
    <row r="442" spans="1:32" x14ac:dyDescent="0.3">
      <c r="A442" s="293" t="s">
        <v>618</v>
      </c>
      <c r="B442" s="857" t="s">
        <v>664</v>
      </c>
      <c r="C442" s="723"/>
      <c r="D442" s="724" t="s">
        <v>251</v>
      </c>
      <c r="E442" s="724"/>
      <c r="F442" s="724" t="s">
        <v>251</v>
      </c>
      <c r="G442" s="724" t="s">
        <v>251</v>
      </c>
      <c r="H442" s="724" t="s">
        <v>251</v>
      </c>
      <c r="I442" s="724" t="s">
        <v>251</v>
      </c>
      <c r="J442" s="724" t="s">
        <v>251</v>
      </c>
      <c r="K442" s="724"/>
      <c r="L442" s="724" t="s">
        <v>251</v>
      </c>
      <c r="M442" s="724" t="s">
        <v>251</v>
      </c>
      <c r="N442" s="724" t="s">
        <v>251</v>
      </c>
      <c r="O442" s="724" t="s">
        <v>251</v>
      </c>
      <c r="P442" s="1497">
        <f t="shared" si="36"/>
        <v>0</v>
      </c>
      <c r="Q442" s="1127">
        <f t="shared" si="37"/>
        <v>0</v>
      </c>
      <c r="R442" s="723"/>
      <c r="S442" s="724"/>
      <c r="T442" s="724"/>
      <c r="U442" s="724"/>
      <c r="V442" s="724"/>
      <c r="W442" s="724"/>
      <c r="X442" s="724"/>
      <c r="Y442" s="724"/>
      <c r="Z442" s="724"/>
      <c r="AA442" s="724"/>
      <c r="AB442" s="724"/>
      <c r="AC442" s="724"/>
      <c r="AD442" s="1127">
        <f t="shared" si="39"/>
        <v>0</v>
      </c>
      <c r="AE442" s="858">
        <f t="shared" si="40"/>
        <v>0</v>
      </c>
      <c r="AF442" s="859">
        <f t="shared" si="38"/>
        <v>983</v>
      </c>
    </row>
    <row r="443" spans="1:32" x14ac:dyDescent="0.3">
      <c r="A443" s="293" t="s">
        <v>618</v>
      </c>
      <c r="B443" s="857" t="s">
        <v>665</v>
      </c>
      <c r="C443" s="723"/>
      <c r="D443" s="724" t="s">
        <v>251</v>
      </c>
      <c r="E443" s="724"/>
      <c r="F443" s="724" t="s">
        <v>251</v>
      </c>
      <c r="G443" s="724" t="s">
        <v>251</v>
      </c>
      <c r="H443" s="724" t="s">
        <v>251</v>
      </c>
      <c r="I443" s="724" t="s">
        <v>251</v>
      </c>
      <c r="J443" s="724" t="s">
        <v>251</v>
      </c>
      <c r="K443" s="724"/>
      <c r="L443" s="724" t="s">
        <v>251</v>
      </c>
      <c r="M443" s="724" t="s">
        <v>251</v>
      </c>
      <c r="N443" s="724" t="s">
        <v>251</v>
      </c>
      <c r="O443" s="724" t="s">
        <v>251</v>
      </c>
      <c r="P443" s="1497">
        <f t="shared" si="36"/>
        <v>0</v>
      </c>
      <c r="Q443" s="1127">
        <f t="shared" si="37"/>
        <v>0</v>
      </c>
      <c r="R443" s="723"/>
      <c r="S443" s="724"/>
      <c r="T443" s="724"/>
      <c r="U443" s="724"/>
      <c r="V443" s="724"/>
      <c r="W443" s="724"/>
      <c r="X443" s="724"/>
      <c r="Y443" s="724"/>
      <c r="Z443" s="724"/>
      <c r="AA443" s="724"/>
      <c r="AB443" s="724"/>
      <c r="AC443" s="724"/>
      <c r="AD443" s="1127">
        <f t="shared" si="39"/>
        <v>0</v>
      </c>
      <c r="AE443" s="858">
        <f t="shared" si="40"/>
        <v>0</v>
      </c>
      <c r="AF443" s="859">
        <f t="shared" si="38"/>
        <v>983</v>
      </c>
    </row>
    <row r="444" spans="1:32" x14ac:dyDescent="0.3">
      <c r="A444" s="293" t="s">
        <v>618</v>
      </c>
      <c r="B444" s="857" t="s">
        <v>668</v>
      </c>
      <c r="C444" s="723"/>
      <c r="D444" s="724" t="s">
        <v>251</v>
      </c>
      <c r="E444" s="724"/>
      <c r="F444" s="724" t="s">
        <v>251</v>
      </c>
      <c r="G444" s="724" t="s">
        <v>251</v>
      </c>
      <c r="H444" s="724" t="s">
        <v>251</v>
      </c>
      <c r="I444" s="724" t="s">
        <v>251</v>
      </c>
      <c r="J444" s="724" t="s">
        <v>251</v>
      </c>
      <c r="K444" s="724"/>
      <c r="L444" s="724" t="s">
        <v>251</v>
      </c>
      <c r="M444" s="724" t="s">
        <v>251</v>
      </c>
      <c r="N444" s="724" t="s">
        <v>251</v>
      </c>
      <c r="O444" s="724" t="s">
        <v>251</v>
      </c>
      <c r="P444" s="1497">
        <f t="shared" si="36"/>
        <v>0</v>
      </c>
      <c r="Q444" s="1127">
        <f t="shared" si="37"/>
        <v>0</v>
      </c>
      <c r="R444" s="723"/>
      <c r="S444" s="724"/>
      <c r="T444" s="724"/>
      <c r="U444" s="724"/>
      <c r="V444" s="724"/>
      <c r="W444" s="724"/>
      <c r="X444" s="724"/>
      <c r="Y444" s="724"/>
      <c r="Z444" s="724"/>
      <c r="AA444" s="724"/>
      <c r="AB444" s="724"/>
      <c r="AC444" s="724"/>
      <c r="AD444" s="1127">
        <f t="shared" si="39"/>
        <v>0</v>
      </c>
      <c r="AE444" s="858">
        <f t="shared" si="40"/>
        <v>0</v>
      </c>
      <c r="AF444" s="859">
        <f t="shared" si="38"/>
        <v>983</v>
      </c>
    </row>
    <row r="445" spans="1:32" x14ac:dyDescent="0.3">
      <c r="A445" s="293" t="s">
        <v>618</v>
      </c>
      <c r="B445" s="857" t="s">
        <v>670</v>
      </c>
      <c r="C445" s="723"/>
      <c r="D445" s="724" t="s">
        <v>251</v>
      </c>
      <c r="E445" s="724"/>
      <c r="F445" s="724" t="s">
        <v>251</v>
      </c>
      <c r="G445" s="724" t="s">
        <v>251</v>
      </c>
      <c r="H445" s="724" t="s">
        <v>251</v>
      </c>
      <c r="I445" s="724" t="s">
        <v>251</v>
      </c>
      <c r="J445" s="724" t="s">
        <v>251</v>
      </c>
      <c r="K445" s="724"/>
      <c r="L445" s="724" t="s">
        <v>251</v>
      </c>
      <c r="M445" s="724" t="s">
        <v>251</v>
      </c>
      <c r="N445" s="724" t="s">
        <v>251</v>
      </c>
      <c r="O445" s="724" t="s">
        <v>251</v>
      </c>
      <c r="P445" s="1497">
        <f t="shared" si="36"/>
        <v>0</v>
      </c>
      <c r="Q445" s="1127">
        <f t="shared" si="37"/>
        <v>0</v>
      </c>
      <c r="R445" s="723"/>
      <c r="S445" s="724"/>
      <c r="T445" s="724"/>
      <c r="U445" s="724"/>
      <c r="V445" s="724"/>
      <c r="W445" s="724"/>
      <c r="X445" s="724"/>
      <c r="Y445" s="724"/>
      <c r="Z445" s="724"/>
      <c r="AA445" s="724"/>
      <c r="AB445" s="724"/>
      <c r="AC445" s="724"/>
      <c r="AD445" s="1127">
        <f t="shared" si="39"/>
        <v>0</v>
      </c>
      <c r="AE445" s="858">
        <f t="shared" si="40"/>
        <v>0</v>
      </c>
      <c r="AF445" s="859">
        <f t="shared" si="38"/>
        <v>983</v>
      </c>
    </row>
    <row r="446" spans="1:32" x14ac:dyDescent="0.3">
      <c r="A446" s="293" t="s">
        <v>618</v>
      </c>
      <c r="B446" s="857" t="s">
        <v>674</v>
      </c>
      <c r="C446" s="723"/>
      <c r="D446" s="724" t="s">
        <v>251</v>
      </c>
      <c r="E446" s="724"/>
      <c r="F446" s="724" t="s">
        <v>251</v>
      </c>
      <c r="G446" s="724" t="s">
        <v>251</v>
      </c>
      <c r="H446" s="724" t="s">
        <v>251</v>
      </c>
      <c r="I446" s="724" t="s">
        <v>251</v>
      </c>
      <c r="J446" s="724" t="s">
        <v>251</v>
      </c>
      <c r="K446" s="724"/>
      <c r="L446" s="724" t="s">
        <v>251</v>
      </c>
      <c r="M446" s="724" t="s">
        <v>251</v>
      </c>
      <c r="N446" s="724" t="s">
        <v>251</v>
      </c>
      <c r="O446" s="724" t="s">
        <v>251</v>
      </c>
      <c r="P446" s="1497">
        <f t="shared" si="36"/>
        <v>0</v>
      </c>
      <c r="Q446" s="1127">
        <f t="shared" si="37"/>
        <v>0</v>
      </c>
      <c r="R446" s="723"/>
      <c r="S446" s="724"/>
      <c r="T446" s="724"/>
      <c r="U446" s="724"/>
      <c r="V446" s="724"/>
      <c r="W446" s="724"/>
      <c r="X446" s="724"/>
      <c r="Y446" s="724"/>
      <c r="Z446" s="724"/>
      <c r="AA446" s="724"/>
      <c r="AB446" s="724"/>
      <c r="AC446" s="724"/>
      <c r="AD446" s="1127">
        <f t="shared" si="39"/>
        <v>0</v>
      </c>
      <c r="AE446" s="858">
        <f t="shared" si="40"/>
        <v>0</v>
      </c>
      <c r="AF446" s="859">
        <f t="shared" si="38"/>
        <v>983</v>
      </c>
    </row>
    <row r="447" spans="1:32" x14ac:dyDescent="0.3">
      <c r="A447" s="293" t="s">
        <v>618</v>
      </c>
      <c r="B447" s="857" t="s">
        <v>672</v>
      </c>
      <c r="C447" s="723"/>
      <c r="D447" s="724" t="s">
        <v>251</v>
      </c>
      <c r="E447" s="724"/>
      <c r="F447" s="724" t="s">
        <v>251</v>
      </c>
      <c r="G447" s="724" t="s">
        <v>251</v>
      </c>
      <c r="H447" s="724" t="s">
        <v>251</v>
      </c>
      <c r="I447" s="724" t="s">
        <v>251</v>
      </c>
      <c r="J447" s="724" t="s">
        <v>251</v>
      </c>
      <c r="K447" s="724"/>
      <c r="L447" s="724" t="s">
        <v>251</v>
      </c>
      <c r="M447" s="724" t="s">
        <v>251</v>
      </c>
      <c r="N447" s="724" t="s">
        <v>251</v>
      </c>
      <c r="O447" s="724" t="s">
        <v>251</v>
      </c>
      <c r="P447" s="1497">
        <f t="shared" si="36"/>
        <v>0</v>
      </c>
      <c r="Q447" s="1127">
        <f t="shared" si="37"/>
        <v>0</v>
      </c>
      <c r="R447" s="723"/>
      <c r="S447" s="724"/>
      <c r="T447" s="724"/>
      <c r="U447" s="724"/>
      <c r="V447" s="724"/>
      <c r="W447" s="724"/>
      <c r="X447" s="724"/>
      <c r="Y447" s="724"/>
      <c r="Z447" s="724"/>
      <c r="AA447" s="724"/>
      <c r="AB447" s="724"/>
      <c r="AC447" s="724"/>
      <c r="AD447" s="1127">
        <f t="shared" si="39"/>
        <v>0</v>
      </c>
      <c r="AE447" s="858">
        <f t="shared" si="40"/>
        <v>0</v>
      </c>
      <c r="AF447" s="859">
        <f t="shared" si="38"/>
        <v>983</v>
      </c>
    </row>
    <row r="448" spans="1:32" x14ac:dyDescent="0.3">
      <c r="A448" s="293" t="s">
        <v>618</v>
      </c>
      <c r="B448" s="857" t="s">
        <v>673</v>
      </c>
      <c r="C448" s="723"/>
      <c r="D448" s="724" t="s">
        <v>251</v>
      </c>
      <c r="E448" s="724"/>
      <c r="F448" s="724" t="s">
        <v>251</v>
      </c>
      <c r="G448" s="724" t="s">
        <v>251</v>
      </c>
      <c r="H448" s="724" t="s">
        <v>251</v>
      </c>
      <c r="I448" s="724" t="s">
        <v>251</v>
      </c>
      <c r="J448" s="724" t="s">
        <v>251</v>
      </c>
      <c r="K448" s="724"/>
      <c r="L448" s="724" t="s">
        <v>251</v>
      </c>
      <c r="M448" s="724" t="s">
        <v>251</v>
      </c>
      <c r="N448" s="724" t="s">
        <v>251</v>
      </c>
      <c r="O448" s="724" t="s">
        <v>251</v>
      </c>
      <c r="P448" s="1497">
        <f t="shared" si="36"/>
        <v>0</v>
      </c>
      <c r="Q448" s="1127">
        <f t="shared" si="37"/>
        <v>0</v>
      </c>
      <c r="R448" s="723"/>
      <c r="S448" s="724"/>
      <c r="T448" s="724"/>
      <c r="U448" s="724"/>
      <c r="V448" s="724"/>
      <c r="W448" s="724"/>
      <c r="X448" s="724"/>
      <c r="Y448" s="724"/>
      <c r="Z448" s="724"/>
      <c r="AA448" s="724"/>
      <c r="AB448" s="724"/>
      <c r="AC448" s="724"/>
      <c r="AD448" s="1127">
        <f t="shared" si="39"/>
        <v>0</v>
      </c>
      <c r="AE448" s="858">
        <f t="shared" si="40"/>
        <v>0</v>
      </c>
      <c r="AF448" s="859">
        <f t="shared" si="38"/>
        <v>983</v>
      </c>
    </row>
    <row r="449" spans="1:32" x14ac:dyDescent="0.3">
      <c r="A449" s="293" t="s">
        <v>618</v>
      </c>
      <c r="B449" s="857" t="s">
        <v>671</v>
      </c>
      <c r="C449" s="723"/>
      <c r="D449" s="724" t="s">
        <v>251</v>
      </c>
      <c r="E449" s="724"/>
      <c r="F449" s="724" t="s">
        <v>251</v>
      </c>
      <c r="G449" s="724" t="s">
        <v>251</v>
      </c>
      <c r="H449" s="724" t="s">
        <v>251</v>
      </c>
      <c r="I449" s="724" t="s">
        <v>251</v>
      </c>
      <c r="J449" s="724" t="s">
        <v>251</v>
      </c>
      <c r="K449" s="724"/>
      <c r="L449" s="724" t="s">
        <v>251</v>
      </c>
      <c r="M449" s="724" t="s">
        <v>251</v>
      </c>
      <c r="N449" s="724" t="s">
        <v>251</v>
      </c>
      <c r="O449" s="724" t="s">
        <v>251</v>
      </c>
      <c r="P449" s="1497">
        <f t="shared" si="36"/>
        <v>0</v>
      </c>
      <c r="Q449" s="1127">
        <f t="shared" si="37"/>
        <v>0</v>
      </c>
      <c r="R449" s="723"/>
      <c r="S449" s="724"/>
      <c r="T449" s="724"/>
      <c r="U449" s="724"/>
      <c r="V449" s="724"/>
      <c r="W449" s="724"/>
      <c r="X449" s="724"/>
      <c r="Y449" s="724"/>
      <c r="Z449" s="724"/>
      <c r="AA449" s="724"/>
      <c r="AB449" s="724"/>
      <c r="AC449" s="724"/>
      <c r="AD449" s="1127">
        <f t="shared" si="39"/>
        <v>0</v>
      </c>
      <c r="AE449" s="858">
        <f t="shared" si="40"/>
        <v>0</v>
      </c>
      <c r="AF449" s="859">
        <f t="shared" si="38"/>
        <v>983</v>
      </c>
    </row>
    <row r="450" spans="1:32" x14ac:dyDescent="0.3">
      <c r="A450" s="293" t="s">
        <v>618</v>
      </c>
      <c r="B450" s="857" t="s">
        <v>1842</v>
      </c>
      <c r="C450" s="723"/>
      <c r="D450" s="724">
        <v>0</v>
      </c>
      <c r="E450" s="724"/>
      <c r="F450" s="724">
        <v>0</v>
      </c>
      <c r="G450" s="724">
        <v>0</v>
      </c>
      <c r="H450" s="724">
        <v>5000</v>
      </c>
      <c r="I450" s="724">
        <v>10000</v>
      </c>
      <c r="J450" s="724">
        <v>0</v>
      </c>
      <c r="K450" s="724">
        <v>0</v>
      </c>
      <c r="L450" s="724">
        <v>0</v>
      </c>
      <c r="M450" s="724">
        <v>0</v>
      </c>
      <c r="N450" s="724">
        <v>0</v>
      </c>
      <c r="O450" s="724" t="s">
        <v>251</v>
      </c>
      <c r="P450" s="1497">
        <f t="shared" si="36"/>
        <v>15000</v>
      </c>
      <c r="Q450" s="1127">
        <f t="shared" si="37"/>
        <v>15000</v>
      </c>
      <c r="R450" s="723"/>
      <c r="S450" s="724"/>
      <c r="T450" s="724"/>
      <c r="U450" s="724"/>
      <c r="V450" s="724"/>
      <c r="W450" s="724"/>
      <c r="X450" s="724"/>
      <c r="Y450" s="724"/>
      <c r="Z450" s="724"/>
      <c r="AA450" s="724"/>
      <c r="AB450" s="724"/>
      <c r="AC450" s="724"/>
      <c r="AD450" s="1127">
        <f t="shared" si="39"/>
        <v>0</v>
      </c>
      <c r="AE450" s="858">
        <f t="shared" si="40"/>
        <v>-1</v>
      </c>
      <c r="AF450" s="859">
        <f t="shared" si="38"/>
        <v>983</v>
      </c>
    </row>
    <row r="451" spans="1:32" x14ac:dyDescent="0.3">
      <c r="A451" s="293" t="s">
        <v>618</v>
      </c>
      <c r="B451" s="857" t="s">
        <v>1839</v>
      </c>
      <c r="C451" s="723"/>
      <c r="D451" s="724">
        <v>0</v>
      </c>
      <c r="E451" s="724"/>
      <c r="F451" s="724">
        <v>0</v>
      </c>
      <c r="G451" s="724">
        <v>0</v>
      </c>
      <c r="H451" s="724">
        <v>5000</v>
      </c>
      <c r="I451" s="724">
        <v>0</v>
      </c>
      <c r="J451" s="724">
        <v>0</v>
      </c>
      <c r="K451" s="724">
        <v>0</v>
      </c>
      <c r="L451" s="724">
        <v>0</v>
      </c>
      <c r="M451" s="724">
        <v>0</v>
      </c>
      <c r="N451" s="724" t="s">
        <v>251</v>
      </c>
      <c r="O451" s="724" t="s">
        <v>251</v>
      </c>
      <c r="P451" s="1497">
        <f t="shared" si="36"/>
        <v>5000</v>
      </c>
      <c r="Q451" s="1127">
        <f t="shared" si="37"/>
        <v>5000</v>
      </c>
      <c r="R451" s="723"/>
      <c r="S451" s="724"/>
      <c r="T451" s="724"/>
      <c r="U451" s="724"/>
      <c r="V451" s="724"/>
      <c r="W451" s="724"/>
      <c r="X451" s="724"/>
      <c r="Y451" s="724"/>
      <c r="Z451" s="724"/>
      <c r="AA451" s="724"/>
      <c r="AB451" s="724"/>
      <c r="AC451" s="724"/>
      <c r="AD451" s="1127">
        <f t="shared" si="39"/>
        <v>0</v>
      </c>
      <c r="AE451" s="858">
        <f t="shared" si="40"/>
        <v>-1</v>
      </c>
      <c r="AF451" s="859">
        <f t="shared" si="38"/>
        <v>983</v>
      </c>
    </row>
    <row r="452" spans="1:32" x14ac:dyDescent="0.3">
      <c r="A452" s="293" t="s">
        <v>618</v>
      </c>
      <c r="B452" s="857" t="s">
        <v>1792</v>
      </c>
      <c r="C452" s="723"/>
      <c r="D452" s="724">
        <v>0</v>
      </c>
      <c r="E452" s="724"/>
      <c r="F452" s="724">
        <v>0</v>
      </c>
      <c r="G452" s="724">
        <v>0</v>
      </c>
      <c r="H452" s="724">
        <v>0</v>
      </c>
      <c r="I452" s="724">
        <v>0</v>
      </c>
      <c r="J452" s="724">
        <v>15000</v>
      </c>
      <c r="K452" s="724"/>
      <c r="L452" s="724">
        <v>0</v>
      </c>
      <c r="M452" s="724">
        <v>0</v>
      </c>
      <c r="N452" s="724">
        <v>0</v>
      </c>
      <c r="O452" s="724" t="s">
        <v>251</v>
      </c>
      <c r="P452" s="1497">
        <f t="shared" ref="P452:P515" si="41">SUM(C452:I452,K452)</f>
        <v>0</v>
      </c>
      <c r="Q452" s="1127">
        <f t="shared" ref="Q452:Q515" si="42">SUM(C452:J452,L452:O452)</f>
        <v>15000</v>
      </c>
      <c r="R452" s="723"/>
      <c r="S452" s="724"/>
      <c r="T452" s="724"/>
      <c r="U452" s="724"/>
      <c r="V452" s="724"/>
      <c r="W452" s="724"/>
      <c r="X452" s="724"/>
      <c r="Y452" s="724"/>
      <c r="Z452" s="724"/>
      <c r="AA452" s="724"/>
      <c r="AB452" s="724"/>
      <c r="AC452" s="724"/>
      <c r="AD452" s="1127">
        <f t="shared" si="39"/>
        <v>0</v>
      </c>
      <c r="AE452" s="858">
        <f t="shared" si="40"/>
        <v>0</v>
      </c>
      <c r="AF452" s="859">
        <f t="shared" ref="AF452:AF515" si="43">IFERROR(_xlfn.RANK.EQ(AD452, $AD$2:$AD$2064), "")</f>
        <v>983</v>
      </c>
    </row>
    <row r="453" spans="1:32" x14ac:dyDescent="0.3">
      <c r="A453" s="293" t="s">
        <v>618</v>
      </c>
      <c r="B453" s="857" t="s">
        <v>3036</v>
      </c>
      <c r="C453" s="723"/>
      <c r="D453" s="724">
        <v>0</v>
      </c>
      <c r="E453" s="724"/>
      <c r="F453" s="724">
        <v>0</v>
      </c>
      <c r="G453" s="724">
        <v>0</v>
      </c>
      <c r="H453" s="724">
        <v>0</v>
      </c>
      <c r="I453" s="724">
        <v>0</v>
      </c>
      <c r="J453" s="724">
        <v>0</v>
      </c>
      <c r="K453" s="724"/>
      <c r="L453" s="724">
        <v>1590000</v>
      </c>
      <c r="M453" s="724">
        <v>1795000</v>
      </c>
      <c r="N453" s="724">
        <v>385000</v>
      </c>
      <c r="O453" s="724" t="s">
        <v>251</v>
      </c>
      <c r="P453" s="1497">
        <f t="shared" si="41"/>
        <v>0</v>
      </c>
      <c r="Q453" s="1127">
        <f t="shared" si="42"/>
        <v>3770000</v>
      </c>
      <c r="R453" s="723">
        <v>360000</v>
      </c>
      <c r="S453" s="724">
        <v>30000</v>
      </c>
      <c r="T453" s="724"/>
      <c r="U453" s="724"/>
      <c r="V453" s="724"/>
      <c r="W453" s="724"/>
      <c r="X453" s="724"/>
      <c r="Y453" s="724"/>
      <c r="Z453" s="724"/>
      <c r="AA453" s="724"/>
      <c r="AB453" s="724"/>
      <c r="AC453" s="724"/>
      <c r="AD453" s="1127">
        <f t="shared" si="39"/>
        <v>390000</v>
      </c>
      <c r="AE453" s="858">
        <f t="shared" si="40"/>
        <v>1</v>
      </c>
      <c r="AF453" s="859">
        <f t="shared" si="43"/>
        <v>486</v>
      </c>
    </row>
    <row r="454" spans="1:32" x14ac:dyDescent="0.3">
      <c r="A454" s="293" t="s">
        <v>618</v>
      </c>
      <c r="B454" s="857" t="s">
        <v>1800</v>
      </c>
      <c r="C454" s="723"/>
      <c r="D454" s="724">
        <v>0</v>
      </c>
      <c r="E454" s="724"/>
      <c r="F454" s="724">
        <v>0</v>
      </c>
      <c r="G454" s="724">
        <v>0</v>
      </c>
      <c r="H454" s="724">
        <v>0</v>
      </c>
      <c r="I454" s="724">
        <v>0</v>
      </c>
      <c r="J454" s="724">
        <v>0</v>
      </c>
      <c r="K454" s="724"/>
      <c r="L454" s="724">
        <v>94000</v>
      </c>
      <c r="M454" s="724">
        <v>27000</v>
      </c>
      <c r="N454" s="724">
        <v>0</v>
      </c>
      <c r="O454" s="724" t="s">
        <v>251</v>
      </c>
      <c r="P454" s="1497">
        <f t="shared" si="41"/>
        <v>0</v>
      </c>
      <c r="Q454" s="1127">
        <f t="shared" si="42"/>
        <v>121000</v>
      </c>
      <c r="R454" s="723"/>
      <c r="S454" s="724"/>
      <c r="T454" s="724"/>
      <c r="U454" s="724"/>
      <c r="V454" s="724"/>
      <c r="W454" s="724"/>
      <c r="X454" s="724"/>
      <c r="Y454" s="724"/>
      <c r="Z454" s="724"/>
      <c r="AA454" s="724"/>
      <c r="AB454" s="724"/>
      <c r="AC454" s="724"/>
      <c r="AD454" s="1127">
        <f t="shared" si="39"/>
        <v>0</v>
      </c>
      <c r="AE454" s="858">
        <f t="shared" si="40"/>
        <v>0</v>
      </c>
      <c r="AF454" s="859">
        <f t="shared" si="43"/>
        <v>983</v>
      </c>
    </row>
    <row r="455" spans="1:32" x14ac:dyDescent="0.3">
      <c r="A455" s="293" t="s">
        <v>618</v>
      </c>
      <c r="B455" s="857" t="s">
        <v>1901</v>
      </c>
      <c r="C455" s="723"/>
      <c r="D455" s="724">
        <v>0</v>
      </c>
      <c r="E455" s="724"/>
      <c r="F455" s="724">
        <v>0</v>
      </c>
      <c r="G455" s="724">
        <v>0</v>
      </c>
      <c r="H455" s="724">
        <v>0</v>
      </c>
      <c r="I455" s="724">
        <v>0</v>
      </c>
      <c r="J455" s="724">
        <v>0</v>
      </c>
      <c r="K455" s="724"/>
      <c r="L455" s="724">
        <v>55000</v>
      </c>
      <c r="M455" s="724">
        <v>0</v>
      </c>
      <c r="N455" s="724">
        <v>0</v>
      </c>
      <c r="O455" s="724" t="s">
        <v>251</v>
      </c>
      <c r="P455" s="1497">
        <f t="shared" si="41"/>
        <v>0</v>
      </c>
      <c r="Q455" s="1127">
        <f t="shared" si="42"/>
        <v>55000</v>
      </c>
      <c r="R455" s="723"/>
      <c r="S455" s="724"/>
      <c r="T455" s="724"/>
      <c r="U455" s="724"/>
      <c r="V455" s="724"/>
      <c r="W455" s="724"/>
      <c r="X455" s="724"/>
      <c r="Y455" s="724"/>
      <c r="Z455" s="724"/>
      <c r="AA455" s="724"/>
      <c r="AB455" s="724"/>
      <c r="AC455" s="724"/>
      <c r="AD455" s="1127">
        <f t="shared" si="39"/>
        <v>0</v>
      </c>
      <c r="AE455" s="858">
        <f t="shared" si="40"/>
        <v>0</v>
      </c>
      <c r="AF455" s="859">
        <f t="shared" si="43"/>
        <v>983</v>
      </c>
    </row>
    <row r="456" spans="1:32" x14ac:dyDescent="0.3">
      <c r="A456" s="293" t="s">
        <v>618</v>
      </c>
      <c r="B456" s="857" t="s">
        <v>1902</v>
      </c>
      <c r="C456" s="723"/>
      <c r="D456" s="724">
        <v>0</v>
      </c>
      <c r="E456" s="724"/>
      <c r="F456" s="724">
        <v>0</v>
      </c>
      <c r="G456" s="724">
        <v>0</v>
      </c>
      <c r="H456" s="724">
        <v>0</v>
      </c>
      <c r="I456" s="724">
        <v>0</v>
      </c>
      <c r="J456" s="724">
        <v>0</v>
      </c>
      <c r="K456" s="724"/>
      <c r="L456" s="724">
        <v>26000</v>
      </c>
      <c r="M456" s="724">
        <v>0</v>
      </c>
      <c r="N456" s="724">
        <v>0</v>
      </c>
      <c r="O456" s="724">
        <v>67500</v>
      </c>
      <c r="P456" s="1497">
        <f t="shared" si="41"/>
        <v>0</v>
      </c>
      <c r="Q456" s="1127">
        <f t="shared" si="42"/>
        <v>93500</v>
      </c>
      <c r="R456" s="723"/>
      <c r="S456" s="724"/>
      <c r="T456" s="724">
        <v>185000</v>
      </c>
      <c r="U456" s="724">
        <v>32500</v>
      </c>
      <c r="V456" s="724">
        <v>0</v>
      </c>
      <c r="W456" s="724">
        <v>0</v>
      </c>
      <c r="X456" s="724">
        <v>0</v>
      </c>
      <c r="Y456" s="724">
        <v>0</v>
      </c>
      <c r="Z456" s="724"/>
      <c r="AA456" s="724"/>
      <c r="AB456" s="724"/>
      <c r="AC456" s="724"/>
      <c r="AD456" s="1127">
        <f t="shared" si="39"/>
        <v>217500</v>
      </c>
      <c r="AE456" s="858">
        <f t="shared" si="40"/>
        <v>1</v>
      </c>
      <c r="AF456" s="859">
        <f t="shared" si="43"/>
        <v>594</v>
      </c>
    </row>
    <row r="457" spans="1:32" x14ac:dyDescent="0.3">
      <c r="A457" s="293" t="s">
        <v>618</v>
      </c>
      <c r="B457" s="857" t="s">
        <v>1799</v>
      </c>
      <c r="C457" s="723"/>
      <c r="D457" s="724" t="s">
        <v>251</v>
      </c>
      <c r="E457" s="724"/>
      <c r="F457" s="724" t="s">
        <v>251</v>
      </c>
      <c r="G457" s="724" t="s">
        <v>251</v>
      </c>
      <c r="H457" s="724" t="s">
        <v>251</v>
      </c>
      <c r="I457" s="724" t="s">
        <v>251</v>
      </c>
      <c r="J457" s="724" t="s">
        <v>251</v>
      </c>
      <c r="K457" s="724"/>
      <c r="L457" s="724" t="s">
        <v>251</v>
      </c>
      <c r="M457" s="724" t="s">
        <v>251</v>
      </c>
      <c r="N457" s="724" t="s">
        <v>251</v>
      </c>
      <c r="O457" s="724" t="s">
        <v>251</v>
      </c>
      <c r="P457" s="1497">
        <f t="shared" si="41"/>
        <v>0</v>
      </c>
      <c r="Q457" s="1127">
        <f t="shared" si="42"/>
        <v>0</v>
      </c>
      <c r="R457" s="723"/>
      <c r="S457" s="724"/>
      <c r="T457" s="724"/>
      <c r="U457" s="724"/>
      <c r="V457" s="724"/>
      <c r="W457" s="724"/>
      <c r="X457" s="724"/>
      <c r="Y457" s="724"/>
      <c r="Z457" s="724"/>
      <c r="AA457" s="724"/>
      <c r="AB457" s="724"/>
      <c r="AC457" s="724"/>
      <c r="AD457" s="1127">
        <f t="shared" ref="AD457:AD523" si="44">SUM(R457:AC457)</f>
        <v>0</v>
      </c>
      <c r="AE457" s="858">
        <f t="shared" ref="AE457:AE523" si="45">IF(OR(AD457="", P457=""), 0, IFERROR((AD457-P457)/P457, IF(AD457&lt;&gt;0, 1, 0)))</f>
        <v>0</v>
      </c>
      <c r="AF457" s="859">
        <f t="shared" si="43"/>
        <v>983</v>
      </c>
    </row>
    <row r="458" spans="1:32" x14ac:dyDescent="0.3">
      <c r="A458" s="293" t="s">
        <v>618</v>
      </c>
      <c r="B458" s="857" t="s">
        <v>1802</v>
      </c>
      <c r="C458" s="723"/>
      <c r="D458" s="724" t="s">
        <v>251</v>
      </c>
      <c r="E458" s="724"/>
      <c r="F458" s="724" t="s">
        <v>251</v>
      </c>
      <c r="G458" s="724" t="s">
        <v>251</v>
      </c>
      <c r="H458" s="724" t="s">
        <v>251</v>
      </c>
      <c r="I458" s="724" t="s">
        <v>251</v>
      </c>
      <c r="J458" s="724" t="s">
        <v>251</v>
      </c>
      <c r="K458" s="724"/>
      <c r="L458" s="724" t="s">
        <v>251</v>
      </c>
      <c r="M458" s="724" t="s">
        <v>251</v>
      </c>
      <c r="N458" s="724" t="s">
        <v>251</v>
      </c>
      <c r="O458" s="724" t="s">
        <v>251</v>
      </c>
      <c r="P458" s="1497">
        <f t="shared" si="41"/>
        <v>0</v>
      </c>
      <c r="Q458" s="1127">
        <f t="shared" si="42"/>
        <v>0</v>
      </c>
      <c r="R458" s="723"/>
      <c r="S458" s="724"/>
      <c r="T458" s="724"/>
      <c r="U458" s="724"/>
      <c r="V458" s="724"/>
      <c r="W458" s="724"/>
      <c r="X458" s="724"/>
      <c r="Y458" s="724"/>
      <c r="Z458" s="724"/>
      <c r="AA458" s="724"/>
      <c r="AB458" s="724"/>
      <c r="AC458" s="724"/>
      <c r="AD458" s="1127">
        <f t="shared" si="44"/>
        <v>0</v>
      </c>
      <c r="AE458" s="858">
        <f t="shared" si="45"/>
        <v>0</v>
      </c>
      <c r="AF458" s="859">
        <f t="shared" si="43"/>
        <v>983</v>
      </c>
    </row>
    <row r="459" spans="1:32" x14ac:dyDescent="0.3">
      <c r="A459" s="293" t="s">
        <v>618</v>
      </c>
      <c r="B459" s="857" t="s">
        <v>1801</v>
      </c>
      <c r="C459" s="723"/>
      <c r="D459" s="724" t="s">
        <v>251</v>
      </c>
      <c r="E459" s="724"/>
      <c r="F459" s="724" t="s">
        <v>251</v>
      </c>
      <c r="G459" s="724" t="s">
        <v>251</v>
      </c>
      <c r="H459" s="724" t="s">
        <v>251</v>
      </c>
      <c r="I459" s="724" t="s">
        <v>251</v>
      </c>
      <c r="J459" s="724" t="s">
        <v>251</v>
      </c>
      <c r="K459" s="724"/>
      <c r="L459" s="724" t="s">
        <v>251</v>
      </c>
      <c r="M459" s="724" t="s">
        <v>251</v>
      </c>
      <c r="N459" s="724" t="s">
        <v>251</v>
      </c>
      <c r="O459" s="724" t="s">
        <v>251</v>
      </c>
      <c r="P459" s="1497">
        <f t="shared" si="41"/>
        <v>0</v>
      </c>
      <c r="Q459" s="1127">
        <f t="shared" si="42"/>
        <v>0</v>
      </c>
      <c r="R459" s="723"/>
      <c r="S459" s="724"/>
      <c r="T459" s="724"/>
      <c r="U459" s="724"/>
      <c r="V459" s="724"/>
      <c r="W459" s="724"/>
      <c r="X459" s="724"/>
      <c r="Y459" s="724"/>
      <c r="Z459" s="724"/>
      <c r="AA459" s="724"/>
      <c r="AB459" s="724"/>
      <c r="AC459" s="724"/>
      <c r="AD459" s="1127">
        <f t="shared" si="44"/>
        <v>0</v>
      </c>
      <c r="AE459" s="858">
        <f t="shared" si="45"/>
        <v>0</v>
      </c>
      <c r="AF459" s="859">
        <f t="shared" si="43"/>
        <v>983</v>
      </c>
    </row>
    <row r="460" spans="1:32" x14ac:dyDescent="0.3">
      <c r="A460" s="293" t="s">
        <v>618</v>
      </c>
      <c r="B460" s="857" t="s">
        <v>1807</v>
      </c>
      <c r="C460" s="723"/>
      <c r="D460" s="724" t="s">
        <v>251</v>
      </c>
      <c r="E460" s="724"/>
      <c r="F460" s="724" t="s">
        <v>251</v>
      </c>
      <c r="G460" s="724" t="s">
        <v>251</v>
      </c>
      <c r="H460" s="724" t="s">
        <v>251</v>
      </c>
      <c r="I460" s="724" t="s">
        <v>251</v>
      </c>
      <c r="J460" s="724" t="s">
        <v>251</v>
      </c>
      <c r="K460" s="724"/>
      <c r="L460" s="724" t="s">
        <v>251</v>
      </c>
      <c r="M460" s="724" t="s">
        <v>251</v>
      </c>
      <c r="N460" s="724" t="s">
        <v>251</v>
      </c>
      <c r="O460" s="724" t="s">
        <v>251</v>
      </c>
      <c r="P460" s="1497">
        <f t="shared" si="41"/>
        <v>0</v>
      </c>
      <c r="Q460" s="1127">
        <f t="shared" si="42"/>
        <v>0</v>
      </c>
      <c r="R460" s="723"/>
      <c r="S460" s="724"/>
      <c r="T460" s="724"/>
      <c r="U460" s="724"/>
      <c r="V460" s="724"/>
      <c r="W460" s="724"/>
      <c r="X460" s="724"/>
      <c r="Y460" s="724"/>
      <c r="Z460" s="724"/>
      <c r="AA460" s="724"/>
      <c r="AB460" s="724"/>
      <c r="AC460" s="724"/>
      <c r="AD460" s="1127">
        <f t="shared" si="44"/>
        <v>0</v>
      </c>
      <c r="AE460" s="858">
        <f t="shared" si="45"/>
        <v>0</v>
      </c>
      <c r="AF460" s="859">
        <f t="shared" si="43"/>
        <v>983</v>
      </c>
    </row>
    <row r="461" spans="1:32" x14ac:dyDescent="0.3">
      <c r="A461" s="293" t="s">
        <v>618</v>
      </c>
      <c r="B461" s="857" t="s">
        <v>1931</v>
      </c>
      <c r="C461" s="723"/>
      <c r="D461" s="724">
        <v>0</v>
      </c>
      <c r="E461" s="724"/>
      <c r="F461" s="724">
        <v>0</v>
      </c>
      <c r="G461" s="724">
        <v>0</v>
      </c>
      <c r="H461" s="724">
        <v>0</v>
      </c>
      <c r="I461" s="724">
        <v>0</v>
      </c>
      <c r="J461" s="724">
        <v>0</v>
      </c>
      <c r="K461" s="724"/>
      <c r="L461" s="724">
        <v>0</v>
      </c>
      <c r="M461" s="724">
        <v>0</v>
      </c>
      <c r="N461" s="724">
        <v>587750</v>
      </c>
      <c r="O461" s="724" t="s">
        <v>251</v>
      </c>
      <c r="P461" s="1497">
        <f t="shared" si="41"/>
        <v>0</v>
      </c>
      <c r="Q461" s="1127">
        <f t="shared" si="42"/>
        <v>587750</v>
      </c>
      <c r="R461" s="723"/>
      <c r="S461" s="724"/>
      <c r="T461" s="724"/>
      <c r="U461" s="724"/>
      <c r="V461" s="724"/>
      <c r="W461" s="724"/>
      <c r="X461" s="724"/>
      <c r="Y461" s="724"/>
      <c r="Z461" s="724"/>
      <c r="AA461" s="724"/>
      <c r="AB461" s="724"/>
      <c r="AC461" s="724"/>
      <c r="AD461" s="1127">
        <f t="shared" si="44"/>
        <v>0</v>
      </c>
      <c r="AE461" s="858">
        <f t="shared" si="45"/>
        <v>0</v>
      </c>
      <c r="AF461" s="859">
        <f t="shared" si="43"/>
        <v>983</v>
      </c>
    </row>
    <row r="462" spans="1:32" x14ac:dyDescent="0.3">
      <c r="A462" s="293" t="s">
        <v>618</v>
      </c>
      <c r="B462" s="857" t="s">
        <v>1959</v>
      </c>
      <c r="C462" s="723"/>
      <c r="D462" s="724">
        <v>0</v>
      </c>
      <c r="E462" s="724"/>
      <c r="F462" s="724">
        <v>0</v>
      </c>
      <c r="G462" s="724">
        <v>0</v>
      </c>
      <c r="H462" s="724">
        <v>0</v>
      </c>
      <c r="I462" s="724">
        <v>0</v>
      </c>
      <c r="J462" s="724">
        <v>0</v>
      </c>
      <c r="K462" s="724"/>
      <c r="L462" s="724">
        <v>0</v>
      </c>
      <c r="M462" s="724">
        <v>0</v>
      </c>
      <c r="N462" s="724">
        <v>50500</v>
      </c>
      <c r="O462" s="724" t="s">
        <v>251</v>
      </c>
      <c r="P462" s="1497">
        <f t="shared" si="41"/>
        <v>0</v>
      </c>
      <c r="Q462" s="1127">
        <f t="shared" si="42"/>
        <v>50500</v>
      </c>
      <c r="R462" s="723"/>
      <c r="S462" s="724"/>
      <c r="T462" s="724"/>
      <c r="U462" s="724">
        <v>62000</v>
      </c>
      <c r="V462" s="724">
        <v>18000</v>
      </c>
      <c r="W462" s="724">
        <v>0</v>
      </c>
      <c r="X462" s="724">
        <v>0</v>
      </c>
      <c r="Y462" s="724">
        <v>0</v>
      </c>
      <c r="Z462" s="724"/>
      <c r="AA462" s="724"/>
      <c r="AB462" s="724"/>
      <c r="AC462" s="724"/>
      <c r="AD462" s="1127">
        <f t="shared" si="44"/>
        <v>80000</v>
      </c>
      <c r="AE462" s="858">
        <f t="shared" si="45"/>
        <v>1</v>
      </c>
      <c r="AF462" s="859">
        <f t="shared" si="43"/>
        <v>773</v>
      </c>
    </row>
    <row r="463" spans="1:32" x14ac:dyDescent="0.3">
      <c r="A463" s="293" t="s">
        <v>618</v>
      </c>
      <c r="B463" s="857" t="s">
        <v>1890</v>
      </c>
      <c r="C463" s="723"/>
      <c r="D463" s="724">
        <v>0</v>
      </c>
      <c r="E463" s="724"/>
      <c r="F463" s="724"/>
      <c r="G463" s="724">
        <v>0</v>
      </c>
      <c r="H463" s="724">
        <v>0</v>
      </c>
      <c r="I463" s="724">
        <v>0</v>
      </c>
      <c r="J463" s="724"/>
      <c r="K463" s="724"/>
      <c r="L463" s="724">
        <v>5000</v>
      </c>
      <c r="M463" s="724">
        <v>0</v>
      </c>
      <c r="N463" s="724"/>
      <c r="O463" s="724" t="s">
        <v>251</v>
      </c>
      <c r="P463" s="1497">
        <f t="shared" si="41"/>
        <v>0</v>
      </c>
      <c r="Q463" s="1127">
        <f t="shared" si="42"/>
        <v>5000</v>
      </c>
      <c r="R463" s="723"/>
      <c r="S463" s="724"/>
      <c r="T463" s="724"/>
      <c r="U463" s="724"/>
      <c r="V463" s="724"/>
      <c r="W463" s="724"/>
      <c r="X463" s="724"/>
      <c r="Y463" s="724"/>
      <c r="Z463" s="724"/>
      <c r="AA463" s="724"/>
      <c r="AB463" s="724"/>
      <c r="AC463" s="724"/>
      <c r="AD463" s="1127">
        <f t="shared" si="44"/>
        <v>0</v>
      </c>
      <c r="AE463" s="858">
        <f t="shared" si="45"/>
        <v>0</v>
      </c>
      <c r="AF463" s="859">
        <f t="shared" si="43"/>
        <v>983</v>
      </c>
    </row>
    <row r="464" spans="1:32" x14ac:dyDescent="0.3">
      <c r="A464" s="293" t="s">
        <v>618</v>
      </c>
      <c r="B464" s="857" t="s">
        <v>2492</v>
      </c>
      <c r="C464" s="723"/>
      <c r="D464" s="724"/>
      <c r="E464" s="724"/>
      <c r="F464" s="724"/>
      <c r="G464" s="724"/>
      <c r="H464" s="724"/>
      <c r="I464" s="724"/>
      <c r="J464" s="724"/>
      <c r="K464" s="724"/>
      <c r="L464" s="724"/>
      <c r="M464" s="724"/>
      <c r="N464" s="724"/>
      <c r="O464" s="724"/>
      <c r="P464" s="1497">
        <f t="shared" si="41"/>
        <v>0</v>
      </c>
      <c r="Q464" s="1127">
        <f t="shared" si="42"/>
        <v>0</v>
      </c>
      <c r="R464" s="723">
        <v>5000</v>
      </c>
      <c r="S464" s="724"/>
      <c r="T464" s="724">
        <v>0</v>
      </c>
      <c r="U464" s="724">
        <v>0</v>
      </c>
      <c r="V464" s="724">
        <v>0</v>
      </c>
      <c r="W464" s="724">
        <v>0</v>
      </c>
      <c r="X464" s="724">
        <v>0</v>
      </c>
      <c r="Y464" s="724">
        <v>0</v>
      </c>
      <c r="Z464" s="724"/>
      <c r="AA464" s="724"/>
      <c r="AB464" s="724"/>
      <c r="AC464" s="724"/>
      <c r="AD464" s="1127">
        <f t="shared" si="44"/>
        <v>5000</v>
      </c>
      <c r="AE464" s="858">
        <f t="shared" si="45"/>
        <v>1</v>
      </c>
      <c r="AF464" s="859">
        <f t="shared" si="43"/>
        <v>972</v>
      </c>
    </row>
    <row r="465" spans="1:32" x14ac:dyDescent="0.3">
      <c r="A465" s="293" t="s">
        <v>618</v>
      </c>
      <c r="B465" s="857" t="s">
        <v>2604</v>
      </c>
      <c r="C465" s="723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1497">
        <f t="shared" si="41"/>
        <v>0</v>
      </c>
      <c r="Q465" s="1127">
        <f t="shared" si="42"/>
        <v>0</v>
      </c>
      <c r="R465" s="723"/>
      <c r="S465" s="724"/>
      <c r="T465" s="724">
        <v>27500</v>
      </c>
      <c r="U465" s="724">
        <v>5000</v>
      </c>
      <c r="V465" s="724">
        <v>27500</v>
      </c>
      <c r="W465" s="724">
        <v>0</v>
      </c>
      <c r="X465" s="724">
        <v>0</v>
      </c>
      <c r="Y465" s="724">
        <v>0</v>
      </c>
      <c r="Z465" s="724"/>
      <c r="AA465" s="724"/>
      <c r="AB465" s="724"/>
      <c r="AC465" s="724"/>
      <c r="AD465" s="1127">
        <f t="shared" si="44"/>
        <v>60000</v>
      </c>
      <c r="AE465" s="858">
        <f t="shared" si="45"/>
        <v>1</v>
      </c>
      <c r="AF465" s="859">
        <f t="shared" si="43"/>
        <v>817</v>
      </c>
    </row>
    <row r="466" spans="1:32" x14ac:dyDescent="0.3">
      <c r="A466" s="293" t="s">
        <v>618</v>
      </c>
      <c r="B466" s="857" t="s">
        <v>2641</v>
      </c>
      <c r="C466" s="723"/>
      <c r="D466" s="724"/>
      <c r="E466" s="724"/>
      <c r="F466" s="724"/>
      <c r="G466" s="724"/>
      <c r="H466" s="724"/>
      <c r="I466" s="724"/>
      <c r="J466" s="724"/>
      <c r="K466" s="724"/>
      <c r="L466" s="724"/>
      <c r="M466" s="724"/>
      <c r="N466" s="724"/>
      <c r="O466" s="724"/>
      <c r="P466" s="1497">
        <f t="shared" si="41"/>
        <v>0</v>
      </c>
      <c r="Q466" s="1127">
        <f t="shared" si="42"/>
        <v>0</v>
      </c>
      <c r="R466" s="723"/>
      <c r="S466" s="724"/>
      <c r="T466" s="724">
        <v>37500</v>
      </c>
      <c r="U466" s="724">
        <v>10250</v>
      </c>
      <c r="V466" s="724">
        <v>0</v>
      </c>
      <c r="W466" s="724">
        <v>0</v>
      </c>
      <c r="X466" s="724">
        <v>0</v>
      </c>
      <c r="Y466" s="724">
        <v>0</v>
      </c>
      <c r="Z466" s="724"/>
      <c r="AA466" s="724"/>
      <c r="AB466" s="724"/>
      <c r="AC466" s="724"/>
      <c r="AD466" s="1127">
        <f t="shared" si="44"/>
        <v>47750</v>
      </c>
      <c r="AE466" s="858">
        <f t="shared" si="45"/>
        <v>1</v>
      </c>
      <c r="AF466" s="859">
        <f t="shared" si="43"/>
        <v>846</v>
      </c>
    </row>
    <row r="467" spans="1:32" x14ac:dyDescent="0.3">
      <c r="A467" s="293" t="s">
        <v>618</v>
      </c>
      <c r="B467" s="857" t="s">
        <v>2679</v>
      </c>
      <c r="C467" s="723"/>
      <c r="D467" s="724"/>
      <c r="E467" s="724"/>
      <c r="F467" s="724"/>
      <c r="G467" s="724"/>
      <c r="H467" s="724"/>
      <c r="I467" s="724"/>
      <c r="J467" s="724"/>
      <c r="K467" s="724">
        <v>944500</v>
      </c>
      <c r="L467" s="724"/>
      <c r="M467" s="724"/>
      <c r="N467" s="724"/>
      <c r="O467" s="724"/>
      <c r="P467" s="1497">
        <f t="shared" si="41"/>
        <v>944500</v>
      </c>
      <c r="Q467" s="1127">
        <f t="shared" si="42"/>
        <v>0</v>
      </c>
      <c r="R467" s="723"/>
      <c r="S467" s="724"/>
      <c r="T467" s="724"/>
      <c r="U467" s="724">
        <v>767000</v>
      </c>
      <c r="V467" s="724">
        <v>409500</v>
      </c>
      <c r="W467" s="724">
        <v>227000</v>
      </c>
      <c r="X467" s="724">
        <v>498500</v>
      </c>
      <c r="Y467" s="724">
        <v>278500</v>
      </c>
      <c r="Z467" s="724"/>
      <c r="AA467" s="724"/>
      <c r="AB467" s="724"/>
      <c r="AC467" s="724"/>
      <c r="AD467" s="1127">
        <f t="shared" si="44"/>
        <v>2180500</v>
      </c>
      <c r="AE467" s="858">
        <f t="shared" si="45"/>
        <v>1.3086289041821069</v>
      </c>
      <c r="AF467" s="859">
        <f t="shared" si="43"/>
        <v>199</v>
      </c>
    </row>
    <row r="468" spans="1:32" x14ac:dyDescent="0.3">
      <c r="A468" s="293" t="s">
        <v>618</v>
      </c>
      <c r="B468" s="857" t="s">
        <v>2680</v>
      </c>
      <c r="C468" s="723"/>
      <c r="D468" s="724"/>
      <c r="E468" s="724"/>
      <c r="F468" s="724"/>
      <c r="G468" s="724"/>
      <c r="H468" s="724"/>
      <c r="I468" s="724"/>
      <c r="J468" s="724"/>
      <c r="K468" s="724"/>
      <c r="L468" s="724"/>
      <c r="M468" s="724"/>
      <c r="N468" s="724"/>
      <c r="O468" s="724"/>
      <c r="P468" s="1497">
        <f t="shared" si="41"/>
        <v>0</v>
      </c>
      <c r="Q468" s="1127">
        <f t="shared" si="42"/>
        <v>0</v>
      </c>
      <c r="R468" s="723"/>
      <c r="S468" s="724"/>
      <c r="T468" s="724"/>
      <c r="U468" s="724">
        <v>178000</v>
      </c>
      <c r="V468" s="724">
        <v>5000</v>
      </c>
      <c r="W468" s="724">
        <v>0</v>
      </c>
      <c r="X468" s="724">
        <v>0</v>
      </c>
      <c r="Y468" s="724">
        <v>0</v>
      </c>
      <c r="Z468" s="724"/>
      <c r="AA468" s="724"/>
      <c r="AB468" s="724"/>
      <c r="AC468" s="724"/>
      <c r="AD468" s="1127">
        <f t="shared" si="44"/>
        <v>183000</v>
      </c>
      <c r="AE468" s="858">
        <f t="shared" si="45"/>
        <v>1</v>
      </c>
      <c r="AF468" s="859">
        <f t="shared" si="43"/>
        <v>631</v>
      </c>
    </row>
    <row r="469" spans="1:32" x14ac:dyDescent="0.3">
      <c r="A469" s="293" t="s">
        <v>618</v>
      </c>
      <c r="B469" s="857" t="s">
        <v>2681</v>
      </c>
      <c r="C469" s="723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1497">
        <f t="shared" si="41"/>
        <v>0</v>
      </c>
      <c r="Q469" s="1127">
        <f t="shared" si="42"/>
        <v>0</v>
      </c>
      <c r="R469" s="723"/>
      <c r="S469" s="724"/>
      <c r="T469" s="724"/>
      <c r="U469" s="724">
        <v>162500</v>
      </c>
      <c r="V469" s="724">
        <v>0</v>
      </c>
      <c r="W469" s="724">
        <v>0</v>
      </c>
      <c r="X469" s="724">
        <v>0</v>
      </c>
      <c r="Y469" s="724">
        <v>0</v>
      </c>
      <c r="Z469" s="724"/>
      <c r="AA469" s="724"/>
      <c r="AB469" s="724"/>
      <c r="AC469" s="724"/>
      <c r="AD469" s="1127">
        <f t="shared" si="44"/>
        <v>162500</v>
      </c>
      <c r="AE469" s="858">
        <f t="shared" si="45"/>
        <v>1</v>
      </c>
      <c r="AF469" s="859">
        <f t="shared" si="43"/>
        <v>658</v>
      </c>
    </row>
    <row r="470" spans="1:32" x14ac:dyDescent="0.3">
      <c r="A470" s="293" t="s">
        <v>618</v>
      </c>
      <c r="B470" s="857" t="s">
        <v>1933</v>
      </c>
      <c r="C470" s="723"/>
      <c r="D470" s="724"/>
      <c r="E470" s="724"/>
      <c r="F470" s="724"/>
      <c r="G470" s="724"/>
      <c r="H470" s="724"/>
      <c r="I470" s="724"/>
      <c r="J470" s="724"/>
      <c r="K470" s="724">
        <v>10000</v>
      </c>
      <c r="L470" s="724"/>
      <c r="M470" s="724"/>
      <c r="N470" s="724"/>
      <c r="O470" s="724"/>
      <c r="P470" s="1497">
        <f t="shared" si="41"/>
        <v>10000</v>
      </c>
      <c r="Q470" s="1127">
        <f t="shared" si="42"/>
        <v>0</v>
      </c>
      <c r="R470" s="723"/>
      <c r="S470" s="724"/>
      <c r="T470" s="724"/>
      <c r="U470" s="724">
        <v>47000</v>
      </c>
      <c r="V470" s="724">
        <v>0</v>
      </c>
      <c r="W470" s="724">
        <v>0</v>
      </c>
      <c r="X470" s="724">
        <v>0</v>
      </c>
      <c r="Y470" s="724">
        <v>0</v>
      </c>
      <c r="Z470" s="724"/>
      <c r="AA470" s="724"/>
      <c r="AB470" s="724"/>
      <c r="AC470" s="724"/>
      <c r="AD470" s="1127">
        <f t="shared" si="44"/>
        <v>47000</v>
      </c>
      <c r="AE470" s="858">
        <f t="shared" si="45"/>
        <v>3.7</v>
      </c>
      <c r="AF470" s="859">
        <f t="shared" si="43"/>
        <v>851</v>
      </c>
    </row>
    <row r="471" spans="1:32" x14ac:dyDescent="0.3">
      <c r="A471" s="293" t="s">
        <v>618</v>
      </c>
      <c r="B471" s="857" t="s">
        <v>2242</v>
      </c>
      <c r="C471" s="723"/>
      <c r="D471" s="724"/>
      <c r="E471" s="724"/>
      <c r="F471" s="724"/>
      <c r="G471" s="724"/>
      <c r="H471" s="724"/>
      <c r="I471" s="724"/>
      <c r="J471" s="724"/>
      <c r="K471" s="724"/>
      <c r="L471" s="724"/>
      <c r="M471" s="724"/>
      <c r="N471" s="724"/>
      <c r="O471" s="724"/>
      <c r="P471" s="1497">
        <f t="shared" si="41"/>
        <v>0</v>
      </c>
      <c r="Q471" s="1127">
        <f t="shared" si="42"/>
        <v>0</v>
      </c>
      <c r="R471" s="723"/>
      <c r="S471" s="724"/>
      <c r="T471" s="724"/>
      <c r="U471" s="724">
        <v>54000</v>
      </c>
      <c r="V471" s="724">
        <v>0</v>
      </c>
      <c r="W471" s="724">
        <v>0</v>
      </c>
      <c r="X471" s="724">
        <v>0</v>
      </c>
      <c r="Y471" s="724">
        <v>0</v>
      </c>
      <c r="Z471" s="724"/>
      <c r="AA471" s="724"/>
      <c r="AB471" s="724"/>
      <c r="AC471" s="724"/>
      <c r="AD471" s="1127">
        <f t="shared" si="44"/>
        <v>54000</v>
      </c>
      <c r="AE471" s="858">
        <f t="shared" si="45"/>
        <v>1</v>
      </c>
      <c r="AF471" s="859">
        <f t="shared" si="43"/>
        <v>837</v>
      </c>
    </row>
    <row r="472" spans="1:32" x14ac:dyDescent="0.3">
      <c r="A472" s="293" t="s">
        <v>618</v>
      </c>
      <c r="B472" s="857" t="s">
        <v>2777</v>
      </c>
      <c r="C472" s="723"/>
      <c r="D472" s="724"/>
      <c r="E472" s="724"/>
      <c r="F472" s="724"/>
      <c r="G472" s="724"/>
      <c r="H472" s="724"/>
      <c r="I472" s="724"/>
      <c r="J472" s="724"/>
      <c r="K472" s="724"/>
      <c r="L472" s="724"/>
      <c r="M472" s="724"/>
      <c r="N472" s="724"/>
      <c r="O472" s="724"/>
      <c r="P472" s="1497">
        <f t="shared" si="41"/>
        <v>0</v>
      </c>
      <c r="Q472" s="1127">
        <f t="shared" si="42"/>
        <v>0</v>
      </c>
      <c r="R472" s="723"/>
      <c r="S472" s="724"/>
      <c r="T472" s="724"/>
      <c r="U472" s="724"/>
      <c r="V472" s="724">
        <v>331500</v>
      </c>
      <c r="W472" s="724">
        <v>781000</v>
      </c>
      <c r="X472" s="724">
        <v>483000</v>
      </c>
      <c r="Y472" s="724">
        <v>19500</v>
      </c>
      <c r="Z472" s="724"/>
      <c r="AA472" s="724"/>
      <c r="AB472" s="724"/>
      <c r="AC472" s="724"/>
      <c r="AD472" s="1127">
        <f t="shared" si="44"/>
        <v>1615000</v>
      </c>
      <c r="AE472" s="858">
        <f t="shared" si="45"/>
        <v>1</v>
      </c>
      <c r="AF472" s="859">
        <f t="shared" si="43"/>
        <v>239</v>
      </c>
    </row>
    <row r="473" spans="1:32" x14ac:dyDescent="0.3">
      <c r="A473" s="293" t="s">
        <v>618</v>
      </c>
      <c r="B473" s="857" t="s">
        <v>2778</v>
      </c>
      <c r="C473" s="723"/>
      <c r="D473" s="724"/>
      <c r="E473" s="724"/>
      <c r="F473" s="724"/>
      <c r="G473" s="724"/>
      <c r="H473" s="724"/>
      <c r="I473" s="724"/>
      <c r="J473" s="724"/>
      <c r="K473" s="724"/>
      <c r="L473" s="724"/>
      <c r="M473" s="724"/>
      <c r="N473" s="724"/>
      <c r="O473" s="724"/>
      <c r="P473" s="1497">
        <f t="shared" si="41"/>
        <v>0</v>
      </c>
      <c r="Q473" s="1127">
        <f t="shared" si="42"/>
        <v>0</v>
      </c>
      <c r="R473" s="723"/>
      <c r="S473" s="724"/>
      <c r="T473" s="724"/>
      <c r="U473" s="724"/>
      <c r="V473" s="724">
        <v>160000</v>
      </c>
      <c r="W473" s="724">
        <v>707000</v>
      </c>
      <c r="X473" s="724">
        <v>53000</v>
      </c>
      <c r="Y473" s="724">
        <v>36000</v>
      </c>
      <c r="Z473" s="724"/>
      <c r="AA473" s="724"/>
      <c r="AB473" s="724"/>
      <c r="AC473" s="724"/>
      <c r="AD473" s="1127">
        <f t="shared" si="44"/>
        <v>956000</v>
      </c>
      <c r="AE473" s="858">
        <f t="shared" si="45"/>
        <v>1</v>
      </c>
      <c r="AF473" s="859">
        <f t="shared" si="43"/>
        <v>327</v>
      </c>
    </row>
    <row r="474" spans="1:32" x14ac:dyDescent="0.3">
      <c r="A474" s="293" t="s">
        <v>618</v>
      </c>
      <c r="B474" s="857" t="s">
        <v>225</v>
      </c>
      <c r="C474" s="723"/>
      <c r="D474" s="724"/>
      <c r="E474" s="724"/>
      <c r="F474" s="724"/>
      <c r="G474" s="724"/>
      <c r="H474" s="724"/>
      <c r="I474" s="724"/>
      <c r="J474" s="724"/>
      <c r="K474" s="724"/>
      <c r="L474" s="724"/>
      <c r="M474" s="724"/>
      <c r="N474" s="724"/>
      <c r="O474" s="724"/>
      <c r="P474" s="1497">
        <f t="shared" si="41"/>
        <v>0</v>
      </c>
      <c r="Q474" s="1127">
        <f t="shared" si="42"/>
        <v>0</v>
      </c>
      <c r="R474" s="723"/>
      <c r="S474" s="724"/>
      <c r="T474" s="724"/>
      <c r="U474" s="724"/>
      <c r="V474" s="724"/>
      <c r="W474" s="724">
        <v>18500</v>
      </c>
      <c r="X474" s="724">
        <v>64000</v>
      </c>
      <c r="Y474" s="724">
        <v>0</v>
      </c>
      <c r="Z474" s="724"/>
      <c r="AA474" s="724"/>
      <c r="AB474" s="724"/>
      <c r="AC474" s="724"/>
      <c r="AD474" s="1127">
        <f t="shared" si="44"/>
        <v>82500</v>
      </c>
      <c r="AE474" s="858">
        <f t="shared" si="45"/>
        <v>1</v>
      </c>
      <c r="AF474" s="859">
        <f t="shared" si="43"/>
        <v>769</v>
      </c>
    </row>
    <row r="475" spans="1:32" x14ac:dyDescent="0.3">
      <c r="A475" s="293" t="s">
        <v>618</v>
      </c>
      <c r="B475" s="857" t="s">
        <v>2603</v>
      </c>
      <c r="C475" s="723"/>
      <c r="D475" s="724"/>
      <c r="E475" s="724"/>
      <c r="F475" s="724"/>
      <c r="G475" s="724"/>
      <c r="H475" s="724"/>
      <c r="I475" s="724"/>
      <c r="J475" s="724"/>
      <c r="K475" s="724"/>
      <c r="L475" s="724"/>
      <c r="M475" s="724"/>
      <c r="N475" s="724"/>
      <c r="O475" s="724"/>
      <c r="P475" s="1497">
        <f t="shared" si="41"/>
        <v>0</v>
      </c>
      <c r="Q475" s="1127">
        <f t="shared" si="42"/>
        <v>0</v>
      </c>
      <c r="R475" s="723"/>
      <c r="S475" s="724"/>
      <c r="T475" s="724"/>
      <c r="U475" s="724"/>
      <c r="V475" s="724"/>
      <c r="W475" s="724"/>
      <c r="X475" s="724">
        <v>18500</v>
      </c>
      <c r="Y475" s="724">
        <v>0</v>
      </c>
      <c r="Z475" s="724"/>
      <c r="AA475" s="724"/>
      <c r="AB475" s="724"/>
      <c r="AC475" s="724"/>
      <c r="AD475" s="1127">
        <f t="shared" si="44"/>
        <v>18500</v>
      </c>
      <c r="AE475" s="858">
        <f t="shared" si="45"/>
        <v>1</v>
      </c>
      <c r="AF475" s="859">
        <f t="shared" si="43"/>
        <v>929</v>
      </c>
    </row>
    <row r="476" spans="1:32" x14ac:dyDescent="0.3">
      <c r="A476" s="293" t="s">
        <v>618</v>
      </c>
      <c r="B476" s="857" t="s">
        <v>2925</v>
      </c>
      <c r="C476" s="723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1497">
        <f t="shared" si="41"/>
        <v>0</v>
      </c>
      <c r="Q476" s="1127">
        <f t="shared" si="42"/>
        <v>0</v>
      </c>
      <c r="R476" s="723"/>
      <c r="S476" s="724"/>
      <c r="T476" s="724"/>
      <c r="U476" s="724"/>
      <c r="V476" s="724"/>
      <c r="W476" s="724"/>
      <c r="X476" s="724">
        <v>32500</v>
      </c>
      <c r="Y476" s="724">
        <v>15000</v>
      </c>
      <c r="Z476" s="724"/>
      <c r="AA476" s="724"/>
      <c r="AB476" s="724"/>
      <c r="AC476" s="724"/>
      <c r="AD476" s="1127">
        <f t="shared" si="44"/>
        <v>47500</v>
      </c>
      <c r="AE476" s="858">
        <f t="shared" si="45"/>
        <v>1</v>
      </c>
      <c r="AF476" s="859">
        <f t="shared" si="43"/>
        <v>847</v>
      </c>
    </row>
    <row r="477" spans="1:32" x14ac:dyDescent="0.3">
      <c r="A477" s="372" t="s">
        <v>1873</v>
      </c>
      <c r="B477" s="661" t="s">
        <v>628</v>
      </c>
      <c r="C477" s="840"/>
      <c r="D477" s="725">
        <v>0</v>
      </c>
      <c r="E477" s="725"/>
      <c r="F477" s="725">
        <v>0</v>
      </c>
      <c r="G477" s="725">
        <v>0</v>
      </c>
      <c r="H477" s="725">
        <v>0</v>
      </c>
      <c r="I477" s="725">
        <v>0</v>
      </c>
      <c r="J477" s="725">
        <v>4372500</v>
      </c>
      <c r="K477" s="725"/>
      <c r="L477" s="725">
        <v>5000</v>
      </c>
      <c r="M477" s="725">
        <v>0</v>
      </c>
      <c r="N477" s="725">
        <v>55000</v>
      </c>
      <c r="O477" s="725" t="s">
        <v>251</v>
      </c>
      <c r="P477" s="1497">
        <f t="shared" si="41"/>
        <v>0</v>
      </c>
      <c r="Q477" s="1128">
        <f t="shared" si="42"/>
        <v>4432500</v>
      </c>
      <c r="R477" s="840">
        <v>340000</v>
      </c>
      <c r="S477" s="725"/>
      <c r="T477" s="725">
        <v>0</v>
      </c>
      <c r="U477" s="725">
        <v>0</v>
      </c>
      <c r="V477" s="725"/>
      <c r="W477" s="725"/>
      <c r="X477" s="725"/>
      <c r="Y477" s="725"/>
      <c r="Z477" s="725"/>
      <c r="AA477" s="725"/>
      <c r="AB477" s="725"/>
      <c r="AC477" s="725"/>
      <c r="AD477" s="1128">
        <f t="shared" si="44"/>
        <v>340000</v>
      </c>
      <c r="AE477" s="860">
        <f t="shared" si="45"/>
        <v>1</v>
      </c>
      <c r="AF477" s="861">
        <f t="shared" si="43"/>
        <v>509</v>
      </c>
    </row>
    <row r="478" spans="1:32" x14ac:dyDescent="0.3">
      <c r="A478" s="372" t="s">
        <v>1873</v>
      </c>
      <c r="B478" s="661" t="s">
        <v>620</v>
      </c>
      <c r="C478" s="840"/>
      <c r="D478" s="725">
        <v>0</v>
      </c>
      <c r="E478" s="725"/>
      <c r="F478" s="725">
        <v>0</v>
      </c>
      <c r="G478" s="725">
        <v>0</v>
      </c>
      <c r="H478" s="725">
        <v>0</v>
      </c>
      <c r="I478" s="725">
        <v>0</v>
      </c>
      <c r="J478" s="725">
        <v>1245000</v>
      </c>
      <c r="K478" s="725"/>
      <c r="L478" s="725">
        <v>1075000</v>
      </c>
      <c r="M478" s="725">
        <v>665000</v>
      </c>
      <c r="N478" s="725">
        <v>0</v>
      </c>
      <c r="O478" s="725" t="s">
        <v>251</v>
      </c>
      <c r="P478" s="1497">
        <f t="shared" si="41"/>
        <v>0</v>
      </c>
      <c r="Q478" s="1128">
        <f t="shared" si="42"/>
        <v>2985000</v>
      </c>
      <c r="R478" s="840"/>
      <c r="S478" s="725"/>
      <c r="T478" s="725"/>
      <c r="U478" s="725">
        <v>3490000</v>
      </c>
      <c r="V478" s="725">
        <v>1775000</v>
      </c>
      <c r="W478" s="725">
        <v>5000</v>
      </c>
      <c r="X478" s="725">
        <v>0</v>
      </c>
      <c r="Y478" s="725">
        <v>0</v>
      </c>
      <c r="Z478" s="725"/>
      <c r="AA478" s="725"/>
      <c r="AB478" s="725"/>
      <c r="AC478" s="725"/>
      <c r="AD478" s="1128">
        <f t="shared" si="44"/>
        <v>5270000</v>
      </c>
      <c r="AE478" s="860">
        <f t="shared" si="45"/>
        <v>1</v>
      </c>
      <c r="AF478" s="861">
        <f t="shared" si="43"/>
        <v>82</v>
      </c>
    </row>
    <row r="479" spans="1:32" x14ac:dyDescent="0.3">
      <c r="A479" s="372" t="s">
        <v>1873</v>
      </c>
      <c r="B479" s="661" t="s">
        <v>1900</v>
      </c>
      <c r="C479" s="840"/>
      <c r="D479" s="725">
        <v>0</v>
      </c>
      <c r="E479" s="725"/>
      <c r="F479" s="725">
        <v>0</v>
      </c>
      <c r="G479" s="725">
        <v>0</v>
      </c>
      <c r="H479" s="725">
        <v>0</v>
      </c>
      <c r="I479" s="725">
        <v>0</v>
      </c>
      <c r="J479" s="725">
        <v>10250</v>
      </c>
      <c r="K479" s="725">
        <v>10250</v>
      </c>
      <c r="L479" s="725">
        <v>490000</v>
      </c>
      <c r="M479" s="725">
        <v>3920000</v>
      </c>
      <c r="N479" s="725">
        <v>4720000</v>
      </c>
      <c r="O479" s="725">
        <v>2115000</v>
      </c>
      <c r="P479" s="1497">
        <f t="shared" si="41"/>
        <v>10250</v>
      </c>
      <c r="Q479" s="1128">
        <f t="shared" si="42"/>
        <v>11255250</v>
      </c>
      <c r="R479" s="840"/>
      <c r="S479" s="725">
        <v>205000</v>
      </c>
      <c r="T479" s="725">
        <v>105000</v>
      </c>
      <c r="U479" s="725">
        <v>0</v>
      </c>
      <c r="V479" s="725"/>
      <c r="W479" s="725"/>
      <c r="X479" s="725"/>
      <c r="Y479" s="725"/>
      <c r="Z479" s="725"/>
      <c r="AA479" s="725"/>
      <c r="AB479" s="725"/>
      <c r="AC479" s="725"/>
      <c r="AD479" s="1128">
        <f t="shared" si="44"/>
        <v>310000</v>
      </c>
      <c r="AE479" s="860">
        <f t="shared" si="45"/>
        <v>29.243902439024389</v>
      </c>
      <c r="AF479" s="861">
        <f t="shared" si="43"/>
        <v>525</v>
      </c>
    </row>
    <row r="480" spans="1:32" x14ac:dyDescent="0.3">
      <c r="A480" s="372" t="s">
        <v>1873</v>
      </c>
      <c r="B480" s="661" t="s">
        <v>648</v>
      </c>
      <c r="C480" s="840"/>
      <c r="D480" s="725">
        <v>0</v>
      </c>
      <c r="E480" s="725"/>
      <c r="F480" s="725">
        <v>0</v>
      </c>
      <c r="G480" s="725">
        <v>0</v>
      </c>
      <c r="H480" s="725">
        <v>0</v>
      </c>
      <c r="I480" s="725">
        <v>675000</v>
      </c>
      <c r="J480" s="725">
        <v>180000</v>
      </c>
      <c r="K480" s="725"/>
      <c r="L480" s="725">
        <v>365000</v>
      </c>
      <c r="M480" s="725">
        <v>795000</v>
      </c>
      <c r="N480" s="725">
        <v>865000</v>
      </c>
      <c r="O480" s="725">
        <v>160000</v>
      </c>
      <c r="P480" s="1497">
        <f t="shared" si="41"/>
        <v>675000</v>
      </c>
      <c r="Q480" s="1128">
        <f t="shared" si="42"/>
        <v>3040000</v>
      </c>
      <c r="R480" s="840">
        <v>20000</v>
      </c>
      <c r="S480" s="725"/>
      <c r="T480" s="725">
        <v>0</v>
      </c>
      <c r="U480" s="725">
        <v>0</v>
      </c>
      <c r="V480" s="725">
        <v>490000</v>
      </c>
      <c r="W480" s="725">
        <v>1136500</v>
      </c>
      <c r="X480" s="725">
        <v>746000</v>
      </c>
      <c r="Y480" s="725">
        <v>0</v>
      </c>
      <c r="Z480" s="725"/>
      <c r="AA480" s="725"/>
      <c r="AB480" s="725"/>
      <c r="AC480" s="725"/>
      <c r="AD480" s="1128">
        <f t="shared" si="44"/>
        <v>2392500</v>
      </c>
      <c r="AE480" s="860">
        <f t="shared" si="45"/>
        <v>2.5444444444444443</v>
      </c>
      <c r="AF480" s="861">
        <f t="shared" si="43"/>
        <v>182</v>
      </c>
    </row>
    <row r="481" spans="1:32" x14ac:dyDescent="0.3">
      <c r="A481" s="372" t="s">
        <v>1873</v>
      </c>
      <c r="B481" s="661" t="s">
        <v>650</v>
      </c>
      <c r="C481" s="840"/>
      <c r="D481" s="725">
        <v>0</v>
      </c>
      <c r="E481" s="725"/>
      <c r="F481" s="725">
        <v>0</v>
      </c>
      <c r="G481" s="725">
        <v>0</v>
      </c>
      <c r="H481" s="725">
        <v>0</v>
      </c>
      <c r="I481" s="725">
        <v>0</v>
      </c>
      <c r="J481" s="725">
        <v>1657500</v>
      </c>
      <c r="K481" s="725">
        <v>1652500</v>
      </c>
      <c r="L481" s="725">
        <v>625000</v>
      </c>
      <c r="M481" s="725">
        <v>585000</v>
      </c>
      <c r="N481" s="725">
        <v>268000</v>
      </c>
      <c r="O481" s="725">
        <v>13000</v>
      </c>
      <c r="P481" s="1497">
        <f t="shared" si="41"/>
        <v>1652500</v>
      </c>
      <c r="Q481" s="1128">
        <f t="shared" si="42"/>
        <v>3148500</v>
      </c>
      <c r="R481" s="840"/>
      <c r="S481" s="725"/>
      <c r="T481" s="725">
        <v>1310000</v>
      </c>
      <c r="U481" s="725">
        <v>1687500</v>
      </c>
      <c r="V481" s="725">
        <v>315000</v>
      </c>
      <c r="W481" s="725">
        <v>5000</v>
      </c>
      <c r="X481" s="725">
        <v>0</v>
      </c>
      <c r="Y481" s="725">
        <v>0</v>
      </c>
      <c r="Z481" s="725"/>
      <c r="AA481" s="725"/>
      <c r="AB481" s="725"/>
      <c r="AC481" s="725"/>
      <c r="AD481" s="1128">
        <f t="shared" si="44"/>
        <v>3317500</v>
      </c>
      <c r="AE481" s="860">
        <f t="shared" si="45"/>
        <v>1.0075642965204237</v>
      </c>
      <c r="AF481" s="861">
        <f t="shared" si="43"/>
        <v>136</v>
      </c>
    </row>
    <row r="482" spans="1:32" x14ac:dyDescent="0.3">
      <c r="A482" s="372" t="s">
        <v>1873</v>
      </c>
      <c r="B482" s="661" t="s">
        <v>741</v>
      </c>
      <c r="C482" s="840"/>
      <c r="D482" s="725">
        <v>0</v>
      </c>
      <c r="E482" s="725"/>
      <c r="F482" s="725">
        <v>0</v>
      </c>
      <c r="G482" s="725">
        <v>0</v>
      </c>
      <c r="H482" s="725">
        <v>0</v>
      </c>
      <c r="I482" s="725">
        <v>0</v>
      </c>
      <c r="J482" s="725">
        <v>990000</v>
      </c>
      <c r="K482" s="725">
        <v>990000</v>
      </c>
      <c r="L482" s="725">
        <v>825000</v>
      </c>
      <c r="M482" s="725">
        <v>10000</v>
      </c>
      <c r="N482" s="725">
        <v>0</v>
      </c>
      <c r="O482" s="725" t="s">
        <v>251</v>
      </c>
      <c r="P482" s="1497">
        <f t="shared" si="41"/>
        <v>990000</v>
      </c>
      <c r="Q482" s="1128">
        <f t="shared" si="42"/>
        <v>1825000</v>
      </c>
      <c r="R482" s="840"/>
      <c r="S482" s="725"/>
      <c r="T482" s="725"/>
      <c r="U482" s="725">
        <v>5000</v>
      </c>
      <c r="V482" s="725">
        <v>110000</v>
      </c>
      <c r="W482" s="725">
        <v>155000</v>
      </c>
      <c r="X482" s="725">
        <v>0</v>
      </c>
      <c r="Y482" s="725">
        <v>0</v>
      </c>
      <c r="Z482" s="725"/>
      <c r="AA482" s="725"/>
      <c r="AB482" s="725"/>
      <c r="AC482" s="725"/>
      <c r="AD482" s="1128">
        <f t="shared" si="44"/>
        <v>270000</v>
      </c>
      <c r="AE482" s="860">
        <f t="shared" si="45"/>
        <v>-0.72727272727272729</v>
      </c>
      <c r="AF482" s="861">
        <f t="shared" si="43"/>
        <v>550</v>
      </c>
    </row>
    <row r="483" spans="1:32" x14ac:dyDescent="0.3">
      <c r="A483" s="372" t="s">
        <v>1873</v>
      </c>
      <c r="B483" s="661" t="s">
        <v>641</v>
      </c>
      <c r="C483" s="840"/>
      <c r="D483" s="725">
        <v>0</v>
      </c>
      <c r="E483" s="725"/>
      <c r="F483" s="725">
        <v>0</v>
      </c>
      <c r="G483" s="725">
        <v>0</v>
      </c>
      <c r="H483" s="725">
        <v>0</v>
      </c>
      <c r="I483" s="725">
        <v>0</v>
      </c>
      <c r="J483" s="725">
        <v>20000</v>
      </c>
      <c r="K483" s="725"/>
      <c r="L483" s="725">
        <v>0</v>
      </c>
      <c r="M483" s="725">
        <v>5000</v>
      </c>
      <c r="N483" s="725">
        <v>0</v>
      </c>
      <c r="O483" s="725" t="s">
        <v>251</v>
      </c>
      <c r="P483" s="1497">
        <f t="shared" si="41"/>
        <v>0</v>
      </c>
      <c r="Q483" s="1128">
        <f t="shared" si="42"/>
        <v>25000</v>
      </c>
      <c r="R483" s="840"/>
      <c r="S483" s="725"/>
      <c r="T483" s="725"/>
      <c r="U483" s="725">
        <v>815500</v>
      </c>
      <c r="V483" s="725"/>
      <c r="W483" s="725"/>
      <c r="X483" s="725"/>
      <c r="Y483" s="725"/>
      <c r="Z483" s="725"/>
      <c r="AA483" s="725"/>
      <c r="AB483" s="725"/>
      <c r="AC483" s="725"/>
      <c r="AD483" s="1128">
        <f t="shared" si="44"/>
        <v>815500</v>
      </c>
      <c r="AE483" s="860">
        <f t="shared" si="45"/>
        <v>1</v>
      </c>
      <c r="AF483" s="861">
        <f t="shared" si="43"/>
        <v>351</v>
      </c>
    </row>
    <row r="484" spans="1:32" x14ac:dyDescent="0.3">
      <c r="A484" s="372" t="s">
        <v>1873</v>
      </c>
      <c r="B484" s="661" t="s">
        <v>656</v>
      </c>
      <c r="C484" s="840"/>
      <c r="D484" s="725">
        <v>0</v>
      </c>
      <c r="E484" s="725"/>
      <c r="F484" s="725">
        <v>0</v>
      </c>
      <c r="G484" s="725">
        <v>0</v>
      </c>
      <c r="H484" s="725">
        <v>0</v>
      </c>
      <c r="I484" s="725">
        <v>0</v>
      </c>
      <c r="J484" s="725">
        <v>70000</v>
      </c>
      <c r="K484" s="725"/>
      <c r="L484" s="725">
        <v>0</v>
      </c>
      <c r="M484" s="725">
        <v>5000</v>
      </c>
      <c r="N484" s="725">
        <v>0</v>
      </c>
      <c r="O484" s="725" t="s">
        <v>251</v>
      </c>
      <c r="P484" s="1497">
        <f t="shared" si="41"/>
        <v>0</v>
      </c>
      <c r="Q484" s="1128">
        <f t="shared" si="42"/>
        <v>75000</v>
      </c>
      <c r="R484" s="840"/>
      <c r="S484" s="725"/>
      <c r="T484" s="725"/>
      <c r="U484" s="725"/>
      <c r="V484" s="725"/>
      <c r="W484" s="725"/>
      <c r="X484" s="725"/>
      <c r="Y484" s="725"/>
      <c r="Z484" s="725"/>
      <c r="AA484" s="725"/>
      <c r="AB484" s="725"/>
      <c r="AC484" s="725"/>
      <c r="AD484" s="1128">
        <f t="shared" si="44"/>
        <v>0</v>
      </c>
      <c r="AE484" s="860">
        <f t="shared" si="45"/>
        <v>0</v>
      </c>
      <c r="AF484" s="861">
        <f t="shared" si="43"/>
        <v>983</v>
      </c>
    </row>
    <row r="485" spans="1:32" x14ac:dyDescent="0.3">
      <c r="A485" s="372" t="s">
        <v>1873</v>
      </c>
      <c r="B485" s="661" t="s">
        <v>886</v>
      </c>
      <c r="C485" s="840"/>
      <c r="D485" s="725">
        <v>0</v>
      </c>
      <c r="E485" s="725"/>
      <c r="F485" s="725">
        <v>0</v>
      </c>
      <c r="G485" s="725">
        <v>0</v>
      </c>
      <c r="H485" s="725">
        <v>0</v>
      </c>
      <c r="I485" s="725">
        <v>0</v>
      </c>
      <c r="J485" s="725">
        <v>165000</v>
      </c>
      <c r="K485" s="725"/>
      <c r="L485" s="725">
        <v>165000</v>
      </c>
      <c r="M485" s="725">
        <v>0</v>
      </c>
      <c r="N485" s="725">
        <v>0</v>
      </c>
      <c r="O485" s="725" t="s">
        <v>251</v>
      </c>
      <c r="P485" s="1497">
        <f t="shared" si="41"/>
        <v>0</v>
      </c>
      <c r="Q485" s="1128">
        <f t="shared" si="42"/>
        <v>330000</v>
      </c>
      <c r="R485" s="840"/>
      <c r="S485" s="725"/>
      <c r="T485" s="725"/>
      <c r="U485" s="725"/>
      <c r="V485" s="725">
        <v>320000</v>
      </c>
      <c r="W485" s="725">
        <v>0</v>
      </c>
      <c r="X485" s="725">
        <v>0</v>
      </c>
      <c r="Y485" s="725">
        <v>0</v>
      </c>
      <c r="Z485" s="725"/>
      <c r="AA485" s="725"/>
      <c r="AB485" s="725"/>
      <c r="AC485" s="725"/>
      <c r="AD485" s="1128">
        <f t="shared" si="44"/>
        <v>320000</v>
      </c>
      <c r="AE485" s="860">
        <f t="shared" si="45"/>
        <v>1</v>
      </c>
      <c r="AF485" s="861">
        <f t="shared" si="43"/>
        <v>520</v>
      </c>
    </row>
    <row r="486" spans="1:32" x14ac:dyDescent="0.3">
      <c r="A486" s="372" t="s">
        <v>1873</v>
      </c>
      <c r="B486" s="661" t="s">
        <v>1888</v>
      </c>
      <c r="C486" s="840"/>
      <c r="D486" s="725">
        <v>0</v>
      </c>
      <c r="E486" s="725"/>
      <c r="F486" s="725">
        <v>0</v>
      </c>
      <c r="G486" s="725">
        <v>0</v>
      </c>
      <c r="H486" s="725">
        <v>0</v>
      </c>
      <c r="I486" s="725">
        <v>0</v>
      </c>
      <c r="J486" s="725">
        <v>5000</v>
      </c>
      <c r="K486" s="725"/>
      <c r="L486" s="725">
        <v>0</v>
      </c>
      <c r="M486" s="725">
        <v>0</v>
      </c>
      <c r="N486" s="725">
        <v>0</v>
      </c>
      <c r="O486" s="725" t="s">
        <v>251</v>
      </c>
      <c r="P486" s="1497">
        <f t="shared" si="41"/>
        <v>0</v>
      </c>
      <c r="Q486" s="1128">
        <f t="shared" si="42"/>
        <v>5000</v>
      </c>
      <c r="R486" s="840">
        <v>15000</v>
      </c>
      <c r="S486" s="725"/>
      <c r="T486" s="725">
        <v>0</v>
      </c>
      <c r="U486" s="725">
        <v>0</v>
      </c>
      <c r="V486" s="725"/>
      <c r="W486" s="725">
        <v>5000</v>
      </c>
      <c r="X486" s="725">
        <v>5000</v>
      </c>
      <c r="Y486" s="725">
        <v>20000</v>
      </c>
      <c r="Z486" s="725"/>
      <c r="AA486" s="725"/>
      <c r="AB486" s="725"/>
      <c r="AC486" s="725"/>
      <c r="AD486" s="1128">
        <f t="shared" si="44"/>
        <v>45000</v>
      </c>
      <c r="AE486" s="860">
        <f t="shared" si="45"/>
        <v>1</v>
      </c>
      <c r="AF486" s="861">
        <f t="shared" si="43"/>
        <v>857</v>
      </c>
    </row>
    <row r="487" spans="1:32" x14ac:dyDescent="0.3">
      <c r="A487" s="372" t="s">
        <v>1873</v>
      </c>
      <c r="B487" s="661" t="s">
        <v>621</v>
      </c>
      <c r="C487" s="840"/>
      <c r="D487" s="725">
        <v>0</v>
      </c>
      <c r="E487" s="725"/>
      <c r="F487" s="725">
        <v>0</v>
      </c>
      <c r="G487" s="725">
        <v>0</v>
      </c>
      <c r="H487" s="725">
        <v>0</v>
      </c>
      <c r="I487" s="725">
        <v>5000</v>
      </c>
      <c r="J487" s="725">
        <v>0</v>
      </c>
      <c r="K487" s="725"/>
      <c r="L487" s="725">
        <v>5000</v>
      </c>
      <c r="M487" s="725">
        <v>0</v>
      </c>
      <c r="N487" s="725">
        <v>795000</v>
      </c>
      <c r="O487" s="725" t="s">
        <v>251</v>
      </c>
      <c r="P487" s="1497">
        <f t="shared" si="41"/>
        <v>5000</v>
      </c>
      <c r="Q487" s="1128">
        <f t="shared" si="42"/>
        <v>805000</v>
      </c>
      <c r="R487" s="840"/>
      <c r="S487" s="725"/>
      <c r="T487" s="725"/>
      <c r="U487" s="725">
        <v>715000</v>
      </c>
      <c r="V487" s="725">
        <v>1040000</v>
      </c>
      <c r="W487" s="725">
        <v>350000</v>
      </c>
      <c r="X487" s="725">
        <v>0</v>
      </c>
      <c r="Y487" s="725">
        <v>0</v>
      </c>
      <c r="Z487" s="725"/>
      <c r="AA487" s="725"/>
      <c r="AB487" s="725"/>
      <c r="AC487" s="725"/>
      <c r="AD487" s="1128">
        <f t="shared" si="44"/>
        <v>2105000</v>
      </c>
      <c r="AE487" s="860">
        <f t="shared" si="45"/>
        <v>420</v>
      </c>
      <c r="AF487" s="861">
        <f t="shared" si="43"/>
        <v>206</v>
      </c>
    </row>
    <row r="488" spans="1:32" x14ac:dyDescent="0.3">
      <c r="A488" s="372" t="s">
        <v>1873</v>
      </c>
      <c r="B488" s="661" t="s">
        <v>622</v>
      </c>
      <c r="C488" s="840"/>
      <c r="D488" s="725">
        <v>0</v>
      </c>
      <c r="E488" s="725"/>
      <c r="F488" s="725">
        <v>0</v>
      </c>
      <c r="G488" s="725">
        <v>0</v>
      </c>
      <c r="H488" s="725">
        <v>0</v>
      </c>
      <c r="I488" s="725">
        <v>0</v>
      </c>
      <c r="J488" s="725">
        <v>0</v>
      </c>
      <c r="K488" s="725"/>
      <c r="L488" s="725">
        <v>1515000</v>
      </c>
      <c r="M488" s="725">
        <v>520000</v>
      </c>
      <c r="N488" s="725">
        <v>785000</v>
      </c>
      <c r="O488" s="725" t="s">
        <v>251</v>
      </c>
      <c r="P488" s="1497">
        <f t="shared" si="41"/>
        <v>0</v>
      </c>
      <c r="Q488" s="1128">
        <f t="shared" si="42"/>
        <v>2820000</v>
      </c>
      <c r="R488" s="840"/>
      <c r="S488" s="725"/>
      <c r="T488" s="725"/>
      <c r="U488" s="725"/>
      <c r="V488" s="725"/>
      <c r="W488" s="725"/>
      <c r="X488" s="725"/>
      <c r="Y488" s="725"/>
      <c r="Z488" s="725"/>
      <c r="AA488" s="725"/>
      <c r="AB488" s="725"/>
      <c r="AC488" s="725"/>
      <c r="AD488" s="1128">
        <f t="shared" si="44"/>
        <v>0</v>
      </c>
      <c r="AE488" s="860">
        <f t="shared" si="45"/>
        <v>0</v>
      </c>
      <c r="AF488" s="861">
        <f t="shared" si="43"/>
        <v>983</v>
      </c>
    </row>
    <row r="489" spans="1:32" x14ac:dyDescent="0.3">
      <c r="A489" s="372" t="s">
        <v>1873</v>
      </c>
      <c r="B489" s="661" t="s">
        <v>635</v>
      </c>
      <c r="C489" s="840"/>
      <c r="D489" s="725">
        <v>0</v>
      </c>
      <c r="E489" s="725"/>
      <c r="F489" s="725">
        <v>0</v>
      </c>
      <c r="G489" s="725">
        <v>0</v>
      </c>
      <c r="H489" s="725">
        <v>0</v>
      </c>
      <c r="I489" s="725">
        <v>0</v>
      </c>
      <c r="J489" s="725">
        <v>0</v>
      </c>
      <c r="K489" s="725"/>
      <c r="L489" s="725">
        <v>1735000</v>
      </c>
      <c r="M489" s="725">
        <v>5000</v>
      </c>
      <c r="N489" s="725">
        <v>0</v>
      </c>
      <c r="O489" s="725" t="s">
        <v>251</v>
      </c>
      <c r="P489" s="1497">
        <f t="shared" si="41"/>
        <v>0</v>
      </c>
      <c r="Q489" s="1128">
        <f t="shared" si="42"/>
        <v>1740000</v>
      </c>
      <c r="R489" s="840"/>
      <c r="S489" s="725"/>
      <c r="T489" s="725">
        <v>320000</v>
      </c>
      <c r="U489" s="725">
        <v>205000</v>
      </c>
      <c r="V489" s="725">
        <v>5000</v>
      </c>
      <c r="W489" s="725">
        <v>10000</v>
      </c>
      <c r="X489" s="725">
        <v>0</v>
      </c>
      <c r="Y489" s="725">
        <v>0</v>
      </c>
      <c r="Z489" s="725"/>
      <c r="AA489" s="725"/>
      <c r="AB489" s="725"/>
      <c r="AC489" s="725"/>
      <c r="AD489" s="1128">
        <f t="shared" si="44"/>
        <v>540000</v>
      </c>
      <c r="AE489" s="860">
        <f t="shared" si="45"/>
        <v>1</v>
      </c>
      <c r="AF489" s="861">
        <f t="shared" si="43"/>
        <v>422</v>
      </c>
    </row>
    <row r="490" spans="1:32" x14ac:dyDescent="0.3">
      <c r="A490" s="372" t="s">
        <v>1873</v>
      </c>
      <c r="B490" s="661" t="s">
        <v>740</v>
      </c>
      <c r="C490" s="840"/>
      <c r="D490" s="725">
        <v>0</v>
      </c>
      <c r="E490" s="725"/>
      <c r="F490" s="725">
        <v>0</v>
      </c>
      <c r="G490" s="725">
        <v>0</v>
      </c>
      <c r="H490" s="725">
        <v>0</v>
      </c>
      <c r="I490" s="725">
        <v>0</v>
      </c>
      <c r="J490" s="725">
        <v>0</v>
      </c>
      <c r="K490" s="725"/>
      <c r="L490" s="725">
        <v>1275000</v>
      </c>
      <c r="M490" s="725">
        <v>0</v>
      </c>
      <c r="N490" s="725">
        <v>0</v>
      </c>
      <c r="O490" s="725">
        <v>160000</v>
      </c>
      <c r="P490" s="1497">
        <f t="shared" si="41"/>
        <v>0</v>
      </c>
      <c r="Q490" s="1128">
        <f t="shared" si="42"/>
        <v>1435000</v>
      </c>
      <c r="R490" s="840">
        <v>490000</v>
      </c>
      <c r="S490" s="725"/>
      <c r="T490" s="725">
        <v>160000</v>
      </c>
      <c r="U490" s="725">
        <v>0</v>
      </c>
      <c r="V490" s="725"/>
      <c r="W490" s="725"/>
      <c r="X490" s="725"/>
      <c r="Y490" s="725"/>
      <c r="Z490" s="725"/>
      <c r="AA490" s="725"/>
      <c r="AB490" s="725"/>
      <c r="AC490" s="725"/>
      <c r="AD490" s="1128">
        <f t="shared" si="44"/>
        <v>650000</v>
      </c>
      <c r="AE490" s="860">
        <f t="shared" si="45"/>
        <v>1</v>
      </c>
      <c r="AF490" s="861">
        <f t="shared" si="43"/>
        <v>393</v>
      </c>
    </row>
    <row r="491" spans="1:32" x14ac:dyDescent="0.3">
      <c r="A491" s="372" t="s">
        <v>1873</v>
      </c>
      <c r="B491" s="661" t="s">
        <v>643</v>
      </c>
      <c r="C491" s="840"/>
      <c r="D491" s="725">
        <v>0</v>
      </c>
      <c r="E491" s="725"/>
      <c r="F491" s="725">
        <v>0</v>
      </c>
      <c r="G491" s="725">
        <v>0</v>
      </c>
      <c r="H491" s="725">
        <v>0</v>
      </c>
      <c r="I491" s="725">
        <v>0</v>
      </c>
      <c r="J491" s="725">
        <v>0</v>
      </c>
      <c r="K491" s="725"/>
      <c r="L491" s="725">
        <v>45000</v>
      </c>
      <c r="M491" s="725">
        <v>0</v>
      </c>
      <c r="N491" s="725">
        <v>1575000</v>
      </c>
      <c r="O491" s="725">
        <v>155000</v>
      </c>
      <c r="P491" s="1497">
        <f t="shared" si="41"/>
        <v>0</v>
      </c>
      <c r="Q491" s="1128">
        <f t="shared" si="42"/>
        <v>1775000</v>
      </c>
      <c r="R491" s="840"/>
      <c r="S491" s="725"/>
      <c r="T491" s="725">
        <v>170000</v>
      </c>
      <c r="U491" s="725">
        <v>5000</v>
      </c>
      <c r="V491" s="725"/>
      <c r="W491" s="725">
        <v>955000</v>
      </c>
      <c r="X491" s="725">
        <v>0</v>
      </c>
      <c r="Y491" s="725">
        <v>0</v>
      </c>
      <c r="Z491" s="725"/>
      <c r="AA491" s="725"/>
      <c r="AB491" s="725"/>
      <c r="AC491" s="725"/>
      <c r="AD491" s="1128">
        <f t="shared" si="44"/>
        <v>1130000</v>
      </c>
      <c r="AE491" s="860">
        <f t="shared" si="45"/>
        <v>1</v>
      </c>
      <c r="AF491" s="861">
        <f t="shared" si="43"/>
        <v>295</v>
      </c>
    </row>
    <row r="492" spans="1:32" x14ac:dyDescent="0.3">
      <c r="A492" s="372" t="s">
        <v>1873</v>
      </c>
      <c r="B492" s="661" t="s">
        <v>659</v>
      </c>
      <c r="C492" s="840"/>
      <c r="D492" s="725">
        <v>0</v>
      </c>
      <c r="E492" s="725"/>
      <c r="F492" s="725">
        <v>0</v>
      </c>
      <c r="G492" s="725">
        <v>0</v>
      </c>
      <c r="H492" s="725">
        <v>0</v>
      </c>
      <c r="I492" s="725">
        <v>0</v>
      </c>
      <c r="J492" s="725">
        <v>0</v>
      </c>
      <c r="K492" s="725"/>
      <c r="L492" s="725">
        <v>320000</v>
      </c>
      <c r="M492" s="725">
        <v>320000</v>
      </c>
      <c r="N492" s="725">
        <v>0</v>
      </c>
      <c r="O492" s="725" t="s">
        <v>251</v>
      </c>
      <c r="P492" s="1497">
        <f t="shared" si="41"/>
        <v>0</v>
      </c>
      <c r="Q492" s="1128">
        <f t="shared" si="42"/>
        <v>640000</v>
      </c>
      <c r="R492" s="840"/>
      <c r="S492" s="725"/>
      <c r="T492" s="725"/>
      <c r="U492" s="725"/>
      <c r="V492" s="725"/>
      <c r="W492" s="725"/>
      <c r="X492" s="725"/>
      <c r="Y492" s="725"/>
      <c r="Z492" s="725"/>
      <c r="AA492" s="725"/>
      <c r="AB492" s="725"/>
      <c r="AC492" s="725"/>
      <c r="AD492" s="1128">
        <f t="shared" si="44"/>
        <v>0</v>
      </c>
      <c r="AE492" s="860">
        <f t="shared" si="45"/>
        <v>0</v>
      </c>
      <c r="AF492" s="861">
        <f t="shared" si="43"/>
        <v>983</v>
      </c>
    </row>
    <row r="493" spans="1:32" x14ac:dyDescent="0.3">
      <c r="A493" s="372" t="s">
        <v>1873</v>
      </c>
      <c r="B493" s="661" t="s">
        <v>619</v>
      </c>
      <c r="C493" s="840"/>
      <c r="D493" s="725">
        <v>0</v>
      </c>
      <c r="E493" s="725"/>
      <c r="F493" s="725">
        <v>0</v>
      </c>
      <c r="G493" s="725">
        <v>0</v>
      </c>
      <c r="H493" s="725">
        <v>0</v>
      </c>
      <c r="I493" s="725">
        <v>0</v>
      </c>
      <c r="J493" s="725">
        <v>0</v>
      </c>
      <c r="K493" s="725"/>
      <c r="L493" s="725">
        <v>0</v>
      </c>
      <c r="M493" s="725">
        <v>270000</v>
      </c>
      <c r="N493" s="725">
        <v>0</v>
      </c>
      <c r="O493" s="725" t="s">
        <v>251</v>
      </c>
      <c r="P493" s="1497">
        <f t="shared" si="41"/>
        <v>0</v>
      </c>
      <c r="Q493" s="1128">
        <f t="shared" si="42"/>
        <v>270000</v>
      </c>
      <c r="R493" s="840"/>
      <c r="S493" s="725"/>
      <c r="T493" s="725"/>
      <c r="U493" s="725">
        <v>110000</v>
      </c>
      <c r="V493" s="725">
        <v>55000</v>
      </c>
      <c r="W493" s="725">
        <v>0</v>
      </c>
      <c r="X493" s="725">
        <v>162000</v>
      </c>
      <c r="Y493" s="725">
        <v>0</v>
      </c>
      <c r="Z493" s="725"/>
      <c r="AA493" s="725"/>
      <c r="AB493" s="725"/>
      <c r="AC493" s="725"/>
      <c r="AD493" s="1128">
        <f t="shared" si="44"/>
        <v>327000</v>
      </c>
      <c r="AE493" s="860">
        <f t="shared" si="45"/>
        <v>1</v>
      </c>
      <c r="AF493" s="861">
        <f t="shared" si="43"/>
        <v>515</v>
      </c>
    </row>
    <row r="494" spans="1:32" x14ac:dyDescent="0.3">
      <c r="A494" s="372" t="s">
        <v>1873</v>
      </c>
      <c r="B494" s="661" t="s">
        <v>624</v>
      </c>
      <c r="C494" s="840"/>
      <c r="D494" s="725">
        <v>0</v>
      </c>
      <c r="E494" s="725"/>
      <c r="F494" s="725">
        <v>0</v>
      </c>
      <c r="G494" s="725">
        <v>0</v>
      </c>
      <c r="H494" s="725">
        <v>0</v>
      </c>
      <c r="I494" s="725">
        <v>0</v>
      </c>
      <c r="J494" s="725">
        <v>0</v>
      </c>
      <c r="K494" s="725"/>
      <c r="L494" s="725">
        <v>0</v>
      </c>
      <c r="M494" s="725">
        <v>110000</v>
      </c>
      <c r="N494" s="725">
        <v>0</v>
      </c>
      <c r="O494" s="725" t="s">
        <v>251</v>
      </c>
      <c r="P494" s="1497">
        <f t="shared" si="41"/>
        <v>0</v>
      </c>
      <c r="Q494" s="1128">
        <f t="shared" si="42"/>
        <v>110000</v>
      </c>
      <c r="R494" s="840"/>
      <c r="S494" s="725"/>
      <c r="T494" s="725"/>
      <c r="U494" s="725"/>
      <c r="V494" s="725"/>
      <c r="W494" s="725"/>
      <c r="X494" s="725"/>
      <c r="Y494" s="725"/>
      <c r="Z494" s="725"/>
      <c r="AA494" s="725"/>
      <c r="AB494" s="725"/>
      <c r="AC494" s="725"/>
      <c r="AD494" s="1128">
        <f t="shared" si="44"/>
        <v>0</v>
      </c>
      <c r="AE494" s="860">
        <f t="shared" si="45"/>
        <v>0</v>
      </c>
      <c r="AF494" s="861">
        <f t="shared" si="43"/>
        <v>983</v>
      </c>
    </row>
    <row r="495" spans="1:32" x14ac:dyDescent="0.3">
      <c r="A495" s="372" t="s">
        <v>1873</v>
      </c>
      <c r="B495" s="661" t="s">
        <v>1920</v>
      </c>
      <c r="C495" s="840"/>
      <c r="D495" s="725" t="s">
        <v>251</v>
      </c>
      <c r="E495" s="725"/>
      <c r="F495" s="725">
        <v>0</v>
      </c>
      <c r="G495" s="725" t="s">
        <v>251</v>
      </c>
      <c r="H495" s="725" t="s">
        <v>251</v>
      </c>
      <c r="I495" s="725" t="s">
        <v>251</v>
      </c>
      <c r="J495" s="725">
        <v>0</v>
      </c>
      <c r="K495" s="725"/>
      <c r="L495" s="725">
        <v>0</v>
      </c>
      <c r="M495" s="725">
        <v>170000</v>
      </c>
      <c r="N495" s="725">
        <v>0</v>
      </c>
      <c r="O495" s="725" t="s">
        <v>251</v>
      </c>
      <c r="P495" s="1497">
        <f t="shared" si="41"/>
        <v>0</v>
      </c>
      <c r="Q495" s="1128">
        <f t="shared" si="42"/>
        <v>170000</v>
      </c>
      <c r="R495" s="840"/>
      <c r="S495" s="725"/>
      <c r="T495" s="725"/>
      <c r="U495" s="725"/>
      <c r="V495" s="725"/>
      <c r="W495" s="725"/>
      <c r="X495" s="725"/>
      <c r="Y495" s="725"/>
      <c r="Z495" s="725"/>
      <c r="AA495" s="725"/>
      <c r="AB495" s="725"/>
      <c r="AC495" s="725"/>
      <c r="AD495" s="1128">
        <f t="shared" si="44"/>
        <v>0</v>
      </c>
      <c r="AE495" s="860">
        <f t="shared" si="45"/>
        <v>0</v>
      </c>
      <c r="AF495" s="861">
        <f t="shared" si="43"/>
        <v>983</v>
      </c>
    </row>
    <row r="496" spans="1:32" x14ac:dyDescent="0.3">
      <c r="A496" s="372" t="s">
        <v>1873</v>
      </c>
      <c r="B496" s="661" t="s">
        <v>634</v>
      </c>
      <c r="C496" s="840"/>
      <c r="D496" s="725">
        <v>0</v>
      </c>
      <c r="E496" s="725"/>
      <c r="F496" s="725">
        <v>0</v>
      </c>
      <c r="G496" s="725">
        <v>0</v>
      </c>
      <c r="H496" s="725">
        <v>0</v>
      </c>
      <c r="I496" s="725">
        <v>0</v>
      </c>
      <c r="J496" s="725">
        <v>0</v>
      </c>
      <c r="K496" s="725"/>
      <c r="L496" s="725">
        <v>0</v>
      </c>
      <c r="M496" s="725">
        <v>0</v>
      </c>
      <c r="N496" s="725">
        <v>777500</v>
      </c>
      <c r="O496" s="725">
        <v>480000</v>
      </c>
      <c r="P496" s="1497">
        <f t="shared" si="41"/>
        <v>0</v>
      </c>
      <c r="Q496" s="1128">
        <f t="shared" si="42"/>
        <v>1257500</v>
      </c>
      <c r="R496" s="840"/>
      <c r="S496" s="725"/>
      <c r="T496" s="725"/>
      <c r="U496" s="725">
        <v>320000</v>
      </c>
      <c r="V496" s="725"/>
      <c r="W496" s="725"/>
      <c r="X496" s="725"/>
      <c r="Y496" s="725"/>
      <c r="Z496" s="725"/>
      <c r="AA496" s="725"/>
      <c r="AB496" s="725"/>
      <c r="AC496" s="725"/>
      <c r="AD496" s="1128">
        <f t="shared" si="44"/>
        <v>320000</v>
      </c>
      <c r="AE496" s="860">
        <f t="shared" si="45"/>
        <v>1</v>
      </c>
      <c r="AF496" s="861">
        <f t="shared" si="43"/>
        <v>520</v>
      </c>
    </row>
    <row r="497" spans="1:32" x14ac:dyDescent="0.3">
      <c r="A497" s="372" t="s">
        <v>1873</v>
      </c>
      <c r="B497" s="661" t="s">
        <v>739</v>
      </c>
      <c r="C497" s="840"/>
      <c r="D497" s="725">
        <v>0</v>
      </c>
      <c r="E497" s="725"/>
      <c r="F497" s="725">
        <v>0</v>
      </c>
      <c r="G497" s="725">
        <v>0</v>
      </c>
      <c r="H497" s="725">
        <v>0</v>
      </c>
      <c r="I497" s="725">
        <v>0</v>
      </c>
      <c r="J497" s="725">
        <v>0</v>
      </c>
      <c r="K497" s="725"/>
      <c r="L497" s="725">
        <v>0</v>
      </c>
      <c r="M497" s="725">
        <v>0</v>
      </c>
      <c r="N497" s="725">
        <v>10000</v>
      </c>
      <c r="O497" s="725" t="s">
        <v>251</v>
      </c>
      <c r="P497" s="1497">
        <f t="shared" si="41"/>
        <v>0</v>
      </c>
      <c r="Q497" s="1128">
        <f t="shared" si="42"/>
        <v>10000</v>
      </c>
      <c r="R497" s="840"/>
      <c r="S497" s="725"/>
      <c r="T497" s="725"/>
      <c r="U497" s="725">
        <v>3330000</v>
      </c>
      <c r="V497" s="725">
        <v>5000</v>
      </c>
      <c r="W497" s="725">
        <v>640000</v>
      </c>
      <c r="X497" s="725">
        <v>0</v>
      </c>
      <c r="Y497" s="725">
        <v>0</v>
      </c>
      <c r="Z497" s="725"/>
      <c r="AA497" s="725"/>
      <c r="AB497" s="725"/>
      <c r="AC497" s="725"/>
      <c r="AD497" s="1128">
        <f t="shared" si="44"/>
        <v>3975000</v>
      </c>
      <c r="AE497" s="860">
        <f t="shared" si="45"/>
        <v>1</v>
      </c>
      <c r="AF497" s="861">
        <f t="shared" si="43"/>
        <v>113</v>
      </c>
    </row>
    <row r="498" spans="1:32" x14ac:dyDescent="0.3">
      <c r="A498" s="372" t="s">
        <v>1873</v>
      </c>
      <c r="B498" s="661" t="s">
        <v>1931</v>
      </c>
      <c r="C498" s="840"/>
      <c r="D498" s="725">
        <v>0</v>
      </c>
      <c r="E498" s="725"/>
      <c r="F498" s="725">
        <v>0</v>
      </c>
      <c r="G498" s="725">
        <v>0</v>
      </c>
      <c r="H498" s="725">
        <v>0</v>
      </c>
      <c r="I498" s="725">
        <v>0</v>
      </c>
      <c r="J498" s="725">
        <v>0</v>
      </c>
      <c r="K498" s="725"/>
      <c r="L498" s="725">
        <v>0</v>
      </c>
      <c r="M498" s="725">
        <v>0</v>
      </c>
      <c r="N498" s="725">
        <v>620000</v>
      </c>
      <c r="O498" s="725">
        <v>830000</v>
      </c>
      <c r="P498" s="1497">
        <f t="shared" si="41"/>
        <v>0</v>
      </c>
      <c r="Q498" s="1128">
        <f t="shared" si="42"/>
        <v>1450000</v>
      </c>
      <c r="R498" s="840">
        <v>155000</v>
      </c>
      <c r="S498" s="725"/>
      <c r="T498" s="725">
        <v>155000</v>
      </c>
      <c r="U498" s="725">
        <v>3640000</v>
      </c>
      <c r="V498" s="725">
        <v>965000</v>
      </c>
      <c r="W498" s="725">
        <v>465000</v>
      </c>
      <c r="X498" s="725">
        <v>70000</v>
      </c>
      <c r="Y498" s="725">
        <v>310000</v>
      </c>
      <c r="Z498" s="725"/>
      <c r="AA498" s="725"/>
      <c r="AB498" s="725"/>
      <c r="AC498" s="725"/>
      <c r="AD498" s="1128">
        <f t="shared" si="44"/>
        <v>5760000</v>
      </c>
      <c r="AE498" s="860">
        <f t="shared" si="45"/>
        <v>1</v>
      </c>
      <c r="AF498" s="861">
        <f t="shared" si="43"/>
        <v>73</v>
      </c>
    </row>
    <row r="499" spans="1:32" x14ac:dyDescent="0.3">
      <c r="A499" s="372" t="s">
        <v>1873</v>
      </c>
      <c r="B499" s="661" t="s">
        <v>655</v>
      </c>
      <c r="C499" s="840"/>
      <c r="D499" s="725">
        <v>0</v>
      </c>
      <c r="E499" s="725"/>
      <c r="F499" s="725">
        <v>0</v>
      </c>
      <c r="G499" s="725">
        <v>0</v>
      </c>
      <c r="H499" s="725">
        <v>0</v>
      </c>
      <c r="I499" s="725">
        <v>0</v>
      </c>
      <c r="J499" s="725">
        <v>0</v>
      </c>
      <c r="K499" s="725"/>
      <c r="L499" s="725">
        <v>0</v>
      </c>
      <c r="M499" s="725">
        <v>0</v>
      </c>
      <c r="N499" s="725">
        <v>20000</v>
      </c>
      <c r="O499" s="725" t="s">
        <v>251</v>
      </c>
      <c r="P499" s="1497">
        <f t="shared" si="41"/>
        <v>0</v>
      </c>
      <c r="Q499" s="1128">
        <f t="shared" si="42"/>
        <v>20000</v>
      </c>
      <c r="R499" s="840"/>
      <c r="S499" s="725"/>
      <c r="T499" s="725"/>
      <c r="U499" s="725">
        <v>620000</v>
      </c>
      <c r="V499" s="725">
        <v>960000</v>
      </c>
      <c r="W499" s="725">
        <v>510000</v>
      </c>
      <c r="X499" s="725">
        <v>0</v>
      </c>
      <c r="Y499" s="725">
        <v>0</v>
      </c>
      <c r="Z499" s="725"/>
      <c r="AA499" s="725"/>
      <c r="AB499" s="725"/>
      <c r="AC499" s="725"/>
      <c r="AD499" s="1128">
        <f t="shared" si="44"/>
        <v>2090000</v>
      </c>
      <c r="AE499" s="860">
        <f t="shared" si="45"/>
        <v>1</v>
      </c>
      <c r="AF499" s="861">
        <f t="shared" si="43"/>
        <v>208</v>
      </c>
    </row>
    <row r="500" spans="1:32" x14ac:dyDescent="0.3">
      <c r="A500" s="372" t="s">
        <v>1873</v>
      </c>
      <c r="B500" s="661" t="s">
        <v>639</v>
      </c>
      <c r="C500" s="840"/>
      <c r="D500" s="725" t="s">
        <v>251</v>
      </c>
      <c r="E500" s="725"/>
      <c r="F500" s="725"/>
      <c r="G500" s="725" t="s">
        <v>251</v>
      </c>
      <c r="H500" s="725" t="s">
        <v>251</v>
      </c>
      <c r="I500" s="725" t="s">
        <v>251</v>
      </c>
      <c r="J500" s="725"/>
      <c r="K500" s="725"/>
      <c r="L500" s="725"/>
      <c r="M500" s="725"/>
      <c r="N500" s="725"/>
      <c r="O500" s="725">
        <v>155000</v>
      </c>
      <c r="P500" s="1497">
        <f t="shared" si="41"/>
        <v>0</v>
      </c>
      <c r="Q500" s="1128">
        <f t="shared" si="42"/>
        <v>155000</v>
      </c>
      <c r="R500" s="840"/>
      <c r="S500" s="725"/>
      <c r="T500" s="725"/>
      <c r="U500" s="725"/>
      <c r="V500" s="725"/>
      <c r="W500" s="725"/>
      <c r="X500" s="725"/>
      <c r="Y500" s="725"/>
      <c r="Z500" s="725"/>
      <c r="AA500" s="725"/>
      <c r="AB500" s="725"/>
      <c r="AC500" s="725"/>
      <c r="AD500" s="1128">
        <f t="shared" si="44"/>
        <v>0</v>
      </c>
      <c r="AE500" s="860">
        <f t="shared" si="45"/>
        <v>0</v>
      </c>
      <c r="AF500" s="861">
        <f t="shared" si="43"/>
        <v>983</v>
      </c>
    </row>
    <row r="501" spans="1:32" x14ac:dyDescent="0.3">
      <c r="A501" s="372" t="s">
        <v>1873</v>
      </c>
      <c r="B501" s="661" t="s">
        <v>2492</v>
      </c>
      <c r="C501" s="840"/>
      <c r="D501" s="725"/>
      <c r="E501" s="725"/>
      <c r="F501" s="725"/>
      <c r="G501" s="725"/>
      <c r="H501" s="725"/>
      <c r="I501" s="725"/>
      <c r="J501" s="725"/>
      <c r="K501" s="725"/>
      <c r="L501" s="725"/>
      <c r="M501" s="725"/>
      <c r="N501" s="725"/>
      <c r="O501" s="725"/>
      <c r="P501" s="1497">
        <f t="shared" si="41"/>
        <v>0</v>
      </c>
      <c r="Q501" s="1128">
        <f t="shared" si="42"/>
        <v>0</v>
      </c>
      <c r="R501" s="840">
        <v>5000</v>
      </c>
      <c r="S501" s="725"/>
      <c r="T501" s="725">
        <v>0</v>
      </c>
      <c r="U501" s="725">
        <v>0</v>
      </c>
      <c r="V501" s="725"/>
      <c r="W501" s="725"/>
      <c r="X501" s="725"/>
      <c r="Y501" s="725"/>
      <c r="Z501" s="725"/>
      <c r="AA501" s="725"/>
      <c r="AB501" s="725"/>
      <c r="AC501" s="725"/>
      <c r="AD501" s="1128">
        <f t="shared" si="44"/>
        <v>5000</v>
      </c>
      <c r="AE501" s="860">
        <f t="shared" si="45"/>
        <v>1</v>
      </c>
      <c r="AF501" s="861">
        <f t="shared" si="43"/>
        <v>972</v>
      </c>
    </row>
    <row r="502" spans="1:32" x14ac:dyDescent="0.3">
      <c r="A502" s="372" t="s">
        <v>1873</v>
      </c>
      <c r="B502" s="661" t="s">
        <v>1830</v>
      </c>
      <c r="C502" s="840"/>
      <c r="D502" s="725"/>
      <c r="E502" s="725"/>
      <c r="F502" s="725"/>
      <c r="G502" s="725"/>
      <c r="H502" s="725"/>
      <c r="I502" s="725"/>
      <c r="J502" s="725"/>
      <c r="K502" s="725"/>
      <c r="L502" s="725"/>
      <c r="M502" s="725"/>
      <c r="N502" s="725"/>
      <c r="O502" s="725"/>
      <c r="P502" s="1497">
        <f t="shared" si="41"/>
        <v>0</v>
      </c>
      <c r="Q502" s="1128">
        <f t="shared" si="42"/>
        <v>0</v>
      </c>
      <c r="R502" s="840">
        <v>1610000</v>
      </c>
      <c r="S502" s="725">
        <v>5000</v>
      </c>
      <c r="T502" s="725">
        <v>0</v>
      </c>
      <c r="U502" s="725">
        <v>0</v>
      </c>
      <c r="V502" s="725">
        <v>495000</v>
      </c>
      <c r="W502" s="725">
        <v>0</v>
      </c>
      <c r="X502" s="725">
        <v>0</v>
      </c>
      <c r="Y502" s="725">
        <v>0</v>
      </c>
      <c r="Z502" s="725"/>
      <c r="AA502" s="725"/>
      <c r="AB502" s="725"/>
      <c r="AC502" s="725"/>
      <c r="AD502" s="1128">
        <f t="shared" si="44"/>
        <v>2110000</v>
      </c>
      <c r="AE502" s="860">
        <f t="shared" si="45"/>
        <v>1</v>
      </c>
      <c r="AF502" s="861">
        <f t="shared" si="43"/>
        <v>205</v>
      </c>
    </row>
    <row r="503" spans="1:32" x14ac:dyDescent="0.3">
      <c r="A503" s="372" t="s">
        <v>1873</v>
      </c>
      <c r="B503" s="661" t="s">
        <v>645</v>
      </c>
      <c r="C503" s="840"/>
      <c r="D503" s="725"/>
      <c r="E503" s="725"/>
      <c r="F503" s="725"/>
      <c r="G503" s="725"/>
      <c r="H503" s="725"/>
      <c r="I503" s="725"/>
      <c r="J503" s="725"/>
      <c r="K503" s="725"/>
      <c r="L503" s="725"/>
      <c r="M503" s="725"/>
      <c r="N503" s="725"/>
      <c r="O503" s="725"/>
      <c r="P503" s="1497">
        <f t="shared" si="41"/>
        <v>0</v>
      </c>
      <c r="Q503" s="1128">
        <f t="shared" si="42"/>
        <v>0</v>
      </c>
      <c r="R503" s="840">
        <v>317000</v>
      </c>
      <c r="S503" s="725"/>
      <c r="T503" s="725">
        <v>0</v>
      </c>
      <c r="U503" s="725">
        <v>160000</v>
      </c>
      <c r="V503" s="725"/>
      <c r="W503" s="725"/>
      <c r="X503" s="725"/>
      <c r="Y503" s="725"/>
      <c r="Z503" s="725"/>
      <c r="AA503" s="725"/>
      <c r="AB503" s="725"/>
      <c r="AC503" s="725"/>
      <c r="AD503" s="1128">
        <f t="shared" si="44"/>
        <v>477000</v>
      </c>
      <c r="AE503" s="860">
        <f t="shared" si="45"/>
        <v>1</v>
      </c>
      <c r="AF503" s="861">
        <f t="shared" si="43"/>
        <v>454</v>
      </c>
    </row>
    <row r="504" spans="1:32" x14ac:dyDescent="0.3">
      <c r="A504" s="372" t="s">
        <v>1873</v>
      </c>
      <c r="B504" s="661" t="s">
        <v>2532</v>
      </c>
      <c r="C504" s="840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1497">
        <f t="shared" si="41"/>
        <v>0</v>
      </c>
      <c r="Q504" s="1128">
        <f t="shared" si="42"/>
        <v>0</v>
      </c>
      <c r="R504" s="840">
        <v>10000</v>
      </c>
      <c r="S504" s="725"/>
      <c r="T504" s="725">
        <v>0</v>
      </c>
      <c r="U504" s="725">
        <v>0</v>
      </c>
      <c r="V504" s="725"/>
      <c r="W504" s="725"/>
      <c r="X504" s="725"/>
      <c r="Y504" s="725"/>
      <c r="Z504" s="725"/>
      <c r="AA504" s="725"/>
      <c r="AB504" s="725"/>
      <c r="AC504" s="725"/>
      <c r="AD504" s="1128">
        <f t="shared" si="44"/>
        <v>10000</v>
      </c>
      <c r="AE504" s="860">
        <f t="shared" si="45"/>
        <v>1</v>
      </c>
      <c r="AF504" s="861">
        <f t="shared" si="43"/>
        <v>958</v>
      </c>
    </row>
    <row r="505" spans="1:32" x14ac:dyDescent="0.3">
      <c r="A505" s="372" t="s">
        <v>1873</v>
      </c>
      <c r="B505" s="661" t="s">
        <v>2603</v>
      </c>
      <c r="C505" s="840"/>
      <c r="D505" s="725"/>
      <c r="E505" s="725"/>
      <c r="F505" s="725"/>
      <c r="G505" s="725"/>
      <c r="H505" s="725"/>
      <c r="I505" s="725"/>
      <c r="J505" s="725"/>
      <c r="K505" s="725"/>
      <c r="L505" s="725"/>
      <c r="M505" s="725"/>
      <c r="N505" s="725"/>
      <c r="O505" s="725"/>
      <c r="P505" s="1497">
        <f t="shared" si="41"/>
        <v>0</v>
      </c>
      <c r="Q505" s="1128">
        <f t="shared" si="42"/>
        <v>0</v>
      </c>
      <c r="R505" s="840"/>
      <c r="S505" s="725"/>
      <c r="T505" s="725">
        <v>1630000</v>
      </c>
      <c r="U505" s="725">
        <v>3640000</v>
      </c>
      <c r="V505" s="725">
        <v>1720000</v>
      </c>
      <c r="W505" s="725">
        <v>0</v>
      </c>
      <c r="X505" s="725">
        <v>0</v>
      </c>
      <c r="Y505" s="725">
        <v>160000</v>
      </c>
      <c r="Z505" s="725"/>
      <c r="AA505" s="725"/>
      <c r="AB505" s="725"/>
      <c r="AC505" s="725"/>
      <c r="AD505" s="1128">
        <f t="shared" si="44"/>
        <v>7150000</v>
      </c>
      <c r="AE505" s="860">
        <f t="shared" si="45"/>
        <v>1</v>
      </c>
      <c r="AF505" s="861">
        <f t="shared" si="43"/>
        <v>58</v>
      </c>
    </row>
    <row r="506" spans="1:32" x14ac:dyDescent="0.3">
      <c r="A506" s="372" t="s">
        <v>1873</v>
      </c>
      <c r="B506" s="661" t="s">
        <v>642</v>
      </c>
      <c r="C506" s="840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1497">
        <f t="shared" si="41"/>
        <v>0</v>
      </c>
      <c r="Q506" s="1128">
        <f t="shared" si="42"/>
        <v>0</v>
      </c>
      <c r="R506" s="840"/>
      <c r="S506" s="725"/>
      <c r="T506" s="725"/>
      <c r="U506" s="725">
        <v>982500</v>
      </c>
      <c r="V506" s="725">
        <v>212500</v>
      </c>
      <c r="W506" s="725"/>
      <c r="X506" s="725"/>
      <c r="Y506" s="725"/>
      <c r="Z506" s="725"/>
      <c r="AA506" s="725"/>
      <c r="AB506" s="725"/>
      <c r="AC506" s="725"/>
      <c r="AD506" s="1128">
        <f t="shared" si="44"/>
        <v>1195000</v>
      </c>
      <c r="AE506" s="860">
        <f t="shared" si="45"/>
        <v>1</v>
      </c>
      <c r="AF506" s="861">
        <f t="shared" si="43"/>
        <v>283</v>
      </c>
    </row>
    <row r="507" spans="1:32" x14ac:dyDescent="0.3">
      <c r="A507" s="372" t="s">
        <v>1873</v>
      </c>
      <c r="B507" s="661" t="s">
        <v>2679</v>
      </c>
      <c r="C507" s="840"/>
      <c r="D507" s="725"/>
      <c r="E507" s="725"/>
      <c r="F507" s="725"/>
      <c r="G507" s="725"/>
      <c r="H507" s="725"/>
      <c r="I507" s="725"/>
      <c r="J507" s="725"/>
      <c r="K507" s="725"/>
      <c r="L507" s="725"/>
      <c r="M507" s="725"/>
      <c r="N507" s="725"/>
      <c r="O507" s="725"/>
      <c r="P507" s="1497">
        <f t="shared" si="41"/>
        <v>0</v>
      </c>
      <c r="Q507" s="1128">
        <f t="shared" si="42"/>
        <v>0</v>
      </c>
      <c r="R507" s="840"/>
      <c r="S507" s="725"/>
      <c r="T507" s="725"/>
      <c r="U507" s="725">
        <v>310000</v>
      </c>
      <c r="V507" s="725">
        <v>530000</v>
      </c>
      <c r="W507" s="725">
        <v>155000</v>
      </c>
      <c r="X507" s="725">
        <v>10000</v>
      </c>
      <c r="Y507" s="725">
        <v>5000</v>
      </c>
      <c r="Z507" s="725"/>
      <c r="AA507" s="725"/>
      <c r="AB507" s="725"/>
      <c r="AC507" s="725"/>
      <c r="AD507" s="1128">
        <f t="shared" si="44"/>
        <v>1010000</v>
      </c>
      <c r="AE507" s="860">
        <f t="shared" si="45"/>
        <v>1</v>
      </c>
      <c r="AF507" s="861">
        <f t="shared" si="43"/>
        <v>315</v>
      </c>
    </row>
    <row r="508" spans="1:32" x14ac:dyDescent="0.3">
      <c r="A508" s="372" t="s">
        <v>1873</v>
      </c>
      <c r="B508" s="661" t="s">
        <v>1879</v>
      </c>
      <c r="C508" s="840"/>
      <c r="D508" s="725"/>
      <c r="E508" s="725"/>
      <c r="F508" s="725"/>
      <c r="G508" s="725"/>
      <c r="H508" s="725"/>
      <c r="I508" s="725"/>
      <c r="J508" s="725"/>
      <c r="K508" s="725"/>
      <c r="L508" s="725"/>
      <c r="M508" s="725"/>
      <c r="N508" s="725"/>
      <c r="O508" s="725"/>
      <c r="P508" s="1497">
        <f t="shared" si="41"/>
        <v>0</v>
      </c>
      <c r="Q508" s="1128">
        <f t="shared" si="42"/>
        <v>0</v>
      </c>
      <c r="R508" s="840"/>
      <c r="S508" s="725"/>
      <c r="T508" s="725"/>
      <c r="U508" s="725">
        <v>5000</v>
      </c>
      <c r="V508" s="725"/>
      <c r="W508" s="725"/>
      <c r="X508" s="725"/>
      <c r="Y508" s="725"/>
      <c r="Z508" s="725"/>
      <c r="AA508" s="725"/>
      <c r="AB508" s="725"/>
      <c r="AC508" s="725"/>
      <c r="AD508" s="1128">
        <f t="shared" si="44"/>
        <v>5000</v>
      </c>
      <c r="AE508" s="860">
        <f t="shared" si="45"/>
        <v>1</v>
      </c>
      <c r="AF508" s="861">
        <f t="shared" si="43"/>
        <v>972</v>
      </c>
    </row>
    <row r="509" spans="1:32" x14ac:dyDescent="0.3">
      <c r="A509" s="372" t="s">
        <v>1873</v>
      </c>
      <c r="B509" s="661" t="s">
        <v>2559</v>
      </c>
      <c r="C509" s="840"/>
      <c r="D509" s="725"/>
      <c r="E509" s="725"/>
      <c r="F509" s="725"/>
      <c r="G509" s="725"/>
      <c r="H509" s="725"/>
      <c r="I509" s="725"/>
      <c r="J509" s="725"/>
      <c r="K509" s="725"/>
      <c r="L509" s="725"/>
      <c r="M509" s="725"/>
      <c r="N509" s="725"/>
      <c r="O509" s="725"/>
      <c r="P509" s="1497">
        <f t="shared" si="41"/>
        <v>0</v>
      </c>
      <c r="Q509" s="1128">
        <f t="shared" si="42"/>
        <v>0</v>
      </c>
      <c r="R509" s="840"/>
      <c r="S509" s="725"/>
      <c r="T509" s="725"/>
      <c r="U509" s="725"/>
      <c r="V509" s="725">
        <v>310000</v>
      </c>
      <c r="W509" s="725">
        <v>110000</v>
      </c>
      <c r="X509" s="725">
        <v>710000</v>
      </c>
      <c r="Y509" s="725">
        <v>0</v>
      </c>
      <c r="Z509" s="725"/>
      <c r="AA509" s="725"/>
      <c r="AB509" s="725"/>
      <c r="AC509" s="725"/>
      <c r="AD509" s="1128">
        <f t="shared" si="44"/>
        <v>1130000</v>
      </c>
      <c r="AE509" s="860">
        <f t="shared" si="45"/>
        <v>1</v>
      </c>
      <c r="AF509" s="861">
        <f t="shared" si="43"/>
        <v>295</v>
      </c>
    </row>
    <row r="510" spans="1:32" x14ac:dyDescent="0.3">
      <c r="A510" s="372" t="s">
        <v>1873</v>
      </c>
      <c r="B510" s="661" t="s">
        <v>2779</v>
      </c>
      <c r="C510" s="840"/>
      <c r="D510" s="725"/>
      <c r="E510" s="725"/>
      <c r="F510" s="725"/>
      <c r="G510" s="725"/>
      <c r="H510" s="725"/>
      <c r="I510" s="725"/>
      <c r="J510" s="725"/>
      <c r="K510" s="725"/>
      <c r="L510" s="725"/>
      <c r="M510" s="725"/>
      <c r="N510" s="725"/>
      <c r="O510" s="725"/>
      <c r="P510" s="1497">
        <f t="shared" si="41"/>
        <v>0</v>
      </c>
      <c r="Q510" s="1128">
        <f t="shared" si="42"/>
        <v>0</v>
      </c>
      <c r="R510" s="840"/>
      <c r="S510" s="725"/>
      <c r="T510" s="725"/>
      <c r="U510" s="725"/>
      <c r="V510" s="725">
        <v>320000</v>
      </c>
      <c r="W510" s="725">
        <v>0</v>
      </c>
      <c r="X510" s="725">
        <v>0</v>
      </c>
      <c r="Y510" s="725">
        <v>0</v>
      </c>
      <c r="Z510" s="725"/>
      <c r="AA510" s="725"/>
      <c r="AB510" s="725"/>
      <c r="AC510" s="725"/>
      <c r="AD510" s="1128">
        <f t="shared" si="44"/>
        <v>320000</v>
      </c>
      <c r="AE510" s="860">
        <f t="shared" si="45"/>
        <v>1</v>
      </c>
      <c r="AF510" s="861">
        <f t="shared" si="43"/>
        <v>520</v>
      </c>
    </row>
    <row r="511" spans="1:32" x14ac:dyDescent="0.3">
      <c r="A511" s="295" t="s">
        <v>1222</v>
      </c>
      <c r="B511" s="862" t="s">
        <v>1223</v>
      </c>
      <c r="C511" s="863">
        <v>1313000</v>
      </c>
      <c r="D511" s="864">
        <v>1003200</v>
      </c>
      <c r="E511" s="864">
        <v>978800</v>
      </c>
      <c r="F511" s="864">
        <v>2146900</v>
      </c>
      <c r="G511" s="864">
        <v>3125600</v>
      </c>
      <c r="H511" s="864">
        <v>1898500</v>
      </c>
      <c r="I511" s="864">
        <v>2283400</v>
      </c>
      <c r="J511" s="864">
        <v>4582900</v>
      </c>
      <c r="K511" s="864">
        <v>4274100</v>
      </c>
      <c r="L511" s="864">
        <v>2785800</v>
      </c>
      <c r="M511" s="864">
        <v>2262400</v>
      </c>
      <c r="N511" s="864">
        <v>3869600</v>
      </c>
      <c r="O511" s="864">
        <v>6214600</v>
      </c>
      <c r="P511" s="1497">
        <f t="shared" si="41"/>
        <v>17023500</v>
      </c>
      <c r="Q511" s="1129">
        <f t="shared" si="42"/>
        <v>32464700</v>
      </c>
      <c r="R511" s="726">
        <v>6958900</v>
      </c>
      <c r="S511" s="727">
        <v>4382400</v>
      </c>
      <c r="T511" s="727">
        <v>3814700</v>
      </c>
      <c r="U511" s="727">
        <v>4047350</v>
      </c>
      <c r="V511" s="727">
        <v>2473900</v>
      </c>
      <c r="W511" s="727">
        <v>7551900</v>
      </c>
      <c r="X511" s="727">
        <v>5449900</v>
      </c>
      <c r="Y511" s="727">
        <v>2794500</v>
      </c>
      <c r="Z511" s="727"/>
      <c r="AA511" s="727"/>
      <c r="AB511" s="727"/>
      <c r="AC511" s="727"/>
      <c r="AD511" s="1129">
        <f t="shared" si="44"/>
        <v>37473550</v>
      </c>
      <c r="AE511" s="865">
        <f t="shared" si="45"/>
        <v>1.201283519840221</v>
      </c>
      <c r="AF511" s="866">
        <f t="shared" si="43"/>
        <v>6</v>
      </c>
    </row>
    <row r="512" spans="1:32" x14ac:dyDescent="0.3">
      <c r="A512" s="295" t="s">
        <v>1222</v>
      </c>
      <c r="B512" s="862" t="s">
        <v>1224</v>
      </c>
      <c r="C512" s="726"/>
      <c r="D512" s="864">
        <v>73800</v>
      </c>
      <c r="E512" s="864">
        <v>443400</v>
      </c>
      <c r="F512" s="864">
        <v>1423600</v>
      </c>
      <c r="G512" s="864">
        <v>790800</v>
      </c>
      <c r="H512" s="864">
        <v>60000</v>
      </c>
      <c r="I512" s="864">
        <v>351800</v>
      </c>
      <c r="J512" s="864">
        <v>262600</v>
      </c>
      <c r="K512" s="864">
        <v>262600</v>
      </c>
      <c r="L512" s="864">
        <v>740800</v>
      </c>
      <c r="M512" s="864">
        <v>53600</v>
      </c>
      <c r="N512" s="864">
        <v>637700</v>
      </c>
      <c r="O512" s="864">
        <v>1082470</v>
      </c>
      <c r="P512" s="1497">
        <f t="shared" si="41"/>
        <v>3406000</v>
      </c>
      <c r="Q512" s="1129">
        <f t="shared" si="42"/>
        <v>5920570</v>
      </c>
      <c r="R512" s="726">
        <v>861600</v>
      </c>
      <c r="S512" s="727">
        <v>122600</v>
      </c>
      <c r="T512" s="727">
        <v>1193200</v>
      </c>
      <c r="U512" s="727">
        <v>87600</v>
      </c>
      <c r="V512" s="727">
        <v>201000</v>
      </c>
      <c r="W512" s="727">
        <v>959000</v>
      </c>
      <c r="X512" s="727">
        <v>528000</v>
      </c>
      <c r="Y512" s="727">
        <v>236800</v>
      </c>
      <c r="Z512" s="727"/>
      <c r="AA512" s="727"/>
      <c r="AB512" s="727"/>
      <c r="AC512" s="727"/>
      <c r="AD512" s="1129">
        <f t="shared" si="44"/>
        <v>4189800</v>
      </c>
      <c r="AE512" s="865">
        <f t="shared" si="45"/>
        <v>0.23012331180270112</v>
      </c>
      <c r="AF512" s="866">
        <f t="shared" si="43"/>
        <v>106</v>
      </c>
    </row>
    <row r="513" spans="1:32" x14ac:dyDescent="0.3">
      <c r="A513" s="295" t="s">
        <v>1222</v>
      </c>
      <c r="B513" s="862" t="s">
        <v>1225</v>
      </c>
      <c r="C513" s="726"/>
      <c r="D513" s="727">
        <v>0</v>
      </c>
      <c r="E513" s="727"/>
      <c r="F513" s="727">
        <v>1501000</v>
      </c>
      <c r="G513" s="727">
        <v>728400</v>
      </c>
      <c r="H513" s="727">
        <v>120800</v>
      </c>
      <c r="I513" s="727">
        <v>0</v>
      </c>
      <c r="J513" s="727">
        <v>0</v>
      </c>
      <c r="K513" s="727">
        <v>0</v>
      </c>
      <c r="L513" s="727">
        <v>0</v>
      </c>
      <c r="M513" s="727">
        <v>0</v>
      </c>
      <c r="N513" s="727">
        <v>0</v>
      </c>
      <c r="O513" s="727" t="s">
        <v>251</v>
      </c>
      <c r="P513" s="1497">
        <f t="shared" si="41"/>
        <v>2350200</v>
      </c>
      <c r="Q513" s="1129">
        <f t="shared" si="42"/>
        <v>2350200</v>
      </c>
      <c r="R513" s="726"/>
      <c r="S513" s="727"/>
      <c r="T513" s="727"/>
      <c r="U513" s="727"/>
      <c r="V513" s="727"/>
      <c r="W513" s="727"/>
      <c r="X513" s="727"/>
      <c r="Y513" s="727"/>
      <c r="Z513" s="727"/>
      <c r="AA513" s="727"/>
      <c r="AB513" s="727"/>
      <c r="AC513" s="727"/>
      <c r="AD513" s="1129">
        <f t="shared" si="44"/>
        <v>0</v>
      </c>
      <c r="AE513" s="865">
        <f t="shared" si="45"/>
        <v>-1</v>
      </c>
      <c r="AF513" s="866">
        <f t="shared" si="43"/>
        <v>983</v>
      </c>
    </row>
    <row r="514" spans="1:32" x14ac:dyDescent="0.3">
      <c r="A514" s="295" t="s">
        <v>1226</v>
      </c>
      <c r="B514" s="862" t="s">
        <v>1227</v>
      </c>
      <c r="C514" s="863">
        <v>249600</v>
      </c>
      <c r="D514" s="864">
        <v>230200</v>
      </c>
      <c r="E514" s="864">
        <v>10400</v>
      </c>
      <c r="F514" s="864">
        <v>335400</v>
      </c>
      <c r="G514" s="864">
        <v>581600</v>
      </c>
      <c r="H514" s="864">
        <v>407200</v>
      </c>
      <c r="I514" s="864">
        <v>566600</v>
      </c>
      <c r="J514" s="864">
        <v>455400</v>
      </c>
      <c r="K514" s="864">
        <v>455400</v>
      </c>
      <c r="L514" s="864">
        <v>546800</v>
      </c>
      <c r="M514" s="864">
        <v>70000</v>
      </c>
      <c r="N514" s="864">
        <v>35000</v>
      </c>
      <c r="O514" s="864">
        <v>260800</v>
      </c>
      <c r="P514" s="1497">
        <f t="shared" si="41"/>
        <v>2836400</v>
      </c>
      <c r="Q514" s="1129">
        <f t="shared" si="42"/>
        <v>3749000</v>
      </c>
      <c r="R514" s="726">
        <v>838800</v>
      </c>
      <c r="S514" s="727">
        <v>951800</v>
      </c>
      <c r="T514" s="727">
        <v>776500</v>
      </c>
      <c r="U514" s="727">
        <v>318900</v>
      </c>
      <c r="V514" s="727">
        <v>239600</v>
      </c>
      <c r="W514" s="727">
        <v>1244600</v>
      </c>
      <c r="X514" s="727">
        <v>957600</v>
      </c>
      <c r="Y514" s="727">
        <v>148200</v>
      </c>
      <c r="Z514" s="727"/>
      <c r="AA514" s="727"/>
      <c r="AB514" s="727"/>
      <c r="AC514" s="727"/>
      <c r="AD514" s="1129">
        <f t="shared" si="44"/>
        <v>5476000</v>
      </c>
      <c r="AE514" s="865">
        <f t="shared" si="45"/>
        <v>0.93061627415033144</v>
      </c>
      <c r="AF514" s="866">
        <f t="shared" si="43"/>
        <v>76</v>
      </c>
    </row>
    <row r="515" spans="1:32" x14ac:dyDescent="0.3">
      <c r="A515" s="295" t="s">
        <v>1226</v>
      </c>
      <c r="B515" s="862" t="s">
        <v>1228</v>
      </c>
      <c r="C515" s="726" t="s">
        <v>251</v>
      </c>
      <c r="D515" s="727">
        <v>0</v>
      </c>
      <c r="E515" s="727" t="s">
        <v>251</v>
      </c>
      <c r="F515" s="727">
        <v>180000</v>
      </c>
      <c r="G515" s="727">
        <v>1078400</v>
      </c>
      <c r="H515" s="727">
        <v>76400</v>
      </c>
      <c r="I515" s="727">
        <v>114000</v>
      </c>
      <c r="J515" s="727">
        <v>60000</v>
      </c>
      <c r="K515" s="727">
        <v>60000</v>
      </c>
      <c r="L515" s="727">
        <v>0</v>
      </c>
      <c r="M515" s="727">
        <v>114000</v>
      </c>
      <c r="N515" s="727">
        <v>0</v>
      </c>
      <c r="O515" s="727" t="s">
        <v>251</v>
      </c>
      <c r="P515" s="1497">
        <f t="shared" si="41"/>
        <v>1508800</v>
      </c>
      <c r="Q515" s="1129">
        <f t="shared" si="42"/>
        <v>1622800</v>
      </c>
      <c r="R515" s="726"/>
      <c r="S515" s="727"/>
      <c r="T515" s="727"/>
      <c r="U515" s="727"/>
      <c r="V515" s="727"/>
      <c r="W515" s="727"/>
      <c r="X515" s="727"/>
      <c r="Y515" s="727"/>
      <c r="Z515" s="727"/>
      <c r="AA515" s="727"/>
      <c r="AB515" s="727"/>
      <c r="AC515" s="727"/>
      <c r="AD515" s="1129">
        <f t="shared" si="44"/>
        <v>0</v>
      </c>
      <c r="AE515" s="865">
        <f t="shared" si="45"/>
        <v>-1</v>
      </c>
      <c r="AF515" s="866">
        <f t="shared" si="43"/>
        <v>983</v>
      </c>
    </row>
    <row r="516" spans="1:32" x14ac:dyDescent="0.3">
      <c r="A516" s="295" t="s">
        <v>1226</v>
      </c>
      <c r="B516" s="862" t="s">
        <v>1229</v>
      </c>
      <c r="C516" s="863">
        <v>220000</v>
      </c>
      <c r="D516" s="864">
        <v>169200</v>
      </c>
      <c r="E516" s="864">
        <v>218700</v>
      </c>
      <c r="F516" s="864">
        <v>85800</v>
      </c>
      <c r="G516" s="864">
        <v>337400</v>
      </c>
      <c r="H516" s="864">
        <v>485000</v>
      </c>
      <c r="I516" s="864">
        <v>277200</v>
      </c>
      <c r="J516" s="864">
        <v>0</v>
      </c>
      <c r="K516" s="864">
        <v>0</v>
      </c>
      <c r="L516" s="864">
        <v>0</v>
      </c>
      <c r="M516" s="864">
        <v>264000</v>
      </c>
      <c r="N516" s="864">
        <v>481800</v>
      </c>
      <c r="O516" s="864">
        <v>1300000</v>
      </c>
      <c r="P516" s="1497">
        <f t="shared" ref="P516:P579" si="46">SUM(C516:I516,K516)</f>
        <v>1793300</v>
      </c>
      <c r="Q516" s="1129">
        <f t="shared" ref="Q516:Q579" si="47">SUM(C516:J516,L516:O516)</f>
        <v>3839100</v>
      </c>
      <c r="R516" s="726">
        <v>650200</v>
      </c>
      <c r="S516" s="727">
        <v>831600</v>
      </c>
      <c r="T516" s="727">
        <v>430600</v>
      </c>
      <c r="U516" s="727">
        <v>485900</v>
      </c>
      <c r="V516" s="727">
        <v>252400</v>
      </c>
      <c r="W516" s="727">
        <v>674800</v>
      </c>
      <c r="X516" s="727">
        <v>428400</v>
      </c>
      <c r="Y516" s="727">
        <v>527200</v>
      </c>
      <c r="Z516" s="727"/>
      <c r="AA516" s="727"/>
      <c r="AB516" s="727"/>
      <c r="AC516" s="727"/>
      <c r="AD516" s="1129">
        <f t="shared" si="44"/>
        <v>4281100</v>
      </c>
      <c r="AE516" s="865">
        <f t="shared" si="45"/>
        <v>1.3872748564099704</v>
      </c>
      <c r="AF516" s="866">
        <f t="shared" ref="AF516:AF579" si="48">IFERROR(_xlfn.RANK.EQ(AD516, $AD$2:$AD$2064), "")</f>
        <v>104</v>
      </c>
    </row>
    <row r="517" spans="1:32" x14ac:dyDescent="0.3">
      <c r="A517" s="295" t="s">
        <v>1226</v>
      </c>
      <c r="B517" s="862" t="s">
        <v>1230</v>
      </c>
      <c r="C517" s="863">
        <v>250200</v>
      </c>
      <c r="D517" s="864">
        <v>192600</v>
      </c>
      <c r="E517" s="864">
        <v>374400</v>
      </c>
      <c r="F517" s="864">
        <v>48400</v>
      </c>
      <c r="G517" s="864">
        <v>0</v>
      </c>
      <c r="H517" s="864">
        <v>0</v>
      </c>
      <c r="I517" s="864">
        <v>4980000</v>
      </c>
      <c r="J517" s="864">
        <v>659800</v>
      </c>
      <c r="K517" s="864">
        <v>659800</v>
      </c>
      <c r="L517" s="864">
        <v>136400</v>
      </c>
      <c r="M517" s="864">
        <v>0</v>
      </c>
      <c r="N517" s="864">
        <v>603400</v>
      </c>
      <c r="O517" s="864">
        <v>7197800</v>
      </c>
      <c r="P517" s="1497">
        <f t="shared" si="46"/>
        <v>6505400</v>
      </c>
      <c r="Q517" s="1129">
        <f t="shared" si="47"/>
        <v>14443000</v>
      </c>
      <c r="R517" s="726">
        <v>5461400</v>
      </c>
      <c r="S517" s="727">
        <v>107400</v>
      </c>
      <c r="T517" s="727">
        <v>420800</v>
      </c>
      <c r="U517" s="727">
        <v>1413800</v>
      </c>
      <c r="V517" s="727">
        <v>2897400</v>
      </c>
      <c r="W517" s="727">
        <v>696200</v>
      </c>
      <c r="X517" s="727">
        <v>7400</v>
      </c>
      <c r="Y517" s="727">
        <v>371800</v>
      </c>
      <c r="Z517" s="727"/>
      <c r="AA517" s="727"/>
      <c r="AB517" s="727"/>
      <c r="AC517" s="727"/>
      <c r="AD517" s="1129">
        <f t="shared" si="44"/>
        <v>11376200</v>
      </c>
      <c r="AE517" s="865">
        <f t="shared" si="45"/>
        <v>0.74873182279337169</v>
      </c>
      <c r="AF517" s="866">
        <f t="shared" si="48"/>
        <v>29</v>
      </c>
    </row>
    <row r="518" spans="1:32" x14ac:dyDescent="0.3">
      <c r="A518" s="295" t="s">
        <v>1226</v>
      </c>
      <c r="B518" s="862" t="s">
        <v>1231</v>
      </c>
      <c r="C518" s="726" t="s">
        <v>251</v>
      </c>
      <c r="D518" s="864">
        <v>556000</v>
      </c>
      <c r="E518" s="864">
        <v>292000</v>
      </c>
      <c r="F518" s="864">
        <v>0</v>
      </c>
      <c r="G518" s="864">
        <v>0</v>
      </c>
      <c r="H518" s="864">
        <v>0</v>
      </c>
      <c r="I518" s="864">
        <v>2415200</v>
      </c>
      <c r="J518" s="864">
        <v>812000</v>
      </c>
      <c r="K518" s="864">
        <v>812000</v>
      </c>
      <c r="L518" s="864">
        <v>1068800</v>
      </c>
      <c r="M518" s="864">
        <v>0</v>
      </c>
      <c r="N518" s="864">
        <v>0</v>
      </c>
      <c r="O518" s="864">
        <v>170000</v>
      </c>
      <c r="P518" s="1497">
        <f t="shared" si="46"/>
        <v>4075200</v>
      </c>
      <c r="Q518" s="1129">
        <f t="shared" si="47"/>
        <v>5314000</v>
      </c>
      <c r="R518" s="726"/>
      <c r="S518" s="727"/>
      <c r="T518" s="727"/>
      <c r="U518" s="727"/>
      <c r="V518" s="727"/>
      <c r="W518" s="727"/>
      <c r="X518" s="727"/>
      <c r="Y518" s="727"/>
      <c r="Z518" s="727"/>
      <c r="AA518" s="727"/>
      <c r="AB518" s="727"/>
      <c r="AC518" s="727"/>
      <c r="AD518" s="1129">
        <f t="shared" si="44"/>
        <v>0</v>
      </c>
      <c r="AE518" s="865">
        <f t="shared" si="45"/>
        <v>-1</v>
      </c>
      <c r="AF518" s="866">
        <f t="shared" si="48"/>
        <v>983</v>
      </c>
    </row>
    <row r="519" spans="1:32" x14ac:dyDescent="0.3">
      <c r="A519" s="295" t="s">
        <v>1226</v>
      </c>
      <c r="B519" s="862" t="s">
        <v>1232</v>
      </c>
      <c r="C519" s="726" t="s">
        <v>251</v>
      </c>
      <c r="D519" s="864">
        <v>838600</v>
      </c>
      <c r="E519" s="727" t="s">
        <v>251</v>
      </c>
      <c r="F519" s="727">
        <v>0</v>
      </c>
      <c r="G519" s="727">
        <v>0</v>
      </c>
      <c r="H519" s="727">
        <v>0</v>
      </c>
      <c r="I519" s="727">
        <v>814600</v>
      </c>
      <c r="J519" s="727">
        <v>1493200</v>
      </c>
      <c r="K519" s="727">
        <v>1493200</v>
      </c>
      <c r="L519" s="727">
        <v>10400</v>
      </c>
      <c r="M519" s="727">
        <v>0</v>
      </c>
      <c r="N519" s="727">
        <v>790600</v>
      </c>
      <c r="O519" s="727">
        <v>425000</v>
      </c>
      <c r="P519" s="1497">
        <f t="shared" si="46"/>
        <v>3146400</v>
      </c>
      <c r="Q519" s="1129">
        <f t="shared" si="47"/>
        <v>4372400</v>
      </c>
      <c r="R519" s="726"/>
      <c r="S519" s="727"/>
      <c r="T519" s="727"/>
      <c r="U519" s="727"/>
      <c r="V519" s="727"/>
      <c r="W519" s="727">
        <v>18400</v>
      </c>
      <c r="X519" s="727">
        <v>2250300</v>
      </c>
      <c r="Y519" s="727">
        <v>0</v>
      </c>
      <c r="Z519" s="727"/>
      <c r="AA519" s="727"/>
      <c r="AB519" s="727"/>
      <c r="AC519" s="727"/>
      <c r="AD519" s="1129">
        <f t="shared" si="44"/>
        <v>2268700</v>
      </c>
      <c r="AE519" s="865">
        <f t="shared" si="45"/>
        <v>-0.27895372489193998</v>
      </c>
      <c r="AF519" s="866">
        <f t="shared" si="48"/>
        <v>192</v>
      </c>
    </row>
    <row r="520" spans="1:32" x14ac:dyDescent="0.3">
      <c r="A520" s="295" t="s">
        <v>1226</v>
      </c>
      <c r="B520" s="862" t="s">
        <v>1233</v>
      </c>
      <c r="C520" s="726" t="s">
        <v>251</v>
      </c>
      <c r="D520" s="727">
        <v>0</v>
      </c>
      <c r="E520" s="727" t="s">
        <v>251</v>
      </c>
      <c r="F520" s="727">
        <v>832200</v>
      </c>
      <c r="G520" s="727">
        <v>0</v>
      </c>
      <c r="H520" s="727">
        <v>0</v>
      </c>
      <c r="I520" s="727">
        <v>867000</v>
      </c>
      <c r="J520" s="727">
        <v>78000</v>
      </c>
      <c r="K520" s="727">
        <v>78000</v>
      </c>
      <c r="L520" s="727">
        <v>20800</v>
      </c>
      <c r="M520" s="727">
        <v>60200</v>
      </c>
      <c r="N520" s="727">
        <v>6020400</v>
      </c>
      <c r="O520" s="727">
        <v>640200</v>
      </c>
      <c r="P520" s="1497">
        <f t="shared" si="46"/>
        <v>1777200</v>
      </c>
      <c r="Q520" s="1129">
        <f t="shared" si="47"/>
        <v>8518800</v>
      </c>
      <c r="R520" s="726">
        <v>1168200</v>
      </c>
      <c r="S520" s="727">
        <v>452800</v>
      </c>
      <c r="T520" s="727">
        <v>36600</v>
      </c>
      <c r="U520" s="727">
        <v>0</v>
      </c>
      <c r="V520" s="727">
        <v>603600</v>
      </c>
      <c r="W520" s="727">
        <v>804400</v>
      </c>
      <c r="X520" s="727">
        <v>0</v>
      </c>
      <c r="Y520" s="727">
        <v>0</v>
      </c>
      <c r="Z520" s="727"/>
      <c r="AA520" s="727"/>
      <c r="AB520" s="727"/>
      <c r="AC520" s="727"/>
      <c r="AD520" s="1129">
        <f t="shared" si="44"/>
        <v>3065600</v>
      </c>
      <c r="AE520" s="865">
        <f t="shared" si="45"/>
        <v>0.72496061219896468</v>
      </c>
      <c r="AF520" s="866">
        <f t="shared" si="48"/>
        <v>150</v>
      </c>
    </row>
    <row r="521" spans="1:32" x14ac:dyDescent="0.3">
      <c r="A521" s="295" t="s">
        <v>1226</v>
      </c>
      <c r="B521" s="862" t="s">
        <v>1234</v>
      </c>
      <c r="C521" s="726" t="s">
        <v>251</v>
      </c>
      <c r="D521" s="727">
        <v>0</v>
      </c>
      <c r="E521" s="727" t="s">
        <v>251</v>
      </c>
      <c r="F521" s="727">
        <v>813600</v>
      </c>
      <c r="G521" s="727">
        <v>0</v>
      </c>
      <c r="H521" s="727">
        <v>0</v>
      </c>
      <c r="I521" s="727">
        <v>123800</v>
      </c>
      <c r="J521" s="727">
        <v>0</v>
      </c>
      <c r="K521" s="727">
        <v>0</v>
      </c>
      <c r="L521" s="727">
        <v>0</v>
      </c>
      <c r="M521" s="727">
        <v>0</v>
      </c>
      <c r="N521" s="727">
        <v>0</v>
      </c>
      <c r="O521" s="727" t="s">
        <v>251</v>
      </c>
      <c r="P521" s="1497">
        <f t="shared" si="46"/>
        <v>937400</v>
      </c>
      <c r="Q521" s="1129">
        <f t="shared" si="47"/>
        <v>937400</v>
      </c>
      <c r="R521" s="726"/>
      <c r="S521" s="727"/>
      <c r="T521" s="727"/>
      <c r="U521" s="727">
        <v>135800</v>
      </c>
      <c r="V521" s="727">
        <v>0</v>
      </c>
      <c r="W521" s="727">
        <v>0</v>
      </c>
      <c r="X521" s="727">
        <v>0</v>
      </c>
      <c r="Y521" s="727">
        <v>0</v>
      </c>
      <c r="Z521" s="727"/>
      <c r="AA521" s="727"/>
      <c r="AB521" s="727"/>
      <c r="AC521" s="727"/>
      <c r="AD521" s="1129">
        <f t="shared" si="44"/>
        <v>135800</v>
      </c>
      <c r="AE521" s="865">
        <f t="shared" si="45"/>
        <v>-0.85513121399615954</v>
      </c>
      <c r="AF521" s="866">
        <f t="shared" si="48"/>
        <v>690</v>
      </c>
    </row>
    <row r="522" spans="1:32" x14ac:dyDescent="0.3">
      <c r="A522" s="295" t="s">
        <v>1226</v>
      </c>
      <c r="B522" s="862" t="s">
        <v>1091</v>
      </c>
      <c r="C522" s="863">
        <v>757800</v>
      </c>
      <c r="D522" s="727">
        <v>0</v>
      </c>
      <c r="E522" s="727" t="s">
        <v>251</v>
      </c>
      <c r="F522" s="727">
        <v>19400</v>
      </c>
      <c r="G522" s="727">
        <v>0</v>
      </c>
      <c r="H522" s="727">
        <v>0</v>
      </c>
      <c r="I522" s="727">
        <v>0</v>
      </c>
      <c r="J522" s="727">
        <v>332200</v>
      </c>
      <c r="K522" s="727">
        <v>332200</v>
      </c>
      <c r="L522" s="727">
        <v>0</v>
      </c>
      <c r="M522" s="727">
        <v>0</v>
      </c>
      <c r="N522" s="727">
        <v>0</v>
      </c>
      <c r="O522" s="727" t="s">
        <v>251</v>
      </c>
      <c r="P522" s="1497">
        <f t="shared" si="46"/>
        <v>1109400</v>
      </c>
      <c r="Q522" s="1129">
        <f t="shared" si="47"/>
        <v>1109400</v>
      </c>
      <c r="R522" s="726"/>
      <c r="S522" s="727"/>
      <c r="T522" s="727"/>
      <c r="U522" s="727"/>
      <c r="V522" s="727"/>
      <c r="W522" s="727"/>
      <c r="X522" s="727"/>
      <c r="Y522" s="727">
        <v>262000</v>
      </c>
      <c r="Z522" s="727"/>
      <c r="AA522" s="727"/>
      <c r="AB522" s="727"/>
      <c r="AC522" s="727"/>
      <c r="AD522" s="1129">
        <f t="shared" si="44"/>
        <v>262000</v>
      </c>
      <c r="AE522" s="865">
        <f t="shared" si="45"/>
        <v>-0.76383630791418788</v>
      </c>
      <c r="AF522" s="866">
        <f t="shared" si="48"/>
        <v>557</v>
      </c>
    </row>
    <row r="523" spans="1:32" x14ac:dyDescent="0.3">
      <c r="A523" s="295" t="s">
        <v>1226</v>
      </c>
      <c r="B523" s="862" t="s">
        <v>1235</v>
      </c>
      <c r="C523" s="863">
        <v>91800</v>
      </c>
      <c r="D523" s="864">
        <v>156400</v>
      </c>
      <c r="E523" s="864">
        <v>222000</v>
      </c>
      <c r="F523" s="864">
        <v>0</v>
      </c>
      <c r="G523" s="864">
        <v>277200</v>
      </c>
      <c r="H523" s="864">
        <v>710800</v>
      </c>
      <c r="I523" s="864">
        <v>159600</v>
      </c>
      <c r="J523" s="864">
        <v>538800</v>
      </c>
      <c r="K523" s="864">
        <v>538800</v>
      </c>
      <c r="L523" s="864">
        <v>646600</v>
      </c>
      <c r="M523" s="864">
        <v>113000</v>
      </c>
      <c r="N523" s="864">
        <v>185000</v>
      </c>
      <c r="O523" s="864">
        <v>1169800</v>
      </c>
      <c r="P523" s="1497">
        <f t="shared" si="46"/>
        <v>2156600</v>
      </c>
      <c r="Q523" s="1129">
        <f t="shared" si="47"/>
        <v>4271000</v>
      </c>
      <c r="R523" s="726">
        <v>593400</v>
      </c>
      <c r="S523" s="727">
        <v>175200</v>
      </c>
      <c r="T523" s="727">
        <v>118000</v>
      </c>
      <c r="U523" s="727">
        <v>0</v>
      </c>
      <c r="V523" s="727">
        <v>0</v>
      </c>
      <c r="W523" s="727">
        <v>310000</v>
      </c>
      <c r="X523" s="727">
        <v>192200</v>
      </c>
      <c r="Y523" s="727">
        <v>203000</v>
      </c>
      <c r="Z523" s="727"/>
      <c r="AA523" s="727"/>
      <c r="AB523" s="727"/>
      <c r="AC523" s="727"/>
      <c r="AD523" s="1129">
        <f t="shared" si="44"/>
        <v>1591800</v>
      </c>
      <c r="AE523" s="865">
        <f t="shared" si="45"/>
        <v>-0.26189372159881297</v>
      </c>
      <c r="AF523" s="866">
        <f t="shared" si="48"/>
        <v>242</v>
      </c>
    </row>
    <row r="524" spans="1:32" x14ac:dyDescent="0.3">
      <c r="A524" s="295" t="s">
        <v>1226</v>
      </c>
      <c r="B524" s="862" t="s">
        <v>1236</v>
      </c>
      <c r="C524" s="863">
        <v>415000</v>
      </c>
      <c r="D524" s="727">
        <v>0</v>
      </c>
      <c r="E524" s="727" t="s">
        <v>251</v>
      </c>
      <c r="F524" s="727">
        <v>0</v>
      </c>
      <c r="G524" s="727">
        <v>118200</v>
      </c>
      <c r="H524" s="727">
        <v>192000</v>
      </c>
      <c r="I524" s="727">
        <v>310200</v>
      </c>
      <c r="J524" s="727">
        <v>70200</v>
      </c>
      <c r="K524" s="727"/>
      <c r="L524" s="727">
        <v>267500</v>
      </c>
      <c r="M524" s="727">
        <v>0</v>
      </c>
      <c r="N524" s="727">
        <v>403100</v>
      </c>
      <c r="O524" s="727">
        <v>216000</v>
      </c>
      <c r="P524" s="1497">
        <f t="shared" si="46"/>
        <v>1035400</v>
      </c>
      <c r="Q524" s="1129">
        <f t="shared" si="47"/>
        <v>1992200</v>
      </c>
      <c r="R524" s="726">
        <v>84000</v>
      </c>
      <c r="S524" s="727"/>
      <c r="T524" s="727">
        <v>216000</v>
      </c>
      <c r="U524" s="727">
        <v>0</v>
      </c>
      <c r="V524" s="727"/>
      <c r="W524" s="727"/>
      <c r="X524" s="727"/>
      <c r="Y524" s="727"/>
      <c r="Z524" s="727"/>
      <c r="AA524" s="727"/>
      <c r="AB524" s="727"/>
      <c r="AC524" s="727"/>
      <c r="AD524" s="1129">
        <f t="shared" ref="AD524:AD587" si="49">SUM(R524:AC524)</f>
        <v>300000</v>
      </c>
      <c r="AE524" s="865">
        <f t="shared" ref="AE524:AE587" si="50">IF(OR(AD524="", P524=""), 0, IFERROR((AD524-P524)/P524, IF(AD524&lt;&gt;0, 1, 0)))</f>
        <v>-0.7102569055437512</v>
      </c>
      <c r="AF524" s="866">
        <f t="shared" si="48"/>
        <v>533</v>
      </c>
    </row>
    <row r="525" spans="1:32" x14ac:dyDescent="0.3">
      <c r="A525" s="295" t="s">
        <v>1226</v>
      </c>
      <c r="B525" s="862" t="s">
        <v>1237</v>
      </c>
      <c r="C525" s="863">
        <v>531600</v>
      </c>
      <c r="D525" s="727">
        <v>0</v>
      </c>
      <c r="E525" s="727" t="s">
        <v>251</v>
      </c>
      <c r="F525" s="727">
        <v>0</v>
      </c>
      <c r="G525" s="727">
        <v>0</v>
      </c>
      <c r="H525" s="727">
        <v>0</v>
      </c>
      <c r="I525" s="727">
        <v>0</v>
      </c>
      <c r="J525" s="727">
        <v>0</v>
      </c>
      <c r="K525" s="727">
        <v>0</v>
      </c>
      <c r="L525" s="727">
        <v>0</v>
      </c>
      <c r="M525" s="727">
        <v>0</v>
      </c>
      <c r="N525" s="727">
        <v>0</v>
      </c>
      <c r="O525" s="727" t="s">
        <v>251</v>
      </c>
      <c r="P525" s="1497">
        <f t="shared" si="46"/>
        <v>531600</v>
      </c>
      <c r="Q525" s="1129">
        <f t="shared" si="47"/>
        <v>531600</v>
      </c>
      <c r="R525" s="726"/>
      <c r="S525" s="727"/>
      <c r="T525" s="727"/>
      <c r="U525" s="727"/>
      <c r="V525" s="727"/>
      <c r="W525" s="727"/>
      <c r="X525" s="727"/>
      <c r="Y525" s="727"/>
      <c r="Z525" s="727"/>
      <c r="AA525" s="727"/>
      <c r="AB525" s="727"/>
      <c r="AC525" s="727"/>
      <c r="AD525" s="1129">
        <f t="shared" si="49"/>
        <v>0</v>
      </c>
      <c r="AE525" s="865">
        <f t="shared" si="50"/>
        <v>-1</v>
      </c>
      <c r="AF525" s="866">
        <f t="shared" si="48"/>
        <v>983</v>
      </c>
    </row>
    <row r="526" spans="1:32" x14ac:dyDescent="0.3">
      <c r="A526" s="295" t="s">
        <v>1226</v>
      </c>
      <c r="B526" s="862" t="s">
        <v>1238</v>
      </c>
      <c r="C526" s="726" t="s">
        <v>251</v>
      </c>
      <c r="D526" s="727" t="s">
        <v>251</v>
      </c>
      <c r="E526" s="727" t="s">
        <v>251</v>
      </c>
      <c r="F526" s="727" t="s">
        <v>251</v>
      </c>
      <c r="G526" s="727" t="s">
        <v>251</v>
      </c>
      <c r="H526" s="727" t="s">
        <v>251</v>
      </c>
      <c r="I526" s="727" t="s">
        <v>251</v>
      </c>
      <c r="J526" s="727" t="s">
        <v>251</v>
      </c>
      <c r="K526" s="727"/>
      <c r="L526" s="727" t="s">
        <v>251</v>
      </c>
      <c r="M526" s="727" t="s">
        <v>251</v>
      </c>
      <c r="N526" s="727" t="s">
        <v>251</v>
      </c>
      <c r="O526" s="727" t="s">
        <v>251</v>
      </c>
      <c r="P526" s="1497">
        <f t="shared" si="46"/>
        <v>0</v>
      </c>
      <c r="Q526" s="1129">
        <f t="shared" si="47"/>
        <v>0</v>
      </c>
      <c r="R526" s="726"/>
      <c r="S526" s="727"/>
      <c r="T526" s="727"/>
      <c r="U526" s="727"/>
      <c r="V526" s="727"/>
      <c r="W526" s="727"/>
      <c r="X526" s="727"/>
      <c r="Y526" s="727"/>
      <c r="Z526" s="727"/>
      <c r="AA526" s="727"/>
      <c r="AB526" s="727"/>
      <c r="AC526" s="727"/>
      <c r="AD526" s="1129">
        <f t="shared" si="49"/>
        <v>0</v>
      </c>
      <c r="AE526" s="865">
        <f t="shared" si="50"/>
        <v>0</v>
      </c>
      <c r="AF526" s="866">
        <f t="shared" si="48"/>
        <v>983</v>
      </c>
    </row>
    <row r="527" spans="1:32" x14ac:dyDescent="0.3">
      <c r="A527" s="295" t="s">
        <v>1226</v>
      </c>
      <c r="B527" s="862" t="s">
        <v>1239</v>
      </c>
      <c r="C527" s="726" t="s">
        <v>251</v>
      </c>
      <c r="D527" s="727">
        <v>0</v>
      </c>
      <c r="E527" s="864">
        <v>181000</v>
      </c>
      <c r="F527" s="864">
        <v>0</v>
      </c>
      <c r="G527" s="864">
        <v>201600</v>
      </c>
      <c r="H527" s="864">
        <v>2557400</v>
      </c>
      <c r="I527" s="864">
        <v>0</v>
      </c>
      <c r="J527" s="864">
        <v>0</v>
      </c>
      <c r="K527" s="864">
        <v>0</v>
      </c>
      <c r="L527" s="864">
        <v>209400</v>
      </c>
      <c r="M527" s="864">
        <v>0</v>
      </c>
      <c r="N527" s="864">
        <v>0</v>
      </c>
      <c r="O527" s="864" t="s">
        <v>251</v>
      </c>
      <c r="P527" s="1497">
        <f t="shared" si="46"/>
        <v>2940000</v>
      </c>
      <c r="Q527" s="1129">
        <f t="shared" si="47"/>
        <v>3149400</v>
      </c>
      <c r="R527" s="726"/>
      <c r="S527" s="727"/>
      <c r="T527" s="727"/>
      <c r="U527" s="727"/>
      <c r="V527" s="727"/>
      <c r="W527" s="727"/>
      <c r="X527" s="727">
        <v>1215000</v>
      </c>
      <c r="Y527" s="727">
        <v>902200</v>
      </c>
      <c r="Z527" s="727"/>
      <c r="AA527" s="727"/>
      <c r="AB527" s="727"/>
      <c r="AC527" s="727"/>
      <c r="AD527" s="1129">
        <f t="shared" si="49"/>
        <v>2117200</v>
      </c>
      <c r="AE527" s="865">
        <f t="shared" si="50"/>
        <v>-0.2798639455782313</v>
      </c>
      <c r="AF527" s="866">
        <f t="shared" si="48"/>
        <v>204</v>
      </c>
    </row>
    <row r="528" spans="1:32" x14ac:dyDescent="0.3">
      <c r="A528" s="295" t="s">
        <v>1226</v>
      </c>
      <c r="B528" s="862" t="s">
        <v>1240</v>
      </c>
      <c r="C528" s="863">
        <v>142600</v>
      </c>
      <c r="D528" s="727">
        <v>0</v>
      </c>
      <c r="E528" s="727" t="s">
        <v>251</v>
      </c>
      <c r="F528" s="727">
        <v>225200</v>
      </c>
      <c r="G528" s="727">
        <v>0</v>
      </c>
      <c r="H528" s="727">
        <v>19400</v>
      </c>
      <c r="I528" s="727">
        <v>0</v>
      </c>
      <c r="J528" s="727">
        <v>0</v>
      </c>
      <c r="K528" s="727">
        <v>0</v>
      </c>
      <c r="L528" s="727">
        <v>0</v>
      </c>
      <c r="M528" s="727">
        <v>0</v>
      </c>
      <c r="N528" s="727">
        <v>0</v>
      </c>
      <c r="O528" s="727" t="s">
        <v>251</v>
      </c>
      <c r="P528" s="1497">
        <f t="shared" si="46"/>
        <v>387200</v>
      </c>
      <c r="Q528" s="1129">
        <f t="shared" si="47"/>
        <v>387200</v>
      </c>
      <c r="R528" s="726"/>
      <c r="S528" s="727"/>
      <c r="T528" s="727"/>
      <c r="U528" s="727"/>
      <c r="V528" s="727"/>
      <c r="W528" s="727"/>
      <c r="X528" s="727"/>
      <c r="Y528" s="727"/>
      <c r="Z528" s="727"/>
      <c r="AA528" s="727"/>
      <c r="AB528" s="727"/>
      <c r="AC528" s="727"/>
      <c r="AD528" s="1129">
        <f t="shared" si="49"/>
        <v>0</v>
      </c>
      <c r="AE528" s="865">
        <f t="shared" si="50"/>
        <v>-1</v>
      </c>
      <c r="AF528" s="866">
        <f t="shared" si="48"/>
        <v>983</v>
      </c>
    </row>
    <row r="529" spans="1:32" x14ac:dyDescent="0.3">
      <c r="A529" s="295" t="s">
        <v>1226</v>
      </c>
      <c r="B529" s="862" t="s">
        <v>1241</v>
      </c>
      <c r="C529" s="863">
        <v>142600</v>
      </c>
      <c r="D529" s="727">
        <v>0</v>
      </c>
      <c r="E529" s="727" t="s">
        <v>251</v>
      </c>
      <c r="F529" s="727">
        <v>133800</v>
      </c>
      <c r="G529" s="727">
        <v>73800</v>
      </c>
      <c r="H529" s="727">
        <v>0</v>
      </c>
      <c r="I529" s="727">
        <v>73800</v>
      </c>
      <c r="J529" s="727">
        <v>45800</v>
      </c>
      <c r="K529" s="727">
        <v>45800</v>
      </c>
      <c r="L529" s="727">
        <v>0</v>
      </c>
      <c r="M529" s="727">
        <v>151800</v>
      </c>
      <c r="N529" s="727">
        <v>120000</v>
      </c>
      <c r="O529" s="727">
        <v>873600</v>
      </c>
      <c r="P529" s="1497">
        <f t="shared" si="46"/>
        <v>469800</v>
      </c>
      <c r="Q529" s="1129">
        <f t="shared" si="47"/>
        <v>1615200</v>
      </c>
      <c r="R529" s="726">
        <v>12200</v>
      </c>
      <c r="S529" s="727">
        <v>147600</v>
      </c>
      <c r="T529" s="727">
        <v>0</v>
      </c>
      <c r="U529" s="727">
        <v>73800</v>
      </c>
      <c r="V529" s="727">
        <v>216800</v>
      </c>
      <c r="W529" s="727">
        <v>86600</v>
      </c>
      <c r="X529" s="727">
        <v>165600</v>
      </c>
      <c r="Y529" s="727">
        <v>170200</v>
      </c>
      <c r="Z529" s="727"/>
      <c r="AA529" s="727"/>
      <c r="AB529" s="727"/>
      <c r="AC529" s="727"/>
      <c r="AD529" s="1129">
        <f t="shared" si="49"/>
        <v>872800</v>
      </c>
      <c r="AE529" s="865">
        <f t="shared" si="50"/>
        <v>0.85781183482332912</v>
      </c>
      <c r="AF529" s="866">
        <f t="shared" si="48"/>
        <v>342</v>
      </c>
    </row>
    <row r="530" spans="1:32" x14ac:dyDescent="0.3">
      <c r="A530" s="295" t="s">
        <v>1226</v>
      </c>
      <c r="B530" s="862" t="s">
        <v>1242</v>
      </c>
      <c r="C530" s="726" t="s">
        <v>251</v>
      </c>
      <c r="D530" s="727">
        <v>0</v>
      </c>
      <c r="E530" s="727" t="s">
        <v>251</v>
      </c>
      <c r="F530" s="727">
        <v>153800</v>
      </c>
      <c r="G530" s="727">
        <v>168000</v>
      </c>
      <c r="H530" s="727">
        <v>0</v>
      </c>
      <c r="I530" s="727">
        <v>0</v>
      </c>
      <c r="J530" s="727">
        <v>0</v>
      </c>
      <c r="K530" s="727">
        <v>0</v>
      </c>
      <c r="L530" s="727">
        <v>18800</v>
      </c>
      <c r="M530" s="727">
        <v>18800</v>
      </c>
      <c r="N530" s="727">
        <v>0</v>
      </c>
      <c r="O530" s="727" t="s">
        <v>251</v>
      </c>
      <c r="P530" s="1497">
        <f t="shared" si="46"/>
        <v>321800</v>
      </c>
      <c r="Q530" s="1129">
        <f t="shared" si="47"/>
        <v>359400</v>
      </c>
      <c r="R530" s="726">
        <v>137300</v>
      </c>
      <c r="S530" s="727"/>
      <c r="T530" s="727">
        <v>0</v>
      </c>
      <c r="U530" s="727">
        <v>0</v>
      </c>
      <c r="V530" s="727">
        <v>92600</v>
      </c>
      <c r="W530" s="727">
        <v>0</v>
      </c>
      <c r="X530" s="727">
        <v>99200</v>
      </c>
      <c r="Y530" s="727">
        <v>0</v>
      </c>
      <c r="Z530" s="727"/>
      <c r="AA530" s="727"/>
      <c r="AB530" s="727"/>
      <c r="AC530" s="727"/>
      <c r="AD530" s="1129">
        <f t="shared" si="49"/>
        <v>329100</v>
      </c>
      <c r="AE530" s="865">
        <f t="shared" si="50"/>
        <v>2.2684897451833438E-2</v>
      </c>
      <c r="AF530" s="866">
        <f t="shared" si="48"/>
        <v>514</v>
      </c>
    </row>
    <row r="531" spans="1:32" x14ac:dyDescent="0.3">
      <c r="A531" s="295" t="s">
        <v>1226</v>
      </c>
      <c r="B531" s="862" t="s">
        <v>1243</v>
      </c>
      <c r="C531" s="726" t="s">
        <v>251</v>
      </c>
      <c r="D531" s="727">
        <v>0</v>
      </c>
      <c r="E531" s="727" t="s">
        <v>251</v>
      </c>
      <c r="F531" s="727">
        <v>0</v>
      </c>
      <c r="G531" s="727">
        <v>296600</v>
      </c>
      <c r="H531" s="727">
        <v>0</v>
      </c>
      <c r="I531" s="727">
        <v>0</v>
      </c>
      <c r="J531" s="727">
        <v>0</v>
      </c>
      <c r="K531" s="727">
        <v>0</v>
      </c>
      <c r="L531" s="727">
        <v>0</v>
      </c>
      <c r="M531" s="727">
        <v>0</v>
      </c>
      <c r="N531" s="727">
        <v>0</v>
      </c>
      <c r="O531" s="727">
        <v>320600</v>
      </c>
      <c r="P531" s="1497">
        <f t="shared" si="46"/>
        <v>296600</v>
      </c>
      <c r="Q531" s="1129">
        <f t="shared" si="47"/>
        <v>617200</v>
      </c>
      <c r="R531" s="726"/>
      <c r="S531" s="727"/>
      <c r="T531" s="727"/>
      <c r="U531" s="727"/>
      <c r="V531" s="727">
        <v>409800</v>
      </c>
      <c r="W531" s="727">
        <v>118200</v>
      </c>
      <c r="X531" s="727">
        <v>183400</v>
      </c>
      <c r="Y531" s="727">
        <v>70200</v>
      </c>
      <c r="Z531" s="727"/>
      <c r="AA531" s="727"/>
      <c r="AB531" s="727"/>
      <c r="AC531" s="727"/>
      <c r="AD531" s="1129">
        <f t="shared" si="49"/>
        <v>781600</v>
      </c>
      <c r="AE531" s="865">
        <f t="shared" si="50"/>
        <v>1.6351989211058664</v>
      </c>
      <c r="AF531" s="866">
        <f t="shared" si="48"/>
        <v>356</v>
      </c>
    </row>
    <row r="532" spans="1:32" x14ac:dyDescent="0.3">
      <c r="A532" s="295" t="s">
        <v>1226</v>
      </c>
      <c r="B532" s="862" t="s">
        <v>1244</v>
      </c>
      <c r="C532" s="863">
        <v>115000</v>
      </c>
      <c r="D532" s="727">
        <v>0</v>
      </c>
      <c r="E532" s="864">
        <v>120000</v>
      </c>
      <c r="F532" s="864">
        <v>60000</v>
      </c>
      <c r="G532" s="864">
        <v>0</v>
      </c>
      <c r="H532" s="864">
        <v>0</v>
      </c>
      <c r="I532" s="864">
        <v>60000</v>
      </c>
      <c r="J532" s="864">
        <v>0</v>
      </c>
      <c r="K532" s="864">
        <v>0</v>
      </c>
      <c r="L532" s="864">
        <v>240000</v>
      </c>
      <c r="M532" s="864">
        <v>0</v>
      </c>
      <c r="N532" s="864">
        <v>370000</v>
      </c>
      <c r="O532" s="864" t="s">
        <v>251</v>
      </c>
      <c r="P532" s="1497">
        <f t="shared" si="46"/>
        <v>355000</v>
      </c>
      <c r="Q532" s="1129">
        <f t="shared" si="47"/>
        <v>965000</v>
      </c>
      <c r="R532" s="726"/>
      <c r="S532" s="727"/>
      <c r="T532" s="727"/>
      <c r="U532" s="727">
        <v>410000</v>
      </c>
      <c r="V532" s="727">
        <v>0</v>
      </c>
      <c r="W532" s="727">
        <v>0</v>
      </c>
      <c r="X532" s="727">
        <v>70000</v>
      </c>
      <c r="Y532" s="727">
        <v>0</v>
      </c>
      <c r="Z532" s="727"/>
      <c r="AA532" s="727"/>
      <c r="AB532" s="727"/>
      <c r="AC532" s="727"/>
      <c r="AD532" s="1129">
        <f t="shared" si="49"/>
        <v>480000</v>
      </c>
      <c r="AE532" s="865">
        <f t="shared" si="50"/>
        <v>0.352112676056338</v>
      </c>
      <c r="AF532" s="866">
        <f t="shared" si="48"/>
        <v>450</v>
      </c>
    </row>
    <row r="533" spans="1:32" x14ac:dyDescent="0.3">
      <c r="A533" s="295" t="s">
        <v>1226</v>
      </c>
      <c r="B533" s="862" t="s">
        <v>1245</v>
      </c>
      <c r="C533" s="863">
        <v>14600</v>
      </c>
      <c r="D533" s="727">
        <v>0</v>
      </c>
      <c r="E533" s="727" t="s">
        <v>251</v>
      </c>
      <c r="F533" s="727">
        <v>269400</v>
      </c>
      <c r="G533" s="727">
        <v>0</v>
      </c>
      <c r="H533" s="727">
        <v>60000</v>
      </c>
      <c r="I533" s="727">
        <v>0</v>
      </c>
      <c r="J533" s="727">
        <v>0</v>
      </c>
      <c r="K533" s="727">
        <v>0</v>
      </c>
      <c r="L533" s="727">
        <v>0</v>
      </c>
      <c r="M533" s="727">
        <v>194840</v>
      </c>
      <c r="N533" s="727">
        <v>0</v>
      </c>
      <c r="O533" s="727" t="s">
        <v>251</v>
      </c>
      <c r="P533" s="1497">
        <f t="shared" si="46"/>
        <v>344000</v>
      </c>
      <c r="Q533" s="1129">
        <f t="shared" si="47"/>
        <v>538840</v>
      </c>
      <c r="R533" s="726"/>
      <c r="S533" s="727"/>
      <c r="T533" s="727"/>
      <c r="U533" s="727">
        <v>60000</v>
      </c>
      <c r="V533" s="727">
        <v>0</v>
      </c>
      <c r="W533" s="727">
        <v>0</v>
      </c>
      <c r="X533" s="727">
        <v>0</v>
      </c>
      <c r="Y533" s="727">
        <v>0</v>
      </c>
      <c r="Z533" s="727"/>
      <c r="AA533" s="727"/>
      <c r="AB533" s="727"/>
      <c r="AC533" s="727"/>
      <c r="AD533" s="1129">
        <f t="shared" si="49"/>
        <v>60000</v>
      </c>
      <c r="AE533" s="865">
        <f t="shared" si="50"/>
        <v>-0.82558139534883723</v>
      </c>
      <c r="AF533" s="866">
        <f t="shared" si="48"/>
        <v>817</v>
      </c>
    </row>
    <row r="534" spans="1:32" x14ac:dyDescent="0.3">
      <c r="A534" s="295" t="s">
        <v>1226</v>
      </c>
      <c r="B534" s="862" t="s">
        <v>1246</v>
      </c>
      <c r="C534" s="863">
        <v>127800</v>
      </c>
      <c r="D534" s="864">
        <v>141600</v>
      </c>
      <c r="E534" s="727" t="s">
        <v>251</v>
      </c>
      <c r="F534" s="727">
        <v>0</v>
      </c>
      <c r="G534" s="727">
        <v>0</v>
      </c>
      <c r="H534" s="727">
        <v>0</v>
      </c>
      <c r="I534" s="727">
        <v>321600</v>
      </c>
      <c r="J534" s="727">
        <v>0</v>
      </c>
      <c r="K534" s="727">
        <v>0</v>
      </c>
      <c r="L534" s="727">
        <v>329400</v>
      </c>
      <c r="M534" s="727">
        <v>156400</v>
      </c>
      <c r="N534" s="727">
        <v>0</v>
      </c>
      <c r="O534" s="727" t="s">
        <v>251</v>
      </c>
      <c r="P534" s="1497">
        <f t="shared" si="46"/>
        <v>591000</v>
      </c>
      <c r="Q534" s="1129">
        <f t="shared" si="47"/>
        <v>1076800</v>
      </c>
      <c r="R534" s="726"/>
      <c r="S534" s="727"/>
      <c r="T534" s="727">
        <v>127800</v>
      </c>
      <c r="U534" s="727">
        <v>141600</v>
      </c>
      <c r="V534" s="727">
        <v>283700</v>
      </c>
      <c r="W534" s="727">
        <v>250800</v>
      </c>
      <c r="X534" s="727">
        <v>116200</v>
      </c>
      <c r="Y534" s="727">
        <v>135200</v>
      </c>
      <c r="Z534" s="727"/>
      <c r="AA534" s="727"/>
      <c r="AB534" s="727"/>
      <c r="AC534" s="727"/>
      <c r="AD534" s="1129">
        <f t="shared" si="49"/>
        <v>1055300</v>
      </c>
      <c r="AE534" s="865">
        <f t="shared" si="50"/>
        <v>0.78561759729272418</v>
      </c>
      <c r="AF534" s="866">
        <f t="shared" si="48"/>
        <v>308</v>
      </c>
    </row>
    <row r="535" spans="1:32" x14ac:dyDescent="0.3">
      <c r="A535" s="295" t="s">
        <v>1226</v>
      </c>
      <c r="B535" s="862" t="s">
        <v>1247</v>
      </c>
      <c r="C535" s="726" t="s">
        <v>251</v>
      </c>
      <c r="D535" s="727">
        <v>0</v>
      </c>
      <c r="E535" s="864">
        <v>169000</v>
      </c>
      <c r="F535" s="864">
        <v>73800</v>
      </c>
      <c r="G535" s="864">
        <v>0</v>
      </c>
      <c r="H535" s="864">
        <v>326600</v>
      </c>
      <c r="I535" s="864">
        <v>73800</v>
      </c>
      <c r="J535" s="864">
        <v>277500</v>
      </c>
      <c r="K535" s="864">
        <v>277500</v>
      </c>
      <c r="L535" s="864">
        <v>180800</v>
      </c>
      <c r="M535" s="864">
        <v>374900</v>
      </c>
      <c r="N535" s="864">
        <v>0</v>
      </c>
      <c r="O535" s="864">
        <v>274000</v>
      </c>
      <c r="P535" s="1497">
        <f t="shared" si="46"/>
        <v>920700</v>
      </c>
      <c r="Q535" s="1129">
        <f t="shared" si="47"/>
        <v>1750400</v>
      </c>
      <c r="R535" s="726">
        <v>274000</v>
      </c>
      <c r="S535" s="727"/>
      <c r="T535" s="727">
        <v>381000</v>
      </c>
      <c r="U535" s="727">
        <v>334400</v>
      </c>
      <c r="V535" s="727">
        <v>0</v>
      </c>
      <c r="W535" s="727">
        <v>133800</v>
      </c>
      <c r="X535" s="727">
        <v>0</v>
      </c>
      <c r="Y535" s="727">
        <v>0</v>
      </c>
      <c r="Z535" s="727"/>
      <c r="AA535" s="727"/>
      <c r="AB535" s="727"/>
      <c r="AC535" s="727"/>
      <c r="AD535" s="1129">
        <f t="shared" si="49"/>
        <v>1123200</v>
      </c>
      <c r="AE535" s="865">
        <f t="shared" si="50"/>
        <v>0.21994134897360704</v>
      </c>
      <c r="AF535" s="866">
        <f t="shared" si="48"/>
        <v>297</v>
      </c>
    </row>
    <row r="536" spans="1:32" x14ac:dyDescent="0.3">
      <c r="A536" s="295" t="s">
        <v>1226</v>
      </c>
      <c r="B536" s="862" t="s">
        <v>1248</v>
      </c>
      <c r="C536" s="726" t="s">
        <v>251</v>
      </c>
      <c r="D536" s="864">
        <v>44600</v>
      </c>
      <c r="E536" s="864">
        <v>62800</v>
      </c>
      <c r="F536" s="864">
        <v>18800</v>
      </c>
      <c r="G536" s="864">
        <v>78800</v>
      </c>
      <c r="H536" s="864">
        <v>60000</v>
      </c>
      <c r="I536" s="864">
        <v>447300</v>
      </c>
      <c r="J536" s="864">
        <v>10400</v>
      </c>
      <c r="K536" s="864">
        <v>10400</v>
      </c>
      <c r="L536" s="864">
        <v>0</v>
      </c>
      <c r="M536" s="864">
        <v>221300</v>
      </c>
      <c r="N536" s="864">
        <v>437800</v>
      </c>
      <c r="O536" s="864">
        <v>184000</v>
      </c>
      <c r="P536" s="1497">
        <f t="shared" si="46"/>
        <v>722700</v>
      </c>
      <c r="Q536" s="1129">
        <f t="shared" si="47"/>
        <v>1565800</v>
      </c>
      <c r="R536" s="726">
        <v>577800</v>
      </c>
      <c r="S536" s="727"/>
      <c r="T536" s="727">
        <v>120000</v>
      </c>
      <c r="U536" s="727">
        <v>315000</v>
      </c>
      <c r="V536" s="727">
        <v>0</v>
      </c>
      <c r="W536" s="727">
        <v>678800</v>
      </c>
      <c r="X536" s="727">
        <v>240000</v>
      </c>
      <c r="Y536" s="727">
        <v>0</v>
      </c>
      <c r="Z536" s="727"/>
      <c r="AA536" s="727"/>
      <c r="AB536" s="727"/>
      <c r="AC536" s="727"/>
      <c r="AD536" s="1129">
        <f t="shared" si="49"/>
        <v>1931600</v>
      </c>
      <c r="AE536" s="865">
        <f t="shared" si="50"/>
        <v>1.6727549467275495</v>
      </c>
      <c r="AF536" s="866">
        <f t="shared" si="48"/>
        <v>218</v>
      </c>
    </row>
    <row r="537" spans="1:32" x14ac:dyDescent="0.3">
      <c r="A537" s="295" t="s">
        <v>1226</v>
      </c>
      <c r="B537" s="862" t="s">
        <v>1249</v>
      </c>
      <c r="C537" s="726" t="s">
        <v>251</v>
      </c>
      <c r="D537" s="727">
        <v>0</v>
      </c>
      <c r="E537" s="727" t="s">
        <v>251</v>
      </c>
      <c r="F537" s="727">
        <v>197800</v>
      </c>
      <c r="G537" s="727">
        <v>0</v>
      </c>
      <c r="H537" s="727">
        <v>0</v>
      </c>
      <c r="I537" s="727">
        <v>0</v>
      </c>
      <c r="J537" s="727">
        <v>0</v>
      </c>
      <c r="K537" s="727">
        <v>0</v>
      </c>
      <c r="L537" s="727">
        <v>0</v>
      </c>
      <c r="M537" s="727">
        <v>101400</v>
      </c>
      <c r="N537" s="727">
        <v>0</v>
      </c>
      <c r="O537" s="727">
        <v>101400</v>
      </c>
      <c r="P537" s="1497">
        <f t="shared" si="46"/>
        <v>197800</v>
      </c>
      <c r="Q537" s="1129">
        <f t="shared" si="47"/>
        <v>400600</v>
      </c>
      <c r="R537" s="726"/>
      <c r="S537" s="727"/>
      <c r="T537" s="727"/>
      <c r="U537" s="727"/>
      <c r="V537" s="727"/>
      <c r="W537" s="727"/>
      <c r="X537" s="727"/>
      <c r="Y537" s="727"/>
      <c r="Z537" s="727"/>
      <c r="AA537" s="727"/>
      <c r="AB537" s="727"/>
      <c r="AC537" s="727"/>
      <c r="AD537" s="1129">
        <f t="shared" si="49"/>
        <v>0</v>
      </c>
      <c r="AE537" s="865">
        <f t="shared" si="50"/>
        <v>-1</v>
      </c>
      <c r="AF537" s="866">
        <f t="shared" si="48"/>
        <v>983</v>
      </c>
    </row>
    <row r="538" spans="1:32" x14ac:dyDescent="0.3">
      <c r="A538" s="295" t="s">
        <v>1226</v>
      </c>
      <c r="B538" s="862" t="s">
        <v>1250</v>
      </c>
      <c r="C538" s="726" t="s">
        <v>251</v>
      </c>
      <c r="D538" s="727">
        <v>0</v>
      </c>
      <c r="E538" s="727" t="s">
        <v>251</v>
      </c>
      <c r="F538" s="727">
        <v>189600</v>
      </c>
      <c r="G538" s="727">
        <v>0</v>
      </c>
      <c r="H538" s="727">
        <v>0</v>
      </c>
      <c r="I538" s="727">
        <v>0</v>
      </c>
      <c r="J538" s="727">
        <v>0</v>
      </c>
      <c r="K538" s="727">
        <v>0</v>
      </c>
      <c r="L538" s="727">
        <v>0</v>
      </c>
      <c r="M538" s="727">
        <v>0</v>
      </c>
      <c r="N538" s="727">
        <v>0</v>
      </c>
      <c r="O538" s="727" t="s">
        <v>251</v>
      </c>
      <c r="P538" s="1497">
        <f t="shared" si="46"/>
        <v>189600</v>
      </c>
      <c r="Q538" s="1129">
        <f t="shared" si="47"/>
        <v>189600</v>
      </c>
      <c r="R538" s="726"/>
      <c r="S538" s="727">
        <v>435600</v>
      </c>
      <c r="T538" s="727">
        <v>273000</v>
      </c>
      <c r="U538" s="727">
        <v>0</v>
      </c>
      <c r="V538" s="727">
        <v>0</v>
      </c>
      <c r="W538" s="727">
        <v>0</v>
      </c>
      <c r="X538" s="727">
        <v>0</v>
      </c>
      <c r="Y538" s="727">
        <v>0</v>
      </c>
      <c r="Z538" s="727"/>
      <c r="AA538" s="727"/>
      <c r="AB538" s="727"/>
      <c r="AC538" s="727"/>
      <c r="AD538" s="1129">
        <f t="shared" si="49"/>
        <v>708600</v>
      </c>
      <c r="AE538" s="865">
        <f t="shared" si="50"/>
        <v>2.7373417721518987</v>
      </c>
      <c r="AF538" s="866">
        <f t="shared" si="48"/>
        <v>379</v>
      </c>
    </row>
    <row r="539" spans="1:32" x14ac:dyDescent="0.3">
      <c r="A539" s="295" t="s">
        <v>1226</v>
      </c>
      <c r="B539" s="862" t="s">
        <v>1251</v>
      </c>
      <c r="C539" s="726" t="s">
        <v>251</v>
      </c>
      <c r="D539" s="727">
        <v>0</v>
      </c>
      <c r="E539" s="727" t="s">
        <v>251</v>
      </c>
      <c r="F539" s="727">
        <v>0</v>
      </c>
      <c r="G539" s="727">
        <v>162800</v>
      </c>
      <c r="H539" s="727">
        <v>0</v>
      </c>
      <c r="I539" s="727">
        <v>0</v>
      </c>
      <c r="J539" s="727">
        <v>0</v>
      </c>
      <c r="K539" s="727">
        <v>0</v>
      </c>
      <c r="L539" s="727">
        <v>0</v>
      </c>
      <c r="M539" s="727">
        <v>0</v>
      </c>
      <c r="N539" s="727">
        <v>0</v>
      </c>
      <c r="O539" s="727" t="s">
        <v>251</v>
      </c>
      <c r="P539" s="1497">
        <f t="shared" si="46"/>
        <v>162800</v>
      </c>
      <c r="Q539" s="1129">
        <f t="shared" si="47"/>
        <v>162800</v>
      </c>
      <c r="R539" s="726">
        <v>846400</v>
      </c>
      <c r="S539" s="727"/>
      <c r="T539" s="727">
        <v>0</v>
      </c>
      <c r="U539" s="727">
        <v>0</v>
      </c>
      <c r="V539" s="727">
        <v>0</v>
      </c>
      <c r="W539" s="727">
        <v>0</v>
      </c>
      <c r="X539" s="727">
        <v>0</v>
      </c>
      <c r="Y539" s="727">
        <v>0</v>
      </c>
      <c r="Z539" s="727"/>
      <c r="AA539" s="727"/>
      <c r="AB539" s="727"/>
      <c r="AC539" s="727"/>
      <c r="AD539" s="1129">
        <f t="shared" si="49"/>
        <v>846400</v>
      </c>
      <c r="AE539" s="865">
        <f t="shared" si="50"/>
        <v>4.1990171990171987</v>
      </c>
      <c r="AF539" s="866">
        <f t="shared" si="48"/>
        <v>348</v>
      </c>
    </row>
    <row r="540" spans="1:32" x14ac:dyDescent="0.3">
      <c r="A540" s="295" t="s">
        <v>1226</v>
      </c>
      <c r="B540" s="862" t="s">
        <v>1252</v>
      </c>
      <c r="C540" s="863">
        <v>32600</v>
      </c>
      <c r="D540" s="727">
        <v>0</v>
      </c>
      <c r="E540" s="727" t="s">
        <v>251</v>
      </c>
      <c r="F540" s="727">
        <v>65200</v>
      </c>
      <c r="G540" s="727">
        <v>60000</v>
      </c>
      <c r="H540" s="727">
        <v>0</v>
      </c>
      <c r="I540" s="727">
        <v>0</v>
      </c>
      <c r="J540" s="727">
        <v>0</v>
      </c>
      <c r="K540" s="727">
        <v>0</v>
      </c>
      <c r="L540" s="727">
        <v>0</v>
      </c>
      <c r="M540" s="727">
        <v>0</v>
      </c>
      <c r="N540" s="727">
        <v>0</v>
      </c>
      <c r="O540" s="727" t="s">
        <v>251</v>
      </c>
      <c r="P540" s="1497">
        <f t="shared" si="46"/>
        <v>157800</v>
      </c>
      <c r="Q540" s="1129">
        <f t="shared" si="47"/>
        <v>157800</v>
      </c>
      <c r="R540" s="726">
        <v>147600</v>
      </c>
      <c r="S540" s="727"/>
      <c r="T540" s="727">
        <v>0</v>
      </c>
      <c r="U540" s="727">
        <v>0</v>
      </c>
      <c r="V540" s="727">
        <v>73800</v>
      </c>
      <c r="W540" s="727">
        <v>0</v>
      </c>
      <c r="X540" s="727">
        <v>60000</v>
      </c>
      <c r="Y540" s="727">
        <v>0</v>
      </c>
      <c r="Z540" s="727"/>
      <c r="AA540" s="727"/>
      <c r="AB540" s="727"/>
      <c r="AC540" s="727"/>
      <c r="AD540" s="1129">
        <f t="shared" si="49"/>
        <v>281400</v>
      </c>
      <c r="AE540" s="865">
        <f t="shared" si="50"/>
        <v>0.78326996197718635</v>
      </c>
      <c r="AF540" s="866">
        <f t="shared" si="48"/>
        <v>544</v>
      </c>
    </row>
    <row r="541" spans="1:32" x14ac:dyDescent="0.3">
      <c r="A541" s="295" t="s">
        <v>1226</v>
      </c>
      <c r="B541" s="862" t="s">
        <v>1253</v>
      </c>
      <c r="C541" s="726" t="s">
        <v>251</v>
      </c>
      <c r="D541" s="727">
        <v>0</v>
      </c>
      <c r="E541" s="864">
        <v>60800</v>
      </c>
      <c r="F541" s="864">
        <v>47000</v>
      </c>
      <c r="G541" s="864">
        <v>40600</v>
      </c>
      <c r="H541" s="864">
        <v>0</v>
      </c>
      <c r="I541" s="864">
        <v>51400</v>
      </c>
      <c r="J541" s="864">
        <v>330800</v>
      </c>
      <c r="K541" s="864">
        <v>319800</v>
      </c>
      <c r="L541" s="864">
        <v>2408200</v>
      </c>
      <c r="M541" s="864">
        <v>32800</v>
      </c>
      <c r="N541" s="864">
        <v>933800</v>
      </c>
      <c r="O541" s="864">
        <v>931000</v>
      </c>
      <c r="P541" s="1497">
        <f t="shared" si="46"/>
        <v>519600</v>
      </c>
      <c r="Q541" s="1129">
        <f t="shared" si="47"/>
        <v>4836400</v>
      </c>
      <c r="R541" s="726">
        <v>432600</v>
      </c>
      <c r="S541" s="727"/>
      <c r="T541" s="727">
        <v>0</v>
      </c>
      <c r="U541" s="727">
        <v>0</v>
      </c>
      <c r="V541" s="727">
        <v>49600</v>
      </c>
      <c r="W541" s="727">
        <v>1282800</v>
      </c>
      <c r="X541" s="727">
        <v>2559800</v>
      </c>
      <c r="Y541" s="727">
        <v>0</v>
      </c>
      <c r="Z541" s="727"/>
      <c r="AA541" s="727"/>
      <c r="AB541" s="727"/>
      <c r="AC541" s="727"/>
      <c r="AD541" s="1129">
        <f t="shared" si="49"/>
        <v>4324800</v>
      </c>
      <c r="AE541" s="865">
        <f t="shared" si="50"/>
        <v>7.3233256351039264</v>
      </c>
      <c r="AF541" s="866">
        <f t="shared" si="48"/>
        <v>102</v>
      </c>
    </row>
    <row r="542" spans="1:32" x14ac:dyDescent="0.3">
      <c r="A542" s="295" t="s">
        <v>1226</v>
      </c>
      <c r="B542" s="862" t="s">
        <v>1254</v>
      </c>
      <c r="C542" s="726" t="s">
        <v>251</v>
      </c>
      <c r="D542" s="727">
        <v>0</v>
      </c>
      <c r="E542" s="727" t="s">
        <v>251</v>
      </c>
      <c r="F542" s="727">
        <v>0</v>
      </c>
      <c r="G542" s="727">
        <v>142600</v>
      </c>
      <c r="H542" s="727">
        <v>0</v>
      </c>
      <c r="I542" s="727">
        <v>0</v>
      </c>
      <c r="J542" s="727">
        <v>0</v>
      </c>
      <c r="K542" s="727">
        <v>0</v>
      </c>
      <c r="L542" s="727">
        <v>0</v>
      </c>
      <c r="M542" s="727">
        <v>73800</v>
      </c>
      <c r="N542" s="727">
        <v>46400</v>
      </c>
      <c r="O542" s="727">
        <v>221400</v>
      </c>
      <c r="P542" s="1497">
        <f t="shared" si="46"/>
        <v>142600</v>
      </c>
      <c r="Q542" s="1129">
        <f t="shared" si="47"/>
        <v>484200</v>
      </c>
      <c r="R542" s="726">
        <v>87600</v>
      </c>
      <c r="S542" s="727"/>
      <c r="T542" s="727">
        <v>237600</v>
      </c>
      <c r="U542" s="727">
        <v>262800</v>
      </c>
      <c r="V542" s="727">
        <v>0</v>
      </c>
      <c r="W542" s="727">
        <v>198600</v>
      </c>
      <c r="X542" s="727">
        <v>169400</v>
      </c>
      <c r="Y542" s="727">
        <v>73800</v>
      </c>
      <c r="Z542" s="727"/>
      <c r="AA542" s="727"/>
      <c r="AB542" s="727"/>
      <c r="AC542" s="727"/>
      <c r="AD542" s="1129">
        <f t="shared" si="49"/>
        <v>1029800</v>
      </c>
      <c r="AE542" s="865">
        <f t="shared" si="50"/>
        <v>6.221598877980365</v>
      </c>
      <c r="AF542" s="866">
        <f t="shared" si="48"/>
        <v>313</v>
      </c>
    </row>
    <row r="543" spans="1:32" x14ac:dyDescent="0.3">
      <c r="A543" s="295" t="s">
        <v>1226</v>
      </c>
      <c r="B543" s="862" t="s">
        <v>1255</v>
      </c>
      <c r="C543" s="726" t="s">
        <v>251</v>
      </c>
      <c r="D543" s="727">
        <v>0</v>
      </c>
      <c r="E543" s="727" t="s">
        <v>251</v>
      </c>
      <c r="F543" s="727">
        <v>0</v>
      </c>
      <c r="G543" s="727">
        <v>139600</v>
      </c>
      <c r="H543" s="727">
        <v>0</v>
      </c>
      <c r="I543" s="727">
        <v>0</v>
      </c>
      <c r="J543" s="727">
        <v>0</v>
      </c>
      <c r="K543" s="727">
        <v>0</v>
      </c>
      <c r="L543" s="727">
        <v>0</v>
      </c>
      <c r="M543" s="727">
        <v>0</v>
      </c>
      <c r="N543" s="727">
        <v>0</v>
      </c>
      <c r="O543" s="727" t="s">
        <v>251</v>
      </c>
      <c r="P543" s="1497">
        <f t="shared" si="46"/>
        <v>139600</v>
      </c>
      <c r="Q543" s="1129">
        <f t="shared" si="47"/>
        <v>139600</v>
      </c>
      <c r="R543" s="726"/>
      <c r="S543" s="727"/>
      <c r="T543" s="727"/>
      <c r="U543" s="727"/>
      <c r="V543" s="727"/>
      <c r="W543" s="727"/>
      <c r="X543" s="727"/>
      <c r="Y543" s="727"/>
      <c r="Z543" s="727"/>
      <c r="AA543" s="727"/>
      <c r="AB543" s="727"/>
      <c r="AC543" s="727"/>
      <c r="AD543" s="1129">
        <f t="shared" si="49"/>
        <v>0</v>
      </c>
      <c r="AE543" s="865">
        <f t="shared" si="50"/>
        <v>-1</v>
      </c>
      <c r="AF543" s="866">
        <f t="shared" si="48"/>
        <v>983</v>
      </c>
    </row>
    <row r="544" spans="1:32" x14ac:dyDescent="0.3">
      <c r="A544" s="295" t="s">
        <v>1226</v>
      </c>
      <c r="B544" s="862" t="s">
        <v>1256</v>
      </c>
      <c r="C544" s="726" t="s">
        <v>251</v>
      </c>
      <c r="D544" s="727">
        <v>0</v>
      </c>
      <c r="E544" s="864">
        <v>46400</v>
      </c>
      <c r="F544" s="864">
        <v>18800</v>
      </c>
      <c r="G544" s="864">
        <v>73800</v>
      </c>
      <c r="H544" s="864">
        <v>87600</v>
      </c>
      <c r="I544" s="864">
        <v>0</v>
      </c>
      <c r="J544" s="864">
        <v>73800</v>
      </c>
      <c r="K544" s="864">
        <v>73800</v>
      </c>
      <c r="L544" s="864">
        <v>142600</v>
      </c>
      <c r="M544" s="864">
        <v>0</v>
      </c>
      <c r="N544" s="864">
        <v>87600</v>
      </c>
      <c r="O544" s="864">
        <v>142600</v>
      </c>
      <c r="P544" s="1497">
        <f t="shared" si="46"/>
        <v>300400</v>
      </c>
      <c r="Q544" s="1129">
        <f t="shared" si="47"/>
        <v>673200</v>
      </c>
      <c r="R544" s="726"/>
      <c r="S544" s="727">
        <v>133800</v>
      </c>
      <c r="T544" s="727">
        <v>0</v>
      </c>
      <c r="U544" s="727">
        <v>156400</v>
      </c>
      <c r="V544" s="727">
        <v>142600</v>
      </c>
      <c r="W544" s="727">
        <v>60000</v>
      </c>
      <c r="X544" s="727">
        <v>0</v>
      </c>
      <c r="Y544" s="727">
        <v>60000</v>
      </c>
      <c r="Z544" s="727"/>
      <c r="AA544" s="727"/>
      <c r="AB544" s="727"/>
      <c r="AC544" s="727"/>
      <c r="AD544" s="1129">
        <f t="shared" si="49"/>
        <v>552800</v>
      </c>
      <c r="AE544" s="865">
        <f t="shared" si="50"/>
        <v>0.84021304926764317</v>
      </c>
      <c r="AF544" s="866">
        <f t="shared" si="48"/>
        <v>418</v>
      </c>
    </row>
    <row r="545" spans="1:32" x14ac:dyDescent="0.3">
      <c r="A545" s="295" t="s">
        <v>1226</v>
      </c>
      <c r="B545" s="862" t="s">
        <v>1257</v>
      </c>
      <c r="C545" s="726" t="s">
        <v>251</v>
      </c>
      <c r="D545" s="727">
        <v>0</v>
      </c>
      <c r="E545" s="864">
        <v>130000</v>
      </c>
      <c r="F545" s="864">
        <v>0</v>
      </c>
      <c r="G545" s="864">
        <v>0</v>
      </c>
      <c r="H545" s="864">
        <v>0</v>
      </c>
      <c r="I545" s="864">
        <v>0</v>
      </c>
      <c r="J545" s="864">
        <v>0</v>
      </c>
      <c r="K545" s="864">
        <v>0</v>
      </c>
      <c r="L545" s="864">
        <v>0</v>
      </c>
      <c r="M545" s="864">
        <v>0</v>
      </c>
      <c r="N545" s="864">
        <v>0</v>
      </c>
      <c r="O545" s="864" t="s">
        <v>251</v>
      </c>
      <c r="P545" s="1497">
        <f t="shared" si="46"/>
        <v>130000</v>
      </c>
      <c r="Q545" s="1129">
        <f t="shared" si="47"/>
        <v>130000</v>
      </c>
      <c r="R545" s="726"/>
      <c r="S545" s="727"/>
      <c r="T545" s="727"/>
      <c r="U545" s="727"/>
      <c r="V545" s="727"/>
      <c r="W545" s="727"/>
      <c r="X545" s="727"/>
      <c r="Y545" s="727"/>
      <c r="Z545" s="727"/>
      <c r="AA545" s="727"/>
      <c r="AB545" s="727"/>
      <c r="AC545" s="727"/>
      <c r="AD545" s="1129">
        <f t="shared" si="49"/>
        <v>0</v>
      </c>
      <c r="AE545" s="865">
        <f t="shared" si="50"/>
        <v>-1</v>
      </c>
      <c r="AF545" s="866">
        <f t="shared" si="48"/>
        <v>983</v>
      </c>
    </row>
    <row r="546" spans="1:32" x14ac:dyDescent="0.3">
      <c r="A546" s="295" t="s">
        <v>1226</v>
      </c>
      <c r="B546" s="862" t="s">
        <v>1183</v>
      </c>
      <c r="C546" s="726" t="s">
        <v>251</v>
      </c>
      <c r="D546" s="727">
        <v>0</v>
      </c>
      <c r="E546" s="864">
        <v>110000</v>
      </c>
      <c r="F546" s="864">
        <v>0</v>
      </c>
      <c r="G546" s="864">
        <v>0</v>
      </c>
      <c r="H546" s="864">
        <v>0</v>
      </c>
      <c r="I546" s="864">
        <v>0</v>
      </c>
      <c r="J546" s="864">
        <v>0</v>
      </c>
      <c r="K546" s="864">
        <v>0</v>
      </c>
      <c r="L546" s="864">
        <v>0</v>
      </c>
      <c r="M546" s="864">
        <v>0</v>
      </c>
      <c r="N546" s="864">
        <v>0</v>
      </c>
      <c r="O546" s="864" t="s">
        <v>251</v>
      </c>
      <c r="P546" s="1497">
        <f t="shared" si="46"/>
        <v>110000</v>
      </c>
      <c r="Q546" s="1129">
        <f t="shared" si="47"/>
        <v>110000</v>
      </c>
      <c r="R546" s="726"/>
      <c r="S546" s="727"/>
      <c r="T546" s="727"/>
      <c r="U546" s="727"/>
      <c r="V546" s="727"/>
      <c r="W546" s="727"/>
      <c r="X546" s="727"/>
      <c r="Y546" s="727"/>
      <c r="Z546" s="727"/>
      <c r="AA546" s="727"/>
      <c r="AB546" s="727"/>
      <c r="AC546" s="727"/>
      <c r="AD546" s="1129">
        <f t="shared" si="49"/>
        <v>0</v>
      </c>
      <c r="AE546" s="865">
        <f t="shared" si="50"/>
        <v>-1</v>
      </c>
      <c r="AF546" s="866">
        <f t="shared" si="48"/>
        <v>983</v>
      </c>
    </row>
    <row r="547" spans="1:32" x14ac:dyDescent="0.3">
      <c r="A547" s="295" t="s">
        <v>1226</v>
      </c>
      <c r="B547" s="862" t="s">
        <v>1258</v>
      </c>
      <c r="C547" s="726" t="s">
        <v>251</v>
      </c>
      <c r="D547" s="727">
        <v>0</v>
      </c>
      <c r="E547" s="727" t="s">
        <v>251</v>
      </c>
      <c r="F547" s="727">
        <v>108200</v>
      </c>
      <c r="G547" s="727">
        <v>0</v>
      </c>
      <c r="H547" s="727">
        <v>0</v>
      </c>
      <c r="I547" s="727">
        <v>88800</v>
      </c>
      <c r="J547" s="727">
        <v>0</v>
      </c>
      <c r="K547" s="727">
        <v>0</v>
      </c>
      <c r="L547" s="727">
        <v>0</v>
      </c>
      <c r="M547" s="727">
        <v>0</v>
      </c>
      <c r="N547" s="727">
        <v>75000</v>
      </c>
      <c r="O547" s="727" t="s">
        <v>251</v>
      </c>
      <c r="P547" s="1497">
        <f t="shared" si="46"/>
        <v>197000</v>
      </c>
      <c r="Q547" s="1129">
        <f t="shared" si="47"/>
        <v>272000</v>
      </c>
      <c r="R547" s="726">
        <v>18800</v>
      </c>
      <c r="S547" s="727"/>
      <c r="T547" s="727">
        <v>0</v>
      </c>
      <c r="U547" s="727">
        <v>74500</v>
      </c>
      <c r="V547" s="727">
        <v>0</v>
      </c>
      <c r="W547" s="727">
        <v>88800</v>
      </c>
      <c r="X547" s="727">
        <v>0</v>
      </c>
      <c r="Y547" s="727">
        <v>0</v>
      </c>
      <c r="Z547" s="727"/>
      <c r="AA547" s="727"/>
      <c r="AB547" s="727"/>
      <c r="AC547" s="727"/>
      <c r="AD547" s="1129">
        <f t="shared" si="49"/>
        <v>182100</v>
      </c>
      <c r="AE547" s="865">
        <f t="shared" si="50"/>
        <v>-7.5634517766497461E-2</v>
      </c>
      <c r="AF547" s="866">
        <f t="shared" si="48"/>
        <v>633</v>
      </c>
    </row>
    <row r="548" spans="1:32" x14ac:dyDescent="0.3">
      <c r="A548" s="295" t="s">
        <v>1226</v>
      </c>
      <c r="B548" s="862" t="s">
        <v>1259</v>
      </c>
      <c r="C548" s="726" t="s">
        <v>251</v>
      </c>
      <c r="D548" s="727">
        <v>0</v>
      </c>
      <c r="E548" s="727" t="s">
        <v>251</v>
      </c>
      <c r="F548" s="727">
        <v>87600</v>
      </c>
      <c r="G548" s="727">
        <v>0</v>
      </c>
      <c r="H548" s="727">
        <v>0</v>
      </c>
      <c r="I548" s="727">
        <v>228000</v>
      </c>
      <c r="J548" s="727">
        <v>0</v>
      </c>
      <c r="K548" s="727">
        <v>0</v>
      </c>
      <c r="L548" s="727">
        <v>0</v>
      </c>
      <c r="M548" s="727">
        <v>0</v>
      </c>
      <c r="N548" s="727">
        <v>0</v>
      </c>
      <c r="O548" s="727" t="s">
        <v>251</v>
      </c>
      <c r="P548" s="1497">
        <f t="shared" si="46"/>
        <v>315600</v>
      </c>
      <c r="Q548" s="1129">
        <f t="shared" si="47"/>
        <v>315600</v>
      </c>
      <c r="R548" s="726"/>
      <c r="S548" s="727"/>
      <c r="T548" s="727"/>
      <c r="U548" s="727">
        <v>291400</v>
      </c>
      <c r="V548" s="727">
        <v>0</v>
      </c>
      <c r="W548" s="727">
        <v>0</v>
      </c>
      <c r="X548" s="727">
        <v>0</v>
      </c>
      <c r="Y548" s="727">
        <v>0</v>
      </c>
      <c r="Z548" s="727"/>
      <c r="AA548" s="727"/>
      <c r="AB548" s="727"/>
      <c r="AC548" s="727"/>
      <c r="AD548" s="1129">
        <f t="shared" si="49"/>
        <v>291400</v>
      </c>
      <c r="AE548" s="865">
        <f t="shared" si="50"/>
        <v>-7.6679340937896065E-2</v>
      </c>
      <c r="AF548" s="866">
        <f t="shared" si="48"/>
        <v>538</v>
      </c>
    </row>
    <row r="549" spans="1:32" x14ac:dyDescent="0.3">
      <c r="A549" s="295" t="s">
        <v>1226</v>
      </c>
      <c r="B549" s="862" t="s">
        <v>1260</v>
      </c>
      <c r="C549" s="726" t="s">
        <v>251</v>
      </c>
      <c r="D549" s="864">
        <v>46400</v>
      </c>
      <c r="E549" s="727" t="s">
        <v>251</v>
      </c>
      <c r="F549" s="727">
        <v>37600</v>
      </c>
      <c r="G549" s="727">
        <v>0</v>
      </c>
      <c r="H549" s="727">
        <v>0</v>
      </c>
      <c r="I549" s="727">
        <v>0</v>
      </c>
      <c r="J549" s="727">
        <v>0</v>
      </c>
      <c r="K549" s="727">
        <v>0</v>
      </c>
      <c r="L549" s="727">
        <v>23800</v>
      </c>
      <c r="M549" s="727">
        <v>0</v>
      </c>
      <c r="N549" s="727">
        <v>0</v>
      </c>
      <c r="O549" s="727" t="s">
        <v>251</v>
      </c>
      <c r="P549" s="1497">
        <f t="shared" si="46"/>
        <v>84000</v>
      </c>
      <c r="Q549" s="1129">
        <f t="shared" si="47"/>
        <v>107800</v>
      </c>
      <c r="R549" s="726"/>
      <c r="S549" s="727"/>
      <c r="T549" s="727"/>
      <c r="U549" s="727"/>
      <c r="V549" s="727">
        <v>18800</v>
      </c>
      <c r="W549" s="727">
        <v>0</v>
      </c>
      <c r="X549" s="727">
        <v>0</v>
      </c>
      <c r="Y549" s="727">
        <v>0</v>
      </c>
      <c r="Z549" s="727"/>
      <c r="AA549" s="727"/>
      <c r="AB549" s="727"/>
      <c r="AC549" s="727"/>
      <c r="AD549" s="1129">
        <f t="shared" si="49"/>
        <v>18800</v>
      </c>
      <c r="AE549" s="865">
        <f t="shared" si="50"/>
        <v>-0.77619047619047621</v>
      </c>
      <c r="AF549" s="866">
        <f t="shared" si="48"/>
        <v>927</v>
      </c>
    </row>
    <row r="550" spans="1:32" x14ac:dyDescent="0.3">
      <c r="A550" s="295" t="s">
        <v>1226</v>
      </c>
      <c r="B550" s="862" t="s">
        <v>1261</v>
      </c>
      <c r="C550" s="726" t="s">
        <v>251</v>
      </c>
      <c r="D550" s="727">
        <v>0</v>
      </c>
      <c r="E550" s="864">
        <v>73800</v>
      </c>
      <c r="F550" s="864">
        <v>0</v>
      </c>
      <c r="G550" s="864">
        <v>0</v>
      </c>
      <c r="H550" s="864">
        <v>0</v>
      </c>
      <c r="I550" s="864">
        <v>0</v>
      </c>
      <c r="J550" s="864">
        <v>0</v>
      </c>
      <c r="K550" s="864">
        <v>0</v>
      </c>
      <c r="L550" s="864">
        <v>0</v>
      </c>
      <c r="M550" s="864">
        <v>0</v>
      </c>
      <c r="N550" s="864">
        <v>0</v>
      </c>
      <c r="O550" s="864">
        <v>60000</v>
      </c>
      <c r="P550" s="1497">
        <f t="shared" si="46"/>
        <v>73800</v>
      </c>
      <c r="Q550" s="1129">
        <f t="shared" si="47"/>
        <v>133800</v>
      </c>
      <c r="R550" s="726">
        <v>60000</v>
      </c>
      <c r="S550" s="727"/>
      <c r="T550" s="727">
        <v>0</v>
      </c>
      <c r="U550" s="727">
        <v>60000</v>
      </c>
      <c r="V550" s="727">
        <v>0</v>
      </c>
      <c r="W550" s="727">
        <v>0</v>
      </c>
      <c r="X550" s="727">
        <v>0</v>
      </c>
      <c r="Y550" s="727">
        <v>0</v>
      </c>
      <c r="Z550" s="727"/>
      <c r="AA550" s="727"/>
      <c r="AB550" s="727"/>
      <c r="AC550" s="727"/>
      <c r="AD550" s="1129">
        <f t="shared" si="49"/>
        <v>120000</v>
      </c>
      <c r="AE550" s="865">
        <f t="shared" si="50"/>
        <v>0.62601626016260159</v>
      </c>
      <c r="AF550" s="866">
        <f t="shared" si="48"/>
        <v>715</v>
      </c>
    </row>
    <row r="551" spans="1:32" x14ac:dyDescent="0.3">
      <c r="A551" s="295" t="s">
        <v>1226</v>
      </c>
      <c r="B551" s="862" t="s">
        <v>1262</v>
      </c>
      <c r="C551" s="726" t="s">
        <v>251</v>
      </c>
      <c r="D551" s="727">
        <v>0</v>
      </c>
      <c r="E551" s="727" t="s">
        <v>251</v>
      </c>
      <c r="F551" s="727">
        <v>73800</v>
      </c>
      <c r="G551" s="727">
        <v>0</v>
      </c>
      <c r="H551" s="727">
        <v>0</v>
      </c>
      <c r="I551" s="727">
        <v>0</v>
      </c>
      <c r="J551" s="727">
        <v>0</v>
      </c>
      <c r="K551" s="727">
        <v>0</v>
      </c>
      <c r="L551" s="727">
        <v>0</v>
      </c>
      <c r="M551" s="727">
        <v>0</v>
      </c>
      <c r="N551" s="727">
        <v>0</v>
      </c>
      <c r="O551" s="727" t="s">
        <v>251</v>
      </c>
      <c r="P551" s="1497">
        <f t="shared" si="46"/>
        <v>73800</v>
      </c>
      <c r="Q551" s="1129">
        <f t="shared" si="47"/>
        <v>73800</v>
      </c>
      <c r="R551" s="726"/>
      <c r="S551" s="727"/>
      <c r="T551" s="727"/>
      <c r="U551" s="727"/>
      <c r="V551" s="727"/>
      <c r="W551" s="727">
        <v>94200</v>
      </c>
      <c r="X551" s="727">
        <v>0</v>
      </c>
      <c r="Y551" s="727">
        <v>0</v>
      </c>
      <c r="Z551" s="727"/>
      <c r="AA551" s="727"/>
      <c r="AB551" s="727"/>
      <c r="AC551" s="727"/>
      <c r="AD551" s="1129">
        <f t="shared" si="49"/>
        <v>94200</v>
      </c>
      <c r="AE551" s="865">
        <f t="shared" si="50"/>
        <v>0.27642276422764228</v>
      </c>
      <c r="AF551" s="866">
        <f t="shared" si="48"/>
        <v>752</v>
      </c>
    </row>
    <row r="552" spans="1:32" x14ac:dyDescent="0.3">
      <c r="A552" s="295" t="s">
        <v>1226</v>
      </c>
      <c r="B552" s="862" t="s">
        <v>1263</v>
      </c>
      <c r="C552" s="726" t="s">
        <v>251</v>
      </c>
      <c r="D552" s="727">
        <v>0</v>
      </c>
      <c r="E552" s="727" t="s">
        <v>251</v>
      </c>
      <c r="F552" s="727">
        <v>0</v>
      </c>
      <c r="G552" s="727">
        <v>32600</v>
      </c>
      <c r="H552" s="727">
        <v>0</v>
      </c>
      <c r="I552" s="727">
        <v>0</v>
      </c>
      <c r="J552" s="727">
        <v>0</v>
      </c>
      <c r="K552" s="727">
        <v>0</v>
      </c>
      <c r="L552" s="727">
        <v>0</v>
      </c>
      <c r="M552" s="727">
        <v>0</v>
      </c>
      <c r="N552" s="727">
        <v>18800</v>
      </c>
      <c r="O552" s="727" t="s">
        <v>251</v>
      </c>
      <c r="P552" s="1497">
        <f t="shared" si="46"/>
        <v>32600</v>
      </c>
      <c r="Q552" s="1129">
        <f t="shared" si="47"/>
        <v>51400</v>
      </c>
      <c r="R552" s="726"/>
      <c r="S552" s="727"/>
      <c r="T552" s="727"/>
      <c r="U552" s="727"/>
      <c r="V552" s="727"/>
      <c r="W552" s="727">
        <v>39500</v>
      </c>
      <c r="X552" s="727">
        <v>0</v>
      </c>
      <c r="Y552" s="727">
        <v>0</v>
      </c>
      <c r="Z552" s="727"/>
      <c r="AA552" s="727"/>
      <c r="AB552" s="727"/>
      <c r="AC552" s="727"/>
      <c r="AD552" s="1129">
        <f t="shared" si="49"/>
        <v>39500</v>
      </c>
      <c r="AE552" s="865">
        <f t="shared" si="50"/>
        <v>0.21165644171779141</v>
      </c>
      <c r="AF552" s="866">
        <f t="shared" si="48"/>
        <v>870</v>
      </c>
    </row>
    <row r="553" spans="1:32" x14ac:dyDescent="0.3">
      <c r="A553" s="295" t="s">
        <v>1226</v>
      </c>
      <c r="B553" s="862" t="s">
        <v>1264</v>
      </c>
      <c r="C553" s="726" t="s">
        <v>251</v>
      </c>
      <c r="D553" s="727">
        <v>0</v>
      </c>
      <c r="E553" s="727" t="s">
        <v>251</v>
      </c>
      <c r="F553" s="727">
        <v>0</v>
      </c>
      <c r="G553" s="727">
        <v>18800</v>
      </c>
      <c r="H553" s="727">
        <v>0</v>
      </c>
      <c r="I553" s="727">
        <v>15200</v>
      </c>
      <c r="J553" s="727">
        <v>45700</v>
      </c>
      <c r="K553" s="727">
        <v>15200</v>
      </c>
      <c r="L553" s="727">
        <v>15200</v>
      </c>
      <c r="M553" s="727">
        <v>15200</v>
      </c>
      <c r="N553" s="727">
        <v>50700</v>
      </c>
      <c r="O553" s="727">
        <v>100700</v>
      </c>
      <c r="P553" s="1497">
        <f t="shared" si="46"/>
        <v>49200</v>
      </c>
      <c r="Q553" s="1129">
        <f t="shared" si="47"/>
        <v>261500</v>
      </c>
      <c r="R553" s="726"/>
      <c r="S553" s="727"/>
      <c r="T553" s="727">
        <v>60000</v>
      </c>
      <c r="U553" s="727">
        <v>0</v>
      </c>
      <c r="V553" s="727">
        <v>0</v>
      </c>
      <c r="W553" s="727">
        <v>0</v>
      </c>
      <c r="X553" s="727">
        <v>0</v>
      </c>
      <c r="Y553" s="727">
        <v>0</v>
      </c>
      <c r="Z553" s="727"/>
      <c r="AA553" s="727"/>
      <c r="AB553" s="727"/>
      <c r="AC553" s="727"/>
      <c r="AD553" s="1129">
        <f t="shared" si="49"/>
        <v>60000</v>
      </c>
      <c r="AE553" s="865">
        <f t="shared" si="50"/>
        <v>0.21951219512195122</v>
      </c>
      <c r="AF553" s="866">
        <f t="shared" si="48"/>
        <v>817</v>
      </c>
    </row>
    <row r="554" spans="1:32" x14ac:dyDescent="0.3">
      <c r="A554" s="295" t="s">
        <v>1226</v>
      </c>
      <c r="B554" s="862" t="s">
        <v>1265</v>
      </c>
      <c r="C554" s="726" t="s">
        <v>251</v>
      </c>
      <c r="D554" s="727" t="s">
        <v>251</v>
      </c>
      <c r="E554" s="727" t="s">
        <v>251</v>
      </c>
      <c r="F554" s="727" t="s">
        <v>251</v>
      </c>
      <c r="G554" s="727" t="s">
        <v>251</v>
      </c>
      <c r="H554" s="727" t="s">
        <v>251</v>
      </c>
      <c r="I554" s="727" t="s">
        <v>251</v>
      </c>
      <c r="J554" s="727" t="s">
        <v>251</v>
      </c>
      <c r="K554" s="727"/>
      <c r="L554" s="727" t="s">
        <v>251</v>
      </c>
      <c r="M554" s="727" t="s">
        <v>251</v>
      </c>
      <c r="N554" s="727" t="s">
        <v>251</v>
      </c>
      <c r="O554" s="727" t="s">
        <v>251</v>
      </c>
      <c r="P554" s="1497">
        <f t="shared" si="46"/>
        <v>0</v>
      </c>
      <c r="Q554" s="1129">
        <f t="shared" si="47"/>
        <v>0</v>
      </c>
      <c r="R554" s="726"/>
      <c r="S554" s="727"/>
      <c r="T554" s="727"/>
      <c r="U554" s="727"/>
      <c r="V554" s="727"/>
      <c r="W554" s="727"/>
      <c r="X554" s="727"/>
      <c r="Y554" s="727"/>
      <c r="Z554" s="727"/>
      <c r="AA554" s="727"/>
      <c r="AB554" s="727"/>
      <c r="AC554" s="727"/>
      <c r="AD554" s="1129">
        <f t="shared" si="49"/>
        <v>0</v>
      </c>
      <c r="AE554" s="865">
        <f t="shared" si="50"/>
        <v>0</v>
      </c>
      <c r="AF554" s="866">
        <f t="shared" si="48"/>
        <v>983</v>
      </c>
    </row>
    <row r="555" spans="1:32" x14ac:dyDescent="0.3">
      <c r="A555" s="295" t="s">
        <v>1226</v>
      </c>
      <c r="B555" s="862" t="s">
        <v>1266</v>
      </c>
      <c r="C555" s="726" t="s">
        <v>251</v>
      </c>
      <c r="D555" s="727" t="s">
        <v>251</v>
      </c>
      <c r="E555" s="727" t="s">
        <v>251</v>
      </c>
      <c r="F555" s="727" t="s">
        <v>251</v>
      </c>
      <c r="G555" s="727" t="s">
        <v>251</v>
      </c>
      <c r="H555" s="727" t="s">
        <v>251</v>
      </c>
      <c r="I555" s="727" t="s">
        <v>251</v>
      </c>
      <c r="J555" s="727" t="s">
        <v>251</v>
      </c>
      <c r="K555" s="727"/>
      <c r="L555" s="727" t="s">
        <v>251</v>
      </c>
      <c r="M555" s="727" t="s">
        <v>251</v>
      </c>
      <c r="N555" s="727" t="s">
        <v>251</v>
      </c>
      <c r="O555" s="727" t="s">
        <v>251</v>
      </c>
      <c r="P555" s="1497">
        <f t="shared" si="46"/>
        <v>0</v>
      </c>
      <c r="Q555" s="1129">
        <f t="shared" si="47"/>
        <v>0</v>
      </c>
      <c r="R555" s="726"/>
      <c r="S555" s="727"/>
      <c r="T555" s="727"/>
      <c r="U555" s="727"/>
      <c r="V555" s="727"/>
      <c r="W555" s="727"/>
      <c r="X555" s="727"/>
      <c r="Y555" s="727"/>
      <c r="Z555" s="727"/>
      <c r="AA555" s="727"/>
      <c r="AB555" s="727"/>
      <c r="AC555" s="727"/>
      <c r="AD555" s="1129">
        <f t="shared" si="49"/>
        <v>0</v>
      </c>
      <c r="AE555" s="865">
        <f t="shared" si="50"/>
        <v>0</v>
      </c>
      <c r="AF555" s="866">
        <f t="shared" si="48"/>
        <v>983</v>
      </c>
    </row>
    <row r="556" spans="1:32" x14ac:dyDescent="0.3">
      <c r="A556" s="295" t="s">
        <v>1226</v>
      </c>
      <c r="B556" s="862" t="s">
        <v>1267</v>
      </c>
      <c r="C556" s="726" t="s">
        <v>251</v>
      </c>
      <c r="D556" s="727">
        <v>0</v>
      </c>
      <c r="E556" s="727" t="s">
        <v>251</v>
      </c>
      <c r="F556" s="727">
        <v>0</v>
      </c>
      <c r="G556" s="727">
        <v>0</v>
      </c>
      <c r="H556" s="727">
        <v>0</v>
      </c>
      <c r="I556" s="727">
        <v>676000</v>
      </c>
      <c r="J556" s="727">
        <v>0</v>
      </c>
      <c r="K556" s="727">
        <v>0</v>
      </c>
      <c r="L556" s="727">
        <v>0</v>
      </c>
      <c r="M556" s="727">
        <v>0</v>
      </c>
      <c r="N556" s="727">
        <v>0</v>
      </c>
      <c r="O556" s="727" t="s">
        <v>251</v>
      </c>
      <c r="P556" s="1497">
        <f t="shared" si="46"/>
        <v>676000</v>
      </c>
      <c r="Q556" s="1129">
        <f t="shared" si="47"/>
        <v>676000</v>
      </c>
      <c r="R556" s="726"/>
      <c r="S556" s="727"/>
      <c r="T556" s="727"/>
      <c r="U556" s="727"/>
      <c r="V556" s="727"/>
      <c r="W556" s="727"/>
      <c r="X556" s="727"/>
      <c r="Y556" s="727">
        <v>211000</v>
      </c>
      <c r="Z556" s="727"/>
      <c r="AA556" s="727"/>
      <c r="AB556" s="727"/>
      <c r="AC556" s="727"/>
      <c r="AD556" s="1129">
        <f t="shared" si="49"/>
        <v>211000</v>
      </c>
      <c r="AE556" s="865">
        <f t="shared" si="50"/>
        <v>-0.68786982248520712</v>
      </c>
      <c r="AF556" s="866">
        <f t="shared" si="48"/>
        <v>602</v>
      </c>
    </row>
    <row r="557" spans="1:32" x14ac:dyDescent="0.3">
      <c r="A557" s="295" t="s">
        <v>1226</v>
      </c>
      <c r="B557" s="862" t="s">
        <v>1268</v>
      </c>
      <c r="C557" s="726" t="s">
        <v>251</v>
      </c>
      <c r="D557" s="727">
        <v>0</v>
      </c>
      <c r="E557" s="727" t="s">
        <v>251</v>
      </c>
      <c r="F557" s="727">
        <v>0</v>
      </c>
      <c r="G557" s="727">
        <v>0</v>
      </c>
      <c r="H557" s="727">
        <v>60000</v>
      </c>
      <c r="I557" s="727">
        <v>0</v>
      </c>
      <c r="J557" s="727">
        <v>0</v>
      </c>
      <c r="K557" s="727">
        <v>0</v>
      </c>
      <c r="L557" s="727">
        <v>60000</v>
      </c>
      <c r="M557" s="727">
        <v>0</v>
      </c>
      <c r="N557" s="727">
        <v>0</v>
      </c>
      <c r="O557" s="727">
        <v>60000</v>
      </c>
      <c r="P557" s="1497">
        <f t="shared" si="46"/>
        <v>60000</v>
      </c>
      <c r="Q557" s="1129">
        <f t="shared" si="47"/>
        <v>180000</v>
      </c>
      <c r="R557" s="726"/>
      <c r="S557" s="727"/>
      <c r="T557" s="727"/>
      <c r="U557" s="727">
        <v>60000</v>
      </c>
      <c r="V557" s="727">
        <v>0</v>
      </c>
      <c r="W557" s="727">
        <v>120000</v>
      </c>
      <c r="X557" s="727">
        <v>0</v>
      </c>
      <c r="Y557" s="727">
        <v>0</v>
      </c>
      <c r="Z557" s="727"/>
      <c r="AA557" s="727"/>
      <c r="AB557" s="727"/>
      <c r="AC557" s="727"/>
      <c r="AD557" s="1129">
        <f t="shared" si="49"/>
        <v>180000</v>
      </c>
      <c r="AE557" s="865">
        <f t="shared" si="50"/>
        <v>2</v>
      </c>
      <c r="AF557" s="866">
        <f t="shared" si="48"/>
        <v>634</v>
      </c>
    </row>
    <row r="558" spans="1:32" x14ac:dyDescent="0.3">
      <c r="A558" s="295" t="s">
        <v>1226</v>
      </c>
      <c r="B558" s="862" t="s">
        <v>1269</v>
      </c>
      <c r="C558" s="726" t="s">
        <v>251</v>
      </c>
      <c r="D558" s="727" t="s">
        <v>251</v>
      </c>
      <c r="E558" s="727" t="s">
        <v>251</v>
      </c>
      <c r="F558" s="727" t="s">
        <v>251</v>
      </c>
      <c r="G558" s="727" t="s">
        <v>251</v>
      </c>
      <c r="H558" s="727" t="s">
        <v>251</v>
      </c>
      <c r="I558" s="727" t="s">
        <v>251</v>
      </c>
      <c r="J558" s="727" t="s">
        <v>251</v>
      </c>
      <c r="K558" s="727"/>
      <c r="L558" s="727" t="s">
        <v>251</v>
      </c>
      <c r="M558" s="727" t="s">
        <v>251</v>
      </c>
      <c r="N558" s="727" t="s">
        <v>251</v>
      </c>
      <c r="O558" s="727" t="s">
        <v>251</v>
      </c>
      <c r="P558" s="1497">
        <f t="shared" si="46"/>
        <v>0</v>
      </c>
      <c r="Q558" s="1129">
        <f t="shared" si="47"/>
        <v>0</v>
      </c>
      <c r="R558" s="726"/>
      <c r="S558" s="727"/>
      <c r="T558" s="727"/>
      <c r="U558" s="727"/>
      <c r="V558" s="727"/>
      <c r="W558" s="727"/>
      <c r="X558" s="727"/>
      <c r="Y558" s="727"/>
      <c r="Z558" s="727"/>
      <c r="AA558" s="727"/>
      <c r="AB558" s="727"/>
      <c r="AC558" s="727"/>
      <c r="AD558" s="1129">
        <f t="shared" si="49"/>
        <v>0</v>
      </c>
      <c r="AE558" s="865">
        <f t="shared" si="50"/>
        <v>0</v>
      </c>
      <c r="AF558" s="866">
        <f t="shared" si="48"/>
        <v>983</v>
      </c>
    </row>
    <row r="559" spans="1:32" x14ac:dyDescent="0.3">
      <c r="A559" s="295" t="s">
        <v>1226</v>
      </c>
      <c r="B559" s="862" t="s">
        <v>1270</v>
      </c>
      <c r="C559" s="726" t="s">
        <v>251</v>
      </c>
      <c r="D559" s="727" t="s">
        <v>251</v>
      </c>
      <c r="E559" s="727" t="s">
        <v>251</v>
      </c>
      <c r="F559" s="727" t="s">
        <v>251</v>
      </c>
      <c r="G559" s="727" t="s">
        <v>251</v>
      </c>
      <c r="H559" s="727" t="s">
        <v>251</v>
      </c>
      <c r="I559" s="727" t="s">
        <v>251</v>
      </c>
      <c r="J559" s="727" t="s">
        <v>251</v>
      </c>
      <c r="K559" s="727"/>
      <c r="L559" s="727" t="s">
        <v>251</v>
      </c>
      <c r="M559" s="727" t="s">
        <v>251</v>
      </c>
      <c r="N559" s="727" t="s">
        <v>251</v>
      </c>
      <c r="O559" s="727" t="s">
        <v>251</v>
      </c>
      <c r="P559" s="1497">
        <f t="shared" si="46"/>
        <v>0</v>
      </c>
      <c r="Q559" s="1129">
        <f t="shared" si="47"/>
        <v>0</v>
      </c>
      <c r="R559" s="726"/>
      <c r="S559" s="727"/>
      <c r="T559" s="727"/>
      <c r="U559" s="727"/>
      <c r="V559" s="727"/>
      <c r="W559" s="727"/>
      <c r="X559" s="727"/>
      <c r="Y559" s="727"/>
      <c r="Z559" s="727"/>
      <c r="AA559" s="727"/>
      <c r="AB559" s="727"/>
      <c r="AC559" s="727"/>
      <c r="AD559" s="1129">
        <f t="shared" si="49"/>
        <v>0</v>
      </c>
      <c r="AE559" s="865">
        <f t="shared" si="50"/>
        <v>0</v>
      </c>
      <c r="AF559" s="866">
        <f t="shared" si="48"/>
        <v>983</v>
      </c>
    </row>
    <row r="560" spans="1:32" x14ac:dyDescent="0.3">
      <c r="A560" s="295" t="s">
        <v>1226</v>
      </c>
      <c r="B560" s="862" t="s">
        <v>1271</v>
      </c>
      <c r="C560" s="726" t="s">
        <v>251</v>
      </c>
      <c r="D560" s="727" t="s">
        <v>251</v>
      </c>
      <c r="E560" s="727" t="s">
        <v>251</v>
      </c>
      <c r="F560" s="727" t="s">
        <v>251</v>
      </c>
      <c r="G560" s="727" t="s">
        <v>251</v>
      </c>
      <c r="H560" s="727" t="s">
        <v>251</v>
      </c>
      <c r="I560" s="727" t="s">
        <v>251</v>
      </c>
      <c r="J560" s="727" t="s">
        <v>251</v>
      </c>
      <c r="K560" s="727"/>
      <c r="L560" s="727" t="s">
        <v>251</v>
      </c>
      <c r="M560" s="727" t="s">
        <v>251</v>
      </c>
      <c r="N560" s="727" t="s">
        <v>251</v>
      </c>
      <c r="O560" s="727" t="s">
        <v>251</v>
      </c>
      <c r="P560" s="1497">
        <f t="shared" si="46"/>
        <v>0</v>
      </c>
      <c r="Q560" s="1129">
        <f t="shared" si="47"/>
        <v>0</v>
      </c>
      <c r="R560" s="726"/>
      <c r="S560" s="727"/>
      <c r="T560" s="727"/>
      <c r="U560" s="727"/>
      <c r="V560" s="727"/>
      <c r="W560" s="727"/>
      <c r="X560" s="727"/>
      <c r="Y560" s="727"/>
      <c r="Z560" s="727"/>
      <c r="AA560" s="727"/>
      <c r="AB560" s="727"/>
      <c r="AC560" s="727"/>
      <c r="AD560" s="1129">
        <f t="shared" si="49"/>
        <v>0</v>
      </c>
      <c r="AE560" s="865">
        <f t="shared" si="50"/>
        <v>0</v>
      </c>
      <c r="AF560" s="866">
        <f t="shared" si="48"/>
        <v>983</v>
      </c>
    </row>
    <row r="561" spans="1:32" x14ac:dyDescent="0.3">
      <c r="A561" s="295" t="s">
        <v>1226</v>
      </c>
      <c r="B561" s="862" t="s">
        <v>1272</v>
      </c>
      <c r="C561" s="726" t="s">
        <v>251</v>
      </c>
      <c r="D561" s="727" t="s">
        <v>251</v>
      </c>
      <c r="E561" s="727" t="s">
        <v>251</v>
      </c>
      <c r="F561" s="727" t="s">
        <v>251</v>
      </c>
      <c r="G561" s="727" t="s">
        <v>251</v>
      </c>
      <c r="H561" s="727" t="s">
        <v>251</v>
      </c>
      <c r="I561" s="727" t="s">
        <v>251</v>
      </c>
      <c r="J561" s="727" t="s">
        <v>251</v>
      </c>
      <c r="K561" s="727"/>
      <c r="L561" s="727" t="s">
        <v>251</v>
      </c>
      <c r="M561" s="727" t="s">
        <v>251</v>
      </c>
      <c r="N561" s="727" t="s">
        <v>251</v>
      </c>
      <c r="O561" s="727" t="s">
        <v>251</v>
      </c>
      <c r="P561" s="1497">
        <f t="shared" si="46"/>
        <v>0</v>
      </c>
      <c r="Q561" s="1129">
        <f t="shared" si="47"/>
        <v>0</v>
      </c>
      <c r="R561" s="726"/>
      <c r="S561" s="727"/>
      <c r="T561" s="727"/>
      <c r="U561" s="727"/>
      <c r="V561" s="727"/>
      <c r="W561" s="727"/>
      <c r="X561" s="727"/>
      <c r="Y561" s="727"/>
      <c r="Z561" s="727"/>
      <c r="AA561" s="727"/>
      <c r="AB561" s="727"/>
      <c r="AC561" s="727"/>
      <c r="AD561" s="1129">
        <f t="shared" si="49"/>
        <v>0</v>
      </c>
      <c r="AE561" s="865">
        <f t="shared" si="50"/>
        <v>0</v>
      </c>
      <c r="AF561" s="866">
        <f t="shared" si="48"/>
        <v>983</v>
      </c>
    </row>
    <row r="562" spans="1:32" x14ac:dyDescent="0.3">
      <c r="A562" s="295" t="s">
        <v>1226</v>
      </c>
      <c r="B562" s="862" t="s">
        <v>1273</v>
      </c>
      <c r="C562" s="726" t="s">
        <v>251</v>
      </c>
      <c r="D562" s="727" t="s">
        <v>251</v>
      </c>
      <c r="E562" s="727" t="s">
        <v>251</v>
      </c>
      <c r="F562" s="727" t="s">
        <v>251</v>
      </c>
      <c r="G562" s="727" t="s">
        <v>251</v>
      </c>
      <c r="H562" s="727" t="s">
        <v>251</v>
      </c>
      <c r="I562" s="727" t="s">
        <v>251</v>
      </c>
      <c r="J562" s="727" t="s">
        <v>251</v>
      </c>
      <c r="K562" s="727"/>
      <c r="L562" s="727" t="s">
        <v>251</v>
      </c>
      <c r="M562" s="727" t="s">
        <v>251</v>
      </c>
      <c r="N562" s="727" t="s">
        <v>251</v>
      </c>
      <c r="O562" s="727" t="s">
        <v>251</v>
      </c>
      <c r="P562" s="1497">
        <f t="shared" si="46"/>
        <v>0</v>
      </c>
      <c r="Q562" s="1129">
        <f t="shared" si="47"/>
        <v>0</v>
      </c>
      <c r="R562" s="726"/>
      <c r="S562" s="727"/>
      <c r="T562" s="727"/>
      <c r="U562" s="727"/>
      <c r="V562" s="727"/>
      <c r="W562" s="727"/>
      <c r="X562" s="727"/>
      <c r="Y562" s="727"/>
      <c r="Z562" s="727"/>
      <c r="AA562" s="727"/>
      <c r="AB562" s="727"/>
      <c r="AC562" s="727"/>
      <c r="AD562" s="1129">
        <f t="shared" si="49"/>
        <v>0</v>
      </c>
      <c r="AE562" s="865">
        <f t="shared" si="50"/>
        <v>0</v>
      </c>
      <c r="AF562" s="866">
        <f t="shared" si="48"/>
        <v>983</v>
      </c>
    </row>
    <row r="563" spans="1:32" x14ac:dyDescent="0.3">
      <c r="A563" s="295" t="s">
        <v>1226</v>
      </c>
      <c r="B563" s="862" t="s">
        <v>1274</v>
      </c>
      <c r="C563" s="726" t="s">
        <v>251</v>
      </c>
      <c r="D563" s="727" t="s">
        <v>251</v>
      </c>
      <c r="E563" s="727" t="s">
        <v>251</v>
      </c>
      <c r="F563" s="727" t="s">
        <v>251</v>
      </c>
      <c r="G563" s="727" t="s">
        <v>251</v>
      </c>
      <c r="H563" s="727" t="s">
        <v>251</v>
      </c>
      <c r="I563" s="727" t="s">
        <v>251</v>
      </c>
      <c r="J563" s="727" t="s">
        <v>251</v>
      </c>
      <c r="K563" s="727"/>
      <c r="L563" s="727" t="s">
        <v>251</v>
      </c>
      <c r="M563" s="727" t="s">
        <v>251</v>
      </c>
      <c r="N563" s="727" t="s">
        <v>251</v>
      </c>
      <c r="O563" s="727" t="s">
        <v>251</v>
      </c>
      <c r="P563" s="1497">
        <f t="shared" si="46"/>
        <v>0</v>
      </c>
      <c r="Q563" s="1129">
        <f t="shared" si="47"/>
        <v>0</v>
      </c>
      <c r="R563" s="726"/>
      <c r="S563" s="727"/>
      <c r="T563" s="727"/>
      <c r="U563" s="727"/>
      <c r="V563" s="727"/>
      <c r="W563" s="727"/>
      <c r="X563" s="727"/>
      <c r="Y563" s="727"/>
      <c r="Z563" s="727"/>
      <c r="AA563" s="727"/>
      <c r="AB563" s="727"/>
      <c r="AC563" s="727"/>
      <c r="AD563" s="1129">
        <f t="shared" si="49"/>
        <v>0</v>
      </c>
      <c r="AE563" s="865">
        <f t="shared" si="50"/>
        <v>0</v>
      </c>
      <c r="AF563" s="866">
        <f t="shared" si="48"/>
        <v>983</v>
      </c>
    </row>
    <row r="564" spans="1:32" x14ac:dyDescent="0.3">
      <c r="A564" s="295" t="s">
        <v>1226</v>
      </c>
      <c r="B564" s="862" t="s">
        <v>1275</v>
      </c>
      <c r="C564" s="726" t="s">
        <v>251</v>
      </c>
      <c r="D564" s="727">
        <v>0</v>
      </c>
      <c r="E564" s="727" t="s">
        <v>251</v>
      </c>
      <c r="F564" s="727">
        <v>0</v>
      </c>
      <c r="G564" s="727">
        <v>0</v>
      </c>
      <c r="H564" s="727">
        <v>195600</v>
      </c>
      <c r="I564" s="727">
        <v>0</v>
      </c>
      <c r="J564" s="727">
        <v>127800</v>
      </c>
      <c r="K564" s="727">
        <v>127800</v>
      </c>
      <c r="L564" s="727">
        <v>0</v>
      </c>
      <c r="M564" s="727">
        <v>0</v>
      </c>
      <c r="N564" s="727">
        <v>0</v>
      </c>
      <c r="O564" s="727">
        <v>425200</v>
      </c>
      <c r="P564" s="1497">
        <f t="shared" si="46"/>
        <v>323400</v>
      </c>
      <c r="Q564" s="1129">
        <f t="shared" si="47"/>
        <v>748600</v>
      </c>
      <c r="R564" s="726">
        <v>363600</v>
      </c>
      <c r="S564" s="727"/>
      <c r="T564" s="727">
        <v>0</v>
      </c>
      <c r="U564" s="727">
        <v>524200</v>
      </c>
      <c r="V564" s="727">
        <v>142200</v>
      </c>
      <c r="W564" s="727">
        <v>0</v>
      </c>
      <c r="X564" s="727">
        <v>0</v>
      </c>
      <c r="Y564" s="727">
        <v>0</v>
      </c>
      <c r="Z564" s="727"/>
      <c r="AA564" s="727"/>
      <c r="AB564" s="727"/>
      <c r="AC564" s="727"/>
      <c r="AD564" s="1129">
        <f t="shared" si="49"/>
        <v>1030000</v>
      </c>
      <c r="AE564" s="865">
        <f t="shared" si="50"/>
        <v>2.1849103277674704</v>
      </c>
      <c r="AF564" s="866">
        <f t="shared" si="48"/>
        <v>312</v>
      </c>
    </row>
    <row r="565" spans="1:32" x14ac:dyDescent="0.3">
      <c r="A565" s="295" t="s">
        <v>1226</v>
      </c>
      <c r="B565" s="862" t="s">
        <v>1276</v>
      </c>
      <c r="C565" s="726" t="s">
        <v>251</v>
      </c>
      <c r="D565" s="727" t="s">
        <v>251</v>
      </c>
      <c r="E565" s="727" t="s">
        <v>251</v>
      </c>
      <c r="F565" s="727" t="s">
        <v>251</v>
      </c>
      <c r="G565" s="727" t="s">
        <v>251</v>
      </c>
      <c r="H565" s="727" t="s">
        <v>251</v>
      </c>
      <c r="I565" s="727" t="s">
        <v>251</v>
      </c>
      <c r="J565" s="727" t="s">
        <v>251</v>
      </c>
      <c r="K565" s="727"/>
      <c r="L565" s="727" t="s">
        <v>251</v>
      </c>
      <c r="M565" s="727" t="s">
        <v>251</v>
      </c>
      <c r="N565" s="727" t="s">
        <v>251</v>
      </c>
      <c r="O565" s="727" t="s">
        <v>251</v>
      </c>
      <c r="P565" s="1497">
        <f t="shared" si="46"/>
        <v>0</v>
      </c>
      <c r="Q565" s="1129">
        <f t="shared" si="47"/>
        <v>0</v>
      </c>
      <c r="R565" s="726"/>
      <c r="S565" s="727"/>
      <c r="T565" s="727"/>
      <c r="U565" s="727"/>
      <c r="V565" s="727"/>
      <c r="W565" s="727"/>
      <c r="X565" s="727"/>
      <c r="Y565" s="727"/>
      <c r="Z565" s="727"/>
      <c r="AA565" s="727"/>
      <c r="AB565" s="727"/>
      <c r="AC565" s="727"/>
      <c r="AD565" s="1129">
        <f t="shared" si="49"/>
        <v>0</v>
      </c>
      <c r="AE565" s="865">
        <f t="shared" si="50"/>
        <v>0</v>
      </c>
      <c r="AF565" s="866">
        <f t="shared" si="48"/>
        <v>983</v>
      </c>
    </row>
    <row r="566" spans="1:32" x14ac:dyDescent="0.3">
      <c r="A566" s="295" t="s">
        <v>1222</v>
      </c>
      <c r="B566" s="862" t="s">
        <v>1277</v>
      </c>
      <c r="C566" s="726" t="s">
        <v>251</v>
      </c>
      <c r="D566" s="727" t="s">
        <v>251</v>
      </c>
      <c r="E566" s="727" t="s">
        <v>251</v>
      </c>
      <c r="F566" s="727" t="s">
        <v>251</v>
      </c>
      <c r="G566" s="727" t="s">
        <v>251</v>
      </c>
      <c r="H566" s="727" t="s">
        <v>251</v>
      </c>
      <c r="I566" s="727" t="s">
        <v>251</v>
      </c>
      <c r="J566" s="727" t="s">
        <v>251</v>
      </c>
      <c r="K566" s="727"/>
      <c r="L566" s="727" t="s">
        <v>251</v>
      </c>
      <c r="M566" s="727" t="s">
        <v>251</v>
      </c>
      <c r="N566" s="727" t="s">
        <v>251</v>
      </c>
      <c r="O566" s="727" t="s">
        <v>251</v>
      </c>
      <c r="P566" s="1497">
        <f t="shared" si="46"/>
        <v>0</v>
      </c>
      <c r="Q566" s="1129">
        <f t="shared" si="47"/>
        <v>0</v>
      </c>
      <c r="R566" s="726"/>
      <c r="S566" s="727"/>
      <c r="T566" s="727"/>
      <c r="U566" s="727"/>
      <c r="V566" s="727"/>
      <c r="W566" s="727"/>
      <c r="X566" s="727"/>
      <c r="Y566" s="727"/>
      <c r="Z566" s="727"/>
      <c r="AA566" s="727"/>
      <c r="AB566" s="727"/>
      <c r="AC566" s="727"/>
      <c r="AD566" s="1129">
        <f t="shared" si="49"/>
        <v>0</v>
      </c>
      <c r="AE566" s="865">
        <f t="shared" si="50"/>
        <v>0</v>
      </c>
      <c r="AF566" s="866">
        <f t="shared" si="48"/>
        <v>983</v>
      </c>
    </row>
    <row r="567" spans="1:32" x14ac:dyDescent="0.3">
      <c r="A567" s="295" t="s">
        <v>1226</v>
      </c>
      <c r="B567" s="862" t="s">
        <v>2064</v>
      </c>
      <c r="C567" s="726"/>
      <c r="D567" s="727" t="s">
        <v>251</v>
      </c>
      <c r="E567" s="727"/>
      <c r="F567" s="727" t="s">
        <v>251</v>
      </c>
      <c r="G567" s="727" t="s">
        <v>251</v>
      </c>
      <c r="H567" s="727" t="s">
        <v>251</v>
      </c>
      <c r="I567" s="727" t="s">
        <v>251</v>
      </c>
      <c r="J567" s="727" t="s">
        <v>251</v>
      </c>
      <c r="K567" s="727"/>
      <c r="L567" s="727" t="s">
        <v>251</v>
      </c>
      <c r="M567" s="727" t="s">
        <v>251</v>
      </c>
      <c r="N567" s="727" t="s">
        <v>251</v>
      </c>
      <c r="O567" s="727" t="s">
        <v>251</v>
      </c>
      <c r="P567" s="1497">
        <f t="shared" si="46"/>
        <v>0</v>
      </c>
      <c r="Q567" s="1129">
        <f t="shared" si="47"/>
        <v>0</v>
      </c>
      <c r="R567" s="726"/>
      <c r="S567" s="727"/>
      <c r="T567" s="727"/>
      <c r="U567" s="727"/>
      <c r="V567" s="727"/>
      <c r="W567" s="727"/>
      <c r="X567" s="727"/>
      <c r="Y567" s="727"/>
      <c r="Z567" s="727"/>
      <c r="AA567" s="727"/>
      <c r="AB567" s="727"/>
      <c r="AC567" s="727"/>
      <c r="AD567" s="1129">
        <f t="shared" si="49"/>
        <v>0</v>
      </c>
      <c r="AE567" s="865">
        <f t="shared" si="50"/>
        <v>0</v>
      </c>
      <c r="AF567" s="866">
        <f t="shared" si="48"/>
        <v>983</v>
      </c>
    </row>
    <row r="568" spans="1:32" x14ac:dyDescent="0.3">
      <c r="A568" s="295" t="s">
        <v>1226</v>
      </c>
      <c r="B568" s="862" t="s">
        <v>2065</v>
      </c>
      <c r="C568" s="726"/>
      <c r="D568" s="727" t="s">
        <v>251</v>
      </c>
      <c r="E568" s="727"/>
      <c r="F568" s="727" t="s">
        <v>251</v>
      </c>
      <c r="G568" s="727" t="s">
        <v>251</v>
      </c>
      <c r="H568" s="727" t="s">
        <v>251</v>
      </c>
      <c r="I568" s="727" t="s">
        <v>251</v>
      </c>
      <c r="J568" s="727" t="s">
        <v>251</v>
      </c>
      <c r="K568" s="727"/>
      <c r="L568" s="727" t="s">
        <v>251</v>
      </c>
      <c r="M568" s="727" t="s">
        <v>251</v>
      </c>
      <c r="N568" s="727" t="s">
        <v>251</v>
      </c>
      <c r="O568" s="727" t="s">
        <v>251</v>
      </c>
      <c r="P568" s="1497">
        <f t="shared" si="46"/>
        <v>0</v>
      </c>
      <c r="Q568" s="1129">
        <f t="shared" si="47"/>
        <v>0</v>
      </c>
      <c r="R568" s="726"/>
      <c r="S568" s="727"/>
      <c r="T568" s="727"/>
      <c r="U568" s="727"/>
      <c r="V568" s="727"/>
      <c r="W568" s="727"/>
      <c r="X568" s="727"/>
      <c r="Y568" s="727"/>
      <c r="Z568" s="727"/>
      <c r="AA568" s="727"/>
      <c r="AB568" s="727"/>
      <c r="AC568" s="727"/>
      <c r="AD568" s="1129">
        <f t="shared" si="49"/>
        <v>0</v>
      </c>
      <c r="AE568" s="865">
        <f t="shared" si="50"/>
        <v>0</v>
      </c>
      <c r="AF568" s="866">
        <f t="shared" si="48"/>
        <v>983</v>
      </c>
    </row>
    <row r="569" spans="1:32" x14ac:dyDescent="0.3">
      <c r="A569" s="295" t="s">
        <v>1226</v>
      </c>
      <c r="B569" s="862" t="s">
        <v>2066</v>
      </c>
      <c r="C569" s="726"/>
      <c r="D569" s="727" t="s">
        <v>251</v>
      </c>
      <c r="E569" s="727"/>
      <c r="F569" s="727" t="s">
        <v>251</v>
      </c>
      <c r="G569" s="727" t="s">
        <v>251</v>
      </c>
      <c r="H569" s="727" t="s">
        <v>251</v>
      </c>
      <c r="I569" s="727" t="s">
        <v>251</v>
      </c>
      <c r="J569" s="727" t="s">
        <v>251</v>
      </c>
      <c r="K569" s="727"/>
      <c r="L569" s="727" t="s">
        <v>251</v>
      </c>
      <c r="M569" s="727" t="s">
        <v>251</v>
      </c>
      <c r="N569" s="727" t="s">
        <v>251</v>
      </c>
      <c r="O569" s="727" t="s">
        <v>251</v>
      </c>
      <c r="P569" s="1497">
        <f t="shared" si="46"/>
        <v>0</v>
      </c>
      <c r="Q569" s="1129">
        <f t="shared" si="47"/>
        <v>0</v>
      </c>
      <c r="R569" s="726"/>
      <c r="S569" s="727"/>
      <c r="T569" s="727"/>
      <c r="U569" s="727"/>
      <c r="V569" s="727"/>
      <c r="W569" s="727"/>
      <c r="X569" s="727"/>
      <c r="Y569" s="727"/>
      <c r="Z569" s="727"/>
      <c r="AA569" s="727"/>
      <c r="AB569" s="727"/>
      <c r="AC569" s="727"/>
      <c r="AD569" s="1129">
        <f t="shared" si="49"/>
        <v>0</v>
      </c>
      <c r="AE569" s="865">
        <f t="shared" si="50"/>
        <v>0</v>
      </c>
      <c r="AF569" s="866">
        <f t="shared" si="48"/>
        <v>983</v>
      </c>
    </row>
    <row r="570" spans="1:32" x14ac:dyDescent="0.3">
      <c r="A570" s="295" t="s">
        <v>1226</v>
      </c>
      <c r="B570" s="862" t="s">
        <v>2067</v>
      </c>
      <c r="C570" s="726"/>
      <c r="D570" s="727" t="s">
        <v>251</v>
      </c>
      <c r="E570" s="727"/>
      <c r="F570" s="727" t="s">
        <v>251</v>
      </c>
      <c r="G570" s="727" t="s">
        <v>251</v>
      </c>
      <c r="H570" s="727" t="s">
        <v>251</v>
      </c>
      <c r="I570" s="727" t="s">
        <v>251</v>
      </c>
      <c r="J570" s="727" t="s">
        <v>251</v>
      </c>
      <c r="K570" s="727"/>
      <c r="L570" s="727" t="s">
        <v>251</v>
      </c>
      <c r="M570" s="727" t="s">
        <v>251</v>
      </c>
      <c r="N570" s="727" t="s">
        <v>251</v>
      </c>
      <c r="O570" s="727" t="s">
        <v>251</v>
      </c>
      <c r="P570" s="1497">
        <f t="shared" si="46"/>
        <v>0</v>
      </c>
      <c r="Q570" s="1129">
        <f t="shared" si="47"/>
        <v>0</v>
      </c>
      <c r="R570" s="726"/>
      <c r="S570" s="727"/>
      <c r="T570" s="727"/>
      <c r="U570" s="727"/>
      <c r="V570" s="727"/>
      <c r="W570" s="727"/>
      <c r="X570" s="727"/>
      <c r="Y570" s="727"/>
      <c r="Z570" s="727"/>
      <c r="AA570" s="727"/>
      <c r="AB570" s="727"/>
      <c r="AC570" s="727"/>
      <c r="AD570" s="1129">
        <f t="shared" si="49"/>
        <v>0</v>
      </c>
      <c r="AE570" s="865">
        <f t="shared" si="50"/>
        <v>0</v>
      </c>
      <c r="AF570" s="866">
        <f t="shared" si="48"/>
        <v>983</v>
      </c>
    </row>
    <row r="571" spans="1:32" x14ac:dyDescent="0.3">
      <c r="A571" s="295" t="s">
        <v>1226</v>
      </c>
      <c r="B571" s="862" t="s">
        <v>2068</v>
      </c>
      <c r="C571" s="726"/>
      <c r="D571" s="727">
        <v>0</v>
      </c>
      <c r="E571" s="727"/>
      <c r="F571" s="727">
        <v>0</v>
      </c>
      <c r="G571" s="727">
        <v>0</v>
      </c>
      <c r="H571" s="727">
        <v>0</v>
      </c>
      <c r="I571" s="727">
        <v>0</v>
      </c>
      <c r="J571" s="727">
        <v>0</v>
      </c>
      <c r="K571" s="727"/>
      <c r="L571" s="727">
        <v>0</v>
      </c>
      <c r="M571" s="727">
        <v>60000</v>
      </c>
      <c r="N571" s="727">
        <v>0</v>
      </c>
      <c r="O571" s="727">
        <v>60000</v>
      </c>
      <c r="P571" s="1497">
        <f t="shared" si="46"/>
        <v>0</v>
      </c>
      <c r="Q571" s="1129">
        <f t="shared" si="47"/>
        <v>120000</v>
      </c>
      <c r="R571" s="726"/>
      <c r="S571" s="727"/>
      <c r="T571" s="727">
        <v>60000</v>
      </c>
      <c r="U571" s="727">
        <v>0</v>
      </c>
      <c r="V571" s="727">
        <v>0</v>
      </c>
      <c r="W571" s="727">
        <v>0</v>
      </c>
      <c r="X571" s="727">
        <v>0</v>
      </c>
      <c r="Y571" s="727">
        <v>0</v>
      </c>
      <c r="Z571" s="727"/>
      <c r="AA571" s="727"/>
      <c r="AB571" s="727"/>
      <c r="AC571" s="727"/>
      <c r="AD571" s="1129">
        <f t="shared" si="49"/>
        <v>60000</v>
      </c>
      <c r="AE571" s="865">
        <f t="shared" si="50"/>
        <v>1</v>
      </c>
      <c r="AF571" s="866">
        <f t="shared" si="48"/>
        <v>817</v>
      </c>
    </row>
    <row r="572" spans="1:32" x14ac:dyDescent="0.3">
      <c r="A572" s="295" t="s">
        <v>1226</v>
      </c>
      <c r="B572" s="862" t="s">
        <v>2069</v>
      </c>
      <c r="C572" s="726"/>
      <c r="D572" s="727" t="s">
        <v>251</v>
      </c>
      <c r="E572" s="727"/>
      <c r="F572" s="727" t="s">
        <v>251</v>
      </c>
      <c r="G572" s="727" t="s">
        <v>251</v>
      </c>
      <c r="H572" s="727" t="s">
        <v>251</v>
      </c>
      <c r="I572" s="727" t="s">
        <v>251</v>
      </c>
      <c r="J572" s="727" t="s">
        <v>251</v>
      </c>
      <c r="K572" s="727"/>
      <c r="L572" s="727" t="s">
        <v>251</v>
      </c>
      <c r="M572" s="727" t="s">
        <v>251</v>
      </c>
      <c r="N572" s="727" t="s">
        <v>251</v>
      </c>
      <c r="O572" s="727" t="s">
        <v>251</v>
      </c>
      <c r="P572" s="1497">
        <f t="shared" si="46"/>
        <v>0</v>
      </c>
      <c r="Q572" s="1129">
        <f t="shared" si="47"/>
        <v>0</v>
      </c>
      <c r="R572" s="726"/>
      <c r="S572" s="727"/>
      <c r="T572" s="727"/>
      <c r="U572" s="727"/>
      <c r="V572" s="727"/>
      <c r="W572" s="727"/>
      <c r="X572" s="727"/>
      <c r="Y572" s="727"/>
      <c r="Z572" s="727"/>
      <c r="AA572" s="727"/>
      <c r="AB572" s="727"/>
      <c r="AC572" s="727"/>
      <c r="AD572" s="1129">
        <f t="shared" si="49"/>
        <v>0</v>
      </c>
      <c r="AE572" s="865">
        <f t="shared" si="50"/>
        <v>0</v>
      </c>
      <c r="AF572" s="866">
        <f t="shared" si="48"/>
        <v>983</v>
      </c>
    </row>
    <row r="573" spans="1:32" x14ac:dyDescent="0.3">
      <c r="A573" s="295" t="s">
        <v>1226</v>
      </c>
      <c r="B573" s="862" t="s">
        <v>2070</v>
      </c>
      <c r="C573" s="726"/>
      <c r="D573" s="727" t="s">
        <v>251</v>
      </c>
      <c r="E573" s="727"/>
      <c r="F573" s="727" t="s">
        <v>251</v>
      </c>
      <c r="G573" s="727" t="s">
        <v>251</v>
      </c>
      <c r="H573" s="727" t="s">
        <v>251</v>
      </c>
      <c r="I573" s="727" t="s">
        <v>251</v>
      </c>
      <c r="J573" s="727" t="s">
        <v>251</v>
      </c>
      <c r="K573" s="727"/>
      <c r="L573" s="727" t="s">
        <v>251</v>
      </c>
      <c r="M573" s="727" t="s">
        <v>251</v>
      </c>
      <c r="N573" s="727" t="s">
        <v>251</v>
      </c>
      <c r="O573" s="727" t="s">
        <v>251</v>
      </c>
      <c r="P573" s="1497">
        <f t="shared" si="46"/>
        <v>0</v>
      </c>
      <c r="Q573" s="1129">
        <f t="shared" si="47"/>
        <v>0</v>
      </c>
      <c r="R573" s="726"/>
      <c r="S573" s="727"/>
      <c r="T573" s="727"/>
      <c r="U573" s="727"/>
      <c r="V573" s="727"/>
      <c r="W573" s="727"/>
      <c r="X573" s="727"/>
      <c r="Y573" s="727"/>
      <c r="Z573" s="727"/>
      <c r="AA573" s="727"/>
      <c r="AB573" s="727"/>
      <c r="AC573" s="727"/>
      <c r="AD573" s="1129">
        <f t="shared" si="49"/>
        <v>0</v>
      </c>
      <c r="AE573" s="865">
        <f t="shared" si="50"/>
        <v>0</v>
      </c>
      <c r="AF573" s="866">
        <f t="shared" si="48"/>
        <v>983</v>
      </c>
    </row>
    <row r="574" spans="1:32" x14ac:dyDescent="0.3">
      <c r="A574" s="295" t="s">
        <v>1226</v>
      </c>
      <c r="B574" s="862" t="s">
        <v>2071</v>
      </c>
      <c r="C574" s="726"/>
      <c r="D574" s="727">
        <v>0</v>
      </c>
      <c r="E574" s="727"/>
      <c r="F574" s="727">
        <v>0</v>
      </c>
      <c r="G574" s="727">
        <v>0</v>
      </c>
      <c r="H574" s="727">
        <v>555800</v>
      </c>
      <c r="I574" s="727">
        <v>1635600</v>
      </c>
      <c r="J574" s="727">
        <v>228200</v>
      </c>
      <c r="K574" s="727">
        <v>228200</v>
      </c>
      <c r="L574" s="727">
        <v>0</v>
      </c>
      <c r="M574" s="727">
        <v>0</v>
      </c>
      <c r="N574" s="727">
        <v>528000</v>
      </c>
      <c r="O574" s="727" t="s">
        <v>251</v>
      </c>
      <c r="P574" s="1497">
        <f t="shared" si="46"/>
        <v>2419600</v>
      </c>
      <c r="Q574" s="1129">
        <f t="shared" si="47"/>
        <v>2947600</v>
      </c>
      <c r="R574" s="726"/>
      <c r="S574" s="727"/>
      <c r="T574" s="727"/>
      <c r="U574" s="727"/>
      <c r="V574" s="727"/>
      <c r="W574" s="727">
        <v>594000</v>
      </c>
      <c r="X574" s="727">
        <v>1386000</v>
      </c>
      <c r="Y574" s="727">
        <v>1141800</v>
      </c>
      <c r="Z574" s="727"/>
      <c r="AA574" s="727"/>
      <c r="AB574" s="727"/>
      <c r="AC574" s="727"/>
      <c r="AD574" s="1129">
        <f t="shared" si="49"/>
        <v>3121800</v>
      </c>
      <c r="AE574" s="865">
        <f t="shared" si="50"/>
        <v>0.29021325838981649</v>
      </c>
      <c r="AF574" s="866">
        <f t="shared" si="48"/>
        <v>149</v>
      </c>
    </row>
    <row r="575" spans="1:32" x14ac:dyDescent="0.3">
      <c r="A575" s="295" t="s">
        <v>1226</v>
      </c>
      <c r="B575" s="862" t="s">
        <v>2072</v>
      </c>
      <c r="C575" s="726"/>
      <c r="D575" s="727">
        <v>0</v>
      </c>
      <c r="E575" s="727"/>
      <c r="F575" s="727">
        <v>0</v>
      </c>
      <c r="G575" s="727">
        <v>0</v>
      </c>
      <c r="H575" s="727">
        <v>563000</v>
      </c>
      <c r="I575" s="727">
        <v>685600</v>
      </c>
      <c r="J575" s="727">
        <v>0</v>
      </c>
      <c r="K575" s="727">
        <v>0</v>
      </c>
      <c r="L575" s="727">
        <v>0</v>
      </c>
      <c r="M575" s="727">
        <v>0</v>
      </c>
      <c r="N575" s="727">
        <v>0</v>
      </c>
      <c r="O575" s="727" t="s">
        <v>251</v>
      </c>
      <c r="P575" s="1497">
        <f t="shared" si="46"/>
        <v>1248600</v>
      </c>
      <c r="Q575" s="1129">
        <f t="shared" si="47"/>
        <v>1248600</v>
      </c>
      <c r="R575" s="726"/>
      <c r="S575" s="727"/>
      <c r="T575" s="727">
        <v>85800</v>
      </c>
      <c r="U575" s="727">
        <v>97800</v>
      </c>
      <c r="V575" s="727">
        <v>971400</v>
      </c>
      <c r="W575" s="727">
        <v>988400</v>
      </c>
      <c r="X575" s="727">
        <v>1118200</v>
      </c>
      <c r="Y575" s="727">
        <v>0</v>
      </c>
      <c r="Z575" s="727"/>
      <c r="AA575" s="727"/>
      <c r="AB575" s="727"/>
      <c r="AC575" s="727"/>
      <c r="AD575" s="1129">
        <f t="shared" si="49"/>
        <v>3261600</v>
      </c>
      <c r="AE575" s="865">
        <f t="shared" si="50"/>
        <v>1.612205670350793</v>
      </c>
      <c r="AF575" s="866">
        <f t="shared" si="48"/>
        <v>139</v>
      </c>
    </row>
    <row r="576" spans="1:32" x14ac:dyDescent="0.3">
      <c r="A576" s="295" t="s">
        <v>1226</v>
      </c>
      <c r="B576" s="862" t="s">
        <v>2073</v>
      </c>
      <c r="C576" s="726"/>
      <c r="D576" s="727">
        <v>0</v>
      </c>
      <c r="E576" s="727"/>
      <c r="F576" s="727">
        <v>0</v>
      </c>
      <c r="G576" s="727">
        <v>0</v>
      </c>
      <c r="H576" s="727">
        <v>175800</v>
      </c>
      <c r="I576" s="727">
        <v>0</v>
      </c>
      <c r="J576" s="727">
        <v>0</v>
      </c>
      <c r="K576" s="727">
        <v>0</v>
      </c>
      <c r="L576" s="727">
        <v>162000</v>
      </c>
      <c r="M576" s="727">
        <v>164800</v>
      </c>
      <c r="N576" s="727">
        <v>248000</v>
      </c>
      <c r="O576" s="727">
        <v>60800</v>
      </c>
      <c r="P576" s="1497">
        <f t="shared" si="46"/>
        <v>175800</v>
      </c>
      <c r="Q576" s="1129">
        <f t="shared" si="47"/>
        <v>811400</v>
      </c>
      <c r="R576" s="726">
        <v>113800</v>
      </c>
      <c r="S576" s="727"/>
      <c r="T576" s="727">
        <v>222000</v>
      </c>
      <c r="U576" s="727">
        <v>256000</v>
      </c>
      <c r="V576" s="727">
        <v>36200</v>
      </c>
      <c r="W576" s="727">
        <v>353000</v>
      </c>
      <c r="X576" s="727">
        <v>0</v>
      </c>
      <c r="Y576" s="727">
        <v>0</v>
      </c>
      <c r="Z576" s="727"/>
      <c r="AA576" s="727"/>
      <c r="AB576" s="727"/>
      <c r="AC576" s="727"/>
      <c r="AD576" s="1129">
        <f t="shared" si="49"/>
        <v>981000</v>
      </c>
      <c r="AE576" s="865">
        <f t="shared" si="50"/>
        <v>4.5802047781569968</v>
      </c>
      <c r="AF576" s="866">
        <f t="shared" si="48"/>
        <v>323</v>
      </c>
    </row>
    <row r="577" spans="1:32" x14ac:dyDescent="0.3">
      <c r="A577" s="295" t="s">
        <v>1226</v>
      </c>
      <c r="B577" s="862" t="s">
        <v>2074</v>
      </c>
      <c r="C577" s="726"/>
      <c r="D577" s="727">
        <v>0</v>
      </c>
      <c r="E577" s="727"/>
      <c r="F577" s="727">
        <v>0</v>
      </c>
      <c r="G577" s="727">
        <v>0</v>
      </c>
      <c r="H577" s="727">
        <v>234600</v>
      </c>
      <c r="I577" s="727">
        <v>0</v>
      </c>
      <c r="J577" s="727">
        <v>0</v>
      </c>
      <c r="K577" s="727">
        <v>0</v>
      </c>
      <c r="L577" s="727">
        <v>0</v>
      </c>
      <c r="M577" s="727">
        <v>0</v>
      </c>
      <c r="N577" s="727">
        <v>0</v>
      </c>
      <c r="O577" s="727" t="s">
        <v>251</v>
      </c>
      <c r="P577" s="1497">
        <f t="shared" si="46"/>
        <v>234600</v>
      </c>
      <c r="Q577" s="1129">
        <f t="shared" si="47"/>
        <v>234600</v>
      </c>
      <c r="R577" s="726"/>
      <c r="S577" s="727"/>
      <c r="T577" s="727"/>
      <c r="U577" s="727"/>
      <c r="V577" s="727">
        <v>220200</v>
      </c>
      <c r="W577" s="727">
        <v>0</v>
      </c>
      <c r="X577" s="727">
        <v>0</v>
      </c>
      <c r="Y577" s="727">
        <v>0</v>
      </c>
      <c r="Z577" s="727"/>
      <c r="AA577" s="727"/>
      <c r="AB577" s="727"/>
      <c r="AC577" s="727"/>
      <c r="AD577" s="1129">
        <f t="shared" si="49"/>
        <v>220200</v>
      </c>
      <c r="AE577" s="865">
        <f t="shared" si="50"/>
        <v>-6.1381074168797956E-2</v>
      </c>
      <c r="AF577" s="866">
        <f t="shared" si="48"/>
        <v>593</v>
      </c>
    </row>
    <row r="578" spans="1:32" x14ac:dyDescent="0.3">
      <c r="A578" s="295" t="s">
        <v>1226</v>
      </c>
      <c r="B578" s="862" t="s">
        <v>147</v>
      </c>
      <c r="C578" s="726"/>
      <c r="D578" s="727">
        <v>0</v>
      </c>
      <c r="E578" s="727"/>
      <c r="F578" s="727">
        <v>0</v>
      </c>
      <c r="G578" s="727">
        <v>0</v>
      </c>
      <c r="H578" s="727">
        <v>205600</v>
      </c>
      <c r="I578" s="727">
        <v>0</v>
      </c>
      <c r="J578" s="727">
        <v>0</v>
      </c>
      <c r="K578" s="727">
        <v>0</v>
      </c>
      <c r="L578" s="727">
        <v>0</v>
      </c>
      <c r="M578" s="727">
        <v>0</v>
      </c>
      <c r="N578" s="727">
        <v>0</v>
      </c>
      <c r="O578" s="727">
        <v>195600</v>
      </c>
      <c r="P578" s="1497">
        <f t="shared" si="46"/>
        <v>205600</v>
      </c>
      <c r="Q578" s="1129">
        <f t="shared" si="47"/>
        <v>401200</v>
      </c>
      <c r="R578" s="726"/>
      <c r="S578" s="727"/>
      <c r="T578" s="727"/>
      <c r="U578" s="727"/>
      <c r="V578" s="727"/>
      <c r="W578" s="727"/>
      <c r="X578" s="727"/>
      <c r="Y578" s="727"/>
      <c r="Z578" s="727"/>
      <c r="AA578" s="727"/>
      <c r="AB578" s="727"/>
      <c r="AC578" s="727"/>
      <c r="AD578" s="1129">
        <f t="shared" si="49"/>
        <v>0</v>
      </c>
      <c r="AE578" s="865">
        <f t="shared" si="50"/>
        <v>-1</v>
      </c>
      <c r="AF578" s="866">
        <f t="shared" si="48"/>
        <v>983</v>
      </c>
    </row>
    <row r="579" spans="1:32" x14ac:dyDescent="0.3">
      <c r="A579" s="295" t="s">
        <v>1226</v>
      </c>
      <c r="B579" s="862" t="s">
        <v>2075</v>
      </c>
      <c r="C579" s="726"/>
      <c r="D579" s="727">
        <v>0</v>
      </c>
      <c r="E579" s="727"/>
      <c r="F579" s="727">
        <v>0</v>
      </c>
      <c r="G579" s="727">
        <v>0</v>
      </c>
      <c r="H579" s="727">
        <v>73800</v>
      </c>
      <c r="I579" s="727">
        <v>0</v>
      </c>
      <c r="J579" s="727">
        <v>83800</v>
      </c>
      <c r="K579" s="727"/>
      <c r="L579" s="727">
        <v>0</v>
      </c>
      <c r="M579" s="727">
        <v>0</v>
      </c>
      <c r="N579" s="727">
        <v>60000</v>
      </c>
      <c r="O579" s="727" t="s">
        <v>251</v>
      </c>
      <c r="P579" s="1497">
        <f t="shared" si="46"/>
        <v>73800</v>
      </c>
      <c r="Q579" s="1129">
        <f t="shared" si="47"/>
        <v>217600</v>
      </c>
      <c r="R579" s="726"/>
      <c r="S579" s="727"/>
      <c r="T579" s="727"/>
      <c r="U579" s="727"/>
      <c r="V579" s="727"/>
      <c r="W579" s="727"/>
      <c r="X579" s="727"/>
      <c r="Y579" s="727"/>
      <c r="Z579" s="727"/>
      <c r="AA579" s="727"/>
      <c r="AB579" s="727"/>
      <c r="AC579" s="727"/>
      <c r="AD579" s="1129">
        <f t="shared" si="49"/>
        <v>0</v>
      </c>
      <c r="AE579" s="865">
        <f t="shared" si="50"/>
        <v>-1</v>
      </c>
      <c r="AF579" s="866">
        <f t="shared" si="48"/>
        <v>983</v>
      </c>
    </row>
    <row r="580" spans="1:32" x14ac:dyDescent="0.3">
      <c r="A580" s="295" t="s">
        <v>1226</v>
      </c>
      <c r="B580" s="862" t="s">
        <v>2076</v>
      </c>
      <c r="C580" s="726"/>
      <c r="D580" s="727">
        <v>0</v>
      </c>
      <c r="E580" s="727"/>
      <c r="F580" s="727">
        <v>0</v>
      </c>
      <c r="G580" s="727">
        <v>0</v>
      </c>
      <c r="H580" s="727">
        <v>142600</v>
      </c>
      <c r="I580" s="727">
        <v>0</v>
      </c>
      <c r="J580" s="727">
        <v>0</v>
      </c>
      <c r="K580" s="727">
        <v>0</v>
      </c>
      <c r="L580" s="727">
        <v>0</v>
      </c>
      <c r="M580" s="727">
        <v>0</v>
      </c>
      <c r="N580" s="727" t="s">
        <v>251</v>
      </c>
      <c r="O580" s="727" t="s">
        <v>251</v>
      </c>
      <c r="P580" s="1497">
        <f t="shared" ref="P580:P643" si="51">SUM(C580:I580,K580)</f>
        <v>142600</v>
      </c>
      <c r="Q580" s="1129">
        <f t="shared" ref="Q580:Q642" si="52">SUM(C580:J580,L580:O580)</f>
        <v>142600</v>
      </c>
      <c r="R580" s="726"/>
      <c r="S580" s="727">
        <v>95000</v>
      </c>
      <c r="T580" s="727">
        <v>0</v>
      </c>
      <c r="U580" s="727">
        <v>0</v>
      </c>
      <c r="V580" s="727">
        <v>83000</v>
      </c>
      <c r="W580" s="727">
        <v>0</v>
      </c>
      <c r="X580" s="727">
        <v>0</v>
      </c>
      <c r="Y580" s="727">
        <v>0</v>
      </c>
      <c r="Z580" s="727"/>
      <c r="AA580" s="727"/>
      <c r="AB580" s="727"/>
      <c r="AC580" s="727"/>
      <c r="AD580" s="1129">
        <f t="shared" si="49"/>
        <v>178000</v>
      </c>
      <c r="AE580" s="865">
        <f t="shared" si="50"/>
        <v>0.24824684431977559</v>
      </c>
      <c r="AF580" s="866">
        <f t="shared" ref="AF580:AF643" si="53">IFERROR(_xlfn.RANK.EQ(AD580, $AD$2:$AD$2064), "")</f>
        <v>641</v>
      </c>
    </row>
    <row r="581" spans="1:32" x14ac:dyDescent="0.3">
      <c r="A581" s="295" t="s">
        <v>1226</v>
      </c>
      <c r="B581" s="862" t="s">
        <v>2077</v>
      </c>
      <c r="C581" s="726"/>
      <c r="D581" s="727">
        <v>0</v>
      </c>
      <c r="E581" s="727"/>
      <c r="F581" s="727">
        <v>0</v>
      </c>
      <c r="G581" s="727">
        <v>0</v>
      </c>
      <c r="H581" s="727">
        <v>120000</v>
      </c>
      <c r="I581" s="727">
        <v>0</v>
      </c>
      <c r="J581" s="727">
        <v>0</v>
      </c>
      <c r="K581" s="727">
        <v>0</v>
      </c>
      <c r="L581" s="727">
        <v>0</v>
      </c>
      <c r="M581" s="727">
        <v>0</v>
      </c>
      <c r="N581" s="727">
        <v>0</v>
      </c>
      <c r="O581" s="727" t="s">
        <v>251</v>
      </c>
      <c r="P581" s="1497">
        <f t="shared" si="51"/>
        <v>120000</v>
      </c>
      <c r="Q581" s="1129">
        <f t="shared" si="52"/>
        <v>120000</v>
      </c>
      <c r="R581" s="726"/>
      <c r="S581" s="727"/>
      <c r="T581" s="727"/>
      <c r="U581" s="727"/>
      <c r="V581" s="727"/>
      <c r="W581" s="727"/>
      <c r="X581" s="727"/>
      <c r="Y581" s="727"/>
      <c r="Z581" s="727"/>
      <c r="AA581" s="727"/>
      <c r="AB581" s="727"/>
      <c r="AC581" s="727"/>
      <c r="AD581" s="1129">
        <f t="shared" si="49"/>
        <v>0</v>
      </c>
      <c r="AE581" s="865">
        <f t="shared" si="50"/>
        <v>-1</v>
      </c>
      <c r="AF581" s="866">
        <f t="shared" si="53"/>
        <v>983</v>
      </c>
    </row>
    <row r="582" spans="1:32" x14ac:dyDescent="0.3">
      <c r="A582" s="295" t="s">
        <v>1226</v>
      </c>
      <c r="B582" s="862" t="s">
        <v>2078</v>
      </c>
      <c r="C582" s="726"/>
      <c r="D582" s="727">
        <v>0</v>
      </c>
      <c r="E582" s="727"/>
      <c r="F582" s="727">
        <v>0</v>
      </c>
      <c r="G582" s="727">
        <v>0</v>
      </c>
      <c r="H582" s="727">
        <v>0</v>
      </c>
      <c r="I582" s="727">
        <v>2147600</v>
      </c>
      <c r="J582" s="727">
        <v>0</v>
      </c>
      <c r="K582" s="727">
        <v>0</v>
      </c>
      <c r="L582" s="727">
        <v>0</v>
      </c>
      <c r="M582" s="727">
        <v>0</v>
      </c>
      <c r="N582" s="727">
        <v>0</v>
      </c>
      <c r="O582" s="727" t="s">
        <v>251</v>
      </c>
      <c r="P582" s="1497">
        <f t="shared" si="51"/>
        <v>2147600</v>
      </c>
      <c r="Q582" s="1129">
        <f t="shared" si="52"/>
        <v>2147600</v>
      </c>
      <c r="R582" s="726"/>
      <c r="S582" s="727"/>
      <c r="T582" s="727"/>
      <c r="U582" s="727"/>
      <c r="V582" s="727"/>
      <c r="W582" s="727"/>
      <c r="X582" s="727"/>
      <c r="Y582" s="727"/>
      <c r="Z582" s="727"/>
      <c r="AA582" s="727"/>
      <c r="AB582" s="727"/>
      <c r="AC582" s="727"/>
      <c r="AD582" s="1129">
        <f t="shared" si="49"/>
        <v>0</v>
      </c>
      <c r="AE582" s="865">
        <f t="shared" si="50"/>
        <v>-1</v>
      </c>
      <c r="AF582" s="866">
        <f t="shared" si="53"/>
        <v>983</v>
      </c>
    </row>
    <row r="583" spans="1:32" x14ac:dyDescent="0.3">
      <c r="A583" s="295" t="s">
        <v>1226</v>
      </c>
      <c r="B583" s="862" t="s">
        <v>2079</v>
      </c>
      <c r="C583" s="726"/>
      <c r="D583" s="727">
        <v>0</v>
      </c>
      <c r="E583" s="727"/>
      <c r="F583" s="727">
        <v>0</v>
      </c>
      <c r="G583" s="727">
        <v>0</v>
      </c>
      <c r="H583" s="727">
        <v>0</v>
      </c>
      <c r="I583" s="727">
        <v>1050200</v>
      </c>
      <c r="J583" s="727">
        <v>0</v>
      </c>
      <c r="K583" s="727">
        <v>0</v>
      </c>
      <c r="L583" s="727">
        <v>0</v>
      </c>
      <c r="M583" s="727">
        <v>0</v>
      </c>
      <c r="N583" s="727">
        <v>0</v>
      </c>
      <c r="O583" s="727">
        <v>242700</v>
      </c>
      <c r="P583" s="1497">
        <f t="shared" si="51"/>
        <v>1050200</v>
      </c>
      <c r="Q583" s="1129">
        <f t="shared" si="52"/>
        <v>1292900</v>
      </c>
      <c r="R583" s="726"/>
      <c r="S583" s="727">
        <v>74600</v>
      </c>
      <c r="T583" s="727">
        <v>0</v>
      </c>
      <c r="U583" s="727">
        <v>0</v>
      </c>
      <c r="V583" s="727">
        <v>0</v>
      </c>
      <c r="W583" s="727">
        <v>0</v>
      </c>
      <c r="X583" s="727">
        <v>0</v>
      </c>
      <c r="Y583" s="727">
        <v>0</v>
      </c>
      <c r="Z583" s="727"/>
      <c r="AA583" s="727"/>
      <c r="AB583" s="727"/>
      <c r="AC583" s="727"/>
      <c r="AD583" s="1129">
        <f t="shared" si="49"/>
        <v>74600</v>
      </c>
      <c r="AE583" s="865">
        <f t="shared" si="50"/>
        <v>-0.92896591125499905</v>
      </c>
      <c r="AF583" s="866">
        <f t="shared" si="53"/>
        <v>788</v>
      </c>
    </row>
    <row r="584" spans="1:32" x14ac:dyDescent="0.3">
      <c r="A584" s="295" t="s">
        <v>1226</v>
      </c>
      <c r="B584" s="862" t="s">
        <v>2080</v>
      </c>
      <c r="C584" s="726"/>
      <c r="D584" s="727">
        <v>0</v>
      </c>
      <c r="E584" s="727"/>
      <c r="F584" s="727">
        <v>0</v>
      </c>
      <c r="G584" s="727">
        <v>0</v>
      </c>
      <c r="H584" s="727">
        <v>0</v>
      </c>
      <c r="I584" s="727">
        <v>478000</v>
      </c>
      <c r="J584" s="727">
        <v>0</v>
      </c>
      <c r="K584" s="727">
        <v>0</v>
      </c>
      <c r="L584" s="727">
        <v>0</v>
      </c>
      <c r="M584" s="727">
        <v>0</v>
      </c>
      <c r="N584" s="727">
        <v>161400</v>
      </c>
      <c r="O584" s="727" t="s">
        <v>251</v>
      </c>
      <c r="P584" s="1497">
        <f t="shared" si="51"/>
        <v>478000</v>
      </c>
      <c r="Q584" s="1129">
        <f t="shared" si="52"/>
        <v>639400</v>
      </c>
      <c r="R584" s="726"/>
      <c r="S584" s="727"/>
      <c r="T584" s="727">
        <v>170200</v>
      </c>
      <c r="U584" s="727">
        <v>73800</v>
      </c>
      <c r="V584" s="727">
        <v>744600</v>
      </c>
      <c r="W584" s="727">
        <v>0</v>
      </c>
      <c r="X584" s="727">
        <v>35000</v>
      </c>
      <c r="Y584" s="727">
        <v>73800</v>
      </c>
      <c r="Z584" s="727"/>
      <c r="AA584" s="727"/>
      <c r="AB584" s="727"/>
      <c r="AC584" s="727"/>
      <c r="AD584" s="1129">
        <f t="shared" si="49"/>
        <v>1097400</v>
      </c>
      <c r="AE584" s="865">
        <f t="shared" si="50"/>
        <v>1.29581589958159</v>
      </c>
      <c r="AF584" s="866">
        <f t="shared" si="53"/>
        <v>303</v>
      </c>
    </row>
    <row r="585" spans="1:32" x14ac:dyDescent="0.3">
      <c r="A585" s="295" t="s">
        <v>1226</v>
      </c>
      <c r="B585" s="862" t="s">
        <v>2081</v>
      </c>
      <c r="C585" s="726"/>
      <c r="D585" s="727" t="s">
        <v>251</v>
      </c>
      <c r="E585" s="727"/>
      <c r="F585" s="727">
        <v>0</v>
      </c>
      <c r="G585" s="727" t="s">
        <v>251</v>
      </c>
      <c r="H585" s="727" t="s">
        <v>251</v>
      </c>
      <c r="I585" s="727">
        <v>263200</v>
      </c>
      <c r="J585" s="727">
        <v>0</v>
      </c>
      <c r="K585" s="727">
        <v>0</v>
      </c>
      <c r="L585" s="727">
        <v>0</v>
      </c>
      <c r="M585" s="727">
        <v>0</v>
      </c>
      <c r="N585" s="727">
        <v>399800</v>
      </c>
      <c r="O585" s="727" t="s">
        <v>251</v>
      </c>
      <c r="P585" s="1497">
        <f t="shared" si="51"/>
        <v>263200</v>
      </c>
      <c r="Q585" s="1129">
        <f t="shared" si="52"/>
        <v>663000</v>
      </c>
      <c r="R585" s="726"/>
      <c r="S585" s="727"/>
      <c r="T585" s="727"/>
      <c r="U585" s="727"/>
      <c r="V585" s="727"/>
      <c r="W585" s="727">
        <v>55000</v>
      </c>
      <c r="X585" s="727">
        <v>17000</v>
      </c>
      <c r="Y585" s="727">
        <v>0</v>
      </c>
      <c r="Z585" s="727"/>
      <c r="AA585" s="727"/>
      <c r="AB585" s="727"/>
      <c r="AC585" s="727"/>
      <c r="AD585" s="1129">
        <f t="shared" si="49"/>
        <v>72000</v>
      </c>
      <c r="AE585" s="865">
        <f t="shared" si="50"/>
        <v>-0.7264437689969605</v>
      </c>
      <c r="AF585" s="866">
        <f t="shared" si="53"/>
        <v>794</v>
      </c>
    </row>
    <row r="586" spans="1:32" x14ac:dyDescent="0.3">
      <c r="A586" s="295" t="s">
        <v>1226</v>
      </c>
      <c r="B586" s="862" t="s">
        <v>2082</v>
      </c>
      <c r="C586" s="726"/>
      <c r="D586" s="727">
        <v>0</v>
      </c>
      <c r="E586" s="727"/>
      <c r="F586" s="727">
        <v>0</v>
      </c>
      <c r="G586" s="727">
        <v>0</v>
      </c>
      <c r="H586" s="727">
        <v>0</v>
      </c>
      <c r="I586" s="727">
        <v>0</v>
      </c>
      <c r="J586" s="727">
        <v>268200</v>
      </c>
      <c r="K586" s="727">
        <v>268200</v>
      </c>
      <c r="L586" s="727">
        <v>186000</v>
      </c>
      <c r="M586" s="727">
        <v>0</v>
      </c>
      <c r="N586" s="727">
        <v>0</v>
      </c>
      <c r="O586" s="727" t="s">
        <v>251</v>
      </c>
      <c r="P586" s="1497">
        <f t="shared" si="51"/>
        <v>268200</v>
      </c>
      <c r="Q586" s="1129">
        <f t="shared" si="52"/>
        <v>454200</v>
      </c>
      <c r="R586" s="726"/>
      <c r="S586" s="727"/>
      <c r="T586" s="727"/>
      <c r="U586" s="727"/>
      <c r="V586" s="727"/>
      <c r="W586" s="727">
        <v>926200</v>
      </c>
      <c r="X586" s="727">
        <v>189600</v>
      </c>
      <c r="Y586" s="727">
        <v>190200</v>
      </c>
      <c r="Z586" s="727"/>
      <c r="AA586" s="727"/>
      <c r="AB586" s="727"/>
      <c r="AC586" s="727"/>
      <c r="AD586" s="1129">
        <f t="shared" si="49"/>
        <v>1306000</v>
      </c>
      <c r="AE586" s="865">
        <f t="shared" si="50"/>
        <v>3.8695003728560775</v>
      </c>
      <c r="AF586" s="866">
        <f t="shared" si="53"/>
        <v>266</v>
      </c>
    </row>
    <row r="587" spans="1:32" x14ac:dyDescent="0.3">
      <c r="A587" s="295" t="s">
        <v>1226</v>
      </c>
      <c r="B587" s="862" t="s">
        <v>2083</v>
      </c>
      <c r="C587" s="726"/>
      <c r="D587" s="727">
        <v>0</v>
      </c>
      <c r="E587" s="727"/>
      <c r="F587" s="727">
        <v>0</v>
      </c>
      <c r="G587" s="727">
        <v>0</v>
      </c>
      <c r="H587" s="727">
        <v>0</v>
      </c>
      <c r="I587" s="727">
        <v>0</v>
      </c>
      <c r="J587" s="727">
        <v>442900</v>
      </c>
      <c r="K587" s="727">
        <v>442900</v>
      </c>
      <c r="L587" s="727">
        <v>0</v>
      </c>
      <c r="M587" s="727">
        <v>0</v>
      </c>
      <c r="N587" s="727">
        <v>115800</v>
      </c>
      <c r="O587" s="727">
        <v>512200</v>
      </c>
      <c r="P587" s="1497">
        <f t="shared" si="51"/>
        <v>442900</v>
      </c>
      <c r="Q587" s="1129">
        <f t="shared" si="52"/>
        <v>1070900</v>
      </c>
      <c r="R587" s="726"/>
      <c r="S587" s="727"/>
      <c r="T587" s="727"/>
      <c r="U587" s="727"/>
      <c r="V587" s="727"/>
      <c r="W587" s="727">
        <v>345400</v>
      </c>
      <c r="X587" s="727">
        <v>534800</v>
      </c>
      <c r="Y587" s="727">
        <v>119000</v>
      </c>
      <c r="Z587" s="727"/>
      <c r="AA587" s="727"/>
      <c r="AB587" s="727"/>
      <c r="AC587" s="727"/>
      <c r="AD587" s="1129">
        <f t="shared" si="49"/>
        <v>999200</v>
      </c>
      <c r="AE587" s="865">
        <f t="shared" si="50"/>
        <v>1.2560397380898622</v>
      </c>
      <c r="AF587" s="866">
        <f t="shared" si="53"/>
        <v>318</v>
      </c>
    </row>
    <row r="588" spans="1:32" x14ac:dyDescent="0.3">
      <c r="A588" s="295" t="s">
        <v>1226</v>
      </c>
      <c r="B588" s="862" t="s">
        <v>2084</v>
      </c>
      <c r="C588" s="726"/>
      <c r="D588" s="727">
        <v>0</v>
      </c>
      <c r="E588" s="727"/>
      <c r="F588" s="727">
        <v>0</v>
      </c>
      <c r="G588" s="727">
        <v>0</v>
      </c>
      <c r="H588" s="727">
        <v>0</v>
      </c>
      <c r="I588" s="727">
        <v>0</v>
      </c>
      <c r="J588" s="727">
        <v>366800</v>
      </c>
      <c r="K588" s="727">
        <v>366800</v>
      </c>
      <c r="L588" s="727">
        <v>0</v>
      </c>
      <c r="M588" s="727">
        <v>0</v>
      </c>
      <c r="N588" s="727">
        <v>0</v>
      </c>
      <c r="O588" s="727">
        <v>393000</v>
      </c>
      <c r="P588" s="1497">
        <f t="shared" si="51"/>
        <v>366800</v>
      </c>
      <c r="Q588" s="1129">
        <f t="shared" si="52"/>
        <v>759800</v>
      </c>
      <c r="R588" s="726">
        <v>206200</v>
      </c>
      <c r="S588" s="727"/>
      <c r="T588" s="727">
        <v>443400</v>
      </c>
      <c r="U588" s="727">
        <v>0</v>
      </c>
      <c r="V588" s="727">
        <v>0</v>
      </c>
      <c r="W588" s="727">
        <v>123600</v>
      </c>
      <c r="X588" s="727">
        <v>553200</v>
      </c>
      <c r="Y588" s="727">
        <v>0</v>
      </c>
      <c r="Z588" s="727"/>
      <c r="AA588" s="727"/>
      <c r="AB588" s="727"/>
      <c r="AC588" s="727"/>
      <c r="AD588" s="1129">
        <f t="shared" ref="AD588:AD668" si="54">SUM(R588:AC588)</f>
        <v>1326400</v>
      </c>
      <c r="AE588" s="865">
        <f t="shared" ref="AE588:AE668" si="55">IF(OR(AD588="", P588=""), 0, IFERROR((AD588-P588)/P588, IF(AD588&lt;&gt;0, 1, 0)))</f>
        <v>2.6161395856052345</v>
      </c>
      <c r="AF588" s="866">
        <f t="shared" si="53"/>
        <v>263</v>
      </c>
    </row>
    <row r="589" spans="1:32" x14ac:dyDescent="0.3">
      <c r="A589" s="295" t="s">
        <v>1226</v>
      </c>
      <c r="B589" s="862" t="s">
        <v>2085</v>
      </c>
      <c r="C589" s="726"/>
      <c r="D589" s="727">
        <v>0</v>
      </c>
      <c r="E589" s="727"/>
      <c r="F589" s="727">
        <v>0</v>
      </c>
      <c r="G589" s="727">
        <v>0</v>
      </c>
      <c r="H589" s="727">
        <v>0</v>
      </c>
      <c r="I589" s="727">
        <v>0</v>
      </c>
      <c r="J589" s="727">
        <v>87600</v>
      </c>
      <c r="K589" s="727">
        <v>87600</v>
      </c>
      <c r="L589" s="727">
        <v>87600</v>
      </c>
      <c r="M589" s="727">
        <v>0</v>
      </c>
      <c r="N589" s="727">
        <v>0</v>
      </c>
      <c r="O589" s="727">
        <v>60000</v>
      </c>
      <c r="P589" s="1497">
        <f t="shared" si="51"/>
        <v>87600</v>
      </c>
      <c r="Q589" s="1129">
        <f t="shared" si="52"/>
        <v>235200</v>
      </c>
      <c r="R589" s="726"/>
      <c r="S589" s="727"/>
      <c r="T589" s="727"/>
      <c r="U589" s="727"/>
      <c r="V589" s="727"/>
      <c r="W589" s="727"/>
      <c r="X589" s="727">
        <v>308600</v>
      </c>
      <c r="Y589" s="727">
        <v>0</v>
      </c>
      <c r="Z589" s="727"/>
      <c r="AA589" s="727"/>
      <c r="AB589" s="727"/>
      <c r="AC589" s="727"/>
      <c r="AD589" s="1129">
        <f t="shared" si="54"/>
        <v>308600</v>
      </c>
      <c r="AE589" s="865">
        <f t="shared" si="55"/>
        <v>2.5228310502283104</v>
      </c>
      <c r="AF589" s="866">
        <f t="shared" si="53"/>
        <v>527</v>
      </c>
    </row>
    <row r="590" spans="1:32" x14ac:dyDescent="0.3">
      <c r="A590" s="295" t="s">
        <v>1226</v>
      </c>
      <c r="B590" s="862" t="s">
        <v>2086</v>
      </c>
      <c r="C590" s="726"/>
      <c r="D590" s="727">
        <v>0</v>
      </c>
      <c r="E590" s="727"/>
      <c r="F590" s="727">
        <v>0</v>
      </c>
      <c r="G590" s="727" t="s">
        <v>251</v>
      </c>
      <c r="H590" s="727" t="s">
        <v>251</v>
      </c>
      <c r="I590" s="727">
        <v>0</v>
      </c>
      <c r="J590" s="727">
        <v>114000</v>
      </c>
      <c r="K590" s="727">
        <v>114000</v>
      </c>
      <c r="L590" s="727">
        <v>0</v>
      </c>
      <c r="M590" s="727">
        <v>0</v>
      </c>
      <c r="N590" s="727">
        <v>0</v>
      </c>
      <c r="O590" s="727" t="s">
        <v>251</v>
      </c>
      <c r="P590" s="1497">
        <f t="shared" si="51"/>
        <v>114000</v>
      </c>
      <c r="Q590" s="1129">
        <f t="shared" si="52"/>
        <v>114000</v>
      </c>
      <c r="R590" s="726"/>
      <c r="S590" s="727"/>
      <c r="T590" s="727"/>
      <c r="U590" s="727"/>
      <c r="V590" s="727"/>
      <c r="W590" s="727"/>
      <c r="X590" s="727"/>
      <c r="Y590" s="727"/>
      <c r="Z590" s="727"/>
      <c r="AA590" s="727"/>
      <c r="AB590" s="727"/>
      <c r="AC590" s="727"/>
      <c r="AD590" s="1129">
        <f t="shared" si="54"/>
        <v>0</v>
      </c>
      <c r="AE590" s="865">
        <f t="shared" si="55"/>
        <v>-1</v>
      </c>
      <c r="AF590" s="866">
        <f t="shared" si="53"/>
        <v>983</v>
      </c>
    </row>
    <row r="591" spans="1:32" x14ac:dyDescent="0.3">
      <c r="A591" s="295" t="s">
        <v>1226</v>
      </c>
      <c r="B591" s="862" t="s">
        <v>2087</v>
      </c>
      <c r="C591" s="726"/>
      <c r="D591" s="727">
        <v>0</v>
      </c>
      <c r="E591" s="727"/>
      <c r="F591" s="727">
        <v>0</v>
      </c>
      <c r="G591" s="727">
        <v>0</v>
      </c>
      <c r="H591" s="727">
        <v>0</v>
      </c>
      <c r="I591" s="727">
        <v>0</v>
      </c>
      <c r="J591" s="727">
        <v>84000</v>
      </c>
      <c r="K591" s="727">
        <v>84000</v>
      </c>
      <c r="L591" s="727">
        <v>0</v>
      </c>
      <c r="M591" s="727">
        <v>0</v>
      </c>
      <c r="N591" s="727">
        <v>0</v>
      </c>
      <c r="O591" s="727" t="s">
        <v>251</v>
      </c>
      <c r="P591" s="1497">
        <f t="shared" si="51"/>
        <v>84000</v>
      </c>
      <c r="Q591" s="1129">
        <f t="shared" si="52"/>
        <v>84000</v>
      </c>
      <c r="R591" s="726"/>
      <c r="S591" s="727"/>
      <c r="T591" s="727"/>
      <c r="U591" s="727"/>
      <c r="V591" s="727">
        <v>631200</v>
      </c>
      <c r="W591" s="727">
        <v>0</v>
      </c>
      <c r="X591" s="727">
        <v>0</v>
      </c>
      <c r="Y591" s="727">
        <v>0</v>
      </c>
      <c r="Z591" s="727"/>
      <c r="AA591" s="727"/>
      <c r="AB591" s="727"/>
      <c r="AC591" s="727"/>
      <c r="AD591" s="1129">
        <f t="shared" si="54"/>
        <v>631200</v>
      </c>
      <c r="AE591" s="865">
        <f t="shared" si="55"/>
        <v>6.5142857142857142</v>
      </c>
      <c r="AF591" s="866">
        <f t="shared" si="53"/>
        <v>400</v>
      </c>
    </row>
    <row r="592" spans="1:32" x14ac:dyDescent="0.3">
      <c r="A592" s="295" t="s">
        <v>1226</v>
      </c>
      <c r="B592" s="862" t="s">
        <v>2088</v>
      </c>
      <c r="C592" s="726"/>
      <c r="D592" s="727">
        <v>0</v>
      </c>
      <c r="E592" s="727"/>
      <c r="F592" s="727">
        <v>0</v>
      </c>
      <c r="G592" s="727">
        <v>0</v>
      </c>
      <c r="H592" s="727">
        <v>0</v>
      </c>
      <c r="I592" s="727">
        <v>0</v>
      </c>
      <c r="J592" s="727">
        <v>0</v>
      </c>
      <c r="K592" s="727"/>
      <c r="L592" s="727">
        <v>203200</v>
      </c>
      <c r="M592" s="727">
        <v>1986000</v>
      </c>
      <c r="N592" s="727">
        <v>1913100</v>
      </c>
      <c r="O592" s="727">
        <v>207600</v>
      </c>
      <c r="P592" s="1497">
        <f t="shared" si="51"/>
        <v>0</v>
      </c>
      <c r="Q592" s="1129">
        <f t="shared" si="52"/>
        <v>4309900</v>
      </c>
      <c r="R592" s="726"/>
      <c r="S592" s="727"/>
      <c r="T592" s="727"/>
      <c r="U592" s="727"/>
      <c r="V592" s="727"/>
      <c r="W592" s="727"/>
      <c r="X592" s="727"/>
      <c r="Y592" s="727"/>
      <c r="Z592" s="727"/>
      <c r="AA592" s="727"/>
      <c r="AB592" s="727"/>
      <c r="AC592" s="727"/>
      <c r="AD592" s="1129">
        <f t="shared" si="54"/>
        <v>0</v>
      </c>
      <c r="AE592" s="865">
        <f t="shared" si="55"/>
        <v>0</v>
      </c>
      <c r="AF592" s="866">
        <f t="shared" si="53"/>
        <v>983</v>
      </c>
    </row>
    <row r="593" spans="1:32" x14ac:dyDescent="0.3">
      <c r="A593" s="295" t="s">
        <v>1226</v>
      </c>
      <c r="B593" s="862" t="s">
        <v>2042</v>
      </c>
      <c r="C593" s="726"/>
      <c r="D593" s="727">
        <v>0</v>
      </c>
      <c r="E593" s="727"/>
      <c r="F593" s="727">
        <v>0</v>
      </c>
      <c r="G593" s="727">
        <v>0</v>
      </c>
      <c r="H593" s="727">
        <v>0</v>
      </c>
      <c r="I593" s="727">
        <v>0</v>
      </c>
      <c r="J593" s="727">
        <v>0</v>
      </c>
      <c r="K593" s="727"/>
      <c r="L593" s="727">
        <v>1024600</v>
      </c>
      <c r="M593" s="727">
        <v>23600</v>
      </c>
      <c r="N593" s="727">
        <v>1901300</v>
      </c>
      <c r="O593" s="727">
        <v>328400</v>
      </c>
      <c r="P593" s="1497">
        <f t="shared" si="51"/>
        <v>0</v>
      </c>
      <c r="Q593" s="1129">
        <f t="shared" si="52"/>
        <v>3277900</v>
      </c>
      <c r="R593" s="726">
        <v>863600</v>
      </c>
      <c r="S593" s="727">
        <v>997000</v>
      </c>
      <c r="T593" s="727">
        <v>0</v>
      </c>
      <c r="U593" s="727"/>
      <c r="V593" s="727"/>
      <c r="W593" s="727"/>
      <c r="X593" s="727"/>
      <c r="Y593" s="727"/>
      <c r="Z593" s="727"/>
      <c r="AA593" s="727"/>
      <c r="AB593" s="727"/>
      <c r="AC593" s="727"/>
      <c r="AD593" s="1129">
        <f t="shared" si="54"/>
        <v>1860600</v>
      </c>
      <c r="AE593" s="865">
        <f t="shared" si="55"/>
        <v>1</v>
      </c>
      <c r="AF593" s="866">
        <f t="shared" si="53"/>
        <v>222</v>
      </c>
    </row>
    <row r="594" spans="1:32" x14ac:dyDescent="0.3">
      <c r="A594" s="295" t="s">
        <v>1226</v>
      </c>
      <c r="B594" s="862" t="s">
        <v>2089</v>
      </c>
      <c r="C594" s="726"/>
      <c r="D594" s="727">
        <v>0</v>
      </c>
      <c r="E594" s="727"/>
      <c r="F594" s="727">
        <v>0</v>
      </c>
      <c r="G594" s="727">
        <v>0</v>
      </c>
      <c r="H594" s="727">
        <v>0</v>
      </c>
      <c r="I594" s="727">
        <v>0</v>
      </c>
      <c r="J594" s="727">
        <v>0</v>
      </c>
      <c r="K594" s="727"/>
      <c r="L594" s="727">
        <v>264800</v>
      </c>
      <c r="M594" s="727">
        <v>0</v>
      </c>
      <c r="N594" s="727">
        <v>0</v>
      </c>
      <c r="O594" s="727" t="s">
        <v>251</v>
      </c>
      <c r="P594" s="1497">
        <f t="shared" si="51"/>
        <v>0</v>
      </c>
      <c r="Q594" s="1129">
        <f t="shared" si="52"/>
        <v>264800</v>
      </c>
      <c r="R594" s="726"/>
      <c r="S594" s="727"/>
      <c r="T594" s="727"/>
      <c r="U594" s="727"/>
      <c r="V594" s="727">
        <v>154600</v>
      </c>
      <c r="W594" s="727">
        <v>154600</v>
      </c>
      <c r="X594" s="727">
        <v>0</v>
      </c>
      <c r="Y594" s="727">
        <v>258400</v>
      </c>
      <c r="Z594" s="727"/>
      <c r="AA594" s="727"/>
      <c r="AB594" s="727"/>
      <c r="AC594" s="727"/>
      <c r="AD594" s="1129">
        <f t="shared" si="54"/>
        <v>567600</v>
      </c>
      <c r="AE594" s="865">
        <f t="shared" si="55"/>
        <v>1</v>
      </c>
      <c r="AF594" s="866">
        <f t="shared" si="53"/>
        <v>415</v>
      </c>
    </row>
    <row r="595" spans="1:32" x14ac:dyDescent="0.3">
      <c r="A595" s="295" t="s">
        <v>1226</v>
      </c>
      <c r="B595" s="862" t="s">
        <v>1365</v>
      </c>
      <c r="C595" s="726"/>
      <c r="D595" s="727">
        <v>0</v>
      </c>
      <c r="E595" s="727"/>
      <c r="F595" s="727">
        <v>0</v>
      </c>
      <c r="G595" s="727">
        <v>0</v>
      </c>
      <c r="H595" s="727">
        <v>0</v>
      </c>
      <c r="I595" s="727">
        <v>0</v>
      </c>
      <c r="J595" s="727">
        <v>0</v>
      </c>
      <c r="K595" s="727"/>
      <c r="L595" s="727">
        <v>32600</v>
      </c>
      <c r="M595" s="727">
        <v>120000</v>
      </c>
      <c r="N595" s="727">
        <v>0</v>
      </c>
      <c r="O595" s="727" t="s">
        <v>251</v>
      </c>
      <c r="P595" s="1497">
        <f t="shared" si="51"/>
        <v>0</v>
      </c>
      <c r="Q595" s="1129">
        <f t="shared" si="52"/>
        <v>152600</v>
      </c>
      <c r="R595" s="726"/>
      <c r="S595" s="727">
        <v>37600</v>
      </c>
      <c r="T595" s="727">
        <v>0</v>
      </c>
      <c r="U595" s="727">
        <v>0</v>
      </c>
      <c r="V595" s="727">
        <v>0</v>
      </c>
      <c r="W595" s="727">
        <v>37600</v>
      </c>
      <c r="X595" s="727">
        <v>0</v>
      </c>
      <c r="Y595" s="727">
        <v>0</v>
      </c>
      <c r="Z595" s="727"/>
      <c r="AA595" s="727"/>
      <c r="AB595" s="727"/>
      <c r="AC595" s="727"/>
      <c r="AD595" s="1129">
        <f t="shared" si="54"/>
        <v>75200</v>
      </c>
      <c r="AE595" s="865">
        <f t="shared" si="55"/>
        <v>1</v>
      </c>
      <c r="AF595" s="866">
        <f t="shared" si="53"/>
        <v>782</v>
      </c>
    </row>
    <row r="596" spans="1:32" x14ac:dyDescent="0.3">
      <c r="A596" s="295" t="s">
        <v>1226</v>
      </c>
      <c r="B596" s="862" t="s">
        <v>2090</v>
      </c>
      <c r="C596" s="726"/>
      <c r="D596" s="727">
        <v>0</v>
      </c>
      <c r="E596" s="727"/>
      <c r="F596" s="727">
        <v>0</v>
      </c>
      <c r="G596" s="727">
        <v>0</v>
      </c>
      <c r="H596" s="727">
        <v>0</v>
      </c>
      <c r="I596" s="727">
        <v>0</v>
      </c>
      <c r="J596" s="727">
        <v>0</v>
      </c>
      <c r="K596" s="727"/>
      <c r="L596" s="727">
        <v>120000</v>
      </c>
      <c r="M596" s="727">
        <v>60000</v>
      </c>
      <c r="N596" s="727">
        <v>0</v>
      </c>
      <c r="O596" s="727" t="s">
        <v>251</v>
      </c>
      <c r="P596" s="1497">
        <f t="shared" si="51"/>
        <v>0</v>
      </c>
      <c r="Q596" s="1129">
        <f t="shared" si="52"/>
        <v>180000</v>
      </c>
      <c r="R596" s="726"/>
      <c r="S596" s="727"/>
      <c r="T596" s="727"/>
      <c r="U596" s="727"/>
      <c r="V596" s="727"/>
      <c r="W596" s="727"/>
      <c r="X596" s="727"/>
      <c r="Y596" s="727"/>
      <c r="Z596" s="727"/>
      <c r="AA596" s="727"/>
      <c r="AB596" s="727"/>
      <c r="AC596" s="727"/>
      <c r="AD596" s="1129">
        <f t="shared" si="54"/>
        <v>0</v>
      </c>
      <c r="AE596" s="865">
        <f t="shared" si="55"/>
        <v>0</v>
      </c>
      <c r="AF596" s="866">
        <f t="shared" si="53"/>
        <v>983</v>
      </c>
    </row>
    <row r="597" spans="1:32" x14ac:dyDescent="0.3">
      <c r="A597" s="295" t="s">
        <v>1226</v>
      </c>
      <c r="B597" s="862" t="s">
        <v>2091</v>
      </c>
      <c r="C597" s="726"/>
      <c r="D597" s="727">
        <v>0</v>
      </c>
      <c r="E597" s="727"/>
      <c r="F597" s="727">
        <v>0</v>
      </c>
      <c r="G597" s="727">
        <v>0</v>
      </c>
      <c r="H597" s="727">
        <v>0</v>
      </c>
      <c r="I597" s="727">
        <v>0</v>
      </c>
      <c r="J597" s="727">
        <v>0</v>
      </c>
      <c r="K597" s="727"/>
      <c r="L597" s="727">
        <v>63400</v>
      </c>
      <c r="M597" s="727">
        <v>0</v>
      </c>
      <c r="N597" s="727">
        <v>0</v>
      </c>
      <c r="O597" s="727" t="s">
        <v>251</v>
      </c>
      <c r="P597" s="1497">
        <f t="shared" si="51"/>
        <v>0</v>
      </c>
      <c r="Q597" s="1129">
        <f t="shared" si="52"/>
        <v>63400</v>
      </c>
      <c r="R597" s="726">
        <v>35000</v>
      </c>
      <c r="S597" s="727"/>
      <c r="T597" s="727">
        <v>0</v>
      </c>
      <c r="U597" s="727">
        <v>0</v>
      </c>
      <c r="V597" s="727">
        <v>0</v>
      </c>
      <c r="W597" s="727">
        <v>0</v>
      </c>
      <c r="X597" s="727">
        <v>0</v>
      </c>
      <c r="Y597" s="727">
        <v>0</v>
      </c>
      <c r="Z597" s="727"/>
      <c r="AA597" s="727"/>
      <c r="AB597" s="727"/>
      <c r="AC597" s="727"/>
      <c r="AD597" s="1129">
        <f t="shared" si="54"/>
        <v>35000</v>
      </c>
      <c r="AE597" s="865">
        <f t="shared" si="55"/>
        <v>1</v>
      </c>
      <c r="AF597" s="866">
        <f t="shared" si="53"/>
        <v>880</v>
      </c>
    </row>
    <row r="598" spans="1:32" x14ac:dyDescent="0.3">
      <c r="A598" s="295" t="s">
        <v>1226</v>
      </c>
      <c r="B598" s="862" t="s">
        <v>2092</v>
      </c>
      <c r="C598" s="726"/>
      <c r="D598" s="727">
        <v>0</v>
      </c>
      <c r="E598" s="727"/>
      <c r="F598" s="727">
        <v>0</v>
      </c>
      <c r="G598" s="727">
        <v>0</v>
      </c>
      <c r="H598" s="727">
        <v>0</v>
      </c>
      <c r="I598" s="727">
        <v>0</v>
      </c>
      <c r="J598" s="727">
        <v>0</v>
      </c>
      <c r="K598" s="727"/>
      <c r="L598" s="727">
        <v>60000</v>
      </c>
      <c r="M598" s="727">
        <v>0</v>
      </c>
      <c r="N598" s="727">
        <v>0</v>
      </c>
      <c r="O598" s="727" t="s">
        <v>251</v>
      </c>
      <c r="P598" s="1497">
        <f t="shared" si="51"/>
        <v>0</v>
      </c>
      <c r="Q598" s="1129">
        <f t="shared" si="52"/>
        <v>60000</v>
      </c>
      <c r="R598" s="726"/>
      <c r="S598" s="727"/>
      <c r="T598" s="727"/>
      <c r="U598" s="727"/>
      <c r="V598" s="727"/>
      <c r="W598" s="727"/>
      <c r="X598" s="727"/>
      <c r="Y598" s="727"/>
      <c r="Z598" s="727"/>
      <c r="AA598" s="727"/>
      <c r="AB598" s="727"/>
      <c r="AC598" s="727"/>
      <c r="AD598" s="1129">
        <f t="shared" si="54"/>
        <v>0</v>
      </c>
      <c r="AE598" s="865">
        <f t="shared" si="55"/>
        <v>0</v>
      </c>
      <c r="AF598" s="866">
        <f t="shared" si="53"/>
        <v>983</v>
      </c>
    </row>
    <row r="599" spans="1:32" x14ac:dyDescent="0.3">
      <c r="A599" s="295" t="s">
        <v>1226</v>
      </c>
      <c r="B599" s="862" t="s">
        <v>2093</v>
      </c>
      <c r="C599" s="726"/>
      <c r="D599" s="727">
        <v>0</v>
      </c>
      <c r="E599" s="727"/>
      <c r="F599" s="727">
        <v>0</v>
      </c>
      <c r="G599" s="727">
        <v>0</v>
      </c>
      <c r="H599" s="727">
        <v>0</v>
      </c>
      <c r="I599" s="727">
        <v>0</v>
      </c>
      <c r="J599" s="727">
        <v>0</v>
      </c>
      <c r="K599" s="727"/>
      <c r="L599" s="727">
        <v>60000</v>
      </c>
      <c r="M599" s="727">
        <v>0</v>
      </c>
      <c r="N599" s="727">
        <v>0</v>
      </c>
      <c r="O599" s="727" t="s">
        <v>251</v>
      </c>
      <c r="P599" s="1497">
        <f t="shared" si="51"/>
        <v>0</v>
      </c>
      <c r="Q599" s="1129">
        <f t="shared" si="52"/>
        <v>60000</v>
      </c>
      <c r="R599" s="726"/>
      <c r="S599" s="727"/>
      <c r="T599" s="727"/>
      <c r="U599" s="727"/>
      <c r="V599" s="727"/>
      <c r="W599" s="727"/>
      <c r="X599" s="727"/>
      <c r="Y599" s="727">
        <v>127200</v>
      </c>
      <c r="Z599" s="727"/>
      <c r="AA599" s="727"/>
      <c r="AB599" s="727"/>
      <c r="AC599" s="727"/>
      <c r="AD599" s="1129">
        <f t="shared" si="54"/>
        <v>127200</v>
      </c>
      <c r="AE599" s="865">
        <f t="shared" si="55"/>
        <v>1</v>
      </c>
      <c r="AF599" s="866">
        <f t="shared" si="53"/>
        <v>701</v>
      </c>
    </row>
    <row r="600" spans="1:32" x14ac:dyDescent="0.3">
      <c r="A600" s="295" t="s">
        <v>1226</v>
      </c>
      <c r="B600" s="862" t="s">
        <v>2094</v>
      </c>
      <c r="C600" s="726"/>
      <c r="D600" s="727">
        <v>0</v>
      </c>
      <c r="E600" s="727"/>
      <c r="F600" s="727">
        <v>0</v>
      </c>
      <c r="G600" s="727">
        <v>0</v>
      </c>
      <c r="H600" s="727">
        <v>0</v>
      </c>
      <c r="I600" s="727">
        <v>0</v>
      </c>
      <c r="J600" s="727">
        <v>0</v>
      </c>
      <c r="K600" s="727"/>
      <c r="L600" s="727">
        <v>20600</v>
      </c>
      <c r="M600" s="727">
        <v>0</v>
      </c>
      <c r="N600" s="727">
        <v>0</v>
      </c>
      <c r="O600" s="727" t="s">
        <v>251</v>
      </c>
      <c r="P600" s="1497">
        <f t="shared" si="51"/>
        <v>0</v>
      </c>
      <c r="Q600" s="1129">
        <f t="shared" si="52"/>
        <v>20600</v>
      </c>
      <c r="R600" s="726"/>
      <c r="S600" s="727"/>
      <c r="T600" s="727"/>
      <c r="U600" s="727"/>
      <c r="V600" s="727"/>
      <c r="W600" s="727">
        <v>126600</v>
      </c>
      <c r="X600" s="727">
        <v>137400</v>
      </c>
      <c r="Y600" s="727">
        <v>560600</v>
      </c>
      <c r="Z600" s="727"/>
      <c r="AA600" s="727"/>
      <c r="AB600" s="727"/>
      <c r="AC600" s="727"/>
      <c r="AD600" s="1129">
        <f t="shared" si="54"/>
        <v>824600</v>
      </c>
      <c r="AE600" s="865">
        <f t="shared" si="55"/>
        <v>1</v>
      </c>
      <c r="AF600" s="866">
        <f t="shared" si="53"/>
        <v>349</v>
      </c>
    </row>
    <row r="601" spans="1:32" x14ac:dyDescent="0.3">
      <c r="A601" s="295" t="s">
        <v>1226</v>
      </c>
      <c r="B601" s="862" t="s">
        <v>2095</v>
      </c>
      <c r="C601" s="726"/>
      <c r="D601" s="727">
        <v>0</v>
      </c>
      <c r="E601" s="727"/>
      <c r="F601" s="727">
        <v>0</v>
      </c>
      <c r="G601" s="727">
        <v>0</v>
      </c>
      <c r="H601" s="727">
        <v>0</v>
      </c>
      <c r="I601" s="727">
        <v>0</v>
      </c>
      <c r="J601" s="727">
        <v>0</v>
      </c>
      <c r="K601" s="727"/>
      <c r="L601" s="727">
        <v>18800</v>
      </c>
      <c r="M601" s="727">
        <v>0</v>
      </c>
      <c r="N601" s="727">
        <v>0</v>
      </c>
      <c r="O601" s="727">
        <v>46400</v>
      </c>
      <c r="P601" s="1497">
        <f t="shared" si="51"/>
        <v>0</v>
      </c>
      <c r="Q601" s="1129">
        <f t="shared" si="52"/>
        <v>65200</v>
      </c>
      <c r="R601" s="726"/>
      <c r="S601" s="727"/>
      <c r="T601" s="727"/>
      <c r="U601" s="727"/>
      <c r="V601" s="727"/>
      <c r="W601" s="727"/>
      <c r="X601" s="727"/>
      <c r="Y601" s="727"/>
      <c r="Z601" s="727"/>
      <c r="AA601" s="727"/>
      <c r="AB601" s="727"/>
      <c r="AC601" s="727"/>
      <c r="AD601" s="1129">
        <f t="shared" si="54"/>
        <v>0</v>
      </c>
      <c r="AE601" s="865">
        <f t="shared" si="55"/>
        <v>0</v>
      </c>
      <c r="AF601" s="866">
        <f t="shared" si="53"/>
        <v>983</v>
      </c>
    </row>
    <row r="602" spans="1:32" x14ac:dyDescent="0.3">
      <c r="A602" s="295" t="s">
        <v>1226</v>
      </c>
      <c r="B602" s="862" t="s">
        <v>2096</v>
      </c>
      <c r="C602" s="726"/>
      <c r="D602" s="727">
        <v>0</v>
      </c>
      <c r="E602" s="727"/>
      <c r="F602" s="727">
        <v>0</v>
      </c>
      <c r="G602" s="727">
        <v>0</v>
      </c>
      <c r="H602" s="727">
        <v>0</v>
      </c>
      <c r="I602" s="727">
        <v>0</v>
      </c>
      <c r="J602" s="727">
        <v>0</v>
      </c>
      <c r="K602" s="727"/>
      <c r="L602" s="727">
        <v>0</v>
      </c>
      <c r="M602" s="727">
        <v>219600</v>
      </c>
      <c r="N602" s="727">
        <v>0</v>
      </c>
      <c r="O602" s="727" t="s">
        <v>251</v>
      </c>
      <c r="P602" s="1497">
        <f t="shared" si="51"/>
        <v>0</v>
      </c>
      <c r="Q602" s="1129">
        <f t="shared" si="52"/>
        <v>219600</v>
      </c>
      <c r="R602" s="726"/>
      <c r="S602" s="727"/>
      <c r="T602" s="727"/>
      <c r="U602" s="727"/>
      <c r="V602" s="727"/>
      <c r="W602" s="727"/>
      <c r="X602" s="727"/>
      <c r="Y602" s="727"/>
      <c r="Z602" s="727"/>
      <c r="AA602" s="727"/>
      <c r="AB602" s="727"/>
      <c r="AC602" s="727"/>
      <c r="AD602" s="1129">
        <f t="shared" si="54"/>
        <v>0</v>
      </c>
      <c r="AE602" s="865">
        <f t="shared" si="55"/>
        <v>0</v>
      </c>
      <c r="AF602" s="866">
        <f t="shared" si="53"/>
        <v>983</v>
      </c>
    </row>
    <row r="603" spans="1:32" x14ac:dyDescent="0.3">
      <c r="A603" s="295" t="s">
        <v>1226</v>
      </c>
      <c r="B603" s="862" t="s">
        <v>2097</v>
      </c>
      <c r="C603" s="726"/>
      <c r="D603" s="727">
        <v>0</v>
      </c>
      <c r="E603" s="727"/>
      <c r="F603" s="727">
        <v>0</v>
      </c>
      <c r="G603" s="727">
        <v>0</v>
      </c>
      <c r="H603" s="727">
        <v>0</v>
      </c>
      <c r="I603" s="727">
        <v>0</v>
      </c>
      <c r="J603" s="727">
        <v>0</v>
      </c>
      <c r="K603" s="727"/>
      <c r="L603" s="727">
        <v>0</v>
      </c>
      <c r="M603" s="727">
        <v>156000</v>
      </c>
      <c r="N603" s="727">
        <v>0</v>
      </c>
      <c r="O603" s="727" t="s">
        <v>251</v>
      </c>
      <c r="P603" s="1497">
        <f t="shared" si="51"/>
        <v>0</v>
      </c>
      <c r="Q603" s="1129">
        <f t="shared" si="52"/>
        <v>156000</v>
      </c>
      <c r="R603" s="726"/>
      <c r="S603" s="727"/>
      <c r="T603" s="727"/>
      <c r="U603" s="727"/>
      <c r="V603" s="727"/>
      <c r="W603" s="727">
        <v>301200</v>
      </c>
      <c r="X603" s="727">
        <v>126200</v>
      </c>
      <c r="Y603" s="727">
        <v>0</v>
      </c>
      <c r="Z603" s="727"/>
      <c r="AA603" s="727"/>
      <c r="AB603" s="727"/>
      <c r="AC603" s="727"/>
      <c r="AD603" s="1129">
        <f t="shared" si="54"/>
        <v>427400</v>
      </c>
      <c r="AE603" s="865">
        <f t="shared" si="55"/>
        <v>1</v>
      </c>
      <c r="AF603" s="866">
        <f t="shared" si="53"/>
        <v>470</v>
      </c>
    </row>
    <row r="604" spans="1:32" x14ac:dyDescent="0.3">
      <c r="A604" s="295" t="s">
        <v>1226</v>
      </c>
      <c r="B604" s="862" t="s">
        <v>2098</v>
      </c>
      <c r="C604" s="726"/>
      <c r="D604" s="727">
        <v>0</v>
      </c>
      <c r="E604" s="727"/>
      <c r="F604" s="727">
        <v>0</v>
      </c>
      <c r="G604" s="727">
        <v>0</v>
      </c>
      <c r="H604" s="727">
        <v>0</v>
      </c>
      <c r="I604" s="727">
        <v>0</v>
      </c>
      <c r="J604" s="727">
        <v>0</v>
      </c>
      <c r="K604" s="727"/>
      <c r="L604" s="727">
        <v>0</v>
      </c>
      <c r="M604" s="727">
        <v>42400</v>
      </c>
      <c r="N604" s="727">
        <v>290400</v>
      </c>
      <c r="O604" s="727" t="s">
        <v>251</v>
      </c>
      <c r="P604" s="1497">
        <f t="shared" si="51"/>
        <v>0</v>
      </c>
      <c r="Q604" s="1129">
        <f t="shared" si="52"/>
        <v>332800</v>
      </c>
      <c r="R604" s="726"/>
      <c r="S604" s="727"/>
      <c r="T604" s="727"/>
      <c r="U604" s="727"/>
      <c r="V604" s="727"/>
      <c r="W604" s="727"/>
      <c r="X604" s="727"/>
      <c r="Y604" s="727"/>
      <c r="Z604" s="727"/>
      <c r="AA604" s="727"/>
      <c r="AB604" s="727"/>
      <c r="AC604" s="727"/>
      <c r="AD604" s="1129">
        <f t="shared" si="54"/>
        <v>0</v>
      </c>
      <c r="AE604" s="865">
        <f t="shared" si="55"/>
        <v>0</v>
      </c>
      <c r="AF604" s="866">
        <f t="shared" si="53"/>
        <v>983</v>
      </c>
    </row>
    <row r="605" spans="1:32" x14ac:dyDescent="0.3">
      <c r="A605" s="295" t="s">
        <v>1226</v>
      </c>
      <c r="B605" s="862" t="s">
        <v>2099</v>
      </c>
      <c r="C605" s="726"/>
      <c r="D605" s="727">
        <v>0</v>
      </c>
      <c r="E605" s="727"/>
      <c r="F605" s="727">
        <v>0</v>
      </c>
      <c r="G605" s="727">
        <v>0</v>
      </c>
      <c r="H605" s="727">
        <v>0</v>
      </c>
      <c r="I605" s="727">
        <v>0</v>
      </c>
      <c r="J605" s="727">
        <v>0</v>
      </c>
      <c r="K605" s="727"/>
      <c r="L605" s="727">
        <v>0</v>
      </c>
      <c r="M605" s="727">
        <v>27200</v>
      </c>
      <c r="N605" s="727">
        <v>0</v>
      </c>
      <c r="O605" s="727">
        <v>673400</v>
      </c>
      <c r="P605" s="1497">
        <f t="shared" si="51"/>
        <v>0</v>
      </c>
      <c r="Q605" s="1129">
        <f t="shared" si="52"/>
        <v>700600</v>
      </c>
      <c r="R605" s="726"/>
      <c r="S605" s="727"/>
      <c r="T605" s="727"/>
      <c r="U605" s="727"/>
      <c r="V605" s="727"/>
      <c r="W605" s="727"/>
      <c r="X605" s="727"/>
      <c r="Y605" s="727"/>
      <c r="Z605" s="727"/>
      <c r="AA605" s="727"/>
      <c r="AB605" s="727"/>
      <c r="AC605" s="727"/>
      <c r="AD605" s="1129">
        <f t="shared" si="54"/>
        <v>0</v>
      </c>
      <c r="AE605" s="865">
        <f t="shared" si="55"/>
        <v>0</v>
      </c>
      <c r="AF605" s="866">
        <f t="shared" si="53"/>
        <v>983</v>
      </c>
    </row>
    <row r="606" spans="1:32" x14ac:dyDescent="0.3">
      <c r="A606" s="295" t="s">
        <v>1226</v>
      </c>
      <c r="B606" s="862" t="s">
        <v>2100</v>
      </c>
      <c r="C606" s="726"/>
      <c r="D606" s="727" t="s">
        <v>251</v>
      </c>
      <c r="E606" s="727"/>
      <c r="F606" s="727" t="s">
        <v>251</v>
      </c>
      <c r="G606" s="727" t="s">
        <v>251</v>
      </c>
      <c r="H606" s="727" t="s">
        <v>251</v>
      </c>
      <c r="I606" s="727" t="s">
        <v>251</v>
      </c>
      <c r="J606" s="727" t="s">
        <v>251</v>
      </c>
      <c r="K606" s="727"/>
      <c r="L606" s="727" t="s">
        <v>251</v>
      </c>
      <c r="M606" s="727" t="s">
        <v>251</v>
      </c>
      <c r="N606" s="727" t="s">
        <v>251</v>
      </c>
      <c r="O606" s="727" t="s">
        <v>251</v>
      </c>
      <c r="P606" s="1497">
        <f t="shared" si="51"/>
        <v>0</v>
      </c>
      <c r="Q606" s="1129">
        <f t="shared" si="52"/>
        <v>0</v>
      </c>
      <c r="R606" s="726"/>
      <c r="S606" s="727"/>
      <c r="T606" s="727"/>
      <c r="U606" s="727"/>
      <c r="V606" s="727">
        <v>85800</v>
      </c>
      <c r="W606" s="727">
        <v>85800</v>
      </c>
      <c r="X606" s="727">
        <v>0</v>
      </c>
      <c r="Y606" s="727">
        <v>0</v>
      </c>
      <c r="Z606" s="727"/>
      <c r="AA606" s="727"/>
      <c r="AB606" s="727"/>
      <c r="AC606" s="727"/>
      <c r="AD606" s="1129">
        <f t="shared" si="54"/>
        <v>171600</v>
      </c>
      <c r="AE606" s="865">
        <f t="shared" si="55"/>
        <v>1</v>
      </c>
      <c r="AF606" s="866">
        <f t="shared" si="53"/>
        <v>648</v>
      </c>
    </row>
    <row r="607" spans="1:32" x14ac:dyDescent="0.3">
      <c r="A607" s="295" t="s">
        <v>1226</v>
      </c>
      <c r="B607" s="862" t="s">
        <v>2101</v>
      </c>
      <c r="C607" s="726"/>
      <c r="D607" s="727" t="s">
        <v>251</v>
      </c>
      <c r="E607" s="727"/>
      <c r="F607" s="727" t="s">
        <v>251</v>
      </c>
      <c r="G607" s="727" t="s">
        <v>251</v>
      </c>
      <c r="H607" s="727" t="s">
        <v>251</v>
      </c>
      <c r="I607" s="727" t="s">
        <v>251</v>
      </c>
      <c r="J607" s="727" t="s">
        <v>251</v>
      </c>
      <c r="K607" s="727"/>
      <c r="L607" s="727" t="s">
        <v>251</v>
      </c>
      <c r="M607" s="727" t="s">
        <v>251</v>
      </c>
      <c r="N607" s="727" t="s">
        <v>251</v>
      </c>
      <c r="O607" s="727" t="s">
        <v>251</v>
      </c>
      <c r="P607" s="1497">
        <f t="shared" si="51"/>
        <v>0</v>
      </c>
      <c r="Q607" s="1129">
        <f t="shared" si="52"/>
        <v>0</v>
      </c>
      <c r="R607" s="726"/>
      <c r="S607" s="727"/>
      <c r="T607" s="727"/>
      <c r="U607" s="727"/>
      <c r="V607" s="727"/>
      <c r="W607" s="727"/>
      <c r="X607" s="727"/>
      <c r="Y607" s="727"/>
      <c r="Z607" s="727"/>
      <c r="AA607" s="727"/>
      <c r="AB607" s="727"/>
      <c r="AC607" s="727"/>
      <c r="AD607" s="1129">
        <f t="shared" si="54"/>
        <v>0</v>
      </c>
      <c r="AE607" s="865">
        <f t="shared" si="55"/>
        <v>0</v>
      </c>
      <c r="AF607" s="866">
        <f t="shared" si="53"/>
        <v>983</v>
      </c>
    </row>
    <row r="608" spans="1:32" x14ac:dyDescent="0.3">
      <c r="A608" s="295" t="s">
        <v>1226</v>
      </c>
      <c r="B608" s="862" t="s">
        <v>2102</v>
      </c>
      <c r="C608" s="726"/>
      <c r="D608" s="727" t="s">
        <v>251</v>
      </c>
      <c r="E608" s="727"/>
      <c r="F608" s="727" t="s">
        <v>251</v>
      </c>
      <c r="G608" s="727" t="s">
        <v>251</v>
      </c>
      <c r="H608" s="727" t="s">
        <v>251</v>
      </c>
      <c r="I608" s="727" t="s">
        <v>251</v>
      </c>
      <c r="J608" s="727" t="s">
        <v>251</v>
      </c>
      <c r="K608" s="727"/>
      <c r="L608" s="727" t="s">
        <v>251</v>
      </c>
      <c r="M608" s="727" t="s">
        <v>251</v>
      </c>
      <c r="N608" s="727" t="s">
        <v>251</v>
      </c>
      <c r="O608" s="727" t="s">
        <v>251</v>
      </c>
      <c r="P608" s="1497">
        <f t="shared" si="51"/>
        <v>0</v>
      </c>
      <c r="Q608" s="1129">
        <f t="shared" si="52"/>
        <v>0</v>
      </c>
      <c r="R608" s="726"/>
      <c r="S608" s="727"/>
      <c r="T608" s="727"/>
      <c r="U608" s="727"/>
      <c r="V608" s="727"/>
      <c r="W608" s="727"/>
      <c r="X608" s="727"/>
      <c r="Y608" s="727"/>
      <c r="Z608" s="727"/>
      <c r="AA608" s="727"/>
      <c r="AB608" s="727"/>
      <c r="AC608" s="727"/>
      <c r="AD608" s="1129">
        <f t="shared" si="54"/>
        <v>0</v>
      </c>
      <c r="AE608" s="865">
        <f t="shared" si="55"/>
        <v>0</v>
      </c>
      <c r="AF608" s="866">
        <f t="shared" si="53"/>
        <v>983</v>
      </c>
    </row>
    <row r="609" spans="1:32" x14ac:dyDescent="0.3">
      <c r="A609" s="295" t="s">
        <v>1226</v>
      </c>
      <c r="B609" s="862" t="s">
        <v>1226</v>
      </c>
      <c r="C609" s="726"/>
      <c r="D609" s="727" t="s">
        <v>251</v>
      </c>
      <c r="E609" s="727"/>
      <c r="F609" s="727" t="s">
        <v>251</v>
      </c>
      <c r="G609" s="727" t="s">
        <v>251</v>
      </c>
      <c r="H609" s="727" t="s">
        <v>251</v>
      </c>
      <c r="I609" s="727" t="s">
        <v>251</v>
      </c>
      <c r="J609" s="727" t="s">
        <v>251</v>
      </c>
      <c r="K609" s="727"/>
      <c r="L609" s="727" t="s">
        <v>251</v>
      </c>
      <c r="M609" s="727" t="s">
        <v>251</v>
      </c>
      <c r="N609" s="727" t="s">
        <v>251</v>
      </c>
      <c r="O609" s="727" t="s">
        <v>251</v>
      </c>
      <c r="P609" s="1497">
        <f t="shared" si="51"/>
        <v>0</v>
      </c>
      <c r="Q609" s="1129">
        <f t="shared" si="52"/>
        <v>0</v>
      </c>
      <c r="R609" s="726"/>
      <c r="S609" s="727"/>
      <c r="T609" s="727"/>
      <c r="U609" s="727"/>
      <c r="V609" s="727"/>
      <c r="W609" s="727"/>
      <c r="X609" s="727"/>
      <c r="Y609" s="727"/>
      <c r="Z609" s="727"/>
      <c r="AA609" s="727"/>
      <c r="AB609" s="727"/>
      <c r="AC609" s="727"/>
      <c r="AD609" s="1129">
        <f t="shared" si="54"/>
        <v>0</v>
      </c>
      <c r="AE609" s="865">
        <f t="shared" si="55"/>
        <v>0</v>
      </c>
      <c r="AF609" s="866">
        <f t="shared" si="53"/>
        <v>983</v>
      </c>
    </row>
    <row r="610" spans="1:32" x14ac:dyDescent="0.3">
      <c r="A610" s="295" t="s">
        <v>1226</v>
      </c>
      <c r="B610" s="862" t="s">
        <v>2103</v>
      </c>
      <c r="C610" s="726"/>
      <c r="D610" s="727" t="s">
        <v>251</v>
      </c>
      <c r="E610" s="727"/>
      <c r="F610" s="727" t="s">
        <v>251</v>
      </c>
      <c r="G610" s="727" t="s">
        <v>251</v>
      </c>
      <c r="H610" s="727" t="s">
        <v>251</v>
      </c>
      <c r="I610" s="727" t="s">
        <v>251</v>
      </c>
      <c r="J610" s="727" t="s">
        <v>251</v>
      </c>
      <c r="K610" s="727"/>
      <c r="L610" s="727" t="s">
        <v>251</v>
      </c>
      <c r="M610" s="727" t="s">
        <v>251</v>
      </c>
      <c r="N610" s="727" t="s">
        <v>251</v>
      </c>
      <c r="O610" s="727" t="s">
        <v>251</v>
      </c>
      <c r="P610" s="1497">
        <f t="shared" si="51"/>
        <v>0</v>
      </c>
      <c r="Q610" s="1129">
        <f t="shared" si="52"/>
        <v>0</v>
      </c>
      <c r="R610" s="726"/>
      <c r="S610" s="727"/>
      <c r="T610" s="727"/>
      <c r="U610" s="727"/>
      <c r="V610" s="727"/>
      <c r="W610" s="727"/>
      <c r="X610" s="727"/>
      <c r="Y610" s="727"/>
      <c r="Z610" s="727"/>
      <c r="AA610" s="727"/>
      <c r="AB610" s="727"/>
      <c r="AC610" s="727"/>
      <c r="AD610" s="1129">
        <f t="shared" si="54"/>
        <v>0</v>
      </c>
      <c r="AE610" s="865">
        <f t="shared" si="55"/>
        <v>0</v>
      </c>
      <c r="AF610" s="866">
        <f t="shared" si="53"/>
        <v>983</v>
      </c>
    </row>
    <row r="611" spans="1:32" x14ac:dyDescent="0.3">
      <c r="A611" s="295" t="s">
        <v>1226</v>
      </c>
      <c r="B611" s="862" t="s">
        <v>2104</v>
      </c>
      <c r="C611" s="726"/>
      <c r="D611" s="727" t="s">
        <v>251</v>
      </c>
      <c r="E611" s="727"/>
      <c r="F611" s="727" t="s">
        <v>251</v>
      </c>
      <c r="G611" s="727" t="s">
        <v>251</v>
      </c>
      <c r="H611" s="727" t="s">
        <v>251</v>
      </c>
      <c r="I611" s="727" t="s">
        <v>251</v>
      </c>
      <c r="J611" s="727" t="s">
        <v>251</v>
      </c>
      <c r="K611" s="727"/>
      <c r="L611" s="727" t="s">
        <v>251</v>
      </c>
      <c r="M611" s="727" t="s">
        <v>251</v>
      </c>
      <c r="N611" s="727" t="s">
        <v>251</v>
      </c>
      <c r="O611" s="727" t="s">
        <v>251</v>
      </c>
      <c r="P611" s="1497">
        <f t="shared" si="51"/>
        <v>0</v>
      </c>
      <c r="Q611" s="1129">
        <f t="shared" si="52"/>
        <v>0</v>
      </c>
      <c r="R611" s="726"/>
      <c r="S611" s="727"/>
      <c r="T611" s="727"/>
      <c r="U611" s="727"/>
      <c r="V611" s="727"/>
      <c r="W611" s="727"/>
      <c r="X611" s="727"/>
      <c r="Y611" s="727"/>
      <c r="Z611" s="727"/>
      <c r="AA611" s="727"/>
      <c r="AB611" s="727"/>
      <c r="AC611" s="727"/>
      <c r="AD611" s="1129">
        <f t="shared" si="54"/>
        <v>0</v>
      </c>
      <c r="AE611" s="865">
        <f t="shared" si="55"/>
        <v>0</v>
      </c>
      <c r="AF611" s="866">
        <f t="shared" si="53"/>
        <v>983</v>
      </c>
    </row>
    <row r="612" spans="1:32" x14ac:dyDescent="0.3">
      <c r="A612" s="295" t="s">
        <v>1226</v>
      </c>
      <c r="B612" s="862" t="s">
        <v>2105</v>
      </c>
      <c r="C612" s="726"/>
      <c r="D612" s="727">
        <v>0</v>
      </c>
      <c r="E612" s="727"/>
      <c r="F612" s="727">
        <v>0</v>
      </c>
      <c r="G612" s="727">
        <v>0</v>
      </c>
      <c r="H612" s="727">
        <v>0</v>
      </c>
      <c r="I612" s="727">
        <v>0</v>
      </c>
      <c r="J612" s="727">
        <v>0</v>
      </c>
      <c r="K612" s="727"/>
      <c r="L612" s="727">
        <v>0</v>
      </c>
      <c r="M612" s="727">
        <v>0</v>
      </c>
      <c r="N612" s="727">
        <v>167600</v>
      </c>
      <c r="O612" s="727">
        <v>575000</v>
      </c>
      <c r="P612" s="1497">
        <f t="shared" si="51"/>
        <v>0</v>
      </c>
      <c r="Q612" s="1129">
        <f t="shared" si="52"/>
        <v>742600</v>
      </c>
      <c r="R612" s="726">
        <v>29000</v>
      </c>
      <c r="S612" s="727"/>
      <c r="T612" s="727">
        <v>0</v>
      </c>
      <c r="U612" s="727">
        <v>0</v>
      </c>
      <c r="V612" s="727">
        <v>0</v>
      </c>
      <c r="W612" s="727">
        <v>0</v>
      </c>
      <c r="X612" s="727">
        <v>0</v>
      </c>
      <c r="Y612" s="727">
        <v>0</v>
      </c>
      <c r="Z612" s="727"/>
      <c r="AA612" s="727"/>
      <c r="AB612" s="727"/>
      <c r="AC612" s="727"/>
      <c r="AD612" s="1129">
        <f t="shared" si="54"/>
        <v>29000</v>
      </c>
      <c r="AE612" s="865">
        <f t="shared" si="55"/>
        <v>1</v>
      </c>
      <c r="AF612" s="866">
        <f t="shared" si="53"/>
        <v>898</v>
      </c>
    </row>
    <row r="613" spans="1:32" x14ac:dyDescent="0.3">
      <c r="A613" s="295" t="s">
        <v>1226</v>
      </c>
      <c r="B613" s="862" t="s">
        <v>2106</v>
      </c>
      <c r="C613" s="726"/>
      <c r="D613" s="727">
        <v>0</v>
      </c>
      <c r="E613" s="727"/>
      <c r="F613" s="727">
        <v>0</v>
      </c>
      <c r="G613" s="727">
        <v>0</v>
      </c>
      <c r="H613" s="727">
        <v>0</v>
      </c>
      <c r="I613" s="727">
        <v>0</v>
      </c>
      <c r="J613" s="727">
        <v>0</v>
      </c>
      <c r="K613" s="727"/>
      <c r="L613" s="727">
        <v>0</v>
      </c>
      <c r="M613" s="727">
        <v>0</v>
      </c>
      <c r="N613" s="727">
        <v>150400</v>
      </c>
      <c r="O613" s="727" t="s">
        <v>251</v>
      </c>
      <c r="P613" s="1497">
        <f t="shared" si="51"/>
        <v>0</v>
      </c>
      <c r="Q613" s="1129">
        <f t="shared" si="52"/>
        <v>150400</v>
      </c>
      <c r="R613" s="726">
        <v>60000</v>
      </c>
      <c r="S613" s="727"/>
      <c r="T613" s="727">
        <v>0</v>
      </c>
      <c r="U613" s="727">
        <v>0</v>
      </c>
      <c r="V613" s="727">
        <v>0</v>
      </c>
      <c r="W613" s="727">
        <v>0</v>
      </c>
      <c r="X613" s="727">
        <v>0</v>
      </c>
      <c r="Y613" s="727">
        <v>87500</v>
      </c>
      <c r="Z613" s="727"/>
      <c r="AA613" s="727"/>
      <c r="AB613" s="727"/>
      <c r="AC613" s="727"/>
      <c r="AD613" s="1129">
        <f t="shared" si="54"/>
        <v>147500</v>
      </c>
      <c r="AE613" s="865">
        <f t="shared" si="55"/>
        <v>1</v>
      </c>
      <c r="AF613" s="866">
        <f t="shared" si="53"/>
        <v>678</v>
      </c>
    </row>
    <row r="614" spans="1:32" x14ac:dyDescent="0.3">
      <c r="A614" s="295" t="s">
        <v>1226</v>
      </c>
      <c r="B614" s="862" t="s">
        <v>2107</v>
      </c>
      <c r="C614" s="726"/>
      <c r="D614" s="727">
        <v>0</v>
      </c>
      <c r="E614" s="727"/>
      <c r="F614" s="727">
        <v>0</v>
      </c>
      <c r="G614" s="727">
        <v>0</v>
      </c>
      <c r="H614" s="727">
        <v>0</v>
      </c>
      <c r="I614" s="727">
        <v>0</v>
      </c>
      <c r="J614" s="727">
        <v>0</v>
      </c>
      <c r="K614" s="727"/>
      <c r="L614" s="727">
        <v>0</v>
      </c>
      <c r="M614" s="727">
        <v>0</v>
      </c>
      <c r="N614" s="727">
        <v>120000</v>
      </c>
      <c r="O614" s="727" t="s">
        <v>251</v>
      </c>
      <c r="P614" s="1497">
        <f t="shared" si="51"/>
        <v>0</v>
      </c>
      <c r="Q614" s="1129">
        <f t="shared" si="52"/>
        <v>120000</v>
      </c>
      <c r="R614" s="726"/>
      <c r="S614" s="727"/>
      <c r="T614" s="727"/>
      <c r="U614" s="727"/>
      <c r="V614" s="727"/>
      <c r="W614" s="727">
        <v>120000</v>
      </c>
      <c r="X614" s="727">
        <v>63600</v>
      </c>
      <c r="Y614" s="727">
        <v>73800</v>
      </c>
      <c r="Z614" s="727"/>
      <c r="AA614" s="727"/>
      <c r="AB614" s="727"/>
      <c r="AC614" s="727"/>
      <c r="AD614" s="1129">
        <f t="shared" si="54"/>
        <v>257400</v>
      </c>
      <c r="AE614" s="865">
        <f t="shared" si="55"/>
        <v>1</v>
      </c>
      <c r="AF614" s="866">
        <f t="shared" si="53"/>
        <v>559</v>
      </c>
    </row>
    <row r="615" spans="1:32" x14ac:dyDescent="0.3">
      <c r="A615" s="295" t="s">
        <v>1226</v>
      </c>
      <c r="B615" s="862" t="s">
        <v>2108</v>
      </c>
      <c r="C615" s="726"/>
      <c r="D615" s="727">
        <v>0</v>
      </c>
      <c r="E615" s="727"/>
      <c r="F615" s="727">
        <v>0</v>
      </c>
      <c r="G615" s="727">
        <v>0</v>
      </c>
      <c r="H615" s="727">
        <v>0</v>
      </c>
      <c r="I615" s="727">
        <v>0</v>
      </c>
      <c r="J615" s="727">
        <v>0</v>
      </c>
      <c r="K615" s="727"/>
      <c r="L615" s="727">
        <v>0</v>
      </c>
      <c r="M615" s="727">
        <v>0</v>
      </c>
      <c r="N615" s="727">
        <v>46400</v>
      </c>
      <c r="O615" s="727" t="s">
        <v>251</v>
      </c>
      <c r="P615" s="1497">
        <f t="shared" si="51"/>
        <v>0</v>
      </c>
      <c r="Q615" s="1129">
        <f t="shared" si="52"/>
        <v>46400</v>
      </c>
      <c r="R615" s="726"/>
      <c r="S615" s="727"/>
      <c r="T615" s="727">
        <v>46400</v>
      </c>
      <c r="U615" s="727">
        <v>0</v>
      </c>
      <c r="V615" s="727">
        <v>0</v>
      </c>
      <c r="W615" s="727">
        <v>0</v>
      </c>
      <c r="X615" s="727">
        <v>0</v>
      </c>
      <c r="Y615" s="727">
        <v>0</v>
      </c>
      <c r="Z615" s="727"/>
      <c r="AA615" s="727"/>
      <c r="AB615" s="727"/>
      <c r="AC615" s="727"/>
      <c r="AD615" s="1129">
        <f t="shared" si="54"/>
        <v>46400</v>
      </c>
      <c r="AE615" s="865">
        <f t="shared" si="55"/>
        <v>1</v>
      </c>
      <c r="AF615" s="866">
        <f t="shared" si="53"/>
        <v>853</v>
      </c>
    </row>
    <row r="616" spans="1:32" x14ac:dyDescent="0.3">
      <c r="A616" s="295" t="s">
        <v>1226</v>
      </c>
      <c r="B616" s="862" t="s">
        <v>2358</v>
      </c>
      <c r="C616" s="726"/>
      <c r="D616" s="727" t="s">
        <v>251</v>
      </c>
      <c r="E616" s="727"/>
      <c r="F616" s="727" t="s">
        <v>251</v>
      </c>
      <c r="G616" s="727" t="s">
        <v>251</v>
      </c>
      <c r="H616" s="727" t="s">
        <v>251</v>
      </c>
      <c r="I616" s="727" t="s">
        <v>251</v>
      </c>
      <c r="J616" s="727" t="s">
        <v>251</v>
      </c>
      <c r="K616" s="727"/>
      <c r="L616" s="727" t="s">
        <v>251</v>
      </c>
      <c r="M616" s="727" t="s">
        <v>251</v>
      </c>
      <c r="N616" s="727"/>
      <c r="O616" s="727">
        <v>707000</v>
      </c>
      <c r="P616" s="1497">
        <f t="shared" si="51"/>
        <v>0</v>
      </c>
      <c r="Q616" s="1129">
        <f t="shared" si="52"/>
        <v>707000</v>
      </c>
      <c r="R616" s="726"/>
      <c r="S616" s="727"/>
      <c r="T616" s="727"/>
      <c r="U616" s="727"/>
      <c r="V616" s="727"/>
      <c r="W616" s="727"/>
      <c r="X616" s="727">
        <v>69600</v>
      </c>
      <c r="Y616" s="727">
        <v>0</v>
      </c>
      <c r="Z616" s="727"/>
      <c r="AA616" s="727"/>
      <c r="AB616" s="727"/>
      <c r="AC616" s="727"/>
      <c r="AD616" s="1129">
        <f t="shared" si="54"/>
        <v>69600</v>
      </c>
      <c r="AE616" s="865">
        <f t="shared" si="55"/>
        <v>1</v>
      </c>
      <c r="AF616" s="866">
        <f t="shared" si="53"/>
        <v>799</v>
      </c>
    </row>
    <row r="617" spans="1:32" x14ac:dyDescent="0.3">
      <c r="A617" s="295" t="s">
        <v>1226</v>
      </c>
      <c r="B617" s="862" t="s">
        <v>2388</v>
      </c>
      <c r="C617" s="726"/>
      <c r="D617" s="727" t="s">
        <v>251</v>
      </c>
      <c r="E617" s="727"/>
      <c r="F617" s="727"/>
      <c r="G617" s="727" t="s">
        <v>251</v>
      </c>
      <c r="H617" s="727" t="s">
        <v>251</v>
      </c>
      <c r="I617" s="727" t="s">
        <v>251</v>
      </c>
      <c r="J617" s="727"/>
      <c r="K617" s="727"/>
      <c r="L617" s="727"/>
      <c r="M617" s="727"/>
      <c r="N617" s="727"/>
      <c r="O617" s="727">
        <v>239000</v>
      </c>
      <c r="P617" s="1497">
        <f t="shared" si="51"/>
        <v>0</v>
      </c>
      <c r="Q617" s="1129">
        <f t="shared" si="52"/>
        <v>239000</v>
      </c>
      <c r="R617" s="726"/>
      <c r="S617" s="727"/>
      <c r="T617" s="727"/>
      <c r="U617" s="727"/>
      <c r="V617" s="727"/>
      <c r="W617" s="727"/>
      <c r="X617" s="727"/>
      <c r="Y617" s="727">
        <v>239000</v>
      </c>
      <c r="Z617" s="727"/>
      <c r="AA617" s="727"/>
      <c r="AB617" s="727"/>
      <c r="AC617" s="727"/>
      <c r="AD617" s="1129">
        <f t="shared" si="54"/>
        <v>239000</v>
      </c>
      <c r="AE617" s="865">
        <f t="shared" si="55"/>
        <v>1</v>
      </c>
      <c r="AF617" s="866">
        <f t="shared" si="53"/>
        <v>578</v>
      </c>
    </row>
    <row r="618" spans="1:32" x14ac:dyDescent="0.3">
      <c r="A618" s="295" t="s">
        <v>1226</v>
      </c>
      <c r="B618" s="862" t="s">
        <v>2389</v>
      </c>
      <c r="C618" s="726"/>
      <c r="D618" s="727" t="s">
        <v>251</v>
      </c>
      <c r="E618" s="727"/>
      <c r="F618" s="727"/>
      <c r="G618" s="727" t="s">
        <v>251</v>
      </c>
      <c r="H618" s="727" t="s">
        <v>251</v>
      </c>
      <c r="I618" s="727" t="s">
        <v>251</v>
      </c>
      <c r="J618" s="727"/>
      <c r="K618" s="727"/>
      <c r="L618" s="727"/>
      <c r="M618" s="727"/>
      <c r="N618" s="727"/>
      <c r="O618" s="727">
        <v>188000</v>
      </c>
      <c r="P618" s="1497">
        <f t="shared" si="51"/>
        <v>0</v>
      </c>
      <c r="Q618" s="1129">
        <f t="shared" si="52"/>
        <v>188000</v>
      </c>
      <c r="R618" s="726"/>
      <c r="S618" s="727"/>
      <c r="T618" s="727"/>
      <c r="U618" s="727"/>
      <c r="V618" s="727"/>
      <c r="W618" s="727"/>
      <c r="X618" s="727"/>
      <c r="Y618" s="727"/>
      <c r="Z618" s="727"/>
      <c r="AA618" s="727"/>
      <c r="AB618" s="727"/>
      <c r="AC618" s="727"/>
      <c r="AD618" s="1129">
        <f t="shared" si="54"/>
        <v>0</v>
      </c>
      <c r="AE618" s="865">
        <f t="shared" si="55"/>
        <v>0</v>
      </c>
      <c r="AF618" s="866">
        <f t="shared" si="53"/>
        <v>983</v>
      </c>
    </row>
    <row r="619" spans="1:32" x14ac:dyDescent="0.3">
      <c r="A619" s="295" t="s">
        <v>1226</v>
      </c>
      <c r="B619" s="862" t="s">
        <v>2390</v>
      </c>
      <c r="C619" s="726"/>
      <c r="D619" s="727" t="s">
        <v>251</v>
      </c>
      <c r="E619" s="727"/>
      <c r="F619" s="727"/>
      <c r="G619" s="727" t="s">
        <v>251</v>
      </c>
      <c r="H619" s="727" t="s">
        <v>251</v>
      </c>
      <c r="I619" s="727" t="s">
        <v>251</v>
      </c>
      <c r="J619" s="727"/>
      <c r="K619" s="727"/>
      <c r="L619" s="727"/>
      <c r="M619" s="727"/>
      <c r="N619" s="727"/>
      <c r="O619" s="727">
        <v>63600</v>
      </c>
      <c r="P619" s="1497">
        <f t="shared" si="51"/>
        <v>0</v>
      </c>
      <c r="Q619" s="1129">
        <f t="shared" si="52"/>
        <v>63600</v>
      </c>
      <c r="R619" s="726"/>
      <c r="S619" s="727"/>
      <c r="T619" s="727"/>
      <c r="U619" s="727"/>
      <c r="V619" s="727"/>
      <c r="W619" s="727"/>
      <c r="X619" s="727"/>
      <c r="Y619" s="727"/>
      <c r="Z619" s="727"/>
      <c r="AA619" s="727"/>
      <c r="AB619" s="727"/>
      <c r="AC619" s="727"/>
      <c r="AD619" s="1129">
        <f t="shared" si="54"/>
        <v>0</v>
      </c>
      <c r="AE619" s="865">
        <f t="shared" si="55"/>
        <v>0</v>
      </c>
      <c r="AF619" s="866">
        <f t="shared" si="53"/>
        <v>983</v>
      </c>
    </row>
    <row r="620" spans="1:32" x14ac:dyDescent="0.3">
      <c r="A620" s="295" t="s">
        <v>1226</v>
      </c>
      <c r="B620" s="862" t="s">
        <v>2391</v>
      </c>
      <c r="C620" s="726"/>
      <c r="D620" s="727" t="s">
        <v>251</v>
      </c>
      <c r="E620" s="727"/>
      <c r="F620" s="727"/>
      <c r="G620" s="727" t="s">
        <v>251</v>
      </c>
      <c r="H620" s="727" t="s">
        <v>251</v>
      </c>
      <c r="I620" s="727" t="s">
        <v>251</v>
      </c>
      <c r="J620" s="727"/>
      <c r="K620" s="727"/>
      <c r="L620" s="727"/>
      <c r="M620" s="727"/>
      <c r="N620" s="727"/>
      <c r="O620" s="727">
        <v>60000</v>
      </c>
      <c r="P620" s="1497">
        <f t="shared" si="51"/>
        <v>0</v>
      </c>
      <c r="Q620" s="1129">
        <f t="shared" si="52"/>
        <v>60000</v>
      </c>
      <c r="R620" s="726"/>
      <c r="S620" s="727"/>
      <c r="T620" s="727">
        <v>103800</v>
      </c>
      <c r="U620" s="727">
        <v>0</v>
      </c>
      <c r="V620" s="727">
        <v>109200</v>
      </c>
      <c r="W620" s="727">
        <v>0</v>
      </c>
      <c r="X620" s="727">
        <v>81000</v>
      </c>
      <c r="Y620" s="727">
        <v>0</v>
      </c>
      <c r="Z620" s="727"/>
      <c r="AA620" s="727"/>
      <c r="AB620" s="727"/>
      <c r="AC620" s="727"/>
      <c r="AD620" s="1129">
        <f t="shared" si="54"/>
        <v>294000</v>
      </c>
      <c r="AE620" s="865">
        <f t="shared" si="55"/>
        <v>1</v>
      </c>
      <c r="AF620" s="866">
        <f t="shared" si="53"/>
        <v>536</v>
      </c>
    </row>
    <row r="621" spans="1:32" x14ac:dyDescent="0.3">
      <c r="A621" s="295" t="s">
        <v>1226</v>
      </c>
      <c r="B621" s="862" t="s">
        <v>2392</v>
      </c>
      <c r="C621" s="726"/>
      <c r="D621" s="727" t="s">
        <v>251</v>
      </c>
      <c r="E621" s="727"/>
      <c r="F621" s="727"/>
      <c r="G621" s="727" t="s">
        <v>251</v>
      </c>
      <c r="H621" s="727" t="s">
        <v>251</v>
      </c>
      <c r="I621" s="727" t="s">
        <v>251</v>
      </c>
      <c r="J621" s="727"/>
      <c r="K621" s="727"/>
      <c r="L621" s="727"/>
      <c r="M621" s="727"/>
      <c r="N621" s="727"/>
      <c r="O621" s="727">
        <v>60000</v>
      </c>
      <c r="P621" s="1497">
        <f t="shared" si="51"/>
        <v>0</v>
      </c>
      <c r="Q621" s="1129">
        <f t="shared" si="52"/>
        <v>60000</v>
      </c>
      <c r="R621" s="726">
        <v>147200</v>
      </c>
      <c r="S621" s="727">
        <v>13400</v>
      </c>
      <c r="T621" s="727">
        <v>0</v>
      </c>
      <c r="U621" s="727">
        <v>0</v>
      </c>
      <c r="V621" s="727">
        <v>0</v>
      </c>
      <c r="W621" s="727">
        <v>0</v>
      </c>
      <c r="X621" s="727">
        <v>0</v>
      </c>
      <c r="Y621" s="727">
        <v>160600</v>
      </c>
      <c r="Z621" s="727"/>
      <c r="AA621" s="727"/>
      <c r="AB621" s="727"/>
      <c r="AC621" s="727"/>
      <c r="AD621" s="1129">
        <f t="shared" si="54"/>
        <v>321200</v>
      </c>
      <c r="AE621" s="865">
        <f t="shared" si="55"/>
        <v>1</v>
      </c>
      <c r="AF621" s="866">
        <f t="shared" si="53"/>
        <v>519</v>
      </c>
    </row>
    <row r="622" spans="1:32" x14ac:dyDescent="0.3">
      <c r="A622" s="295" t="s">
        <v>2542</v>
      </c>
      <c r="B622" s="862" t="s">
        <v>2543</v>
      </c>
      <c r="C622" s="726"/>
      <c r="D622" s="727"/>
      <c r="E622" s="727"/>
      <c r="F622" s="727"/>
      <c r="G622" s="727"/>
      <c r="H622" s="727"/>
      <c r="I622" s="727"/>
      <c r="J622" s="727"/>
      <c r="K622" s="727"/>
      <c r="L622" s="727"/>
      <c r="M622" s="727"/>
      <c r="N622" s="727"/>
      <c r="O622" s="727"/>
      <c r="P622" s="1497">
        <f t="shared" si="51"/>
        <v>0</v>
      </c>
      <c r="Q622" s="1129">
        <f t="shared" si="52"/>
        <v>0</v>
      </c>
      <c r="R622" s="726">
        <v>439800</v>
      </c>
      <c r="S622" s="727">
        <v>157800</v>
      </c>
      <c r="T622" s="727">
        <v>0</v>
      </c>
      <c r="U622" s="727">
        <v>0</v>
      </c>
      <c r="V622" s="727">
        <v>86400</v>
      </c>
      <c r="W622" s="727">
        <v>667400</v>
      </c>
      <c r="X622" s="727">
        <v>1805000</v>
      </c>
      <c r="Y622" s="727">
        <v>522600</v>
      </c>
      <c r="Z622" s="727"/>
      <c r="AA622" s="727"/>
      <c r="AB622" s="727"/>
      <c r="AC622" s="727"/>
      <c r="AD622" s="1129">
        <f t="shared" si="54"/>
        <v>3679000</v>
      </c>
      <c r="AE622" s="865">
        <f t="shared" si="55"/>
        <v>1</v>
      </c>
      <c r="AF622" s="866">
        <f t="shared" si="53"/>
        <v>124</v>
      </c>
    </row>
    <row r="623" spans="1:32" x14ac:dyDescent="0.3">
      <c r="A623" s="295" t="s">
        <v>2542</v>
      </c>
      <c r="B623" s="862" t="s">
        <v>2544</v>
      </c>
      <c r="C623" s="726"/>
      <c r="D623" s="727"/>
      <c r="E623" s="727"/>
      <c r="F623" s="727"/>
      <c r="G623" s="727"/>
      <c r="H623" s="727"/>
      <c r="I623" s="727"/>
      <c r="J623" s="727"/>
      <c r="K623" s="727"/>
      <c r="L623" s="727"/>
      <c r="M623" s="727"/>
      <c r="N623" s="727"/>
      <c r="O623" s="727"/>
      <c r="P623" s="1497">
        <f t="shared" si="51"/>
        <v>0</v>
      </c>
      <c r="Q623" s="1129">
        <f t="shared" si="52"/>
        <v>0</v>
      </c>
      <c r="R623" s="726">
        <v>402400</v>
      </c>
      <c r="S623" s="727">
        <v>371400</v>
      </c>
      <c r="T623" s="727">
        <v>0</v>
      </c>
      <c r="U623" s="727">
        <v>0</v>
      </c>
      <c r="V623" s="727">
        <v>584400</v>
      </c>
      <c r="W623" s="727">
        <v>0</v>
      </c>
      <c r="X623" s="727">
        <v>0</v>
      </c>
      <c r="Y623" s="727">
        <v>0</v>
      </c>
      <c r="Z623" s="727"/>
      <c r="AA623" s="727"/>
      <c r="AB623" s="727"/>
      <c r="AC623" s="727"/>
      <c r="AD623" s="1129">
        <f t="shared" si="54"/>
        <v>1358200</v>
      </c>
      <c r="AE623" s="865">
        <f t="shared" si="55"/>
        <v>1</v>
      </c>
      <c r="AF623" s="866">
        <f t="shared" si="53"/>
        <v>261</v>
      </c>
    </row>
    <row r="624" spans="1:32" x14ac:dyDescent="0.3">
      <c r="A624" s="295" t="s">
        <v>2542</v>
      </c>
      <c r="B624" s="862" t="s">
        <v>2563</v>
      </c>
      <c r="C624" s="726"/>
      <c r="D624" s="727"/>
      <c r="E624" s="727"/>
      <c r="F624" s="727"/>
      <c r="G624" s="727"/>
      <c r="H624" s="727"/>
      <c r="I624" s="727"/>
      <c r="J624" s="727"/>
      <c r="K624" s="727">
        <v>83800</v>
      </c>
      <c r="L624" s="727"/>
      <c r="M624" s="727"/>
      <c r="N624" s="727"/>
      <c r="O624" s="727"/>
      <c r="P624" s="1497">
        <f t="shared" si="51"/>
        <v>83800</v>
      </c>
      <c r="Q624" s="1129">
        <f t="shared" si="52"/>
        <v>0</v>
      </c>
      <c r="R624" s="726"/>
      <c r="S624" s="727">
        <v>446200</v>
      </c>
      <c r="T624" s="727">
        <v>0</v>
      </c>
      <c r="U624" s="727">
        <v>131000</v>
      </c>
      <c r="V624" s="727">
        <v>0</v>
      </c>
      <c r="W624" s="727">
        <v>0</v>
      </c>
      <c r="X624" s="727">
        <v>0</v>
      </c>
      <c r="Y624" s="727">
        <v>0</v>
      </c>
      <c r="Z624" s="727"/>
      <c r="AA624" s="727"/>
      <c r="AB624" s="727"/>
      <c r="AC624" s="727"/>
      <c r="AD624" s="1129">
        <f t="shared" si="54"/>
        <v>577200</v>
      </c>
      <c r="AE624" s="865">
        <f t="shared" si="55"/>
        <v>5.8878281622911697</v>
      </c>
      <c r="AF624" s="866">
        <f t="shared" si="53"/>
        <v>410</v>
      </c>
    </row>
    <row r="625" spans="1:32" x14ac:dyDescent="0.3">
      <c r="A625" s="295" t="s">
        <v>2542</v>
      </c>
      <c r="B625" s="862" t="s">
        <v>2260</v>
      </c>
      <c r="C625" s="726"/>
      <c r="D625" s="727"/>
      <c r="E625" s="727"/>
      <c r="F625" s="727"/>
      <c r="G625" s="727"/>
      <c r="H625" s="727"/>
      <c r="I625" s="727"/>
      <c r="J625" s="727"/>
      <c r="K625" s="727"/>
      <c r="L625" s="727"/>
      <c r="M625" s="727"/>
      <c r="N625" s="727"/>
      <c r="O625" s="727"/>
      <c r="P625" s="1497">
        <f t="shared" si="51"/>
        <v>0</v>
      </c>
      <c r="Q625" s="1129">
        <f t="shared" si="52"/>
        <v>0</v>
      </c>
      <c r="R625" s="726"/>
      <c r="S625" s="727">
        <v>192000</v>
      </c>
      <c r="T625" s="727">
        <v>498400</v>
      </c>
      <c r="U625" s="727">
        <v>1450000</v>
      </c>
      <c r="V625" s="727">
        <v>528400</v>
      </c>
      <c r="W625" s="727">
        <v>0</v>
      </c>
      <c r="X625" s="727">
        <v>479200</v>
      </c>
      <c r="Y625" s="727">
        <v>420500</v>
      </c>
      <c r="Z625" s="727"/>
      <c r="AA625" s="727"/>
      <c r="AB625" s="727"/>
      <c r="AC625" s="727"/>
      <c r="AD625" s="1129">
        <f t="shared" si="54"/>
        <v>3568500</v>
      </c>
      <c r="AE625" s="865">
        <f t="shared" si="55"/>
        <v>1</v>
      </c>
      <c r="AF625" s="866">
        <f t="shared" si="53"/>
        <v>129</v>
      </c>
    </row>
    <row r="626" spans="1:32" x14ac:dyDescent="0.3">
      <c r="A626" s="295" t="s">
        <v>2542</v>
      </c>
      <c r="B626" s="862" t="s">
        <v>2564</v>
      </c>
      <c r="C626" s="726"/>
      <c r="D626" s="727"/>
      <c r="E626" s="727"/>
      <c r="F626" s="727"/>
      <c r="G626" s="727"/>
      <c r="H626" s="727"/>
      <c r="I626" s="727"/>
      <c r="J626" s="727"/>
      <c r="K626" s="727"/>
      <c r="L626" s="727"/>
      <c r="M626" s="727"/>
      <c r="N626" s="727"/>
      <c r="O626" s="727"/>
      <c r="P626" s="1497">
        <f t="shared" si="51"/>
        <v>0</v>
      </c>
      <c r="Q626" s="1129">
        <f t="shared" si="52"/>
        <v>0</v>
      </c>
      <c r="R626" s="726"/>
      <c r="S626" s="727">
        <v>101600</v>
      </c>
      <c r="T626" s="727">
        <v>101600</v>
      </c>
      <c r="U626" s="727">
        <v>0</v>
      </c>
      <c r="V626" s="727">
        <v>0</v>
      </c>
      <c r="W626" s="727">
        <v>101600</v>
      </c>
      <c r="X626" s="727">
        <v>101600</v>
      </c>
      <c r="Y626" s="727">
        <v>0</v>
      </c>
      <c r="Z626" s="727"/>
      <c r="AA626" s="727"/>
      <c r="AB626" s="727"/>
      <c r="AC626" s="727"/>
      <c r="AD626" s="1129">
        <f t="shared" si="54"/>
        <v>406400</v>
      </c>
      <c r="AE626" s="865">
        <f t="shared" si="55"/>
        <v>1</v>
      </c>
      <c r="AF626" s="866">
        <f t="shared" si="53"/>
        <v>477</v>
      </c>
    </row>
    <row r="627" spans="1:32" x14ac:dyDescent="0.3">
      <c r="A627" s="295" t="s">
        <v>2542</v>
      </c>
      <c r="B627" s="862" t="s">
        <v>2565</v>
      </c>
      <c r="C627" s="726"/>
      <c r="D627" s="727"/>
      <c r="E627" s="727"/>
      <c r="F627" s="727"/>
      <c r="G627" s="727"/>
      <c r="H627" s="727"/>
      <c r="I627" s="727"/>
      <c r="J627" s="727"/>
      <c r="K627" s="727"/>
      <c r="L627" s="727"/>
      <c r="M627" s="727"/>
      <c r="N627" s="727"/>
      <c r="O627" s="727"/>
      <c r="P627" s="1497">
        <f t="shared" si="51"/>
        <v>0</v>
      </c>
      <c r="Q627" s="1129">
        <f t="shared" si="52"/>
        <v>0</v>
      </c>
      <c r="R627" s="726"/>
      <c r="S627" s="727">
        <v>73800</v>
      </c>
      <c r="T627" s="727">
        <v>0</v>
      </c>
      <c r="U627" s="727">
        <v>0</v>
      </c>
      <c r="V627" s="727">
        <v>0</v>
      </c>
      <c r="W627" s="727">
        <v>60000</v>
      </c>
      <c r="X627" s="727">
        <v>0</v>
      </c>
      <c r="Y627" s="727">
        <v>0</v>
      </c>
      <c r="Z627" s="727"/>
      <c r="AA627" s="727"/>
      <c r="AB627" s="727"/>
      <c r="AC627" s="727"/>
      <c r="AD627" s="1129">
        <f t="shared" si="54"/>
        <v>133800</v>
      </c>
      <c r="AE627" s="865">
        <f t="shared" si="55"/>
        <v>1</v>
      </c>
      <c r="AF627" s="866">
        <f t="shared" si="53"/>
        <v>695</v>
      </c>
    </row>
    <row r="628" spans="1:32" x14ac:dyDescent="0.3">
      <c r="A628" s="295" t="s">
        <v>2542</v>
      </c>
      <c r="B628" s="862" t="s">
        <v>2580</v>
      </c>
      <c r="C628" s="726"/>
      <c r="D628" s="727"/>
      <c r="E628" s="727"/>
      <c r="F628" s="727"/>
      <c r="G628" s="727"/>
      <c r="H628" s="727"/>
      <c r="I628" s="727"/>
      <c r="J628" s="727"/>
      <c r="K628" s="727"/>
      <c r="L628" s="727"/>
      <c r="M628" s="727"/>
      <c r="N628" s="727"/>
      <c r="O628" s="727"/>
      <c r="P628" s="1497">
        <f t="shared" si="51"/>
        <v>0</v>
      </c>
      <c r="Q628" s="1129">
        <f t="shared" si="52"/>
        <v>0</v>
      </c>
      <c r="R628" s="726"/>
      <c r="S628" s="727">
        <v>60000</v>
      </c>
      <c r="T628" s="727">
        <v>0</v>
      </c>
      <c r="U628" s="727">
        <v>0</v>
      </c>
      <c r="V628" s="727">
        <v>0</v>
      </c>
      <c r="W628" s="727">
        <v>0</v>
      </c>
      <c r="X628" s="727">
        <v>142600</v>
      </c>
      <c r="Y628" s="727">
        <v>0</v>
      </c>
      <c r="Z628" s="727"/>
      <c r="AA628" s="727"/>
      <c r="AB628" s="727"/>
      <c r="AC628" s="727"/>
      <c r="AD628" s="1129">
        <f t="shared" si="54"/>
        <v>202600</v>
      </c>
      <c r="AE628" s="865">
        <f t="shared" si="55"/>
        <v>1</v>
      </c>
      <c r="AF628" s="866">
        <f t="shared" si="53"/>
        <v>612</v>
      </c>
    </row>
    <row r="629" spans="1:32" x14ac:dyDescent="0.3">
      <c r="A629" s="295" t="s">
        <v>2542</v>
      </c>
      <c r="B629" s="862" t="s">
        <v>2616</v>
      </c>
      <c r="C629" s="726"/>
      <c r="D629" s="727"/>
      <c r="E629" s="727"/>
      <c r="F629" s="727"/>
      <c r="G629" s="727"/>
      <c r="H629" s="727"/>
      <c r="I629" s="727"/>
      <c r="J629" s="727"/>
      <c r="K629" s="727"/>
      <c r="L629" s="727"/>
      <c r="M629" s="727"/>
      <c r="N629" s="727"/>
      <c r="O629" s="727"/>
      <c r="P629" s="1497">
        <f t="shared" si="51"/>
        <v>0</v>
      </c>
      <c r="Q629" s="1129">
        <f t="shared" si="52"/>
        <v>0</v>
      </c>
      <c r="R629" s="726"/>
      <c r="S629" s="727"/>
      <c r="T629" s="727">
        <v>30500</v>
      </c>
      <c r="U629" s="727">
        <v>0</v>
      </c>
      <c r="V629" s="727">
        <v>0</v>
      </c>
      <c r="W629" s="727">
        <v>0</v>
      </c>
      <c r="X629" s="727">
        <v>568800</v>
      </c>
      <c r="Y629" s="727">
        <v>0</v>
      </c>
      <c r="Z629" s="727"/>
      <c r="AA629" s="727"/>
      <c r="AB629" s="727"/>
      <c r="AC629" s="727"/>
      <c r="AD629" s="1129">
        <f t="shared" si="54"/>
        <v>599300</v>
      </c>
      <c r="AE629" s="865">
        <f t="shared" si="55"/>
        <v>1</v>
      </c>
      <c r="AF629" s="866">
        <f t="shared" si="53"/>
        <v>406</v>
      </c>
    </row>
    <row r="630" spans="1:32" x14ac:dyDescent="0.3">
      <c r="A630" s="295" t="s">
        <v>2542</v>
      </c>
      <c r="B630" s="862" t="s">
        <v>2682</v>
      </c>
      <c r="C630" s="726"/>
      <c r="D630" s="727"/>
      <c r="E630" s="727"/>
      <c r="F630" s="727"/>
      <c r="G630" s="727"/>
      <c r="H630" s="727"/>
      <c r="I630" s="727"/>
      <c r="J630" s="727"/>
      <c r="K630" s="727"/>
      <c r="L630" s="727"/>
      <c r="M630" s="727"/>
      <c r="N630" s="727"/>
      <c r="O630" s="727"/>
      <c r="P630" s="1497">
        <f t="shared" si="51"/>
        <v>0</v>
      </c>
      <c r="Q630" s="1129">
        <f t="shared" si="52"/>
        <v>0</v>
      </c>
      <c r="R630" s="726"/>
      <c r="S630" s="727"/>
      <c r="T630" s="727"/>
      <c r="U630" s="727">
        <v>102800</v>
      </c>
      <c r="V630" s="727">
        <v>16600</v>
      </c>
      <c r="W630" s="727">
        <v>0</v>
      </c>
      <c r="X630" s="727">
        <v>0</v>
      </c>
      <c r="Y630" s="727">
        <v>0</v>
      </c>
      <c r="Z630" s="727"/>
      <c r="AA630" s="727"/>
      <c r="AB630" s="727"/>
      <c r="AC630" s="727"/>
      <c r="AD630" s="1129">
        <f t="shared" si="54"/>
        <v>119400</v>
      </c>
      <c r="AE630" s="865">
        <f t="shared" si="55"/>
        <v>1</v>
      </c>
      <c r="AF630" s="866">
        <f t="shared" si="53"/>
        <v>716</v>
      </c>
    </row>
    <row r="631" spans="1:32" x14ac:dyDescent="0.3">
      <c r="A631" s="295" t="s">
        <v>2542</v>
      </c>
      <c r="B631" s="862" t="s">
        <v>2683</v>
      </c>
      <c r="C631" s="726"/>
      <c r="D631" s="727"/>
      <c r="E631" s="727"/>
      <c r="F631" s="727"/>
      <c r="G631" s="727"/>
      <c r="H631" s="727"/>
      <c r="I631" s="727"/>
      <c r="J631" s="727"/>
      <c r="K631" s="727"/>
      <c r="L631" s="727"/>
      <c r="M631" s="727"/>
      <c r="N631" s="727"/>
      <c r="O631" s="727"/>
      <c r="P631" s="1497">
        <f t="shared" si="51"/>
        <v>0</v>
      </c>
      <c r="Q631" s="1129">
        <f t="shared" si="52"/>
        <v>0</v>
      </c>
      <c r="R631" s="726"/>
      <c r="S631" s="727"/>
      <c r="T631" s="727"/>
      <c r="U631" s="727">
        <v>75000</v>
      </c>
      <c r="V631" s="727">
        <v>0</v>
      </c>
      <c r="W631" s="727">
        <v>0</v>
      </c>
      <c r="X631" s="727">
        <v>0</v>
      </c>
      <c r="Y631" s="727">
        <v>0</v>
      </c>
      <c r="Z631" s="727"/>
      <c r="AA631" s="727"/>
      <c r="AB631" s="727"/>
      <c r="AC631" s="727"/>
      <c r="AD631" s="1129">
        <f t="shared" si="54"/>
        <v>75000</v>
      </c>
      <c r="AE631" s="865">
        <f t="shared" si="55"/>
        <v>1</v>
      </c>
      <c r="AF631" s="866">
        <f t="shared" si="53"/>
        <v>783</v>
      </c>
    </row>
    <row r="632" spans="1:32" x14ac:dyDescent="0.3">
      <c r="A632" s="295" t="s">
        <v>2542</v>
      </c>
      <c r="B632" s="862" t="s">
        <v>2684</v>
      </c>
      <c r="C632" s="726"/>
      <c r="D632" s="727"/>
      <c r="E632" s="727"/>
      <c r="F632" s="727"/>
      <c r="G632" s="727"/>
      <c r="H632" s="727"/>
      <c r="I632" s="727"/>
      <c r="J632" s="727"/>
      <c r="K632" s="727"/>
      <c r="L632" s="727"/>
      <c r="M632" s="727"/>
      <c r="N632" s="727"/>
      <c r="O632" s="727"/>
      <c r="P632" s="1497">
        <f t="shared" si="51"/>
        <v>0</v>
      </c>
      <c r="Q632" s="1129">
        <f t="shared" si="52"/>
        <v>0</v>
      </c>
      <c r="R632" s="726"/>
      <c r="S632" s="727"/>
      <c r="T632" s="727"/>
      <c r="U632" s="727">
        <v>65000</v>
      </c>
      <c r="V632" s="727">
        <v>0</v>
      </c>
      <c r="W632" s="727">
        <v>35000</v>
      </c>
      <c r="X632" s="727">
        <v>0</v>
      </c>
      <c r="Y632" s="727">
        <v>0</v>
      </c>
      <c r="Z632" s="727"/>
      <c r="AA632" s="727"/>
      <c r="AB632" s="727"/>
      <c r="AC632" s="727"/>
      <c r="AD632" s="1129">
        <f t="shared" si="54"/>
        <v>100000</v>
      </c>
      <c r="AE632" s="865">
        <f t="shared" si="55"/>
        <v>1</v>
      </c>
      <c r="AF632" s="866">
        <f t="shared" si="53"/>
        <v>740</v>
      </c>
    </row>
    <row r="633" spans="1:32" x14ac:dyDescent="0.3">
      <c r="A633" s="295" t="s">
        <v>2542</v>
      </c>
      <c r="B633" s="862" t="s">
        <v>2685</v>
      </c>
      <c r="C633" s="726"/>
      <c r="D633" s="727"/>
      <c r="E633" s="727"/>
      <c r="F633" s="727"/>
      <c r="G633" s="727"/>
      <c r="H633" s="727"/>
      <c r="I633" s="727"/>
      <c r="J633" s="727"/>
      <c r="K633" s="727"/>
      <c r="L633" s="727"/>
      <c r="M633" s="727"/>
      <c r="N633" s="727"/>
      <c r="O633" s="727"/>
      <c r="P633" s="1497">
        <f t="shared" si="51"/>
        <v>0</v>
      </c>
      <c r="Q633" s="1129">
        <f t="shared" si="52"/>
        <v>0</v>
      </c>
      <c r="R633" s="726"/>
      <c r="S633" s="727"/>
      <c r="T633" s="727"/>
      <c r="U633" s="727">
        <v>25400</v>
      </c>
      <c r="V633" s="727">
        <v>0</v>
      </c>
      <c r="W633" s="727">
        <v>0</v>
      </c>
      <c r="X633" s="727">
        <v>56000</v>
      </c>
      <c r="Y633" s="727">
        <v>0</v>
      </c>
      <c r="Z633" s="727"/>
      <c r="AA633" s="727"/>
      <c r="AB633" s="727"/>
      <c r="AC633" s="727"/>
      <c r="AD633" s="1129">
        <f t="shared" si="54"/>
        <v>81400</v>
      </c>
      <c r="AE633" s="865">
        <f t="shared" si="55"/>
        <v>1</v>
      </c>
      <c r="AF633" s="866">
        <f t="shared" si="53"/>
        <v>771</v>
      </c>
    </row>
    <row r="634" spans="1:32" x14ac:dyDescent="0.3">
      <c r="A634" s="295" t="s">
        <v>2542</v>
      </c>
      <c r="B634" s="862" t="s">
        <v>2735</v>
      </c>
      <c r="C634" s="726"/>
      <c r="D634" s="727"/>
      <c r="E634" s="727"/>
      <c r="F634" s="727"/>
      <c r="G634" s="727"/>
      <c r="H634" s="727"/>
      <c r="I634" s="727"/>
      <c r="J634" s="727"/>
      <c r="K634" s="727"/>
      <c r="L634" s="727"/>
      <c r="M634" s="727"/>
      <c r="N634" s="727"/>
      <c r="O634" s="727"/>
      <c r="P634" s="1497">
        <f t="shared" si="51"/>
        <v>0</v>
      </c>
      <c r="Q634" s="1129">
        <f t="shared" si="52"/>
        <v>0</v>
      </c>
      <c r="R634" s="726"/>
      <c r="S634" s="727"/>
      <c r="T634" s="727"/>
      <c r="U634" s="727">
        <v>216200</v>
      </c>
      <c r="V634" s="727">
        <v>0</v>
      </c>
      <c r="W634" s="727">
        <v>0</v>
      </c>
      <c r="X634" s="727">
        <v>0</v>
      </c>
      <c r="Y634" s="727">
        <v>0</v>
      </c>
      <c r="Z634" s="727"/>
      <c r="AA634" s="727"/>
      <c r="AB634" s="727"/>
      <c r="AC634" s="727"/>
      <c r="AD634" s="1129">
        <f t="shared" si="54"/>
        <v>216200</v>
      </c>
      <c r="AE634" s="865">
        <f t="shared" si="55"/>
        <v>1</v>
      </c>
      <c r="AF634" s="866">
        <f t="shared" si="53"/>
        <v>598</v>
      </c>
    </row>
    <row r="635" spans="1:32" x14ac:dyDescent="0.3">
      <c r="A635" s="295" t="s">
        <v>2542</v>
      </c>
      <c r="B635" s="862" t="s">
        <v>2736</v>
      </c>
      <c r="C635" s="726"/>
      <c r="D635" s="727"/>
      <c r="E635" s="727"/>
      <c r="F635" s="727"/>
      <c r="G635" s="727"/>
      <c r="H635" s="727"/>
      <c r="I635" s="727"/>
      <c r="J635" s="727"/>
      <c r="K635" s="727"/>
      <c r="L635" s="727"/>
      <c r="M635" s="727"/>
      <c r="N635" s="727"/>
      <c r="O635" s="727"/>
      <c r="P635" s="1497">
        <f t="shared" si="51"/>
        <v>0</v>
      </c>
      <c r="Q635" s="1129">
        <f t="shared" si="52"/>
        <v>0</v>
      </c>
      <c r="R635" s="726"/>
      <c r="S635" s="727"/>
      <c r="T635" s="727"/>
      <c r="U635" s="727">
        <v>316900</v>
      </c>
      <c r="V635" s="727">
        <v>65200</v>
      </c>
      <c r="W635" s="727">
        <v>0</v>
      </c>
      <c r="X635" s="727">
        <v>239500</v>
      </c>
      <c r="Y635" s="727">
        <v>0</v>
      </c>
      <c r="Z635" s="727"/>
      <c r="AA635" s="727"/>
      <c r="AB635" s="727"/>
      <c r="AC635" s="727"/>
      <c r="AD635" s="1129">
        <f t="shared" si="54"/>
        <v>621600</v>
      </c>
      <c r="AE635" s="865">
        <f t="shared" si="55"/>
        <v>1</v>
      </c>
      <c r="AF635" s="866">
        <f t="shared" si="53"/>
        <v>402</v>
      </c>
    </row>
    <row r="636" spans="1:32" x14ac:dyDescent="0.3">
      <c r="A636" s="295" t="s">
        <v>2542</v>
      </c>
      <c r="B636" s="862" t="s">
        <v>2737</v>
      </c>
      <c r="C636" s="726"/>
      <c r="D636" s="727"/>
      <c r="E636" s="727"/>
      <c r="F636" s="727"/>
      <c r="G636" s="727"/>
      <c r="H636" s="727"/>
      <c r="I636" s="727"/>
      <c r="J636" s="727"/>
      <c r="K636" s="727"/>
      <c r="L636" s="727"/>
      <c r="M636" s="727"/>
      <c r="N636" s="727"/>
      <c r="O636" s="727"/>
      <c r="P636" s="1497">
        <f t="shared" si="51"/>
        <v>0</v>
      </c>
      <c r="Q636" s="1129">
        <f t="shared" si="52"/>
        <v>0</v>
      </c>
      <c r="R636" s="726"/>
      <c r="S636" s="727"/>
      <c r="T636" s="727"/>
      <c r="U636" s="727">
        <v>227000</v>
      </c>
      <c r="V636" s="727">
        <v>0</v>
      </c>
      <c r="W636" s="727">
        <v>0</v>
      </c>
      <c r="X636" s="727">
        <v>0</v>
      </c>
      <c r="Y636" s="727">
        <v>0</v>
      </c>
      <c r="Z636" s="727"/>
      <c r="AA636" s="727"/>
      <c r="AB636" s="727"/>
      <c r="AC636" s="727"/>
      <c r="AD636" s="1129">
        <f t="shared" si="54"/>
        <v>227000</v>
      </c>
      <c r="AE636" s="865">
        <f t="shared" si="55"/>
        <v>1</v>
      </c>
      <c r="AF636" s="866">
        <f t="shared" si="53"/>
        <v>585</v>
      </c>
    </row>
    <row r="637" spans="1:32" x14ac:dyDescent="0.3">
      <c r="A637" s="295" t="s">
        <v>2542</v>
      </c>
      <c r="B637" s="862" t="s">
        <v>2738</v>
      </c>
      <c r="C637" s="726"/>
      <c r="D637" s="727"/>
      <c r="E637" s="727"/>
      <c r="F637" s="727"/>
      <c r="G637" s="727"/>
      <c r="H637" s="727"/>
      <c r="I637" s="727"/>
      <c r="J637" s="727"/>
      <c r="K637" s="727"/>
      <c r="L637" s="727"/>
      <c r="M637" s="727"/>
      <c r="N637" s="727"/>
      <c r="O637" s="727"/>
      <c r="P637" s="1497">
        <f t="shared" si="51"/>
        <v>0</v>
      </c>
      <c r="Q637" s="1129">
        <f t="shared" si="52"/>
        <v>0</v>
      </c>
      <c r="R637" s="726"/>
      <c r="S637" s="727"/>
      <c r="T637" s="727"/>
      <c r="U637" s="727">
        <v>23000</v>
      </c>
      <c r="V637" s="727">
        <v>0</v>
      </c>
      <c r="W637" s="727">
        <v>0</v>
      </c>
      <c r="X637" s="727">
        <v>0</v>
      </c>
      <c r="Y637" s="727">
        <v>0</v>
      </c>
      <c r="Z637" s="727"/>
      <c r="AA637" s="727"/>
      <c r="AB637" s="727"/>
      <c r="AC637" s="727"/>
      <c r="AD637" s="1129">
        <f t="shared" si="54"/>
        <v>23000</v>
      </c>
      <c r="AE637" s="865">
        <f t="shared" si="55"/>
        <v>1</v>
      </c>
      <c r="AF637" s="866">
        <f t="shared" si="53"/>
        <v>913</v>
      </c>
    </row>
    <row r="638" spans="1:32" x14ac:dyDescent="0.3">
      <c r="A638" s="295" t="s">
        <v>2542</v>
      </c>
      <c r="B638" s="862" t="s">
        <v>2780</v>
      </c>
      <c r="C638" s="726"/>
      <c r="D638" s="727"/>
      <c r="E638" s="727"/>
      <c r="F638" s="727"/>
      <c r="G638" s="727"/>
      <c r="H638" s="727"/>
      <c r="I638" s="727"/>
      <c r="J638" s="727"/>
      <c r="K638" s="727"/>
      <c r="L638" s="727"/>
      <c r="M638" s="727"/>
      <c r="N638" s="727"/>
      <c r="O638" s="727"/>
      <c r="P638" s="1497">
        <f t="shared" si="51"/>
        <v>0</v>
      </c>
      <c r="Q638" s="1129">
        <f t="shared" si="52"/>
        <v>0</v>
      </c>
      <c r="R638" s="726"/>
      <c r="S638" s="727"/>
      <c r="T638" s="727"/>
      <c r="U638" s="727"/>
      <c r="V638" s="727">
        <v>627000</v>
      </c>
      <c r="W638" s="727">
        <v>0</v>
      </c>
      <c r="X638" s="727">
        <v>0</v>
      </c>
      <c r="Y638" s="727">
        <v>0</v>
      </c>
      <c r="Z638" s="727"/>
      <c r="AA638" s="727"/>
      <c r="AB638" s="727"/>
      <c r="AC638" s="727"/>
      <c r="AD638" s="1129">
        <f t="shared" si="54"/>
        <v>627000</v>
      </c>
      <c r="AE638" s="865">
        <f t="shared" si="55"/>
        <v>1</v>
      </c>
      <c r="AF638" s="866">
        <f t="shared" si="53"/>
        <v>401</v>
      </c>
    </row>
    <row r="639" spans="1:32" x14ac:dyDescent="0.3">
      <c r="A639" s="295" t="s">
        <v>2542</v>
      </c>
      <c r="B639" s="862" t="s">
        <v>2781</v>
      </c>
      <c r="C639" s="726"/>
      <c r="D639" s="727"/>
      <c r="E639" s="727"/>
      <c r="F639" s="727"/>
      <c r="G639" s="727"/>
      <c r="H639" s="727"/>
      <c r="I639" s="727"/>
      <c r="J639" s="727"/>
      <c r="K639" s="727"/>
      <c r="L639" s="727"/>
      <c r="M639" s="727"/>
      <c r="N639" s="727"/>
      <c r="O639" s="727"/>
      <c r="P639" s="1497">
        <f t="shared" si="51"/>
        <v>0</v>
      </c>
      <c r="Q639" s="1129">
        <f t="shared" si="52"/>
        <v>0</v>
      </c>
      <c r="R639" s="726"/>
      <c r="S639" s="727"/>
      <c r="T639" s="727"/>
      <c r="U639" s="727"/>
      <c r="V639" s="727">
        <v>15800</v>
      </c>
      <c r="W639" s="727">
        <v>0</v>
      </c>
      <c r="X639" s="727">
        <v>0</v>
      </c>
      <c r="Y639" s="727">
        <v>0</v>
      </c>
      <c r="Z639" s="727"/>
      <c r="AA639" s="727"/>
      <c r="AB639" s="727"/>
      <c r="AC639" s="727"/>
      <c r="AD639" s="1129">
        <f t="shared" si="54"/>
        <v>15800</v>
      </c>
      <c r="AE639" s="865">
        <f t="shared" si="55"/>
        <v>1</v>
      </c>
      <c r="AF639" s="866">
        <f t="shared" si="53"/>
        <v>938</v>
      </c>
    </row>
    <row r="640" spans="1:32" x14ac:dyDescent="0.3">
      <c r="A640" s="295" t="s">
        <v>2542</v>
      </c>
      <c r="B640" s="862" t="s">
        <v>2810</v>
      </c>
      <c r="C640" s="726"/>
      <c r="D640" s="727"/>
      <c r="E640" s="727"/>
      <c r="F640" s="727"/>
      <c r="G640" s="727"/>
      <c r="H640" s="727"/>
      <c r="I640" s="727"/>
      <c r="J640" s="727"/>
      <c r="K640" s="727">
        <v>70200</v>
      </c>
      <c r="L640" s="727"/>
      <c r="M640" s="727"/>
      <c r="N640" s="727"/>
      <c r="O640" s="727"/>
      <c r="P640" s="1497">
        <f t="shared" si="51"/>
        <v>70200</v>
      </c>
      <c r="Q640" s="1129">
        <f t="shared" si="52"/>
        <v>0</v>
      </c>
      <c r="R640" s="726"/>
      <c r="S640" s="727"/>
      <c r="T640" s="727"/>
      <c r="U640" s="727"/>
      <c r="V640" s="727">
        <v>168000</v>
      </c>
      <c r="W640" s="727">
        <v>0</v>
      </c>
      <c r="X640" s="727">
        <v>202200</v>
      </c>
      <c r="Y640" s="727">
        <v>0</v>
      </c>
      <c r="Z640" s="727"/>
      <c r="AA640" s="727"/>
      <c r="AB640" s="727"/>
      <c r="AC640" s="727"/>
      <c r="AD640" s="1129">
        <f t="shared" si="54"/>
        <v>370200</v>
      </c>
      <c r="AE640" s="865">
        <f t="shared" si="55"/>
        <v>4.2735042735042734</v>
      </c>
      <c r="AF640" s="866">
        <f t="shared" si="53"/>
        <v>494</v>
      </c>
    </row>
    <row r="641" spans="1:32" x14ac:dyDescent="0.3">
      <c r="A641" s="295" t="s">
        <v>2542</v>
      </c>
      <c r="B641" s="862" t="s">
        <v>2811</v>
      </c>
      <c r="C641" s="726"/>
      <c r="D641" s="727"/>
      <c r="E641" s="727"/>
      <c r="F641" s="727"/>
      <c r="G641" s="727"/>
      <c r="H641" s="727"/>
      <c r="I641" s="727"/>
      <c r="J641" s="727"/>
      <c r="K641" s="727"/>
      <c r="L641" s="727"/>
      <c r="M641" s="727"/>
      <c r="N641" s="727"/>
      <c r="O641" s="727"/>
      <c r="P641" s="1497">
        <f t="shared" si="51"/>
        <v>0</v>
      </c>
      <c r="Q641" s="1129">
        <f t="shared" si="52"/>
        <v>0</v>
      </c>
      <c r="R641" s="726"/>
      <c r="S641" s="727"/>
      <c r="T641" s="727"/>
      <c r="U641" s="727"/>
      <c r="V641" s="727">
        <v>60000</v>
      </c>
      <c r="W641" s="727">
        <v>0</v>
      </c>
      <c r="X641" s="727">
        <v>0</v>
      </c>
      <c r="Y641" s="727">
        <v>0</v>
      </c>
      <c r="Z641" s="727"/>
      <c r="AA641" s="727"/>
      <c r="AB641" s="727"/>
      <c r="AC641" s="727"/>
      <c r="AD641" s="1129">
        <f t="shared" si="54"/>
        <v>60000</v>
      </c>
      <c r="AE641" s="865">
        <f t="shared" si="55"/>
        <v>1</v>
      </c>
      <c r="AF641" s="866">
        <f t="shared" si="53"/>
        <v>817</v>
      </c>
    </row>
    <row r="642" spans="1:32" x14ac:dyDescent="0.3">
      <c r="A642" s="295" t="s">
        <v>2542</v>
      </c>
      <c r="B642" s="862" t="s">
        <v>2853</v>
      </c>
      <c r="C642" s="726"/>
      <c r="D642" s="727"/>
      <c r="E642" s="727"/>
      <c r="F642" s="727"/>
      <c r="G642" s="727"/>
      <c r="H642" s="727"/>
      <c r="I642" s="727"/>
      <c r="J642" s="727"/>
      <c r="K642" s="727"/>
      <c r="L642" s="727"/>
      <c r="M642" s="727"/>
      <c r="N642" s="727"/>
      <c r="O642" s="727"/>
      <c r="P642" s="1497">
        <f t="shared" si="51"/>
        <v>0</v>
      </c>
      <c r="Q642" s="1129">
        <f t="shared" si="52"/>
        <v>0</v>
      </c>
      <c r="R642" s="726"/>
      <c r="S642" s="727"/>
      <c r="T642" s="727"/>
      <c r="U642" s="727"/>
      <c r="V642" s="727"/>
      <c r="W642" s="727">
        <v>2263400</v>
      </c>
      <c r="X642" s="727">
        <v>3272000</v>
      </c>
      <c r="Y642" s="727">
        <v>395800</v>
      </c>
      <c r="Z642" s="727"/>
      <c r="AA642" s="727"/>
      <c r="AB642" s="727"/>
      <c r="AC642" s="727"/>
      <c r="AD642" s="1129">
        <f t="shared" si="54"/>
        <v>5931200</v>
      </c>
      <c r="AE642" s="865">
        <f t="shared" si="55"/>
        <v>1</v>
      </c>
      <c r="AF642" s="866">
        <f t="shared" si="53"/>
        <v>70</v>
      </c>
    </row>
    <row r="643" spans="1:32" x14ac:dyDescent="0.3">
      <c r="A643" s="295" t="s">
        <v>2542</v>
      </c>
      <c r="B643" s="862" t="s">
        <v>2854</v>
      </c>
      <c r="C643" s="726"/>
      <c r="D643" s="727"/>
      <c r="E643" s="727"/>
      <c r="F643" s="727"/>
      <c r="G643" s="727"/>
      <c r="H643" s="727"/>
      <c r="I643" s="727"/>
      <c r="J643" s="727"/>
      <c r="K643" s="727"/>
      <c r="L643" s="727"/>
      <c r="M643" s="727"/>
      <c r="N643" s="727"/>
      <c r="O643" s="727"/>
      <c r="P643" s="1497">
        <f t="shared" si="51"/>
        <v>0</v>
      </c>
      <c r="Q643" s="1129">
        <f>SUM(C643:J643,L643:O643)</f>
        <v>0</v>
      </c>
      <c r="R643" s="726"/>
      <c r="S643" s="727"/>
      <c r="T643" s="727"/>
      <c r="U643" s="727"/>
      <c r="V643" s="727"/>
      <c r="W643" s="727">
        <v>1232200</v>
      </c>
      <c r="X643" s="727">
        <v>0</v>
      </c>
      <c r="Y643" s="727">
        <v>0</v>
      </c>
      <c r="Z643" s="727"/>
      <c r="AA643" s="727"/>
      <c r="AB643" s="727"/>
      <c r="AC643" s="727"/>
      <c r="AD643" s="1129">
        <f t="shared" si="54"/>
        <v>1232200</v>
      </c>
      <c r="AE643" s="865">
        <f t="shared" si="55"/>
        <v>1</v>
      </c>
      <c r="AF643" s="866">
        <f t="shared" si="53"/>
        <v>276</v>
      </c>
    </row>
    <row r="644" spans="1:32" x14ac:dyDescent="0.3">
      <c r="A644" s="295" t="s">
        <v>2542</v>
      </c>
      <c r="B644" s="862" t="s">
        <v>2855</v>
      </c>
      <c r="C644" s="726"/>
      <c r="D644" s="727"/>
      <c r="E644" s="727"/>
      <c r="F644" s="727"/>
      <c r="G644" s="727"/>
      <c r="H644" s="727"/>
      <c r="I644" s="727"/>
      <c r="J644" s="727"/>
      <c r="K644" s="727"/>
      <c r="L644" s="727"/>
      <c r="M644" s="727"/>
      <c r="N644" s="727"/>
      <c r="O644" s="727"/>
      <c r="P644" s="1497">
        <f t="shared" ref="P644:P713" si="56">SUM(C644:I644,K644)</f>
        <v>0</v>
      </c>
      <c r="Q644" s="1129">
        <f t="shared" ref="Q644:Q713" si="57">SUM(C644:J644,L644:O644)</f>
        <v>0</v>
      </c>
      <c r="R644" s="726"/>
      <c r="S644" s="727"/>
      <c r="T644" s="727"/>
      <c r="U644" s="727"/>
      <c r="V644" s="727"/>
      <c r="W644" s="727">
        <v>353600</v>
      </c>
      <c r="X644" s="727">
        <v>0</v>
      </c>
      <c r="Y644" s="727">
        <v>0</v>
      </c>
      <c r="Z644" s="727"/>
      <c r="AA644" s="727"/>
      <c r="AB644" s="727"/>
      <c r="AC644" s="727"/>
      <c r="AD644" s="1129">
        <f t="shared" si="54"/>
        <v>353600</v>
      </c>
      <c r="AE644" s="865">
        <f t="shared" si="55"/>
        <v>1</v>
      </c>
      <c r="AF644" s="866">
        <f>IFERROR(_xlfn.RANK.EQ(AD644, $AD$2:$AD$2064), "")</f>
        <v>502</v>
      </c>
    </row>
    <row r="645" spans="1:32" x14ac:dyDescent="0.3">
      <c r="A645" s="295" t="s">
        <v>2542</v>
      </c>
      <c r="B645" s="862" t="s">
        <v>2856</v>
      </c>
      <c r="C645" s="726"/>
      <c r="D645" s="727"/>
      <c r="E645" s="727"/>
      <c r="F645" s="727"/>
      <c r="G645" s="727"/>
      <c r="H645" s="727"/>
      <c r="I645" s="727"/>
      <c r="J645" s="727"/>
      <c r="K645" s="727"/>
      <c r="L645" s="727"/>
      <c r="M645" s="727"/>
      <c r="N645" s="727"/>
      <c r="O645" s="727"/>
      <c r="P645" s="1497">
        <f t="shared" si="56"/>
        <v>0</v>
      </c>
      <c r="Q645" s="1129">
        <f t="shared" si="57"/>
        <v>0</v>
      </c>
      <c r="R645" s="726"/>
      <c r="S645" s="727"/>
      <c r="T645" s="727"/>
      <c r="U645" s="727"/>
      <c r="V645" s="727"/>
      <c r="W645" s="727">
        <v>122500</v>
      </c>
      <c r="X645" s="727">
        <v>0</v>
      </c>
      <c r="Y645" s="727">
        <v>0</v>
      </c>
      <c r="Z645" s="727"/>
      <c r="AA645" s="727"/>
      <c r="AB645" s="727"/>
      <c r="AC645" s="727"/>
      <c r="AD645" s="1129">
        <f t="shared" si="54"/>
        <v>122500</v>
      </c>
      <c r="AE645" s="865">
        <f t="shared" si="55"/>
        <v>1</v>
      </c>
      <c r="AF645" s="866">
        <f t="shared" ref="AF645:AF708" si="58">IFERROR(_xlfn.RANK.EQ(AD645, $AD$2:$AD$2064), "")</f>
        <v>710</v>
      </c>
    </row>
    <row r="646" spans="1:32" x14ac:dyDescent="0.3">
      <c r="A646" s="295" t="s">
        <v>2542</v>
      </c>
      <c r="B646" s="862" t="s">
        <v>2857</v>
      </c>
      <c r="C646" s="726"/>
      <c r="D646" s="727"/>
      <c r="E646" s="727"/>
      <c r="F646" s="727"/>
      <c r="G646" s="727"/>
      <c r="H646" s="727"/>
      <c r="I646" s="727"/>
      <c r="J646" s="727"/>
      <c r="K646" s="727"/>
      <c r="L646" s="727"/>
      <c r="M646" s="727"/>
      <c r="N646" s="727"/>
      <c r="O646" s="727"/>
      <c r="P646" s="1497">
        <f t="shared" si="56"/>
        <v>0</v>
      </c>
      <c r="Q646" s="1129">
        <f t="shared" si="57"/>
        <v>0</v>
      </c>
      <c r="R646" s="726"/>
      <c r="S646" s="727"/>
      <c r="T646" s="727"/>
      <c r="U646" s="727"/>
      <c r="V646" s="727"/>
      <c r="W646" s="727">
        <v>73800</v>
      </c>
      <c r="X646" s="727">
        <v>0</v>
      </c>
      <c r="Y646" s="727">
        <v>0</v>
      </c>
      <c r="Z646" s="727"/>
      <c r="AA646" s="727"/>
      <c r="AB646" s="727"/>
      <c r="AC646" s="727"/>
      <c r="AD646" s="1129">
        <f t="shared" si="54"/>
        <v>73800</v>
      </c>
      <c r="AE646" s="865">
        <f t="shared" si="55"/>
        <v>1</v>
      </c>
      <c r="AF646" s="866">
        <f t="shared" si="58"/>
        <v>790</v>
      </c>
    </row>
    <row r="647" spans="1:32" x14ac:dyDescent="0.3">
      <c r="A647" s="295" t="s">
        <v>2542</v>
      </c>
      <c r="B647" s="862" t="s">
        <v>2858</v>
      </c>
      <c r="C647" s="726"/>
      <c r="D647" s="727"/>
      <c r="E647" s="727"/>
      <c r="F647" s="727"/>
      <c r="G647" s="727"/>
      <c r="H647" s="727"/>
      <c r="I647" s="727"/>
      <c r="J647" s="727"/>
      <c r="K647" s="727"/>
      <c r="L647" s="727"/>
      <c r="M647" s="727"/>
      <c r="N647" s="727"/>
      <c r="O647" s="727"/>
      <c r="P647" s="1497">
        <f t="shared" si="56"/>
        <v>0</v>
      </c>
      <c r="Q647" s="1129">
        <f t="shared" si="57"/>
        <v>0</v>
      </c>
      <c r="R647" s="726"/>
      <c r="S647" s="727"/>
      <c r="T647" s="727"/>
      <c r="U647" s="727"/>
      <c r="V647" s="727"/>
      <c r="W647" s="727">
        <v>70200</v>
      </c>
      <c r="X647" s="727">
        <v>0</v>
      </c>
      <c r="Y647" s="727">
        <v>0</v>
      </c>
      <c r="Z647" s="727"/>
      <c r="AA647" s="727"/>
      <c r="AB647" s="727"/>
      <c r="AC647" s="727"/>
      <c r="AD647" s="1129">
        <f t="shared" si="54"/>
        <v>70200</v>
      </c>
      <c r="AE647" s="865">
        <f t="shared" si="55"/>
        <v>1</v>
      </c>
      <c r="AF647" s="866">
        <f t="shared" si="58"/>
        <v>797</v>
      </c>
    </row>
    <row r="648" spans="1:32" x14ac:dyDescent="0.3">
      <c r="A648" s="295" t="s">
        <v>2542</v>
      </c>
      <c r="B648" s="862" t="s">
        <v>1468</v>
      </c>
      <c r="C648" s="726"/>
      <c r="D648" s="727"/>
      <c r="E648" s="727"/>
      <c r="F648" s="727"/>
      <c r="G648" s="727"/>
      <c r="H648" s="727"/>
      <c r="I648" s="727"/>
      <c r="J648" s="727"/>
      <c r="K648" s="727"/>
      <c r="L648" s="727"/>
      <c r="M648" s="727"/>
      <c r="N648" s="727"/>
      <c r="O648" s="727"/>
      <c r="P648" s="1497">
        <f t="shared" si="56"/>
        <v>0</v>
      </c>
      <c r="Q648" s="1129">
        <f t="shared" si="57"/>
        <v>0</v>
      </c>
      <c r="R648" s="726"/>
      <c r="S648" s="727"/>
      <c r="T648" s="727"/>
      <c r="U648" s="727"/>
      <c r="V648" s="727"/>
      <c r="W648" s="727">
        <v>53000</v>
      </c>
      <c r="X648" s="727">
        <v>0</v>
      </c>
      <c r="Y648" s="727">
        <v>0</v>
      </c>
      <c r="Z648" s="727"/>
      <c r="AA648" s="727"/>
      <c r="AB648" s="727"/>
      <c r="AC648" s="727"/>
      <c r="AD648" s="1129">
        <f t="shared" si="54"/>
        <v>53000</v>
      </c>
      <c r="AE648" s="865">
        <f t="shared" si="55"/>
        <v>1</v>
      </c>
      <c r="AF648" s="866">
        <f t="shared" si="58"/>
        <v>839</v>
      </c>
    </row>
    <row r="649" spans="1:32" x14ac:dyDescent="0.3">
      <c r="A649" s="295" t="s">
        <v>2542</v>
      </c>
      <c r="B649" s="862" t="s">
        <v>2897</v>
      </c>
      <c r="C649" s="726"/>
      <c r="D649" s="727"/>
      <c r="E649" s="727"/>
      <c r="F649" s="727"/>
      <c r="G649" s="727"/>
      <c r="H649" s="727"/>
      <c r="I649" s="727"/>
      <c r="J649" s="727"/>
      <c r="K649" s="727"/>
      <c r="L649" s="727"/>
      <c r="M649" s="727"/>
      <c r="N649" s="727"/>
      <c r="O649" s="727"/>
      <c r="P649" s="1497">
        <f t="shared" si="56"/>
        <v>0</v>
      </c>
      <c r="Q649" s="1129">
        <f t="shared" si="57"/>
        <v>0</v>
      </c>
      <c r="R649" s="726"/>
      <c r="S649" s="727"/>
      <c r="T649" s="727"/>
      <c r="U649" s="727"/>
      <c r="V649" s="727"/>
      <c r="W649" s="727">
        <v>175200</v>
      </c>
      <c r="X649" s="727">
        <v>0</v>
      </c>
      <c r="Y649" s="727">
        <v>0</v>
      </c>
      <c r="Z649" s="727"/>
      <c r="AA649" s="727"/>
      <c r="AB649" s="727"/>
      <c r="AC649" s="727"/>
      <c r="AD649" s="1129">
        <f t="shared" si="54"/>
        <v>175200</v>
      </c>
      <c r="AE649" s="865">
        <f t="shared" si="55"/>
        <v>1</v>
      </c>
      <c r="AF649" s="866">
        <f t="shared" si="58"/>
        <v>645</v>
      </c>
    </row>
    <row r="650" spans="1:32" x14ac:dyDescent="0.3">
      <c r="A650" s="295" t="s">
        <v>2542</v>
      </c>
      <c r="B650" s="862" t="s">
        <v>2898</v>
      </c>
      <c r="C650" s="726"/>
      <c r="D650" s="727"/>
      <c r="E650" s="727"/>
      <c r="F650" s="727"/>
      <c r="G650" s="727"/>
      <c r="H650" s="727"/>
      <c r="I650" s="727"/>
      <c r="J650" s="727"/>
      <c r="K650" s="727"/>
      <c r="L650" s="727"/>
      <c r="M650" s="727"/>
      <c r="N650" s="727"/>
      <c r="O650" s="727"/>
      <c r="P650" s="1497">
        <f t="shared" si="56"/>
        <v>0</v>
      </c>
      <c r="Q650" s="1129">
        <f t="shared" si="57"/>
        <v>0</v>
      </c>
      <c r="R650" s="726"/>
      <c r="S650" s="727"/>
      <c r="T650" s="727"/>
      <c r="U650" s="727"/>
      <c r="V650" s="727"/>
      <c r="W650" s="727">
        <v>145000</v>
      </c>
      <c r="X650" s="727">
        <v>223000</v>
      </c>
      <c r="Y650" s="727">
        <v>161000</v>
      </c>
      <c r="Z650" s="727"/>
      <c r="AA650" s="727"/>
      <c r="AB650" s="727"/>
      <c r="AC650" s="727"/>
      <c r="AD650" s="1129">
        <f t="shared" si="54"/>
        <v>529000</v>
      </c>
      <c r="AE650" s="865">
        <f t="shared" si="55"/>
        <v>1</v>
      </c>
      <c r="AF650" s="866">
        <f t="shared" si="58"/>
        <v>425</v>
      </c>
    </row>
    <row r="651" spans="1:32" x14ac:dyDescent="0.3">
      <c r="A651" s="295" t="s">
        <v>2542</v>
      </c>
      <c r="B651" s="862" t="s">
        <v>2899</v>
      </c>
      <c r="C651" s="726"/>
      <c r="D651" s="727"/>
      <c r="E651" s="727"/>
      <c r="F651" s="727"/>
      <c r="G651" s="727"/>
      <c r="H651" s="727"/>
      <c r="I651" s="727"/>
      <c r="J651" s="727"/>
      <c r="K651" s="727"/>
      <c r="L651" s="727"/>
      <c r="M651" s="727"/>
      <c r="N651" s="727"/>
      <c r="O651" s="727"/>
      <c r="P651" s="1497">
        <f t="shared" si="56"/>
        <v>0</v>
      </c>
      <c r="Q651" s="1129">
        <f t="shared" si="57"/>
        <v>0</v>
      </c>
      <c r="R651" s="726"/>
      <c r="S651" s="727"/>
      <c r="T651" s="727"/>
      <c r="U651" s="727"/>
      <c r="V651" s="727"/>
      <c r="W651" s="727">
        <v>74000</v>
      </c>
      <c r="X651" s="727">
        <v>0</v>
      </c>
      <c r="Y651" s="727">
        <v>95900</v>
      </c>
      <c r="Z651" s="727"/>
      <c r="AA651" s="727"/>
      <c r="AB651" s="727"/>
      <c r="AC651" s="727"/>
      <c r="AD651" s="1129">
        <f t="shared" si="54"/>
        <v>169900</v>
      </c>
      <c r="AE651" s="865">
        <f t="shared" si="55"/>
        <v>1</v>
      </c>
      <c r="AF651" s="866">
        <f t="shared" si="58"/>
        <v>650</v>
      </c>
    </row>
    <row r="652" spans="1:32" x14ac:dyDescent="0.3">
      <c r="A652" s="295" t="s">
        <v>2542</v>
      </c>
      <c r="B652" s="862" t="s">
        <v>2953</v>
      </c>
      <c r="C652" s="726"/>
      <c r="D652" s="727"/>
      <c r="E652" s="727"/>
      <c r="F652" s="727"/>
      <c r="G652" s="727"/>
      <c r="H652" s="727"/>
      <c r="I652" s="727"/>
      <c r="J652" s="727"/>
      <c r="K652" s="727"/>
      <c r="L652" s="727"/>
      <c r="M652" s="727"/>
      <c r="N652" s="727"/>
      <c r="O652" s="727"/>
      <c r="P652" s="1497">
        <f t="shared" si="56"/>
        <v>0</v>
      </c>
      <c r="Q652" s="1129">
        <f t="shared" si="57"/>
        <v>0</v>
      </c>
      <c r="R652" s="726"/>
      <c r="S652" s="727"/>
      <c r="T652" s="727"/>
      <c r="U652" s="727"/>
      <c r="V652" s="727"/>
      <c r="W652" s="727"/>
      <c r="X652" s="727">
        <v>225600</v>
      </c>
      <c r="Y652" s="727">
        <v>0</v>
      </c>
      <c r="Z652" s="727"/>
      <c r="AA652" s="727"/>
      <c r="AB652" s="727"/>
      <c r="AC652" s="727"/>
      <c r="AD652" s="1129">
        <f t="shared" si="54"/>
        <v>225600</v>
      </c>
      <c r="AE652" s="865">
        <f t="shared" si="55"/>
        <v>1</v>
      </c>
      <c r="AF652" s="866">
        <f t="shared" si="58"/>
        <v>586</v>
      </c>
    </row>
    <row r="653" spans="1:32" x14ac:dyDescent="0.3">
      <c r="A653" s="295" t="s">
        <v>2542</v>
      </c>
      <c r="B653" s="862" t="s">
        <v>2954</v>
      </c>
      <c r="C653" s="726"/>
      <c r="D653" s="727"/>
      <c r="E653" s="727"/>
      <c r="F653" s="727"/>
      <c r="G653" s="727"/>
      <c r="H653" s="727"/>
      <c r="I653" s="727"/>
      <c r="J653" s="727"/>
      <c r="K653" s="727"/>
      <c r="L653" s="727"/>
      <c r="M653" s="727"/>
      <c r="N653" s="727"/>
      <c r="O653" s="727"/>
      <c r="P653" s="1497">
        <f t="shared" si="56"/>
        <v>0</v>
      </c>
      <c r="Q653" s="1129">
        <f t="shared" si="57"/>
        <v>0</v>
      </c>
      <c r="R653" s="726"/>
      <c r="S653" s="727"/>
      <c r="T653" s="727"/>
      <c r="U653" s="727"/>
      <c r="V653" s="727"/>
      <c r="W653" s="727"/>
      <c r="X653" s="727">
        <v>60800</v>
      </c>
      <c r="Y653" s="727">
        <v>0</v>
      </c>
      <c r="Z653" s="727"/>
      <c r="AA653" s="727"/>
      <c r="AB653" s="727"/>
      <c r="AC653" s="727"/>
      <c r="AD653" s="1129">
        <f t="shared" si="54"/>
        <v>60800</v>
      </c>
      <c r="AE653" s="865">
        <f t="shared" si="55"/>
        <v>1</v>
      </c>
      <c r="AF653" s="866">
        <f t="shared" si="58"/>
        <v>816</v>
      </c>
    </row>
    <row r="654" spans="1:32" x14ac:dyDescent="0.3">
      <c r="A654" s="295" t="s">
        <v>2542</v>
      </c>
      <c r="B654" s="862" t="s">
        <v>2955</v>
      </c>
      <c r="C654" s="726"/>
      <c r="D654" s="727"/>
      <c r="E654" s="727"/>
      <c r="F654" s="727"/>
      <c r="G654" s="727"/>
      <c r="H654" s="727"/>
      <c r="I654" s="727"/>
      <c r="J654" s="727"/>
      <c r="K654" s="727"/>
      <c r="L654" s="727"/>
      <c r="M654" s="727"/>
      <c r="N654" s="727"/>
      <c r="O654" s="727"/>
      <c r="P654" s="1497">
        <f t="shared" si="56"/>
        <v>0</v>
      </c>
      <c r="Q654" s="1129">
        <f t="shared" si="57"/>
        <v>0</v>
      </c>
      <c r="R654" s="726"/>
      <c r="S654" s="727"/>
      <c r="T654" s="727"/>
      <c r="U654" s="727"/>
      <c r="V654" s="727"/>
      <c r="W654" s="727"/>
      <c r="X654" s="727">
        <v>18800</v>
      </c>
      <c r="Y654" s="727">
        <v>0</v>
      </c>
      <c r="Z654" s="727"/>
      <c r="AA654" s="727"/>
      <c r="AB654" s="727"/>
      <c r="AC654" s="727"/>
      <c r="AD654" s="1129">
        <f t="shared" si="54"/>
        <v>18800</v>
      </c>
      <c r="AE654" s="865">
        <f t="shared" si="55"/>
        <v>1</v>
      </c>
      <c r="AF654" s="866">
        <f t="shared" si="58"/>
        <v>927</v>
      </c>
    </row>
    <row r="655" spans="1:32" x14ac:dyDescent="0.3">
      <c r="A655" s="295" t="s">
        <v>2542</v>
      </c>
      <c r="B655" s="862" t="s">
        <v>2984</v>
      </c>
      <c r="C655" s="726"/>
      <c r="D655" s="727"/>
      <c r="E655" s="727"/>
      <c r="F655" s="727"/>
      <c r="G655" s="727"/>
      <c r="H655" s="727"/>
      <c r="I655" s="727"/>
      <c r="J655" s="727"/>
      <c r="K655" s="727"/>
      <c r="L655" s="727"/>
      <c r="M655" s="727"/>
      <c r="N655" s="727"/>
      <c r="O655" s="727"/>
      <c r="P655" s="1497">
        <f t="shared" si="56"/>
        <v>0</v>
      </c>
      <c r="Q655" s="1129">
        <f t="shared" si="57"/>
        <v>0</v>
      </c>
      <c r="R655" s="726"/>
      <c r="S655" s="727"/>
      <c r="T655" s="727"/>
      <c r="U655" s="727"/>
      <c r="V655" s="727"/>
      <c r="W655" s="727"/>
      <c r="X655" s="727">
        <v>790000</v>
      </c>
      <c r="Y655" s="727">
        <v>1268000</v>
      </c>
      <c r="Z655" s="727"/>
      <c r="AA655" s="727"/>
      <c r="AB655" s="727"/>
      <c r="AC655" s="727"/>
      <c r="AD655" s="1129">
        <f t="shared" si="54"/>
        <v>2058000</v>
      </c>
      <c r="AE655" s="865">
        <f t="shared" si="55"/>
        <v>1</v>
      </c>
      <c r="AF655" s="866">
        <f t="shared" si="58"/>
        <v>209</v>
      </c>
    </row>
    <row r="656" spans="1:32" x14ac:dyDescent="0.3">
      <c r="A656" s="295" t="s">
        <v>2542</v>
      </c>
      <c r="B656" s="862" t="s">
        <v>2985</v>
      </c>
      <c r="C656" s="726"/>
      <c r="D656" s="727"/>
      <c r="E656" s="727"/>
      <c r="F656" s="727"/>
      <c r="G656" s="727"/>
      <c r="H656" s="727"/>
      <c r="I656" s="727"/>
      <c r="J656" s="727"/>
      <c r="K656" s="727"/>
      <c r="L656" s="727"/>
      <c r="M656" s="727"/>
      <c r="N656" s="727"/>
      <c r="O656" s="727"/>
      <c r="P656" s="1497">
        <f t="shared" si="56"/>
        <v>0</v>
      </c>
      <c r="Q656" s="1129">
        <f t="shared" si="57"/>
        <v>0</v>
      </c>
      <c r="R656" s="726"/>
      <c r="S656" s="727"/>
      <c r="T656" s="727"/>
      <c r="U656" s="727"/>
      <c r="V656" s="727"/>
      <c r="W656" s="727"/>
      <c r="X656" s="727">
        <v>185000</v>
      </c>
      <c r="Y656" s="727">
        <v>0</v>
      </c>
      <c r="Z656" s="727"/>
      <c r="AA656" s="727"/>
      <c r="AB656" s="727"/>
      <c r="AC656" s="727"/>
      <c r="AD656" s="1129">
        <f t="shared" si="54"/>
        <v>185000</v>
      </c>
      <c r="AE656" s="865">
        <f t="shared" si="55"/>
        <v>1</v>
      </c>
      <c r="AF656" s="866">
        <f t="shared" si="58"/>
        <v>626</v>
      </c>
    </row>
    <row r="657" spans="1:32" x14ac:dyDescent="0.3">
      <c r="A657" s="295" t="s">
        <v>2542</v>
      </c>
      <c r="B657" s="862" t="s">
        <v>2986</v>
      </c>
      <c r="C657" s="726"/>
      <c r="D657" s="727"/>
      <c r="E657" s="727"/>
      <c r="F657" s="727"/>
      <c r="G657" s="727"/>
      <c r="H657" s="727"/>
      <c r="I657" s="727"/>
      <c r="J657" s="727"/>
      <c r="K657" s="727"/>
      <c r="L657" s="727"/>
      <c r="M657" s="727"/>
      <c r="N657" s="727"/>
      <c r="O657" s="727"/>
      <c r="P657" s="1497">
        <f t="shared" si="56"/>
        <v>0</v>
      </c>
      <c r="Q657" s="1129">
        <f t="shared" si="57"/>
        <v>0</v>
      </c>
      <c r="R657" s="726"/>
      <c r="S657" s="727"/>
      <c r="T657" s="727"/>
      <c r="U657" s="727"/>
      <c r="V657" s="727"/>
      <c r="W657" s="727"/>
      <c r="X657" s="727">
        <v>136600</v>
      </c>
      <c r="Y657" s="727">
        <v>0</v>
      </c>
      <c r="Z657" s="727"/>
      <c r="AA657" s="727"/>
      <c r="AB657" s="727"/>
      <c r="AC657" s="727"/>
      <c r="AD657" s="1129">
        <f t="shared" si="54"/>
        <v>136600</v>
      </c>
      <c r="AE657" s="865">
        <f t="shared" si="55"/>
        <v>1</v>
      </c>
      <c r="AF657" s="866">
        <f t="shared" si="58"/>
        <v>687</v>
      </c>
    </row>
    <row r="658" spans="1:32" x14ac:dyDescent="0.3">
      <c r="A658" s="295" t="s">
        <v>2542</v>
      </c>
      <c r="B658" s="862" t="s">
        <v>2987</v>
      </c>
      <c r="C658" s="726"/>
      <c r="D658" s="727"/>
      <c r="E658" s="727"/>
      <c r="F658" s="727"/>
      <c r="G658" s="727"/>
      <c r="H658" s="727"/>
      <c r="I658" s="727"/>
      <c r="J658" s="727"/>
      <c r="K658" s="727"/>
      <c r="L658" s="727"/>
      <c r="M658" s="727"/>
      <c r="N658" s="727"/>
      <c r="O658" s="727"/>
      <c r="P658" s="1497">
        <f t="shared" si="56"/>
        <v>0</v>
      </c>
      <c r="Q658" s="1129">
        <f t="shared" si="57"/>
        <v>0</v>
      </c>
      <c r="R658" s="726"/>
      <c r="S658" s="727"/>
      <c r="T658" s="727"/>
      <c r="U658" s="727"/>
      <c r="V658" s="727"/>
      <c r="W658" s="727"/>
      <c r="X658" s="727">
        <v>15500</v>
      </c>
      <c r="Y658" s="727">
        <v>0</v>
      </c>
      <c r="Z658" s="727"/>
      <c r="AA658" s="727"/>
      <c r="AB658" s="727"/>
      <c r="AC658" s="727"/>
      <c r="AD658" s="1129">
        <f t="shared" si="54"/>
        <v>15500</v>
      </c>
      <c r="AE658" s="865">
        <f t="shared" si="55"/>
        <v>1</v>
      </c>
      <c r="AF658" s="866">
        <f t="shared" si="58"/>
        <v>940</v>
      </c>
    </row>
    <row r="659" spans="1:32" x14ac:dyDescent="0.3">
      <c r="A659" s="295" t="s">
        <v>2542</v>
      </c>
      <c r="B659" s="862" t="s">
        <v>3022</v>
      </c>
      <c r="C659" s="726"/>
      <c r="D659" s="727"/>
      <c r="E659" s="727"/>
      <c r="F659" s="727"/>
      <c r="G659" s="727"/>
      <c r="H659" s="727"/>
      <c r="I659" s="727"/>
      <c r="J659" s="727"/>
      <c r="K659" s="727"/>
      <c r="L659" s="727"/>
      <c r="M659" s="727"/>
      <c r="N659" s="727"/>
      <c r="O659" s="727"/>
      <c r="P659" s="1497">
        <f t="shared" si="56"/>
        <v>0</v>
      </c>
      <c r="Q659" s="1129">
        <f t="shared" si="57"/>
        <v>0</v>
      </c>
      <c r="R659" s="726"/>
      <c r="S659" s="727"/>
      <c r="T659" s="727"/>
      <c r="U659" s="727"/>
      <c r="V659" s="727"/>
      <c r="W659" s="727"/>
      <c r="X659" s="727"/>
      <c r="Y659" s="727">
        <v>383000</v>
      </c>
      <c r="Z659" s="727"/>
      <c r="AA659" s="727"/>
      <c r="AB659" s="727"/>
      <c r="AC659" s="727"/>
      <c r="AD659" s="1129">
        <f t="shared" si="54"/>
        <v>383000</v>
      </c>
      <c r="AE659" s="865">
        <f t="shared" si="55"/>
        <v>1</v>
      </c>
      <c r="AF659" s="866">
        <f t="shared" si="58"/>
        <v>489</v>
      </c>
    </row>
    <row r="660" spans="1:32" x14ac:dyDescent="0.3">
      <c r="A660" s="295" t="s">
        <v>2542</v>
      </c>
      <c r="B660" s="862" t="s">
        <v>3023</v>
      </c>
      <c r="C660" s="726"/>
      <c r="D660" s="727"/>
      <c r="E660" s="727"/>
      <c r="F660" s="727"/>
      <c r="G660" s="727"/>
      <c r="H660" s="727"/>
      <c r="I660" s="727"/>
      <c r="J660" s="727"/>
      <c r="K660" s="727"/>
      <c r="L660" s="727"/>
      <c r="M660" s="727"/>
      <c r="N660" s="727"/>
      <c r="O660" s="727"/>
      <c r="P660" s="1497">
        <f t="shared" si="56"/>
        <v>0</v>
      </c>
      <c r="Q660" s="1129">
        <f t="shared" si="57"/>
        <v>0</v>
      </c>
      <c r="R660" s="726"/>
      <c r="S660" s="727"/>
      <c r="T660" s="727"/>
      <c r="U660" s="727"/>
      <c r="V660" s="727"/>
      <c r="W660" s="727"/>
      <c r="X660" s="727"/>
      <c r="Y660" s="727">
        <v>255000</v>
      </c>
      <c r="Z660" s="727"/>
      <c r="AA660" s="727"/>
      <c r="AB660" s="727"/>
      <c r="AC660" s="727"/>
      <c r="AD660" s="1129">
        <f t="shared" si="54"/>
        <v>255000</v>
      </c>
      <c r="AE660" s="865">
        <f t="shared" si="55"/>
        <v>1</v>
      </c>
      <c r="AF660" s="866">
        <f t="shared" si="58"/>
        <v>563</v>
      </c>
    </row>
    <row r="661" spans="1:32" x14ac:dyDescent="0.3">
      <c r="A661" s="295" t="s">
        <v>2542</v>
      </c>
      <c r="B661" s="862" t="s">
        <v>3024</v>
      </c>
      <c r="C661" s="726"/>
      <c r="D661" s="727"/>
      <c r="E661" s="727"/>
      <c r="F661" s="727"/>
      <c r="G661" s="727"/>
      <c r="H661" s="727"/>
      <c r="I661" s="727"/>
      <c r="J661" s="727"/>
      <c r="K661" s="727"/>
      <c r="L661" s="727"/>
      <c r="M661" s="727"/>
      <c r="N661" s="727"/>
      <c r="O661" s="727"/>
      <c r="P661" s="1497">
        <f t="shared" si="56"/>
        <v>0</v>
      </c>
      <c r="Q661" s="1129">
        <f t="shared" si="57"/>
        <v>0</v>
      </c>
      <c r="R661" s="726"/>
      <c r="S661" s="727"/>
      <c r="T661" s="727"/>
      <c r="U661" s="727"/>
      <c r="V661" s="727"/>
      <c r="W661" s="727"/>
      <c r="X661" s="727"/>
      <c r="Y661" s="727">
        <v>169000</v>
      </c>
      <c r="Z661" s="727"/>
      <c r="AA661" s="727"/>
      <c r="AB661" s="727"/>
      <c r="AC661" s="727"/>
      <c r="AD661" s="1129">
        <f t="shared" si="54"/>
        <v>169000</v>
      </c>
      <c r="AE661" s="865">
        <f t="shared" si="55"/>
        <v>1</v>
      </c>
      <c r="AF661" s="866">
        <f t="shared" si="58"/>
        <v>651</v>
      </c>
    </row>
    <row r="662" spans="1:32" x14ac:dyDescent="0.3">
      <c r="A662" s="295" t="s">
        <v>2542</v>
      </c>
      <c r="B662" s="862" t="s">
        <v>3025</v>
      </c>
      <c r="C662" s="726"/>
      <c r="D662" s="727"/>
      <c r="E662" s="727"/>
      <c r="F662" s="727"/>
      <c r="G662" s="727"/>
      <c r="H662" s="727"/>
      <c r="I662" s="727"/>
      <c r="J662" s="727"/>
      <c r="K662" s="727"/>
      <c r="L662" s="727"/>
      <c r="M662" s="727"/>
      <c r="N662" s="727"/>
      <c r="O662" s="727"/>
      <c r="P662" s="1497">
        <f t="shared" si="56"/>
        <v>0</v>
      </c>
      <c r="Q662" s="1129">
        <f t="shared" si="57"/>
        <v>0</v>
      </c>
      <c r="R662" s="726"/>
      <c r="S662" s="727"/>
      <c r="T662" s="727"/>
      <c r="U662" s="727"/>
      <c r="V662" s="727"/>
      <c r="W662" s="727"/>
      <c r="X662" s="727"/>
      <c r="Y662" s="727">
        <v>140200</v>
      </c>
      <c r="Z662" s="727"/>
      <c r="AA662" s="727"/>
      <c r="AB662" s="727"/>
      <c r="AC662" s="727"/>
      <c r="AD662" s="1129">
        <f t="shared" si="54"/>
        <v>140200</v>
      </c>
      <c r="AE662" s="865">
        <f t="shared" si="55"/>
        <v>1</v>
      </c>
      <c r="AF662" s="866">
        <f t="shared" si="58"/>
        <v>683</v>
      </c>
    </row>
    <row r="663" spans="1:32" x14ac:dyDescent="0.3">
      <c r="A663" s="295" t="s">
        <v>2542</v>
      </c>
      <c r="B663" s="862" t="s">
        <v>3026</v>
      </c>
      <c r="C663" s="726"/>
      <c r="D663" s="727"/>
      <c r="E663" s="727"/>
      <c r="F663" s="727"/>
      <c r="G663" s="727"/>
      <c r="H663" s="727"/>
      <c r="I663" s="727"/>
      <c r="J663" s="727"/>
      <c r="K663" s="727"/>
      <c r="L663" s="727"/>
      <c r="M663" s="727"/>
      <c r="N663" s="727"/>
      <c r="O663" s="727"/>
      <c r="P663" s="1497">
        <f t="shared" si="56"/>
        <v>0</v>
      </c>
      <c r="Q663" s="1129">
        <f t="shared" si="57"/>
        <v>0</v>
      </c>
      <c r="R663" s="726"/>
      <c r="S663" s="727"/>
      <c r="T663" s="727"/>
      <c r="U663" s="727"/>
      <c r="V663" s="727"/>
      <c r="W663" s="727"/>
      <c r="X663" s="727"/>
      <c r="Y663" s="727">
        <v>83800</v>
      </c>
      <c r="Z663" s="727"/>
      <c r="AA663" s="727"/>
      <c r="AB663" s="727"/>
      <c r="AC663" s="727"/>
      <c r="AD663" s="1129">
        <f t="shared" si="54"/>
        <v>83800</v>
      </c>
      <c r="AE663" s="865">
        <f t="shared" si="55"/>
        <v>1</v>
      </c>
      <c r="AF663" s="866">
        <f t="shared" si="58"/>
        <v>766</v>
      </c>
    </row>
    <row r="664" spans="1:32" x14ac:dyDescent="0.3">
      <c r="A664" s="295" t="s">
        <v>2542</v>
      </c>
      <c r="B664" s="862" t="s">
        <v>3043</v>
      </c>
      <c r="C664" s="726"/>
      <c r="D664" s="727"/>
      <c r="E664" s="727"/>
      <c r="F664" s="727"/>
      <c r="G664" s="727"/>
      <c r="H664" s="727"/>
      <c r="I664" s="727"/>
      <c r="J664" s="727"/>
      <c r="K664" s="727"/>
      <c r="L664" s="727"/>
      <c r="M664" s="727"/>
      <c r="N664" s="727"/>
      <c r="O664" s="727"/>
      <c r="P664" s="1497">
        <f t="shared" si="56"/>
        <v>0</v>
      </c>
      <c r="Q664" s="1129">
        <f t="shared" si="57"/>
        <v>0</v>
      </c>
      <c r="R664" s="726"/>
      <c r="S664" s="727"/>
      <c r="T664" s="727"/>
      <c r="U664" s="727"/>
      <c r="V664" s="727"/>
      <c r="W664" s="727"/>
      <c r="X664" s="727"/>
      <c r="Y664" s="727">
        <v>86400</v>
      </c>
      <c r="Z664" s="727"/>
      <c r="AA664" s="727"/>
      <c r="AB664" s="727"/>
      <c r="AC664" s="727"/>
      <c r="AD664" s="1129">
        <f t="shared" si="54"/>
        <v>86400</v>
      </c>
      <c r="AE664" s="865">
        <f t="shared" si="55"/>
        <v>1</v>
      </c>
      <c r="AF664" s="866">
        <f t="shared" si="58"/>
        <v>760</v>
      </c>
    </row>
    <row r="665" spans="1:32" x14ac:dyDescent="0.3">
      <c r="A665" s="297" t="s">
        <v>688</v>
      </c>
      <c r="B665" s="867" t="s">
        <v>660</v>
      </c>
      <c r="C665" s="728">
        <v>42500</v>
      </c>
      <c r="D665" s="729">
        <v>0</v>
      </c>
      <c r="E665" s="729">
        <v>3932000</v>
      </c>
      <c r="F665" s="729">
        <v>11426840</v>
      </c>
      <c r="G665" s="729">
        <v>5110000</v>
      </c>
      <c r="H665" s="729">
        <v>316000</v>
      </c>
      <c r="I665" s="729">
        <v>1875000</v>
      </c>
      <c r="J665" s="729">
        <v>990500</v>
      </c>
      <c r="K665" s="729">
        <v>80000</v>
      </c>
      <c r="L665" s="729">
        <v>2933500</v>
      </c>
      <c r="M665" s="729">
        <v>1032000</v>
      </c>
      <c r="N665" s="729">
        <v>120500</v>
      </c>
      <c r="O665" s="729">
        <v>120500</v>
      </c>
      <c r="P665" s="1497">
        <f t="shared" si="56"/>
        <v>22782340</v>
      </c>
      <c r="Q665" s="1130">
        <f t="shared" si="57"/>
        <v>27899340</v>
      </c>
      <c r="R665" s="728">
        <v>384000</v>
      </c>
      <c r="S665" s="729"/>
      <c r="T665" s="729">
        <v>704500</v>
      </c>
      <c r="U665" s="729">
        <v>1768500</v>
      </c>
      <c r="V665" s="729">
        <v>423500</v>
      </c>
      <c r="W665" s="729">
        <v>0</v>
      </c>
      <c r="X665" s="729">
        <v>0</v>
      </c>
      <c r="Y665" s="729">
        <v>0</v>
      </c>
      <c r="Z665" s="729"/>
      <c r="AA665" s="729"/>
      <c r="AB665" s="729"/>
      <c r="AC665" s="729"/>
      <c r="AD665" s="1130">
        <f t="shared" si="54"/>
        <v>3280500</v>
      </c>
      <c r="AE665" s="868">
        <f t="shared" si="55"/>
        <v>-0.8560068895469034</v>
      </c>
      <c r="AF665" s="869">
        <f t="shared" si="58"/>
        <v>138</v>
      </c>
    </row>
    <row r="666" spans="1:32" x14ac:dyDescent="0.3">
      <c r="A666" s="297" t="s">
        <v>688</v>
      </c>
      <c r="B666" s="867" t="s">
        <v>628</v>
      </c>
      <c r="C666" s="728">
        <v>5000</v>
      </c>
      <c r="D666" s="729">
        <v>0</v>
      </c>
      <c r="E666" s="729"/>
      <c r="F666" s="729">
        <v>2131350</v>
      </c>
      <c r="G666" s="729">
        <v>255500</v>
      </c>
      <c r="H666" s="729">
        <v>0</v>
      </c>
      <c r="I666" s="729">
        <v>0</v>
      </c>
      <c r="J666" s="729">
        <v>0</v>
      </c>
      <c r="K666" s="729">
        <v>0</v>
      </c>
      <c r="L666" s="729">
        <v>1237500</v>
      </c>
      <c r="M666" s="729">
        <v>0</v>
      </c>
      <c r="N666" s="729">
        <v>0</v>
      </c>
      <c r="O666" s="729" t="s">
        <v>251</v>
      </c>
      <c r="P666" s="1497">
        <f t="shared" si="56"/>
        <v>2391850</v>
      </c>
      <c r="Q666" s="1130">
        <f t="shared" si="57"/>
        <v>3629350</v>
      </c>
      <c r="R666" s="728"/>
      <c r="S666" s="729"/>
      <c r="T666" s="729"/>
      <c r="U666" s="729">
        <v>39000</v>
      </c>
      <c r="V666" s="729">
        <v>384500</v>
      </c>
      <c r="W666" s="729">
        <v>0</v>
      </c>
      <c r="X666" s="729">
        <v>0</v>
      </c>
      <c r="Y666" s="729">
        <v>0</v>
      </c>
      <c r="Z666" s="729"/>
      <c r="AA666" s="729"/>
      <c r="AB666" s="729"/>
      <c r="AC666" s="729"/>
      <c r="AD666" s="1130">
        <f t="shared" si="54"/>
        <v>423500</v>
      </c>
      <c r="AE666" s="868">
        <f t="shared" si="55"/>
        <v>-0.8229404017810481</v>
      </c>
      <c r="AF666" s="869">
        <f t="shared" si="58"/>
        <v>471</v>
      </c>
    </row>
    <row r="667" spans="1:32" x14ac:dyDescent="0.3">
      <c r="A667" s="297" t="s">
        <v>688</v>
      </c>
      <c r="B667" s="867" t="s">
        <v>374</v>
      </c>
      <c r="C667" s="728"/>
      <c r="D667" s="729">
        <v>0</v>
      </c>
      <c r="E667" s="729"/>
      <c r="F667" s="729">
        <v>981500</v>
      </c>
      <c r="G667" s="729">
        <v>1194500</v>
      </c>
      <c r="H667" s="729">
        <v>0</v>
      </c>
      <c r="I667" s="729">
        <v>0</v>
      </c>
      <c r="J667" s="729">
        <v>0</v>
      </c>
      <c r="K667" s="729">
        <v>0</v>
      </c>
      <c r="L667" s="729">
        <v>0</v>
      </c>
      <c r="M667" s="729">
        <v>0</v>
      </c>
      <c r="N667" s="729">
        <v>0</v>
      </c>
      <c r="O667" s="729" t="s">
        <v>251</v>
      </c>
      <c r="P667" s="1497">
        <f t="shared" si="56"/>
        <v>2176000</v>
      </c>
      <c r="Q667" s="1130">
        <f t="shared" si="57"/>
        <v>2176000</v>
      </c>
      <c r="R667" s="728">
        <v>139020</v>
      </c>
      <c r="S667" s="729"/>
      <c r="T667" s="729">
        <v>0</v>
      </c>
      <c r="U667" s="729">
        <v>0</v>
      </c>
      <c r="V667" s="729">
        <v>249000</v>
      </c>
      <c r="W667" s="729">
        <v>10000</v>
      </c>
      <c r="X667" s="729">
        <v>0</v>
      </c>
      <c r="Y667" s="729">
        <v>0</v>
      </c>
      <c r="Z667" s="729"/>
      <c r="AA667" s="729"/>
      <c r="AB667" s="729"/>
      <c r="AC667" s="729"/>
      <c r="AD667" s="1130">
        <f t="shared" si="54"/>
        <v>398020</v>
      </c>
      <c r="AE667" s="868">
        <f t="shared" si="55"/>
        <v>-0.81708639705882358</v>
      </c>
      <c r="AF667" s="869">
        <f t="shared" si="58"/>
        <v>483</v>
      </c>
    </row>
    <row r="668" spans="1:32" x14ac:dyDescent="0.3">
      <c r="A668" s="297" t="s">
        <v>688</v>
      </c>
      <c r="B668" s="867" t="s">
        <v>634</v>
      </c>
      <c r="C668" s="728"/>
      <c r="D668" s="729">
        <v>0</v>
      </c>
      <c r="E668" s="729"/>
      <c r="F668" s="729">
        <v>218000</v>
      </c>
      <c r="G668" s="729">
        <v>239000</v>
      </c>
      <c r="H668" s="729">
        <v>5000</v>
      </c>
      <c r="I668" s="729">
        <v>0</v>
      </c>
      <c r="J668" s="729">
        <v>0</v>
      </c>
      <c r="K668" s="729">
        <v>0</v>
      </c>
      <c r="L668" s="729">
        <v>0</v>
      </c>
      <c r="M668" s="729">
        <v>2074500</v>
      </c>
      <c r="N668" s="729">
        <v>0</v>
      </c>
      <c r="O668" s="729" t="s">
        <v>251</v>
      </c>
      <c r="P668" s="1497">
        <f t="shared" si="56"/>
        <v>462000</v>
      </c>
      <c r="Q668" s="1130">
        <f t="shared" si="57"/>
        <v>2536500</v>
      </c>
      <c r="R668" s="728"/>
      <c r="S668" s="729"/>
      <c r="T668" s="729"/>
      <c r="U668" s="729">
        <v>781000</v>
      </c>
      <c r="V668" s="729">
        <v>46000</v>
      </c>
      <c r="W668" s="729">
        <v>38500</v>
      </c>
      <c r="X668" s="729">
        <v>0</v>
      </c>
      <c r="Y668" s="729">
        <v>0</v>
      </c>
      <c r="Z668" s="729"/>
      <c r="AA668" s="729"/>
      <c r="AB668" s="729"/>
      <c r="AC668" s="729"/>
      <c r="AD668" s="1130">
        <f t="shared" si="54"/>
        <v>865500</v>
      </c>
      <c r="AE668" s="868">
        <f t="shared" si="55"/>
        <v>0.87337662337662336</v>
      </c>
      <c r="AF668" s="869">
        <f t="shared" si="58"/>
        <v>344</v>
      </c>
    </row>
    <row r="669" spans="1:32" x14ac:dyDescent="0.3">
      <c r="A669" s="297" t="s">
        <v>688</v>
      </c>
      <c r="B669" s="867" t="s">
        <v>690</v>
      </c>
      <c r="C669" s="728"/>
      <c r="D669" s="729">
        <v>0</v>
      </c>
      <c r="E669" s="729">
        <v>367000</v>
      </c>
      <c r="F669" s="729">
        <v>0</v>
      </c>
      <c r="G669" s="729">
        <v>0</v>
      </c>
      <c r="H669" s="729">
        <v>0</v>
      </c>
      <c r="I669" s="729">
        <v>0</v>
      </c>
      <c r="J669" s="729">
        <v>0</v>
      </c>
      <c r="K669" s="729">
        <v>0</v>
      </c>
      <c r="L669" s="729">
        <v>0</v>
      </c>
      <c r="M669" s="729">
        <v>0</v>
      </c>
      <c r="N669" s="729">
        <v>0</v>
      </c>
      <c r="O669" s="729" t="s">
        <v>251</v>
      </c>
      <c r="P669" s="1497">
        <f t="shared" si="56"/>
        <v>367000</v>
      </c>
      <c r="Q669" s="1130">
        <f t="shared" si="57"/>
        <v>367000</v>
      </c>
      <c r="R669" s="728"/>
      <c r="S669" s="729"/>
      <c r="T669" s="729"/>
      <c r="U669" s="729">
        <v>822000</v>
      </c>
      <c r="V669" s="729">
        <v>0</v>
      </c>
      <c r="W669" s="729">
        <v>0</v>
      </c>
      <c r="X669" s="729">
        <v>0</v>
      </c>
      <c r="Y669" s="729">
        <v>0</v>
      </c>
      <c r="Z669" s="729"/>
      <c r="AA669" s="729"/>
      <c r="AB669" s="729"/>
      <c r="AC669" s="729"/>
      <c r="AD669" s="1130">
        <f t="shared" ref="AD669:AD735" si="59">SUM(R669:AC669)</f>
        <v>822000</v>
      </c>
      <c r="AE669" s="868">
        <f t="shared" ref="AE669:AE735" si="60">IF(OR(AD669="", P669=""), 0, IFERROR((AD669-P669)/P669, IF(AD669&lt;&gt;0, 1, 0)))</f>
        <v>1.2397820163487738</v>
      </c>
      <c r="AF669" s="869">
        <f t="shared" si="58"/>
        <v>350</v>
      </c>
    </row>
    <row r="670" spans="1:32" x14ac:dyDescent="0.3">
      <c r="A670" s="297" t="s">
        <v>688</v>
      </c>
      <c r="B670" s="867" t="s">
        <v>621</v>
      </c>
      <c r="C670" s="728"/>
      <c r="D670" s="729">
        <v>41000</v>
      </c>
      <c r="E670" s="729">
        <v>158000</v>
      </c>
      <c r="F670" s="729">
        <v>59500</v>
      </c>
      <c r="G670" s="729">
        <v>15500</v>
      </c>
      <c r="H670" s="729">
        <v>0</v>
      </c>
      <c r="I670" s="729">
        <v>20000</v>
      </c>
      <c r="J670" s="729">
        <v>0</v>
      </c>
      <c r="K670" s="729">
        <v>0</v>
      </c>
      <c r="L670" s="729">
        <v>27400</v>
      </c>
      <c r="M670" s="729">
        <v>92200</v>
      </c>
      <c r="N670" s="729">
        <v>124600</v>
      </c>
      <c r="O670" s="729">
        <v>216800</v>
      </c>
      <c r="P670" s="1497">
        <f t="shared" si="56"/>
        <v>294000</v>
      </c>
      <c r="Q670" s="1130">
        <f t="shared" si="57"/>
        <v>755000</v>
      </c>
      <c r="R670" s="728">
        <v>32400</v>
      </c>
      <c r="S670" s="729"/>
      <c r="T670" s="729">
        <v>0</v>
      </c>
      <c r="U670" s="729">
        <v>262400</v>
      </c>
      <c r="V670" s="729">
        <v>3195300</v>
      </c>
      <c r="W670" s="729">
        <v>542600</v>
      </c>
      <c r="X670" s="729">
        <v>0</v>
      </c>
      <c r="Y670" s="729">
        <v>0</v>
      </c>
      <c r="Z670" s="729"/>
      <c r="AA670" s="729"/>
      <c r="AB670" s="729"/>
      <c r="AC670" s="729"/>
      <c r="AD670" s="1130">
        <f t="shared" si="59"/>
        <v>4032700</v>
      </c>
      <c r="AE670" s="868">
        <f t="shared" si="60"/>
        <v>12.716666666666667</v>
      </c>
      <c r="AF670" s="869">
        <f t="shared" si="58"/>
        <v>110</v>
      </c>
    </row>
    <row r="671" spans="1:32" x14ac:dyDescent="0.3">
      <c r="A671" s="297" t="s">
        <v>688</v>
      </c>
      <c r="B671" s="867" t="s">
        <v>619</v>
      </c>
      <c r="C671" s="728"/>
      <c r="D671" s="729">
        <v>0</v>
      </c>
      <c r="E671" s="729"/>
      <c r="F671" s="729">
        <v>63500</v>
      </c>
      <c r="G671" s="729">
        <v>69500</v>
      </c>
      <c r="H671" s="729">
        <v>5000</v>
      </c>
      <c r="I671" s="729">
        <v>0</v>
      </c>
      <c r="J671" s="729">
        <v>0</v>
      </c>
      <c r="K671" s="729">
        <v>0</v>
      </c>
      <c r="L671" s="729">
        <v>0</v>
      </c>
      <c r="M671" s="729">
        <v>0</v>
      </c>
      <c r="N671" s="729">
        <v>0</v>
      </c>
      <c r="O671" s="729">
        <v>5000</v>
      </c>
      <c r="P671" s="1497">
        <f t="shared" si="56"/>
        <v>138000</v>
      </c>
      <c r="Q671" s="1130">
        <f t="shared" si="57"/>
        <v>143000</v>
      </c>
      <c r="R671" s="728"/>
      <c r="S671" s="729"/>
      <c r="T671" s="729"/>
      <c r="U671" s="729"/>
      <c r="V671" s="729"/>
      <c r="W671" s="729"/>
      <c r="X671" s="729"/>
      <c r="Y671" s="729"/>
      <c r="Z671" s="729"/>
      <c r="AA671" s="729"/>
      <c r="AB671" s="729"/>
      <c r="AC671" s="729"/>
      <c r="AD671" s="1130">
        <f t="shared" si="59"/>
        <v>0</v>
      </c>
      <c r="AE671" s="868">
        <f t="shared" si="60"/>
        <v>-1</v>
      </c>
      <c r="AF671" s="869">
        <f t="shared" si="58"/>
        <v>983</v>
      </c>
    </row>
    <row r="672" spans="1:32" x14ac:dyDescent="0.3">
      <c r="A672" s="297" t="s">
        <v>688</v>
      </c>
      <c r="B672" s="867" t="s">
        <v>692</v>
      </c>
      <c r="C672" s="728"/>
      <c r="D672" s="729">
        <v>0</v>
      </c>
      <c r="E672" s="729">
        <v>5000</v>
      </c>
      <c r="F672" s="729">
        <v>5000</v>
      </c>
      <c r="G672" s="729">
        <v>0</v>
      </c>
      <c r="H672" s="729">
        <v>0</v>
      </c>
      <c r="I672" s="729">
        <v>0</v>
      </c>
      <c r="J672" s="729">
        <v>0</v>
      </c>
      <c r="K672" s="729">
        <v>0</v>
      </c>
      <c r="L672" s="729">
        <v>0</v>
      </c>
      <c r="M672" s="729">
        <v>0</v>
      </c>
      <c r="N672" s="729">
        <v>0</v>
      </c>
      <c r="O672" s="729" t="s">
        <v>251</v>
      </c>
      <c r="P672" s="1497">
        <f t="shared" si="56"/>
        <v>10000</v>
      </c>
      <c r="Q672" s="1130">
        <f t="shared" si="57"/>
        <v>10000</v>
      </c>
      <c r="R672" s="728"/>
      <c r="S672" s="729"/>
      <c r="T672" s="729"/>
      <c r="U672" s="729"/>
      <c r="V672" s="729"/>
      <c r="W672" s="729"/>
      <c r="X672" s="729"/>
      <c r="Y672" s="729"/>
      <c r="Z672" s="729"/>
      <c r="AA672" s="729"/>
      <c r="AB672" s="729"/>
      <c r="AC672" s="729"/>
      <c r="AD672" s="1130">
        <f t="shared" si="59"/>
        <v>0</v>
      </c>
      <c r="AE672" s="868">
        <f t="shared" si="60"/>
        <v>-1</v>
      </c>
      <c r="AF672" s="869">
        <f t="shared" si="58"/>
        <v>983</v>
      </c>
    </row>
    <row r="673" spans="1:32" x14ac:dyDescent="0.3">
      <c r="A673" s="297" t="s">
        <v>688</v>
      </c>
      <c r="B673" s="867" t="s">
        <v>645</v>
      </c>
      <c r="C673" s="728" t="s">
        <v>251</v>
      </c>
      <c r="D673" s="729" t="s">
        <v>251</v>
      </c>
      <c r="E673" s="729" t="s">
        <v>251</v>
      </c>
      <c r="F673" s="729" t="s">
        <v>251</v>
      </c>
      <c r="G673" s="729" t="s">
        <v>251</v>
      </c>
      <c r="H673" s="729" t="s">
        <v>251</v>
      </c>
      <c r="I673" s="729" t="s">
        <v>251</v>
      </c>
      <c r="J673" s="729" t="s">
        <v>251</v>
      </c>
      <c r="K673" s="729"/>
      <c r="L673" s="729" t="s">
        <v>251</v>
      </c>
      <c r="M673" s="729" t="s">
        <v>251</v>
      </c>
      <c r="N673" s="729" t="s">
        <v>251</v>
      </c>
      <c r="O673" s="729" t="s">
        <v>251</v>
      </c>
      <c r="P673" s="1497">
        <f t="shared" si="56"/>
        <v>0</v>
      </c>
      <c r="Q673" s="1130">
        <f t="shared" si="57"/>
        <v>0</v>
      </c>
      <c r="R673" s="728"/>
      <c r="S673" s="729"/>
      <c r="T673" s="729"/>
      <c r="U673" s="729"/>
      <c r="V673" s="729"/>
      <c r="W673" s="729"/>
      <c r="X673" s="729"/>
      <c r="Y673" s="729"/>
      <c r="Z673" s="729"/>
      <c r="AA673" s="729"/>
      <c r="AB673" s="729"/>
      <c r="AC673" s="729"/>
      <c r="AD673" s="1130">
        <f t="shared" si="59"/>
        <v>0</v>
      </c>
      <c r="AE673" s="868">
        <f t="shared" si="60"/>
        <v>0</v>
      </c>
      <c r="AF673" s="869">
        <f t="shared" si="58"/>
        <v>983</v>
      </c>
    </row>
    <row r="674" spans="1:32" x14ac:dyDescent="0.3">
      <c r="A674" s="297" t="s">
        <v>688</v>
      </c>
      <c r="B674" s="867" t="s">
        <v>1840</v>
      </c>
      <c r="C674" s="728"/>
      <c r="D674" s="729">
        <v>0</v>
      </c>
      <c r="E674" s="729"/>
      <c r="F674" s="729">
        <v>0</v>
      </c>
      <c r="G674" s="729">
        <v>0</v>
      </c>
      <c r="H674" s="729">
        <v>54500</v>
      </c>
      <c r="I674" s="729">
        <v>45000</v>
      </c>
      <c r="J674" s="729">
        <v>0</v>
      </c>
      <c r="K674" s="729">
        <v>0</v>
      </c>
      <c r="L674" s="729">
        <v>0</v>
      </c>
      <c r="M674" s="729">
        <v>0</v>
      </c>
      <c r="N674" s="729">
        <v>0</v>
      </c>
      <c r="O674" s="729" t="s">
        <v>251</v>
      </c>
      <c r="P674" s="1497">
        <f t="shared" si="56"/>
        <v>99500</v>
      </c>
      <c r="Q674" s="1130">
        <f t="shared" si="57"/>
        <v>99500</v>
      </c>
      <c r="R674" s="728">
        <v>5000</v>
      </c>
      <c r="S674" s="729"/>
      <c r="T674" s="729">
        <v>0</v>
      </c>
      <c r="U674" s="729">
        <v>0</v>
      </c>
      <c r="V674" s="729">
        <v>0</v>
      </c>
      <c r="W674" s="729">
        <v>0</v>
      </c>
      <c r="X674" s="729">
        <v>0</v>
      </c>
      <c r="Y674" s="729">
        <v>0</v>
      </c>
      <c r="Z674" s="729"/>
      <c r="AA674" s="729"/>
      <c r="AB674" s="729"/>
      <c r="AC674" s="729"/>
      <c r="AD674" s="1130">
        <f t="shared" si="59"/>
        <v>5000</v>
      </c>
      <c r="AE674" s="868">
        <f t="shared" si="60"/>
        <v>-0.94974874371859297</v>
      </c>
      <c r="AF674" s="869">
        <f t="shared" si="58"/>
        <v>972</v>
      </c>
    </row>
    <row r="675" spans="1:32" x14ac:dyDescent="0.3">
      <c r="A675" s="297" t="s">
        <v>688</v>
      </c>
      <c r="B675" s="867" t="s">
        <v>858</v>
      </c>
      <c r="C675" s="728"/>
      <c r="D675" s="729">
        <v>0</v>
      </c>
      <c r="E675" s="729"/>
      <c r="F675" s="729">
        <v>0</v>
      </c>
      <c r="G675" s="729">
        <v>0</v>
      </c>
      <c r="H675" s="729">
        <v>0</v>
      </c>
      <c r="I675" s="729">
        <v>10000</v>
      </c>
      <c r="J675" s="729">
        <v>0</v>
      </c>
      <c r="K675" s="729">
        <v>0</v>
      </c>
      <c r="L675" s="729">
        <v>0</v>
      </c>
      <c r="M675" s="729">
        <v>217500</v>
      </c>
      <c r="N675" s="729">
        <v>0</v>
      </c>
      <c r="O675" s="729" t="s">
        <v>251</v>
      </c>
      <c r="P675" s="1497">
        <f t="shared" si="56"/>
        <v>10000</v>
      </c>
      <c r="Q675" s="1130">
        <f t="shared" si="57"/>
        <v>227500</v>
      </c>
      <c r="R675" s="728"/>
      <c r="S675" s="729"/>
      <c r="T675" s="729"/>
      <c r="U675" s="729"/>
      <c r="V675" s="729"/>
      <c r="W675" s="729"/>
      <c r="X675" s="729"/>
      <c r="Y675" s="729"/>
      <c r="Z675" s="729"/>
      <c r="AA675" s="729"/>
      <c r="AB675" s="729"/>
      <c r="AC675" s="729"/>
      <c r="AD675" s="1130">
        <f t="shared" si="59"/>
        <v>0</v>
      </c>
      <c r="AE675" s="868">
        <f t="shared" si="60"/>
        <v>-1</v>
      </c>
      <c r="AF675" s="869">
        <f t="shared" si="58"/>
        <v>983</v>
      </c>
    </row>
    <row r="676" spans="1:32" x14ac:dyDescent="0.3">
      <c r="A676" s="297" t="s">
        <v>688</v>
      </c>
      <c r="B676" s="867" t="s">
        <v>656</v>
      </c>
      <c r="C676" s="728"/>
      <c r="D676" s="729">
        <v>0</v>
      </c>
      <c r="E676" s="729"/>
      <c r="F676" s="729">
        <v>0</v>
      </c>
      <c r="G676" s="729">
        <v>0</v>
      </c>
      <c r="H676" s="729">
        <v>0</v>
      </c>
      <c r="I676" s="729">
        <v>146000</v>
      </c>
      <c r="J676" s="729">
        <v>0</v>
      </c>
      <c r="K676" s="729">
        <v>0</v>
      </c>
      <c r="L676" s="729">
        <v>0</v>
      </c>
      <c r="M676" s="729">
        <v>0</v>
      </c>
      <c r="N676" s="729">
        <v>0</v>
      </c>
      <c r="O676" s="729" t="s">
        <v>251</v>
      </c>
      <c r="P676" s="1497">
        <f t="shared" si="56"/>
        <v>146000</v>
      </c>
      <c r="Q676" s="1130">
        <f t="shared" si="57"/>
        <v>146000</v>
      </c>
      <c r="R676" s="728"/>
      <c r="S676" s="729"/>
      <c r="T676" s="729"/>
      <c r="U676" s="729"/>
      <c r="V676" s="729"/>
      <c r="W676" s="729"/>
      <c r="X676" s="729"/>
      <c r="Y676" s="729"/>
      <c r="Z676" s="729"/>
      <c r="AA676" s="729"/>
      <c r="AB676" s="729"/>
      <c r="AC676" s="729"/>
      <c r="AD676" s="1130">
        <f t="shared" si="59"/>
        <v>0</v>
      </c>
      <c r="AE676" s="868">
        <f t="shared" si="60"/>
        <v>-1</v>
      </c>
      <c r="AF676" s="869">
        <f t="shared" si="58"/>
        <v>983</v>
      </c>
    </row>
    <row r="677" spans="1:32" x14ac:dyDescent="0.3">
      <c r="A677" s="297" t="s">
        <v>688</v>
      </c>
      <c r="B677" s="867" t="s">
        <v>1803</v>
      </c>
      <c r="C677" s="728"/>
      <c r="D677" s="729">
        <v>0</v>
      </c>
      <c r="E677" s="729"/>
      <c r="F677" s="729">
        <v>0</v>
      </c>
      <c r="G677" s="729">
        <v>0</v>
      </c>
      <c r="H677" s="729">
        <v>0</v>
      </c>
      <c r="I677" s="729">
        <v>110000</v>
      </c>
      <c r="J677" s="729">
        <v>0</v>
      </c>
      <c r="K677" s="729"/>
      <c r="L677" s="729">
        <v>10000</v>
      </c>
      <c r="M677" s="729">
        <v>791500</v>
      </c>
      <c r="N677" s="729">
        <v>538630</v>
      </c>
      <c r="O677" s="729">
        <v>405750</v>
      </c>
      <c r="P677" s="1497">
        <f t="shared" si="56"/>
        <v>110000</v>
      </c>
      <c r="Q677" s="1130">
        <f t="shared" si="57"/>
        <v>1855880</v>
      </c>
      <c r="R677" s="728">
        <v>1722000</v>
      </c>
      <c r="S677" s="729">
        <v>480000</v>
      </c>
      <c r="T677" s="729">
        <v>10000</v>
      </c>
      <c r="U677" s="729">
        <v>153500</v>
      </c>
      <c r="V677" s="729">
        <v>54000</v>
      </c>
      <c r="W677" s="729">
        <v>225000</v>
      </c>
      <c r="X677" s="729"/>
      <c r="Y677" s="729"/>
      <c r="Z677" s="729"/>
      <c r="AA677" s="729"/>
      <c r="AB677" s="729"/>
      <c r="AC677" s="729"/>
      <c r="AD677" s="1130">
        <f t="shared" si="59"/>
        <v>2644500</v>
      </c>
      <c r="AE677" s="868">
        <f t="shared" si="60"/>
        <v>23.040909090909089</v>
      </c>
      <c r="AF677" s="869">
        <f t="shared" si="58"/>
        <v>169</v>
      </c>
    </row>
    <row r="678" spans="1:32" x14ac:dyDescent="0.3">
      <c r="A678" s="297" t="s">
        <v>688</v>
      </c>
      <c r="B678" s="867" t="s">
        <v>637</v>
      </c>
      <c r="C678" s="728"/>
      <c r="D678" s="729">
        <v>0</v>
      </c>
      <c r="E678" s="729"/>
      <c r="F678" s="729">
        <v>0</v>
      </c>
      <c r="G678" s="729">
        <v>0</v>
      </c>
      <c r="H678" s="729">
        <v>0</v>
      </c>
      <c r="I678" s="729">
        <v>0</v>
      </c>
      <c r="J678" s="729">
        <v>5000</v>
      </c>
      <c r="K678" s="729">
        <v>5000</v>
      </c>
      <c r="L678" s="729">
        <v>0</v>
      </c>
      <c r="M678" s="729">
        <v>0</v>
      </c>
      <c r="N678" s="729">
        <v>0</v>
      </c>
      <c r="O678" s="729" t="s">
        <v>251</v>
      </c>
      <c r="P678" s="1497">
        <f t="shared" si="56"/>
        <v>5000</v>
      </c>
      <c r="Q678" s="1130">
        <f t="shared" si="57"/>
        <v>5000</v>
      </c>
      <c r="R678" s="728"/>
      <c r="S678" s="729"/>
      <c r="T678" s="729"/>
      <c r="U678" s="729"/>
      <c r="V678" s="729"/>
      <c r="W678" s="729"/>
      <c r="X678" s="729"/>
      <c r="Y678" s="729"/>
      <c r="Z678" s="729"/>
      <c r="AA678" s="729"/>
      <c r="AB678" s="729"/>
      <c r="AC678" s="729"/>
      <c r="AD678" s="1130">
        <f t="shared" si="59"/>
        <v>0</v>
      </c>
      <c r="AE678" s="868">
        <f t="shared" si="60"/>
        <v>-1</v>
      </c>
      <c r="AF678" s="869">
        <f t="shared" si="58"/>
        <v>983</v>
      </c>
    </row>
    <row r="679" spans="1:32" x14ac:dyDescent="0.3">
      <c r="A679" s="297" t="s">
        <v>688</v>
      </c>
      <c r="B679" s="867" t="s">
        <v>740</v>
      </c>
      <c r="C679" s="728"/>
      <c r="D679" s="729">
        <v>0</v>
      </c>
      <c r="E679" s="729"/>
      <c r="F679" s="729">
        <v>0</v>
      </c>
      <c r="G679" s="729">
        <v>0</v>
      </c>
      <c r="H679" s="729">
        <v>0</v>
      </c>
      <c r="I679" s="729">
        <v>0</v>
      </c>
      <c r="J679" s="729">
        <v>0</v>
      </c>
      <c r="K679" s="729"/>
      <c r="L679" s="729">
        <v>575500</v>
      </c>
      <c r="M679" s="729">
        <v>0</v>
      </c>
      <c r="N679" s="729">
        <v>0</v>
      </c>
      <c r="O679" s="729" t="s">
        <v>251</v>
      </c>
      <c r="P679" s="1497">
        <f t="shared" si="56"/>
        <v>0</v>
      </c>
      <c r="Q679" s="1130">
        <f t="shared" si="57"/>
        <v>575500</v>
      </c>
      <c r="R679" s="728"/>
      <c r="S679" s="729"/>
      <c r="T679" s="729"/>
      <c r="U679" s="729"/>
      <c r="V679" s="729"/>
      <c r="W679" s="729"/>
      <c r="X679" s="729"/>
      <c r="Y679" s="729"/>
      <c r="Z679" s="729"/>
      <c r="AA679" s="729"/>
      <c r="AB679" s="729"/>
      <c r="AC679" s="729"/>
      <c r="AD679" s="1130">
        <f t="shared" si="59"/>
        <v>0</v>
      </c>
      <c r="AE679" s="868">
        <f t="shared" si="60"/>
        <v>0</v>
      </c>
      <c r="AF679" s="869">
        <f t="shared" si="58"/>
        <v>983</v>
      </c>
    </row>
    <row r="680" spans="1:32" x14ac:dyDescent="0.3">
      <c r="A680" s="297" t="s">
        <v>688</v>
      </c>
      <c r="B680" s="867" t="s">
        <v>1792</v>
      </c>
      <c r="C680" s="728"/>
      <c r="D680" s="729">
        <v>0</v>
      </c>
      <c r="E680" s="729"/>
      <c r="F680" s="729">
        <v>0</v>
      </c>
      <c r="G680" s="729">
        <v>0</v>
      </c>
      <c r="H680" s="729">
        <v>0</v>
      </c>
      <c r="I680" s="729">
        <v>0</v>
      </c>
      <c r="J680" s="729">
        <v>0</v>
      </c>
      <c r="K680" s="729"/>
      <c r="L680" s="729">
        <v>5000</v>
      </c>
      <c r="M680" s="729">
        <v>504500</v>
      </c>
      <c r="N680" s="729">
        <v>122000</v>
      </c>
      <c r="O680" s="729">
        <v>10000</v>
      </c>
      <c r="P680" s="1497">
        <f t="shared" si="56"/>
        <v>0</v>
      </c>
      <c r="Q680" s="1130">
        <f t="shared" si="57"/>
        <v>641500</v>
      </c>
      <c r="R680" s="728"/>
      <c r="S680" s="729"/>
      <c r="T680" s="729"/>
      <c r="U680" s="729"/>
      <c r="V680" s="729"/>
      <c r="W680" s="729"/>
      <c r="X680" s="729"/>
      <c r="Y680" s="729"/>
      <c r="Z680" s="729"/>
      <c r="AA680" s="729"/>
      <c r="AB680" s="729"/>
      <c r="AC680" s="729"/>
      <c r="AD680" s="1130">
        <f t="shared" si="59"/>
        <v>0</v>
      </c>
      <c r="AE680" s="868">
        <f t="shared" si="60"/>
        <v>0</v>
      </c>
      <c r="AF680" s="869">
        <f t="shared" si="58"/>
        <v>983</v>
      </c>
    </row>
    <row r="681" spans="1:32" x14ac:dyDescent="0.3">
      <c r="A681" s="297" t="s">
        <v>688</v>
      </c>
      <c r="B681" s="867" t="s">
        <v>1903</v>
      </c>
      <c r="C681" s="728"/>
      <c r="D681" s="729">
        <v>0</v>
      </c>
      <c r="E681" s="729"/>
      <c r="F681" s="729">
        <v>0</v>
      </c>
      <c r="G681" s="729">
        <v>0</v>
      </c>
      <c r="H681" s="729">
        <v>0</v>
      </c>
      <c r="I681" s="729">
        <v>0</v>
      </c>
      <c r="J681" s="729">
        <v>0</v>
      </c>
      <c r="K681" s="729"/>
      <c r="L681" s="729">
        <v>39000</v>
      </c>
      <c r="M681" s="729">
        <v>259000</v>
      </c>
      <c r="N681" s="729">
        <v>105000</v>
      </c>
      <c r="O681" s="729">
        <v>167000</v>
      </c>
      <c r="P681" s="1497">
        <f t="shared" si="56"/>
        <v>0</v>
      </c>
      <c r="Q681" s="1130">
        <f t="shared" si="57"/>
        <v>570000</v>
      </c>
      <c r="R681" s="728">
        <v>19500</v>
      </c>
      <c r="S681" s="729"/>
      <c r="T681" s="729">
        <v>69000</v>
      </c>
      <c r="U681" s="729">
        <v>108500</v>
      </c>
      <c r="V681" s="729">
        <v>20000</v>
      </c>
      <c r="W681" s="729">
        <v>0</v>
      </c>
      <c r="X681" s="729">
        <v>0</v>
      </c>
      <c r="Y681" s="729">
        <v>0</v>
      </c>
      <c r="Z681" s="729"/>
      <c r="AA681" s="729"/>
      <c r="AB681" s="729"/>
      <c r="AC681" s="729"/>
      <c r="AD681" s="1130">
        <f t="shared" si="59"/>
        <v>217000</v>
      </c>
      <c r="AE681" s="868">
        <f t="shared" si="60"/>
        <v>1</v>
      </c>
      <c r="AF681" s="869">
        <f t="shared" si="58"/>
        <v>595</v>
      </c>
    </row>
    <row r="682" spans="1:32" x14ac:dyDescent="0.3">
      <c r="A682" s="297" t="s">
        <v>688</v>
      </c>
      <c r="B682" s="867" t="s">
        <v>622</v>
      </c>
      <c r="C682" s="728"/>
      <c r="D682" s="729">
        <v>0</v>
      </c>
      <c r="E682" s="729"/>
      <c r="F682" s="729">
        <v>0</v>
      </c>
      <c r="G682" s="729">
        <v>0</v>
      </c>
      <c r="H682" s="729">
        <v>0</v>
      </c>
      <c r="I682" s="729">
        <v>0</v>
      </c>
      <c r="J682" s="729">
        <v>0</v>
      </c>
      <c r="K682" s="729"/>
      <c r="L682" s="729">
        <v>0</v>
      </c>
      <c r="M682" s="729">
        <v>78530</v>
      </c>
      <c r="N682" s="729">
        <v>0</v>
      </c>
      <c r="O682" s="729">
        <v>19500</v>
      </c>
      <c r="P682" s="1497">
        <f t="shared" si="56"/>
        <v>0</v>
      </c>
      <c r="Q682" s="1130">
        <f t="shared" si="57"/>
        <v>98030</v>
      </c>
      <c r="R682" s="728"/>
      <c r="S682" s="729"/>
      <c r="T682" s="729">
        <v>5000</v>
      </c>
      <c r="U682" s="729"/>
      <c r="V682" s="729"/>
      <c r="W682" s="729"/>
      <c r="X682" s="729"/>
      <c r="Y682" s="729"/>
      <c r="Z682" s="729"/>
      <c r="AA682" s="729"/>
      <c r="AB682" s="729"/>
      <c r="AC682" s="729"/>
      <c r="AD682" s="1130">
        <f t="shared" si="59"/>
        <v>5000</v>
      </c>
      <c r="AE682" s="868">
        <f t="shared" si="60"/>
        <v>1</v>
      </c>
      <c r="AF682" s="869">
        <f t="shared" si="58"/>
        <v>972</v>
      </c>
    </row>
    <row r="683" spans="1:32" x14ac:dyDescent="0.3">
      <c r="A683" s="297" t="s">
        <v>688</v>
      </c>
      <c r="B683" s="867" t="s">
        <v>739</v>
      </c>
      <c r="C683" s="728"/>
      <c r="D683" s="729">
        <v>0</v>
      </c>
      <c r="E683" s="729"/>
      <c r="F683" s="729">
        <v>0</v>
      </c>
      <c r="G683" s="729">
        <v>0</v>
      </c>
      <c r="H683" s="729">
        <v>0</v>
      </c>
      <c r="I683" s="729">
        <v>0</v>
      </c>
      <c r="J683" s="729">
        <v>0</v>
      </c>
      <c r="K683" s="729"/>
      <c r="L683" s="729">
        <v>0</v>
      </c>
      <c r="M683" s="729">
        <v>2678500</v>
      </c>
      <c r="N683" s="729">
        <v>0</v>
      </c>
      <c r="O683" s="729" t="s">
        <v>251</v>
      </c>
      <c r="P683" s="1497">
        <f t="shared" si="56"/>
        <v>0</v>
      </c>
      <c r="Q683" s="1130">
        <f t="shared" si="57"/>
        <v>2678500</v>
      </c>
      <c r="R683" s="728"/>
      <c r="S683" s="729"/>
      <c r="T683" s="729"/>
      <c r="U683" s="729"/>
      <c r="V683" s="729"/>
      <c r="W683" s="729"/>
      <c r="X683" s="729"/>
      <c r="Y683" s="729"/>
      <c r="Z683" s="729"/>
      <c r="AA683" s="729"/>
      <c r="AB683" s="729"/>
      <c r="AC683" s="729"/>
      <c r="AD683" s="1130">
        <f t="shared" si="59"/>
        <v>0</v>
      </c>
      <c r="AE683" s="868">
        <f t="shared" si="60"/>
        <v>0</v>
      </c>
      <c r="AF683" s="869">
        <f t="shared" si="58"/>
        <v>983</v>
      </c>
    </row>
    <row r="684" spans="1:32" x14ac:dyDescent="0.3">
      <c r="A684" s="297" t="s">
        <v>688</v>
      </c>
      <c r="B684" s="867" t="s">
        <v>643</v>
      </c>
      <c r="C684" s="728"/>
      <c r="D684" s="729">
        <v>0</v>
      </c>
      <c r="E684" s="729"/>
      <c r="F684" s="729">
        <v>0</v>
      </c>
      <c r="G684" s="729">
        <v>0</v>
      </c>
      <c r="H684" s="729">
        <v>0</v>
      </c>
      <c r="I684" s="729">
        <v>0</v>
      </c>
      <c r="J684" s="729">
        <v>0</v>
      </c>
      <c r="K684" s="729"/>
      <c r="L684" s="729">
        <v>0</v>
      </c>
      <c r="M684" s="729">
        <v>103500</v>
      </c>
      <c r="N684" s="729">
        <v>127500</v>
      </c>
      <c r="O684" s="729">
        <v>69000</v>
      </c>
      <c r="P684" s="1497">
        <f t="shared" si="56"/>
        <v>0</v>
      </c>
      <c r="Q684" s="1130">
        <f t="shared" si="57"/>
        <v>300000</v>
      </c>
      <c r="R684" s="728"/>
      <c r="S684" s="729"/>
      <c r="T684" s="729"/>
      <c r="U684" s="729"/>
      <c r="V684" s="729">
        <v>325900</v>
      </c>
      <c r="W684" s="729">
        <v>360900</v>
      </c>
      <c r="X684" s="729">
        <v>0</v>
      </c>
      <c r="Y684" s="729">
        <v>92200</v>
      </c>
      <c r="Z684" s="729"/>
      <c r="AA684" s="729"/>
      <c r="AB684" s="729"/>
      <c r="AC684" s="729"/>
      <c r="AD684" s="1130">
        <f t="shared" si="59"/>
        <v>779000</v>
      </c>
      <c r="AE684" s="868">
        <f t="shared" si="60"/>
        <v>1</v>
      </c>
      <c r="AF684" s="869">
        <f t="shared" si="58"/>
        <v>358</v>
      </c>
    </row>
    <row r="685" spans="1:32" x14ac:dyDescent="0.3">
      <c r="A685" s="297" t="s">
        <v>688</v>
      </c>
      <c r="B685" s="867" t="s">
        <v>689</v>
      </c>
      <c r="C685" s="728"/>
      <c r="D685" s="729">
        <v>0</v>
      </c>
      <c r="E685" s="729"/>
      <c r="F685" s="729">
        <v>0</v>
      </c>
      <c r="G685" s="729">
        <v>0</v>
      </c>
      <c r="H685" s="729">
        <v>0</v>
      </c>
      <c r="I685" s="729">
        <v>0</v>
      </c>
      <c r="J685" s="729">
        <v>0</v>
      </c>
      <c r="K685" s="729"/>
      <c r="L685" s="729">
        <v>0</v>
      </c>
      <c r="M685" s="729">
        <v>259200</v>
      </c>
      <c r="N685" s="729">
        <v>0</v>
      </c>
      <c r="O685" s="729" t="s">
        <v>251</v>
      </c>
      <c r="P685" s="1497">
        <f t="shared" si="56"/>
        <v>0</v>
      </c>
      <c r="Q685" s="1130">
        <f t="shared" si="57"/>
        <v>259200</v>
      </c>
      <c r="R685" s="728"/>
      <c r="S685" s="729"/>
      <c r="T685" s="729"/>
      <c r="U685" s="729"/>
      <c r="V685" s="729"/>
      <c r="W685" s="729"/>
      <c r="X685" s="729"/>
      <c r="Y685" s="729"/>
      <c r="Z685" s="729"/>
      <c r="AA685" s="729"/>
      <c r="AB685" s="729"/>
      <c r="AC685" s="729"/>
      <c r="AD685" s="1130">
        <f t="shared" si="59"/>
        <v>0</v>
      </c>
      <c r="AE685" s="868">
        <f t="shared" si="60"/>
        <v>0</v>
      </c>
      <c r="AF685" s="869">
        <f t="shared" si="58"/>
        <v>983</v>
      </c>
    </row>
    <row r="686" spans="1:32" x14ac:dyDescent="0.3">
      <c r="A686" s="297" t="s">
        <v>688</v>
      </c>
      <c r="B686" s="867" t="s">
        <v>1813</v>
      </c>
      <c r="C686" s="728"/>
      <c r="D686" s="729" t="s">
        <v>251</v>
      </c>
      <c r="E686" s="729"/>
      <c r="F686" s="729" t="s">
        <v>251</v>
      </c>
      <c r="G686" s="729" t="s">
        <v>251</v>
      </c>
      <c r="H686" s="729" t="s">
        <v>251</v>
      </c>
      <c r="I686" s="729" t="s">
        <v>251</v>
      </c>
      <c r="J686" s="729" t="s">
        <v>251</v>
      </c>
      <c r="K686" s="729"/>
      <c r="L686" s="729" t="s">
        <v>251</v>
      </c>
      <c r="M686" s="729" t="s">
        <v>251</v>
      </c>
      <c r="N686" s="729" t="s">
        <v>251</v>
      </c>
      <c r="O686" s="729" t="s">
        <v>251</v>
      </c>
      <c r="P686" s="1497">
        <f t="shared" si="56"/>
        <v>0</v>
      </c>
      <c r="Q686" s="1130">
        <f t="shared" si="57"/>
        <v>0</v>
      </c>
      <c r="R686" s="728"/>
      <c r="S686" s="729"/>
      <c r="T686" s="729"/>
      <c r="U686" s="729"/>
      <c r="V686" s="729"/>
      <c r="W686" s="729"/>
      <c r="X686" s="729"/>
      <c r="Y686" s="729"/>
      <c r="Z686" s="729"/>
      <c r="AA686" s="729"/>
      <c r="AB686" s="729"/>
      <c r="AC686" s="729"/>
      <c r="AD686" s="1130">
        <f t="shared" si="59"/>
        <v>0</v>
      </c>
      <c r="AE686" s="868">
        <f t="shared" si="60"/>
        <v>0</v>
      </c>
      <c r="AF686" s="869">
        <f t="shared" si="58"/>
        <v>983</v>
      </c>
    </row>
    <row r="687" spans="1:32" x14ac:dyDescent="0.3">
      <c r="A687" s="297" t="s">
        <v>688</v>
      </c>
      <c r="B687" s="867" t="s">
        <v>1932</v>
      </c>
      <c r="C687" s="728"/>
      <c r="D687" s="729">
        <v>0</v>
      </c>
      <c r="E687" s="729"/>
      <c r="F687" s="729">
        <v>0</v>
      </c>
      <c r="G687" s="729">
        <v>0</v>
      </c>
      <c r="H687" s="729">
        <v>0</v>
      </c>
      <c r="I687" s="729">
        <v>0</v>
      </c>
      <c r="J687" s="729">
        <v>0</v>
      </c>
      <c r="K687" s="729"/>
      <c r="L687" s="729">
        <v>0</v>
      </c>
      <c r="M687" s="729">
        <v>0</v>
      </c>
      <c r="N687" s="729">
        <v>251500</v>
      </c>
      <c r="O687" s="729">
        <v>173000</v>
      </c>
      <c r="P687" s="1497">
        <f t="shared" si="56"/>
        <v>0</v>
      </c>
      <c r="Q687" s="1130">
        <f t="shared" si="57"/>
        <v>424500</v>
      </c>
      <c r="R687" s="728"/>
      <c r="S687" s="729"/>
      <c r="T687" s="729"/>
      <c r="U687" s="729"/>
      <c r="V687" s="729"/>
      <c r="W687" s="729"/>
      <c r="X687" s="729"/>
      <c r="Y687" s="729"/>
      <c r="Z687" s="729"/>
      <c r="AA687" s="729"/>
      <c r="AB687" s="729"/>
      <c r="AC687" s="729"/>
      <c r="AD687" s="1130">
        <f t="shared" si="59"/>
        <v>0</v>
      </c>
      <c r="AE687" s="868">
        <f t="shared" si="60"/>
        <v>0</v>
      </c>
      <c r="AF687" s="869">
        <f t="shared" si="58"/>
        <v>983</v>
      </c>
    </row>
    <row r="688" spans="1:32" x14ac:dyDescent="0.3">
      <c r="A688" s="297" t="s">
        <v>688</v>
      </c>
      <c r="B688" s="867" t="s">
        <v>2109</v>
      </c>
      <c r="C688" s="728"/>
      <c r="D688" s="729">
        <v>0</v>
      </c>
      <c r="E688" s="729"/>
      <c r="F688" s="729">
        <v>0</v>
      </c>
      <c r="G688" s="729">
        <v>0</v>
      </c>
      <c r="H688" s="729">
        <v>0</v>
      </c>
      <c r="I688" s="729">
        <v>0</v>
      </c>
      <c r="J688" s="729">
        <v>0</v>
      </c>
      <c r="K688" s="729"/>
      <c r="L688" s="729">
        <v>0</v>
      </c>
      <c r="M688" s="729">
        <v>0</v>
      </c>
      <c r="N688" s="729">
        <v>117500</v>
      </c>
      <c r="O688" s="729">
        <v>5000</v>
      </c>
      <c r="P688" s="1497">
        <f t="shared" si="56"/>
        <v>0</v>
      </c>
      <c r="Q688" s="1130">
        <f t="shared" si="57"/>
        <v>122500</v>
      </c>
      <c r="R688" s="728">
        <v>43000</v>
      </c>
      <c r="S688" s="729"/>
      <c r="T688" s="729">
        <v>0</v>
      </c>
      <c r="U688" s="729">
        <v>0</v>
      </c>
      <c r="V688" s="729">
        <v>0</v>
      </c>
      <c r="W688" s="729">
        <v>0</v>
      </c>
      <c r="X688" s="729">
        <v>0</v>
      </c>
      <c r="Y688" s="729">
        <v>0</v>
      </c>
      <c r="Z688" s="729"/>
      <c r="AA688" s="729"/>
      <c r="AB688" s="729"/>
      <c r="AC688" s="729"/>
      <c r="AD688" s="1130">
        <f t="shared" si="59"/>
        <v>43000</v>
      </c>
      <c r="AE688" s="868">
        <f t="shared" si="60"/>
        <v>1</v>
      </c>
      <c r="AF688" s="869">
        <f t="shared" si="58"/>
        <v>860</v>
      </c>
    </row>
    <row r="689" spans="1:32" x14ac:dyDescent="0.3">
      <c r="A689" s="297" t="s">
        <v>688</v>
      </c>
      <c r="B689" s="867" t="s">
        <v>1933</v>
      </c>
      <c r="C689" s="728"/>
      <c r="D689" s="729">
        <v>0</v>
      </c>
      <c r="E689" s="729"/>
      <c r="F689" s="729">
        <v>0</v>
      </c>
      <c r="G689" s="729">
        <v>0</v>
      </c>
      <c r="H689" s="729">
        <v>0</v>
      </c>
      <c r="I689" s="729">
        <v>0</v>
      </c>
      <c r="J689" s="729">
        <v>0</v>
      </c>
      <c r="K689" s="729"/>
      <c r="L689" s="729">
        <v>0</v>
      </c>
      <c r="M689" s="729">
        <v>0</v>
      </c>
      <c r="N689" s="729">
        <v>5000</v>
      </c>
      <c r="O689" s="729">
        <v>0</v>
      </c>
      <c r="P689" s="1497">
        <f t="shared" si="56"/>
        <v>0</v>
      </c>
      <c r="Q689" s="1130">
        <f t="shared" si="57"/>
        <v>5000</v>
      </c>
      <c r="R689" s="728">
        <v>25000</v>
      </c>
      <c r="S689" s="729"/>
      <c r="T689" s="729">
        <v>0</v>
      </c>
      <c r="U689" s="729">
        <v>0</v>
      </c>
      <c r="V689" s="729">
        <v>0</v>
      </c>
      <c r="W689" s="729">
        <v>0</v>
      </c>
      <c r="X689" s="729">
        <v>0</v>
      </c>
      <c r="Y689" s="729">
        <v>0</v>
      </c>
      <c r="Z689" s="729"/>
      <c r="AA689" s="729"/>
      <c r="AB689" s="729"/>
      <c r="AC689" s="729"/>
      <c r="AD689" s="1130">
        <f t="shared" si="59"/>
        <v>25000</v>
      </c>
      <c r="AE689" s="868">
        <f t="shared" si="60"/>
        <v>1</v>
      </c>
      <c r="AF689" s="869">
        <f t="shared" si="58"/>
        <v>906</v>
      </c>
    </row>
    <row r="690" spans="1:32" x14ac:dyDescent="0.3">
      <c r="A690" s="297" t="s">
        <v>688</v>
      </c>
      <c r="B690" s="867" t="s">
        <v>1963</v>
      </c>
      <c r="C690" s="728"/>
      <c r="D690" s="729" t="s">
        <v>251</v>
      </c>
      <c r="E690" s="729"/>
      <c r="F690" s="729" t="s">
        <v>251</v>
      </c>
      <c r="G690" s="729" t="s">
        <v>251</v>
      </c>
      <c r="H690" s="729" t="s">
        <v>251</v>
      </c>
      <c r="I690" s="729" t="s">
        <v>251</v>
      </c>
      <c r="J690" s="729" t="s">
        <v>251</v>
      </c>
      <c r="K690" s="729"/>
      <c r="L690" s="729" t="s">
        <v>251</v>
      </c>
      <c r="M690" s="729" t="s">
        <v>251</v>
      </c>
      <c r="N690" s="729"/>
      <c r="O690" s="729">
        <v>5000</v>
      </c>
      <c r="P690" s="1497">
        <f t="shared" si="56"/>
        <v>0</v>
      </c>
      <c r="Q690" s="1130">
        <f t="shared" si="57"/>
        <v>5000</v>
      </c>
      <c r="R690" s="728"/>
      <c r="S690" s="729"/>
      <c r="T690" s="729"/>
      <c r="U690" s="729"/>
      <c r="V690" s="729"/>
      <c r="W690" s="729"/>
      <c r="X690" s="729"/>
      <c r="Y690" s="729"/>
      <c r="Z690" s="729"/>
      <c r="AA690" s="729"/>
      <c r="AB690" s="729"/>
      <c r="AC690" s="729"/>
      <c r="AD690" s="1130">
        <f t="shared" si="59"/>
        <v>0</v>
      </c>
      <c r="AE690" s="868">
        <f t="shared" si="60"/>
        <v>0</v>
      </c>
      <c r="AF690" s="869">
        <f t="shared" si="58"/>
        <v>983</v>
      </c>
    </row>
    <row r="691" spans="1:32" x14ac:dyDescent="0.3">
      <c r="A691" s="297" t="s">
        <v>688</v>
      </c>
      <c r="B691" s="867" t="s">
        <v>626</v>
      </c>
      <c r="C691" s="728"/>
      <c r="D691" s="729" t="s">
        <v>251</v>
      </c>
      <c r="E691" s="729"/>
      <c r="F691" s="729"/>
      <c r="G691" s="729" t="s">
        <v>251</v>
      </c>
      <c r="H691" s="729" t="s">
        <v>251</v>
      </c>
      <c r="I691" s="729" t="s">
        <v>251</v>
      </c>
      <c r="J691" s="729"/>
      <c r="K691" s="729"/>
      <c r="L691" s="729"/>
      <c r="M691" s="729"/>
      <c r="N691" s="729"/>
      <c r="O691" s="729">
        <v>5000</v>
      </c>
      <c r="P691" s="1497">
        <f t="shared" si="56"/>
        <v>0</v>
      </c>
      <c r="Q691" s="1130">
        <f t="shared" si="57"/>
        <v>5000</v>
      </c>
      <c r="R691" s="728">
        <v>90000</v>
      </c>
      <c r="S691" s="729">
        <v>5000</v>
      </c>
      <c r="T691" s="729">
        <v>0</v>
      </c>
      <c r="U691" s="729">
        <v>0</v>
      </c>
      <c r="V691" s="729">
        <v>0</v>
      </c>
      <c r="W691" s="729">
        <v>0</v>
      </c>
      <c r="X691" s="729">
        <v>0</v>
      </c>
      <c r="Y691" s="729">
        <v>0</v>
      </c>
      <c r="Z691" s="729"/>
      <c r="AA691" s="729"/>
      <c r="AB691" s="729"/>
      <c r="AC691" s="729"/>
      <c r="AD691" s="1130">
        <f t="shared" si="59"/>
        <v>95000</v>
      </c>
      <c r="AE691" s="868">
        <f t="shared" si="60"/>
        <v>1</v>
      </c>
      <c r="AF691" s="869">
        <f t="shared" si="58"/>
        <v>749</v>
      </c>
    </row>
    <row r="692" spans="1:32" x14ac:dyDescent="0.3">
      <c r="A692" s="297" t="s">
        <v>688</v>
      </c>
      <c r="B692" s="867" t="s">
        <v>2494</v>
      </c>
      <c r="C692" s="728"/>
      <c r="D692" s="729"/>
      <c r="E692" s="729"/>
      <c r="F692" s="729"/>
      <c r="G692" s="729"/>
      <c r="H692" s="729"/>
      <c r="I692" s="729"/>
      <c r="J692" s="729"/>
      <c r="K692" s="729"/>
      <c r="L692" s="729"/>
      <c r="M692" s="729"/>
      <c r="N692" s="729"/>
      <c r="O692" s="729"/>
      <c r="P692" s="1497">
        <f t="shared" si="56"/>
        <v>0</v>
      </c>
      <c r="Q692" s="1130">
        <f t="shared" si="57"/>
        <v>0</v>
      </c>
      <c r="R692" s="728">
        <v>9000</v>
      </c>
      <c r="S692" s="729"/>
      <c r="T692" s="729">
        <v>0</v>
      </c>
      <c r="U692" s="729">
        <v>0</v>
      </c>
      <c r="V692" s="729">
        <v>0</v>
      </c>
      <c r="W692" s="729">
        <v>0</v>
      </c>
      <c r="X692" s="729">
        <v>0</v>
      </c>
      <c r="Y692" s="729">
        <v>0</v>
      </c>
      <c r="Z692" s="729"/>
      <c r="AA692" s="729"/>
      <c r="AB692" s="729"/>
      <c r="AC692" s="729"/>
      <c r="AD692" s="1130">
        <f t="shared" si="59"/>
        <v>9000</v>
      </c>
      <c r="AE692" s="868">
        <f t="shared" si="60"/>
        <v>1</v>
      </c>
      <c r="AF692" s="869">
        <f t="shared" si="58"/>
        <v>969</v>
      </c>
    </row>
    <row r="693" spans="1:32" x14ac:dyDescent="0.3">
      <c r="A693" s="297" t="s">
        <v>688</v>
      </c>
      <c r="B693" s="867" t="s">
        <v>2493</v>
      </c>
      <c r="C693" s="728"/>
      <c r="D693" s="729"/>
      <c r="E693" s="729"/>
      <c r="F693" s="729"/>
      <c r="G693" s="729"/>
      <c r="H693" s="729"/>
      <c r="I693" s="729"/>
      <c r="J693" s="729"/>
      <c r="K693" s="729"/>
      <c r="L693" s="729"/>
      <c r="M693" s="729"/>
      <c r="N693" s="729"/>
      <c r="O693" s="729"/>
      <c r="P693" s="1497">
        <f t="shared" si="56"/>
        <v>0</v>
      </c>
      <c r="Q693" s="1130">
        <f t="shared" si="57"/>
        <v>0</v>
      </c>
      <c r="R693" s="728"/>
      <c r="S693" s="729"/>
      <c r="T693" s="729"/>
      <c r="U693" s="729"/>
      <c r="V693" s="729"/>
      <c r="W693" s="729"/>
      <c r="X693" s="729"/>
      <c r="Y693" s="729"/>
      <c r="Z693" s="729"/>
      <c r="AA693" s="729"/>
      <c r="AB693" s="729"/>
      <c r="AC693" s="729"/>
      <c r="AD693" s="1130">
        <f t="shared" si="59"/>
        <v>0</v>
      </c>
      <c r="AE693" s="868">
        <f t="shared" si="60"/>
        <v>0</v>
      </c>
      <c r="AF693" s="869">
        <f t="shared" si="58"/>
        <v>983</v>
      </c>
    </row>
    <row r="694" spans="1:32" x14ac:dyDescent="0.3">
      <c r="A694" s="297" t="s">
        <v>688</v>
      </c>
      <c r="B694" s="867" t="s">
        <v>2679</v>
      </c>
      <c r="C694" s="728"/>
      <c r="D694" s="729"/>
      <c r="E694" s="729"/>
      <c r="F694" s="729"/>
      <c r="G694" s="729"/>
      <c r="H694" s="729"/>
      <c r="I694" s="729"/>
      <c r="J694" s="729"/>
      <c r="K694" s="729"/>
      <c r="L694" s="729"/>
      <c r="M694" s="729"/>
      <c r="N694" s="729"/>
      <c r="O694" s="729"/>
      <c r="P694" s="1497">
        <f t="shared" si="56"/>
        <v>0</v>
      </c>
      <c r="Q694" s="1130">
        <f t="shared" si="57"/>
        <v>0</v>
      </c>
      <c r="R694" s="728"/>
      <c r="S694" s="729"/>
      <c r="T694" s="729"/>
      <c r="U694" s="729">
        <v>0</v>
      </c>
      <c r="V694" s="729">
        <v>137000</v>
      </c>
      <c r="W694" s="729">
        <v>104600</v>
      </c>
      <c r="X694" s="729">
        <v>0</v>
      </c>
      <c r="Y694" s="729">
        <v>0</v>
      </c>
      <c r="Z694" s="729"/>
      <c r="AA694" s="729"/>
      <c r="AB694" s="729"/>
      <c r="AC694" s="729"/>
      <c r="AD694" s="1130">
        <f t="shared" si="59"/>
        <v>241600</v>
      </c>
      <c r="AE694" s="868">
        <f t="shared" si="60"/>
        <v>1</v>
      </c>
      <c r="AF694" s="869">
        <f t="shared" si="58"/>
        <v>575</v>
      </c>
    </row>
    <row r="695" spans="1:32" x14ac:dyDescent="0.3">
      <c r="A695" s="297" t="s">
        <v>688</v>
      </c>
      <c r="B695" s="867" t="s">
        <v>2686</v>
      </c>
      <c r="C695" s="728"/>
      <c r="D695" s="729"/>
      <c r="E695" s="729"/>
      <c r="F695" s="729"/>
      <c r="G695" s="729"/>
      <c r="H695" s="729"/>
      <c r="I695" s="729"/>
      <c r="J695" s="729"/>
      <c r="K695" s="729"/>
      <c r="L695" s="729"/>
      <c r="M695" s="729"/>
      <c r="N695" s="729"/>
      <c r="O695" s="729"/>
      <c r="P695" s="1497">
        <f t="shared" si="56"/>
        <v>0</v>
      </c>
      <c r="Q695" s="1130">
        <f t="shared" si="57"/>
        <v>0</v>
      </c>
      <c r="R695" s="728"/>
      <c r="S695" s="729"/>
      <c r="T695" s="729"/>
      <c r="U695" s="729">
        <v>5000</v>
      </c>
      <c r="V695" s="729">
        <v>0</v>
      </c>
      <c r="W695" s="729">
        <v>0</v>
      </c>
      <c r="X695" s="729">
        <v>0</v>
      </c>
      <c r="Y695" s="729">
        <v>0</v>
      </c>
      <c r="Z695" s="729"/>
      <c r="AA695" s="729"/>
      <c r="AB695" s="729"/>
      <c r="AC695" s="729"/>
      <c r="AD695" s="1130">
        <f t="shared" si="59"/>
        <v>5000</v>
      </c>
      <c r="AE695" s="868">
        <f t="shared" si="60"/>
        <v>1</v>
      </c>
      <c r="AF695" s="869">
        <f t="shared" si="58"/>
        <v>972</v>
      </c>
    </row>
    <row r="696" spans="1:32" x14ac:dyDescent="0.3">
      <c r="A696" s="297" t="s">
        <v>688</v>
      </c>
      <c r="B696" s="867" t="s">
        <v>642</v>
      </c>
      <c r="C696" s="728"/>
      <c r="D696" s="729"/>
      <c r="E696" s="729"/>
      <c r="F696" s="729"/>
      <c r="G696" s="729"/>
      <c r="H696" s="729"/>
      <c r="I696" s="729"/>
      <c r="J696" s="729"/>
      <c r="K696" s="729"/>
      <c r="L696" s="729"/>
      <c r="M696" s="729"/>
      <c r="N696" s="729"/>
      <c r="O696" s="729"/>
      <c r="P696" s="1497">
        <f t="shared" si="56"/>
        <v>0</v>
      </c>
      <c r="Q696" s="1130">
        <f t="shared" si="57"/>
        <v>0</v>
      </c>
      <c r="R696" s="728"/>
      <c r="S696" s="729"/>
      <c r="T696" s="729"/>
      <c r="U696" s="729">
        <v>1987500</v>
      </c>
      <c r="V696" s="729">
        <v>0</v>
      </c>
      <c r="W696" s="729">
        <v>952500</v>
      </c>
      <c r="X696" s="729">
        <v>0</v>
      </c>
      <c r="Y696" s="729">
        <v>0</v>
      </c>
      <c r="Z696" s="729"/>
      <c r="AA696" s="729"/>
      <c r="AB696" s="729"/>
      <c r="AC696" s="729"/>
      <c r="AD696" s="1130">
        <f t="shared" si="59"/>
        <v>2940000</v>
      </c>
      <c r="AE696" s="868">
        <f t="shared" si="60"/>
        <v>1</v>
      </c>
      <c r="AF696" s="869">
        <f t="shared" si="58"/>
        <v>156</v>
      </c>
    </row>
    <row r="697" spans="1:32" x14ac:dyDescent="0.3">
      <c r="A697" s="297" t="s">
        <v>688</v>
      </c>
      <c r="B697" s="867" t="s">
        <v>2739</v>
      </c>
      <c r="C697" s="728"/>
      <c r="D697" s="729"/>
      <c r="E697" s="729"/>
      <c r="F697" s="729"/>
      <c r="G697" s="729"/>
      <c r="H697" s="729"/>
      <c r="I697" s="729"/>
      <c r="J697" s="729"/>
      <c r="K697" s="729"/>
      <c r="L697" s="729"/>
      <c r="M697" s="729"/>
      <c r="N697" s="729"/>
      <c r="O697" s="729"/>
      <c r="P697" s="1497">
        <f t="shared" si="56"/>
        <v>0</v>
      </c>
      <c r="Q697" s="1130">
        <f t="shared" si="57"/>
        <v>0</v>
      </c>
      <c r="R697" s="728"/>
      <c r="S697" s="729"/>
      <c r="T697" s="729"/>
      <c r="U697" s="729">
        <v>5000</v>
      </c>
      <c r="V697" s="729">
        <v>5000</v>
      </c>
      <c r="W697" s="729">
        <v>5000</v>
      </c>
      <c r="X697" s="729">
        <v>0</v>
      </c>
      <c r="Y697" s="729">
        <v>0</v>
      </c>
      <c r="Z697" s="729"/>
      <c r="AA697" s="729"/>
      <c r="AB697" s="729"/>
      <c r="AC697" s="729"/>
      <c r="AD697" s="1130">
        <f t="shared" si="59"/>
        <v>15000</v>
      </c>
      <c r="AE697" s="868">
        <f t="shared" si="60"/>
        <v>1</v>
      </c>
      <c r="AF697" s="869">
        <f t="shared" si="58"/>
        <v>941</v>
      </c>
    </row>
    <row r="698" spans="1:32" x14ac:dyDescent="0.3">
      <c r="A698" s="297" t="s">
        <v>688</v>
      </c>
      <c r="B698" s="867" t="s">
        <v>646</v>
      </c>
      <c r="C698" s="728"/>
      <c r="D698" s="729"/>
      <c r="E698" s="729"/>
      <c r="F698" s="729"/>
      <c r="G698" s="729"/>
      <c r="H698" s="729"/>
      <c r="I698" s="729"/>
      <c r="J698" s="729"/>
      <c r="K698" s="729"/>
      <c r="L698" s="729"/>
      <c r="M698" s="729"/>
      <c r="N698" s="729"/>
      <c r="O698" s="729"/>
      <c r="P698" s="1497">
        <f t="shared" si="56"/>
        <v>0</v>
      </c>
      <c r="Q698" s="1130">
        <f t="shared" si="57"/>
        <v>0</v>
      </c>
      <c r="R698" s="728"/>
      <c r="S698" s="729"/>
      <c r="T698" s="729"/>
      <c r="U698" s="729"/>
      <c r="V698" s="729">
        <v>2123000</v>
      </c>
      <c r="W698" s="729">
        <v>58500</v>
      </c>
      <c r="X698" s="729">
        <v>40500</v>
      </c>
      <c r="Y698" s="729">
        <v>10000</v>
      </c>
      <c r="Z698" s="729"/>
      <c r="AA698" s="729"/>
      <c r="AB698" s="729"/>
      <c r="AC698" s="729"/>
      <c r="AD698" s="1130">
        <f t="shared" si="59"/>
        <v>2232000</v>
      </c>
      <c r="AE698" s="868">
        <f t="shared" si="60"/>
        <v>1</v>
      </c>
      <c r="AF698" s="869">
        <f t="shared" si="58"/>
        <v>196</v>
      </c>
    </row>
    <row r="699" spans="1:32" x14ac:dyDescent="0.3">
      <c r="A699" s="297" t="s">
        <v>688</v>
      </c>
      <c r="B699" s="867" t="s">
        <v>2859</v>
      </c>
      <c r="C699" s="728"/>
      <c r="D699" s="729"/>
      <c r="E699" s="729"/>
      <c r="F699" s="729"/>
      <c r="G699" s="729"/>
      <c r="H699" s="729"/>
      <c r="I699" s="729"/>
      <c r="J699" s="729"/>
      <c r="K699" s="729"/>
      <c r="L699" s="729"/>
      <c r="M699" s="729"/>
      <c r="N699" s="729"/>
      <c r="O699" s="729"/>
      <c r="P699" s="1497">
        <f t="shared" si="56"/>
        <v>0</v>
      </c>
      <c r="Q699" s="1130">
        <f t="shared" si="57"/>
        <v>0</v>
      </c>
      <c r="R699" s="728"/>
      <c r="S699" s="729"/>
      <c r="T699" s="729"/>
      <c r="U699" s="729"/>
      <c r="V699" s="729"/>
      <c r="W699" s="729">
        <v>88000</v>
      </c>
      <c r="X699" s="729">
        <v>10000</v>
      </c>
      <c r="Y699" s="729">
        <v>0</v>
      </c>
      <c r="Z699" s="729"/>
      <c r="AA699" s="729"/>
      <c r="AB699" s="729"/>
      <c r="AC699" s="729"/>
      <c r="AD699" s="1130">
        <f t="shared" si="59"/>
        <v>98000</v>
      </c>
      <c r="AE699" s="868">
        <f t="shared" si="60"/>
        <v>1</v>
      </c>
      <c r="AF699" s="869">
        <f t="shared" si="58"/>
        <v>744</v>
      </c>
    </row>
    <row r="700" spans="1:32" x14ac:dyDescent="0.3">
      <c r="A700" s="297" t="s">
        <v>688</v>
      </c>
      <c r="B700" s="867" t="s">
        <v>2860</v>
      </c>
      <c r="C700" s="728"/>
      <c r="D700" s="729"/>
      <c r="E700" s="729"/>
      <c r="F700" s="729"/>
      <c r="G700" s="729"/>
      <c r="H700" s="729"/>
      <c r="I700" s="729"/>
      <c r="J700" s="729"/>
      <c r="K700" s="729"/>
      <c r="L700" s="729"/>
      <c r="M700" s="729"/>
      <c r="N700" s="729"/>
      <c r="O700" s="729"/>
      <c r="P700" s="1497">
        <f t="shared" si="56"/>
        <v>0</v>
      </c>
      <c r="Q700" s="1130">
        <f t="shared" si="57"/>
        <v>0</v>
      </c>
      <c r="R700" s="728"/>
      <c r="S700" s="729"/>
      <c r="T700" s="729"/>
      <c r="U700" s="729"/>
      <c r="V700" s="729"/>
      <c r="W700" s="729">
        <v>5000</v>
      </c>
      <c r="X700" s="729">
        <v>0</v>
      </c>
      <c r="Y700" s="729">
        <v>0</v>
      </c>
      <c r="Z700" s="729"/>
      <c r="AA700" s="729"/>
      <c r="AB700" s="729"/>
      <c r="AC700" s="729"/>
      <c r="AD700" s="1130">
        <f t="shared" si="59"/>
        <v>5000</v>
      </c>
      <c r="AE700" s="868">
        <f t="shared" si="60"/>
        <v>1</v>
      </c>
      <c r="AF700" s="869">
        <f t="shared" si="58"/>
        <v>972</v>
      </c>
    </row>
    <row r="701" spans="1:32" x14ac:dyDescent="0.3">
      <c r="A701" s="297" t="s">
        <v>688</v>
      </c>
      <c r="B701" s="867" t="s">
        <v>2926</v>
      </c>
      <c r="C701" s="728"/>
      <c r="D701" s="729"/>
      <c r="E701" s="729"/>
      <c r="F701" s="729"/>
      <c r="G701" s="729"/>
      <c r="H701" s="729"/>
      <c r="I701" s="729"/>
      <c r="J701" s="729"/>
      <c r="K701" s="729">
        <v>0</v>
      </c>
      <c r="L701" s="729"/>
      <c r="M701" s="729"/>
      <c r="N701" s="729"/>
      <c r="O701" s="729"/>
      <c r="P701" s="1497">
        <f t="shared" si="56"/>
        <v>0</v>
      </c>
      <c r="Q701" s="1130">
        <f t="shared" si="57"/>
        <v>0</v>
      </c>
      <c r="R701" s="728"/>
      <c r="S701" s="729"/>
      <c r="T701" s="729"/>
      <c r="U701" s="729"/>
      <c r="V701" s="729"/>
      <c r="W701" s="729"/>
      <c r="X701" s="729">
        <v>0</v>
      </c>
      <c r="Y701" s="729">
        <v>34500</v>
      </c>
      <c r="Z701" s="729"/>
      <c r="AA701" s="729"/>
      <c r="AB701" s="729"/>
      <c r="AC701" s="729"/>
      <c r="AD701" s="1130">
        <f t="shared" si="59"/>
        <v>34500</v>
      </c>
      <c r="AE701" s="868">
        <f t="shared" si="60"/>
        <v>1</v>
      </c>
      <c r="AF701" s="869">
        <f t="shared" si="58"/>
        <v>884</v>
      </c>
    </row>
    <row r="702" spans="1:32" x14ac:dyDescent="0.3">
      <c r="A702" s="297" t="s">
        <v>688</v>
      </c>
      <c r="B702" s="867" t="s">
        <v>2988</v>
      </c>
      <c r="C702" s="728"/>
      <c r="D702" s="729"/>
      <c r="E702" s="729"/>
      <c r="F702" s="729"/>
      <c r="G702" s="729"/>
      <c r="H702" s="729"/>
      <c r="I702" s="729"/>
      <c r="J702" s="729"/>
      <c r="K702" s="729"/>
      <c r="L702" s="729"/>
      <c r="M702" s="729"/>
      <c r="N702" s="729"/>
      <c r="O702" s="729"/>
      <c r="P702" s="1497">
        <f t="shared" si="56"/>
        <v>0</v>
      </c>
      <c r="Q702" s="1130">
        <f t="shared" si="57"/>
        <v>0</v>
      </c>
      <c r="R702" s="728"/>
      <c r="S702" s="729"/>
      <c r="T702" s="729"/>
      <c r="U702" s="729"/>
      <c r="V702" s="729"/>
      <c r="W702" s="729"/>
      <c r="X702" s="729">
        <v>10000</v>
      </c>
      <c r="Y702" s="729">
        <v>0</v>
      </c>
      <c r="Z702" s="729"/>
      <c r="AA702" s="729"/>
      <c r="AB702" s="729"/>
      <c r="AC702" s="729"/>
      <c r="AD702" s="1130">
        <f t="shared" si="59"/>
        <v>10000</v>
      </c>
      <c r="AE702" s="868">
        <f t="shared" si="60"/>
        <v>1</v>
      </c>
      <c r="AF702" s="869">
        <f t="shared" si="58"/>
        <v>958</v>
      </c>
    </row>
    <row r="703" spans="1:32" x14ac:dyDescent="0.3">
      <c r="A703" s="594" t="s">
        <v>691</v>
      </c>
      <c r="B703" s="688" t="s">
        <v>623</v>
      </c>
      <c r="C703" s="730"/>
      <c r="D703" s="731" t="s">
        <v>251</v>
      </c>
      <c r="E703" s="731"/>
      <c r="F703" s="731" t="s">
        <v>251</v>
      </c>
      <c r="G703" s="731" t="s">
        <v>251</v>
      </c>
      <c r="H703" s="731" t="s">
        <v>251</v>
      </c>
      <c r="I703" s="731" t="s">
        <v>251</v>
      </c>
      <c r="J703" s="731" t="s">
        <v>251</v>
      </c>
      <c r="K703" s="731"/>
      <c r="L703" s="731" t="s">
        <v>251</v>
      </c>
      <c r="M703" s="731" t="s">
        <v>251</v>
      </c>
      <c r="N703" s="731" t="s">
        <v>251</v>
      </c>
      <c r="O703" s="731" t="s">
        <v>251</v>
      </c>
      <c r="P703" s="1497">
        <f t="shared" si="56"/>
        <v>0</v>
      </c>
      <c r="Q703" s="1131">
        <f t="shared" si="57"/>
        <v>0</v>
      </c>
      <c r="R703" s="730"/>
      <c r="S703" s="731"/>
      <c r="T703" s="731"/>
      <c r="U703" s="731"/>
      <c r="V703" s="731"/>
      <c r="W703" s="731"/>
      <c r="X703" s="731"/>
      <c r="Y703" s="731"/>
      <c r="Z703" s="731"/>
      <c r="AA703" s="731"/>
      <c r="AB703" s="731"/>
      <c r="AC703" s="731"/>
      <c r="AD703" s="1131">
        <f t="shared" si="59"/>
        <v>0</v>
      </c>
      <c r="AE703" s="870">
        <f t="shared" si="60"/>
        <v>0</v>
      </c>
      <c r="AF703" s="871">
        <f t="shared" si="58"/>
        <v>983</v>
      </c>
    </row>
    <row r="704" spans="1:32" x14ac:dyDescent="0.3">
      <c r="A704" s="368" t="s">
        <v>2510</v>
      </c>
      <c r="B704" s="883" t="s">
        <v>1803</v>
      </c>
      <c r="C704" s="742"/>
      <c r="D704" s="743"/>
      <c r="E704" s="743"/>
      <c r="F704" s="743"/>
      <c r="G704" s="743"/>
      <c r="H704" s="743"/>
      <c r="I704" s="743"/>
      <c r="J704" s="743"/>
      <c r="K704" s="743"/>
      <c r="L704" s="743"/>
      <c r="M704" s="743"/>
      <c r="N704" s="743"/>
      <c r="O704" s="743"/>
      <c r="P704" s="1497">
        <f t="shared" si="56"/>
        <v>0</v>
      </c>
      <c r="Q704" s="1137">
        <f t="shared" si="57"/>
        <v>0</v>
      </c>
      <c r="R704" s="742">
        <v>685000</v>
      </c>
      <c r="S704" s="743">
        <v>313600</v>
      </c>
      <c r="T704" s="743">
        <v>77600</v>
      </c>
      <c r="U704" s="743">
        <v>345200</v>
      </c>
      <c r="V704" s="743">
        <v>188800</v>
      </c>
      <c r="W704" s="743">
        <v>912600</v>
      </c>
      <c r="X704" s="743"/>
      <c r="Y704" s="743"/>
      <c r="Z704" s="743"/>
      <c r="AA704" s="743"/>
      <c r="AB704" s="743"/>
      <c r="AC704" s="743"/>
      <c r="AD704" s="1137">
        <f t="shared" si="59"/>
        <v>2522800</v>
      </c>
      <c r="AE704" s="884">
        <f t="shared" si="60"/>
        <v>1</v>
      </c>
      <c r="AF704" s="885">
        <f t="shared" si="58"/>
        <v>171</v>
      </c>
    </row>
    <row r="705" spans="1:32" x14ac:dyDescent="0.3">
      <c r="A705" s="368" t="s">
        <v>2510</v>
      </c>
      <c r="B705" s="883" t="s">
        <v>619</v>
      </c>
      <c r="C705" s="742"/>
      <c r="D705" s="743"/>
      <c r="E705" s="743"/>
      <c r="F705" s="743"/>
      <c r="G705" s="743"/>
      <c r="H705" s="743"/>
      <c r="I705" s="743"/>
      <c r="J705" s="743"/>
      <c r="K705" s="743"/>
      <c r="L705" s="743"/>
      <c r="M705" s="743"/>
      <c r="N705" s="743"/>
      <c r="O705" s="743"/>
      <c r="P705" s="1497">
        <f t="shared" si="56"/>
        <v>0</v>
      </c>
      <c r="Q705" s="1137">
        <f t="shared" si="57"/>
        <v>0</v>
      </c>
      <c r="R705" s="742">
        <v>33800</v>
      </c>
      <c r="S705" s="743"/>
      <c r="T705" s="743">
        <v>144800</v>
      </c>
      <c r="U705" s="743">
        <v>0</v>
      </c>
      <c r="V705" s="743">
        <v>0</v>
      </c>
      <c r="W705" s="743">
        <v>0</v>
      </c>
      <c r="X705" s="743">
        <v>0</v>
      </c>
      <c r="Y705" s="743">
        <v>0</v>
      </c>
      <c r="Z705" s="743"/>
      <c r="AA705" s="743"/>
      <c r="AB705" s="743"/>
      <c r="AC705" s="743"/>
      <c r="AD705" s="1137">
        <f t="shared" si="59"/>
        <v>178600</v>
      </c>
      <c r="AE705" s="884">
        <f t="shared" si="60"/>
        <v>1</v>
      </c>
      <c r="AF705" s="885">
        <f t="shared" si="58"/>
        <v>640</v>
      </c>
    </row>
    <row r="706" spans="1:32" x14ac:dyDescent="0.3">
      <c r="A706" s="368" t="s">
        <v>2510</v>
      </c>
      <c r="B706" s="883" t="s">
        <v>2926</v>
      </c>
      <c r="C706" s="742"/>
      <c r="D706" s="743"/>
      <c r="E706" s="743"/>
      <c r="F706" s="743"/>
      <c r="G706" s="743"/>
      <c r="H706" s="743"/>
      <c r="I706" s="743"/>
      <c r="J706" s="743"/>
      <c r="K706" s="743"/>
      <c r="L706" s="743"/>
      <c r="M706" s="743"/>
      <c r="N706" s="743"/>
      <c r="O706" s="743"/>
      <c r="P706" s="1497">
        <f t="shared" si="56"/>
        <v>0</v>
      </c>
      <c r="Q706" s="1137">
        <f t="shared" si="57"/>
        <v>0</v>
      </c>
      <c r="R706" s="742"/>
      <c r="S706" s="743"/>
      <c r="T706" s="743"/>
      <c r="U706" s="743"/>
      <c r="V706" s="743"/>
      <c r="W706" s="743"/>
      <c r="X706" s="743">
        <v>116400</v>
      </c>
      <c r="Y706" s="743">
        <v>0</v>
      </c>
      <c r="Z706" s="743"/>
      <c r="AA706" s="743"/>
      <c r="AB706" s="743"/>
      <c r="AC706" s="743"/>
      <c r="AD706" s="1137">
        <f t="shared" si="59"/>
        <v>116400</v>
      </c>
      <c r="AE706" s="884">
        <f t="shared" si="60"/>
        <v>1</v>
      </c>
      <c r="AF706" s="885">
        <f t="shared" si="58"/>
        <v>722</v>
      </c>
    </row>
    <row r="707" spans="1:32" x14ac:dyDescent="0.3">
      <c r="A707" s="642" t="s">
        <v>2110</v>
      </c>
      <c r="B707" s="692" t="s">
        <v>690</v>
      </c>
      <c r="C707" s="732"/>
      <c r="D707" s="733" t="s">
        <v>251</v>
      </c>
      <c r="E707" s="733"/>
      <c r="F707" s="733" t="s">
        <v>251</v>
      </c>
      <c r="G707" s="733" t="s">
        <v>251</v>
      </c>
      <c r="H707" s="733" t="s">
        <v>251</v>
      </c>
      <c r="I707" s="733" t="s">
        <v>251</v>
      </c>
      <c r="J707" s="733" t="s">
        <v>251</v>
      </c>
      <c r="K707" s="733"/>
      <c r="L707" s="733" t="s">
        <v>251</v>
      </c>
      <c r="M707" s="733" t="s">
        <v>251</v>
      </c>
      <c r="N707" s="733" t="s">
        <v>251</v>
      </c>
      <c r="O707" s="733" t="s">
        <v>251</v>
      </c>
      <c r="P707" s="1497">
        <f t="shared" si="56"/>
        <v>0</v>
      </c>
      <c r="Q707" s="1132">
        <f t="shared" si="57"/>
        <v>0</v>
      </c>
      <c r="R707" s="732"/>
      <c r="S707" s="733"/>
      <c r="T707" s="733"/>
      <c r="U707" s="733"/>
      <c r="V707" s="733"/>
      <c r="W707" s="733"/>
      <c r="X707" s="733"/>
      <c r="Y707" s="733"/>
      <c r="Z707" s="733"/>
      <c r="AA707" s="733"/>
      <c r="AB707" s="733"/>
      <c r="AC707" s="733"/>
      <c r="AD707" s="1132">
        <f t="shared" si="59"/>
        <v>0</v>
      </c>
      <c r="AE707" s="645">
        <f t="shared" si="60"/>
        <v>0</v>
      </c>
      <c r="AF707" s="646">
        <f t="shared" si="58"/>
        <v>983</v>
      </c>
    </row>
    <row r="708" spans="1:32" x14ac:dyDescent="0.3">
      <c r="A708" s="642" t="s">
        <v>2110</v>
      </c>
      <c r="B708" s="692" t="s">
        <v>1064</v>
      </c>
      <c r="C708" s="732"/>
      <c r="D708" s="733" t="s">
        <v>251</v>
      </c>
      <c r="E708" s="733"/>
      <c r="F708" s="733" t="s">
        <v>251</v>
      </c>
      <c r="G708" s="733" t="s">
        <v>251</v>
      </c>
      <c r="H708" s="733" t="s">
        <v>251</v>
      </c>
      <c r="I708" s="733" t="s">
        <v>251</v>
      </c>
      <c r="J708" s="733" t="s">
        <v>251</v>
      </c>
      <c r="K708" s="733"/>
      <c r="L708" s="733" t="s">
        <v>251</v>
      </c>
      <c r="M708" s="733" t="s">
        <v>251</v>
      </c>
      <c r="N708" s="733" t="s">
        <v>251</v>
      </c>
      <c r="O708" s="733" t="s">
        <v>251</v>
      </c>
      <c r="P708" s="1497">
        <f t="shared" si="56"/>
        <v>0</v>
      </c>
      <c r="Q708" s="1132">
        <f t="shared" si="57"/>
        <v>0</v>
      </c>
      <c r="R708" s="732"/>
      <c r="S708" s="733"/>
      <c r="T708" s="733"/>
      <c r="U708" s="733"/>
      <c r="V708" s="733"/>
      <c r="W708" s="733"/>
      <c r="X708" s="733"/>
      <c r="Y708" s="733"/>
      <c r="Z708" s="733"/>
      <c r="AA708" s="733"/>
      <c r="AB708" s="733"/>
      <c r="AC708" s="733"/>
      <c r="AD708" s="1132">
        <f t="shared" si="59"/>
        <v>0</v>
      </c>
      <c r="AE708" s="645">
        <f t="shared" si="60"/>
        <v>0</v>
      </c>
      <c r="AF708" s="646">
        <f t="shared" si="58"/>
        <v>983</v>
      </c>
    </row>
    <row r="709" spans="1:32" x14ac:dyDescent="0.3">
      <c r="A709" s="872" t="s">
        <v>992</v>
      </c>
      <c r="B709" s="873" t="s">
        <v>2111</v>
      </c>
      <c r="C709" s="734"/>
      <c r="D709" s="735">
        <v>0</v>
      </c>
      <c r="E709" s="735"/>
      <c r="F709" s="735">
        <v>0</v>
      </c>
      <c r="G709" s="735">
        <v>0</v>
      </c>
      <c r="H709" s="735">
        <v>0</v>
      </c>
      <c r="I709" s="735">
        <v>30000</v>
      </c>
      <c r="J709" s="735">
        <v>0</v>
      </c>
      <c r="K709" s="735">
        <v>0</v>
      </c>
      <c r="L709" s="735">
        <v>0</v>
      </c>
      <c r="M709" s="735">
        <v>0</v>
      </c>
      <c r="N709" s="735">
        <v>0</v>
      </c>
      <c r="O709" s="735" t="s">
        <v>251</v>
      </c>
      <c r="P709" s="1497">
        <f t="shared" si="56"/>
        <v>30000</v>
      </c>
      <c r="Q709" s="1133">
        <f t="shared" si="57"/>
        <v>30000</v>
      </c>
      <c r="R709" s="734"/>
      <c r="S709" s="735"/>
      <c r="T709" s="735"/>
      <c r="U709" s="735"/>
      <c r="V709" s="735"/>
      <c r="W709" s="735"/>
      <c r="X709" s="735"/>
      <c r="Y709" s="735"/>
      <c r="Z709" s="735"/>
      <c r="AA709" s="735"/>
      <c r="AB709" s="735"/>
      <c r="AC709" s="735"/>
      <c r="AD709" s="1133">
        <f t="shared" si="59"/>
        <v>0</v>
      </c>
      <c r="AE709" s="874">
        <f t="shared" si="60"/>
        <v>-1</v>
      </c>
      <c r="AF709" s="875">
        <f t="shared" ref="AF709:AF772" si="61">IFERROR(_xlfn.RANK.EQ(AD709, $AD$2:$AD$2064), "")</f>
        <v>983</v>
      </c>
    </row>
    <row r="710" spans="1:32" x14ac:dyDescent="0.3">
      <c r="A710" s="876" t="s">
        <v>2112</v>
      </c>
      <c r="B710" s="877" t="s">
        <v>1286</v>
      </c>
      <c r="C710" s="736"/>
      <c r="D710" s="737" t="s">
        <v>251</v>
      </c>
      <c r="E710" s="737"/>
      <c r="F710" s="737" t="s">
        <v>251</v>
      </c>
      <c r="G710" s="737" t="s">
        <v>251</v>
      </c>
      <c r="H710" s="737" t="s">
        <v>251</v>
      </c>
      <c r="I710" s="737" t="s">
        <v>251</v>
      </c>
      <c r="J710" s="737" t="s">
        <v>251</v>
      </c>
      <c r="K710" s="737"/>
      <c r="L710" s="737" t="s">
        <v>251</v>
      </c>
      <c r="M710" s="737" t="s">
        <v>251</v>
      </c>
      <c r="N710" s="737" t="s">
        <v>251</v>
      </c>
      <c r="O710" s="737" t="s">
        <v>251</v>
      </c>
      <c r="P710" s="1497">
        <f t="shared" si="56"/>
        <v>0</v>
      </c>
      <c r="Q710" s="1134">
        <f t="shared" si="57"/>
        <v>0</v>
      </c>
      <c r="R710" s="736"/>
      <c r="S710" s="737"/>
      <c r="T710" s="737"/>
      <c r="U710" s="737"/>
      <c r="V710" s="737"/>
      <c r="W710" s="737"/>
      <c r="X710" s="737"/>
      <c r="Y710" s="737"/>
      <c r="Z710" s="737"/>
      <c r="AA710" s="737"/>
      <c r="AB710" s="737"/>
      <c r="AC710" s="737"/>
      <c r="AD710" s="1134">
        <f t="shared" si="59"/>
        <v>0</v>
      </c>
      <c r="AE710" s="878">
        <f t="shared" si="60"/>
        <v>0</v>
      </c>
      <c r="AF710" s="879">
        <f t="shared" si="61"/>
        <v>983</v>
      </c>
    </row>
    <row r="711" spans="1:32" x14ac:dyDescent="0.3">
      <c r="A711" s="876" t="s">
        <v>2112</v>
      </c>
      <c r="B711" s="877" t="s">
        <v>1581</v>
      </c>
      <c r="C711" s="736"/>
      <c r="D711" s="737" t="s">
        <v>251</v>
      </c>
      <c r="E711" s="737"/>
      <c r="F711" s="737" t="s">
        <v>251</v>
      </c>
      <c r="G711" s="737" t="s">
        <v>251</v>
      </c>
      <c r="H711" s="737" t="s">
        <v>251</v>
      </c>
      <c r="I711" s="737" t="s">
        <v>251</v>
      </c>
      <c r="J711" s="737" t="s">
        <v>251</v>
      </c>
      <c r="K711" s="737"/>
      <c r="L711" s="737" t="s">
        <v>251</v>
      </c>
      <c r="M711" s="737" t="s">
        <v>251</v>
      </c>
      <c r="N711" s="737" t="s">
        <v>251</v>
      </c>
      <c r="O711" s="737" t="s">
        <v>251</v>
      </c>
      <c r="P711" s="1497">
        <f t="shared" si="56"/>
        <v>0</v>
      </c>
      <c r="Q711" s="1134">
        <f t="shared" si="57"/>
        <v>0</v>
      </c>
      <c r="R711" s="736"/>
      <c r="S711" s="737"/>
      <c r="T711" s="737"/>
      <c r="U711" s="737"/>
      <c r="V711" s="737"/>
      <c r="W711" s="737"/>
      <c r="X711" s="737"/>
      <c r="Y711" s="737"/>
      <c r="Z711" s="737"/>
      <c r="AA711" s="737"/>
      <c r="AB711" s="737"/>
      <c r="AC711" s="737"/>
      <c r="AD711" s="1134">
        <f t="shared" si="59"/>
        <v>0</v>
      </c>
      <c r="AE711" s="878">
        <f t="shared" si="60"/>
        <v>0</v>
      </c>
      <c r="AF711" s="879">
        <f t="shared" si="61"/>
        <v>983</v>
      </c>
    </row>
    <row r="712" spans="1:32" x14ac:dyDescent="0.3">
      <c r="A712" s="16" t="s">
        <v>1278</v>
      </c>
      <c r="B712" s="658" t="s">
        <v>1279</v>
      </c>
      <c r="C712" s="738">
        <v>3392400</v>
      </c>
      <c r="D712" s="739">
        <v>5003200</v>
      </c>
      <c r="E712" s="739">
        <v>1328700</v>
      </c>
      <c r="F712" s="739">
        <v>0</v>
      </c>
      <c r="G712" s="739">
        <v>0</v>
      </c>
      <c r="H712" s="739">
        <v>0</v>
      </c>
      <c r="I712" s="739">
        <v>0</v>
      </c>
      <c r="J712" s="739">
        <v>704000</v>
      </c>
      <c r="K712" s="739">
        <v>704000</v>
      </c>
      <c r="L712" s="739">
        <v>665950</v>
      </c>
      <c r="M712" s="739">
        <v>1626750</v>
      </c>
      <c r="N712" s="739">
        <v>1350100</v>
      </c>
      <c r="O712" s="739">
        <v>1959650</v>
      </c>
      <c r="P712" s="1497">
        <f t="shared" si="56"/>
        <v>10428300</v>
      </c>
      <c r="Q712" s="1135">
        <f t="shared" si="57"/>
        <v>16030750</v>
      </c>
      <c r="R712" s="738">
        <v>253600</v>
      </c>
      <c r="S712" s="739">
        <v>3459900</v>
      </c>
      <c r="T712" s="739">
        <v>3062300</v>
      </c>
      <c r="U712" s="739">
        <v>0</v>
      </c>
      <c r="V712" s="739">
        <v>195000</v>
      </c>
      <c r="W712" s="739">
        <v>222400</v>
      </c>
      <c r="X712" s="739">
        <v>0</v>
      </c>
      <c r="Y712" s="739">
        <v>239700</v>
      </c>
      <c r="Z712" s="739"/>
      <c r="AA712" s="739"/>
      <c r="AB712" s="739"/>
      <c r="AC712" s="739"/>
      <c r="AD712" s="1135">
        <f t="shared" si="59"/>
        <v>7432900</v>
      </c>
      <c r="AE712" s="584">
        <f t="shared" si="60"/>
        <v>-0.28723761303376388</v>
      </c>
      <c r="AF712" s="585">
        <f t="shared" si="61"/>
        <v>55</v>
      </c>
    </row>
    <row r="713" spans="1:32" x14ac:dyDescent="0.3">
      <c r="A713" s="16" t="s">
        <v>1278</v>
      </c>
      <c r="B713" s="658" t="s">
        <v>1280</v>
      </c>
      <c r="C713" s="738">
        <v>45000</v>
      </c>
      <c r="D713" s="739">
        <v>8426300</v>
      </c>
      <c r="E713" s="739">
        <v>414100</v>
      </c>
      <c r="F713" s="739">
        <v>0</v>
      </c>
      <c r="G713" s="739">
        <v>0</v>
      </c>
      <c r="H713" s="739">
        <v>0</v>
      </c>
      <c r="I713" s="739">
        <v>0</v>
      </c>
      <c r="J713" s="739">
        <v>0</v>
      </c>
      <c r="K713" s="739">
        <v>0</v>
      </c>
      <c r="L713" s="739">
        <v>0</v>
      </c>
      <c r="M713" s="739">
        <v>0</v>
      </c>
      <c r="N713" s="739">
        <v>0</v>
      </c>
      <c r="O713" s="739" t="s">
        <v>251</v>
      </c>
      <c r="P713" s="1497">
        <f t="shared" si="56"/>
        <v>8885400</v>
      </c>
      <c r="Q713" s="1135">
        <f t="shared" si="57"/>
        <v>8885400</v>
      </c>
      <c r="R713" s="738"/>
      <c r="S713" s="739"/>
      <c r="T713" s="739"/>
      <c r="U713" s="739"/>
      <c r="V713" s="739"/>
      <c r="W713" s="739"/>
      <c r="X713" s="739"/>
      <c r="Y713" s="739"/>
      <c r="Z713" s="739"/>
      <c r="AA713" s="739"/>
      <c r="AB713" s="739"/>
      <c r="AC713" s="739"/>
      <c r="AD713" s="1135">
        <f t="shared" si="59"/>
        <v>0</v>
      </c>
      <c r="AE713" s="584">
        <f t="shared" si="60"/>
        <v>-1</v>
      </c>
      <c r="AF713" s="585">
        <f t="shared" si="61"/>
        <v>983</v>
      </c>
    </row>
    <row r="714" spans="1:32" x14ac:dyDescent="0.3">
      <c r="A714" s="16" t="s">
        <v>1278</v>
      </c>
      <c r="B714" s="658" t="s">
        <v>1281</v>
      </c>
      <c r="C714" s="738">
        <v>933700</v>
      </c>
      <c r="D714" s="739">
        <v>0</v>
      </c>
      <c r="E714" s="739"/>
      <c r="F714" s="739">
        <v>0</v>
      </c>
      <c r="G714" s="739">
        <v>0</v>
      </c>
      <c r="H714" s="739">
        <v>0</v>
      </c>
      <c r="I714" s="739">
        <v>972900</v>
      </c>
      <c r="J714" s="739">
        <v>636100</v>
      </c>
      <c r="K714" s="739">
        <v>636100</v>
      </c>
      <c r="L714" s="739">
        <v>0</v>
      </c>
      <c r="M714" s="739">
        <v>0</v>
      </c>
      <c r="N714" s="739">
        <v>0</v>
      </c>
      <c r="O714" s="739" t="s">
        <v>251</v>
      </c>
      <c r="P714" s="1497">
        <f t="shared" ref="P714:P779" si="62">SUM(C714:I714,K714)</f>
        <v>2542700</v>
      </c>
      <c r="Q714" s="1135">
        <f t="shared" ref="Q714:Q779" si="63">SUM(C714:J714,L714:O714)</f>
        <v>2542700</v>
      </c>
      <c r="R714" s="738"/>
      <c r="S714" s="739"/>
      <c r="T714" s="739"/>
      <c r="U714" s="739"/>
      <c r="V714" s="739"/>
      <c r="W714" s="739"/>
      <c r="X714" s="739"/>
      <c r="Y714" s="739"/>
      <c r="Z714" s="739"/>
      <c r="AA714" s="739"/>
      <c r="AB714" s="739"/>
      <c r="AC714" s="739"/>
      <c r="AD714" s="1135">
        <f t="shared" si="59"/>
        <v>0</v>
      </c>
      <c r="AE714" s="584">
        <f t="shared" si="60"/>
        <v>-1</v>
      </c>
      <c r="AF714" s="585">
        <f t="shared" si="61"/>
        <v>983</v>
      </c>
    </row>
    <row r="715" spans="1:32" x14ac:dyDescent="0.3">
      <c r="A715" s="16" t="s">
        <v>1278</v>
      </c>
      <c r="B715" s="658" t="s">
        <v>1282</v>
      </c>
      <c r="C715" s="738"/>
      <c r="D715" s="739">
        <v>25800</v>
      </c>
      <c r="E715" s="739">
        <v>50000</v>
      </c>
      <c r="F715" s="739">
        <v>0</v>
      </c>
      <c r="G715" s="739">
        <v>0</v>
      </c>
      <c r="H715" s="739">
        <v>0</v>
      </c>
      <c r="I715" s="739">
        <v>0</v>
      </c>
      <c r="J715" s="739">
        <v>0</v>
      </c>
      <c r="K715" s="739">
        <v>0</v>
      </c>
      <c r="L715" s="739">
        <v>0</v>
      </c>
      <c r="M715" s="739">
        <v>0</v>
      </c>
      <c r="N715" s="739">
        <v>0</v>
      </c>
      <c r="O715" s="739" t="s">
        <v>251</v>
      </c>
      <c r="P715" s="1497">
        <f t="shared" si="62"/>
        <v>75800</v>
      </c>
      <c r="Q715" s="1135">
        <f t="shared" si="63"/>
        <v>75800</v>
      </c>
      <c r="R715" s="738"/>
      <c r="S715" s="739"/>
      <c r="T715" s="739"/>
      <c r="U715" s="739"/>
      <c r="V715" s="739"/>
      <c r="W715" s="739"/>
      <c r="X715" s="739"/>
      <c r="Y715" s="739"/>
      <c r="Z715" s="739"/>
      <c r="AA715" s="739"/>
      <c r="AB715" s="739"/>
      <c r="AC715" s="739"/>
      <c r="AD715" s="1135">
        <f t="shared" si="59"/>
        <v>0</v>
      </c>
      <c r="AE715" s="584">
        <f t="shared" si="60"/>
        <v>-1</v>
      </c>
      <c r="AF715" s="585">
        <f t="shared" si="61"/>
        <v>983</v>
      </c>
    </row>
    <row r="716" spans="1:32" x14ac:dyDescent="0.3">
      <c r="A716" s="16" t="s">
        <v>1278</v>
      </c>
      <c r="B716" s="658" t="s">
        <v>1283</v>
      </c>
      <c r="C716" s="738">
        <v>38800</v>
      </c>
      <c r="D716" s="739">
        <v>0</v>
      </c>
      <c r="E716" s="739"/>
      <c r="F716" s="739">
        <v>0</v>
      </c>
      <c r="G716" s="739">
        <v>0</v>
      </c>
      <c r="H716" s="739">
        <v>0</v>
      </c>
      <c r="I716" s="739">
        <v>0</v>
      </c>
      <c r="J716" s="739">
        <v>0</v>
      </c>
      <c r="K716" s="739">
        <v>0</v>
      </c>
      <c r="L716" s="739">
        <v>0</v>
      </c>
      <c r="M716" s="739">
        <v>0</v>
      </c>
      <c r="N716" s="739">
        <v>0</v>
      </c>
      <c r="O716" s="739" t="s">
        <v>251</v>
      </c>
      <c r="P716" s="1497">
        <f t="shared" si="62"/>
        <v>38800</v>
      </c>
      <c r="Q716" s="1135">
        <f t="shared" si="63"/>
        <v>38800</v>
      </c>
      <c r="R716" s="738"/>
      <c r="S716" s="739"/>
      <c r="T716" s="739"/>
      <c r="U716" s="739"/>
      <c r="V716" s="739"/>
      <c r="W716" s="739"/>
      <c r="X716" s="739"/>
      <c r="Y716" s="739"/>
      <c r="Z716" s="739"/>
      <c r="AA716" s="739"/>
      <c r="AB716" s="739"/>
      <c r="AC716" s="739"/>
      <c r="AD716" s="1135">
        <f t="shared" si="59"/>
        <v>0</v>
      </c>
      <c r="AE716" s="584">
        <f t="shared" si="60"/>
        <v>-1</v>
      </c>
      <c r="AF716" s="585">
        <f t="shared" si="61"/>
        <v>983</v>
      </c>
    </row>
    <row r="717" spans="1:32" x14ac:dyDescent="0.3">
      <c r="A717" s="16" t="s">
        <v>1278</v>
      </c>
      <c r="B717" s="658" t="s">
        <v>1060</v>
      </c>
      <c r="C717" s="738" t="s">
        <v>251</v>
      </c>
      <c r="D717" s="739" t="s">
        <v>251</v>
      </c>
      <c r="E717" s="739" t="s">
        <v>251</v>
      </c>
      <c r="F717" s="739" t="s">
        <v>251</v>
      </c>
      <c r="G717" s="739" t="s">
        <v>251</v>
      </c>
      <c r="H717" s="739" t="s">
        <v>251</v>
      </c>
      <c r="I717" s="739" t="s">
        <v>251</v>
      </c>
      <c r="J717" s="739" t="s">
        <v>251</v>
      </c>
      <c r="K717" s="739"/>
      <c r="L717" s="739" t="s">
        <v>251</v>
      </c>
      <c r="M717" s="739" t="s">
        <v>251</v>
      </c>
      <c r="N717" s="739" t="s">
        <v>251</v>
      </c>
      <c r="O717" s="739" t="s">
        <v>251</v>
      </c>
      <c r="P717" s="1497">
        <f t="shared" si="62"/>
        <v>0</v>
      </c>
      <c r="Q717" s="1135">
        <f t="shared" si="63"/>
        <v>0</v>
      </c>
      <c r="R717" s="738"/>
      <c r="S717" s="739"/>
      <c r="T717" s="739"/>
      <c r="U717" s="739"/>
      <c r="V717" s="739"/>
      <c r="W717" s="739"/>
      <c r="X717" s="739"/>
      <c r="Y717" s="739"/>
      <c r="Z717" s="739"/>
      <c r="AA717" s="739"/>
      <c r="AB717" s="739"/>
      <c r="AC717" s="739"/>
      <c r="AD717" s="1135">
        <f t="shared" si="59"/>
        <v>0</v>
      </c>
      <c r="AE717" s="584">
        <f t="shared" si="60"/>
        <v>0</v>
      </c>
      <c r="AF717" s="585">
        <f t="shared" si="61"/>
        <v>983</v>
      </c>
    </row>
    <row r="718" spans="1:32" x14ac:dyDescent="0.3">
      <c r="A718" s="16" t="s">
        <v>1278</v>
      </c>
      <c r="B718" s="658" t="s">
        <v>1284</v>
      </c>
      <c r="C718" s="738"/>
      <c r="D718" s="739">
        <v>0</v>
      </c>
      <c r="E718" s="739"/>
      <c r="F718" s="739">
        <v>0</v>
      </c>
      <c r="G718" s="739">
        <v>0</v>
      </c>
      <c r="H718" s="739">
        <v>0</v>
      </c>
      <c r="I718" s="739">
        <v>0</v>
      </c>
      <c r="J718" s="739">
        <v>77000</v>
      </c>
      <c r="K718" s="739">
        <v>77000</v>
      </c>
      <c r="L718" s="739">
        <v>0</v>
      </c>
      <c r="M718" s="739">
        <v>0</v>
      </c>
      <c r="N718" s="739">
        <v>0</v>
      </c>
      <c r="O718" s="739" t="s">
        <v>251</v>
      </c>
      <c r="P718" s="1497">
        <f t="shared" si="62"/>
        <v>77000</v>
      </c>
      <c r="Q718" s="1135">
        <f t="shared" si="63"/>
        <v>77000</v>
      </c>
      <c r="R718" s="738">
        <v>77000</v>
      </c>
      <c r="S718" s="739">
        <v>82000</v>
      </c>
      <c r="T718" s="739">
        <v>0</v>
      </c>
      <c r="U718" s="739">
        <v>0</v>
      </c>
      <c r="V718" s="739">
        <v>0</v>
      </c>
      <c r="W718" s="739">
        <v>0</v>
      </c>
      <c r="X718" s="739">
        <v>0</v>
      </c>
      <c r="Y718" s="739">
        <v>0</v>
      </c>
      <c r="Z718" s="739"/>
      <c r="AA718" s="739"/>
      <c r="AB718" s="739"/>
      <c r="AC718" s="739"/>
      <c r="AD718" s="1135">
        <f t="shared" si="59"/>
        <v>159000</v>
      </c>
      <c r="AE718" s="584">
        <f t="shared" si="60"/>
        <v>1.0649350649350648</v>
      </c>
      <c r="AF718" s="585">
        <f t="shared" si="61"/>
        <v>664</v>
      </c>
    </row>
    <row r="719" spans="1:32" x14ac:dyDescent="0.3">
      <c r="A719" s="299" t="s">
        <v>1285</v>
      </c>
      <c r="B719" s="880" t="s">
        <v>1286</v>
      </c>
      <c r="C719" s="740">
        <v>2869200</v>
      </c>
      <c r="D719" s="741">
        <v>1488300</v>
      </c>
      <c r="E719" s="741">
        <v>4341900</v>
      </c>
      <c r="F719" s="741">
        <v>2842300</v>
      </c>
      <c r="G719" s="741">
        <v>3407500</v>
      </c>
      <c r="H719" s="741">
        <v>1156000</v>
      </c>
      <c r="I719" s="741">
        <v>1206200</v>
      </c>
      <c r="J719" s="741">
        <v>17000</v>
      </c>
      <c r="K719" s="741">
        <v>0</v>
      </c>
      <c r="L719" s="741">
        <v>0</v>
      </c>
      <c r="M719" s="741">
        <v>0</v>
      </c>
      <c r="N719" s="741">
        <v>0</v>
      </c>
      <c r="O719" s="741" t="s">
        <v>251</v>
      </c>
      <c r="P719" s="1497">
        <f t="shared" si="62"/>
        <v>17311400</v>
      </c>
      <c r="Q719" s="1136">
        <f t="shared" si="63"/>
        <v>17328400</v>
      </c>
      <c r="R719" s="740"/>
      <c r="S719" s="741"/>
      <c r="T719" s="741"/>
      <c r="U719" s="741"/>
      <c r="V719" s="741"/>
      <c r="W719" s="741"/>
      <c r="X719" s="741"/>
      <c r="Y719" s="741"/>
      <c r="Z719" s="741"/>
      <c r="AA719" s="741"/>
      <c r="AB719" s="741"/>
      <c r="AC719" s="741"/>
      <c r="AD719" s="1136">
        <f t="shared" si="59"/>
        <v>0</v>
      </c>
      <c r="AE719" s="881">
        <f t="shared" si="60"/>
        <v>-1</v>
      </c>
      <c r="AF719" s="882">
        <f t="shared" si="61"/>
        <v>983</v>
      </c>
    </row>
    <row r="720" spans="1:32" x14ac:dyDescent="0.3">
      <c r="A720" s="299" t="s">
        <v>1285</v>
      </c>
      <c r="B720" s="880" t="s">
        <v>374</v>
      </c>
      <c r="C720" s="740"/>
      <c r="D720" s="741">
        <v>0</v>
      </c>
      <c r="E720" s="741">
        <v>1207200</v>
      </c>
      <c r="F720" s="741">
        <v>0</v>
      </c>
      <c r="G720" s="741">
        <v>1782200</v>
      </c>
      <c r="H720" s="741">
        <v>1399400</v>
      </c>
      <c r="I720" s="741">
        <v>1797800</v>
      </c>
      <c r="J720" s="741">
        <v>24400</v>
      </c>
      <c r="K720" s="741">
        <v>24400</v>
      </c>
      <c r="L720" s="741">
        <v>0</v>
      </c>
      <c r="M720" s="741">
        <v>0</v>
      </c>
      <c r="N720" s="741">
        <v>0</v>
      </c>
      <c r="O720" s="741" t="s">
        <v>251</v>
      </c>
      <c r="P720" s="1497">
        <f t="shared" si="62"/>
        <v>6211000</v>
      </c>
      <c r="Q720" s="1136">
        <f t="shared" si="63"/>
        <v>6211000</v>
      </c>
      <c r="R720" s="740"/>
      <c r="S720" s="741"/>
      <c r="T720" s="741"/>
      <c r="U720" s="741">
        <v>375800</v>
      </c>
      <c r="V720" s="741">
        <v>0</v>
      </c>
      <c r="W720" s="741">
        <v>1612800</v>
      </c>
      <c r="X720" s="741">
        <v>1356900</v>
      </c>
      <c r="Y720" s="741">
        <v>979000</v>
      </c>
      <c r="Z720" s="741"/>
      <c r="AA720" s="741"/>
      <c r="AB720" s="741"/>
      <c r="AC720" s="741"/>
      <c r="AD720" s="1136">
        <f t="shared" si="59"/>
        <v>4324500</v>
      </c>
      <c r="AE720" s="881">
        <f t="shared" si="60"/>
        <v>-0.30373530832394141</v>
      </c>
      <c r="AF720" s="882">
        <f t="shared" si="61"/>
        <v>103</v>
      </c>
    </row>
    <row r="721" spans="1:32" x14ac:dyDescent="0.3">
      <c r="A721" s="299" t="s">
        <v>1285</v>
      </c>
      <c r="B721" s="880" t="s">
        <v>1287</v>
      </c>
      <c r="C721" s="740"/>
      <c r="D721" s="741" t="s">
        <v>251</v>
      </c>
      <c r="E721" s="741" t="s">
        <v>251</v>
      </c>
      <c r="F721" s="741" t="s">
        <v>251</v>
      </c>
      <c r="G721" s="741" t="s">
        <v>251</v>
      </c>
      <c r="H721" s="741" t="s">
        <v>251</v>
      </c>
      <c r="I721" s="741" t="s">
        <v>251</v>
      </c>
      <c r="J721" s="741" t="s">
        <v>251</v>
      </c>
      <c r="K721" s="741"/>
      <c r="L721" s="741" t="s">
        <v>251</v>
      </c>
      <c r="M721" s="741" t="s">
        <v>251</v>
      </c>
      <c r="N721" s="741" t="s">
        <v>251</v>
      </c>
      <c r="O721" s="741" t="s">
        <v>251</v>
      </c>
      <c r="P721" s="1497">
        <f t="shared" si="62"/>
        <v>0</v>
      </c>
      <c r="Q721" s="1136">
        <f t="shared" si="63"/>
        <v>0</v>
      </c>
      <c r="R721" s="740"/>
      <c r="S721" s="741"/>
      <c r="T721" s="741"/>
      <c r="U721" s="741"/>
      <c r="V721" s="741"/>
      <c r="W721" s="741"/>
      <c r="X721" s="741"/>
      <c r="Y721" s="741"/>
      <c r="Z721" s="741"/>
      <c r="AA721" s="741"/>
      <c r="AB721" s="741"/>
      <c r="AC721" s="741"/>
      <c r="AD721" s="1136">
        <f t="shared" si="59"/>
        <v>0</v>
      </c>
      <c r="AE721" s="881">
        <f t="shared" si="60"/>
        <v>0</v>
      </c>
      <c r="AF721" s="882">
        <f t="shared" si="61"/>
        <v>983</v>
      </c>
    </row>
    <row r="722" spans="1:32" x14ac:dyDescent="0.3">
      <c r="A722" s="299" t="s">
        <v>1285</v>
      </c>
      <c r="B722" s="880" t="s">
        <v>1288</v>
      </c>
      <c r="C722" s="740"/>
      <c r="D722" s="741">
        <v>0</v>
      </c>
      <c r="E722" s="741">
        <v>173800</v>
      </c>
      <c r="F722" s="741">
        <v>346200</v>
      </c>
      <c r="G722" s="741">
        <v>0</v>
      </c>
      <c r="H722" s="741">
        <v>0</v>
      </c>
      <c r="I722" s="741">
        <v>0</v>
      </c>
      <c r="J722" s="741">
        <v>0</v>
      </c>
      <c r="K722" s="741">
        <v>0</v>
      </c>
      <c r="L722" s="741">
        <v>0</v>
      </c>
      <c r="M722" s="741">
        <v>0</v>
      </c>
      <c r="N722" s="741">
        <v>0</v>
      </c>
      <c r="O722" s="741" t="s">
        <v>251</v>
      </c>
      <c r="P722" s="1497">
        <f t="shared" si="62"/>
        <v>520000</v>
      </c>
      <c r="Q722" s="1136">
        <f t="shared" si="63"/>
        <v>520000</v>
      </c>
      <c r="R722" s="740"/>
      <c r="S722" s="741"/>
      <c r="T722" s="741"/>
      <c r="U722" s="741"/>
      <c r="V722" s="741"/>
      <c r="W722" s="741"/>
      <c r="X722" s="741"/>
      <c r="Y722" s="741"/>
      <c r="Z722" s="741"/>
      <c r="AA722" s="741"/>
      <c r="AB722" s="741"/>
      <c r="AC722" s="741"/>
      <c r="AD722" s="1136">
        <f t="shared" si="59"/>
        <v>0</v>
      </c>
      <c r="AE722" s="881">
        <f t="shared" si="60"/>
        <v>-1</v>
      </c>
      <c r="AF722" s="882">
        <f t="shared" si="61"/>
        <v>983</v>
      </c>
    </row>
    <row r="723" spans="1:32" x14ac:dyDescent="0.3">
      <c r="A723" s="299" t="s">
        <v>1285</v>
      </c>
      <c r="B723" s="880" t="s">
        <v>405</v>
      </c>
      <c r="C723" s="740"/>
      <c r="D723" s="741">
        <v>0</v>
      </c>
      <c r="E723" s="741"/>
      <c r="F723" s="741">
        <v>0</v>
      </c>
      <c r="G723" s="741">
        <v>0</v>
      </c>
      <c r="H723" s="741">
        <v>0</v>
      </c>
      <c r="I723" s="741">
        <v>68200</v>
      </c>
      <c r="J723" s="741">
        <v>0</v>
      </c>
      <c r="K723" s="741">
        <v>0</v>
      </c>
      <c r="L723" s="741">
        <v>0</v>
      </c>
      <c r="M723" s="741">
        <v>0</v>
      </c>
      <c r="N723" s="741">
        <v>0</v>
      </c>
      <c r="O723" s="741" t="s">
        <v>251</v>
      </c>
      <c r="P723" s="1497">
        <f t="shared" si="62"/>
        <v>68200</v>
      </c>
      <c r="Q723" s="1136">
        <f t="shared" si="63"/>
        <v>68200</v>
      </c>
      <c r="R723" s="740"/>
      <c r="S723" s="741"/>
      <c r="T723" s="741"/>
      <c r="U723" s="741"/>
      <c r="V723" s="741"/>
      <c r="W723" s="741"/>
      <c r="X723" s="741"/>
      <c r="Y723" s="741"/>
      <c r="Z723" s="741"/>
      <c r="AA723" s="741"/>
      <c r="AB723" s="741"/>
      <c r="AC723" s="741"/>
      <c r="AD723" s="1136">
        <f t="shared" si="59"/>
        <v>0</v>
      </c>
      <c r="AE723" s="881">
        <f t="shared" si="60"/>
        <v>-1</v>
      </c>
      <c r="AF723" s="882">
        <f t="shared" si="61"/>
        <v>983</v>
      </c>
    </row>
    <row r="724" spans="1:32" x14ac:dyDescent="0.3">
      <c r="A724" s="299" t="s">
        <v>1285</v>
      </c>
      <c r="B724" s="880" t="s">
        <v>883</v>
      </c>
      <c r="C724" s="740"/>
      <c r="D724" s="741">
        <v>0</v>
      </c>
      <c r="E724" s="741"/>
      <c r="F724" s="741">
        <v>0</v>
      </c>
      <c r="G724" s="741">
        <v>0</v>
      </c>
      <c r="H724" s="741">
        <v>0</v>
      </c>
      <c r="I724" s="741">
        <v>0</v>
      </c>
      <c r="J724" s="741">
        <v>0</v>
      </c>
      <c r="K724" s="741"/>
      <c r="L724" s="741">
        <v>0</v>
      </c>
      <c r="M724" s="741">
        <v>41000</v>
      </c>
      <c r="N724" s="741">
        <v>142000</v>
      </c>
      <c r="O724" s="741" t="s">
        <v>251</v>
      </c>
      <c r="P724" s="1497">
        <f t="shared" si="62"/>
        <v>0</v>
      </c>
      <c r="Q724" s="1136">
        <f t="shared" si="63"/>
        <v>183000</v>
      </c>
      <c r="R724" s="740"/>
      <c r="S724" s="741"/>
      <c r="T724" s="741"/>
      <c r="U724" s="741"/>
      <c r="V724" s="741"/>
      <c r="W724" s="741"/>
      <c r="X724" s="741"/>
      <c r="Y724" s="741"/>
      <c r="Z724" s="741"/>
      <c r="AA724" s="741"/>
      <c r="AB724" s="741"/>
      <c r="AC724" s="741"/>
      <c r="AD724" s="1136">
        <f t="shared" si="59"/>
        <v>0</v>
      </c>
      <c r="AE724" s="881">
        <f t="shared" si="60"/>
        <v>0</v>
      </c>
      <c r="AF724" s="882">
        <f t="shared" si="61"/>
        <v>983</v>
      </c>
    </row>
    <row r="725" spans="1:32" x14ac:dyDescent="0.3">
      <c r="A725" s="299" t="s">
        <v>1285</v>
      </c>
      <c r="B725" s="880" t="s">
        <v>1813</v>
      </c>
      <c r="C725" s="740"/>
      <c r="D725" s="741" t="s">
        <v>251</v>
      </c>
      <c r="E725" s="741"/>
      <c r="F725" s="741" t="s">
        <v>251</v>
      </c>
      <c r="G725" s="741" t="s">
        <v>251</v>
      </c>
      <c r="H725" s="741" t="s">
        <v>251</v>
      </c>
      <c r="I725" s="741" t="s">
        <v>251</v>
      </c>
      <c r="J725" s="741" t="s">
        <v>251</v>
      </c>
      <c r="K725" s="741"/>
      <c r="L725" s="741" t="s">
        <v>251</v>
      </c>
      <c r="M725" s="741" t="s">
        <v>251</v>
      </c>
      <c r="N725" s="741" t="s">
        <v>251</v>
      </c>
      <c r="O725" s="741" t="s">
        <v>251</v>
      </c>
      <c r="P725" s="1497">
        <f t="shared" si="62"/>
        <v>0</v>
      </c>
      <c r="Q725" s="1136">
        <f t="shared" si="63"/>
        <v>0</v>
      </c>
      <c r="R725" s="740"/>
      <c r="S725" s="741"/>
      <c r="T725" s="741"/>
      <c r="U725" s="741"/>
      <c r="V725" s="741"/>
      <c r="W725" s="741"/>
      <c r="X725" s="741"/>
      <c r="Y725" s="741"/>
      <c r="Z725" s="741"/>
      <c r="AA725" s="741"/>
      <c r="AB725" s="741"/>
      <c r="AC725" s="741"/>
      <c r="AD725" s="1136">
        <f t="shared" si="59"/>
        <v>0</v>
      </c>
      <c r="AE725" s="881">
        <f t="shared" si="60"/>
        <v>0</v>
      </c>
      <c r="AF725" s="882">
        <f t="shared" si="61"/>
        <v>983</v>
      </c>
    </row>
    <row r="726" spans="1:32" x14ac:dyDescent="0.3">
      <c r="A726" s="368" t="s">
        <v>675</v>
      </c>
      <c r="B726" s="883" t="s">
        <v>1548</v>
      </c>
      <c r="C726" s="742"/>
      <c r="D726" s="743">
        <v>0</v>
      </c>
      <c r="E726" s="743"/>
      <c r="F726" s="743">
        <v>0</v>
      </c>
      <c r="G726" s="743">
        <v>0</v>
      </c>
      <c r="H726" s="743">
        <v>0</v>
      </c>
      <c r="I726" s="743">
        <v>0</v>
      </c>
      <c r="J726" s="743">
        <v>0</v>
      </c>
      <c r="K726" s="743"/>
      <c r="L726" s="743">
        <v>290000</v>
      </c>
      <c r="M726" s="743">
        <v>0</v>
      </c>
      <c r="N726" s="743">
        <v>0</v>
      </c>
      <c r="O726" s="743" t="s">
        <v>251</v>
      </c>
      <c r="P726" s="1497">
        <f t="shared" si="62"/>
        <v>0</v>
      </c>
      <c r="Q726" s="1137">
        <f t="shared" si="63"/>
        <v>290000</v>
      </c>
      <c r="R726" s="742"/>
      <c r="S726" s="743"/>
      <c r="T726" s="743"/>
      <c r="U726" s="743"/>
      <c r="V726" s="743"/>
      <c r="W726" s="743"/>
      <c r="X726" s="743"/>
      <c r="Y726" s="743"/>
      <c r="Z726" s="743"/>
      <c r="AA726" s="743"/>
      <c r="AB726" s="743"/>
      <c r="AC726" s="743"/>
      <c r="AD726" s="1137">
        <f t="shared" si="59"/>
        <v>0</v>
      </c>
      <c r="AE726" s="884">
        <f t="shared" si="60"/>
        <v>0</v>
      </c>
      <c r="AF726" s="885">
        <f t="shared" si="61"/>
        <v>983</v>
      </c>
    </row>
    <row r="727" spans="1:32" x14ac:dyDescent="0.3">
      <c r="A727" s="368" t="s">
        <v>675</v>
      </c>
      <c r="B727" s="883" t="s">
        <v>658</v>
      </c>
      <c r="C727" s="742"/>
      <c r="D727" s="743">
        <v>0</v>
      </c>
      <c r="E727" s="743"/>
      <c r="F727" s="743">
        <v>0</v>
      </c>
      <c r="G727" s="743">
        <v>0</v>
      </c>
      <c r="H727" s="743">
        <v>0</v>
      </c>
      <c r="I727" s="743">
        <v>0</v>
      </c>
      <c r="J727" s="743">
        <v>0</v>
      </c>
      <c r="K727" s="743"/>
      <c r="L727" s="743">
        <v>125700</v>
      </c>
      <c r="M727" s="743">
        <v>0</v>
      </c>
      <c r="N727" s="743">
        <v>66800</v>
      </c>
      <c r="O727" s="743">
        <v>55400</v>
      </c>
      <c r="P727" s="1497">
        <f t="shared" si="62"/>
        <v>0</v>
      </c>
      <c r="Q727" s="1137">
        <f t="shared" si="63"/>
        <v>247900</v>
      </c>
      <c r="R727" s="742"/>
      <c r="S727" s="743"/>
      <c r="T727" s="743">
        <v>385100</v>
      </c>
      <c r="U727" s="743">
        <v>670600</v>
      </c>
      <c r="V727" s="743">
        <v>1353400</v>
      </c>
      <c r="W727" s="743">
        <v>669200</v>
      </c>
      <c r="X727" s="743">
        <v>133700</v>
      </c>
      <c r="Y727" s="743">
        <v>1431100</v>
      </c>
      <c r="Z727" s="743"/>
      <c r="AA727" s="743"/>
      <c r="AB727" s="743"/>
      <c r="AC727" s="743"/>
      <c r="AD727" s="1137">
        <f t="shared" si="59"/>
        <v>4643100</v>
      </c>
      <c r="AE727" s="884">
        <f t="shared" si="60"/>
        <v>1</v>
      </c>
      <c r="AF727" s="885">
        <f t="shared" si="61"/>
        <v>96</v>
      </c>
    </row>
    <row r="728" spans="1:32" x14ac:dyDescent="0.3">
      <c r="A728" s="368" t="s">
        <v>675</v>
      </c>
      <c r="B728" s="883" t="s">
        <v>800</v>
      </c>
      <c r="C728" s="742"/>
      <c r="D728" s="743">
        <v>0</v>
      </c>
      <c r="E728" s="743"/>
      <c r="F728" s="743">
        <v>0</v>
      </c>
      <c r="G728" s="743">
        <v>0</v>
      </c>
      <c r="H728" s="743">
        <v>0</v>
      </c>
      <c r="I728" s="743">
        <v>0</v>
      </c>
      <c r="J728" s="743">
        <v>0</v>
      </c>
      <c r="K728" s="743"/>
      <c r="L728" s="743">
        <v>130700</v>
      </c>
      <c r="M728" s="743">
        <v>0</v>
      </c>
      <c r="N728" s="743">
        <v>0</v>
      </c>
      <c r="O728" s="743" t="s">
        <v>251</v>
      </c>
      <c r="P728" s="1497">
        <f t="shared" si="62"/>
        <v>0</v>
      </c>
      <c r="Q728" s="1137">
        <f t="shared" si="63"/>
        <v>130700</v>
      </c>
      <c r="R728" s="742"/>
      <c r="S728" s="743"/>
      <c r="T728" s="743"/>
      <c r="U728" s="743"/>
      <c r="V728" s="743"/>
      <c r="W728" s="743">
        <v>130700</v>
      </c>
      <c r="X728" s="743">
        <v>0</v>
      </c>
      <c r="Y728" s="743">
        <v>0</v>
      </c>
      <c r="Z728" s="743"/>
      <c r="AA728" s="743"/>
      <c r="AB728" s="743"/>
      <c r="AC728" s="743"/>
      <c r="AD728" s="1137">
        <f t="shared" si="59"/>
        <v>130700</v>
      </c>
      <c r="AE728" s="884">
        <f t="shared" si="60"/>
        <v>1</v>
      </c>
      <c r="AF728" s="885">
        <f t="shared" si="61"/>
        <v>698</v>
      </c>
    </row>
    <row r="729" spans="1:32" x14ac:dyDescent="0.3">
      <c r="A729" s="368" t="s">
        <v>675</v>
      </c>
      <c r="B729" s="883" t="s">
        <v>2113</v>
      </c>
      <c r="C729" s="742"/>
      <c r="D729" s="743">
        <v>0</v>
      </c>
      <c r="E729" s="743"/>
      <c r="F729" s="743">
        <v>0</v>
      </c>
      <c r="G729" s="743">
        <v>0</v>
      </c>
      <c r="H729" s="743">
        <v>0</v>
      </c>
      <c r="I729" s="743">
        <v>0</v>
      </c>
      <c r="J729" s="743">
        <v>0</v>
      </c>
      <c r="K729" s="743"/>
      <c r="L729" s="743">
        <v>83700</v>
      </c>
      <c r="M729" s="743">
        <v>0</v>
      </c>
      <c r="N729" s="743">
        <v>0</v>
      </c>
      <c r="O729" s="743" t="s">
        <v>251</v>
      </c>
      <c r="P729" s="1497">
        <f t="shared" si="62"/>
        <v>0</v>
      </c>
      <c r="Q729" s="1137">
        <f t="shared" si="63"/>
        <v>83700</v>
      </c>
      <c r="R729" s="742"/>
      <c r="S729" s="743"/>
      <c r="T729" s="743"/>
      <c r="U729" s="743"/>
      <c r="V729" s="743"/>
      <c r="W729" s="743"/>
      <c r="X729" s="743"/>
      <c r="Y729" s="743"/>
      <c r="Z729" s="743"/>
      <c r="AA729" s="743"/>
      <c r="AB729" s="743"/>
      <c r="AC729" s="743"/>
      <c r="AD729" s="1137">
        <f t="shared" si="59"/>
        <v>0</v>
      </c>
      <c r="AE729" s="884">
        <f t="shared" si="60"/>
        <v>0</v>
      </c>
      <c r="AF729" s="885">
        <f t="shared" si="61"/>
        <v>983</v>
      </c>
    </row>
    <row r="730" spans="1:32" x14ac:dyDescent="0.3">
      <c r="A730" s="368" t="s">
        <v>675</v>
      </c>
      <c r="B730" s="883" t="s">
        <v>634</v>
      </c>
      <c r="C730" s="742"/>
      <c r="D730" s="743">
        <v>0</v>
      </c>
      <c r="E730" s="743"/>
      <c r="F730" s="743">
        <v>0</v>
      </c>
      <c r="G730" s="743">
        <v>0</v>
      </c>
      <c r="H730" s="743">
        <v>0</v>
      </c>
      <c r="I730" s="743">
        <v>0</v>
      </c>
      <c r="J730" s="743">
        <v>0</v>
      </c>
      <c r="K730" s="743"/>
      <c r="L730" s="743">
        <v>0</v>
      </c>
      <c r="M730" s="743">
        <v>849900</v>
      </c>
      <c r="N730" s="743">
        <v>638800</v>
      </c>
      <c r="O730" s="743">
        <v>119700</v>
      </c>
      <c r="P730" s="1497">
        <f t="shared" si="62"/>
        <v>0</v>
      </c>
      <c r="Q730" s="1137">
        <f t="shared" si="63"/>
        <v>1608400</v>
      </c>
      <c r="R730" s="742">
        <v>239400</v>
      </c>
      <c r="S730" s="743"/>
      <c r="T730" s="743">
        <v>75000</v>
      </c>
      <c r="U730" s="743">
        <v>3633500</v>
      </c>
      <c r="V730" s="743">
        <v>1419100</v>
      </c>
      <c r="W730" s="743">
        <v>787300</v>
      </c>
      <c r="X730" s="743">
        <v>471600</v>
      </c>
      <c r="Y730" s="743">
        <v>1638200</v>
      </c>
      <c r="Z730" s="743"/>
      <c r="AA730" s="743"/>
      <c r="AB730" s="743"/>
      <c r="AC730" s="743"/>
      <c r="AD730" s="1137">
        <f t="shared" si="59"/>
        <v>8264100</v>
      </c>
      <c r="AE730" s="884">
        <f t="shared" si="60"/>
        <v>1</v>
      </c>
      <c r="AF730" s="885">
        <f t="shared" si="61"/>
        <v>45</v>
      </c>
    </row>
    <row r="731" spans="1:32" x14ac:dyDescent="0.3">
      <c r="A731" s="368" t="s">
        <v>675</v>
      </c>
      <c r="B731" s="883" t="s">
        <v>1907</v>
      </c>
      <c r="C731" s="742"/>
      <c r="D731" s="743">
        <v>0</v>
      </c>
      <c r="E731" s="743"/>
      <c r="F731" s="743">
        <v>0</v>
      </c>
      <c r="G731" s="743">
        <v>0</v>
      </c>
      <c r="H731" s="743">
        <v>0</v>
      </c>
      <c r="I731" s="743">
        <v>0</v>
      </c>
      <c r="J731" s="743">
        <v>0</v>
      </c>
      <c r="K731" s="743"/>
      <c r="L731" s="743">
        <v>0</v>
      </c>
      <c r="M731" s="743">
        <v>858700</v>
      </c>
      <c r="N731" s="743">
        <v>435600</v>
      </c>
      <c r="O731" s="743">
        <v>259300</v>
      </c>
      <c r="P731" s="1497">
        <f t="shared" si="62"/>
        <v>0</v>
      </c>
      <c r="Q731" s="1137">
        <f t="shared" si="63"/>
        <v>1553600</v>
      </c>
      <c r="R731" s="742">
        <v>296400</v>
      </c>
      <c r="S731" s="743"/>
      <c r="T731" s="743">
        <v>377100</v>
      </c>
      <c r="U731" s="743">
        <v>1018100</v>
      </c>
      <c r="V731" s="743">
        <v>448600</v>
      </c>
      <c r="W731" s="743">
        <v>386600</v>
      </c>
      <c r="X731" s="743">
        <v>0</v>
      </c>
      <c r="Y731" s="743">
        <v>239400</v>
      </c>
      <c r="Z731" s="743"/>
      <c r="AA731" s="743"/>
      <c r="AB731" s="743"/>
      <c r="AC731" s="743"/>
      <c r="AD731" s="1137">
        <f t="shared" si="59"/>
        <v>2766200</v>
      </c>
      <c r="AE731" s="884">
        <f t="shared" si="60"/>
        <v>1</v>
      </c>
      <c r="AF731" s="885">
        <f t="shared" si="61"/>
        <v>162</v>
      </c>
    </row>
    <row r="732" spans="1:32" x14ac:dyDescent="0.3">
      <c r="A732" s="368" t="s">
        <v>675</v>
      </c>
      <c r="B732" s="883" t="s">
        <v>2114</v>
      </c>
      <c r="C732" s="742"/>
      <c r="D732" s="743">
        <v>0</v>
      </c>
      <c r="E732" s="743"/>
      <c r="F732" s="743">
        <v>0</v>
      </c>
      <c r="G732" s="743">
        <v>0</v>
      </c>
      <c r="H732" s="743">
        <v>0</v>
      </c>
      <c r="I732" s="743">
        <v>0</v>
      </c>
      <c r="J732" s="743">
        <v>0</v>
      </c>
      <c r="K732" s="743"/>
      <c r="L732" s="743">
        <v>0</v>
      </c>
      <c r="M732" s="743">
        <v>633350</v>
      </c>
      <c r="N732" s="743">
        <v>540300</v>
      </c>
      <c r="O732" s="743">
        <v>19800</v>
      </c>
      <c r="P732" s="1497">
        <f t="shared" si="62"/>
        <v>0</v>
      </c>
      <c r="Q732" s="1137">
        <f t="shared" si="63"/>
        <v>1193450</v>
      </c>
      <c r="R732" s="742"/>
      <c r="S732" s="743"/>
      <c r="T732" s="743">
        <v>961600</v>
      </c>
      <c r="U732" s="743">
        <v>264400</v>
      </c>
      <c r="V732" s="743">
        <v>487300</v>
      </c>
      <c r="W732" s="743">
        <v>620200</v>
      </c>
      <c r="X732" s="743">
        <v>0</v>
      </c>
      <c r="Y732" s="743">
        <v>119700</v>
      </c>
      <c r="Z732" s="743"/>
      <c r="AA732" s="743"/>
      <c r="AB732" s="743"/>
      <c r="AC732" s="743"/>
      <c r="AD732" s="1137">
        <f t="shared" si="59"/>
        <v>2453200</v>
      </c>
      <c r="AE732" s="884">
        <f t="shared" si="60"/>
        <v>1</v>
      </c>
      <c r="AF732" s="885">
        <f t="shared" si="61"/>
        <v>177</v>
      </c>
    </row>
    <row r="733" spans="1:32" x14ac:dyDescent="0.3">
      <c r="A733" s="368" t="s">
        <v>675</v>
      </c>
      <c r="B733" s="883" t="s">
        <v>683</v>
      </c>
      <c r="C733" s="742"/>
      <c r="D733" s="743">
        <v>0</v>
      </c>
      <c r="E733" s="743"/>
      <c r="F733" s="743">
        <v>0</v>
      </c>
      <c r="G733" s="743">
        <v>0</v>
      </c>
      <c r="H733" s="743">
        <v>0</v>
      </c>
      <c r="I733" s="743">
        <v>0</v>
      </c>
      <c r="J733" s="743">
        <v>0</v>
      </c>
      <c r="K733" s="743"/>
      <c r="L733" s="743">
        <v>0</v>
      </c>
      <c r="M733" s="743">
        <v>83000</v>
      </c>
      <c r="N733" s="743">
        <v>102500</v>
      </c>
      <c r="O733" s="743">
        <v>19000</v>
      </c>
      <c r="P733" s="1497">
        <f t="shared" si="62"/>
        <v>0</v>
      </c>
      <c r="Q733" s="1137">
        <f t="shared" si="63"/>
        <v>204500</v>
      </c>
      <c r="R733" s="742">
        <v>28500</v>
      </c>
      <c r="S733" s="743"/>
      <c r="T733" s="743">
        <v>48750</v>
      </c>
      <c r="U733" s="743">
        <v>158750</v>
      </c>
      <c r="V733" s="743">
        <v>213500</v>
      </c>
      <c r="W733" s="743">
        <v>496400</v>
      </c>
      <c r="X733" s="743">
        <v>22000</v>
      </c>
      <c r="Y733" s="743">
        <v>69400</v>
      </c>
      <c r="Z733" s="743"/>
      <c r="AA733" s="743"/>
      <c r="AB733" s="743"/>
      <c r="AC733" s="743"/>
      <c r="AD733" s="1137">
        <f t="shared" si="59"/>
        <v>1037300</v>
      </c>
      <c r="AE733" s="884">
        <f t="shared" si="60"/>
        <v>1</v>
      </c>
      <c r="AF733" s="885">
        <f t="shared" si="61"/>
        <v>310</v>
      </c>
    </row>
    <row r="734" spans="1:32" x14ac:dyDescent="0.3">
      <c r="A734" s="368" t="s">
        <v>675</v>
      </c>
      <c r="B734" s="883" t="s">
        <v>1908</v>
      </c>
      <c r="C734" s="742"/>
      <c r="D734" s="743" t="s">
        <v>251</v>
      </c>
      <c r="E734" s="743"/>
      <c r="F734" s="743" t="s">
        <v>251</v>
      </c>
      <c r="G734" s="743" t="s">
        <v>251</v>
      </c>
      <c r="H734" s="743" t="s">
        <v>251</v>
      </c>
      <c r="I734" s="743" t="s">
        <v>251</v>
      </c>
      <c r="J734" s="743" t="s">
        <v>251</v>
      </c>
      <c r="K734" s="743"/>
      <c r="L734" s="743" t="s">
        <v>251</v>
      </c>
      <c r="M734" s="743" t="s">
        <v>251</v>
      </c>
      <c r="N734" s="743" t="s">
        <v>251</v>
      </c>
      <c r="O734" s="743" t="s">
        <v>251</v>
      </c>
      <c r="P734" s="1497">
        <f t="shared" si="62"/>
        <v>0</v>
      </c>
      <c r="Q734" s="1137">
        <f t="shared" si="63"/>
        <v>0</v>
      </c>
      <c r="R734" s="742"/>
      <c r="S734" s="743"/>
      <c r="T734" s="743"/>
      <c r="U734" s="743">
        <v>200400</v>
      </c>
      <c r="V734" s="743">
        <v>21000</v>
      </c>
      <c r="W734" s="743">
        <v>0</v>
      </c>
      <c r="X734" s="743">
        <v>0</v>
      </c>
      <c r="Y734" s="743">
        <v>0</v>
      </c>
      <c r="Z734" s="743"/>
      <c r="AA734" s="743"/>
      <c r="AB734" s="743"/>
      <c r="AC734" s="743"/>
      <c r="AD734" s="1137">
        <f t="shared" si="59"/>
        <v>221400</v>
      </c>
      <c r="AE734" s="884">
        <f t="shared" si="60"/>
        <v>1</v>
      </c>
      <c r="AF734" s="885">
        <f t="shared" si="61"/>
        <v>592</v>
      </c>
    </row>
    <row r="735" spans="1:32" x14ac:dyDescent="0.3">
      <c r="A735" s="368" t="s">
        <v>675</v>
      </c>
      <c r="B735" s="883" t="s">
        <v>628</v>
      </c>
      <c r="C735" s="742"/>
      <c r="D735" s="743">
        <v>0</v>
      </c>
      <c r="E735" s="743"/>
      <c r="F735" s="743">
        <v>0</v>
      </c>
      <c r="G735" s="743">
        <v>0</v>
      </c>
      <c r="H735" s="743">
        <v>0</v>
      </c>
      <c r="I735" s="743">
        <v>0</v>
      </c>
      <c r="J735" s="743">
        <v>0</v>
      </c>
      <c r="K735" s="743"/>
      <c r="L735" s="743">
        <v>0</v>
      </c>
      <c r="M735" s="743">
        <v>0</v>
      </c>
      <c r="N735" s="743">
        <v>517100</v>
      </c>
      <c r="O735" s="743" t="s">
        <v>251</v>
      </c>
      <c r="P735" s="1497">
        <f t="shared" si="62"/>
        <v>0</v>
      </c>
      <c r="Q735" s="1137">
        <f t="shared" si="63"/>
        <v>517100</v>
      </c>
      <c r="R735" s="742"/>
      <c r="S735" s="743"/>
      <c r="T735" s="743">
        <v>91000</v>
      </c>
      <c r="U735" s="743">
        <v>2695650</v>
      </c>
      <c r="V735" s="743">
        <v>2076700</v>
      </c>
      <c r="W735" s="743">
        <v>0</v>
      </c>
      <c r="X735" s="743">
        <v>0</v>
      </c>
      <c r="Y735" s="743">
        <v>0</v>
      </c>
      <c r="Z735" s="743"/>
      <c r="AA735" s="743"/>
      <c r="AB735" s="743"/>
      <c r="AC735" s="743"/>
      <c r="AD735" s="1137">
        <f t="shared" si="59"/>
        <v>4863350</v>
      </c>
      <c r="AE735" s="884">
        <f t="shared" si="60"/>
        <v>1</v>
      </c>
      <c r="AF735" s="885">
        <f t="shared" si="61"/>
        <v>91</v>
      </c>
    </row>
    <row r="736" spans="1:32" x14ac:dyDescent="0.3">
      <c r="A736" s="368" t="s">
        <v>675</v>
      </c>
      <c r="B736" s="883" t="s">
        <v>1491</v>
      </c>
      <c r="C736" s="742"/>
      <c r="D736" s="743">
        <v>0</v>
      </c>
      <c r="E736" s="743"/>
      <c r="F736" s="743">
        <v>0</v>
      </c>
      <c r="G736" s="743">
        <v>0</v>
      </c>
      <c r="H736" s="743">
        <v>0</v>
      </c>
      <c r="I736" s="743">
        <v>0</v>
      </c>
      <c r="J736" s="743">
        <v>0</v>
      </c>
      <c r="K736" s="743"/>
      <c r="L736" s="743">
        <v>0</v>
      </c>
      <c r="M736" s="743">
        <v>0</v>
      </c>
      <c r="N736" s="743">
        <v>171300</v>
      </c>
      <c r="O736" s="743" t="s">
        <v>251</v>
      </c>
      <c r="P736" s="1497">
        <f t="shared" si="62"/>
        <v>0</v>
      </c>
      <c r="Q736" s="1137">
        <f t="shared" si="63"/>
        <v>171300</v>
      </c>
      <c r="R736" s="742"/>
      <c r="S736" s="743"/>
      <c r="T736" s="743"/>
      <c r="U736" s="743"/>
      <c r="V736" s="743"/>
      <c r="W736" s="743"/>
      <c r="X736" s="743"/>
      <c r="Y736" s="743"/>
      <c r="Z736" s="743"/>
      <c r="AA736" s="743"/>
      <c r="AB736" s="743"/>
      <c r="AC736" s="743"/>
      <c r="AD736" s="1137">
        <f t="shared" ref="AD736:AD806" si="64">SUM(R736:AC736)</f>
        <v>0</v>
      </c>
      <c r="AE736" s="884">
        <f t="shared" ref="AE736:AE806" si="65">IF(OR(AD736="", P736=""), 0, IFERROR((AD736-P736)/P736, IF(AD736&lt;&gt;0, 1, 0)))</f>
        <v>0</v>
      </c>
      <c r="AF736" s="885">
        <f t="shared" si="61"/>
        <v>983</v>
      </c>
    </row>
    <row r="737" spans="1:32" x14ac:dyDescent="0.3">
      <c r="A737" s="368" t="s">
        <v>675</v>
      </c>
      <c r="B737" s="883" t="s">
        <v>1936</v>
      </c>
      <c r="C737" s="742"/>
      <c r="D737" s="743">
        <v>0</v>
      </c>
      <c r="E737" s="743"/>
      <c r="F737" s="743">
        <v>0</v>
      </c>
      <c r="G737" s="743">
        <v>0</v>
      </c>
      <c r="H737" s="743">
        <v>0</v>
      </c>
      <c r="I737" s="743">
        <v>0</v>
      </c>
      <c r="J737" s="743">
        <v>0</v>
      </c>
      <c r="K737" s="743"/>
      <c r="L737" s="743">
        <v>0</v>
      </c>
      <c r="M737" s="743">
        <v>0</v>
      </c>
      <c r="N737" s="743">
        <v>508500</v>
      </c>
      <c r="O737" s="743" t="s">
        <v>251</v>
      </c>
      <c r="P737" s="1497">
        <f t="shared" si="62"/>
        <v>0</v>
      </c>
      <c r="Q737" s="1137">
        <f t="shared" si="63"/>
        <v>508500</v>
      </c>
      <c r="R737" s="742"/>
      <c r="S737" s="743"/>
      <c r="T737" s="743"/>
      <c r="U737" s="743"/>
      <c r="V737" s="743">
        <v>216400</v>
      </c>
      <c r="W737" s="743">
        <v>18000</v>
      </c>
      <c r="X737" s="743">
        <v>0</v>
      </c>
      <c r="Y737" s="743">
        <v>0</v>
      </c>
      <c r="Z737" s="743"/>
      <c r="AA737" s="743"/>
      <c r="AB737" s="743"/>
      <c r="AC737" s="743"/>
      <c r="AD737" s="1137">
        <f t="shared" si="64"/>
        <v>234400</v>
      </c>
      <c r="AE737" s="884">
        <f t="shared" si="65"/>
        <v>1</v>
      </c>
      <c r="AF737" s="885">
        <f t="shared" si="61"/>
        <v>581</v>
      </c>
    </row>
    <row r="738" spans="1:32" x14ac:dyDescent="0.3">
      <c r="A738" s="368" t="s">
        <v>675</v>
      </c>
      <c r="B738" s="883" t="s">
        <v>1935</v>
      </c>
      <c r="C738" s="742"/>
      <c r="D738" s="743">
        <v>0</v>
      </c>
      <c r="E738" s="743"/>
      <c r="F738" s="743">
        <v>0</v>
      </c>
      <c r="G738" s="743">
        <v>0</v>
      </c>
      <c r="H738" s="743">
        <v>0</v>
      </c>
      <c r="I738" s="743">
        <v>0</v>
      </c>
      <c r="J738" s="743">
        <v>0</v>
      </c>
      <c r="K738" s="743"/>
      <c r="L738" s="743">
        <v>0</v>
      </c>
      <c r="M738" s="743">
        <v>0</v>
      </c>
      <c r="N738" s="743">
        <v>453400</v>
      </c>
      <c r="O738" s="743" t="s">
        <v>251</v>
      </c>
      <c r="P738" s="1497">
        <f t="shared" si="62"/>
        <v>0</v>
      </c>
      <c r="Q738" s="1137">
        <f t="shared" si="63"/>
        <v>453400</v>
      </c>
      <c r="R738" s="742">
        <v>274800</v>
      </c>
      <c r="S738" s="743"/>
      <c r="T738" s="743">
        <v>0</v>
      </c>
      <c r="U738" s="743">
        <v>57250</v>
      </c>
      <c r="V738" s="743">
        <v>121500</v>
      </c>
      <c r="W738" s="743">
        <v>248500</v>
      </c>
      <c r="X738" s="743">
        <v>12000</v>
      </c>
      <c r="Y738" s="743">
        <v>0</v>
      </c>
      <c r="Z738" s="743"/>
      <c r="AA738" s="743"/>
      <c r="AB738" s="743"/>
      <c r="AC738" s="743"/>
      <c r="AD738" s="1137">
        <f t="shared" si="64"/>
        <v>714050</v>
      </c>
      <c r="AE738" s="884">
        <f t="shared" si="65"/>
        <v>1</v>
      </c>
      <c r="AF738" s="885">
        <f t="shared" si="61"/>
        <v>376</v>
      </c>
    </row>
    <row r="739" spans="1:32" x14ac:dyDescent="0.3">
      <c r="A739" s="368" t="s">
        <v>675</v>
      </c>
      <c r="B739" s="883" t="s">
        <v>394</v>
      </c>
      <c r="C739" s="742"/>
      <c r="D739" s="743" t="s">
        <v>251</v>
      </c>
      <c r="E739" s="743"/>
      <c r="F739" s="743" t="s">
        <v>251</v>
      </c>
      <c r="G739" s="743" t="s">
        <v>251</v>
      </c>
      <c r="H739" s="743" t="s">
        <v>251</v>
      </c>
      <c r="I739" s="743" t="s">
        <v>251</v>
      </c>
      <c r="J739" s="743" t="s">
        <v>251</v>
      </c>
      <c r="K739" s="743"/>
      <c r="L739" s="743" t="s">
        <v>251</v>
      </c>
      <c r="M739" s="743" t="s">
        <v>251</v>
      </c>
      <c r="N739" s="743"/>
      <c r="O739" s="743">
        <v>941800</v>
      </c>
      <c r="P739" s="1497">
        <f t="shared" si="62"/>
        <v>0</v>
      </c>
      <c r="Q739" s="1137">
        <f t="shared" si="63"/>
        <v>941800</v>
      </c>
      <c r="R739" s="742">
        <v>1682000</v>
      </c>
      <c r="S739" s="743"/>
      <c r="T739" s="743">
        <v>0</v>
      </c>
      <c r="U739" s="743">
        <v>0</v>
      </c>
      <c r="V739" s="743">
        <v>0</v>
      </c>
      <c r="W739" s="743">
        <v>0</v>
      </c>
      <c r="X739" s="743">
        <v>1614750</v>
      </c>
      <c r="Y739" s="743">
        <v>2212000</v>
      </c>
      <c r="Z739" s="743"/>
      <c r="AA739" s="743"/>
      <c r="AB739" s="743"/>
      <c r="AC739" s="743"/>
      <c r="AD739" s="1137">
        <f t="shared" si="64"/>
        <v>5508750</v>
      </c>
      <c r="AE739" s="884">
        <f t="shared" si="65"/>
        <v>1</v>
      </c>
      <c r="AF739" s="885">
        <f t="shared" si="61"/>
        <v>75</v>
      </c>
    </row>
    <row r="740" spans="1:32" x14ac:dyDescent="0.3">
      <c r="A740" s="368" t="s">
        <v>675</v>
      </c>
      <c r="B740" s="883" t="s">
        <v>1803</v>
      </c>
      <c r="C740" s="742"/>
      <c r="D740" s="743" t="s">
        <v>251</v>
      </c>
      <c r="E740" s="743"/>
      <c r="F740" s="743" t="s">
        <v>251</v>
      </c>
      <c r="G740" s="743" t="s">
        <v>251</v>
      </c>
      <c r="H740" s="743" t="s">
        <v>251</v>
      </c>
      <c r="I740" s="743" t="s">
        <v>251</v>
      </c>
      <c r="J740" s="743" t="s">
        <v>251</v>
      </c>
      <c r="K740" s="743"/>
      <c r="L740" s="743" t="s">
        <v>251</v>
      </c>
      <c r="M740" s="743" t="s">
        <v>251</v>
      </c>
      <c r="N740" s="743"/>
      <c r="O740" s="743">
        <v>1877310</v>
      </c>
      <c r="P740" s="1497">
        <f t="shared" si="62"/>
        <v>0</v>
      </c>
      <c r="Q740" s="1137">
        <f t="shared" si="63"/>
        <v>1877310</v>
      </c>
      <c r="R740" s="742">
        <v>1200400</v>
      </c>
      <c r="S740" s="743">
        <v>699800</v>
      </c>
      <c r="T740" s="743">
        <v>380800</v>
      </c>
      <c r="U740" s="743">
        <v>654600</v>
      </c>
      <c r="V740" s="743">
        <v>336340</v>
      </c>
      <c r="W740" s="743">
        <v>82000</v>
      </c>
      <c r="X740" s="743"/>
      <c r="Y740" s="743"/>
      <c r="Z740" s="743"/>
      <c r="AA740" s="743"/>
      <c r="AB740" s="743"/>
      <c r="AC740" s="743"/>
      <c r="AD740" s="1137">
        <f t="shared" si="64"/>
        <v>3353940</v>
      </c>
      <c r="AE740" s="884">
        <f t="shared" si="65"/>
        <v>1</v>
      </c>
      <c r="AF740" s="885">
        <f t="shared" si="61"/>
        <v>135</v>
      </c>
    </row>
    <row r="741" spans="1:32" x14ac:dyDescent="0.3">
      <c r="A741" s="368" t="s">
        <v>675</v>
      </c>
      <c r="B741" s="883" t="s">
        <v>2356</v>
      </c>
      <c r="C741" s="742"/>
      <c r="D741" s="743" t="s">
        <v>251</v>
      </c>
      <c r="E741" s="743"/>
      <c r="F741" s="743" t="s">
        <v>251</v>
      </c>
      <c r="G741" s="743" t="s">
        <v>251</v>
      </c>
      <c r="H741" s="743" t="s">
        <v>251</v>
      </c>
      <c r="I741" s="743" t="s">
        <v>251</v>
      </c>
      <c r="J741" s="743" t="s">
        <v>251</v>
      </c>
      <c r="K741" s="743"/>
      <c r="L741" s="743" t="s">
        <v>251</v>
      </c>
      <c r="M741" s="743" t="s">
        <v>251</v>
      </c>
      <c r="N741" s="743"/>
      <c r="O741" s="743">
        <v>92500</v>
      </c>
      <c r="P741" s="1497">
        <f t="shared" si="62"/>
        <v>0</v>
      </c>
      <c r="Q741" s="1137">
        <f t="shared" si="63"/>
        <v>92500</v>
      </c>
      <c r="R741" s="742"/>
      <c r="S741" s="743"/>
      <c r="T741" s="743"/>
      <c r="U741" s="743"/>
      <c r="V741" s="743"/>
      <c r="W741" s="743"/>
      <c r="X741" s="743"/>
      <c r="Y741" s="743"/>
      <c r="Z741" s="743"/>
      <c r="AA741" s="743"/>
      <c r="AB741" s="743"/>
      <c r="AC741" s="743"/>
      <c r="AD741" s="1137">
        <f t="shared" si="64"/>
        <v>0</v>
      </c>
      <c r="AE741" s="884">
        <f t="shared" si="65"/>
        <v>0</v>
      </c>
      <c r="AF741" s="885">
        <f t="shared" si="61"/>
        <v>983</v>
      </c>
    </row>
    <row r="742" spans="1:32" x14ac:dyDescent="0.3">
      <c r="A742" s="368" t="s">
        <v>675</v>
      </c>
      <c r="B742" s="883" t="s">
        <v>2357</v>
      </c>
      <c r="C742" s="742"/>
      <c r="D742" s="743" t="s">
        <v>251</v>
      </c>
      <c r="E742" s="743"/>
      <c r="F742" s="743" t="s">
        <v>251</v>
      </c>
      <c r="G742" s="743" t="s">
        <v>251</v>
      </c>
      <c r="H742" s="743" t="s">
        <v>251</v>
      </c>
      <c r="I742" s="743" t="s">
        <v>251</v>
      </c>
      <c r="J742" s="743" t="s">
        <v>251</v>
      </c>
      <c r="K742" s="743"/>
      <c r="L742" s="743" t="s">
        <v>251</v>
      </c>
      <c r="M742" s="743" t="s">
        <v>251</v>
      </c>
      <c r="N742" s="743"/>
      <c r="O742" s="743">
        <v>40600</v>
      </c>
      <c r="P742" s="1497">
        <f t="shared" si="62"/>
        <v>0</v>
      </c>
      <c r="Q742" s="1137">
        <f t="shared" si="63"/>
        <v>40600</v>
      </c>
      <c r="R742" s="742"/>
      <c r="S742" s="743"/>
      <c r="T742" s="743"/>
      <c r="U742" s="743"/>
      <c r="V742" s="743"/>
      <c r="W742" s="743"/>
      <c r="X742" s="743"/>
      <c r="Y742" s="743"/>
      <c r="Z742" s="743"/>
      <c r="AA742" s="743"/>
      <c r="AB742" s="743"/>
      <c r="AC742" s="743"/>
      <c r="AD742" s="1137">
        <f t="shared" si="64"/>
        <v>0</v>
      </c>
      <c r="AE742" s="884">
        <f t="shared" si="65"/>
        <v>0</v>
      </c>
      <c r="AF742" s="885">
        <f t="shared" si="61"/>
        <v>983</v>
      </c>
    </row>
    <row r="743" spans="1:32" x14ac:dyDescent="0.3">
      <c r="A743" s="368" t="s">
        <v>675</v>
      </c>
      <c r="B743" s="883" t="s">
        <v>681</v>
      </c>
      <c r="C743" s="742"/>
      <c r="D743" s="743" t="s">
        <v>251</v>
      </c>
      <c r="E743" s="743"/>
      <c r="F743" s="743"/>
      <c r="G743" s="743" t="s">
        <v>251</v>
      </c>
      <c r="H743" s="743" t="s">
        <v>251</v>
      </c>
      <c r="I743" s="743" t="s">
        <v>251</v>
      </c>
      <c r="J743" s="743"/>
      <c r="K743" s="743"/>
      <c r="L743" s="743"/>
      <c r="M743" s="743"/>
      <c r="N743" s="743"/>
      <c r="O743" s="743">
        <v>308400</v>
      </c>
      <c r="P743" s="1497">
        <f t="shared" si="62"/>
        <v>0</v>
      </c>
      <c r="Q743" s="1137">
        <f t="shared" si="63"/>
        <v>308400</v>
      </c>
      <c r="R743" s="742"/>
      <c r="S743" s="743"/>
      <c r="T743" s="743"/>
      <c r="U743" s="743"/>
      <c r="V743" s="743"/>
      <c r="W743" s="743"/>
      <c r="X743" s="743"/>
      <c r="Y743" s="743"/>
      <c r="Z743" s="743"/>
      <c r="AA743" s="743"/>
      <c r="AB743" s="743"/>
      <c r="AC743" s="743"/>
      <c r="AD743" s="1137">
        <f t="shared" si="64"/>
        <v>0</v>
      </c>
      <c r="AE743" s="884">
        <f t="shared" si="65"/>
        <v>0</v>
      </c>
      <c r="AF743" s="885">
        <f t="shared" si="61"/>
        <v>983</v>
      </c>
    </row>
    <row r="744" spans="1:32" x14ac:dyDescent="0.3">
      <c r="A744" s="368" t="s">
        <v>675</v>
      </c>
      <c r="B744" s="883" t="s">
        <v>2617</v>
      </c>
      <c r="C744" s="742"/>
      <c r="D744" s="743"/>
      <c r="E744" s="743"/>
      <c r="F744" s="743"/>
      <c r="G744" s="743"/>
      <c r="H744" s="743"/>
      <c r="I744" s="743"/>
      <c r="J744" s="743"/>
      <c r="K744" s="743"/>
      <c r="L744" s="743"/>
      <c r="M744" s="743"/>
      <c r="N744" s="743"/>
      <c r="O744" s="743"/>
      <c r="P744" s="1497">
        <f t="shared" si="62"/>
        <v>0</v>
      </c>
      <c r="Q744" s="1137">
        <f t="shared" si="63"/>
        <v>0</v>
      </c>
      <c r="R744" s="742"/>
      <c r="S744" s="743"/>
      <c r="T744" s="743">
        <v>1036800</v>
      </c>
      <c r="U744" s="743">
        <v>0</v>
      </c>
      <c r="V744" s="743">
        <v>0</v>
      </c>
      <c r="W744" s="743">
        <v>0</v>
      </c>
      <c r="X744" s="743">
        <v>0</v>
      </c>
      <c r="Y744" s="743">
        <v>0</v>
      </c>
      <c r="Z744" s="743"/>
      <c r="AA744" s="743"/>
      <c r="AB744" s="743"/>
      <c r="AC744" s="743"/>
      <c r="AD744" s="1137">
        <f t="shared" si="64"/>
        <v>1036800</v>
      </c>
      <c r="AE744" s="884">
        <f t="shared" si="65"/>
        <v>1</v>
      </c>
      <c r="AF744" s="885">
        <f t="shared" si="61"/>
        <v>311</v>
      </c>
    </row>
    <row r="745" spans="1:32" x14ac:dyDescent="0.3">
      <c r="A745" s="368" t="s">
        <v>675</v>
      </c>
      <c r="B745" s="883" t="s">
        <v>1814</v>
      </c>
      <c r="C745" s="742"/>
      <c r="D745" s="743"/>
      <c r="E745" s="743"/>
      <c r="F745" s="743"/>
      <c r="G745" s="743"/>
      <c r="H745" s="743"/>
      <c r="I745" s="743"/>
      <c r="J745" s="743"/>
      <c r="K745" s="743"/>
      <c r="L745" s="743"/>
      <c r="M745" s="743"/>
      <c r="N745" s="743"/>
      <c r="O745" s="743"/>
      <c r="P745" s="1497">
        <f t="shared" si="62"/>
        <v>0</v>
      </c>
      <c r="Q745" s="1137">
        <f t="shared" si="63"/>
        <v>0</v>
      </c>
      <c r="R745" s="742"/>
      <c r="S745" s="743"/>
      <c r="T745" s="743">
        <v>75000</v>
      </c>
      <c r="U745" s="743">
        <v>0</v>
      </c>
      <c r="V745" s="743">
        <v>0</v>
      </c>
      <c r="W745" s="743">
        <v>0</v>
      </c>
      <c r="X745" s="743">
        <v>0</v>
      </c>
      <c r="Y745" s="743">
        <v>0</v>
      </c>
      <c r="Z745" s="743"/>
      <c r="AA745" s="743"/>
      <c r="AB745" s="743"/>
      <c r="AC745" s="743"/>
      <c r="AD745" s="1137">
        <f t="shared" si="64"/>
        <v>75000</v>
      </c>
      <c r="AE745" s="884">
        <f t="shared" si="65"/>
        <v>1</v>
      </c>
      <c r="AF745" s="885">
        <f t="shared" si="61"/>
        <v>783</v>
      </c>
    </row>
    <row r="746" spans="1:32" x14ac:dyDescent="0.3">
      <c r="A746" s="368" t="s">
        <v>675</v>
      </c>
      <c r="B746" s="883" t="s">
        <v>354</v>
      </c>
      <c r="C746" s="742"/>
      <c r="D746" s="743"/>
      <c r="E746" s="743"/>
      <c r="F746" s="743"/>
      <c r="G746" s="743"/>
      <c r="H746" s="743"/>
      <c r="I746" s="743"/>
      <c r="J746" s="743"/>
      <c r="K746" s="743"/>
      <c r="L746" s="743"/>
      <c r="M746" s="743"/>
      <c r="N746" s="743"/>
      <c r="O746" s="743"/>
      <c r="P746" s="1497">
        <f t="shared" si="62"/>
        <v>0</v>
      </c>
      <c r="Q746" s="1137">
        <f t="shared" si="63"/>
        <v>0</v>
      </c>
      <c r="R746" s="742"/>
      <c r="S746" s="743"/>
      <c r="T746" s="743">
        <v>91000</v>
      </c>
      <c r="U746" s="743">
        <v>965800</v>
      </c>
      <c r="V746" s="743">
        <v>3077800</v>
      </c>
      <c r="W746" s="743">
        <v>1627600</v>
      </c>
      <c r="X746" s="743">
        <v>128700</v>
      </c>
      <c r="Y746" s="743">
        <v>0</v>
      </c>
      <c r="Z746" s="743"/>
      <c r="AA746" s="743"/>
      <c r="AB746" s="743"/>
      <c r="AC746" s="743"/>
      <c r="AD746" s="1137">
        <f t="shared" si="64"/>
        <v>5890900</v>
      </c>
      <c r="AE746" s="884">
        <f t="shared" si="65"/>
        <v>1</v>
      </c>
      <c r="AF746" s="885">
        <f t="shared" si="61"/>
        <v>71</v>
      </c>
    </row>
    <row r="747" spans="1:32" x14ac:dyDescent="0.3">
      <c r="A747" s="368" t="s">
        <v>675</v>
      </c>
      <c r="B747" s="883" t="s">
        <v>620</v>
      </c>
      <c r="C747" s="742"/>
      <c r="D747" s="743"/>
      <c r="E747" s="743"/>
      <c r="F747" s="743"/>
      <c r="G747" s="743"/>
      <c r="H747" s="743"/>
      <c r="I747" s="743"/>
      <c r="J747" s="743"/>
      <c r="K747" s="743"/>
      <c r="L747" s="743"/>
      <c r="M747" s="743"/>
      <c r="N747" s="743"/>
      <c r="O747" s="743"/>
      <c r="P747" s="1497">
        <f t="shared" si="62"/>
        <v>0</v>
      </c>
      <c r="Q747" s="1137">
        <f t="shared" si="63"/>
        <v>0</v>
      </c>
      <c r="R747" s="742"/>
      <c r="S747" s="743"/>
      <c r="T747" s="743"/>
      <c r="U747" s="743">
        <v>1031400</v>
      </c>
      <c r="V747" s="743">
        <v>368100</v>
      </c>
      <c r="W747" s="743">
        <v>0</v>
      </c>
      <c r="X747" s="743">
        <v>0</v>
      </c>
      <c r="Y747" s="743">
        <v>0</v>
      </c>
      <c r="Z747" s="743"/>
      <c r="AA747" s="743"/>
      <c r="AB747" s="743"/>
      <c r="AC747" s="743"/>
      <c r="AD747" s="1137">
        <f t="shared" si="64"/>
        <v>1399500</v>
      </c>
      <c r="AE747" s="884">
        <f t="shared" si="65"/>
        <v>1</v>
      </c>
      <c r="AF747" s="885">
        <f t="shared" si="61"/>
        <v>256</v>
      </c>
    </row>
    <row r="748" spans="1:32" x14ac:dyDescent="0.3">
      <c r="A748" s="368" t="s">
        <v>675</v>
      </c>
      <c r="B748" s="883" t="s">
        <v>2687</v>
      </c>
      <c r="C748" s="742"/>
      <c r="D748" s="743"/>
      <c r="E748" s="743"/>
      <c r="F748" s="743"/>
      <c r="G748" s="743"/>
      <c r="H748" s="743"/>
      <c r="I748" s="743"/>
      <c r="J748" s="743"/>
      <c r="K748" s="743"/>
      <c r="L748" s="743"/>
      <c r="M748" s="743"/>
      <c r="N748" s="743"/>
      <c r="O748" s="743"/>
      <c r="P748" s="1497">
        <f t="shared" si="62"/>
        <v>0</v>
      </c>
      <c r="Q748" s="1137">
        <f t="shared" si="63"/>
        <v>0</v>
      </c>
      <c r="R748" s="742"/>
      <c r="S748" s="743"/>
      <c r="T748" s="743"/>
      <c r="U748" s="743">
        <v>910200</v>
      </c>
      <c r="V748" s="743">
        <v>133700</v>
      </c>
      <c r="W748" s="743">
        <v>0</v>
      </c>
      <c r="X748" s="743">
        <v>0</v>
      </c>
      <c r="Y748" s="743">
        <v>133700</v>
      </c>
      <c r="Z748" s="743"/>
      <c r="AA748" s="743"/>
      <c r="AB748" s="743"/>
      <c r="AC748" s="743"/>
      <c r="AD748" s="1137">
        <f t="shared" si="64"/>
        <v>1177600</v>
      </c>
      <c r="AE748" s="884">
        <f t="shared" si="65"/>
        <v>1</v>
      </c>
      <c r="AF748" s="885">
        <f t="shared" si="61"/>
        <v>290</v>
      </c>
    </row>
    <row r="749" spans="1:32" x14ac:dyDescent="0.3">
      <c r="A749" s="368" t="s">
        <v>675</v>
      </c>
      <c r="B749" s="883" t="s">
        <v>679</v>
      </c>
      <c r="C749" s="742"/>
      <c r="D749" s="743"/>
      <c r="E749" s="743"/>
      <c r="F749" s="743"/>
      <c r="G749" s="743"/>
      <c r="H749" s="743"/>
      <c r="I749" s="743"/>
      <c r="J749" s="743"/>
      <c r="K749" s="743"/>
      <c r="L749" s="743"/>
      <c r="M749" s="743"/>
      <c r="N749" s="743"/>
      <c r="O749" s="743"/>
      <c r="P749" s="1497">
        <f t="shared" si="62"/>
        <v>0</v>
      </c>
      <c r="Q749" s="1137">
        <f t="shared" si="63"/>
        <v>0</v>
      </c>
      <c r="R749" s="742"/>
      <c r="S749" s="743"/>
      <c r="T749" s="743"/>
      <c r="U749" s="743">
        <v>612600</v>
      </c>
      <c r="V749" s="743">
        <v>18500</v>
      </c>
      <c r="W749" s="743">
        <v>347400</v>
      </c>
      <c r="X749" s="743">
        <v>132500</v>
      </c>
      <c r="Y749" s="743">
        <v>4848000</v>
      </c>
      <c r="Z749" s="743"/>
      <c r="AA749" s="743"/>
      <c r="AB749" s="743"/>
      <c r="AC749" s="743"/>
      <c r="AD749" s="1137">
        <f t="shared" si="64"/>
        <v>5959000</v>
      </c>
      <c r="AE749" s="884">
        <f t="shared" si="65"/>
        <v>1</v>
      </c>
      <c r="AF749" s="885">
        <f t="shared" si="61"/>
        <v>69</v>
      </c>
    </row>
    <row r="750" spans="1:32" x14ac:dyDescent="0.3">
      <c r="A750" s="368" t="s">
        <v>675</v>
      </c>
      <c r="B750" s="883" t="s">
        <v>2782</v>
      </c>
      <c r="C750" s="742"/>
      <c r="D750" s="743"/>
      <c r="E750" s="743"/>
      <c r="F750" s="743"/>
      <c r="G750" s="743"/>
      <c r="H750" s="743"/>
      <c r="I750" s="743"/>
      <c r="J750" s="743"/>
      <c r="K750" s="743"/>
      <c r="L750" s="743"/>
      <c r="M750" s="743"/>
      <c r="N750" s="743"/>
      <c r="O750" s="743"/>
      <c r="P750" s="1497">
        <f t="shared" si="62"/>
        <v>0</v>
      </c>
      <c r="Q750" s="1137">
        <f t="shared" si="63"/>
        <v>0</v>
      </c>
      <c r="R750" s="742"/>
      <c r="S750" s="743"/>
      <c r="T750" s="743"/>
      <c r="U750" s="743"/>
      <c r="V750" s="743">
        <v>17750</v>
      </c>
      <c r="W750" s="743">
        <v>0</v>
      </c>
      <c r="X750" s="743">
        <v>0</v>
      </c>
      <c r="Y750" s="743">
        <v>0</v>
      </c>
      <c r="Z750" s="743"/>
      <c r="AA750" s="743"/>
      <c r="AB750" s="743"/>
      <c r="AC750" s="743"/>
      <c r="AD750" s="1137">
        <f t="shared" si="64"/>
        <v>17750</v>
      </c>
      <c r="AE750" s="884">
        <f t="shared" si="65"/>
        <v>1</v>
      </c>
      <c r="AF750" s="885">
        <f t="shared" si="61"/>
        <v>931</v>
      </c>
    </row>
    <row r="751" spans="1:32" x14ac:dyDescent="0.3">
      <c r="A751" s="368" t="s">
        <v>675</v>
      </c>
      <c r="B751" s="883" t="s">
        <v>687</v>
      </c>
      <c r="C751" s="742"/>
      <c r="D751" s="743"/>
      <c r="E751" s="743"/>
      <c r="F751" s="743"/>
      <c r="G751" s="743"/>
      <c r="H751" s="743"/>
      <c r="I751" s="743"/>
      <c r="J751" s="743"/>
      <c r="K751" s="743"/>
      <c r="L751" s="743"/>
      <c r="M751" s="743"/>
      <c r="N751" s="743"/>
      <c r="O751" s="743"/>
      <c r="P751" s="1497">
        <f t="shared" si="62"/>
        <v>0</v>
      </c>
      <c r="Q751" s="1137">
        <f t="shared" si="63"/>
        <v>0</v>
      </c>
      <c r="R751" s="742"/>
      <c r="S751" s="743"/>
      <c r="T751" s="743"/>
      <c r="U751" s="743"/>
      <c r="V751" s="743">
        <v>246000</v>
      </c>
      <c r="W751" s="743">
        <v>193800</v>
      </c>
      <c r="X751" s="743">
        <v>0</v>
      </c>
      <c r="Y751" s="743">
        <v>0</v>
      </c>
      <c r="Z751" s="743"/>
      <c r="AA751" s="743"/>
      <c r="AB751" s="743"/>
      <c r="AC751" s="743"/>
      <c r="AD751" s="1137">
        <f t="shared" si="64"/>
        <v>439800</v>
      </c>
      <c r="AE751" s="884">
        <f t="shared" si="65"/>
        <v>1</v>
      </c>
      <c r="AF751" s="885">
        <f t="shared" si="61"/>
        <v>466</v>
      </c>
    </row>
    <row r="752" spans="1:32" x14ac:dyDescent="0.3">
      <c r="A752" s="368" t="s">
        <v>675</v>
      </c>
      <c r="B752" s="883" t="s">
        <v>2861</v>
      </c>
      <c r="C752" s="742"/>
      <c r="D752" s="743"/>
      <c r="E752" s="743"/>
      <c r="F752" s="743"/>
      <c r="G752" s="743"/>
      <c r="H752" s="743"/>
      <c r="I752" s="743"/>
      <c r="J752" s="743"/>
      <c r="K752" s="743"/>
      <c r="L752" s="743"/>
      <c r="M752" s="743"/>
      <c r="N752" s="743"/>
      <c r="O752" s="743"/>
      <c r="P752" s="1497">
        <f t="shared" si="62"/>
        <v>0</v>
      </c>
      <c r="Q752" s="1137">
        <f t="shared" si="63"/>
        <v>0</v>
      </c>
      <c r="R752" s="742"/>
      <c r="S752" s="743"/>
      <c r="T752" s="743"/>
      <c r="U752" s="743"/>
      <c r="V752" s="743"/>
      <c r="W752" s="743">
        <v>104000</v>
      </c>
      <c r="X752" s="743">
        <v>13000</v>
      </c>
      <c r="Y752" s="743">
        <v>0</v>
      </c>
      <c r="Z752" s="743"/>
      <c r="AA752" s="743"/>
      <c r="AB752" s="743"/>
      <c r="AC752" s="743"/>
      <c r="AD752" s="1137">
        <f t="shared" si="64"/>
        <v>117000</v>
      </c>
      <c r="AE752" s="884">
        <f t="shared" si="65"/>
        <v>1</v>
      </c>
      <c r="AF752" s="885">
        <f t="shared" si="61"/>
        <v>718</v>
      </c>
    </row>
    <row r="753" spans="1:32" x14ac:dyDescent="0.3">
      <c r="A753" s="368" t="s">
        <v>675</v>
      </c>
      <c r="B753" s="883" t="s">
        <v>2926</v>
      </c>
      <c r="C753" s="742"/>
      <c r="D753" s="743"/>
      <c r="E753" s="743"/>
      <c r="F753" s="743"/>
      <c r="G753" s="743"/>
      <c r="H753" s="743"/>
      <c r="I753" s="743"/>
      <c r="J753" s="743"/>
      <c r="K753" s="743"/>
      <c r="L753" s="743"/>
      <c r="M753" s="743"/>
      <c r="N753" s="743"/>
      <c r="O753" s="743"/>
      <c r="P753" s="1497">
        <f t="shared" si="62"/>
        <v>0</v>
      </c>
      <c r="Q753" s="1137">
        <f t="shared" si="63"/>
        <v>0</v>
      </c>
      <c r="R753" s="742"/>
      <c r="S753" s="743"/>
      <c r="T753" s="743"/>
      <c r="U753" s="743"/>
      <c r="V753" s="743"/>
      <c r="W753" s="743"/>
      <c r="X753" s="743">
        <v>0</v>
      </c>
      <c r="Y753" s="743">
        <v>0</v>
      </c>
      <c r="Z753" s="743"/>
      <c r="AA753" s="743"/>
      <c r="AB753" s="743"/>
      <c r="AC753" s="743"/>
      <c r="AD753" s="1137">
        <f t="shared" si="64"/>
        <v>0</v>
      </c>
      <c r="AE753" s="884">
        <f t="shared" si="65"/>
        <v>0</v>
      </c>
      <c r="AF753" s="885">
        <f t="shared" si="61"/>
        <v>983</v>
      </c>
    </row>
    <row r="754" spans="1:32" x14ac:dyDescent="0.3">
      <c r="A754" s="368" t="s">
        <v>675</v>
      </c>
      <c r="B754" s="883" t="s">
        <v>3027</v>
      </c>
      <c r="C754" s="742"/>
      <c r="D754" s="743"/>
      <c r="E754" s="743"/>
      <c r="F754" s="743"/>
      <c r="G754" s="743"/>
      <c r="H754" s="743"/>
      <c r="I754" s="743"/>
      <c r="J754" s="743"/>
      <c r="K754" s="743"/>
      <c r="L754" s="743"/>
      <c r="M754" s="743"/>
      <c r="N754" s="743"/>
      <c r="O754" s="743"/>
      <c r="P754" s="1497">
        <f t="shared" si="62"/>
        <v>0</v>
      </c>
      <c r="Q754" s="1137">
        <f t="shared" si="63"/>
        <v>0</v>
      </c>
      <c r="R754" s="742"/>
      <c r="S754" s="743"/>
      <c r="T754" s="743"/>
      <c r="U754" s="743"/>
      <c r="V754" s="743"/>
      <c r="W754" s="743"/>
      <c r="X754" s="743"/>
      <c r="Y754" s="743">
        <v>46200</v>
      </c>
      <c r="Z754" s="743"/>
      <c r="AA754" s="743"/>
      <c r="AB754" s="743"/>
      <c r="AC754" s="743"/>
      <c r="AD754" s="1137">
        <f t="shared" si="64"/>
        <v>46200</v>
      </c>
      <c r="AE754" s="884">
        <f t="shared" si="65"/>
        <v>1</v>
      </c>
      <c r="AF754" s="885">
        <f t="shared" si="61"/>
        <v>854</v>
      </c>
    </row>
    <row r="755" spans="1:32" x14ac:dyDescent="0.3">
      <c r="A755" s="368" t="s">
        <v>675</v>
      </c>
      <c r="B755" s="883" t="s">
        <v>2384</v>
      </c>
      <c r="C755" s="742"/>
      <c r="D755" s="743"/>
      <c r="E755" s="743"/>
      <c r="F755" s="743"/>
      <c r="G755" s="743"/>
      <c r="H755" s="743"/>
      <c r="I755" s="743"/>
      <c r="J755" s="743"/>
      <c r="K755" s="743"/>
      <c r="L755" s="743"/>
      <c r="M755" s="743"/>
      <c r="N755" s="743"/>
      <c r="O755" s="743"/>
      <c r="P755" s="1497">
        <f t="shared" si="62"/>
        <v>0</v>
      </c>
      <c r="Q755" s="1137">
        <f t="shared" si="63"/>
        <v>0</v>
      </c>
      <c r="R755" s="742"/>
      <c r="S755" s="743"/>
      <c r="T755" s="743"/>
      <c r="U755" s="743"/>
      <c r="V755" s="743"/>
      <c r="W755" s="743"/>
      <c r="X755" s="743"/>
      <c r="Y755" s="743">
        <v>8500</v>
      </c>
      <c r="Z755" s="743"/>
      <c r="AA755" s="743"/>
      <c r="AB755" s="743"/>
      <c r="AC755" s="743"/>
      <c r="AD755" s="1137">
        <f t="shared" si="64"/>
        <v>8500</v>
      </c>
      <c r="AE755" s="884">
        <f t="shared" si="65"/>
        <v>1</v>
      </c>
      <c r="AF755" s="885">
        <f t="shared" si="61"/>
        <v>970</v>
      </c>
    </row>
    <row r="756" spans="1:32" x14ac:dyDescent="0.3">
      <c r="A756" s="845" t="s">
        <v>1958</v>
      </c>
      <c r="B756" s="846" t="s">
        <v>2359</v>
      </c>
      <c r="C756" s="847"/>
      <c r="D756" s="848" t="s">
        <v>251</v>
      </c>
      <c r="E756" s="848"/>
      <c r="F756" s="848" t="s">
        <v>251</v>
      </c>
      <c r="G756" s="848" t="s">
        <v>251</v>
      </c>
      <c r="H756" s="848" t="s">
        <v>251</v>
      </c>
      <c r="I756" s="848" t="s">
        <v>251</v>
      </c>
      <c r="J756" s="848" t="s">
        <v>251</v>
      </c>
      <c r="K756" s="848"/>
      <c r="L756" s="848" t="s">
        <v>251</v>
      </c>
      <c r="M756" s="848" t="s">
        <v>251</v>
      </c>
      <c r="N756" s="848"/>
      <c r="O756" s="848">
        <v>175000</v>
      </c>
      <c r="P756" s="1497">
        <f t="shared" si="62"/>
        <v>0</v>
      </c>
      <c r="Q756" s="1138">
        <f t="shared" si="63"/>
        <v>175000</v>
      </c>
      <c r="R756" s="847"/>
      <c r="S756" s="848">
        <v>39000</v>
      </c>
      <c r="T756" s="848">
        <v>0</v>
      </c>
      <c r="U756" s="848">
        <v>0</v>
      </c>
      <c r="V756" s="848">
        <v>0</v>
      </c>
      <c r="W756" s="848">
        <v>0</v>
      </c>
      <c r="X756" s="848">
        <v>0</v>
      </c>
      <c r="Y756" s="848">
        <v>0</v>
      </c>
      <c r="Z756" s="848"/>
      <c r="AA756" s="848"/>
      <c r="AB756" s="848"/>
      <c r="AC756" s="848"/>
      <c r="AD756" s="1138">
        <f t="shared" si="64"/>
        <v>39000</v>
      </c>
      <c r="AE756" s="849">
        <f t="shared" si="65"/>
        <v>1</v>
      </c>
      <c r="AF756" s="850">
        <f t="shared" si="61"/>
        <v>871</v>
      </c>
    </row>
    <row r="757" spans="1:32" x14ac:dyDescent="0.3">
      <c r="A757" s="845" t="s">
        <v>1958</v>
      </c>
      <c r="B757" s="846" t="s">
        <v>2360</v>
      </c>
      <c r="C757" s="847"/>
      <c r="D757" s="848" t="s">
        <v>251</v>
      </c>
      <c r="E757" s="848"/>
      <c r="F757" s="848" t="s">
        <v>251</v>
      </c>
      <c r="G757" s="848" t="s">
        <v>251</v>
      </c>
      <c r="H757" s="848" t="s">
        <v>251</v>
      </c>
      <c r="I757" s="848" t="s">
        <v>251</v>
      </c>
      <c r="J757" s="848" t="s">
        <v>251</v>
      </c>
      <c r="K757" s="848"/>
      <c r="L757" s="848" t="s">
        <v>251</v>
      </c>
      <c r="M757" s="848" t="s">
        <v>251</v>
      </c>
      <c r="N757" s="848"/>
      <c r="O757" s="848">
        <v>191000</v>
      </c>
      <c r="P757" s="1497">
        <f t="shared" si="62"/>
        <v>0</v>
      </c>
      <c r="Q757" s="1138">
        <f t="shared" si="63"/>
        <v>191000</v>
      </c>
      <c r="R757" s="847"/>
      <c r="S757" s="848">
        <v>54000</v>
      </c>
      <c r="T757" s="848">
        <v>0</v>
      </c>
      <c r="U757" s="848">
        <v>0</v>
      </c>
      <c r="V757" s="848">
        <v>0</v>
      </c>
      <c r="W757" s="848">
        <v>0</v>
      </c>
      <c r="X757" s="848">
        <v>0</v>
      </c>
      <c r="Y757" s="848">
        <v>0</v>
      </c>
      <c r="Z757" s="848"/>
      <c r="AA757" s="848"/>
      <c r="AB757" s="848"/>
      <c r="AC757" s="848"/>
      <c r="AD757" s="1138">
        <f t="shared" si="64"/>
        <v>54000</v>
      </c>
      <c r="AE757" s="849">
        <f t="shared" si="65"/>
        <v>1</v>
      </c>
      <c r="AF757" s="850">
        <f t="shared" si="61"/>
        <v>837</v>
      </c>
    </row>
    <row r="758" spans="1:32" x14ac:dyDescent="0.3">
      <c r="A758" s="845" t="s">
        <v>1958</v>
      </c>
      <c r="B758" s="846" t="s">
        <v>2361</v>
      </c>
      <c r="C758" s="847"/>
      <c r="D758" s="848" t="s">
        <v>251</v>
      </c>
      <c r="E758" s="848"/>
      <c r="F758" s="848" t="s">
        <v>251</v>
      </c>
      <c r="G758" s="848" t="s">
        <v>251</v>
      </c>
      <c r="H758" s="848" t="s">
        <v>251</v>
      </c>
      <c r="I758" s="848" t="s">
        <v>251</v>
      </c>
      <c r="J758" s="848" t="s">
        <v>251</v>
      </c>
      <c r="K758" s="848"/>
      <c r="L758" s="848" t="s">
        <v>251</v>
      </c>
      <c r="M758" s="848" t="s">
        <v>251</v>
      </c>
      <c r="N758" s="848"/>
      <c r="O758" s="848">
        <v>116500</v>
      </c>
      <c r="P758" s="1497">
        <f t="shared" si="62"/>
        <v>0</v>
      </c>
      <c r="Q758" s="1138">
        <f t="shared" si="63"/>
        <v>116500</v>
      </c>
      <c r="R758" s="847">
        <v>25000</v>
      </c>
      <c r="S758" s="848"/>
      <c r="T758" s="848">
        <v>520500</v>
      </c>
      <c r="U758" s="848">
        <v>111500</v>
      </c>
      <c r="V758" s="848">
        <v>13000</v>
      </c>
      <c r="W758" s="848">
        <v>0</v>
      </c>
      <c r="X758" s="848">
        <v>0</v>
      </c>
      <c r="Y758" s="848">
        <v>0</v>
      </c>
      <c r="Z758" s="848"/>
      <c r="AA758" s="848"/>
      <c r="AB758" s="848"/>
      <c r="AC758" s="848"/>
      <c r="AD758" s="1138">
        <f t="shared" si="64"/>
        <v>670000</v>
      </c>
      <c r="AE758" s="849">
        <f t="shared" si="65"/>
        <v>1</v>
      </c>
      <c r="AF758" s="850">
        <f t="shared" si="61"/>
        <v>389</v>
      </c>
    </row>
    <row r="759" spans="1:32" x14ac:dyDescent="0.3">
      <c r="A759" s="845" t="s">
        <v>1958</v>
      </c>
      <c r="B759" s="846" t="s">
        <v>2362</v>
      </c>
      <c r="C759" s="847"/>
      <c r="D759" s="848" t="s">
        <v>251</v>
      </c>
      <c r="E759" s="848"/>
      <c r="F759" s="848" t="s">
        <v>251</v>
      </c>
      <c r="G759" s="848" t="s">
        <v>251</v>
      </c>
      <c r="H759" s="848" t="s">
        <v>251</v>
      </c>
      <c r="I759" s="848" t="s">
        <v>251</v>
      </c>
      <c r="J759" s="848" t="s">
        <v>251</v>
      </c>
      <c r="K759" s="848"/>
      <c r="L759" s="848" t="s">
        <v>251</v>
      </c>
      <c r="M759" s="848" t="s">
        <v>251</v>
      </c>
      <c r="N759" s="848"/>
      <c r="O759" s="848">
        <v>435500</v>
      </c>
      <c r="P759" s="1497">
        <f t="shared" si="62"/>
        <v>0</v>
      </c>
      <c r="Q759" s="1138">
        <f t="shared" si="63"/>
        <v>435500</v>
      </c>
      <c r="R759" s="847">
        <v>1585000</v>
      </c>
      <c r="S759" s="848">
        <v>45000</v>
      </c>
      <c r="T759" s="848">
        <v>2060500</v>
      </c>
      <c r="U759" s="848">
        <v>998000</v>
      </c>
      <c r="V759" s="848">
        <v>392000</v>
      </c>
      <c r="W759" s="848">
        <v>84500</v>
      </c>
      <c r="X759" s="848">
        <v>0</v>
      </c>
      <c r="Y759" s="848">
        <v>0</v>
      </c>
      <c r="Z759" s="848"/>
      <c r="AA759" s="848"/>
      <c r="AB759" s="848"/>
      <c r="AC759" s="848"/>
      <c r="AD759" s="1138">
        <f t="shared" si="64"/>
        <v>5165000</v>
      </c>
      <c r="AE759" s="849">
        <f t="shared" si="65"/>
        <v>1</v>
      </c>
      <c r="AF759" s="850">
        <f t="shared" si="61"/>
        <v>85</v>
      </c>
    </row>
    <row r="760" spans="1:32" x14ac:dyDescent="0.3">
      <c r="A760" s="845" t="s">
        <v>1958</v>
      </c>
      <c r="B760" s="846" t="s">
        <v>2396</v>
      </c>
      <c r="C760" s="847"/>
      <c r="D760" s="848" t="s">
        <v>251</v>
      </c>
      <c r="E760" s="848"/>
      <c r="F760" s="848"/>
      <c r="G760" s="848" t="s">
        <v>251</v>
      </c>
      <c r="H760" s="848" t="s">
        <v>251</v>
      </c>
      <c r="I760" s="848" t="s">
        <v>251</v>
      </c>
      <c r="J760" s="848"/>
      <c r="K760" s="848"/>
      <c r="L760" s="848"/>
      <c r="M760" s="848"/>
      <c r="N760" s="848"/>
      <c r="O760" s="848">
        <v>124000</v>
      </c>
      <c r="P760" s="1497">
        <f t="shared" si="62"/>
        <v>0</v>
      </c>
      <c r="Q760" s="1138">
        <f t="shared" si="63"/>
        <v>124000</v>
      </c>
      <c r="R760" s="847">
        <v>254500</v>
      </c>
      <c r="S760" s="848">
        <v>20000</v>
      </c>
      <c r="T760" s="848">
        <v>26000</v>
      </c>
      <c r="U760" s="848">
        <v>52000</v>
      </c>
      <c r="V760" s="848">
        <v>0</v>
      </c>
      <c r="W760" s="848">
        <v>0</v>
      </c>
      <c r="X760" s="848">
        <v>0</v>
      </c>
      <c r="Y760" s="848">
        <v>0</v>
      </c>
      <c r="Z760" s="848"/>
      <c r="AA760" s="848"/>
      <c r="AB760" s="848"/>
      <c r="AC760" s="848"/>
      <c r="AD760" s="1138">
        <f t="shared" si="64"/>
        <v>352500</v>
      </c>
      <c r="AE760" s="849">
        <f t="shared" si="65"/>
        <v>1</v>
      </c>
      <c r="AF760" s="850">
        <f t="shared" si="61"/>
        <v>503</v>
      </c>
    </row>
    <row r="761" spans="1:32" x14ac:dyDescent="0.3">
      <c r="A761" s="845" t="s">
        <v>1958</v>
      </c>
      <c r="B761" s="846" t="s">
        <v>2397</v>
      </c>
      <c r="C761" s="847"/>
      <c r="D761" s="848" t="s">
        <v>251</v>
      </c>
      <c r="E761" s="848"/>
      <c r="F761" s="848"/>
      <c r="G761" s="848" t="s">
        <v>251</v>
      </c>
      <c r="H761" s="848" t="s">
        <v>251</v>
      </c>
      <c r="I761" s="848" t="s">
        <v>251</v>
      </c>
      <c r="J761" s="848"/>
      <c r="K761" s="848"/>
      <c r="L761" s="848"/>
      <c r="M761" s="848"/>
      <c r="N761" s="848"/>
      <c r="O761" s="848">
        <v>90500</v>
      </c>
      <c r="P761" s="1497">
        <f t="shared" si="62"/>
        <v>0</v>
      </c>
      <c r="Q761" s="1138">
        <f t="shared" si="63"/>
        <v>90500</v>
      </c>
      <c r="R761" s="847">
        <v>31000</v>
      </c>
      <c r="S761" s="848"/>
      <c r="T761" s="848">
        <v>0</v>
      </c>
      <c r="U761" s="848">
        <v>0</v>
      </c>
      <c r="V761" s="848">
        <v>90500</v>
      </c>
      <c r="W761" s="848">
        <v>110500</v>
      </c>
      <c r="X761" s="848">
        <v>968000</v>
      </c>
      <c r="Y761" s="848">
        <v>107500</v>
      </c>
      <c r="Z761" s="848"/>
      <c r="AA761" s="848"/>
      <c r="AB761" s="848"/>
      <c r="AC761" s="848"/>
      <c r="AD761" s="1138">
        <f t="shared" si="64"/>
        <v>1307500</v>
      </c>
      <c r="AE761" s="849">
        <f t="shared" si="65"/>
        <v>1</v>
      </c>
      <c r="AF761" s="850">
        <f t="shared" si="61"/>
        <v>265</v>
      </c>
    </row>
    <row r="762" spans="1:32" x14ac:dyDescent="0.3">
      <c r="A762" s="845" t="s">
        <v>1958</v>
      </c>
      <c r="B762" s="846" t="s">
        <v>1957</v>
      </c>
      <c r="C762" s="847"/>
      <c r="D762" s="848"/>
      <c r="E762" s="848"/>
      <c r="F762" s="848"/>
      <c r="G762" s="848"/>
      <c r="H762" s="848"/>
      <c r="I762" s="848"/>
      <c r="J762" s="848"/>
      <c r="K762" s="848"/>
      <c r="L762" s="848"/>
      <c r="M762" s="848"/>
      <c r="N762" s="848"/>
      <c r="O762" s="848"/>
      <c r="P762" s="1497">
        <f t="shared" si="62"/>
        <v>0</v>
      </c>
      <c r="Q762" s="1138">
        <f t="shared" si="63"/>
        <v>0</v>
      </c>
      <c r="R762" s="847">
        <v>55000</v>
      </c>
      <c r="S762" s="848"/>
      <c r="T762" s="848">
        <v>0</v>
      </c>
      <c r="U762" s="848">
        <v>0</v>
      </c>
      <c r="V762" s="848">
        <v>0</v>
      </c>
      <c r="W762" s="848">
        <v>0</v>
      </c>
      <c r="X762" s="848">
        <v>0</v>
      </c>
      <c r="Y762" s="848">
        <v>0</v>
      </c>
      <c r="Z762" s="848"/>
      <c r="AA762" s="848"/>
      <c r="AB762" s="848"/>
      <c r="AC762" s="848"/>
      <c r="AD762" s="1138">
        <f t="shared" si="64"/>
        <v>55000</v>
      </c>
      <c r="AE762" s="849">
        <f t="shared" si="65"/>
        <v>1</v>
      </c>
      <c r="AF762" s="850">
        <f t="shared" si="61"/>
        <v>828</v>
      </c>
    </row>
    <row r="763" spans="1:32" x14ac:dyDescent="0.3">
      <c r="A763" s="845" t="s">
        <v>1958</v>
      </c>
      <c r="B763" s="846" t="s">
        <v>1476</v>
      </c>
      <c r="C763" s="847"/>
      <c r="D763" s="848"/>
      <c r="E763" s="848"/>
      <c r="F763" s="848"/>
      <c r="G763" s="848"/>
      <c r="H763" s="848"/>
      <c r="I763" s="848"/>
      <c r="J763" s="848"/>
      <c r="K763" s="848"/>
      <c r="L763" s="848"/>
      <c r="M763" s="848"/>
      <c r="N763" s="848"/>
      <c r="O763" s="848"/>
      <c r="P763" s="1497">
        <f t="shared" si="62"/>
        <v>0</v>
      </c>
      <c r="Q763" s="1138">
        <f t="shared" si="63"/>
        <v>0</v>
      </c>
      <c r="R763" s="847">
        <v>96500</v>
      </c>
      <c r="S763" s="848">
        <v>752000</v>
      </c>
      <c r="T763" s="848">
        <v>0</v>
      </c>
      <c r="U763" s="848">
        <v>591000</v>
      </c>
      <c r="V763" s="848">
        <v>0</v>
      </c>
      <c r="W763" s="848">
        <v>0</v>
      </c>
      <c r="X763" s="848">
        <v>0</v>
      </c>
      <c r="Y763" s="848">
        <v>684500</v>
      </c>
      <c r="Z763" s="848"/>
      <c r="AA763" s="848"/>
      <c r="AB763" s="848"/>
      <c r="AC763" s="848"/>
      <c r="AD763" s="1138">
        <f t="shared" si="64"/>
        <v>2124000</v>
      </c>
      <c r="AE763" s="849">
        <f t="shared" si="65"/>
        <v>1</v>
      </c>
      <c r="AF763" s="850">
        <f t="shared" si="61"/>
        <v>203</v>
      </c>
    </row>
    <row r="764" spans="1:32" x14ac:dyDescent="0.3">
      <c r="A764" s="845" t="s">
        <v>1958</v>
      </c>
      <c r="B764" s="846" t="s">
        <v>2545</v>
      </c>
      <c r="C764" s="847"/>
      <c r="D764" s="848"/>
      <c r="E764" s="848"/>
      <c r="F764" s="848"/>
      <c r="G764" s="848"/>
      <c r="H764" s="848"/>
      <c r="I764" s="848"/>
      <c r="J764" s="848"/>
      <c r="K764" s="848"/>
      <c r="L764" s="848"/>
      <c r="M764" s="848"/>
      <c r="N764" s="848"/>
      <c r="O764" s="848"/>
      <c r="P764" s="1497">
        <f t="shared" si="62"/>
        <v>0</v>
      </c>
      <c r="Q764" s="1138">
        <f t="shared" si="63"/>
        <v>0</v>
      </c>
      <c r="R764" s="847">
        <v>39000</v>
      </c>
      <c r="S764" s="848">
        <v>363000</v>
      </c>
      <c r="T764" s="848">
        <v>161000</v>
      </c>
      <c r="U764" s="848">
        <v>372000</v>
      </c>
      <c r="V764" s="848">
        <v>91500</v>
      </c>
      <c r="W764" s="848">
        <v>459500</v>
      </c>
      <c r="X764" s="848">
        <v>233500</v>
      </c>
      <c r="Y764" s="848">
        <v>0</v>
      </c>
      <c r="Z764" s="848"/>
      <c r="AA764" s="848"/>
      <c r="AB764" s="848"/>
      <c r="AC764" s="848"/>
      <c r="AD764" s="1138">
        <f t="shared" si="64"/>
        <v>1719500</v>
      </c>
      <c r="AE764" s="849">
        <f t="shared" si="65"/>
        <v>1</v>
      </c>
      <c r="AF764" s="850">
        <f t="shared" si="61"/>
        <v>233</v>
      </c>
    </row>
    <row r="765" spans="1:32" x14ac:dyDescent="0.3">
      <c r="A765" s="845" t="s">
        <v>1958</v>
      </c>
      <c r="B765" s="846" t="s">
        <v>2546</v>
      </c>
      <c r="C765" s="847"/>
      <c r="D765" s="848"/>
      <c r="E765" s="848"/>
      <c r="F765" s="848"/>
      <c r="G765" s="848"/>
      <c r="H765" s="848"/>
      <c r="I765" s="848"/>
      <c r="J765" s="848"/>
      <c r="K765" s="848"/>
      <c r="L765" s="848"/>
      <c r="M765" s="848"/>
      <c r="N765" s="848"/>
      <c r="O765" s="848"/>
      <c r="P765" s="1497">
        <f t="shared" si="62"/>
        <v>0</v>
      </c>
      <c r="Q765" s="1138">
        <f t="shared" si="63"/>
        <v>0</v>
      </c>
      <c r="R765" s="847">
        <v>21000</v>
      </c>
      <c r="S765" s="848"/>
      <c r="T765" s="848">
        <v>0</v>
      </c>
      <c r="U765" s="848">
        <v>78000</v>
      </c>
      <c r="V765" s="848">
        <v>39000</v>
      </c>
      <c r="W765" s="848">
        <v>0</v>
      </c>
      <c r="X765" s="848">
        <v>0</v>
      </c>
      <c r="Y765" s="848">
        <v>65000</v>
      </c>
      <c r="Z765" s="848"/>
      <c r="AA765" s="848"/>
      <c r="AB765" s="848"/>
      <c r="AC765" s="848"/>
      <c r="AD765" s="1138">
        <f t="shared" si="64"/>
        <v>203000</v>
      </c>
      <c r="AE765" s="849">
        <f t="shared" si="65"/>
        <v>1</v>
      </c>
      <c r="AF765" s="850">
        <f t="shared" si="61"/>
        <v>611</v>
      </c>
    </row>
    <row r="766" spans="1:32" x14ac:dyDescent="0.3">
      <c r="A766" s="845" t="s">
        <v>1958</v>
      </c>
      <c r="B766" s="846" t="s">
        <v>2566</v>
      </c>
      <c r="C766" s="847"/>
      <c r="D766" s="848"/>
      <c r="E766" s="848"/>
      <c r="F766" s="848"/>
      <c r="G766" s="848"/>
      <c r="H766" s="848"/>
      <c r="I766" s="848"/>
      <c r="J766" s="848"/>
      <c r="K766" s="848"/>
      <c r="L766" s="848"/>
      <c r="M766" s="848"/>
      <c r="N766" s="848"/>
      <c r="O766" s="848"/>
      <c r="P766" s="1497">
        <f t="shared" si="62"/>
        <v>0</v>
      </c>
      <c r="Q766" s="1138">
        <f t="shared" si="63"/>
        <v>0</v>
      </c>
      <c r="R766" s="847"/>
      <c r="S766" s="848">
        <v>149000</v>
      </c>
      <c r="T766" s="848">
        <v>984500</v>
      </c>
      <c r="U766" s="848">
        <v>495000</v>
      </c>
      <c r="V766" s="848">
        <v>1094500</v>
      </c>
      <c r="W766" s="848">
        <v>456000</v>
      </c>
      <c r="X766" s="848">
        <v>0</v>
      </c>
      <c r="Y766" s="848">
        <v>0</v>
      </c>
      <c r="Z766" s="848"/>
      <c r="AA766" s="848"/>
      <c r="AB766" s="848"/>
      <c r="AC766" s="848"/>
      <c r="AD766" s="1138">
        <f t="shared" si="64"/>
        <v>3179000</v>
      </c>
      <c r="AE766" s="849">
        <f t="shared" si="65"/>
        <v>1</v>
      </c>
      <c r="AF766" s="850">
        <f t="shared" si="61"/>
        <v>144</v>
      </c>
    </row>
    <row r="767" spans="1:32" x14ac:dyDescent="0.3">
      <c r="A767" s="845" t="s">
        <v>1958</v>
      </c>
      <c r="B767" s="846" t="s">
        <v>2567</v>
      </c>
      <c r="C767" s="847"/>
      <c r="D767" s="848"/>
      <c r="E767" s="848"/>
      <c r="F767" s="848"/>
      <c r="G767" s="848"/>
      <c r="H767" s="848"/>
      <c r="I767" s="848"/>
      <c r="J767" s="848"/>
      <c r="K767" s="848"/>
      <c r="L767" s="848"/>
      <c r="M767" s="848"/>
      <c r="N767" s="848"/>
      <c r="O767" s="848"/>
      <c r="P767" s="1497">
        <f t="shared" si="62"/>
        <v>0</v>
      </c>
      <c r="Q767" s="1138">
        <f t="shared" si="63"/>
        <v>0</v>
      </c>
      <c r="R767" s="847"/>
      <c r="S767" s="848">
        <v>52000</v>
      </c>
      <c r="T767" s="848">
        <v>0</v>
      </c>
      <c r="U767" s="848">
        <v>0</v>
      </c>
      <c r="V767" s="848">
        <v>0</v>
      </c>
      <c r="W767" s="848">
        <v>0</v>
      </c>
      <c r="X767" s="848">
        <v>0</v>
      </c>
      <c r="Y767" s="848">
        <v>0</v>
      </c>
      <c r="Z767" s="848"/>
      <c r="AA767" s="848"/>
      <c r="AB767" s="848"/>
      <c r="AC767" s="848"/>
      <c r="AD767" s="1138">
        <f t="shared" si="64"/>
        <v>52000</v>
      </c>
      <c r="AE767" s="849">
        <f t="shared" si="65"/>
        <v>1</v>
      </c>
      <c r="AF767" s="850">
        <f t="shared" si="61"/>
        <v>841</v>
      </c>
    </row>
    <row r="768" spans="1:32" x14ac:dyDescent="0.3">
      <c r="A768" s="845" t="s">
        <v>1958</v>
      </c>
      <c r="B768" s="846" t="s">
        <v>2618</v>
      </c>
      <c r="C768" s="847"/>
      <c r="D768" s="848"/>
      <c r="E768" s="848"/>
      <c r="F768" s="848"/>
      <c r="G768" s="848"/>
      <c r="H768" s="848"/>
      <c r="I768" s="848"/>
      <c r="J768" s="848"/>
      <c r="K768" s="848"/>
      <c r="L768" s="848"/>
      <c r="M768" s="848"/>
      <c r="N768" s="848"/>
      <c r="O768" s="848"/>
      <c r="P768" s="1497">
        <f t="shared" si="62"/>
        <v>0</v>
      </c>
      <c r="Q768" s="1138">
        <f t="shared" si="63"/>
        <v>0</v>
      </c>
      <c r="R768" s="847"/>
      <c r="S768" s="848"/>
      <c r="T768" s="848">
        <v>127000</v>
      </c>
      <c r="U768" s="848">
        <v>0</v>
      </c>
      <c r="V768" s="848">
        <v>0</v>
      </c>
      <c r="W768" s="848">
        <v>26000</v>
      </c>
      <c r="X768" s="848">
        <v>0</v>
      </c>
      <c r="Y768" s="848">
        <v>0</v>
      </c>
      <c r="Z768" s="848"/>
      <c r="AA768" s="848"/>
      <c r="AB768" s="848"/>
      <c r="AC768" s="848"/>
      <c r="AD768" s="1138">
        <f t="shared" si="64"/>
        <v>153000</v>
      </c>
      <c r="AE768" s="849">
        <f t="shared" si="65"/>
        <v>1</v>
      </c>
      <c r="AF768" s="850">
        <f t="shared" si="61"/>
        <v>672</v>
      </c>
    </row>
    <row r="769" spans="1:32" x14ac:dyDescent="0.3">
      <c r="A769" s="845" t="s">
        <v>1958</v>
      </c>
      <c r="B769" s="846" t="s">
        <v>2606</v>
      </c>
      <c r="C769" s="847"/>
      <c r="D769" s="848"/>
      <c r="E769" s="848"/>
      <c r="F769" s="848"/>
      <c r="G769" s="848"/>
      <c r="H769" s="848"/>
      <c r="I769" s="848"/>
      <c r="J769" s="848"/>
      <c r="K769" s="848"/>
      <c r="L769" s="848"/>
      <c r="M769" s="848"/>
      <c r="N769" s="848"/>
      <c r="O769" s="848"/>
      <c r="P769" s="1497">
        <f t="shared" si="62"/>
        <v>0</v>
      </c>
      <c r="Q769" s="1138">
        <f t="shared" si="63"/>
        <v>0</v>
      </c>
      <c r="R769" s="847"/>
      <c r="S769" s="848"/>
      <c r="T769" s="848">
        <v>52500</v>
      </c>
      <c r="U769" s="848">
        <v>39000</v>
      </c>
      <c r="V769" s="848">
        <v>0</v>
      </c>
      <c r="W769" s="848">
        <v>0</v>
      </c>
      <c r="X769" s="848">
        <v>19000</v>
      </c>
      <c r="Y769" s="848">
        <v>0</v>
      </c>
      <c r="Z769" s="848"/>
      <c r="AA769" s="848"/>
      <c r="AB769" s="848"/>
      <c r="AC769" s="848"/>
      <c r="AD769" s="1138">
        <f t="shared" si="64"/>
        <v>110500</v>
      </c>
      <c r="AE769" s="849">
        <f t="shared" si="65"/>
        <v>1</v>
      </c>
      <c r="AF769" s="850">
        <f t="shared" si="61"/>
        <v>726</v>
      </c>
    </row>
    <row r="770" spans="1:32" x14ac:dyDescent="0.3">
      <c r="A770" s="845" t="s">
        <v>1958</v>
      </c>
      <c r="B770" s="846" t="s">
        <v>2642</v>
      </c>
      <c r="C770" s="847"/>
      <c r="D770" s="848"/>
      <c r="E770" s="848"/>
      <c r="F770" s="848"/>
      <c r="G770" s="848"/>
      <c r="H770" s="848"/>
      <c r="I770" s="848"/>
      <c r="J770" s="848"/>
      <c r="K770" s="848"/>
      <c r="L770" s="848"/>
      <c r="M770" s="848"/>
      <c r="N770" s="848"/>
      <c r="O770" s="848"/>
      <c r="P770" s="1497">
        <f t="shared" si="62"/>
        <v>0</v>
      </c>
      <c r="Q770" s="1138">
        <f t="shared" si="63"/>
        <v>0</v>
      </c>
      <c r="R770" s="847"/>
      <c r="S770" s="848"/>
      <c r="T770" s="848">
        <v>236000</v>
      </c>
      <c r="U770" s="848">
        <v>238500</v>
      </c>
      <c r="V770" s="848">
        <v>21000</v>
      </c>
      <c r="W770" s="848">
        <v>0</v>
      </c>
      <c r="X770" s="848">
        <v>0</v>
      </c>
      <c r="Y770" s="848">
        <v>0</v>
      </c>
      <c r="Z770" s="848"/>
      <c r="AA770" s="848"/>
      <c r="AB770" s="848"/>
      <c r="AC770" s="848"/>
      <c r="AD770" s="1138">
        <f t="shared" si="64"/>
        <v>495500</v>
      </c>
      <c r="AE770" s="849">
        <f t="shared" si="65"/>
        <v>1</v>
      </c>
      <c r="AF770" s="850">
        <f t="shared" si="61"/>
        <v>443</v>
      </c>
    </row>
    <row r="771" spans="1:32" x14ac:dyDescent="0.3">
      <c r="A771" s="845" t="s">
        <v>1958</v>
      </c>
      <c r="B771" s="846" t="s">
        <v>2643</v>
      </c>
      <c r="C771" s="847"/>
      <c r="D771" s="848"/>
      <c r="E771" s="848"/>
      <c r="F771" s="848"/>
      <c r="G771" s="848"/>
      <c r="H771" s="848"/>
      <c r="I771" s="848"/>
      <c r="J771" s="848"/>
      <c r="K771" s="848"/>
      <c r="L771" s="848"/>
      <c r="M771" s="848"/>
      <c r="N771" s="848"/>
      <c r="O771" s="848"/>
      <c r="P771" s="1497">
        <f t="shared" si="62"/>
        <v>0</v>
      </c>
      <c r="Q771" s="1138">
        <f t="shared" si="63"/>
        <v>0</v>
      </c>
      <c r="R771" s="847"/>
      <c r="S771" s="848"/>
      <c r="T771" s="848">
        <v>157000</v>
      </c>
      <c r="U771" s="848">
        <v>0</v>
      </c>
      <c r="V771" s="848"/>
      <c r="W771" s="848"/>
      <c r="X771" s="848"/>
      <c r="Y771" s="848"/>
      <c r="Z771" s="848"/>
      <c r="AA771" s="848"/>
      <c r="AB771" s="848"/>
      <c r="AC771" s="848"/>
      <c r="AD771" s="1138">
        <f t="shared" si="64"/>
        <v>157000</v>
      </c>
      <c r="AE771" s="849">
        <f t="shared" si="65"/>
        <v>1</v>
      </c>
      <c r="AF771" s="850">
        <f t="shared" si="61"/>
        <v>666</v>
      </c>
    </row>
    <row r="772" spans="1:32" x14ac:dyDescent="0.3">
      <c r="A772" s="845" t="s">
        <v>1958</v>
      </c>
      <c r="B772" s="846" t="s">
        <v>2644</v>
      </c>
      <c r="C772" s="847"/>
      <c r="D772" s="848"/>
      <c r="E772" s="848"/>
      <c r="F772" s="848"/>
      <c r="G772" s="848"/>
      <c r="H772" s="848"/>
      <c r="I772" s="848"/>
      <c r="J772" s="848"/>
      <c r="K772" s="848"/>
      <c r="L772" s="848"/>
      <c r="M772" s="848"/>
      <c r="N772" s="848"/>
      <c r="O772" s="848"/>
      <c r="P772" s="1497">
        <f t="shared" si="62"/>
        <v>0</v>
      </c>
      <c r="Q772" s="1138">
        <f t="shared" si="63"/>
        <v>0</v>
      </c>
      <c r="R772" s="847"/>
      <c r="S772" s="848"/>
      <c r="T772" s="848">
        <v>11000</v>
      </c>
      <c r="U772" s="848">
        <v>17000</v>
      </c>
      <c r="V772" s="848">
        <v>0</v>
      </c>
      <c r="W772" s="848">
        <v>0</v>
      </c>
      <c r="X772" s="848">
        <v>0</v>
      </c>
      <c r="Y772" s="848">
        <v>0</v>
      </c>
      <c r="Z772" s="848"/>
      <c r="AA772" s="848"/>
      <c r="AB772" s="848"/>
      <c r="AC772" s="848"/>
      <c r="AD772" s="1138">
        <f t="shared" si="64"/>
        <v>28000</v>
      </c>
      <c r="AE772" s="849">
        <f t="shared" si="65"/>
        <v>1</v>
      </c>
      <c r="AF772" s="850">
        <f t="shared" si="61"/>
        <v>900</v>
      </c>
    </row>
    <row r="773" spans="1:32" x14ac:dyDescent="0.3">
      <c r="A773" s="845" t="s">
        <v>1958</v>
      </c>
      <c r="B773" s="846" t="s">
        <v>2688</v>
      </c>
      <c r="C773" s="847"/>
      <c r="D773" s="848"/>
      <c r="E773" s="848"/>
      <c r="F773" s="848"/>
      <c r="G773" s="848"/>
      <c r="H773" s="848"/>
      <c r="I773" s="848"/>
      <c r="J773" s="848"/>
      <c r="K773" s="848"/>
      <c r="L773" s="848"/>
      <c r="M773" s="848"/>
      <c r="N773" s="848"/>
      <c r="O773" s="848"/>
      <c r="P773" s="1497">
        <f t="shared" si="62"/>
        <v>0</v>
      </c>
      <c r="Q773" s="1138">
        <f t="shared" si="63"/>
        <v>0</v>
      </c>
      <c r="R773" s="847"/>
      <c r="S773" s="848"/>
      <c r="T773" s="848"/>
      <c r="U773" s="848">
        <v>283500</v>
      </c>
      <c r="V773" s="848">
        <v>0</v>
      </c>
      <c r="W773" s="848">
        <v>0</v>
      </c>
      <c r="X773" s="848">
        <v>0</v>
      </c>
      <c r="Y773" s="848">
        <v>0</v>
      </c>
      <c r="Z773" s="848"/>
      <c r="AA773" s="848"/>
      <c r="AB773" s="848"/>
      <c r="AC773" s="848"/>
      <c r="AD773" s="1138">
        <f t="shared" si="64"/>
        <v>283500</v>
      </c>
      <c r="AE773" s="849">
        <f t="shared" si="65"/>
        <v>1</v>
      </c>
      <c r="AF773" s="850">
        <f t="shared" ref="AF773:AF836" si="66">IFERROR(_xlfn.RANK.EQ(AD773, $AD$2:$AD$2064), "")</f>
        <v>543</v>
      </c>
    </row>
    <row r="774" spans="1:32" x14ac:dyDescent="0.3">
      <c r="A774" s="845" t="s">
        <v>1958</v>
      </c>
      <c r="B774" s="846" t="s">
        <v>2740</v>
      </c>
      <c r="C774" s="847"/>
      <c r="D774" s="848"/>
      <c r="E774" s="848"/>
      <c r="F774" s="848"/>
      <c r="G774" s="848"/>
      <c r="H774" s="848"/>
      <c r="I774" s="848"/>
      <c r="J774" s="848"/>
      <c r="K774" s="848"/>
      <c r="L774" s="848"/>
      <c r="M774" s="848"/>
      <c r="N774" s="848"/>
      <c r="O774" s="848"/>
      <c r="P774" s="1497">
        <f t="shared" si="62"/>
        <v>0</v>
      </c>
      <c r="Q774" s="1138">
        <f t="shared" si="63"/>
        <v>0</v>
      </c>
      <c r="R774" s="847"/>
      <c r="S774" s="848"/>
      <c r="T774" s="848"/>
      <c r="U774" s="848">
        <v>124000</v>
      </c>
      <c r="V774" s="848">
        <v>29000</v>
      </c>
      <c r="W774" s="848">
        <v>0</v>
      </c>
      <c r="X774" s="848">
        <v>0</v>
      </c>
      <c r="Y774" s="848">
        <v>0</v>
      </c>
      <c r="Z774" s="848"/>
      <c r="AA774" s="848"/>
      <c r="AB774" s="848"/>
      <c r="AC774" s="848"/>
      <c r="AD774" s="1138">
        <f t="shared" si="64"/>
        <v>153000</v>
      </c>
      <c r="AE774" s="849">
        <f t="shared" si="65"/>
        <v>1</v>
      </c>
      <c r="AF774" s="850">
        <f t="shared" si="66"/>
        <v>672</v>
      </c>
    </row>
    <row r="775" spans="1:32" x14ac:dyDescent="0.3">
      <c r="A775" s="845" t="s">
        <v>1958</v>
      </c>
      <c r="B775" s="846" t="s">
        <v>2741</v>
      </c>
      <c r="C775" s="847"/>
      <c r="D775" s="848"/>
      <c r="E775" s="848"/>
      <c r="F775" s="848"/>
      <c r="G775" s="848"/>
      <c r="H775" s="848"/>
      <c r="I775" s="848"/>
      <c r="J775" s="848"/>
      <c r="K775" s="848"/>
      <c r="L775" s="848"/>
      <c r="M775" s="848"/>
      <c r="N775" s="848"/>
      <c r="O775" s="848"/>
      <c r="P775" s="1497">
        <f t="shared" si="62"/>
        <v>0</v>
      </c>
      <c r="Q775" s="1138">
        <f t="shared" si="63"/>
        <v>0</v>
      </c>
      <c r="R775" s="847"/>
      <c r="S775" s="848"/>
      <c r="T775" s="848"/>
      <c r="U775" s="848">
        <v>13000</v>
      </c>
      <c r="V775" s="848">
        <v>63000</v>
      </c>
      <c r="W775" s="848">
        <v>0</v>
      </c>
      <c r="X775" s="848">
        <v>0</v>
      </c>
      <c r="Y775" s="848">
        <v>0</v>
      </c>
      <c r="Z775" s="848"/>
      <c r="AA775" s="848"/>
      <c r="AB775" s="848"/>
      <c r="AC775" s="848"/>
      <c r="AD775" s="1138">
        <f t="shared" si="64"/>
        <v>76000</v>
      </c>
      <c r="AE775" s="849">
        <f t="shared" si="65"/>
        <v>1</v>
      </c>
      <c r="AF775" s="850">
        <f t="shared" si="66"/>
        <v>779</v>
      </c>
    </row>
    <row r="776" spans="1:32" x14ac:dyDescent="0.3">
      <c r="A776" s="845" t="s">
        <v>1958</v>
      </c>
      <c r="B776" s="846" t="s">
        <v>2783</v>
      </c>
      <c r="C776" s="847"/>
      <c r="D776" s="848"/>
      <c r="E776" s="848"/>
      <c r="F776" s="848"/>
      <c r="G776" s="848"/>
      <c r="H776" s="848"/>
      <c r="I776" s="848"/>
      <c r="J776" s="848"/>
      <c r="K776" s="848"/>
      <c r="L776" s="848"/>
      <c r="M776" s="848"/>
      <c r="N776" s="848"/>
      <c r="O776" s="848"/>
      <c r="P776" s="1497">
        <f t="shared" si="62"/>
        <v>0</v>
      </c>
      <c r="Q776" s="1138">
        <f t="shared" si="63"/>
        <v>0</v>
      </c>
      <c r="R776" s="847"/>
      <c r="S776" s="848"/>
      <c r="T776" s="848"/>
      <c r="U776" s="848"/>
      <c r="V776" s="848">
        <v>323500</v>
      </c>
      <c r="W776" s="848">
        <v>0</v>
      </c>
      <c r="X776" s="848">
        <v>0</v>
      </c>
      <c r="Y776" s="848">
        <v>0</v>
      </c>
      <c r="Z776" s="848"/>
      <c r="AA776" s="848"/>
      <c r="AB776" s="848"/>
      <c r="AC776" s="848"/>
      <c r="AD776" s="1138">
        <f t="shared" si="64"/>
        <v>323500</v>
      </c>
      <c r="AE776" s="849">
        <f t="shared" si="65"/>
        <v>1</v>
      </c>
      <c r="AF776" s="850">
        <f t="shared" si="66"/>
        <v>518</v>
      </c>
    </row>
    <row r="777" spans="1:32" x14ac:dyDescent="0.3">
      <c r="A777" s="845" t="s">
        <v>1958</v>
      </c>
      <c r="B777" s="846" t="s">
        <v>2812</v>
      </c>
      <c r="C777" s="847"/>
      <c r="D777" s="848"/>
      <c r="E777" s="848"/>
      <c r="F777" s="848"/>
      <c r="G777" s="848"/>
      <c r="H777" s="848"/>
      <c r="I777" s="848"/>
      <c r="J777" s="848"/>
      <c r="K777" s="848"/>
      <c r="L777" s="848"/>
      <c r="M777" s="848"/>
      <c r="N777" s="848"/>
      <c r="O777" s="848"/>
      <c r="P777" s="1497">
        <f t="shared" si="62"/>
        <v>0</v>
      </c>
      <c r="Q777" s="1138">
        <f t="shared" si="63"/>
        <v>0</v>
      </c>
      <c r="R777" s="847"/>
      <c r="S777" s="848"/>
      <c r="T777" s="848"/>
      <c r="U777" s="848"/>
      <c r="V777" s="848">
        <v>202000</v>
      </c>
      <c r="W777" s="848">
        <v>0</v>
      </c>
      <c r="X777" s="848">
        <v>0</v>
      </c>
      <c r="Y777" s="848">
        <v>0</v>
      </c>
      <c r="Z777" s="848"/>
      <c r="AA777" s="848"/>
      <c r="AB777" s="848"/>
      <c r="AC777" s="848"/>
      <c r="AD777" s="1138">
        <f t="shared" si="64"/>
        <v>202000</v>
      </c>
      <c r="AE777" s="849">
        <f t="shared" si="65"/>
        <v>1</v>
      </c>
      <c r="AF777" s="850">
        <f t="shared" si="66"/>
        <v>613</v>
      </c>
    </row>
    <row r="778" spans="1:32" x14ac:dyDescent="0.3">
      <c r="A778" s="845" t="s">
        <v>1958</v>
      </c>
      <c r="B778" s="846" t="s">
        <v>2862</v>
      </c>
      <c r="C778" s="847"/>
      <c r="D778" s="848"/>
      <c r="E778" s="848"/>
      <c r="F778" s="848"/>
      <c r="G778" s="848"/>
      <c r="H778" s="848"/>
      <c r="I778" s="848"/>
      <c r="J778" s="848"/>
      <c r="K778" s="848"/>
      <c r="L778" s="848"/>
      <c r="M778" s="848"/>
      <c r="N778" s="848"/>
      <c r="O778" s="848"/>
      <c r="P778" s="1497">
        <f t="shared" si="62"/>
        <v>0</v>
      </c>
      <c r="Q778" s="1138">
        <f t="shared" si="63"/>
        <v>0</v>
      </c>
      <c r="R778" s="847"/>
      <c r="S778" s="848"/>
      <c r="T778" s="848"/>
      <c r="U778" s="848"/>
      <c r="V778" s="848"/>
      <c r="W778" s="848">
        <v>359000</v>
      </c>
      <c r="X778" s="848">
        <v>635250</v>
      </c>
      <c r="Y778" s="848">
        <v>109500</v>
      </c>
      <c r="Z778" s="848"/>
      <c r="AA778" s="848"/>
      <c r="AB778" s="848"/>
      <c r="AC778" s="848"/>
      <c r="AD778" s="1138">
        <f t="shared" si="64"/>
        <v>1103750</v>
      </c>
      <c r="AE778" s="849">
        <f t="shared" si="65"/>
        <v>1</v>
      </c>
      <c r="AF778" s="850">
        <f t="shared" si="66"/>
        <v>300</v>
      </c>
    </row>
    <row r="779" spans="1:32" x14ac:dyDescent="0.3">
      <c r="A779" s="845" t="s">
        <v>1958</v>
      </c>
      <c r="B779" s="846" t="s">
        <v>2900</v>
      </c>
      <c r="C779" s="847"/>
      <c r="D779" s="848"/>
      <c r="E779" s="848"/>
      <c r="F779" s="848"/>
      <c r="G779" s="848"/>
      <c r="H779" s="848"/>
      <c r="I779" s="848"/>
      <c r="J779" s="848"/>
      <c r="K779" s="848"/>
      <c r="L779" s="848"/>
      <c r="M779" s="848"/>
      <c r="N779" s="848"/>
      <c r="O779" s="848"/>
      <c r="P779" s="1497">
        <f t="shared" si="62"/>
        <v>0</v>
      </c>
      <c r="Q779" s="1138">
        <f t="shared" si="63"/>
        <v>0</v>
      </c>
      <c r="R779" s="847"/>
      <c r="S779" s="848"/>
      <c r="T779" s="848"/>
      <c r="U779" s="848"/>
      <c r="V779" s="848"/>
      <c r="W779" s="848">
        <v>407500</v>
      </c>
      <c r="X779" s="848">
        <v>313000</v>
      </c>
      <c r="Y779" s="848">
        <v>0</v>
      </c>
      <c r="Z779" s="848"/>
      <c r="AA779" s="848"/>
      <c r="AB779" s="848"/>
      <c r="AC779" s="848"/>
      <c r="AD779" s="1138">
        <f t="shared" si="64"/>
        <v>720500</v>
      </c>
      <c r="AE779" s="849">
        <f t="shared" si="65"/>
        <v>1</v>
      </c>
      <c r="AF779" s="850">
        <f t="shared" si="66"/>
        <v>373</v>
      </c>
    </row>
    <row r="780" spans="1:32" x14ac:dyDescent="0.3">
      <c r="A780" s="845" t="s">
        <v>1958</v>
      </c>
      <c r="B780" s="846" t="s">
        <v>2901</v>
      </c>
      <c r="C780" s="847"/>
      <c r="D780" s="848"/>
      <c r="E780" s="848"/>
      <c r="F780" s="848"/>
      <c r="G780" s="848"/>
      <c r="H780" s="848"/>
      <c r="I780" s="848"/>
      <c r="J780" s="848"/>
      <c r="K780" s="848"/>
      <c r="L780" s="848"/>
      <c r="M780" s="848"/>
      <c r="N780" s="848"/>
      <c r="O780" s="848"/>
      <c r="P780" s="1497">
        <f t="shared" ref="P780:P844" si="67">SUM(C780:I780,K780)</f>
        <v>0</v>
      </c>
      <c r="Q780" s="1138">
        <f t="shared" ref="Q780:Q844" si="68">SUM(C780:J780,L780:O780)</f>
        <v>0</v>
      </c>
      <c r="R780" s="847"/>
      <c r="S780" s="848"/>
      <c r="T780" s="848"/>
      <c r="U780" s="848"/>
      <c r="V780" s="848"/>
      <c r="W780" s="848">
        <v>316500</v>
      </c>
      <c r="X780" s="848">
        <v>1013500</v>
      </c>
      <c r="Y780" s="848">
        <v>79500</v>
      </c>
      <c r="Z780" s="848"/>
      <c r="AA780" s="848"/>
      <c r="AB780" s="848"/>
      <c r="AC780" s="848"/>
      <c r="AD780" s="1138">
        <f t="shared" si="64"/>
        <v>1409500</v>
      </c>
      <c r="AE780" s="849">
        <f t="shared" si="65"/>
        <v>1</v>
      </c>
      <c r="AF780" s="850">
        <f t="shared" si="66"/>
        <v>253</v>
      </c>
    </row>
    <row r="781" spans="1:32" x14ac:dyDescent="0.3">
      <c r="A781" s="845" t="s">
        <v>1958</v>
      </c>
      <c r="B781" s="846" t="s">
        <v>2956</v>
      </c>
      <c r="C781" s="847"/>
      <c r="D781" s="848"/>
      <c r="E781" s="848"/>
      <c r="F781" s="848"/>
      <c r="G781" s="848"/>
      <c r="H781" s="848"/>
      <c r="I781" s="848"/>
      <c r="J781" s="848"/>
      <c r="K781" s="848"/>
      <c r="L781" s="848"/>
      <c r="M781" s="848"/>
      <c r="N781" s="848"/>
      <c r="O781" s="848"/>
      <c r="P781" s="1497">
        <f t="shared" si="67"/>
        <v>0</v>
      </c>
      <c r="Q781" s="1138">
        <f t="shared" si="68"/>
        <v>0</v>
      </c>
      <c r="R781" s="847"/>
      <c r="S781" s="848"/>
      <c r="T781" s="848"/>
      <c r="U781" s="848"/>
      <c r="V781" s="848"/>
      <c r="W781" s="848"/>
      <c r="X781" s="848">
        <v>120500</v>
      </c>
      <c r="Y781" s="848">
        <v>238500</v>
      </c>
      <c r="Z781" s="848"/>
      <c r="AA781" s="848"/>
      <c r="AB781" s="848"/>
      <c r="AC781" s="848"/>
      <c r="AD781" s="1138">
        <f t="shared" si="64"/>
        <v>359000</v>
      </c>
      <c r="AE781" s="849">
        <f t="shared" si="65"/>
        <v>1</v>
      </c>
      <c r="AF781" s="850">
        <f t="shared" si="66"/>
        <v>500</v>
      </c>
    </row>
    <row r="782" spans="1:32" x14ac:dyDescent="0.3">
      <c r="A782" s="845" t="s">
        <v>1958</v>
      </c>
      <c r="B782" s="846" t="s">
        <v>2989</v>
      </c>
      <c r="C782" s="847"/>
      <c r="D782" s="848"/>
      <c r="E782" s="848"/>
      <c r="F782" s="848"/>
      <c r="G782" s="848"/>
      <c r="H782" s="848"/>
      <c r="I782" s="848"/>
      <c r="J782" s="848"/>
      <c r="K782" s="848"/>
      <c r="L782" s="848"/>
      <c r="M782" s="848"/>
      <c r="N782" s="848"/>
      <c r="O782" s="848"/>
      <c r="P782" s="1497">
        <f t="shared" si="67"/>
        <v>0</v>
      </c>
      <c r="Q782" s="1138">
        <f t="shared" si="68"/>
        <v>0</v>
      </c>
      <c r="R782" s="847"/>
      <c r="S782" s="848"/>
      <c r="T782" s="848"/>
      <c r="U782" s="848"/>
      <c r="V782" s="848"/>
      <c r="W782" s="848"/>
      <c r="X782" s="848">
        <v>810000</v>
      </c>
      <c r="Y782" s="848">
        <v>0</v>
      </c>
      <c r="Z782" s="848"/>
      <c r="AA782" s="848"/>
      <c r="AB782" s="848"/>
      <c r="AC782" s="848"/>
      <c r="AD782" s="1138">
        <f t="shared" si="64"/>
        <v>810000</v>
      </c>
      <c r="AE782" s="849">
        <f t="shared" si="65"/>
        <v>1</v>
      </c>
      <c r="AF782" s="850">
        <f t="shared" si="66"/>
        <v>353</v>
      </c>
    </row>
    <row r="783" spans="1:32" ht="15.75" customHeight="1" x14ac:dyDescent="0.3">
      <c r="A783" s="301" t="s">
        <v>970</v>
      </c>
      <c r="B783" s="886" t="s">
        <v>1030</v>
      </c>
      <c r="C783" s="744"/>
      <c r="D783" s="745">
        <v>733700</v>
      </c>
      <c r="E783" s="745">
        <v>5421300</v>
      </c>
      <c r="F783" s="745">
        <v>318650</v>
      </c>
      <c r="G783" s="745">
        <v>0</v>
      </c>
      <c r="H783" s="745">
        <v>0</v>
      </c>
      <c r="I783" s="745">
        <v>0</v>
      </c>
      <c r="J783" s="745">
        <v>0</v>
      </c>
      <c r="K783" s="745">
        <v>0</v>
      </c>
      <c r="L783" s="745">
        <v>0</v>
      </c>
      <c r="M783" s="745">
        <v>0</v>
      </c>
      <c r="N783" s="745">
        <v>0</v>
      </c>
      <c r="O783" s="745" t="s">
        <v>251</v>
      </c>
      <c r="P783" s="1497">
        <f t="shared" si="67"/>
        <v>6473650</v>
      </c>
      <c r="Q783" s="1139">
        <f t="shared" si="68"/>
        <v>6473650</v>
      </c>
      <c r="R783" s="744"/>
      <c r="S783" s="745"/>
      <c r="T783" s="745"/>
      <c r="U783" s="745"/>
      <c r="V783" s="745"/>
      <c r="W783" s="745"/>
      <c r="X783" s="745"/>
      <c r="Y783" s="745"/>
      <c r="Z783" s="745"/>
      <c r="AA783" s="745"/>
      <c r="AB783" s="745"/>
      <c r="AC783" s="745"/>
      <c r="AD783" s="1139">
        <f t="shared" si="64"/>
        <v>0</v>
      </c>
      <c r="AE783" s="887">
        <f t="shared" si="65"/>
        <v>-1</v>
      </c>
      <c r="AF783" s="888">
        <f t="shared" si="66"/>
        <v>983</v>
      </c>
    </row>
    <row r="784" spans="1:32" x14ac:dyDescent="0.3">
      <c r="A784" s="301" t="s">
        <v>970</v>
      </c>
      <c r="B784" s="886" t="s">
        <v>1289</v>
      </c>
      <c r="C784" s="744">
        <v>933000</v>
      </c>
      <c r="D784" s="745">
        <v>447850</v>
      </c>
      <c r="E784" s="745">
        <v>755250</v>
      </c>
      <c r="F784" s="745">
        <v>232500</v>
      </c>
      <c r="G784" s="745">
        <v>600750</v>
      </c>
      <c r="H784" s="745">
        <v>193750</v>
      </c>
      <c r="I784" s="745">
        <v>1056000</v>
      </c>
      <c r="J784" s="745">
        <v>1810900</v>
      </c>
      <c r="K784" s="745">
        <v>1810900</v>
      </c>
      <c r="L784" s="745">
        <v>1171800</v>
      </c>
      <c r="M784" s="745">
        <v>0</v>
      </c>
      <c r="N784" s="745">
        <v>0</v>
      </c>
      <c r="O784" s="745">
        <v>906700</v>
      </c>
      <c r="P784" s="1497">
        <f t="shared" si="67"/>
        <v>6030000</v>
      </c>
      <c r="Q784" s="1139">
        <f t="shared" si="68"/>
        <v>8108500</v>
      </c>
      <c r="R784" s="744">
        <v>465600</v>
      </c>
      <c r="S784" s="745">
        <v>315000</v>
      </c>
      <c r="T784" s="745">
        <v>2401100</v>
      </c>
      <c r="U784" s="745">
        <v>506400</v>
      </c>
      <c r="V784" s="745">
        <v>38600</v>
      </c>
      <c r="W784" s="745">
        <v>155200</v>
      </c>
      <c r="X784" s="745">
        <v>1217000</v>
      </c>
      <c r="Y784" s="745">
        <v>96600</v>
      </c>
      <c r="Z784" s="745"/>
      <c r="AA784" s="745"/>
      <c r="AB784" s="745"/>
      <c r="AC784" s="745"/>
      <c r="AD784" s="1139">
        <f t="shared" si="64"/>
        <v>5195500</v>
      </c>
      <c r="AE784" s="887">
        <f t="shared" si="65"/>
        <v>-0.13839137645107794</v>
      </c>
      <c r="AF784" s="888">
        <f t="shared" si="66"/>
        <v>84</v>
      </c>
    </row>
    <row r="785" spans="1:32" x14ac:dyDescent="0.3">
      <c r="A785" s="301" t="s">
        <v>970</v>
      </c>
      <c r="B785" s="886" t="s">
        <v>1290</v>
      </c>
      <c r="C785" s="744"/>
      <c r="D785" s="745">
        <v>56500</v>
      </c>
      <c r="E785" s="745">
        <v>1400700</v>
      </c>
      <c r="F785" s="745">
        <v>0</v>
      </c>
      <c r="G785" s="745">
        <v>0</v>
      </c>
      <c r="H785" s="745">
        <v>0</v>
      </c>
      <c r="I785" s="745">
        <v>0</v>
      </c>
      <c r="J785" s="745">
        <v>0</v>
      </c>
      <c r="K785" s="745">
        <v>0</v>
      </c>
      <c r="L785" s="745">
        <v>0</v>
      </c>
      <c r="M785" s="745">
        <v>0</v>
      </c>
      <c r="N785" s="745">
        <v>0</v>
      </c>
      <c r="O785" s="745" t="s">
        <v>251</v>
      </c>
      <c r="P785" s="1497">
        <f t="shared" si="67"/>
        <v>1457200</v>
      </c>
      <c r="Q785" s="1139">
        <f t="shared" si="68"/>
        <v>1457200</v>
      </c>
      <c r="R785" s="744"/>
      <c r="S785" s="745"/>
      <c r="T785" s="745">
        <v>981900</v>
      </c>
      <c r="U785" s="745">
        <v>2358250</v>
      </c>
      <c r="V785" s="745">
        <v>116500</v>
      </c>
      <c r="W785" s="745">
        <v>0</v>
      </c>
      <c r="X785" s="745">
        <v>0</v>
      </c>
      <c r="Y785" s="745">
        <v>0</v>
      </c>
      <c r="Z785" s="745"/>
      <c r="AA785" s="745"/>
      <c r="AB785" s="745"/>
      <c r="AC785" s="745"/>
      <c r="AD785" s="1139">
        <f t="shared" si="64"/>
        <v>3456650</v>
      </c>
      <c r="AE785" s="887">
        <f t="shared" si="65"/>
        <v>1.3721177600878396</v>
      </c>
      <c r="AF785" s="888">
        <f t="shared" si="66"/>
        <v>134</v>
      </c>
    </row>
    <row r="786" spans="1:32" x14ac:dyDescent="0.3">
      <c r="A786" s="301" t="s">
        <v>970</v>
      </c>
      <c r="B786" s="886" t="s">
        <v>1291</v>
      </c>
      <c r="C786" s="744">
        <v>250000</v>
      </c>
      <c r="D786" s="745">
        <v>120000</v>
      </c>
      <c r="E786" s="745">
        <v>427700</v>
      </c>
      <c r="F786" s="745">
        <v>657150</v>
      </c>
      <c r="G786" s="745">
        <v>0</v>
      </c>
      <c r="H786" s="745">
        <v>341000</v>
      </c>
      <c r="I786" s="745">
        <v>98900</v>
      </c>
      <c r="J786" s="745">
        <v>885200</v>
      </c>
      <c r="K786" s="745">
        <v>631300</v>
      </c>
      <c r="L786" s="745">
        <v>0</v>
      </c>
      <c r="M786" s="745">
        <v>1655900</v>
      </c>
      <c r="N786" s="745">
        <v>0</v>
      </c>
      <c r="O786" s="745">
        <v>135200</v>
      </c>
      <c r="P786" s="1497">
        <f t="shared" si="67"/>
        <v>2526050</v>
      </c>
      <c r="Q786" s="1139">
        <f t="shared" si="68"/>
        <v>4571050</v>
      </c>
      <c r="R786" s="744">
        <v>3905200</v>
      </c>
      <c r="S786" s="745">
        <v>463000</v>
      </c>
      <c r="T786" s="745">
        <v>2310850</v>
      </c>
      <c r="U786" s="745">
        <v>1348450</v>
      </c>
      <c r="V786" s="745">
        <v>0</v>
      </c>
      <c r="W786" s="745">
        <v>130400</v>
      </c>
      <c r="X786" s="745">
        <v>270120</v>
      </c>
      <c r="Y786" s="745">
        <v>543800</v>
      </c>
      <c r="Z786" s="745"/>
      <c r="AA786" s="745"/>
      <c r="AB786" s="745"/>
      <c r="AC786" s="745"/>
      <c r="AD786" s="1139">
        <f t="shared" si="64"/>
        <v>8971820</v>
      </c>
      <c r="AE786" s="887">
        <f t="shared" si="65"/>
        <v>2.5517190871122901</v>
      </c>
      <c r="AF786" s="888">
        <f t="shared" si="66"/>
        <v>40</v>
      </c>
    </row>
    <row r="787" spans="1:32" x14ac:dyDescent="0.3">
      <c r="A787" s="301" t="s">
        <v>970</v>
      </c>
      <c r="B787" s="886" t="s">
        <v>1033</v>
      </c>
      <c r="C787" s="744"/>
      <c r="D787" s="745">
        <v>0</v>
      </c>
      <c r="E787" s="745"/>
      <c r="F787" s="745">
        <v>1189350</v>
      </c>
      <c r="G787" s="745">
        <v>0</v>
      </c>
      <c r="H787" s="745">
        <v>0</v>
      </c>
      <c r="I787" s="745">
        <v>0</v>
      </c>
      <c r="J787" s="745">
        <v>0</v>
      </c>
      <c r="K787" s="745">
        <v>0</v>
      </c>
      <c r="L787" s="745">
        <v>0</v>
      </c>
      <c r="M787" s="745">
        <v>0</v>
      </c>
      <c r="N787" s="745">
        <v>0</v>
      </c>
      <c r="O787" s="745" t="s">
        <v>251</v>
      </c>
      <c r="P787" s="1497">
        <f t="shared" si="67"/>
        <v>1189350</v>
      </c>
      <c r="Q787" s="1139">
        <f t="shared" si="68"/>
        <v>1189350</v>
      </c>
      <c r="R787" s="744"/>
      <c r="S787" s="745"/>
      <c r="T787" s="745"/>
      <c r="U787" s="745"/>
      <c r="V787" s="745"/>
      <c r="W787" s="745"/>
      <c r="X787" s="745"/>
      <c r="Y787" s="745"/>
      <c r="Z787" s="745"/>
      <c r="AA787" s="745"/>
      <c r="AB787" s="745"/>
      <c r="AC787" s="745"/>
      <c r="AD787" s="1139">
        <f t="shared" si="64"/>
        <v>0</v>
      </c>
      <c r="AE787" s="887">
        <f t="shared" si="65"/>
        <v>-1</v>
      </c>
      <c r="AF787" s="888">
        <f t="shared" si="66"/>
        <v>983</v>
      </c>
    </row>
    <row r="788" spans="1:32" x14ac:dyDescent="0.3">
      <c r="A788" s="301" t="s">
        <v>970</v>
      </c>
      <c r="B788" s="886" t="s">
        <v>1292</v>
      </c>
      <c r="C788" s="744">
        <v>715000</v>
      </c>
      <c r="D788" s="745">
        <v>228800</v>
      </c>
      <c r="E788" s="745">
        <v>57200</v>
      </c>
      <c r="F788" s="745">
        <v>120700</v>
      </c>
      <c r="G788" s="745">
        <v>0</v>
      </c>
      <c r="H788" s="745">
        <v>97000</v>
      </c>
      <c r="I788" s="745">
        <v>833600</v>
      </c>
      <c r="J788" s="745">
        <v>1408600</v>
      </c>
      <c r="K788" s="745">
        <v>965600</v>
      </c>
      <c r="L788" s="745">
        <v>1314600</v>
      </c>
      <c r="M788" s="745">
        <v>504800</v>
      </c>
      <c r="N788" s="745">
        <v>0</v>
      </c>
      <c r="O788" s="745">
        <v>1113400</v>
      </c>
      <c r="P788" s="1497">
        <f t="shared" si="67"/>
        <v>3017900</v>
      </c>
      <c r="Q788" s="1139">
        <f t="shared" si="68"/>
        <v>6393700</v>
      </c>
      <c r="R788" s="744">
        <v>748000</v>
      </c>
      <c r="S788" s="745">
        <v>1119100</v>
      </c>
      <c r="T788" s="745">
        <v>0</v>
      </c>
      <c r="U788" s="745">
        <v>0</v>
      </c>
      <c r="V788" s="745">
        <v>73500</v>
      </c>
      <c r="W788" s="745">
        <v>0</v>
      </c>
      <c r="X788" s="745">
        <v>582800</v>
      </c>
      <c r="Y788" s="745">
        <v>525500</v>
      </c>
      <c r="Z788" s="745"/>
      <c r="AA788" s="745"/>
      <c r="AB788" s="745"/>
      <c r="AC788" s="745"/>
      <c r="AD788" s="1139">
        <f t="shared" si="64"/>
        <v>3048900</v>
      </c>
      <c r="AE788" s="887">
        <f t="shared" si="65"/>
        <v>1.0272043473938832E-2</v>
      </c>
      <c r="AF788" s="888">
        <f t="shared" si="66"/>
        <v>153</v>
      </c>
    </row>
    <row r="789" spans="1:32" x14ac:dyDescent="0.3">
      <c r="A789" s="301" t="s">
        <v>970</v>
      </c>
      <c r="B789" s="886" t="s">
        <v>1293</v>
      </c>
      <c r="C789" s="744"/>
      <c r="D789" s="745">
        <v>0</v>
      </c>
      <c r="E789" s="745"/>
      <c r="F789" s="745">
        <v>0</v>
      </c>
      <c r="G789" s="745">
        <v>1050900</v>
      </c>
      <c r="H789" s="745">
        <v>355200</v>
      </c>
      <c r="I789" s="745">
        <v>0</v>
      </c>
      <c r="J789" s="745">
        <v>0</v>
      </c>
      <c r="K789" s="745">
        <v>0</v>
      </c>
      <c r="L789" s="745">
        <v>0</v>
      </c>
      <c r="M789" s="745">
        <v>0</v>
      </c>
      <c r="N789" s="745">
        <v>0</v>
      </c>
      <c r="O789" s="745" t="s">
        <v>251</v>
      </c>
      <c r="P789" s="1497">
        <f t="shared" si="67"/>
        <v>1406100</v>
      </c>
      <c r="Q789" s="1139">
        <f t="shared" si="68"/>
        <v>1406100</v>
      </c>
      <c r="R789" s="744"/>
      <c r="S789" s="745"/>
      <c r="T789" s="745"/>
      <c r="U789" s="745"/>
      <c r="V789" s="745"/>
      <c r="W789" s="745"/>
      <c r="X789" s="745"/>
      <c r="Y789" s="745"/>
      <c r="Z789" s="745"/>
      <c r="AA789" s="745"/>
      <c r="AB789" s="745"/>
      <c r="AC789" s="745"/>
      <c r="AD789" s="1139">
        <f t="shared" si="64"/>
        <v>0</v>
      </c>
      <c r="AE789" s="887">
        <f t="shared" si="65"/>
        <v>-1</v>
      </c>
      <c r="AF789" s="888">
        <f t="shared" si="66"/>
        <v>983</v>
      </c>
    </row>
    <row r="790" spans="1:32" x14ac:dyDescent="0.3">
      <c r="A790" s="301" t="s">
        <v>970</v>
      </c>
      <c r="B790" s="886" t="s">
        <v>1294</v>
      </c>
      <c r="C790" s="744">
        <v>80000</v>
      </c>
      <c r="D790" s="745">
        <v>620300</v>
      </c>
      <c r="E790" s="745">
        <v>129700</v>
      </c>
      <c r="F790" s="745">
        <v>0</v>
      </c>
      <c r="G790" s="745">
        <v>0</v>
      </c>
      <c r="H790" s="745">
        <v>0</v>
      </c>
      <c r="I790" s="745">
        <v>0</v>
      </c>
      <c r="J790" s="745">
        <v>0</v>
      </c>
      <c r="K790" s="745">
        <v>0</v>
      </c>
      <c r="L790" s="745">
        <v>0</v>
      </c>
      <c r="M790" s="745">
        <v>0</v>
      </c>
      <c r="N790" s="745">
        <v>0</v>
      </c>
      <c r="O790" s="745" t="s">
        <v>251</v>
      </c>
      <c r="P790" s="1497">
        <f t="shared" si="67"/>
        <v>830000</v>
      </c>
      <c r="Q790" s="1139">
        <f t="shared" si="68"/>
        <v>830000</v>
      </c>
      <c r="R790" s="744"/>
      <c r="S790" s="745"/>
      <c r="T790" s="745"/>
      <c r="U790" s="745"/>
      <c r="V790" s="745"/>
      <c r="W790" s="745"/>
      <c r="X790" s="745"/>
      <c r="Y790" s="745"/>
      <c r="Z790" s="745"/>
      <c r="AA790" s="745"/>
      <c r="AB790" s="745"/>
      <c r="AC790" s="745"/>
      <c r="AD790" s="1139">
        <f t="shared" si="64"/>
        <v>0</v>
      </c>
      <c r="AE790" s="887">
        <f t="shared" si="65"/>
        <v>-1</v>
      </c>
      <c r="AF790" s="888">
        <f t="shared" si="66"/>
        <v>983</v>
      </c>
    </row>
    <row r="791" spans="1:32" x14ac:dyDescent="0.3">
      <c r="A791" s="301" t="s">
        <v>970</v>
      </c>
      <c r="B791" s="886" t="s">
        <v>979</v>
      </c>
      <c r="C791" s="744">
        <v>367700</v>
      </c>
      <c r="D791" s="745">
        <v>170600</v>
      </c>
      <c r="E791" s="745"/>
      <c r="F791" s="745">
        <v>0</v>
      </c>
      <c r="G791" s="745">
        <v>0</v>
      </c>
      <c r="H791" s="745">
        <v>0</v>
      </c>
      <c r="I791" s="745">
        <v>0</v>
      </c>
      <c r="J791" s="745">
        <v>0</v>
      </c>
      <c r="K791" s="745">
        <v>0</v>
      </c>
      <c r="L791" s="745">
        <v>0</v>
      </c>
      <c r="M791" s="745">
        <v>0</v>
      </c>
      <c r="N791" s="745">
        <v>0</v>
      </c>
      <c r="O791" s="745" t="s">
        <v>251</v>
      </c>
      <c r="P791" s="1497">
        <f t="shared" si="67"/>
        <v>538300</v>
      </c>
      <c r="Q791" s="1139">
        <f t="shared" si="68"/>
        <v>538300</v>
      </c>
      <c r="R791" s="744"/>
      <c r="S791" s="745"/>
      <c r="T791" s="745"/>
      <c r="U791" s="745"/>
      <c r="V791" s="745"/>
      <c r="W791" s="745"/>
      <c r="X791" s="745"/>
      <c r="Y791" s="745"/>
      <c r="Z791" s="745"/>
      <c r="AA791" s="745"/>
      <c r="AB791" s="745"/>
      <c r="AC791" s="745"/>
      <c r="AD791" s="1139">
        <f t="shared" si="64"/>
        <v>0</v>
      </c>
      <c r="AE791" s="887">
        <f t="shared" si="65"/>
        <v>-1</v>
      </c>
      <c r="AF791" s="888">
        <f t="shared" si="66"/>
        <v>983</v>
      </c>
    </row>
    <row r="792" spans="1:32" x14ac:dyDescent="0.3">
      <c r="A792" s="301" t="s">
        <v>970</v>
      </c>
      <c r="B792" s="886" t="s">
        <v>1295</v>
      </c>
      <c r="C792" s="744"/>
      <c r="D792" s="745">
        <v>493200</v>
      </c>
      <c r="E792" s="745"/>
      <c r="F792" s="745">
        <v>0</v>
      </c>
      <c r="G792" s="745">
        <v>0</v>
      </c>
      <c r="H792" s="745">
        <v>0</v>
      </c>
      <c r="I792" s="745">
        <v>0</v>
      </c>
      <c r="J792" s="745">
        <v>0</v>
      </c>
      <c r="K792" s="745">
        <v>0</v>
      </c>
      <c r="L792" s="745">
        <v>0</v>
      </c>
      <c r="M792" s="745">
        <v>0</v>
      </c>
      <c r="N792" s="745">
        <v>0</v>
      </c>
      <c r="O792" s="745" t="s">
        <v>251</v>
      </c>
      <c r="P792" s="1497">
        <f t="shared" si="67"/>
        <v>493200</v>
      </c>
      <c r="Q792" s="1139">
        <f t="shared" si="68"/>
        <v>493200</v>
      </c>
      <c r="R792" s="744"/>
      <c r="S792" s="745"/>
      <c r="T792" s="745"/>
      <c r="U792" s="745"/>
      <c r="V792" s="745"/>
      <c r="W792" s="745"/>
      <c r="X792" s="745"/>
      <c r="Y792" s="745"/>
      <c r="Z792" s="745"/>
      <c r="AA792" s="745"/>
      <c r="AB792" s="745"/>
      <c r="AC792" s="745"/>
      <c r="AD792" s="1139">
        <f t="shared" si="64"/>
        <v>0</v>
      </c>
      <c r="AE792" s="887">
        <f t="shared" si="65"/>
        <v>-1</v>
      </c>
      <c r="AF792" s="888">
        <f t="shared" si="66"/>
        <v>983</v>
      </c>
    </row>
    <row r="793" spans="1:32" x14ac:dyDescent="0.3">
      <c r="A793" s="301" t="s">
        <v>970</v>
      </c>
      <c r="B793" s="886" t="s">
        <v>1296</v>
      </c>
      <c r="C793" s="744"/>
      <c r="D793" s="745">
        <v>0</v>
      </c>
      <c r="E793" s="745"/>
      <c r="F793" s="745">
        <v>0</v>
      </c>
      <c r="G793" s="745">
        <v>210800</v>
      </c>
      <c r="H793" s="745">
        <v>0</v>
      </c>
      <c r="I793" s="745">
        <v>0</v>
      </c>
      <c r="J793" s="745">
        <v>0</v>
      </c>
      <c r="K793" s="745">
        <v>0</v>
      </c>
      <c r="L793" s="745">
        <v>0</v>
      </c>
      <c r="M793" s="745">
        <v>0</v>
      </c>
      <c r="N793" s="745">
        <v>0</v>
      </c>
      <c r="O793" s="745" t="s">
        <v>251</v>
      </c>
      <c r="P793" s="1497">
        <f t="shared" si="67"/>
        <v>210800</v>
      </c>
      <c r="Q793" s="1139">
        <f t="shared" si="68"/>
        <v>210800</v>
      </c>
      <c r="R793" s="744"/>
      <c r="S793" s="745"/>
      <c r="T793" s="745"/>
      <c r="U793" s="745"/>
      <c r="V793" s="745"/>
      <c r="W793" s="745"/>
      <c r="X793" s="745"/>
      <c r="Y793" s="745"/>
      <c r="Z793" s="745"/>
      <c r="AA793" s="745"/>
      <c r="AB793" s="745"/>
      <c r="AC793" s="745"/>
      <c r="AD793" s="1139">
        <f t="shared" si="64"/>
        <v>0</v>
      </c>
      <c r="AE793" s="887">
        <f t="shared" si="65"/>
        <v>-1</v>
      </c>
      <c r="AF793" s="888">
        <f t="shared" si="66"/>
        <v>983</v>
      </c>
    </row>
    <row r="794" spans="1:32" x14ac:dyDescent="0.3">
      <c r="A794" s="301" t="s">
        <v>970</v>
      </c>
      <c r="B794" s="886" t="s">
        <v>719</v>
      </c>
      <c r="C794" s="744"/>
      <c r="D794" s="745" t="s">
        <v>251</v>
      </c>
      <c r="E794" s="745"/>
      <c r="F794" s="745" t="s">
        <v>251</v>
      </c>
      <c r="G794" s="745" t="s">
        <v>251</v>
      </c>
      <c r="H794" s="745" t="s">
        <v>251</v>
      </c>
      <c r="I794" s="745" t="s">
        <v>251</v>
      </c>
      <c r="J794" s="745" t="s">
        <v>251</v>
      </c>
      <c r="K794" s="745"/>
      <c r="L794" s="745" t="s">
        <v>251</v>
      </c>
      <c r="M794" s="745" t="s">
        <v>251</v>
      </c>
      <c r="N794" s="745" t="s">
        <v>251</v>
      </c>
      <c r="O794" s="745" t="s">
        <v>251</v>
      </c>
      <c r="P794" s="1497">
        <f t="shared" si="67"/>
        <v>0</v>
      </c>
      <c r="Q794" s="1139">
        <f t="shared" si="68"/>
        <v>0</v>
      </c>
      <c r="R794" s="744"/>
      <c r="S794" s="745"/>
      <c r="T794" s="745"/>
      <c r="U794" s="745"/>
      <c r="V794" s="745"/>
      <c r="W794" s="745"/>
      <c r="X794" s="745"/>
      <c r="Y794" s="745"/>
      <c r="Z794" s="745"/>
      <c r="AA794" s="745"/>
      <c r="AB794" s="745"/>
      <c r="AC794" s="745"/>
      <c r="AD794" s="1139">
        <f t="shared" si="64"/>
        <v>0</v>
      </c>
      <c r="AE794" s="887">
        <f t="shared" si="65"/>
        <v>0</v>
      </c>
      <c r="AF794" s="888">
        <f t="shared" si="66"/>
        <v>983</v>
      </c>
    </row>
    <row r="795" spans="1:32" x14ac:dyDescent="0.3">
      <c r="A795" s="301" t="s">
        <v>970</v>
      </c>
      <c r="B795" s="886" t="s">
        <v>1297</v>
      </c>
      <c r="C795" s="744"/>
      <c r="D795" s="745">
        <v>0</v>
      </c>
      <c r="E795" s="745"/>
      <c r="F795" s="745">
        <v>0</v>
      </c>
      <c r="G795" s="745">
        <v>0</v>
      </c>
      <c r="H795" s="745">
        <v>0</v>
      </c>
      <c r="I795" s="745">
        <v>151300</v>
      </c>
      <c r="J795" s="745">
        <v>259400</v>
      </c>
      <c r="K795" s="745">
        <v>259400</v>
      </c>
      <c r="L795" s="745">
        <v>0</v>
      </c>
      <c r="M795" s="745">
        <v>0</v>
      </c>
      <c r="N795" s="745">
        <v>0</v>
      </c>
      <c r="O795" s="745" t="s">
        <v>251</v>
      </c>
      <c r="P795" s="1497">
        <f t="shared" si="67"/>
        <v>410700</v>
      </c>
      <c r="Q795" s="1139">
        <f t="shared" si="68"/>
        <v>410700</v>
      </c>
      <c r="R795" s="744"/>
      <c r="S795" s="745"/>
      <c r="T795" s="745"/>
      <c r="U795" s="745"/>
      <c r="V795" s="745"/>
      <c r="W795" s="745"/>
      <c r="X795" s="745"/>
      <c r="Y795" s="745"/>
      <c r="Z795" s="745"/>
      <c r="AA795" s="745"/>
      <c r="AB795" s="745"/>
      <c r="AC795" s="745"/>
      <c r="AD795" s="1139">
        <f t="shared" si="64"/>
        <v>0</v>
      </c>
      <c r="AE795" s="887">
        <f t="shared" si="65"/>
        <v>-1</v>
      </c>
      <c r="AF795" s="888">
        <f t="shared" si="66"/>
        <v>983</v>
      </c>
    </row>
    <row r="796" spans="1:32" x14ac:dyDescent="0.3">
      <c r="A796" s="301" t="s">
        <v>970</v>
      </c>
      <c r="B796" s="886" t="s">
        <v>1298</v>
      </c>
      <c r="C796" s="744"/>
      <c r="D796" s="745" t="s">
        <v>251</v>
      </c>
      <c r="E796" s="745"/>
      <c r="F796" s="745" t="s">
        <v>251</v>
      </c>
      <c r="G796" s="745" t="s">
        <v>251</v>
      </c>
      <c r="H796" s="745" t="s">
        <v>251</v>
      </c>
      <c r="I796" s="745" t="s">
        <v>251</v>
      </c>
      <c r="J796" s="745" t="s">
        <v>251</v>
      </c>
      <c r="K796" s="745"/>
      <c r="L796" s="745" t="s">
        <v>251</v>
      </c>
      <c r="M796" s="745" t="s">
        <v>251</v>
      </c>
      <c r="N796" s="745" t="s">
        <v>251</v>
      </c>
      <c r="O796" s="745" t="s">
        <v>251</v>
      </c>
      <c r="P796" s="1497">
        <f t="shared" si="67"/>
        <v>0</v>
      </c>
      <c r="Q796" s="1139">
        <f t="shared" si="68"/>
        <v>0</v>
      </c>
      <c r="R796" s="744"/>
      <c r="S796" s="745"/>
      <c r="T796" s="745"/>
      <c r="U796" s="745"/>
      <c r="V796" s="745"/>
      <c r="W796" s="745"/>
      <c r="X796" s="745"/>
      <c r="Y796" s="745"/>
      <c r="Z796" s="745"/>
      <c r="AA796" s="745"/>
      <c r="AB796" s="745"/>
      <c r="AC796" s="745"/>
      <c r="AD796" s="1139">
        <f t="shared" si="64"/>
        <v>0</v>
      </c>
      <c r="AE796" s="887">
        <f t="shared" si="65"/>
        <v>0</v>
      </c>
      <c r="AF796" s="888">
        <f t="shared" si="66"/>
        <v>983</v>
      </c>
    </row>
    <row r="797" spans="1:32" x14ac:dyDescent="0.3">
      <c r="A797" s="301" t="s">
        <v>970</v>
      </c>
      <c r="B797" s="886" t="s">
        <v>1299</v>
      </c>
      <c r="C797" s="744"/>
      <c r="D797" s="745" t="s">
        <v>251</v>
      </c>
      <c r="E797" s="745"/>
      <c r="F797" s="745" t="s">
        <v>251</v>
      </c>
      <c r="G797" s="745" t="s">
        <v>251</v>
      </c>
      <c r="H797" s="745" t="s">
        <v>251</v>
      </c>
      <c r="I797" s="745" t="s">
        <v>251</v>
      </c>
      <c r="J797" s="745" t="s">
        <v>251</v>
      </c>
      <c r="K797" s="745"/>
      <c r="L797" s="745" t="s">
        <v>251</v>
      </c>
      <c r="M797" s="745" t="s">
        <v>251</v>
      </c>
      <c r="N797" s="745" t="s">
        <v>251</v>
      </c>
      <c r="O797" s="745" t="s">
        <v>251</v>
      </c>
      <c r="P797" s="1497">
        <f t="shared" si="67"/>
        <v>0</v>
      </c>
      <c r="Q797" s="1139">
        <f t="shared" si="68"/>
        <v>0</v>
      </c>
      <c r="R797" s="744"/>
      <c r="S797" s="745"/>
      <c r="T797" s="745"/>
      <c r="U797" s="745"/>
      <c r="V797" s="745"/>
      <c r="W797" s="745"/>
      <c r="X797" s="745"/>
      <c r="Y797" s="745"/>
      <c r="Z797" s="745"/>
      <c r="AA797" s="745"/>
      <c r="AB797" s="745"/>
      <c r="AC797" s="745"/>
      <c r="AD797" s="1139">
        <f t="shared" si="64"/>
        <v>0</v>
      </c>
      <c r="AE797" s="887">
        <f t="shared" si="65"/>
        <v>0</v>
      </c>
      <c r="AF797" s="888">
        <f t="shared" si="66"/>
        <v>983</v>
      </c>
    </row>
    <row r="798" spans="1:32" x14ac:dyDescent="0.3">
      <c r="A798" s="301" t="s">
        <v>970</v>
      </c>
      <c r="B798" s="886" t="s">
        <v>870</v>
      </c>
      <c r="C798" s="744"/>
      <c r="D798" s="745" t="s">
        <v>251</v>
      </c>
      <c r="E798" s="745"/>
      <c r="F798" s="745" t="s">
        <v>251</v>
      </c>
      <c r="G798" s="745" t="s">
        <v>251</v>
      </c>
      <c r="H798" s="745" t="s">
        <v>251</v>
      </c>
      <c r="I798" s="745" t="s">
        <v>251</v>
      </c>
      <c r="J798" s="745" t="s">
        <v>251</v>
      </c>
      <c r="K798" s="745"/>
      <c r="L798" s="745" t="s">
        <v>251</v>
      </c>
      <c r="M798" s="745" t="s">
        <v>251</v>
      </c>
      <c r="N798" s="745" t="s">
        <v>251</v>
      </c>
      <c r="O798" s="745" t="s">
        <v>251</v>
      </c>
      <c r="P798" s="1497">
        <f t="shared" si="67"/>
        <v>0</v>
      </c>
      <c r="Q798" s="1139">
        <f t="shared" si="68"/>
        <v>0</v>
      </c>
      <c r="R798" s="744"/>
      <c r="S798" s="745"/>
      <c r="T798" s="745"/>
      <c r="U798" s="745"/>
      <c r="V798" s="745"/>
      <c r="W798" s="745"/>
      <c r="X798" s="745"/>
      <c r="Y798" s="745"/>
      <c r="Z798" s="745"/>
      <c r="AA798" s="745"/>
      <c r="AB798" s="745"/>
      <c r="AC798" s="745"/>
      <c r="AD798" s="1139">
        <f t="shared" si="64"/>
        <v>0</v>
      </c>
      <c r="AE798" s="887">
        <f t="shared" si="65"/>
        <v>0</v>
      </c>
      <c r="AF798" s="888">
        <f t="shared" si="66"/>
        <v>983</v>
      </c>
    </row>
    <row r="799" spans="1:32" x14ac:dyDescent="0.3">
      <c r="A799" s="301" t="s">
        <v>970</v>
      </c>
      <c r="B799" s="886" t="s">
        <v>1048</v>
      </c>
      <c r="C799" s="744"/>
      <c r="D799" s="745" t="s">
        <v>251</v>
      </c>
      <c r="E799" s="745"/>
      <c r="F799" s="745" t="s">
        <v>251</v>
      </c>
      <c r="G799" s="745" t="s">
        <v>251</v>
      </c>
      <c r="H799" s="745" t="s">
        <v>251</v>
      </c>
      <c r="I799" s="745" t="s">
        <v>251</v>
      </c>
      <c r="J799" s="745" t="s">
        <v>251</v>
      </c>
      <c r="K799" s="745"/>
      <c r="L799" s="745" t="s">
        <v>251</v>
      </c>
      <c r="M799" s="745" t="s">
        <v>251</v>
      </c>
      <c r="N799" s="745" t="s">
        <v>251</v>
      </c>
      <c r="O799" s="745" t="s">
        <v>251</v>
      </c>
      <c r="P799" s="1497">
        <f t="shared" si="67"/>
        <v>0</v>
      </c>
      <c r="Q799" s="1139">
        <f t="shared" si="68"/>
        <v>0</v>
      </c>
      <c r="R799" s="744"/>
      <c r="S799" s="745"/>
      <c r="T799" s="745"/>
      <c r="U799" s="745"/>
      <c r="V799" s="745"/>
      <c r="W799" s="745"/>
      <c r="X799" s="745"/>
      <c r="Y799" s="745"/>
      <c r="Z799" s="745"/>
      <c r="AA799" s="745"/>
      <c r="AB799" s="745"/>
      <c r="AC799" s="745"/>
      <c r="AD799" s="1139">
        <f t="shared" si="64"/>
        <v>0</v>
      </c>
      <c r="AE799" s="887">
        <f t="shared" si="65"/>
        <v>0</v>
      </c>
      <c r="AF799" s="888">
        <f t="shared" si="66"/>
        <v>983</v>
      </c>
    </row>
    <row r="800" spans="1:32" x14ac:dyDescent="0.3">
      <c r="A800" s="301" t="s">
        <v>970</v>
      </c>
      <c r="B800" s="886" t="s">
        <v>1300</v>
      </c>
      <c r="C800" s="744"/>
      <c r="D800" s="745" t="s">
        <v>251</v>
      </c>
      <c r="E800" s="745"/>
      <c r="F800" s="745" t="s">
        <v>251</v>
      </c>
      <c r="G800" s="745" t="s">
        <v>251</v>
      </c>
      <c r="H800" s="745" t="s">
        <v>251</v>
      </c>
      <c r="I800" s="745" t="s">
        <v>251</v>
      </c>
      <c r="J800" s="745" t="s">
        <v>251</v>
      </c>
      <c r="K800" s="745"/>
      <c r="L800" s="745" t="s">
        <v>251</v>
      </c>
      <c r="M800" s="745" t="s">
        <v>251</v>
      </c>
      <c r="N800" s="745" t="s">
        <v>251</v>
      </c>
      <c r="O800" s="745" t="s">
        <v>251</v>
      </c>
      <c r="P800" s="1497">
        <f t="shared" si="67"/>
        <v>0</v>
      </c>
      <c r="Q800" s="1139">
        <f t="shared" si="68"/>
        <v>0</v>
      </c>
      <c r="R800" s="744"/>
      <c r="S800" s="745">
        <v>240300</v>
      </c>
      <c r="T800" s="745">
        <v>0</v>
      </c>
      <c r="U800" s="745">
        <v>0</v>
      </c>
      <c r="V800" s="745">
        <v>0</v>
      </c>
      <c r="W800" s="745">
        <v>0</v>
      </c>
      <c r="X800" s="745">
        <v>0</v>
      </c>
      <c r="Y800" s="745">
        <v>216700</v>
      </c>
      <c r="Z800" s="745"/>
      <c r="AA800" s="745"/>
      <c r="AB800" s="745"/>
      <c r="AC800" s="745"/>
      <c r="AD800" s="1139">
        <f t="shared" si="64"/>
        <v>457000</v>
      </c>
      <c r="AE800" s="887">
        <f t="shared" si="65"/>
        <v>1</v>
      </c>
      <c r="AF800" s="888">
        <f t="shared" si="66"/>
        <v>458</v>
      </c>
    </row>
    <row r="801" spans="1:32" x14ac:dyDescent="0.3">
      <c r="A801" s="301" t="s">
        <v>970</v>
      </c>
      <c r="B801" s="886" t="s">
        <v>1301</v>
      </c>
      <c r="C801" s="744"/>
      <c r="D801" s="745" t="s">
        <v>251</v>
      </c>
      <c r="E801" s="745"/>
      <c r="F801" s="745" t="s">
        <v>251</v>
      </c>
      <c r="G801" s="745" t="s">
        <v>251</v>
      </c>
      <c r="H801" s="745" t="s">
        <v>251</v>
      </c>
      <c r="I801" s="745" t="s">
        <v>251</v>
      </c>
      <c r="J801" s="745" t="s">
        <v>251</v>
      </c>
      <c r="K801" s="745"/>
      <c r="L801" s="745" t="s">
        <v>251</v>
      </c>
      <c r="M801" s="745" t="s">
        <v>251</v>
      </c>
      <c r="N801" s="745" t="s">
        <v>251</v>
      </c>
      <c r="O801" s="745" t="s">
        <v>251</v>
      </c>
      <c r="P801" s="1497">
        <f t="shared" si="67"/>
        <v>0</v>
      </c>
      <c r="Q801" s="1139">
        <f t="shared" si="68"/>
        <v>0</v>
      </c>
      <c r="R801" s="744"/>
      <c r="S801" s="745"/>
      <c r="T801" s="745"/>
      <c r="U801" s="745"/>
      <c r="V801" s="745"/>
      <c r="W801" s="745"/>
      <c r="X801" s="745"/>
      <c r="Y801" s="745"/>
      <c r="Z801" s="745"/>
      <c r="AA801" s="745"/>
      <c r="AB801" s="745"/>
      <c r="AC801" s="745"/>
      <c r="AD801" s="1139">
        <f t="shared" si="64"/>
        <v>0</v>
      </c>
      <c r="AE801" s="887">
        <f t="shared" si="65"/>
        <v>0</v>
      </c>
      <c r="AF801" s="888">
        <f t="shared" si="66"/>
        <v>983</v>
      </c>
    </row>
    <row r="802" spans="1:32" x14ac:dyDescent="0.3">
      <c r="A802" s="301" t="s">
        <v>970</v>
      </c>
      <c r="B802" s="886" t="s">
        <v>1302</v>
      </c>
      <c r="C802" s="744"/>
      <c r="D802" s="745" t="s">
        <v>251</v>
      </c>
      <c r="E802" s="745"/>
      <c r="F802" s="745" t="s">
        <v>251</v>
      </c>
      <c r="G802" s="745" t="s">
        <v>251</v>
      </c>
      <c r="H802" s="745" t="s">
        <v>251</v>
      </c>
      <c r="I802" s="745" t="s">
        <v>251</v>
      </c>
      <c r="J802" s="745" t="s">
        <v>251</v>
      </c>
      <c r="K802" s="745"/>
      <c r="L802" s="745" t="s">
        <v>251</v>
      </c>
      <c r="M802" s="745" t="s">
        <v>251</v>
      </c>
      <c r="N802" s="745" t="s">
        <v>251</v>
      </c>
      <c r="O802" s="745" t="s">
        <v>251</v>
      </c>
      <c r="P802" s="1497">
        <f t="shared" si="67"/>
        <v>0</v>
      </c>
      <c r="Q802" s="1139">
        <f t="shared" si="68"/>
        <v>0</v>
      </c>
      <c r="R802" s="744"/>
      <c r="S802" s="745"/>
      <c r="T802" s="745"/>
      <c r="U802" s="745"/>
      <c r="V802" s="745"/>
      <c r="W802" s="745"/>
      <c r="X802" s="745"/>
      <c r="Y802" s="745"/>
      <c r="Z802" s="745"/>
      <c r="AA802" s="745"/>
      <c r="AB802" s="745"/>
      <c r="AC802" s="745"/>
      <c r="AD802" s="1139">
        <f t="shared" si="64"/>
        <v>0</v>
      </c>
      <c r="AE802" s="887">
        <f t="shared" si="65"/>
        <v>0</v>
      </c>
      <c r="AF802" s="888">
        <f t="shared" si="66"/>
        <v>983</v>
      </c>
    </row>
    <row r="803" spans="1:32" x14ac:dyDescent="0.3">
      <c r="A803" s="301" t="s">
        <v>970</v>
      </c>
      <c r="B803" s="886" t="s">
        <v>1303</v>
      </c>
      <c r="C803" s="744"/>
      <c r="D803" s="745" t="s">
        <v>251</v>
      </c>
      <c r="E803" s="745"/>
      <c r="F803" s="745" t="s">
        <v>251</v>
      </c>
      <c r="G803" s="745" t="s">
        <v>251</v>
      </c>
      <c r="H803" s="745" t="s">
        <v>251</v>
      </c>
      <c r="I803" s="745" t="s">
        <v>251</v>
      </c>
      <c r="J803" s="745" t="s">
        <v>251</v>
      </c>
      <c r="K803" s="745"/>
      <c r="L803" s="745" t="s">
        <v>251</v>
      </c>
      <c r="M803" s="745" t="s">
        <v>251</v>
      </c>
      <c r="N803" s="745" t="s">
        <v>251</v>
      </c>
      <c r="O803" s="745" t="s">
        <v>251</v>
      </c>
      <c r="P803" s="1497">
        <f t="shared" si="67"/>
        <v>0</v>
      </c>
      <c r="Q803" s="1139">
        <f t="shared" si="68"/>
        <v>0</v>
      </c>
      <c r="R803" s="744"/>
      <c r="S803" s="745"/>
      <c r="T803" s="745"/>
      <c r="U803" s="745"/>
      <c r="V803" s="745"/>
      <c r="W803" s="745"/>
      <c r="X803" s="745"/>
      <c r="Y803" s="745"/>
      <c r="Z803" s="745"/>
      <c r="AA803" s="745"/>
      <c r="AB803" s="745"/>
      <c r="AC803" s="745"/>
      <c r="AD803" s="1139">
        <f t="shared" si="64"/>
        <v>0</v>
      </c>
      <c r="AE803" s="887">
        <f t="shared" si="65"/>
        <v>0</v>
      </c>
      <c r="AF803" s="888">
        <f t="shared" si="66"/>
        <v>983</v>
      </c>
    </row>
    <row r="804" spans="1:32" x14ac:dyDescent="0.3">
      <c r="A804" s="301" t="s">
        <v>970</v>
      </c>
      <c r="B804" s="886" t="s">
        <v>1304</v>
      </c>
      <c r="C804" s="744"/>
      <c r="D804" s="745" t="s">
        <v>251</v>
      </c>
      <c r="E804" s="745"/>
      <c r="F804" s="745" t="s">
        <v>251</v>
      </c>
      <c r="G804" s="745" t="s">
        <v>251</v>
      </c>
      <c r="H804" s="745" t="s">
        <v>251</v>
      </c>
      <c r="I804" s="745" t="s">
        <v>251</v>
      </c>
      <c r="J804" s="745" t="s">
        <v>251</v>
      </c>
      <c r="K804" s="745"/>
      <c r="L804" s="745" t="s">
        <v>251</v>
      </c>
      <c r="M804" s="745" t="s">
        <v>251</v>
      </c>
      <c r="N804" s="745" t="s">
        <v>251</v>
      </c>
      <c r="O804" s="745" t="s">
        <v>251</v>
      </c>
      <c r="P804" s="1497">
        <f t="shared" si="67"/>
        <v>0</v>
      </c>
      <c r="Q804" s="1139">
        <f t="shared" si="68"/>
        <v>0</v>
      </c>
      <c r="R804" s="744"/>
      <c r="S804" s="745"/>
      <c r="T804" s="745"/>
      <c r="U804" s="745"/>
      <c r="V804" s="745"/>
      <c r="W804" s="745"/>
      <c r="X804" s="745"/>
      <c r="Y804" s="745"/>
      <c r="Z804" s="745"/>
      <c r="AA804" s="745"/>
      <c r="AB804" s="745"/>
      <c r="AC804" s="745"/>
      <c r="AD804" s="1139">
        <f t="shared" si="64"/>
        <v>0</v>
      </c>
      <c r="AE804" s="887">
        <f t="shared" si="65"/>
        <v>0</v>
      </c>
      <c r="AF804" s="888">
        <f t="shared" si="66"/>
        <v>983</v>
      </c>
    </row>
    <row r="805" spans="1:32" x14ac:dyDescent="0.3">
      <c r="A805" s="301" t="s">
        <v>970</v>
      </c>
      <c r="B805" s="886" t="s">
        <v>1305</v>
      </c>
      <c r="C805" s="744"/>
      <c r="D805" s="745">
        <v>0</v>
      </c>
      <c r="E805" s="745"/>
      <c r="F805" s="745">
        <v>0</v>
      </c>
      <c r="G805" s="745">
        <v>0</v>
      </c>
      <c r="H805" s="745">
        <v>0</v>
      </c>
      <c r="I805" s="745">
        <v>294850</v>
      </c>
      <c r="J805" s="745">
        <v>0</v>
      </c>
      <c r="K805" s="745">
        <v>0</v>
      </c>
      <c r="L805" s="745">
        <v>0</v>
      </c>
      <c r="M805" s="745">
        <v>0</v>
      </c>
      <c r="N805" s="745">
        <v>0</v>
      </c>
      <c r="O805" s="745" t="s">
        <v>251</v>
      </c>
      <c r="P805" s="1497">
        <f t="shared" si="67"/>
        <v>294850</v>
      </c>
      <c r="Q805" s="1139">
        <f t="shared" si="68"/>
        <v>294850</v>
      </c>
      <c r="R805" s="744"/>
      <c r="S805" s="745"/>
      <c r="T805" s="745"/>
      <c r="U805" s="745"/>
      <c r="V805" s="745"/>
      <c r="W805" s="745"/>
      <c r="X805" s="745"/>
      <c r="Y805" s="745"/>
      <c r="Z805" s="745"/>
      <c r="AA805" s="745"/>
      <c r="AB805" s="745"/>
      <c r="AC805" s="745"/>
      <c r="AD805" s="1139">
        <f t="shared" si="64"/>
        <v>0</v>
      </c>
      <c r="AE805" s="887">
        <f t="shared" si="65"/>
        <v>-1</v>
      </c>
      <c r="AF805" s="888">
        <f t="shared" si="66"/>
        <v>983</v>
      </c>
    </row>
    <row r="806" spans="1:32" x14ac:dyDescent="0.3">
      <c r="A806" s="301" t="s">
        <v>970</v>
      </c>
      <c r="B806" s="886" t="s">
        <v>87</v>
      </c>
      <c r="C806" s="744"/>
      <c r="D806" s="745" t="s">
        <v>251</v>
      </c>
      <c r="E806" s="745"/>
      <c r="F806" s="745" t="s">
        <v>251</v>
      </c>
      <c r="G806" s="745" t="s">
        <v>251</v>
      </c>
      <c r="H806" s="745" t="s">
        <v>251</v>
      </c>
      <c r="I806" s="745" t="s">
        <v>251</v>
      </c>
      <c r="J806" s="745" t="s">
        <v>251</v>
      </c>
      <c r="K806" s="745"/>
      <c r="L806" s="745" t="s">
        <v>251</v>
      </c>
      <c r="M806" s="745" t="s">
        <v>251</v>
      </c>
      <c r="N806" s="745" t="s">
        <v>251</v>
      </c>
      <c r="O806" s="745" t="s">
        <v>251</v>
      </c>
      <c r="P806" s="1497">
        <f t="shared" si="67"/>
        <v>0</v>
      </c>
      <c r="Q806" s="1139">
        <f t="shared" si="68"/>
        <v>0</v>
      </c>
      <c r="R806" s="744"/>
      <c r="S806" s="745"/>
      <c r="T806" s="745"/>
      <c r="U806" s="745"/>
      <c r="V806" s="745"/>
      <c r="W806" s="745"/>
      <c r="X806" s="745"/>
      <c r="Y806" s="745"/>
      <c r="Z806" s="745"/>
      <c r="AA806" s="745"/>
      <c r="AB806" s="745"/>
      <c r="AC806" s="745"/>
      <c r="AD806" s="1139">
        <f t="shared" si="64"/>
        <v>0</v>
      </c>
      <c r="AE806" s="887">
        <f t="shared" si="65"/>
        <v>0</v>
      </c>
      <c r="AF806" s="888">
        <f t="shared" si="66"/>
        <v>983</v>
      </c>
    </row>
    <row r="807" spans="1:32" x14ac:dyDescent="0.3">
      <c r="A807" s="301" t="s">
        <v>970</v>
      </c>
      <c r="B807" s="886" t="s">
        <v>1306</v>
      </c>
      <c r="C807" s="744"/>
      <c r="D807" s="745" t="s">
        <v>251</v>
      </c>
      <c r="E807" s="745"/>
      <c r="F807" s="745" t="s">
        <v>251</v>
      </c>
      <c r="G807" s="745" t="s">
        <v>251</v>
      </c>
      <c r="H807" s="745" t="s">
        <v>251</v>
      </c>
      <c r="I807" s="745" t="s">
        <v>251</v>
      </c>
      <c r="J807" s="745" t="s">
        <v>251</v>
      </c>
      <c r="K807" s="745"/>
      <c r="L807" s="745" t="s">
        <v>251</v>
      </c>
      <c r="M807" s="745" t="s">
        <v>251</v>
      </c>
      <c r="N807" s="745" t="s">
        <v>251</v>
      </c>
      <c r="O807" s="745" t="s">
        <v>251</v>
      </c>
      <c r="P807" s="1497">
        <f t="shared" si="67"/>
        <v>0</v>
      </c>
      <c r="Q807" s="1139">
        <f t="shared" si="68"/>
        <v>0</v>
      </c>
      <c r="R807" s="744"/>
      <c r="S807" s="745"/>
      <c r="T807" s="745"/>
      <c r="U807" s="745"/>
      <c r="V807" s="745"/>
      <c r="W807" s="745"/>
      <c r="X807" s="745"/>
      <c r="Y807" s="745"/>
      <c r="Z807" s="745"/>
      <c r="AA807" s="745"/>
      <c r="AB807" s="745"/>
      <c r="AC807" s="745"/>
      <c r="AD807" s="1139">
        <f t="shared" ref="AD807:AD874" si="69">SUM(R807:AC807)</f>
        <v>0</v>
      </c>
      <c r="AE807" s="887">
        <f t="shared" ref="AE807:AE874" si="70">IF(OR(AD807="", P807=""), 0, IFERROR((AD807-P807)/P807, IF(AD807&lt;&gt;0, 1, 0)))</f>
        <v>0</v>
      </c>
      <c r="AF807" s="888">
        <f t="shared" si="66"/>
        <v>983</v>
      </c>
    </row>
    <row r="808" spans="1:32" x14ac:dyDescent="0.3">
      <c r="A808" s="301" t="s">
        <v>970</v>
      </c>
      <c r="B808" s="886" t="s">
        <v>1307</v>
      </c>
      <c r="C808" s="744"/>
      <c r="D808" s="745" t="s">
        <v>251</v>
      </c>
      <c r="E808" s="745"/>
      <c r="F808" s="745" t="s">
        <v>251</v>
      </c>
      <c r="G808" s="745" t="s">
        <v>251</v>
      </c>
      <c r="H808" s="745" t="s">
        <v>251</v>
      </c>
      <c r="I808" s="745" t="s">
        <v>251</v>
      </c>
      <c r="J808" s="745" t="s">
        <v>251</v>
      </c>
      <c r="K808" s="745"/>
      <c r="L808" s="745" t="s">
        <v>251</v>
      </c>
      <c r="M808" s="745" t="s">
        <v>251</v>
      </c>
      <c r="N808" s="745" t="s">
        <v>251</v>
      </c>
      <c r="O808" s="745" t="s">
        <v>251</v>
      </c>
      <c r="P808" s="1497">
        <f t="shared" si="67"/>
        <v>0</v>
      </c>
      <c r="Q808" s="1139">
        <f t="shared" si="68"/>
        <v>0</v>
      </c>
      <c r="R808" s="744"/>
      <c r="S808" s="745"/>
      <c r="T808" s="745"/>
      <c r="U808" s="745"/>
      <c r="V808" s="745"/>
      <c r="W808" s="745"/>
      <c r="X808" s="745"/>
      <c r="Y808" s="745"/>
      <c r="Z808" s="745"/>
      <c r="AA808" s="745"/>
      <c r="AB808" s="745"/>
      <c r="AC808" s="745"/>
      <c r="AD808" s="1139">
        <f t="shared" si="69"/>
        <v>0</v>
      </c>
      <c r="AE808" s="887">
        <f t="shared" si="70"/>
        <v>0</v>
      </c>
      <c r="AF808" s="888">
        <f t="shared" si="66"/>
        <v>983</v>
      </c>
    </row>
    <row r="809" spans="1:32" x14ac:dyDescent="0.3">
      <c r="A809" s="301" t="s">
        <v>970</v>
      </c>
      <c r="B809" s="886" t="s">
        <v>1308</v>
      </c>
      <c r="C809" s="744"/>
      <c r="D809" s="745" t="s">
        <v>251</v>
      </c>
      <c r="E809" s="745"/>
      <c r="F809" s="745" t="s">
        <v>251</v>
      </c>
      <c r="G809" s="745" t="s">
        <v>251</v>
      </c>
      <c r="H809" s="745" t="s">
        <v>251</v>
      </c>
      <c r="I809" s="745" t="s">
        <v>251</v>
      </c>
      <c r="J809" s="745" t="s">
        <v>251</v>
      </c>
      <c r="K809" s="745"/>
      <c r="L809" s="745" t="s">
        <v>251</v>
      </c>
      <c r="M809" s="745" t="s">
        <v>251</v>
      </c>
      <c r="N809" s="745" t="s">
        <v>251</v>
      </c>
      <c r="O809" s="745" t="s">
        <v>251</v>
      </c>
      <c r="P809" s="1497">
        <f t="shared" si="67"/>
        <v>0</v>
      </c>
      <c r="Q809" s="1139">
        <f t="shared" si="68"/>
        <v>0</v>
      </c>
      <c r="R809" s="744"/>
      <c r="S809" s="745"/>
      <c r="T809" s="745"/>
      <c r="U809" s="745"/>
      <c r="V809" s="745"/>
      <c r="W809" s="745"/>
      <c r="X809" s="745"/>
      <c r="Y809" s="745"/>
      <c r="Z809" s="745"/>
      <c r="AA809" s="745"/>
      <c r="AB809" s="745"/>
      <c r="AC809" s="745"/>
      <c r="AD809" s="1139">
        <f t="shared" si="69"/>
        <v>0</v>
      </c>
      <c r="AE809" s="887">
        <f t="shared" si="70"/>
        <v>0</v>
      </c>
      <c r="AF809" s="888">
        <f t="shared" si="66"/>
        <v>983</v>
      </c>
    </row>
    <row r="810" spans="1:32" x14ac:dyDescent="0.3">
      <c r="A810" s="301" t="s">
        <v>970</v>
      </c>
      <c r="B810" s="886" t="s">
        <v>977</v>
      </c>
      <c r="C810" s="744" t="s">
        <v>251</v>
      </c>
      <c r="D810" s="745" t="s">
        <v>251</v>
      </c>
      <c r="E810" s="745" t="s">
        <v>251</v>
      </c>
      <c r="F810" s="745" t="s">
        <v>251</v>
      </c>
      <c r="G810" s="745" t="s">
        <v>251</v>
      </c>
      <c r="H810" s="745" t="s">
        <v>251</v>
      </c>
      <c r="I810" s="745" t="s">
        <v>251</v>
      </c>
      <c r="J810" s="745" t="s">
        <v>251</v>
      </c>
      <c r="K810" s="745"/>
      <c r="L810" s="745" t="s">
        <v>251</v>
      </c>
      <c r="M810" s="745" t="s">
        <v>251</v>
      </c>
      <c r="N810" s="745" t="s">
        <v>251</v>
      </c>
      <c r="O810" s="745" t="s">
        <v>251</v>
      </c>
      <c r="P810" s="1497">
        <f t="shared" si="67"/>
        <v>0</v>
      </c>
      <c r="Q810" s="1139">
        <f t="shared" si="68"/>
        <v>0</v>
      </c>
      <c r="R810" s="744"/>
      <c r="S810" s="745"/>
      <c r="T810" s="745"/>
      <c r="U810" s="745"/>
      <c r="V810" s="745"/>
      <c r="W810" s="745"/>
      <c r="X810" s="745"/>
      <c r="Y810" s="745"/>
      <c r="Z810" s="745"/>
      <c r="AA810" s="745"/>
      <c r="AB810" s="745"/>
      <c r="AC810" s="745"/>
      <c r="AD810" s="1139">
        <f t="shared" si="69"/>
        <v>0</v>
      </c>
      <c r="AE810" s="887">
        <f t="shared" si="70"/>
        <v>0</v>
      </c>
      <c r="AF810" s="888">
        <f t="shared" si="66"/>
        <v>983</v>
      </c>
    </row>
    <row r="811" spans="1:32" x14ac:dyDescent="0.3">
      <c r="A811" s="301" t="s">
        <v>970</v>
      </c>
      <c r="B811" s="886" t="s">
        <v>1668</v>
      </c>
      <c r="C811" s="744"/>
      <c r="D811" s="745">
        <v>0</v>
      </c>
      <c r="E811" s="889">
        <v>308200</v>
      </c>
      <c r="F811" s="889">
        <v>0</v>
      </c>
      <c r="G811" s="889">
        <v>0</v>
      </c>
      <c r="H811" s="889">
        <v>0</v>
      </c>
      <c r="I811" s="889">
        <v>0</v>
      </c>
      <c r="J811" s="889">
        <v>0</v>
      </c>
      <c r="K811" s="889">
        <v>0</v>
      </c>
      <c r="L811" s="889">
        <v>0</v>
      </c>
      <c r="M811" s="889">
        <v>0</v>
      </c>
      <c r="N811" s="889">
        <v>0</v>
      </c>
      <c r="O811" s="889" t="s">
        <v>251</v>
      </c>
      <c r="P811" s="1497">
        <f t="shared" si="67"/>
        <v>308200</v>
      </c>
      <c r="Q811" s="1139">
        <f t="shared" si="68"/>
        <v>308200</v>
      </c>
      <c r="R811" s="744"/>
      <c r="S811" s="745"/>
      <c r="T811" s="745"/>
      <c r="U811" s="745"/>
      <c r="V811" s="745"/>
      <c r="W811" s="745"/>
      <c r="X811" s="745"/>
      <c r="Y811" s="745"/>
      <c r="Z811" s="745"/>
      <c r="AA811" s="745"/>
      <c r="AB811" s="745"/>
      <c r="AC811" s="745"/>
      <c r="AD811" s="1139">
        <f t="shared" si="69"/>
        <v>0</v>
      </c>
      <c r="AE811" s="887">
        <f t="shared" si="70"/>
        <v>-1</v>
      </c>
      <c r="AF811" s="888">
        <f t="shared" si="66"/>
        <v>983</v>
      </c>
    </row>
    <row r="812" spans="1:32" x14ac:dyDescent="0.3">
      <c r="A812" s="301" t="s">
        <v>970</v>
      </c>
      <c r="B812" s="886" t="s">
        <v>883</v>
      </c>
      <c r="C812" s="744"/>
      <c r="D812" s="745" t="s">
        <v>251</v>
      </c>
      <c r="E812" s="889"/>
      <c r="F812" s="889" t="s">
        <v>251</v>
      </c>
      <c r="G812" s="889" t="s">
        <v>251</v>
      </c>
      <c r="H812" s="889" t="s">
        <v>251</v>
      </c>
      <c r="I812" s="889" t="s">
        <v>251</v>
      </c>
      <c r="J812" s="889" t="s">
        <v>251</v>
      </c>
      <c r="K812" s="889"/>
      <c r="L812" s="889" t="s">
        <v>251</v>
      </c>
      <c r="M812" s="889" t="s">
        <v>251</v>
      </c>
      <c r="N812" s="889" t="s">
        <v>251</v>
      </c>
      <c r="O812" s="889" t="s">
        <v>251</v>
      </c>
      <c r="P812" s="1497">
        <f t="shared" si="67"/>
        <v>0</v>
      </c>
      <c r="Q812" s="1139">
        <f t="shared" si="68"/>
        <v>0</v>
      </c>
      <c r="R812" s="744"/>
      <c r="S812" s="745"/>
      <c r="T812" s="745"/>
      <c r="U812" s="745"/>
      <c r="V812" s="745"/>
      <c r="W812" s="745"/>
      <c r="X812" s="745"/>
      <c r="Y812" s="745"/>
      <c r="Z812" s="745"/>
      <c r="AA812" s="745"/>
      <c r="AB812" s="745"/>
      <c r="AC812" s="745"/>
      <c r="AD812" s="1139">
        <f t="shared" si="69"/>
        <v>0</v>
      </c>
      <c r="AE812" s="887">
        <f t="shared" si="70"/>
        <v>0</v>
      </c>
      <c r="AF812" s="888">
        <f t="shared" si="66"/>
        <v>983</v>
      </c>
    </row>
    <row r="813" spans="1:32" x14ac:dyDescent="0.3">
      <c r="A813" s="301" t="s">
        <v>970</v>
      </c>
      <c r="B813" s="886" t="s">
        <v>2115</v>
      </c>
      <c r="C813" s="744"/>
      <c r="D813" s="745" t="s">
        <v>251</v>
      </c>
      <c r="E813" s="889"/>
      <c r="F813" s="889" t="s">
        <v>251</v>
      </c>
      <c r="G813" s="889" t="s">
        <v>251</v>
      </c>
      <c r="H813" s="889" t="s">
        <v>251</v>
      </c>
      <c r="I813" s="889" t="s">
        <v>251</v>
      </c>
      <c r="J813" s="889" t="s">
        <v>251</v>
      </c>
      <c r="K813" s="889"/>
      <c r="L813" s="889" t="s">
        <v>251</v>
      </c>
      <c r="M813" s="889" t="s">
        <v>251</v>
      </c>
      <c r="N813" s="889" t="s">
        <v>251</v>
      </c>
      <c r="O813" s="889" t="s">
        <v>251</v>
      </c>
      <c r="P813" s="1497">
        <f t="shared" si="67"/>
        <v>0</v>
      </c>
      <c r="Q813" s="1139">
        <f t="shared" si="68"/>
        <v>0</v>
      </c>
      <c r="R813" s="744"/>
      <c r="S813" s="745"/>
      <c r="T813" s="745"/>
      <c r="U813" s="745"/>
      <c r="V813" s="745"/>
      <c r="W813" s="745"/>
      <c r="X813" s="745"/>
      <c r="Y813" s="745"/>
      <c r="Z813" s="745"/>
      <c r="AA813" s="745"/>
      <c r="AB813" s="745"/>
      <c r="AC813" s="745"/>
      <c r="AD813" s="1139">
        <f t="shared" si="69"/>
        <v>0</v>
      </c>
      <c r="AE813" s="887">
        <f t="shared" si="70"/>
        <v>0</v>
      </c>
      <c r="AF813" s="888">
        <f t="shared" si="66"/>
        <v>983</v>
      </c>
    </row>
    <row r="814" spans="1:32" x14ac:dyDescent="0.3">
      <c r="A814" s="301" t="s">
        <v>970</v>
      </c>
      <c r="B814" s="886" t="s">
        <v>2116</v>
      </c>
      <c r="C814" s="744"/>
      <c r="D814" s="745" t="s">
        <v>251</v>
      </c>
      <c r="E814" s="889"/>
      <c r="F814" s="889" t="s">
        <v>251</v>
      </c>
      <c r="G814" s="889" t="s">
        <v>251</v>
      </c>
      <c r="H814" s="889" t="s">
        <v>251</v>
      </c>
      <c r="I814" s="889" t="s">
        <v>251</v>
      </c>
      <c r="J814" s="889" t="s">
        <v>251</v>
      </c>
      <c r="K814" s="889"/>
      <c r="L814" s="889" t="s">
        <v>251</v>
      </c>
      <c r="M814" s="889" t="s">
        <v>251</v>
      </c>
      <c r="N814" s="889" t="s">
        <v>251</v>
      </c>
      <c r="O814" s="889" t="s">
        <v>251</v>
      </c>
      <c r="P814" s="1497">
        <f t="shared" si="67"/>
        <v>0</v>
      </c>
      <c r="Q814" s="1139">
        <f t="shared" si="68"/>
        <v>0</v>
      </c>
      <c r="R814" s="744"/>
      <c r="S814" s="745"/>
      <c r="T814" s="745"/>
      <c r="U814" s="745"/>
      <c r="V814" s="745"/>
      <c r="W814" s="745"/>
      <c r="X814" s="745"/>
      <c r="Y814" s="745"/>
      <c r="Z814" s="745"/>
      <c r="AA814" s="745"/>
      <c r="AB814" s="745"/>
      <c r="AC814" s="745"/>
      <c r="AD814" s="1139">
        <f t="shared" si="69"/>
        <v>0</v>
      </c>
      <c r="AE814" s="887">
        <f t="shared" si="70"/>
        <v>0</v>
      </c>
      <c r="AF814" s="888">
        <f t="shared" si="66"/>
        <v>983</v>
      </c>
    </row>
    <row r="815" spans="1:32" x14ac:dyDescent="0.3">
      <c r="A815" s="301" t="s">
        <v>970</v>
      </c>
      <c r="B815" s="886" t="s">
        <v>2117</v>
      </c>
      <c r="C815" s="744"/>
      <c r="D815" s="745" t="s">
        <v>251</v>
      </c>
      <c r="E815" s="889"/>
      <c r="F815" s="889" t="s">
        <v>251</v>
      </c>
      <c r="G815" s="889" t="s">
        <v>251</v>
      </c>
      <c r="H815" s="889" t="s">
        <v>251</v>
      </c>
      <c r="I815" s="889" t="s">
        <v>251</v>
      </c>
      <c r="J815" s="889" t="s">
        <v>251</v>
      </c>
      <c r="K815" s="889"/>
      <c r="L815" s="889" t="s">
        <v>251</v>
      </c>
      <c r="M815" s="889" t="s">
        <v>251</v>
      </c>
      <c r="N815" s="889" t="s">
        <v>251</v>
      </c>
      <c r="O815" s="889" t="s">
        <v>251</v>
      </c>
      <c r="P815" s="1497">
        <f t="shared" si="67"/>
        <v>0</v>
      </c>
      <c r="Q815" s="1139">
        <f t="shared" si="68"/>
        <v>0</v>
      </c>
      <c r="R815" s="744"/>
      <c r="S815" s="745"/>
      <c r="T815" s="745"/>
      <c r="U815" s="745"/>
      <c r="V815" s="745"/>
      <c r="W815" s="745"/>
      <c r="X815" s="745"/>
      <c r="Y815" s="745"/>
      <c r="Z815" s="745"/>
      <c r="AA815" s="745"/>
      <c r="AB815" s="745"/>
      <c r="AC815" s="745"/>
      <c r="AD815" s="1139">
        <f t="shared" si="69"/>
        <v>0</v>
      </c>
      <c r="AE815" s="887">
        <f t="shared" si="70"/>
        <v>0</v>
      </c>
      <c r="AF815" s="888">
        <f t="shared" si="66"/>
        <v>983</v>
      </c>
    </row>
    <row r="816" spans="1:32" x14ac:dyDescent="0.3">
      <c r="A816" s="301" t="s">
        <v>970</v>
      </c>
      <c r="B816" s="886" t="s">
        <v>970</v>
      </c>
      <c r="C816" s="744"/>
      <c r="D816" s="745" t="s">
        <v>251</v>
      </c>
      <c r="E816" s="889"/>
      <c r="F816" s="889" t="s">
        <v>251</v>
      </c>
      <c r="G816" s="889" t="s">
        <v>251</v>
      </c>
      <c r="H816" s="889" t="s">
        <v>251</v>
      </c>
      <c r="I816" s="889" t="s">
        <v>251</v>
      </c>
      <c r="J816" s="889" t="s">
        <v>251</v>
      </c>
      <c r="K816" s="889"/>
      <c r="L816" s="889" t="s">
        <v>251</v>
      </c>
      <c r="M816" s="889" t="s">
        <v>251</v>
      </c>
      <c r="N816" s="889" t="s">
        <v>251</v>
      </c>
      <c r="O816" s="889" t="s">
        <v>251</v>
      </c>
      <c r="P816" s="1497">
        <f t="shared" si="67"/>
        <v>0</v>
      </c>
      <c r="Q816" s="1139">
        <f t="shared" si="68"/>
        <v>0</v>
      </c>
      <c r="R816" s="744"/>
      <c r="S816" s="745"/>
      <c r="T816" s="745"/>
      <c r="U816" s="745"/>
      <c r="V816" s="745"/>
      <c r="W816" s="745"/>
      <c r="X816" s="745"/>
      <c r="Y816" s="745"/>
      <c r="Z816" s="745"/>
      <c r="AA816" s="745"/>
      <c r="AB816" s="745"/>
      <c r="AC816" s="745"/>
      <c r="AD816" s="1139">
        <f t="shared" si="69"/>
        <v>0</v>
      </c>
      <c r="AE816" s="887">
        <f t="shared" si="70"/>
        <v>0</v>
      </c>
      <c r="AF816" s="888">
        <f t="shared" si="66"/>
        <v>983</v>
      </c>
    </row>
    <row r="817" spans="1:32" x14ac:dyDescent="0.3">
      <c r="A817" s="301" t="s">
        <v>970</v>
      </c>
      <c r="B817" s="886" t="s">
        <v>1318</v>
      </c>
      <c r="C817" s="744"/>
      <c r="D817" s="745">
        <v>0</v>
      </c>
      <c r="E817" s="889"/>
      <c r="F817" s="889">
        <v>0</v>
      </c>
      <c r="G817" s="889">
        <v>0</v>
      </c>
      <c r="H817" s="889">
        <v>0</v>
      </c>
      <c r="I817" s="889">
        <v>58400</v>
      </c>
      <c r="J817" s="889">
        <v>1147400</v>
      </c>
      <c r="K817" s="889">
        <v>1147400</v>
      </c>
      <c r="L817" s="889">
        <v>0</v>
      </c>
      <c r="M817" s="889">
        <v>0</v>
      </c>
      <c r="N817" s="889">
        <v>0</v>
      </c>
      <c r="O817" s="889" t="s">
        <v>251</v>
      </c>
      <c r="P817" s="1497">
        <f t="shared" si="67"/>
        <v>1205800</v>
      </c>
      <c r="Q817" s="1139">
        <f t="shared" si="68"/>
        <v>1205800</v>
      </c>
      <c r="R817" s="744"/>
      <c r="S817" s="745"/>
      <c r="T817" s="745"/>
      <c r="U817" s="745"/>
      <c r="V817" s="745"/>
      <c r="W817" s="745"/>
      <c r="X817" s="745"/>
      <c r="Y817" s="745"/>
      <c r="Z817" s="745"/>
      <c r="AA817" s="745"/>
      <c r="AB817" s="745"/>
      <c r="AC817" s="745"/>
      <c r="AD817" s="1139">
        <f t="shared" si="69"/>
        <v>0</v>
      </c>
      <c r="AE817" s="887">
        <f t="shared" si="70"/>
        <v>-1</v>
      </c>
      <c r="AF817" s="888">
        <f t="shared" si="66"/>
        <v>983</v>
      </c>
    </row>
    <row r="818" spans="1:32" x14ac:dyDescent="0.3">
      <c r="A818" s="301" t="s">
        <v>970</v>
      </c>
      <c r="B818" s="886" t="s">
        <v>2118</v>
      </c>
      <c r="C818" s="744"/>
      <c r="D818" s="745">
        <v>0</v>
      </c>
      <c r="E818" s="889"/>
      <c r="F818" s="889">
        <v>0</v>
      </c>
      <c r="G818" s="889">
        <v>0</v>
      </c>
      <c r="H818" s="889">
        <v>0</v>
      </c>
      <c r="I818" s="889">
        <v>193800</v>
      </c>
      <c r="J818" s="889">
        <v>0</v>
      </c>
      <c r="K818" s="889">
        <v>0</v>
      </c>
      <c r="L818" s="889">
        <v>0</v>
      </c>
      <c r="M818" s="889">
        <v>0</v>
      </c>
      <c r="N818" s="889">
        <v>0</v>
      </c>
      <c r="O818" s="889" t="s">
        <v>251</v>
      </c>
      <c r="P818" s="1497">
        <f t="shared" si="67"/>
        <v>193800</v>
      </c>
      <c r="Q818" s="1139">
        <f t="shared" si="68"/>
        <v>193800</v>
      </c>
      <c r="R818" s="744"/>
      <c r="S818" s="745"/>
      <c r="T818" s="745"/>
      <c r="U818" s="745"/>
      <c r="V818" s="745"/>
      <c r="W818" s="745"/>
      <c r="X818" s="745"/>
      <c r="Y818" s="745"/>
      <c r="Z818" s="745"/>
      <c r="AA818" s="745"/>
      <c r="AB818" s="745"/>
      <c r="AC818" s="745"/>
      <c r="AD818" s="1139">
        <f t="shared" si="69"/>
        <v>0</v>
      </c>
      <c r="AE818" s="887">
        <f t="shared" si="70"/>
        <v>-1</v>
      </c>
      <c r="AF818" s="888">
        <f t="shared" si="66"/>
        <v>983</v>
      </c>
    </row>
    <row r="819" spans="1:32" x14ac:dyDescent="0.3">
      <c r="A819" s="301" t="s">
        <v>970</v>
      </c>
      <c r="B819" s="886" t="s">
        <v>2119</v>
      </c>
      <c r="C819" s="744"/>
      <c r="D819" s="745">
        <v>0</v>
      </c>
      <c r="E819" s="889"/>
      <c r="F819" s="889">
        <v>0</v>
      </c>
      <c r="G819" s="889">
        <v>0</v>
      </c>
      <c r="H819" s="889">
        <v>0</v>
      </c>
      <c r="I819" s="889">
        <v>0</v>
      </c>
      <c r="J819" s="889">
        <v>294500</v>
      </c>
      <c r="K819" s="889">
        <v>276100</v>
      </c>
      <c r="L819" s="889">
        <v>186500</v>
      </c>
      <c r="M819" s="889">
        <v>0</v>
      </c>
      <c r="N819" s="889">
        <v>0</v>
      </c>
      <c r="O819" s="889" t="s">
        <v>251</v>
      </c>
      <c r="P819" s="1497">
        <f t="shared" si="67"/>
        <v>276100</v>
      </c>
      <c r="Q819" s="1139">
        <f t="shared" si="68"/>
        <v>481000</v>
      </c>
      <c r="R819" s="744"/>
      <c r="S819" s="745"/>
      <c r="T819" s="745"/>
      <c r="U819" s="745"/>
      <c r="V819" s="745"/>
      <c r="W819" s="745"/>
      <c r="X819" s="745"/>
      <c r="Y819" s="745"/>
      <c r="Z819" s="745"/>
      <c r="AA819" s="745"/>
      <c r="AB819" s="745"/>
      <c r="AC819" s="745"/>
      <c r="AD819" s="1139">
        <f t="shared" si="69"/>
        <v>0</v>
      </c>
      <c r="AE819" s="887">
        <f t="shared" si="70"/>
        <v>-1</v>
      </c>
      <c r="AF819" s="888">
        <f t="shared" si="66"/>
        <v>983</v>
      </c>
    </row>
    <row r="820" spans="1:32" x14ac:dyDescent="0.3">
      <c r="A820" s="301" t="s">
        <v>970</v>
      </c>
      <c r="B820" s="886" t="s">
        <v>1015</v>
      </c>
      <c r="C820" s="744"/>
      <c r="D820" s="745">
        <v>0</v>
      </c>
      <c r="E820" s="889"/>
      <c r="F820" s="889">
        <v>0</v>
      </c>
      <c r="G820" s="889">
        <v>0</v>
      </c>
      <c r="H820" s="889">
        <v>0</v>
      </c>
      <c r="I820" s="889">
        <v>0</v>
      </c>
      <c r="J820" s="889">
        <v>0</v>
      </c>
      <c r="K820" s="889"/>
      <c r="L820" s="889">
        <v>157300</v>
      </c>
      <c r="M820" s="889">
        <v>0</v>
      </c>
      <c r="N820" s="889" t="s">
        <v>251</v>
      </c>
      <c r="O820" s="889" t="s">
        <v>251</v>
      </c>
      <c r="P820" s="1497">
        <f t="shared" si="67"/>
        <v>0</v>
      </c>
      <c r="Q820" s="1139">
        <f t="shared" si="68"/>
        <v>157300</v>
      </c>
      <c r="R820" s="744"/>
      <c r="S820" s="745"/>
      <c r="T820" s="745"/>
      <c r="U820" s="745"/>
      <c r="V820" s="745"/>
      <c r="W820" s="745"/>
      <c r="X820" s="745"/>
      <c r="Y820" s="745"/>
      <c r="Z820" s="745"/>
      <c r="AA820" s="745"/>
      <c r="AB820" s="745"/>
      <c r="AC820" s="745"/>
      <c r="AD820" s="1139">
        <f t="shared" si="69"/>
        <v>0</v>
      </c>
      <c r="AE820" s="887">
        <f t="shared" si="70"/>
        <v>0</v>
      </c>
      <c r="AF820" s="888">
        <f t="shared" si="66"/>
        <v>983</v>
      </c>
    </row>
    <row r="821" spans="1:32" x14ac:dyDescent="0.3">
      <c r="A821" s="301" t="s">
        <v>970</v>
      </c>
      <c r="B821" s="886" t="s">
        <v>2120</v>
      </c>
      <c r="C821" s="744"/>
      <c r="D821" s="745">
        <v>0</v>
      </c>
      <c r="E821" s="889"/>
      <c r="F821" s="889">
        <v>0</v>
      </c>
      <c r="G821" s="889">
        <v>0</v>
      </c>
      <c r="H821" s="889">
        <v>0</v>
      </c>
      <c r="I821" s="889">
        <v>0</v>
      </c>
      <c r="J821" s="889">
        <v>0</v>
      </c>
      <c r="K821" s="889"/>
      <c r="L821" s="889">
        <v>0</v>
      </c>
      <c r="M821" s="889">
        <v>91500</v>
      </c>
      <c r="N821" s="889">
        <v>0</v>
      </c>
      <c r="O821" s="889" t="s">
        <v>251</v>
      </c>
      <c r="P821" s="1497">
        <f t="shared" si="67"/>
        <v>0</v>
      </c>
      <c r="Q821" s="1139">
        <f t="shared" si="68"/>
        <v>91500</v>
      </c>
      <c r="R821" s="744"/>
      <c r="S821" s="745"/>
      <c r="T821" s="745"/>
      <c r="U821" s="745"/>
      <c r="V821" s="745"/>
      <c r="W821" s="745"/>
      <c r="X821" s="745"/>
      <c r="Y821" s="745"/>
      <c r="Z821" s="745"/>
      <c r="AA821" s="745"/>
      <c r="AB821" s="745"/>
      <c r="AC821" s="745"/>
      <c r="AD821" s="1139">
        <f t="shared" si="69"/>
        <v>0</v>
      </c>
      <c r="AE821" s="887">
        <f t="shared" si="70"/>
        <v>0</v>
      </c>
      <c r="AF821" s="888">
        <f t="shared" si="66"/>
        <v>983</v>
      </c>
    </row>
    <row r="822" spans="1:32" x14ac:dyDescent="0.3">
      <c r="A822" s="301" t="s">
        <v>970</v>
      </c>
      <c r="B822" s="886" t="s">
        <v>444</v>
      </c>
      <c r="C822" s="744"/>
      <c r="D822" s="745" t="s">
        <v>251</v>
      </c>
      <c r="E822" s="889"/>
      <c r="F822" s="889" t="s">
        <v>251</v>
      </c>
      <c r="G822" s="889" t="s">
        <v>251</v>
      </c>
      <c r="H822" s="889" t="s">
        <v>251</v>
      </c>
      <c r="I822" s="889" t="s">
        <v>251</v>
      </c>
      <c r="J822" s="889" t="s">
        <v>251</v>
      </c>
      <c r="K822" s="889"/>
      <c r="L822" s="889" t="s">
        <v>251</v>
      </c>
      <c r="M822" s="889" t="s">
        <v>251</v>
      </c>
      <c r="N822" s="889" t="s">
        <v>251</v>
      </c>
      <c r="O822" s="889" t="s">
        <v>251</v>
      </c>
      <c r="P822" s="1497">
        <f t="shared" si="67"/>
        <v>0</v>
      </c>
      <c r="Q822" s="1139">
        <f t="shared" si="68"/>
        <v>0</v>
      </c>
      <c r="R822" s="744"/>
      <c r="S822" s="745"/>
      <c r="T822" s="745"/>
      <c r="U822" s="745"/>
      <c r="V822" s="745"/>
      <c r="W822" s="745"/>
      <c r="X822" s="745"/>
      <c r="Y822" s="745"/>
      <c r="Z822" s="745"/>
      <c r="AA822" s="745"/>
      <c r="AB822" s="745"/>
      <c r="AC822" s="745"/>
      <c r="AD822" s="1139">
        <f t="shared" si="69"/>
        <v>0</v>
      </c>
      <c r="AE822" s="887">
        <f t="shared" si="70"/>
        <v>0</v>
      </c>
      <c r="AF822" s="888">
        <f t="shared" si="66"/>
        <v>983</v>
      </c>
    </row>
    <row r="823" spans="1:32" x14ac:dyDescent="0.3">
      <c r="A823" s="301" t="s">
        <v>970</v>
      </c>
      <c r="B823" s="886" t="s">
        <v>2121</v>
      </c>
      <c r="C823" s="744"/>
      <c r="D823" s="745" t="s">
        <v>251</v>
      </c>
      <c r="E823" s="889"/>
      <c r="F823" s="889" t="s">
        <v>251</v>
      </c>
      <c r="G823" s="889" t="s">
        <v>251</v>
      </c>
      <c r="H823" s="889" t="s">
        <v>251</v>
      </c>
      <c r="I823" s="889" t="s">
        <v>251</v>
      </c>
      <c r="J823" s="889" t="s">
        <v>251</v>
      </c>
      <c r="K823" s="889"/>
      <c r="L823" s="889" t="s">
        <v>251</v>
      </c>
      <c r="M823" s="889" t="s">
        <v>251</v>
      </c>
      <c r="N823" s="889" t="s">
        <v>251</v>
      </c>
      <c r="O823" s="889" t="s">
        <v>251</v>
      </c>
      <c r="P823" s="1497">
        <f t="shared" si="67"/>
        <v>0</v>
      </c>
      <c r="Q823" s="1139">
        <f t="shared" si="68"/>
        <v>0</v>
      </c>
      <c r="R823" s="744"/>
      <c r="S823" s="745"/>
      <c r="T823" s="745"/>
      <c r="U823" s="745"/>
      <c r="V823" s="745"/>
      <c r="W823" s="745"/>
      <c r="X823" s="745"/>
      <c r="Y823" s="745"/>
      <c r="Z823" s="745"/>
      <c r="AA823" s="745"/>
      <c r="AB823" s="745"/>
      <c r="AC823" s="745"/>
      <c r="AD823" s="1139">
        <f t="shared" si="69"/>
        <v>0</v>
      </c>
      <c r="AE823" s="887">
        <f t="shared" si="70"/>
        <v>0</v>
      </c>
      <c r="AF823" s="888">
        <f t="shared" si="66"/>
        <v>983</v>
      </c>
    </row>
    <row r="824" spans="1:32" x14ac:dyDescent="0.3">
      <c r="A824" s="301" t="s">
        <v>970</v>
      </c>
      <c r="B824" s="886" t="s">
        <v>1587</v>
      </c>
      <c r="C824" s="744"/>
      <c r="D824" s="745">
        <v>0</v>
      </c>
      <c r="E824" s="889"/>
      <c r="F824" s="889">
        <v>0</v>
      </c>
      <c r="G824" s="889">
        <v>0</v>
      </c>
      <c r="H824" s="889">
        <v>0</v>
      </c>
      <c r="I824" s="889">
        <v>0</v>
      </c>
      <c r="J824" s="889">
        <v>0</v>
      </c>
      <c r="K824" s="889"/>
      <c r="L824" s="889">
        <v>0</v>
      </c>
      <c r="M824" s="889">
        <v>0</v>
      </c>
      <c r="N824" s="889">
        <v>656050</v>
      </c>
      <c r="O824" s="889">
        <v>58750</v>
      </c>
      <c r="P824" s="1497">
        <f t="shared" si="67"/>
        <v>0</v>
      </c>
      <c r="Q824" s="1139">
        <f t="shared" si="68"/>
        <v>714800</v>
      </c>
      <c r="R824" s="744"/>
      <c r="S824" s="745"/>
      <c r="T824" s="745"/>
      <c r="U824" s="745"/>
      <c r="V824" s="745"/>
      <c r="W824" s="745"/>
      <c r="X824" s="745"/>
      <c r="Y824" s="745"/>
      <c r="Z824" s="745"/>
      <c r="AA824" s="745"/>
      <c r="AB824" s="745"/>
      <c r="AC824" s="745"/>
      <c r="AD824" s="1139">
        <f t="shared" si="69"/>
        <v>0</v>
      </c>
      <c r="AE824" s="887">
        <f t="shared" si="70"/>
        <v>0</v>
      </c>
      <c r="AF824" s="888">
        <f t="shared" si="66"/>
        <v>983</v>
      </c>
    </row>
    <row r="825" spans="1:32" x14ac:dyDescent="0.3">
      <c r="A825" s="301" t="s">
        <v>970</v>
      </c>
      <c r="B825" s="886" t="s">
        <v>2122</v>
      </c>
      <c r="C825" s="744"/>
      <c r="D825" s="745">
        <v>0</v>
      </c>
      <c r="E825" s="889"/>
      <c r="F825" s="889">
        <v>0</v>
      </c>
      <c r="G825" s="889">
        <v>0</v>
      </c>
      <c r="H825" s="889">
        <v>0</v>
      </c>
      <c r="I825" s="889">
        <v>0</v>
      </c>
      <c r="J825" s="889">
        <v>0</v>
      </c>
      <c r="K825" s="889"/>
      <c r="L825" s="889">
        <v>0</v>
      </c>
      <c r="M825" s="889">
        <v>0</v>
      </c>
      <c r="N825" s="889">
        <v>40000</v>
      </c>
      <c r="O825" s="889" t="s">
        <v>251</v>
      </c>
      <c r="P825" s="1497">
        <f t="shared" si="67"/>
        <v>0</v>
      </c>
      <c r="Q825" s="1139">
        <f t="shared" si="68"/>
        <v>40000</v>
      </c>
      <c r="R825" s="744"/>
      <c r="S825" s="745"/>
      <c r="T825" s="745"/>
      <c r="U825" s="745"/>
      <c r="V825" s="745"/>
      <c r="W825" s="745"/>
      <c r="X825" s="745"/>
      <c r="Y825" s="745"/>
      <c r="Z825" s="745"/>
      <c r="AA825" s="745"/>
      <c r="AB825" s="745"/>
      <c r="AC825" s="745"/>
      <c r="AD825" s="1139">
        <f t="shared" si="69"/>
        <v>0</v>
      </c>
      <c r="AE825" s="887">
        <f t="shared" si="70"/>
        <v>0</v>
      </c>
      <c r="AF825" s="888">
        <f t="shared" si="66"/>
        <v>983</v>
      </c>
    </row>
    <row r="826" spans="1:32" x14ac:dyDescent="0.3">
      <c r="A826" s="301" t="s">
        <v>970</v>
      </c>
      <c r="B826" s="886" t="s">
        <v>2497</v>
      </c>
      <c r="C826" s="744"/>
      <c r="D826" s="745"/>
      <c r="E826" s="889"/>
      <c r="F826" s="889"/>
      <c r="G826" s="889"/>
      <c r="H826" s="889"/>
      <c r="I826" s="889"/>
      <c r="J826" s="889"/>
      <c r="K826" s="889"/>
      <c r="L826" s="889"/>
      <c r="M826" s="889"/>
      <c r="N826" s="889"/>
      <c r="O826" s="889"/>
      <c r="P826" s="1497">
        <f t="shared" si="67"/>
        <v>0</v>
      </c>
      <c r="Q826" s="1139">
        <f t="shared" si="68"/>
        <v>0</v>
      </c>
      <c r="R826" s="744">
        <v>1183300</v>
      </c>
      <c r="S826" s="745">
        <v>1941000</v>
      </c>
      <c r="T826" s="745">
        <v>696350</v>
      </c>
      <c r="U826" s="745">
        <v>99000</v>
      </c>
      <c r="V826" s="745">
        <v>0</v>
      </c>
      <c r="W826" s="745">
        <v>0</v>
      </c>
      <c r="X826" s="745">
        <v>0</v>
      </c>
      <c r="Y826" s="745">
        <v>0</v>
      </c>
      <c r="Z826" s="745"/>
      <c r="AA826" s="745"/>
      <c r="AB826" s="745"/>
      <c r="AC826" s="745"/>
      <c r="AD826" s="1139">
        <f t="shared" si="69"/>
        <v>3919650</v>
      </c>
      <c r="AE826" s="887">
        <f t="shared" si="70"/>
        <v>1</v>
      </c>
      <c r="AF826" s="888">
        <f t="shared" si="66"/>
        <v>117</v>
      </c>
    </row>
    <row r="827" spans="1:32" x14ac:dyDescent="0.3">
      <c r="A827" s="301" t="s">
        <v>970</v>
      </c>
      <c r="B827" s="886" t="s">
        <v>2498</v>
      </c>
      <c r="C827" s="744"/>
      <c r="D827" s="745"/>
      <c r="E827" s="889"/>
      <c r="F827" s="889"/>
      <c r="G827" s="889"/>
      <c r="H827" s="889"/>
      <c r="I827" s="889"/>
      <c r="J827" s="889"/>
      <c r="K827" s="889"/>
      <c r="L827" s="889"/>
      <c r="M827" s="889"/>
      <c r="N827" s="889"/>
      <c r="O827" s="889"/>
      <c r="P827" s="1497">
        <f t="shared" si="67"/>
        <v>0</v>
      </c>
      <c r="Q827" s="1139">
        <f t="shared" si="68"/>
        <v>0</v>
      </c>
      <c r="R827" s="744">
        <v>715900</v>
      </c>
      <c r="S827" s="745">
        <v>33000</v>
      </c>
      <c r="T827" s="745">
        <v>0</v>
      </c>
      <c r="U827" s="745">
        <v>647000</v>
      </c>
      <c r="V827" s="745">
        <v>0</v>
      </c>
      <c r="W827" s="745">
        <v>0</v>
      </c>
      <c r="X827" s="745">
        <v>0</v>
      </c>
      <c r="Y827" s="745">
        <v>0</v>
      </c>
      <c r="Z827" s="745"/>
      <c r="AA827" s="745"/>
      <c r="AB827" s="745"/>
      <c r="AC827" s="745"/>
      <c r="AD827" s="1139">
        <f t="shared" si="69"/>
        <v>1395900</v>
      </c>
      <c r="AE827" s="887">
        <f t="shared" si="70"/>
        <v>1</v>
      </c>
      <c r="AF827" s="888">
        <f t="shared" si="66"/>
        <v>257</v>
      </c>
    </row>
    <row r="828" spans="1:32" x14ac:dyDescent="0.3">
      <c r="A828" s="301" t="s">
        <v>970</v>
      </c>
      <c r="B828" s="886" t="s">
        <v>2338</v>
      </c>
      <c r="C828" s="744"/>
      <c r="D828" s="745"/>
      <c r="E828" s="889"/>
      <c r="F828" s="889"/>
      <c r="G828" s="889"/>
      <c r="H828" s="889"/>
      <c r="I828" s="889"/>
      <c r="J828" s="889"/>
      <c r="K828" s="889"/>
      <c r="L828" s="889"/>
      <c r="M828" s="889"/>
      <c r="N828" s="889"/>
      <c r="O828" s="889"/>
      <c r="P828" s="1497">
        <f t="shared" si="67"/>
        <v>0</v>
      </c>
      <c r="Q828" s="1139">
        <f t="shared" si="68"/>
        <v>0</v>
      </c>
      <c r="R828" s="744">
        <v>13400</v>
      </c>
      <c r="S828" s="745"/>
      <c r="T828" s="745">
        <v>0</v>
      </c>
      <c r="U828" s="745">
        <v>0</v>
      </c>
      <c r="V828" s="745">
        <v>0</v>
      </c>
      <c r="W828" s="745">
        <v>0</v>
      </c>
      <c r="X828" s="745">
        <v>0</v>
      </c>
      <c r="Y828" s="745">
        <v>0</v>
      </c>
      <c r="Z828" s="745"/>
      <c r="AA828" s="745"/>
      <c r="AB828" s="745"/>
      <c r="AC828" s="745"/>
      <c r="AD828" s="1139">
        <f t="shared" si="69"/>
        <v>13400</v>
      </c>
      <c r="AE828" s="887">
        <f t="shared" si="70"/>
        <v>1</v>
      </c>
      <c r="AF828" s="888">
        <f t="shared" si="66"/>
        <v>946</v>
      </c>
    </row>
    <row r="829" spans="1:32" x14ac:dyDescent="0.3">
      <c r="A829" s="301" t="s">
        <v>970</v>
      </c>
      <c r="B829" s="886" t="s">
        <v>2568</v>
      </c>
      <c r="C829" s="744"/>
      <c r="D829" s="745"/>
      <c r="E829" s="889"/>
      <c r="F829" s="889"/>
      <c r="G829" s="889"/>
      <c r="H829" s="889"/>
      <c r="I829" s="889"/>
      <c r="J829" s="889"/>
      <c r="K829" s="889"/>
      <c r="L829" s="889"/>
      <c r="M829" s="889"/>
      <c r="N829" s="889"/>
      <c r="O829" s="889"/>
      <c r="P829" s="1497">
        <f t="shared" si="67"/>
        <v>0</v>
      </c>
      <c r="Q829" s="1139">
        <f t="shared" si="68"/>
        <v>0</v>
      </c>
      <c r="R829" s="744"/>
      <c r="S829" s="745">
        <v>439300</v>
      </c>
      <c r="T829" s="745">
        <v>787050</v>
      </c>
      <c r="U829" s="745">
        <v>462600</v>
      </c>
      <c r="V829" s="745">
        <v>0</v>
      </c>
      <c r="W829" s="745">
        <v>0</v>
      </c>
      <c r="X829" s="745">
        <v>0</v>
      </c>
      <c r="Y829" s="745">
        <v>0</v>
      </c>
      <c r="Z829" s="745"/>
      <c r="AA829" s="745"/>
      <c r="AB829" s="745"/>
      <c r="AC829" s="745"/>
      <c r="AD829" s="1139">
        <f t="shared" si="69"/>
        <v>1688950</v>
      </c>
      <c r="AE829" s="887">
        <f t="shared" si="70"/>
        <v>1</v>
      </c>
      <c r="AF829" s="888">
        <f t="shared" si="66"/>
        <v>235</v>
      </c>
    </row>
    <row r="830" spans="1:32" x14ac:dyDescent="0.3">
      <c r="A830" s="301" t="s">
        <v>970</v>
      </c>
      <c r="B830" s="886" t="s">
        <v>2270</v>
      </c>
      <c r="C830" s="744"/>
      <c r="D830" s="745"/>
      <c r="E830" s="889"/>
      <c r="F830" s="889"/>
      <c r="G830" s="889"/>
      <c r="H830" s="889"/>
      <c r="I830" s="889"/>
      <c r="J830" s="889"/>
      <c r="K830" s="889"/>
      <c r="L830" s="889"/>
      <c r="M830" s="889"/>
      <c r="N830" s="889"/>
      <c r="O830" s="889"/>
      <c r="P830" s="1497">
        <f t="shared" si="67"/>
        <v>0</v>
      </c>
      <c r="Q830" s="1139">
        <f t="shared" si="68"/>
        <v>0</v>
      </c>
      <c r="R830" s="744"/>
      <c r="S830" s="745">
        <v>75100</v>
      </c>
      <c r="T830" s="745">
        <v>567900</v>
      </c>
      <c r="U830" s="745">
        <v>569200</v>
      </c>
      <c r="V830" s="745">
        <v>0</v>
      </c>
      <c r="W830" s="745">
        <v>0</v>
      </c>
      <c r="X830" s="745">
        <v>0</v>
      </c>
      <c r="Y830" s="745">
        <v>0</v>
      </c>
      <c r="Z830" s="745"/>
      <c r="AA830" s="745"/>
      <c r="AB830" s="745"/>
      <c r="AC830" s="745"/>
      <c r="AD830" s="1139">
        <f t="shared" si="69"/>
        <v>1212200</v>
      </c>
      <c r="AE830" s="887">
        <f t="shared" si="70"/>
        <v>1</v>
      </c>
      <c r="AF830" s="888">
        <f t="shared" si="66"/>
        <v>279</v>
      </c>
    </row>
    <row r="831" spans="1:32" x14ac:dyDescent="0.3">
      <c r="A831" s="301" t="s">
        <v>970</v>
      </c>
      <c r="B831" s="886" t="s">
        <v>1609</v>
      </c>
      <c r="C831" s="744"/>
      <c r="D831" s="745"/>
      <c r="E831" s="889"/>
      <c r="F831" s="889"/>
      <c r="G831" s="889"/>
      <c r="H831" s="889"/>
      <c r="I831" s="889"/>
      <c r="J831" s="889"/>
      <c r="K831" s="889"/>
      <c r="L831" s="889"/>
      <c r="M831" s="889"/>
      <c r="N831" s="889"/>
      <c r="O831" s="889"/>
      <c r="P831" s="1497">
        <f t="shared" si="67"/>
        <v>0</v>
      </c>
      <c r="Q831" s="1139">
        <f t="shared" si="68"/>
        <v>0</v>
      </c>
      <c r="R831" s="744"/>
      <c r="S831" s="745"/>
      <c r="T831" s="745">
        <v>237800</v>
      </c>
      <c r="U831" s="745">
        <v>162300</v>
      </c>
      <c r="V831" s="745">
        <v>0</v>
      </c>
      <c r="W831" s="745">
        <v>0</v>
      </c>
      <c r="X831" s="745">
        <v>0</v>
      </c>
      <c r="Y831" s="745">
        <v>0</v>
      </c>
      <c r="Z831" s="745"/>
      <c r="AA831" s="745"/>
      <c r="AB831" s="745"/>
      <c r="AC831" s="745"/>
      <c r="AD831" s="1139">
        <f t="shared" si="69"/>
        <v>400100</v>
      </c>
      <c r="AE831" s="887">
        <f t="shared" si="70"/>
        <v>1</v>
      </c>
      <c r="AF831" s="888">
        <f t="shared" si="66"/>
        <v>481</v>
      </c>
    </row>
    <row r="832" spans="1:32" x14ac:dyDescent="0.3">
      <c r="A832" s="301" t="s">
        <v>970</v>
      </c>
      <c r="B832" s="886" t="s">
        <v>2193</v>
      </c>
      <c r="C832" s="744"/>
      <c r="D832" s="745"/>
      <c r="E832" s="889"/>
      <c r="F832" s="889"/>
      <c r="G832" s="889"/>
      <c r="H832" s="889"/>
      <c r="I832" s="889"/>
      <c r="J832" s="889"/>
      <c r="K832" s="889"/>
      <c r="L832" s="889"/>
      <c r="M832" s="889"/>
      <c r="N832" s="889"/>
      <c r="O832" s="889"/>
      <c r="P832" s="1497">
        <f t="shared" si="67"/>
        <v>0</v>
      </c>
      <c r="Q832" s="1139">
        <f t="shared" si="68"/>
        <v>0</v>
      </c>
      <c r="R832" s="744"/>
      <c r="S832" s="745"/>
      <c r="T832" s="745">
        <v>46600</v>
      </c>
      <c r="U832" s="745">
        <v>831300</v>
      </c>
      <c r="V832" s="745">
        <v>0</v>
      </c>
      <c r="W832" s="745">
        <v>0</v>
      </c>
      <c r="X832" s="745">
        <v>0</v>
      </c>
      <c r="Y832" s="745">
        <v>0</v>
      </c>
      <c r="Z832" s="745"/>
      <c r="AA832" s="745"/>
      <c r="AB832" s="745"/>
      <c r="AC832" s="745"/>
      <c r="AD832" s="1139">
        <f t="shared" si="69"/>
        <v>877900</v>
      </c>
      <c r="AE832" s="887">
        <f t="shared" si="70"/>
        <v>1</v>
      </c>
      <c r="AF832" s="888">
        <f t="shared" si="66"/>
        <v>340</v>
      </c>
    </row>
    <row r="833" spans="1:32" x14ac:dyDescent="0.3">
      <c r="A833" s="301" t="s">
        <v>970</v>
      </c>
      <c r="B833" s="886" t="s">
        <v>2182</v>
      </c>
      <c r="C833" s="744"/>
      <c r="D833" s="745"/>
      <c r="E833" s="889"/>
      <c r="F833" s="889"/>
      <c r="G833" s="889"/>
      <c r="H833" s="889"/>
      <c r="I833" s="889"/>
      <c r="J833" s="889"/>
      <c r="K833" s="889"/>
      <c r="L833" s="889"/>
      <c r="M833" s="889"/>
      <c r="N833" s="889"/>
      <c r="O833" s="889"/>
      <c r="P833" s="1497">
        <f t="shared" si="67"/>
        <v>0</v>
      </c>
      <c r="Q833" s="1139">
        <f t="shared" si="68"/>
        <v>0</v>
      </c>
      <c r="R833" s="744"/>
      <c r="S833" s="745"/>
      <c r="T833" s="745">
        <v>2266600</v>
      </c>
      <c r="U833" s="745"/>
      <c r="V833" s="745"/>
      <c r="W833" s="745"/>
      <c r="X833" s="745"/>
      <c r="Y833" s="745"/>
      <c r="Z833" s="745"/>
      <c r="AA833" s="745"/>
      <c r="AB833" s="745"/>
      <c r="AC833" s="745"/>
      <c r="AD833" s="1139">
        <f t="shared" si="69"/>
        <v>2266600</v>
      </c>
      <c r="AE833" s="887">
        <f t="shared" si="70"/>
        <v>1</v>
      </c>
      <c r="AF833" s="888">
        <f t="shared" si="66"/>
        <v>193</v>
      </c>
    </row>
    <row r="834" spans="1:32" x14ac:dyDescent="0.3">
      <c r="A834" s="301" t="s">
        <v>970</v>
      </c>
      <c r="B834" s="886" t="s">
        <v>2645</v>
      </c>
      <c r="C834" s="744"/>
      <c r="D834" s="745"/>
      <c r="E834" s="889"/>
      <c r="F834" s="889"/>
      <c r="G834" s="889"/>
      <c r="H834" s="889"/>
      <c r="I834" s="889"/>
      <c r="J834" s="889"/>
      <c r="K834" s="889"/>
      <c r="L834" s="889"/>
      <c r="M834" s="889"/>
      <c r="N834" s="889"/>
      <c r="O834" s="889"/>
      <c r="P834" s="1497">
        <f t="shared" si="67"/>
        <v>0</v>
      </c>
      <c r="Q834" s="1139">
        <f t="shared" si="68"/>
        <v>0</v>
      </c>
      <c r="R834" s="744"/>
      <c r="S834" s="745"/>
      <c r="T834" s="745">
        <v>10600</v>
      </c>
      <c r="U834" s="745">
        <v>0</v>
      </c>
      <c r="V834" s="745">
        <v>0</v>
      </c>
      <c r="W834" s="745">
        <v>0</v>
      </c>
      <c r="X834" s="745">
        <v>0</v>
      </c>
      <c r="Y834" s="745">
        <v>0</v>
      </c>
      <c r="Z834" s="745"/>
      <c r="AA834" s="745"/>
      <c r="AB834" s="745"/>
      <c r="AC834" s="745"/>
      <c r="AD834" s="1139">
        <f t="shared" si="69"/>
        <v>10600</v>
      </c>
      <c r="AE834" s="887">
        <f t="shared" si="70"/>
        <v>1</v>
      </c>
      <c r="AF834" s="888">
        <f t="shared" si="66"/>
        <v>956</v>
      </c>
    </row>
    <row r="835" spans="1:32" x14ac:dyDescent="0.3">
      <c r="A835" s="301" t="s">
        <v>970</v>
      </c>
      <c r="B835" s="886" t="s">
        <v>975</v>
      </c>
      <c r="C835" s="744"/>
      <c r="D835" s="745"/>
      <c r="E835" s="889"/>
      <c r="F835" s="889"/>
      <c r="G835" s="889"/>
      <c r="H835" s="889"/>
      <c r="I835" s="889"/>
      <c r="J835" s="889"/>
      <c r="K835" s="889"/>
      <c r="L835" s="889"/>
      <c r="M835" s="889"/>
      <c r="N835" s="889"/>
      <c r="O835" s="889"/>
      <c r="P835" s="1497">
        <f t="shared" si="67"/>
        <v>0</v>
      </c>
      <c r="Q835" s="1139">
        <f t="shared" si="68"/>
        <v>0</v>
      </c>
      <c r="R835" s="744"/>
      <c r="S835" s="745"/>
      <c r="T835" s="745"/>
      <c r="U835" s="745">
        <v>534500</v>
      </c>
      <c r="V835" s="745">
        <v>0</v>
      </c>
      <c r="W835" s="745">
        <v>0</v>
      </c>
      <c r="X835" s="745">
        <v>0</v>
      </c>
      <c r="Y835" s="745">
        <v>0</v>
      </c>
      <c r="Z835" s="745"/>
      <c r="AA835" s="745"/>
      <c r="AB835" s="745"/>
      <c r="AC835" s="745"/>
      <c r="AD835" s="1139">
        <f t="shared" si="69"/>
        <v>534500</v>
      </c>
      <c r="AE835" s="887">
        <f t="shared" si="70"/>
        <v>1</v>
      </c>
      <c r="AF835" s="888">
        <f t="shared" si="66"/>
        <v>424</v>
      </c>
    </row>
    <row r="836" spans="1:32" x14ac:dyDescent="0.3">
      <c r="A836" s="301" t="s">
        <v>970</v>
      </c>
      <c r="B836" s="886" t="s">
        <v>1053</v>
      </c>
      <c r="C836" s="744"/>
      <c r="D836" s="745"/>
      <c r="E836" s="889"/>
      <c r="F836" s="889"/>
      <c r="G836" s="889"/>
      <c r="H836" s="889"/>
      <c r="I836" s="889"/>
      <c r="J836" s="889"/>
      <c r="K836" s="889"/>
      <c r="L836" s="889"/>
      <c r="M836" s="889"/>
      <c r="N836" s="889"/>
      <c r="O836" s="889"/>
      <c r="P836" s="1497">
        <f t="shared" si="67"/>
        <v>0</v>
      </c>
      <c r="Q836" s="1139">
        <f t="shared" si="68"/>
        <v>0</v>
      </c>
      <c r="R836" s="744"/>
      <c r="S836" s="745"/>
      <c r="T836" s="745"/>
      <c r="U836" s="745"/>
      <c r="V836" s="745"/>
      <c r="W836" s="745"/>
      <c r="X836" s="745">
        <v>0</v>
      </c>
      <c r="Y836" s="745">
        <v>0</v>
      </c>
      <c r="Z836" s="745"/>
      <c r="AA836" s="745"/>
      <c r="AB836" s="745"/>
      <c r="AC836" s="745"/>
      <c r="AD836" s="1139">
        <f t="shared" si="69"/>
        <v>0</v>
      </c>
      <c r="AE836" s="887">
        <f t="shared" si="70"/>
        <v>0</v>
      </c>
      <c r="AF836" s="888">
        <f t="shared" si="66"/>
        <v>983</v>
      </c>
    </row>
    <row r="837" spans="1:32" x14ac:dyDescent="0.3">
      <c r="A837" s="301" t="s">
        <v>970</v>
      </c>
      <c r="B837" s="886" t="s">
        <v>2742</v>
      </c>
      <c r="C837" s="744"/>
      <c r="D837" s="745"/>
      <c r="E837" s="889"/>
      <c r="F837" s="889"/>
      <c r="G837" s="889"/>
      <c r="H837" s="889"/>
      <c r="I837" s="889"/>
      <c r="J837" s="889"/>
      <c r="K837" s="889"/>
      <c r="L837" s="889"/>
      <c r="M837" s="889"/>
      <c r="N837" s="889"/>
      <c r="O837" s="889"/>
      <c r="P837" s="1497">
        <f t="shared" si="67"/>
        <v>0</v>
      </c>
      <c r="Q837" s="1139">
        <f t="shared" si="68"/>
        <v>0</v>
      </c>
      <c r="R837" s="744"/>
      <c r="S837" s="745"/>
      <c r="T837" s="745"/>
      <c r="U837" s="745">
        <v>223400</v>
      </c>
      <c r="V837" s="745">
        <v>0</v>
      </c>
      <c r="W837" s="745">
        <v>0</v>
      </c>
      <c r="X837" s="745"/>
      <c r="Y837" s="745"/>
      <c r="Z837" s="745"/>
      <c r="AA837" s="745"/>
      <c r="AB837" s="745"/>
      <c r="AC837" s="745"/>
      <c r="AD837" s="1139">
        <f t="shared" si="69"/>
        <v>223400</v>
      </c>
      <c r="AE837" s="887">
        <f t="shared" si="70"/>
        <v>1</v>
      </c>
      <c r="AF837" s="888">
        <f t="shared" ref="AF837:AF900" si="71">IFERROR(_xlfn.RANK.EQ(AD837, $AD$2:$AD$2064), "")</f>
        <v>590</v>
      </c>
    </row>
    <row r="838" spans="1:32" x14ac:dyDescent="0.3">
      <c r="A838" s="301" t="s">
        <v>970</v>
      </c>
      <c r="B838" s="886" t="s">
        <v>2256</v>
      </c>
      <c r="C838" s="744"/>
      <c r="D838" s="745"/>
      <c r="E838" s="889"/>
      <c r="F838" s="889"/>
      <c r="G838" s="889"/>
      <c r="H838" s="889"/>
      <c r="I838" s="889"/>
      <c r="J838" s="889"/>
      <c r="K838" s="889"/>
      <c r="L838" s="889"/>
      <c r="M838" s="889"/>
      <c r="N838" s="889"/>
      <c r="O838" s="889"/>
      <c r="P838" s="1497">
        <f t="shared" si="67"/>
        <v>0</v>
      </c>
      <c r="Q838" s="1139">
        <f t="shared" si="68"/>
        <v>0</v>
      </c>
      <c r="R838" s="744"/>
      <c r="S838" s="745"/>
      <c r="T838" s="745"/>
      <c r="U838" s="745"/>
      <c r="V838" s="745"/>
      <c r="W838" s="745">
        <v>149900</v>
      </c>
      <c r="X838" s="745">
        <v>26000</v>
      </c>
      <c r="Y838" s="745">
        <v>122100</v>
      </c>
      <c r="Z838" s="745"/>
      <c r="AA838" s="745"/>
      <c r="AB838" s="745"/>
      <c r="AC838" s="745"/>
      <c r="AD838" s="1139">
        <f t="shared" si="69"/>
        <v>298000</v>
      </c>
      <c r="AE838" s="887">
        <f t="shared" si="70"/>
        <v>1</v>
      </c>
      <c r="AF838" s="888">
        <f t="shared" si="71"/>
        <v>534</v>
      </c>
    </row>
    <row r="839" spans="1:32" x14ac:dyDescent="0.3">
      <c r="A839" s="301" t="s">
        <v>970</v>
      </c>
      <c r="B839" s="886" t="s">
        <v>2866</v>
      </c>
      <c r="C839" s="744"/>
      <c r="D839" s="745"/>
      <c r="E839" s="889"/>
      <c r="F839" s="889"/>
      <c r="G839" s="889"/>
      <c r="H839" s="889"/>
      <c r="I839" s="889"/>
      <c r="J839" s="889"/>
      <c r="K839" s="889"/>
      <c r="L839" s="889"/>
      <c r="M839" s="889"/>
      <c r="N839" s="889"/>
      <c r="O839" s="889"/>
      <c r="P839" s="1497">
        <f t="shared" si="67"/>
        <v>0</v>
      </c>
      <c r="Q839" s="1139">
        <f t="shared" si="68"/>
        <v>0</v>
      </c>
      <c r="R839" s="744"/>
      <c r="S839" s="745"/>
      <c r="T839" s="745"/>
      <c r="U839" s="745"/>
      <c r="V839" s="745"/>
      <c r="W839" s="745"/>
      <c r="X839" s="745">
        <v>644200</v>
      </c>
      <c r="Y839" s="745">
        <v>90400</v>
      </c>
      <c r="Z839" s="745"/>
      <c r="AA839" s="745"/>
      <c r="AB839" s="745"/>
      <c r="AC839" s="745"/>
      <c r="AD839" s="1139">
        <f t="shared" si="69"/>
        <v>734600</v>
      </c>
      <c r="AE839" s="887">
        <f t="shared" si="70"/>
        <v>1</v>
      </c>
      <c r="AF839" s="888">
        <f t="shared" si="71"/>
        <v>369</v>
      </c>
    </row>
    <row r="840" spans="1:32" x14ac:dyDescent="0.3">
      <c r="A840" s="301" t="s">
        <v>970</v>
      </c>
      <c r="B840" s="886" t="s">
        <v>2499</v>
      </c>
      <c r="C840" s="744"/>
      <c r="D840" s="745"/>
      <c r="E840" s="889"/>
      <c r="F840" s="889"/>
      <c r="G840" s="889"/>
      <c r="H840" s="889"/>
      <c r="I840" s="889"/>
      <c r="J840" s="889"/>
      <c r="K840" s="889"/>
      <c r="L840" s="889"/>
      <c r="M840" s="889"/>
      <c r="N840" s="889"/>
      <c r="O840" s="889"/>
      <c r="P840" s="1497">
        <f t="shared" si="67"/>
        <v>0</v>
      </c>
      <c r="Q840" s="1139">
        <f t="shared" si="68"/>
        <v>0</v>
      </c>
      <c r="R840" s="744"/>
      <c r="S840" s="745"/>
      <c r="T840" s="745"/>
      <c r="U840" s="745"/>
      <c r="V840" s="745"/>
      <c r="W840" s="745"/>
      <c r="X840" s="745"/>
      <c r="Y840" s="745">
        <v>727100</v>
      </c>
      <c r="Z840" s="745"/>
      <c r="AA840" s="745"/>
      <c r="AB840" s="745"/>
      <c r="AC840" s="745"/>
      <c r="AD840" s="1139">
        <f t="shared" si="69"/>
        <v>727100</v>
      </c>
      <c r="AE840" s="887">
        <f t="shared" si="70"/>
        <v>1</v>
      </c>
      <c r="AF840" s="888">
        <f t="shared" si="71"/>
        <v>372</v>
      </c>
    </row>
    <row r="841" spans="1:32" ht="15.75" customHeight="1" x14ac:dyDescent="0.3">
      <c r="A841" s="303" t="s">
        <v>931</v>
      </c>
      <c r="B841" s="890" t="s">
        <v>1288</v>
      </c>
      <c r="C841" s="746" t="s">
        <v>251</v>
      </c>
      <c r="D841" s="747" t="s">
        <v>251</v>
      </c>
      <c r="E841" s="747" t="s">
        <v>251</v>
      </c>
      <c r="F841" s="747">
        <v>2193050</v>
      </c>
      <c r="G841" s="747">
        <v>2628050</v>
      </c>
      <c r="H841" s="747">
        <v>22500</v>
      </c>
      <c r="I841" s="747" t="s">
        <v>251</v>
      </c>
      <c r="J841" s="747" t="s">
        <v>251</v>
      </c>
      <c r="K841" s="747">
        <v>0</v>
      </c>
      <c r="L841" s="747" t="s">
        <v>251</v>
      </c>
      <c r="M841" s="747" t="s">
        <v>251</v>
      </c>
      <c r="N841" s="747" t="s">
        <v>251</v>
      </c>
      <c r="O841" s="747" t="s">
        <v>251</v>
      </c>
      <c r="P841" s="1497">
        <f t="shared" si="67"/>
        <v>4843600</v>
      </c>
      <c r="Q841" s="1140">
        <f t="shared" si="68"/>
        <v>4843600</v>
      </c>
      <c r="R841" s="746"/>
      <c r="S841" s="747"/>
      <c r="T841" s="747"/>
      <c r="U841" s="747"/>
      <c r="V841" s="747"/>
      <c r="W841" s="747"/>
      <c r="X841" s="747"/>
      <c r="Y841" s="747"/>
      <c r="Z841" s="747"/>
      <c r="AA841" s="747"/>
      <c r="AB841" s="747"/>
      <c r="AC841" s="747"/>
      <c r="AD841" s="1140">
        <f t="shared" si="69"/>
        <v>0</v>
      </c>
      <c r="AE841" s="891">
        <f t="shared" si="70"/>
        <v>-1</v>
      </c>
      <c r="AF841" s="892">
        <f t="shared" si="71"/>
        <v>983</v>
      </c>
    </row>
    <row r="842" spans="1:32" x14ac:dyDescent="0.3">
      <c r="A842" s="303" t="s">
        <v>931</v>
      </c>
      <c r="B842" s="890" t="s">
        <v>1309</v>
      </c>
      <c r="C842" s="893">
        <v>957200</v>
      </c>
      <c r="D842" s="747" t="s">
        <v>251</v>
      </c>
      <c r="E842" s="894">
        <v>177000</v>
      </c>
      <c r="F842" s="894">
        <v>832150</v>
      </c>
      <c r="G842" s="894">
        <v>1842300</v>
      </c>
      <c r="H842" s="894">
        <v>3364550</v>
      </c>
      <c r="I842" s="894" t="s">
        <v>251</v>
      </c>
      <c r="J842" s="894" t="s">
        <v>251</v>
      </c>
      <c r="K842" s="894">
        <v>0</v>
      </c>
      <c r="L842" s="894" t="s">
        <v>251</v>
      </c>
      <c r="M842" s="747">
        <v>1238700</v>
      </c>
      <c r="N842" s="894" t="s">
        <v>251</v>
      </c>
      <c r="O842" s="894" t="s">
        <v>251</v>
      </c>
      <c r="P842" s="1497">
        <f t="shared" si="67"/>
        <v>7173200</v>
      </c>
      <c r="Q842" s="1140">
        <f t="shared" si="68"/>
        <v>8411900</v>
      </c>
      <c r="R842" s="746"/>
      <c r="S842" s="747"/>
      <c r="T842" s="747"/>
      <c r="U842" s="747"/>
      <c r="V842" s="747"/>
      <c r="W842" s="747"/>
      <c r="X842" s="747"/>
      <c r="Y842" s="747"/>
      <c r="Z842" s="747"/>
      <c r="AA842" s="747"/>
      <c r="AB842" s="747"/>
      <c r="AC842" s="747"/>
      <c r="AD842" s="1140">
        <f t="shared" si="69"/>
        <v>0</v>
      </c>
      <c r="AE842" s="891">
        <f t="shared" si="70"/>
        <v>-1</v>
      </c>
      <c r="AF842" s="892">
        <f t="shared" si="71"/>
        <v>983</v>
      </c>
    </row>
    <row r="843" spans="1:32" x14ac:dyDescent="0.3">
      <c r="A843" s="303" t="s">
        <v>931</v>
      </c>
      <c r="B843" s="890" t="s">
        <v>2412</v>
      </c>
      <c r="C843" s="893">
        <v>1181650</v>
      </c>
      <c r="D843" s="894">
        <v>1056300</v>
      </c>
      <c r="E843" s="894">
        <v>79100</v>
      </c>
      <c r="F843" s="894" t="s">
        <v>251</v>
      </c>
      <c r="G843" s="894">
        <v>1110700</v>
      </c>
      <c r="H843" s="894">
        <v>4372350</v>
      </c>
      <c r="I843" s="894">
        <v>6014400</v>
      </c>
      <c r="J843" s="894">
        <v>18586900</v>
      </c>
      <c r="K843" s="894">
        <v>18586900</v>
      </c>
      <c r="L843" s="894">
        <v>3468900</v>
      </c>
      <c r="M843" s="894">
        <v>361500</v>
      </c>
      <c r="N843" s="894">
        <v>1693250</v>
      </c>
      <c r="O843" s="894">
        <v>15990500</v>
      </c>
      <c r="P843" s="1497">
        <f t="shared" si="67"/>
        <v>32401400</v>
      </c>
      <c r="Q843" s="1140">
        <f t="shared" si="68"/>
        <v>53915550</v>
      </c>
      <c r="R843" s="746">
        <v>3417550</v>
      </c>
      <c r="S843" s="747"/>
      <c r="T843" s="747"/>
      <c r="U843" s="747">
        <v>789800</v>
      </c>
      <c r="V843" s="747">
        <v>0</v>
      </c>
      <c r="W843" s="747">
        <v>0</v>
      </c>
      <c r="X843" s="747">
        <v>0</v>
      </c>
      <c r="Y843" s="747">
        <v>0</v>
      </c>
      <c r="Z843" s="747"/>
      <c r="AA843" s="747"/>
      <c r="AB843" s="747"/>
      <c r="AC843" s="747"/>
      <c r="AD843" s="1140">
        <f t="shared" si="69"/>
        <v>4207350</v>
      </c>
      <c r="AE843" s="891">
        <f t="shared" si="70"/>
        <v>-0.870149129358608</v>
      </c>
      <c r="AF843" s="892">
        <f t="shared" si="71"/>
        <v>105</v>
      </c>
    </row>
    <row r="844" spans="1:32" x14ac:dyDescent="0.3">
      <c r="A844" s="303" t="s">
        <v>931</v>
      </c>
      <c r="B844" s="890" t="s">
        <v>1311</v>
      </c>
      <c r="C844" s="893">
        <v>1027650</v>
      </c>
      <c r="D844" s="747" t="s">
        <v>251</v>
      </c>
      <c r="E844" s="894">
        <v>1236250</v>
      </c>
      <c r="F844" s="894" t="s">
        <v>251</v>
      </c>
      <c r="G844" s="894" t="s">
        <v>251</v>
      </c>
      <c r="H844" s="894" t="s">
        <v>251</v>
      </c>
      <c r="I844" s="894" t="s">
        <v>251</v>
      </c>
      <c r="J844" s="894" t="s">
        <v>251</v>
      </c>
      <c r="K844" s="894">
        <v>0</v>
      </c>
      <c r="L844" s="894" t="s">
        <v>251</v>
      </c>
      <c r="M844" s="894" t="s">
        <v>251</v>
      </c>
      <c r="N844" s="894" t="s">
        <v>251</v>
      </c>
      <c r="O844" s="894" t="s">
        <v>251</v>
      </c>
      <c r="P844" s="1497">
        <f t="shared" si="67"/>
        <v>2263900</v>
      </c>
      <c r="Q844" s="1140">
        <f t="shared" si="68"/>
        <v>2263900</v>
      </c>
      <c r="R844" s="746"/>
      <c r="S844" s="747"/>
      <c r="T844" s="747"/>
      <c r="U844" s="747"/>
      <c r="V844" s="747"/>
      <c r="W844" s="747"/>
      <c r="X844" s="747"/>
      <c r="Y844" s="747"/>
      <c r="Z844" s="747"/>
      <c r="AA844" s="747"/>
      <c r="AB844" s="747"/>
      <c r="AC844" s="747"/>
      <c r="AD844" s="1140">
        <f t="shared" si="69"/>
        <v>0</v>
      </c>
      <c r="AE844" s="891">
        <f t="shared" si="70"/>
        <v>-1</v>
      </c>
      <c r="AF844" s="892">
        <f t="shared" si="71"/>
        <v>983</v>
      </c>
    </row>
    <row r="845" spans="1:32" x14ac:dyDescent="0.3">
      <c r="A845" s="303" t="s">
        <v>931</v>
      </c>
      <c r="B845" s="890" t="s">
        <v>947</v>
      </c>
      <c r="C845" s="746" t="s">
        <v>251</v>
      </c>
      <c r="D845" s="747" t="s">
        <v>251</v>
      </c>
      <c r="E845" s="747" t="s">
        <v>251</v>
      </c>
      <c r="F845" s="747">
        <v>340850</v>
      </c>
      <c r="G845" s="747">
        <v>116000</v>
      </c>
      <c r="H845" s="747">
        <v>10000</v>
      </c>
      <c r="I845" s="747" t="s">
        <v>251</v>
      </c>
      <c r="J845" s="747" t="s">
        <v>251</v>
      </c>
      <c r="K845" s="747">
        <v>0</v>
      </c>
      <c r="L845" s="747" t="s">
        <v>251</v>
      </c>
      <c r="M845" s="747" t="s">
        <v>251</v>
      </c>
      <c r="N845" s="747" t="s">
        <v>251</v>
      </c>
      <c r="O845" s="747" t="s">
        <v>251</v>
      </c>
      <c r="P845" s="1497">
        <f t="shared" ref="P845:P908" si="72">SUM(C845:I845,K845)</f>
        <v>466850</v>
      </c>
      <c r="Q845" s="1140">
        <f t="shared" ref="Q845:Q908" si="73">SUM(C845:J845,L845:O845)</f>
        <v>466850</v>
      </c>
      <c r="R845" s="746"/>
      <c r="S845" s="747"/>
      <c r="T845" s="747"/>
      <c r="U845" s="747"/>
      <c r="V845" s="747"/>
      <c r="W845" s="747"/>
      <c r="X845" s="747"/>
      <c r="Y845" s="747"/>
      <c r="Z845" s="747"/>
      <c r="AA845" s="747"/>
      <c r="AB845" s="747"/>
      <c r="AC845" s="747"/>
      <c r="AD845" s="1140">
        <f t="shared" si="69"/>
        <v>0</v>
      </c>
      <c r="AE845" s="891">
        <f t="shared" si="70"/>
        <v>-1</v>
      </c>
      <c r="AF845" s="892">
        <f t="shared" si="71"/>
        <v>983</v>
      </c>
    </row>
    <row r="846" spans="1:32" x14ac:dyDescent="0.3">
      <c r="A846" s="303" t="s">
        <v>931</v>
      </c>
      <c r="B846" s="890" t="s">
        <v>1312</v>
      </c>
      <c r="C846" s="746" t="s">
        <v>251</v>
      </c>
      <c r="D846" s="747" t="s">
        <v>251</v>
      </c>
      <c r="E846" s="747" t="s">
        <v>251</v>
      </c>
      <c r="F846" s="747" t="s">
        <v>251</v>
      </c>
      <c r="G846" s="747">
        <v>366000</v>
      </c>
      <c r="H846" s="747">
        <v>17000</v>
      </c>
      <c r="I846" s="747" t="s">
        <v>251</v>
      </c>
      <c r="J846" s="747" t="s">
        <v>251</v>
      </c>
      <c r="K846" s="747">
        <v>0</v>
      </c>
      <c r="L846" s="747" t="s">
        <v>251</v>
      </c>
      <c r="M846" s="747" t="s">
        <v>251</v>
      </c>
      <c r="N846" s="747" t="s">
        <v>251</v>
      </c>
      <c r="O846" s="747" t="s">
        <v>251</v>
      </c>
      <c r="P846" s="1497">
        <f t="shared" si="72"/>
        <v>383000</v>
      </c>
      <c r="Q846" s="1140">
        <f t="shared" si="73"/>
        <v>383000</v>
      </c>
      <c r="R846" s="746"/>
      <c r="S846" s="747"/>
      <c r="T846" s="747"/>
      <c r="U846" s="747"/>
      <c r="V846" s="747"/>
      <c r="W846" s="747"/>
      <c r="X846" s="747"/>
      <c r="Y846" s="747"/>
      <c r="Z846" s="747"/>
      <c r="AA846" s="747"/>
      <c r="AB846" s="747"/>
      <c r="AC846" s="747"/>
      <c r="AD846" s="1140">
        <f t="shared" si="69"/>
        <v>0</v>
      </c>
      <c r="AE846" s="891">
        <f t="shared" si="70"/>
        <v>-1</v>
      </c>
      <c r="AF846" s="892">
        <f t="shared" si="71"/>
        <v>983</v>
      </c>
    </row>
    <row r="847" spans="1:32" x14ac:dyDescent="0.3">
      <c r="A847" s="303" t="s">
        <v>931</v>
      </c>
      <c r="B847" s="890" t="s">
        <v>1238</v>
      </c>
      <c r="C847" s="746" t="s">
        <v>251</v>
      </c>
      <c r="D847" s="747" t="s">
        <v>251</v>
      </c>
      <c r="E847" s="894">
        <v>451000</v>
      </c>
      <c r="F847" s="894">
        <v>34000</v>
      </c>
      <c r="G847" s="894">
        <v>127000</v>
      </c>
      <c r="H847" s="894" t="s">
        <v>251</v>
      </c>
      <c r="I847" s="894" t="s">
        <v>251</v>
      </c>
      <c r="J847" s="894" t="s">
        <v>251</v>
      </c>
      <c r="K847" s="894">
        <v>0</v>
      </c>
      <c r="L847" s="894" t="s">
        <v>251</v>
      </c>
      <c r="M847" s="894" t="s">
        <v>251</v>
      </c>
      <c r="N847" s="894" t="s">
        <v>251</v>
      </c>
      <c r="O847" s="894" t="s">
        <v>251</v>
      </c>
      <c r="P847" s="1497">
        <f t="shared" si="72"/>
        <v>612000</v>
      </c>
      <c r="Q847" s="1140">
        <f t="shared" si="73"/>
        <v>612000</v>
      </c>
      <c r="R847" s="746"/>
      <c r="S847" s="747"/>
      <c r="T847" s="747"/>
      <c r="U847" s="747"/>
      <c r="V847" s="747"/>
      <c r="W847" s="747"/>
      <c r="X847" s="747"/>
      <c r="Y847" s="747"/>
      <c r="Z847" s="747"/>
      <c r="AA847" s="747"/>
      <c r="AB847" s="747"/>
      <c r="AC847" s="747"/>
      <c r="AD847" s="1140">
        <f t="shared" si="69"/>
        <v>0</v>
      </c>
      <c r="AE847" s="891">
        <f t="shared" si="70"/>
        <v>-1</v>
      </c>
      <c r="AF847" s="892">
        <f t="shared" si="71"/>
        <v>983</v>
      </c>
    </row>
    <row r="848" spans="1:32" x14ac:dyDescent="0.3">
      <c r="A848" s="303" t="s">
        <v>931</v>
      </c>
      <c r="B848" s="890" t="s">
        <v>883</v>
      </c>
      <c r="C848" s="746" t="s">
        <v>251</v>
      </c>
      <c r="D848" s="747" t="s">
        <v>251</v>
      </c>
      <c r="E848" s="747" t="s">
        <v>251</v>
      </c>
      <c r="F848" s="747" t="s">
        <v>251</v>
      </c>
      <c r="G848" s="747" t="s">
        <v>251</v>
      </c>
      <c r="H848" s="747" t="s">
        <v>251</v>
      </c>
      <c r="I848" s="747" t="s">
        <v>251</v>
      </c>
      <c r="J848" s="747" t="s">
        <v>251</v>
      </c>
      <c r="K848" s="747"/>
      <c r="L848" s="747" t="s">
        <v>251</v>
      </c>
      <c r="M848" s="747" t="s">
        <v>251</v>
      </c>
      <c r="N848" s="747" t="s">
        <v>251</v>
      </c>
      <c r="O848" s="747" t="s">
        <v>251</v>
      </c>
      <c r="P848" s="1497">
        <f t="shared" si="72"/>
        <v>0</v>
      </c>
      <c r="Q848" s="1140">
        <f t="shared" si="73"/>
        <v>0</v>
      </c>
      <c r="R848" s="746"/>
      <c r="S848" s="747"/>
      <c r="T848" s="747">
        <v>15000</v>
      </c>
      <c r="U848" s="747">
        <v>0</v>
      </c>
      <c r="V848" s="747">
        <v>0</v>
      </c>
      <c r="W848" s="747">
        <v>0</v>
      </c>
      <c r="X848" s="747">
        <v>0</v>
      </c>
      <c r="Y848" s="747">
        <v>0</v>
      </c>
      <c r="Z848" s="747"/>
      <c r="AA848" s="747"/>
      <c r="AB848" s="747"/>
      <c r="AC848" s="747"/>
      <c r="AD848" s="1140">
        <f t="shared" si="69"/>
        <v>15000</v>
      </c>
      <c r="AE848" s="891">
        <f t="shared" si="70"/>
        <v>1</v>
      </c>
      <c r="AF848" s="892">
        <f t="shared" si="71"/>
        <v>941</v>
      </c>
    </row>
    <row r="849" spans="1:32" x14ac:dyDescent="0.3">
      <c r="A849" s="303" t="s">
        <v>931</v>
      </c>
      <c r="B849" s="890" t="s">
        <v>942</v>
      </c>
      <c r="C849" s="746" t="s">
        <v>251</v>
      </c>
      <c r="D849" s="747" t="s">
        <v>251</v>
      </c>
      <c r="E849" s="747" t="s">
        <v>251</v>
      </c>
      <c r="F849" s="747" t="s">
        <v>251</v>
      </c>
      <c r="G849" s="747" t="s">
        <v>251</v>
      </c>
      <c r="H849" s="747" t="s">
        <v>251</v>
      </c>
      <c r="I849" s="747" t="s">
        <v>251</v>
      </c>
      <c r="J849" s="747" t="s">
        <v>251</v>
      </c>
      <c r="K849" s="747"/>
      <c r="L849" s="747" t="s">
        <v>251</v>
      </c>
      <c r="M849" s="747" t="s">
        <v>251</v>
      </c>
      <c r="N849" s="747" t="s">
        <v>251</v>
      </c>
      <c r="O849" s="747" t="s">
        <v>251</v>
      </c>
      <c r="P849" s="1497">
        <f t="shared" si="72"/>
        <v>0</v>
      </c>
      <c r="Q849" s="1140">
        <f t="shared" si="73"/>
        <v>0</v>
      </c>
      <c r="R849" s="746"/>
      <c r="S849" s="747"/>
      <c r="T849" s="747"/>
      <c r="U849" s="747"/>
      <c r="V849" s="747"/>
      <c r="W849" s="747"/>
      <c r="X849" s="747"/>
      <c r="Y849" s="747"/>
      <c r="Z849" s="747"/>
      <c r="AA849" s="747"/>
      <c r="AB849" s="747"/>
      <c r="AC849" s="747"/>
      <c r="AD849" s="1140">
        <f t="shared" si="69"/>
        <v>0</v>
      </c>
      <c r="AE849" s="891">
        <f t="shared" si="70"/>
        <v>0</v>
      </c>
      <c r="AF849" s="892">
        <f t="shared" si="71"/>
        <v>983</v>
      </c>
    </row>
    <row r="850" spans="1:32" x14ac:dyDescent="0.3">
      <c r="A850" s="303" t="s">
        <v>931</v>
      </c>
      <c r="B850" s="890" t="s">
        <v>405</v>
      </c>
      <c r="C850" s="746" t="s">
        <v>251</v>
      </c>
      <c r="D850" s="747" t="s">
        <v>251</v>
      </c>
      <c r="E850" s="747" t="s">
        <v>251</v>
      </c>
      <c r="F850" s="747" t="s">
        <v>251</v>
      </c>
      <c r="G850" s="747" t="s">
        <v>251</v>
      </c>
      <c r="H850" s="747" t="s">
        <v>251</v>
      </c>
      <c r="I850" s="747" t="s">
        <v>251</v>
      </c>
      <c r="J850" s="747" t="s">
        <v>251</v>
      </c>
      <c r="K850" s="747"/>
      <c r="L850" s="747" t="s">
        <v>251</v>
      </c>
      <c r="M850" s="747" t="s">
        <v>251</v>
      </c>
      <c r="N850" s="747" t="s">
        <v>251</v>
      </c>
      <c r="O850" s="747" t="s">
        <v>251</v>
      </c>
      <c r="P850" s="1497">
        <f t="shared" si="72"/>
        <v>0</v>
      </c>
      <c r="Q850" s="1140">
        <f t="shared" si="73"/>
        <v>0</v>
      </c>
      <c r="R850" s="746"/>
      <c r="S850" s="747"/>
      <c r="T850" s="747"/>
      <c r="U850" s="747"/>
      <c r="V850" s="747"/>
      <c r="W850" s="747"/>
      <c r="X850" s="747"/>
      <c r="Y850" s="747"/>
      <c r="Z850" s="747"/>
      <c r="AA850" s="747"/>
      <c r="AB850" s="747"/>
      <c r="AC850" s="747"/>
      <c r="AD850" s="1140">
        <f t="shared" si="69"/>
        <v>0</v>
      </c>
      <c r="AE850" s="891">
        <f t="shared" si="70"/>
        <v>0</v>
      </c>
      <c r="AF850" s="892">
        <f t="shared" si="71"/>
        <v>983</v>
      </c>
    </row>
    <row r="851" spans="1:32" x14ac:dyDescent="0.3">
      <c r="A851" s="303" t="s">
        <v>931</v>
      </c>
      <c r="B851" s="890" t="s">
        <v>1313</v>
      </c>
      <c r="C851" s="746" t="s">
        <v>251</v>
      </c>
      <c r="D851" s="747" t="s">
        <v>251</v>
      </c>
      <c r="E851" s="747" t="s">
        <v>251</v>
      </c>
      <c r="F851" s="747" t="s">
        <v>251</v>
      </c>
      <c r="G851" s="747" t="s">
        <v>251</v>
      </c>
      <c r="H851" s="747" t="s">
        <v>251</v>
      </c>
      <c r="I851" s="747" t="s">
        <v>251</v>
      </c>
      <c r="J851" s="747" t="s">
        <v>251</v>
      </c>
      <c r="K851" s="747"/>
      <c r="L851" s="747" t="s">
        <v>251</v>
      </c>
      <c r="M851" s="747" t="s">
        <v>251</v>
      </c>
      <c r="N851" s="747" t="s">
        <v>251</v>
      </c>
      <c r="O851" s="747" t="s">
        <v>251</v>
      </c>
      <c r="P851" s="1497">
        <f t="shared" si="72"/>
        <v>0</v>
      </c>
      <c r="Q851" s="1140">
        <f t="shared" si="73"/>
        <v>0</v>
      </c>
      <c r="R851" s="746"/>
      <c r="S851" s="747"/>
      <c r="T851" s="747"/>
      <c r="U851" s="747"/>
      <c r="V851" s="747"/>
      <c r="W851" s="747"/>
      <c r="X851" s="747"/>
      <c r="Y851" s="747"/>
      <c r="Z851" s="747"/>
      <c r="AA851" s="747"/>
      <c r="AB851" s="747"/>
      <c r="AC851" s="747"/>
      <c r="AD851" s="1140">
        <f t="shared" si="69"/>
        <v>0</v>
      </c>
      <c r="AE851" s="891">
        <f t="shared" si="70"/>
        <v>0</v>
      </c>
      <c r="AF851" s="892">
        <f t="shared" si="71"/>
        <v>983</v>
      </c>
    </row>
    <row r="852" spans="1:32" x14ac:dyDescent="0.3">
      <c r="A852" s="303" t="s">
        <v>931</v>
      </c>
      <c r="B852" s="890" t="s">
        <v>708</v>
      </c>
      <c r="C852" s="746"/>
      <c r="D852" s="747" t="s">
        <v>251</v>
      </c>
      <c r="E852" s="747"/>
      <c r="F852" s="747" t="s">
        <v>251</v>
      </c>
      <c r="G852" s="747" t="s">
        <v>251</v>
      </c>
      <c r="H852" s="747" t="s">
        <v>251</v>
      </c>
      <c r="I852" s="747" t="s">
        <v>251</v>
      </c>
      <c r="J852" s="747" t="s">
        <v>251</v>
      </c>
      <c r="K852" s="747"/>
      <c r="L852" s="747" t="s">
        <v>251</v>
      </c>
      <c r="M852" s="747" t="s">
        <v>251</v>
      </c>
      <c r="N852" s="747" t="s">
        <v>251</v>
      </c>
      <c r="O852" s="747" t="s">
        <v>251</v>
      </c>
      <c r="P852" s="1497">
        <f t="shared" si="72"/>
        <v>0</v>
      </c>
      <c r="Q852" s="1140">
        <f t="shared" si="73"/>
        <v>0</v>
      </c>
      <c r="R852" s="746"/>
      <c r="S852" s="747"/>
      <c r="T852" s="747"/>
      <c r="U852" s="747"/>
      <c r="V852" s="747"/>
      <c r="W852" s="747"/>
      <c r="X852" s="747"/>
      <c r="Y852" s="747"/>
      <c r="Z852" s="747"/>
      <c r="AA852" s="747"/>
      <c r="AB852" s="747"/>
      <c r="AC852" s="747"/>
      <c r="AD852" s="1140">
        <f t="shared" si="69"/>
        <v>0</v>
      </c>
      <c r="AE852" s="891">
        <f t="shared" si="70"/>
        <v>0</v>
      </c>
      <c r="AF852" s="892">
        <f t="shared" si="71"/>
        <v>983</v>
      </c>
    </row>
    <row r="853" spans="1:32" x14ac:dyDescent="0.3">
      <c r="A853" s="303" t="s">
        <v>931</v>
      </c>
      <c r="B853" s="890" t="s">
        <v>2123</v>
      </c>
      <c r="C853" s="746"/>
      <c r="D853" s="747" t="s">
        <v>251</v>
      </c>
      <c r="E853" s="747"/>
      <c r="F853" s="747" t="s">
        <v>251</v>
      </c>
      <c r="G853" s="747">
        <v>20200</v>
      </c>
      <c r="H853" s="747" t="s">
        <v>251</v>
      </c>
      <c r="I853" s="747" t="s">
        <v>251</v>
      </c>
      <c r="J853" s="747" t="s">
        <v>251</v>
      </c>
      <c r="K853" s="747">
        <v>0</v>
      </c>
      <c r="L853" s="747" t="s">
        <v>251</v>
      </c>
      <c r="M853" s="747" t="s">
        <v>251</v>
      </c>
      <c r="N853" s="747" t="s">
        <v>251</v>
      </c>
      <c r="O853" s="747" t="s">
        <v>251</v>
      </c>
      <c r="P853" s="1497">
        <f t="shared" si="72"/>
        <v>20200</v>
      </c>
      <c r="Q853" s="1140">
        <f t="shared" si="73"/>
        <v>20200</v>
      </c>
      <c r="R853" s="746"/>
      <c r="S853" s="747"/>
      <c r="T853" s="747"/>
      <c r="U853" s="747"/>
      <c r="V853" s="747"/>
      <c r="W853" s="747"/>
      <c r="X853" s="747"/>
      <c r="Y853" s="747"/>
      <c r="Z853" s="747"/>
      <c r="AA853" s="747"/>
      <c r="AB853" s="747"/>
      <c r="AC853" s="747"/>
      <c r="AD853" s="1140">
        <f t="shared" si="69"/>
        <v>0</v>
      </c>
      <c r="AE853" s="891">
        <f t="shared" si="70"/>
        <v>-1</v>
      </c>
      <c r="AF853" s="892">
        <f t="shared" si="71"/>
        <v>983</v>
      </c>
    </row>
    <row r="854" spans="1:32" x14ac:dyDescent="0.3">
      <c r="A854" s="303" t="s">
        <v>931</v>
      </c>
      <c r="B854" s="890" t="s">
        <v>1512</v>
      </c>
      <c r="C854" s="746"/>
      <c r="D854" s="747" t="s">
        <v>251</v>
      </c>
      <c r="E854" s="747"/>
      <c r="F854" s="747" t="s">
        <v>251</v>
      </c>
      <c r="G854" s="747" t="s">
        <v>251</v>
      </c>
      <c r="H854" s="747" t="s">
        <v>251</v>
      </c>
      <c r="I854" s="747" t="s">
        <v>251</v>
      </c>
      <c r="J854" s="747" t="s">
        <v>251</v>
      </c>
      <c r="K854" s="747"/>
      <c r="L854" s="747" t="s">
        <v>251</v>
      </c>
      <c r="M854" s="747" t="s">
        <v>251</v>
      </c>
      <c r="N854" s="747"/>
      <c r="O854" s="747">
        <v>197100</v>
      </c>
      <c r="P854" s="1497">
        <f t="shared" si="72"/>
        <v>0</v>
      </c>
      <c r="Q854" s="1140">
        <f t="shared" si="73"/>
        <v>197100</v>
      </c>
      <c r="R854" s="746"/>
      <c r="S854" s="747"/>
      <c r="T854" s="747"/>
      <c r="U854" s="747"/>
      <c r="V854" s="747"/>
      <c r="W854" s="747"/>
      <c r="X854" s="747"/>
      <c r="Y854" s="747"/>
      <c r="Z854" s="747"/>
      <c r="AA854" s="747"/>
      <c r="AB854" s="747"/>
      <c r="AC854" s="747"/>
      <c r="AD854" s="1140">
        <f t="shared" si="69"/>
        <v>0</v>
      </c>
      <c r="AE854" s="891">
        <f t="shared" si="70"/>
        <v>0</v>
      </c>
      <c r="AF854" s="892">
        <f t="shared" si="71"/>
        <v>983</v>
      </c>
    </row>
    <row r="855" spans="1:32" x14ac:dyDescent="0.3">
      <c r="A855" s="303" t="s">
        <v>931</v>
      </c>
      <c r="B855" s="890" t="s">
        <v>661</v>
      </c>
      <c r="C855" s="746"/>
      <c r="D855" s="747"/>
      <c r="E855" s="747"/>
      <c r="F855" s="747"/>
      <c r="G855" s="747"/>
      <c r="H855" s="747"/>
      <c r="I855" s="747"/>
      <c r="J855" s="747"/>
      <c r="K855" s="747"/>
      <c r="L855" s="747"/>
      <c r="M855" s="747"/>
      <c r="N855" s="747"/>
      <c r="O855" s="747"/>
      <c r="P855" s="1497">
        <f t="shared" si="72"/>
        <v>0</v>
      </c>
      <c r="Q855" s="1140">
        <f t="shared" si="73"/>
        <v>0</v>
      </c>
      <c r="R855" s="746"/>
      <c r="S855" s="747">
        <v>526500</v>
      </c>
      <c r="T855" s="747">
        <v>13750</v>
      </c>
      <c r="U855" s="747">
        <v>179000</v>
      </c>
      <c r="V855" s="747">
        <v>3884950</v>
      </c>
      <c r="W855" s="747">
        <v>2006350</v>
      </c>
      <c r="X855" s="747">
        <v>1823550</v>
      </c>
      <c r="Y855" s="747">
        <v>0</v>
      </c>
      <c r="Z855" s="747"/>
      <c r="AA855" s="747"/>
      <c r="AB855" s="747"/>
      <c r="AC855" s="747"/>
      <c r="AD855" s="1140">
        <f t="shared" si="69"/>
        <v>8434100</v>
      </c>
      <c r="AE855" s="891">
        <f t="shared" si="70"/>
        <v>1</v>
      </c>
      <c r="AF855" s="892">
        <f t="shared" si="71"/>
        <v>43</v>
      </c>
    </row>
    <row r="856" spans="1:32" x14ac:dyDescent="0.3">
      <c r="A856" s="303" t="s">
        <v>931</v>
      </c>
      <c r="B856" s="890" t="s">
        <v>2703</v>
      </c>
      <c r="C856" s="746"/>
      <c r="D856" s="747"/>
      <c r="E856" s="747"/>
      <c r="F856" s="747"/>
      <c r="G856" s="747"/>
      <c r="H856" s="747"/>
      <c r="I856" s="747"/>
      <c r="J856" s="747"/>
      <c r="K856" s="747"/>
      <c r="L856" s="747"/>
      <c r="M856" s="747"/>
      <c r="N856" s="747"/>
      <c r="O856" s="747"/>
      <c r="P856" s="1497">
        <f t="shared" si="72"/>
        <v>0</v>
      </c>
      <c r="Q856" s="1140">
        <f t="shared" si="73"/>
        <v>0</v>
      </c>
      <c r="R856" s="746"/>
      <c r="S856" s="747"/>
      <c r="T856" s="747"/>
      <c r="U856" s="747">
        <v>354000</v>
      </c>
      <c r="V856" s="747">
        <v>0</v>
      </c>
      <c r="W856" s="747">
        <v>1096500</v>
      </c>
      <c r="X856" s="747">
        <v>382000</v>
      </c>
      <c r="Y856" s="747">
        <v>364000</v>
      </c>
      <c r="Z856" s="747"/>
      <c r="AA856" s="747"/>
      <c r="AB856" s="747"/>
      <c r="AC856" s="747"/>
      <c r="AD856" s="1140">
        <f t="shared" si="69"/>
        <v>2196500</v>
      </c>
      <c r="AE856" s="891">
        <f t="shared" si="70"/>
        <v>1</v>
      </c>
      <c r="AF856" s="892">
        <f t="shared" si="71"/>
        <v>198</v>
      </c>
    </row>
    <row r="857" spans="1:32" x14ac:dyDescent="0.3">
      <c r="A857" s="303" t="s">
        <v>931</v>
      </c>
      <c r="B857" s="890" t="s">
        <v>2704</v>
      </c>
      <c r="C857" s="746"/>
      <c r="D857" s="747"/>
      <c r="E857" s="747"/>
      <c r="F857" s="747"/>
      <c r="G857" s="747"/>
      <c r="H857" s="747"/>
      <c r="I857" s="747"/>
      <c r="J857" s="747"/>
      <c r="K857" s="747"/>
      <c r="L857" s="747"/>
      <c r="M857" s="747"/>
      <c r="N857" s="747"/>
      <c r="O857" s="747"/>
      <c r="P857" s="1497">
        <f t="shared" si="72"/>
        <v>0</v>
      </c>
      <c r="Q857" s="1140">
        <f t="shared" si="73"/>
        <v>0</v>
      </c>
      <c r="R857" s="746"/>
      <c r="S857" s="747"/>
      <c r="T857" s="747"/>
      <c r="U857" s="747">
        <v>50000</v>
      </c>
      <c r="V857" s="747">
        <v>15000</v>
      </c>
      <c r="W857" s="747">
        <v>0</v>
      </c>
      <c r="X857" s="747">
        <v>0</v>
      </c>
      <c r="Y857" s="747">
        <v>0</v>
      </c>
      <c r="Z857" s="747"/>
      <c r="AA857" s="747"/>
      <c r="AB857" s="747"/>
      <c r="AC857" s="747"/>
      <c r="AD857" s="1140">
        <f t="shared" si="69"/>
        <v>65000</v>
      </c>
      <c r="AE857" s="891">
        <f t="shared" si="70"/>
        <v>1</v>
      </c>
      <c r="AF857" s="892">
        <f t="shared" si="71"/>
        <v>808</v>
      </c>
    </row>
    <row r="858" spans="1:32" x14ac:dyDescent="0.3">
      <c r="A858" s="303" t="s">
        <v>931</v>
      </c>
      <c r="B858" s="890" t="s">
        <v>2784</v>
      </c>
      <c r="C858" s="746"/>
      <c r="D858" s="747"/>
      <c r="E858" s="747"/>
      <c r="F858" s="747"/>
      <c r="G858" s="747"/>
      <c r="H858" s="747"/>
      <c r="I858" s="747"/>
      <c r="J858" s="747"/>
      <c r="K858" s="747"/>
      <c r="L858" s="747"/>
      <c r="M858" s="747"/>
      <c r="N858" s="747"/>
      <c r="O858" s="747"/>
      <c r="P858" s="1497">
        <f t="shared" si="72"/>
        <v>0</v>
      </c>
      <c r="Q858" s="1140">
        <f t="shared" si="73"/>
        <v>0</v>
      </c>
      <c r="R858" s="746"/>
      <c r="S858" s="747"/>
      <c r="T858" s="747"/>
      <c r="U858" s="747"/>
      <c r="V858" s="747">
        <v>853500</v>
      </c>
      <c r="W858" s="747">
        <v>332100</v>
      </c>
      <c r="X858" s="747">
        <v>46500</v>
      </c>
      <c r="Y858" s="747">
        <v>0</v>
      </c>
      <c r="Z858" s="747"/>
      <c r="AA858" s="747"/>
      <c r="AB858" s="747"/>
      <c r="AC858" s="747"/>
      <c r="AD858" s="1140">
        <f t="shared" si="69"/>
        <v>1232100</v>
      </c>
      <c r="AE858" s="891">
        <f t="shared" si="70"/>
        <v>1</v>
      </c>
      <c r="AF858" s="892">
        <f t="shared" si="71"/>
        <v>277</v>
      </c>
    </row>
    <row r="859" spans="1:32" x14ac:dyDescent="0.3">
      <c r="A859" s="303" t="s">
        <v>2439</v>
      </c>
      <c r="B859" s="890" t="s">
        <v>719</v>
      </c>
      <c r="C859" s="746"/>
      <c r="D859" s="747"/>
      <c r="E859" s="747"/>
      <c r="F859" s="747"/>
      <c r="G859" s="747"/>
      <c r="H859" s="747"/>
      <c r="I859" s="747"/>
      <c r="J859" s="747"/>
      <c r="K859" s="747"/>
      <c r="L859" s="747"/>
      <c r="M859" s="747"/>
      <c r="N859" s="747"/>
      <c r="O859" s="747"/>
      <c r="P859" s="1497">
        <f t="shared" si="72"/>
        <v>0</v>
      </c>
      <c r="Q859" s="1140">
        <f t="shared" si="73"/>
        <v>0</v>
      </c>
      <c r="R859" s="746"/>
      <c r="S859" s="747"/>
      <c r="T859" s="747"/>
      <c r="U859" s="747"/>
      <c r="V859" s="747">
        <v>323100</v>
      </c>
      <c r="W859" s="747">
        <v>97500</v>
      </c>
      <c r="X859" s="747">
        <v>0</v>
      </c>
      <c r="Y859" s="747">
        <v>0</v>
      </c>
      <c r="Z859" s="747"/>
      <c r="AA859" s="747"/>
      <c r="AB859" s="747"/>
      <c r="AC859" s="747"/>
      <c r="AD859" s="1140">
        <f t="shared" si="69"/>
        <v>420600</v>
      </c>
      <c r="AE859" s="891">
        <f t="shared" si="70"/>
        <v>1</v>
      </c>
      <c r="AF859" s="892">
        <f t="shared" si="71"/>
        <v>474</v>
      </c>
    </row>
    <row r="860" spans="1:32" x14ac:dyDescent="0.3">
      <c r="A860" s="303" t="s">
        <v>931</v>
      </c>
      <c r="B860" s="890" t="s">
        <v>2813</v>
      </c>
      <c r="C860" s="746"/>
      <c r="D860" s="747"/>
      <c r="E860" s="747"/>
      <c r="F860" s="747"/>
      <c r="G860" s="747"/>
      <c r="H860" s="747"/>
      <c r="I860" s="747"/>
      <c r="J860" s="747"/>
      <c r="K860" s="747"/>
      <c r="L860" s="747"/>
      <c r="M860" s="747"/>
      <c r="N860" s="747"/>
      <c r="O860" s="747"/>
      <c r="P860" s="1497">
        <f t="shared" si="72"/>
        <v>0</v>
      </c>
      <c r="Q860" s="1140">
        <f t="shared" si="73"/>
        <v>0</v>
      </c>
      <c r="R860" s="746"/>
      <c r="S860" s="747"/>
      <c r="T860" s="747"/>
      <c r="U860" s="747"/>
      <c r="V860" s="747">
        <v>297300</v>
      </c>
      <c r="W860" s="747">
        <v>0</v>
      </c>
      <c r="X860" s="747">
        <v>0</v>
      </c>
      <c r="Y860" s="747">
        <v>0</v>
      </c>
      <c r="Z860" s="747"/>
      <c r="AA860" s="747"/>
      <c r="AB860" s="747"/>
      <c r="AC860" s="747"/>
      <c r="AD860" s="1140">
        <f t="shared" si="69"/>
        <v>297300</v>
      </c>
      <c r="AE860" s="891">
        <f t="shared" si="70"/>
        <v>1</v>
      </c>
      <c r="AF860" s="892">
        <f t="shared" si="71"/>
        <v>535</v>
      </c>
    </row>
    <row r="861" spans="1:32" x14ac:dyDescent="0.3">
      <c r="A861" s="303" t="s">
        <v>931</v>
      </c>
      <c r="B861" s="890" t="s">
        <v>828</v>
      </c>
      <c r="C861" s="746"/>
      <c r="D861" s="747"/>
      <c r="E861" s="747"/>
      <c r="F861" s="747"/>
      <c r="G861" s="747"/>
      <c r="H861" s="747"/>
      <c r="I861" s="747"/>
      <c r="J861" s="747"/>
      <c r="K861" s="747"/>
      <c r="L861" s="747"/>
      <c r="M861" s="747"/>
      <c r="N861" s="747"/>
      <c r="O861" s="747"/>
      <c r="P861" s="1497">
        <f t="shared" si="72"/>
        <v>0</v>
      </c>
      <c r="Q861" s="1140">
        <f t="shared" si="73"/>
        <v>0</v>
      </c>
      <c r="R861" s="746"/>
      <c r="S861" s="747"/>
      <c r="T861" s="747"/>
      <c r="U861" s="747"/>
      <c r="V861" s="747"/>
      <c r="W861" s="747">
        <v>138500</v>
      </c>
      <c r="X861" s="747">
        <v>0</v>
      </c>
      <c r="Y861" s="747">
        <v>0</v>
      </c>
      <c r="Z861" s="747"/>
      <c r="AA861" s="747"/>
      <c r="AB861" s="747"/>
      <c r="AC861" s="747"/>
      <c r="AD861" s="1140">
        <f t="shared" si="69"/>
        <v>138500</v>
      </c>
      <c r="AE861" s="891">
        <f t="shared" si="70"/>
        <v>1</v>
      </c>
      <c r="AF861" s="892">
        <f t="shared" si="71"/>
        <v>686</v>
      </c>
    </row>
    <row r="862" spans="1:32" x14ac:dyDescent="0.3">
      <c r="A862" s="303" t="s">
        <v>931</v>
      </c>
      <c r="B862" s="890" t="s">
        <v>2226</v>
      </c>
      <c r="C862" s="746"/>
      <c r="D862" s="747"/>
      <c r="E862" s="747"/>
      <c r="F862" s="747"/>
      <c r="G862" s="747"/>
      <c r="H862" s="747"/>
      <c r="I862" s="747"/>
      <c r="J862" s="747"/>
      <c r="K862" s="747"/>
      <c r="L862" s="747"/>
      <c r="M862" s="747"/>
      <c r="N862" s="747"/>
      <c r="O862" s="747"/>
      <c r="P862" s="1497">
        <f t="shared" si="72"/>
        <v>0</v>
      </c>
      <c r="Q862" s="1140">
        <f t="shared" si="73"/>
        <v>0</v>
      </c>
      <c r="R862" s="746"/>
      <c r="S862" s="747"/>
      <c r="T862" s="747"/>
      <c r="U862" s="747"/>
      <c r="V862" s="747"/>
      <c r="W862" s="747">
        <v>179000</v>
      </c>
      <c r="X862" s="747">
        <v>0</v>
      </c>
      <c r="Y862" s="747">
        <v>0</v>
      </c>
      <c r="Z862" s="747"/>
      <c r="AA862" s="747"/>
      <c r="AB862" s="747"/>
      <c r="AC862" s="747"/>
      <c r="AD862" s="1140">
        <f t="shared" si="69"/>
        <v>179000</v>
      </c>
      <c r="AE862" s="891">
        <f t="shared" si="70"/>
        <v>1</v>
      </c>
      <c r="AF862" s="892">
        <f t="shared" si="71"/>
        <v>639</v>
      </c>
    </row>
    <row r="863" spans="1:32" ht="15.75" customHeight="1" x14ac:dyDescent="0.3">
      <c r="A863" s="305" t="s">
        <v>1314</v>
      </c>
      <c r="B863" s="895" t="s">
        <v>1315</v>
      </c>
      <c r="C863" s="748">
        <v>1389900</v>
      </c>
      <c r="D863" s="749">
        <v>125000</v>
      </c>
      <c r="E863" s="749">
        <v>821200</v>
      </c>
      <c r="F863" s="749">
        <v>1380750</v>
      </c>
      <c r="G863" s="749">
        <v>17000</v>
      </c>
      <c r="H863" s="749">
        <v>0</v>
      </c>
      <c r="I863" s="749">
        <v>0</v>
      </c>
      <c r="J863" s="749">
        <v>0</v>
      </c>
      <c r="K863" s="749">
        <v>0</v>
      </c>
      <c r="L863" s="749">
        <v>0</v>
      </c>
      <c r="M863" s="749">
        <v>0</v>
      </c>
      <c r="N863" s="749">
        <v>0</v>
      </c>
      <c r="O863" s="749" t="s">
        <v>251</v>
      </c>
      <c r="P863" s="1497">
        <f t="shared" si="72"/>
        <v>3733850</v>
      </c>
      <c r="Q863" s="1141">
        <f t="shared" si="73"/>
        <v>3733850</v>
      </c>
      <c r="R863" s="748"/>
      <c r="S863" s="749"/>
      <c r="T863" s="749"/>
      <c r="U863" s="749"/>
      <c r="V863" s="749"/>
      <c r="W863" s="749"/>
      <c r="X863" s="749"/>
      <c r="Y863" s="749"/>
      <c r="Z863" s="749"/>
      <c r="AA863" s="749"/>
      <c r="AB863" s="749"/>
      <c r="AC863" s="749"/>
      <c r="AD863" s="1141">
        <f t="shared" si="69"/>
        <v>0</v>
      </c>
      <c r="AE863" s="896">
        <f t="shared" si="70"/>
        <v>-1</v>
      </c>
      <c r="AF863" s="897">
        <f t="shared" si="71"/>
        <v>983</v>
      </c>
    </row>
    <row r="864" spans="1:32" x14ac:dyDescent="0.3">
      <c r="A864" s="305" t="s">
        <v>1314</v>
      </c>
      <c r="B864" s="895" t="s">
        <v>1316</v>
      </c>
      <c r="C864" s="748"/>
      <c r="D864" s="749">
        <v>0</v>
      </c>
      <c r="E864" s="749"/>
      <c r="F864" s="749">
        <v>0</v>
      </c>
      <c r="G864" s="749">
        <v>2386600</v>
      </c>
      <c r="H864" s="749">
        <v>2382700</v>
      </c>
      <c r="I864" s="749">
        <v>433200</v>
      </c>
      <c r="J864" s="749">
        <v>41000</v>
      </c>
      <c r="K864" s="749">
        <v>41000</v>
      </c>
      <c r="L864" s="749">
        <v>210600</v>
      </c>
      <c r="M864" s="749">
        <v>0</v>
      </c>
      <c r="N864" s="749">
        <v>262650</v>
      </c>
      <c r="O864" s="749">
        <v>506200</v>
      </c>
      <c r="P864" s="1497">
        <f t="shared" si="72"/>
        <v>5243500</v>
      </c>
      <c r="Q864" s="1141">
        <f t="shared" si="73"/>
        <v>6222950</v>
      </c>
      <c r="R864" s="748">
        <v>14200</v>
      </c>
      <c r="S864" s="749"/>
      <c r="T864" s="749">
        <v>76400</v>
      </c>
      <c r="U864" s="749">
        <v>3711400</v>
      </c>
      <c r="V864" s="749">
        <v>276000</v>
      </c>
      <c r="W864" s="749">
        <v>48900</v>
      </c>
      <c r="X864" s="749">
        <v>0</v>
      </c>
      <c r="Y864" s="749">
        <v>0</v>
      </c>
      <c r="Z864" s="749"/>
      <c r="AA864" s="749"/>
      <c r="AB864" s="749"/>
      <c r="AC864" s="749"/>
      <c r="AD864" s="1141">
        <f t="shared" si="69"/>
        <v>4126900</v>
      </c>
      <c r="AE864" s="896">
        <f t="shared" si="70"/>
        <v>-0.21294936588156765</v>
      </c>
      <c r="AF864" s="897">
        <f t="shared" si="71"/>
        <v>109</v>
      </c>
    </row>
    <row r="865" spans="1:32" x14ac:dyDescent="0.3">
      <c r="A865" s="305" t="s">
        <v>1314</v>
      </c>
      <c r="B865" s="895" t="s">
        <v>1317</v>
      </c>
      <c r="C865" s="748"/>
      <c r="D865" s="749">
        <v>0</v>
      </c>
      <c r="E865" s="749"/>
      <c r="F865" s="749">
        <v>1555400</v>
      </c>
      <c r="G865" s="749">
        <v>255500</v>
      </c>
      <c r="H865" s="749">
        <v>0</v>
      </c>
      <c r="I865" s="749">
        <v>0</v>
      </c>
      <c r="J865" s="749">
        <v>0</v>
      </c>
      <c r="K865" s="749">
        <v>0</v>
      </c>
      <c r="L865" s="749">
        <v>0</v>
      </c>
      <c r="M865" s="749">
        <v>0</v>
      </c>
      <c r="N865" s="749">
        <v>497800</v>
      </c>
      <c r="O865" s="749" t="s">
        <v>251</v>
      </c>
      <c r="P865" s="1497">
        <f t="shared" si="72"/>
        <v>1810900</v>
      </c>
      <c r="Q865" s="1141">
        <f t="shared" si="73"/>
        <v>2308700</v>
      </c>
      <c r="R865" s="748"/>
      <c r="S865" s="749"/>
      <c r="T865" s="749"/>
      <c r="U865" s="749"/>
      <c r="V865" s="749"/>
      <c r="W865" s="749"/>
      <c r="X865" s="749"/>
      <c r="Y865" s="749"/>
      <c r="Z865" s="749"/>
      <c r="AA865" s="749"/>
      <c r="AB865" s="749"/>
      <c r="AC865" s="749"/>
      <c r="AD865" s="1141">
        <f t="shared" si="69"/>
        <v>0</v>
      </c>
      <c r="AE865" s="896">
        <f t="shared" si="70"/>
        <v>-1</v>
      </c>
      <c r="AF865" s="897">
        <f t="shared" si="71"/>
        <v>983</v>
      </c>
    </row>
    <row r="866" spans="1:32" x14ac:dyDescent="0.3">
      <c r="A866" s="305" t="s">
        <v>1314</v>
      </c>
      <c r="B866" s="895" t="s">
        <v>1297</v>
      </c>
      <c r="C866" s="748">
        <v>1597000</v>
      </c>
      <c r="D866" s="749">
        <v>0</v>
      </c>
      <c r="E866" s="749"/>
      <c r="F866" s="749">
        <v>0</v>
      </c>
      <c r="G866" s="749">
        <v>0</v>
      </c>
      <c r="H866" s="749">
        <v>642400</v>
      </c>
      <c r="I866" s="749">
        <v>1790600</v>
      </c>
      <c r="J866" s="749">
        <v>65000</v>
      </c>
      <c r="K866" s="749">
        <v>65000</v>
      </c>
      <c r="L866" s="749">
        <v>0</v>
      </c>
      <c r="M866" s="749">
        <v>0</v>
      </c>
      <c r="N866" s="749">
        <v>0</v>
      </c>
      <c r="O866" s="749">
        <v>390600</v>
      </c>
      <c r="P866" s="1497">
        <f t="shared" si="72"/>
        <v>4095000</v>
      </c>
      <c r="Q866" s="1141">
        <f t="shared" si="73"/>
        <v>4485600</v>
      </c>
      <c r="R866" s="748">
        <v>262400</v>
      </c>
      <c r="S866" s="749"/>
      <c r="T866" s="749">
        <v>0</v>
      </c>
      <c r="U866" s="749">
        <v>0</v>
      </c>
      <c r="V866" s="749">
        <v>0</v>
      </c>
      <c r="W866" s="749">
        <v>0</v>
      </c>
      <c r="X866" s="749">
        <v>0</v>
      </c>
      <c r="Y866" s="749">
        <v>234800</v>
      </c>
      <c r="Z866" s="749"/>
      <c r="AA866" s="749"/>
      <c r="AB866" s="749"/>
      <c r="AC866" s="749"/>
      <c r="AD866" s="1141">
        <f t="shared" si="69"/>
        <v>497200</v>
      </c>
      <c r="AE866" s="896">
        <f t="shared" si="70"/>
        <v>-0.87858363858363864</v>
      </c>
      <c r="AF866" s="897">
        <f t="shared" si="71"/>
        <v>442</v>
      </c>
    </row>
    <row r="867" spans="1:32" x14ac:dyDescent="0.3">
      <c r="A867" s="305" t="s">
        <v>1314</v>
      </c>
      <c r="B867" s="895" t="s">
        <v>444</v>
      </c>
      <c r="C867" s="748">
        <v>1031450</v>
      </c>
      <c r="D867" s="749">
        <v>82000</v>
      </c>
      <c r="E867" s="749"/>
      <c r="F867" s="749">
        <v>0</v>
      </c>
      <c r="G867" s="749">
        <v>31000</v>
      </c>
      <c r="H867" s="749">
        <v>962700</v>
      </c>
      <c r="I867" s="749">
        <v>274600</v>
      </c>
      <c r="J867" s="749">
        <v>0</v>
      </c>
      <c r="K867" s="749">
        <v>0</v>
      </c>
      <c r="L867" s="749">
        <v>0</v>
      </c>
      <c r="M867" s="749">
        <v>0</v>
      </c>
      <c r="N867" s="749">
        <v>0</v>
      </c>
      <c r="O867" s="749">
        <v>985200</v>
      </c>
      <c r="P867" s="1497">
        <f t="shared" si="72"/>
        <v>2381750</v>
      </c>
      <c r="Q867" s="1141">
        <f t="shared" si="73"/>
        <v>3366950</v>
      </c>
      <c r="R867" s="748">
        <v>955100</v>
      </c>
      <c r="S867" s="749">
        <v>156000</v>
      </c>
      <c r="T867" s="749">
        <v>0</v>
      </c>
      <c r="U867" s="749">
        <v>0</v>
      </c>
      <c r="V867" s="749">
        <v>0</v>
      </c>
      <c r="W867" s="749">
        <v>0</v>
      </c>
      <c r="X867" s="749">
        <v>0</v>
      </c>
      <c r="Y867" s="749">
        <v>0</v>
      </c>
      <c r="Z867" s="749"/>
      <c r="AA867" s="749"/>
      <c r="AB867" s="749"/>
      <c r="AC867" s="749"/>
      <c r="AD867" s="1141">
        <f t="shared" si="69"/>
        <v>1111100</v>
      </c>
      <c r="AE867" s="896">
        <f t="shared" si="70"/>
        <v>-0.53349427941639549</v>
      </c>
      <c r="AF867" s="897">
        <f t="shared" si="71"/>
        <v>299</v>
      </c>
    </row>
    <row r="868" spans="1:32" x14ac:dyDescent="0.3">
      <c r="A868" s="305" t="s">
        <v>1314</v>
      </c>
      <c r="B868" s="895" t="s">
        <v>1318</v>
      </c>
      <c r="C868" s="748">
        <v>833500</v>
      </c>
      <c r="D868" s="749">
        <v>0</v>
      </c>
      <c r="E868" s="749"/>
      <c r="F868" s="749">
        <v>0</v>
      </c>
      <c r="G868" s="749">
        <v>0</v>
      </c>
      <c r="H868" s="749">
        <v>367300</v>
      </c>
      <c r="I868" s="749">
        <v>403600</v>
      </c>
      <c r="J868" s="749">
        <v>617900</v>
      </c>
      <c r="K868" s="749">
        <v>588900</v>
      </c>
      <c r="L868" s="749">
        <v>29000</v>
      </c>
      <c r="M868" s="749">
        <v>0</v>
      </c>
      <c r="N868" s="749">
        <v>0</v>
      </c>
      <c r="O868" s="749">
        <v>28900</v>
      </c>
      <c r="P868" s="1497">
        <f t="shared" si="72"/>
        <v>2193300</v>
      </c>
      <c r="Q868" s="1141">
        <f t="shared" si="73"/>
        <v>2280200</v>
      </c>
      <c r="R868" s="748">
        <v>898800</v>
      </c>
      <c r="S868" s="749">
        <v>19000</v>
      </c>
      <c r="T868" s="749">
        <v>1058300</v>
      </c>
      <c r="U868" s="749">
        <v>0</v>
      </c>
      <c r="V868" s="749">
        <v>0</v>
      </c>
      <c r="W868" s="749">
        <v>0</v>
      </c>
      <c r="X868" s="749">
        <v>0</v>
      </c>
      <c r="Y868" s="749">
        <v>0</v>
      </c>
      <c r="Z868" s="749"/>
      <c r="AA868" s="749"/>
      <c r="AB868" s="749"/>
      <c r="AC868" s="749"/>
      <c r="AD868" s="1141">
        <f t="shared" si="69"/>
        <v>1976100</v>
      </c>
      <c r="AE868" s="896">
        <f t="shared" si="70"/>
        <v>-9.9028860620982082E-2</v>
      </c>
      <c r="AF868" s="897">
        <f t="shared" si="71"/>
        <v>213</v>
      </c>
    </row>
    <row r="869" spans="1:32" x14ac:dyDescent="0.3">
      <c r="A869" s="305" t="s">
        <v>1314</v>
      </c>
      <c r="B869" s="895" t="s">
        <v>1319</v>
      </c>
      <c r="C869" s="748"/>
      <c r="D869" s="749">
        <v>0</v>
      </c>
      <c r="E869" s="749"/>
      <c r="F869" s="749">
        <v>500800</v>
      </c>
      <c r="G869" s="749">
        <v>197700</v>
      </c>
      <c r="H869" s="749">
        <v>235900</v>
      </c>
      <c r="I869" s="749">
        <v>0</v>
      </c>
      <c r="J869" s="749">
        <v>0</v>
      </c>
      <c r="K869" s="749">
        <v>0</v>
      </c>
      <c r="L869" s="749">
        <v>34500</v>
      </c>
      <c r="M869" s="749">
        <v>17250</v>
      </c>
      <c r="N869" s="749">
        <v>0</v>
      </c>
      <c r="O869" s="749" t="s">
        <v>251</v>
      </c>
      <c r="P869" s="1497">
        <f t="shared" si="72"/>
        <v>934400</v>
      </c>
      <c r="Q869" s="1141">
        <f t="shared" si="73"/>
        <v>986150</v>
      </c>
      <c r="R869" s="748"/>
      <c r="S869" s="749"/>
      <c r="T869" s="749"/>
      <c r="U869" s="749"/>
      <c r="V869" s="749"/>
      <c r="W869" s="749"/>
      <c r="X869" s="749"/>
      <c r="Y869" s="749"/>
      <c r="Z869" s="749"/>
      <c r="AA869" s="749"/>
      <c r="AB869" s="749"/>
      <c r="AC869" s="749"/>
      <c r="AD869" s="1141">
        <f t="shared" si="69"/>
        <v>0</v>
      </c>
      <c r="AE869" s="896">
        <f t="shared" si="70"/>
        <v>-1</v>
      </c>
      <c r="AF869" s="897">
        <f t="shared" si="71"/>
        <v>983</v>
      </c>
    </row>
    <row r="870" spans="1:32" x14ac:dyDescent="0.3">
      <c r="A870" s="305" t="s">
        <v>1314</v>
      </c>
      <c r="B870" s="895" t="s">
        <v>1279</v>
      </c>
      <c r="C870" s="748"/>
      <c r="D870" s="749">
        <v>0</v>
      </c>
      <c r="E870" s="749">
        <v>680800</v>
      </c>
      <c r="F870" s="749">
        <v>0</v>
      </c>
      <c r="G870" s="749">
        <v>0</v>
      </c>
      <c r="H870" s="749">
        <v>0</v>
      </c>
      <c r="I870" s="749">
        <v>0</v>
      </c>
      <c r="J870" s="749">
        <v>0</v>
      </c>
      <c r="K870" s="749">
        <v>0</v>
      </c>
      <c r="L870" s="749">
        <v>0</v>
      </c>
      <c r="M870" s="749">
        <v>0</v>
      </c>
      <c r="N870" s="749">
        <v>0</v>
      </c>
      <c r="O870" s="749" t="s">
        <v>251</v>
      </c>
      <c r="P870" s="1497">
        <f t="shared" si="72"/>
        <v>680800</v>
      </c>
      <c r="Q870" s="1141">
        <f t="shared" si="73"/>
        <v>680800</v>
      </c>
      <c r="R870" s="748"/>
      <c r="S870" s="749"/>
      <c r="T870" s="749"/>
      <c r="U870" s="749"/>
      <c r="V870" s="749"/>
      <c r="W870" s="749"/>
      <c r="X870" s="749"/>
      <c r="Y870" s="749"/>
      <c r="Z870" s="749"/>
      <c r="AA870" s="749"/>
      <c r="AB870" s="749"/>
      <c r="AC870" s="749"/>
      <c r="AD870" s="1141">
        <f t="shared" si="69"/>
        <v>0</v>
      </c>
      <c r="AE870" s="896">
        <f t="shared" si="70"/>
        <v>-1</v>
      </c>
      <c r="AF870" s="897">
        <f t="shared" si="71"/>
        <v>983</v>
      </c>
    </row>
    <row r="871" spans="1:32" x14ac:dyDescent="0.3">
      <c r="A871" s="305" t="s">
        <v>1314</v>
      </c>
      <c r="B871" s="895" t="s">
        <v>1320</v>
      </c>
      <c r="C871" s="748"/>
      <c r="D871" s="749">
        <v>0</v>
      </c>
      <c r="E871" s="749"/>
      <c r="F871" s="749">
        <v>0</v>
      </c>
      <c r="G871" s="749">
        <v>668800</v>
      </c>
      <c r="H871" s="749">
        <v>0</v>
      </c>
      <c r="I871" s="749">
        <v>0</v>
      </c>
      <c r="J871" s="749">
        <v>0</v>
      </c>
      <c r="K871" s="749">
        <v>0</v>
      </c>
      <c r="L871" s="749">
        <v>0</v>
      </c>
      <c r="M871" s="749">
        <v>0</v>
      </c>
      <c r="N871" s="749">
        <v>580200</v>
      </c>
      <c r="O871" s="749" t="s">
        <v>251</v>
      </c>
      <c r="P871" s="1497">
        <f t="shared" si="72"/>
        <v>668800</v>
      </c>
      <c r="Q871" s="1141">
        <f t="shared" si="73"/>
        <v>1249000</v>
      </c>
      <c r="R871" s="748"/>
      <c r="S871" s="749"/>
      <c r="T871" s="749"/>
      <c r="U871" s="749"/>
      <c r="V871" s="749"/>
      <c r="W871" s="749"/>
      <c r="X871" s="749"/>
      <c r="Y871" s="749"/>
      <c r="Z871" s="749"/>
      <c r="AA871" s="749"/>
      <c r="AB871" s="749"/>
      <c r="AC871" s="749"/>
      <c r="AD871" s="1141">
        <f t="shared" si="69"/>
        <v>0</v>
      </c>
      <c r="AE871" s="896">
        <f t="shared" si="70"/>
        <v>-1</v>
      </c>
      <c r="AF871" s="897">
        <f t="shared" si="71"/>
        <v>983</v>
      </c>
    </row>
    <row r="872" spans="1:32" x14ac:dyDescent="0.3">
      <c r="A872" s="305" t="s">
        <v>1314</v>
      </c>
      <c r="B872" s="895" t="s">
        <v>883</v>
      </c>
      <c r="C872" s="748">
        <v>217600</v>
      </c>
      <c r="D872" s="749">
        <v>62000</v>
      </c>
      <c r="E872" s="749">
        <v>13400</v>
      </c>
      <c r="F872" s="749">
        <v>24000</v>
      </c>
      <c r="G872" s="749">
        <v>0</v>
      </c>
      <c r="H872" s="749">
        <v>578800</v>
      </c>
      <c r="I872" s="749">
        <v>1626700</v>
      </c>
      <c r="J872" s="749">
        <v>420700</v>
      </c>
      <c r="K872" s="749">
        <v>420700</v>
      </c>
      <c r="L872" s="749">
        <v>23900</v>
      </c>
      <c r="M872" s="749">
        <v>40000</v>
      </c>
      <c r="N872" s="749">
        <v>127700</v>
      </c>
      <c r="O872" s="749">
        <v>473800</v>
      </c>
      <c r="P872" s="1497">
        <f t="shared" si="72"/>
        <v>2943200</v>
      </c>
      <c r="Q872" s="1141">
        <f t="shared" si="73"/>
        <v>3608600</v>
      </c>
      <c r="R872" s="748">
        <v>503600</v>
      </c>
      <c r="S872" s="749">
        <v>43000</v>
      </c>
      <c r="T872" s="749">
        <v>0</v>
      </c>
      <c r="U872" s="749">
        <v>45000</v>
      </c>
      <c r="V872" s="749">
        <v>0</v>
      </c>
      <c r="W872" s="749">
        <v>0</v>
      </c>
      <c r="X872" s="749">
        <v>0</v>
      </c>
      <c r="Y872" s="749">
        <v>0</v>
      </c>
      <c r="Z872" s="749"/>
      <c r="AA872" s="749"/>
      <c r="AB872" s="749"/>
      <c r="AC872" s="749"/>
      <c r="AD872" s="1141">
        <f t="shared" si="69"/>
        <v>591600</v>
      </c>
      <c r="AE872" s="896">
        <f t="shared" si="70"/>
        <v>-0.7989942919271541</v>
      </c>
      <c r="AF872" s="897">
        <f t="shared" si="71"/>
        <v>408</v>
      </c>
    </row>
    <row r="873" spans="1:32" x14ac:dyDescent="0.3">
      <c r="A873" s="305" t="s">
        <v>1314</v>
      </c>
      <c r="B873" s="895" t="s">
        <v>1321</v>
      </c>
      <c r="C873" s="748"/>
      <c r="D873" s="749">
        <v>0</v>
      </c>
      <c r="E873" s="749">
        <v>177800</v>
      </c>
      <c r="F873" s="749">
        <v>0</v>
      </c>
      <c r="G873" s="749">
        <v>0</v>
      </c>
      <c r="H873" s="749">
        <v>0</v>
      </c>
      <c r="I873" s="749">
        <v>224500</v>
      </c>
      <c r="J873" s="749">
        <v>0</v>
      </c>
      <c r="K873" s="749">
        <v>0</v>
      </c>
      <c r="L873" s="749">
        <v>0</v>
      </c>
      <c r="M873" s="749">
        <v>0</v>
      </c>
      <c r="N873" s="749">
        <v>759900</v>
      </c>
      <c r="O873" s="749" t="s">
        <v>251</v>
      </c>
      <c r="P873" s="1497">
        <f t="shared" si="72"/>
        <v>402300</v>
      </c>
      <c r="Q873" s="1141">
        <f t="shared" si="73"/>
        <v>1162200</v>
      </c>
      <c r="R873" s="748"/>
      <c r="S873" s="749"/>
      <c r="T873" s="749"/>
      <c r="U873" s="749"/>
      <c r="V873" s="749"/>
      <c r="W873" s="749"/>
      <c r="X873" s="749"/>
      <c r="Y873" s="749"/>
      <c r="Z873" s="749"/>
      <c r="AA873" s="749"/>
      <c r="AB873" s="749"/>
      <c r="AC873" s="749"/>
      <c r="AD873" s="1141">
        <f t="shared" si="69"/>
        <v>0</v>
      </c>
      <c r="AE873" s="896">
        <f t="shared" si="70"/>
        <v>-1</v>
      </c>
      <c r="AF873" s="897">
        <f t="shared" si="71"/>
        <v>983</v>
      </c>
    </row>
    <row r="874" spans="1:32" x14ac:dyDescent="0.3">
      <c r="A874" s="305" t="s">
        <v>1314</v>
      </c>
      <c r="B874" s="895" t="s">
        <v>1042</v>
      </c>
      <c r="C874" s="748">
        <v>93700</v>
      </c>
      <c r="D874" s="749">
        <v>0</v>
      </c>
      <c r="E874" s="749"/>
      <c r="F874" s="749">
        <v>0</v>
      </c>
      <c r="G874" s="749">
        <v>0</v>
      </c>
      <c r="H874" s="749">
        <v>0</v>
      </c>
      <c r="I874" s="749">
        <v>0</v>
      </c>
      <c r="J874" s="749">
        <v>0</v>
      </c>
      <c r="K874" s="749">
        <v>0</v>
      </c>
      <c r="L874" s="749">
        <v>0</v>
      </c>
      <c r="M874" s="749">
        <v>0</v>
      </c>
      <c r="N874" s="749">
        <v>0</v>
      </c>
      <c r="O874" s="749">
        <v>168100</v>
      </c>
      <c r="P874" s="1497">
        <f t="shared" si="72"/>
        <v>93700</v>
      </c>
      <c r="Q874" s="1141">
        <f t="shared" si="73"/>
        <v>261800</v>
      </c>
      <c r="R874" s="748">
        <v>194600</v>
      </c>
      <c r="S874" s="749"/>
      <c r="T874" s="749">
        <v>0</v>
      </c>
      <c r="U874" s="749">
        <v>0</v>
      </c>
      <c r="V874" s="749">
        <v>0</v>
      </c>
      <c r="W874" s="749">
        <v>0</v>
      </c>
      <c r="X874" s="749">
        <v>0</v>
      </c>
      <c r="Y874" s="749">
        <v>0</v>
      </c>
      <c r="Z874" s="749"/>
      <c r="AA874" s="749"/>
      <c r="AB874" s="749"/>
      <c r="AC874" s="749"/>
      <c r="AD874" s="1141">
        <f t="shared" si="69"/>
        <v>194600</v>
      </c>
      <c r="AE874" s="896">
        <f t="shared" si="70"/>
        <v>1.0768409818569904</v>
      </c>
      <c r="AF874" s="897">
        <f t="shared" si="71"/>
        <v>618</v>
      </c>
    </row>
    <row r="875" spans="1:32" x14ac:dyDescent="0.3">
      <c r="A875" s="305" t="s">
        <v>1314</v>
      </c>
      <c r="B875" s="895" t="s">
        <v>1298</v>
      </c>
      <c r="C875" s="748">
        <v>54200</v>
      </c>
      <c r="D875" s="749">
        <v>17250</v>
      </c>
      <c r="E875" s="749"/>
      <c r="F875" s="749">
        <v>0</v>
      </c>
      <c r="G875" s="749">
        <v>0</v>
      </c>
      <c r="H875" s="749">
        <v>0</v>
      </c>
      <c r="I875" s="749">
        <v>0</v>
      </c>
      <c r="J875" s="749">
        <v>0</v>
      </c>
      <c r="K875" s="749">
        <v>0</v>
      </c>
      <c r="L875" s="749">
        <v>0</v>
      </c>
      <c r="M875" s="749">
        <v>0</v>
      </c>
      <c r="N875" s="749">
        <v>0</v>
      </c>
      <c r="O875" s="749" t="s">
        <v>251</v>
      </c>
      <c r="P875" s="1497">
        <f t="shared" si="72"/>
        <v>71450</v>
      </c>
      <c r="Q875" s="1141">
        <f t="shared" si="73"/>
        <v>71450</v>
      </c>
      <c r="R875" s="748"/>
      <c r="S875" s="749"/>
      <c r="T875" s="749"/>
      <c r="U875" s="749"/>
      <c r="V875" s="749"/>
      <c r="W875" s="749"/>
      <c r="X875" s="749"/>
      <c r="Y875" s="749"/>
      <c r="Z875" s="749"/>
      <c r="AA875" s="749"/>
      <c r="AB875" s="749"/>
      <c r="AC875" s="749"/>
      <c r="AD875" s="1141">
        <f t="shared" ref="AD875:AD947" si="74">SUM(R875:AC875)</f>
        <v>0</v>
      </c>
      <c r="AE875" s="896">
        <f t="shared" ref="AE875:AE947" si="75">IF(OR(AD875="", P875=""), 0, IFERROR((AD875-P875)/P875, IF(AD875&lt;&gt;0, 1, 0)))</f>
        <v>-1</v>
      </c>
      <c r="AF875" s="897">
        <f t="shared" si="71"/>
        <v>983</v>
      </c>
    </row>
    <row r="876" spans="1:32" x14ac:dyDescent="0.3">
      <c r="A876" s="305" t="s">
        <v>1314</v>
      </c>
      <c r="B876" s="895" t="s">
        <v>690</v>
      </c>
      <c r="C876" s="748"/>
      <c r="D876" s="749">
        <v>0</v>
      </c>
      <c r="E876" s="749"/>
      <c r="F876" s="749">
        <v>0</v>
      </c>
      <c r="G876" s="749">
        <v>0</v>
      </c>
      <c r="H876" s="749">
        <v>0</v>
      </c>
      <c r="I876" s="749">
        <v>201900</v>
      </c>
      <c r="J876" s="749">
        <v>213000</v>
      </c>
      <c r="K876" s="749">
        <v>213000</v>
      </c>
      <c r="L876" s="749">
        <v>0</v>
      </c>
      <c r="M876" s="749">
        <v>0</v>
      </c>
      <c r="N876" s="749">
        <v>0</v>
      </c>
      <c r="O876" s="749" t="s">
        <v>251</v>
      </c>
      <c r="P876" s="1497">
        <f t="shared" si="72"/>
        <v>414900</v>
      </c>
      <c r="Q876" s="1141">
        <f t="shared" si="73"/>
        <v>414900</v>
      </c>
      <c r="R876" s="748"/>
      <c r="S876" s="749"/>
      <c r="T876" s="749"/>
      <c r="U876" s="749"/>
      <c r="V876" s="749"/>
      <c r="W876" s="749"/>
      <c r="X876" s="749"/>
      <c r="Y876" s="749"/>
      <c r="Z876" s="749"/>
      <c r="AA876" s="749"/>
      <c r="AB876" s="749"/>
      <c r="AC876" s="749"/>
      <c r="AD876" s="1141">
        <f t="shared" si="74"/>
        <v>0</v>
      </c>
      <c r="AE876" s="896">
        <f t="shared" si="75"/>
        <v>-1</v>
      </c>
      <c r="AF876" s="897">
        <f t="shared" si="71"/>
        <v>983</v>
      </c>
    </row>
    <row r="877" spans="1:32" x14ac:dyDescent="0.3">
      <c r="A877" s="305" t="s">
        <v>1314</v>
      </c>
      <c r="B877" s="895" t="s">
        <v>1322</v>
      </c>
      <c r="C877" s="748"/>
      <c r="D877" s="749" t="s">
        <v>251</v>
      </c>
      <c r="E877" s="749"/>
      <c r="F877" s="749" t="s">
        <v>251</v>
      </c>
      <c r="G877" s="749" t="s">
        <v>251</v>
      </c>
      <c r="H877" s="749" t="s">
        <v>251</v>
      </c>
      <c r="I877" s="749" t="s">
        <v>251</v>
      </c>
      <c r="J877" s="749" t="s">
        <v>251</v>
      </c>
      <c r="K877" s="749"/>
      <c r="L877" s="749" t="s">
        <v>251</v>
      </c>
      <c r="M877" s="749" t="s">
        <v>251</v>
      </c>
      <c r="N877" s="749" t="s">
        <v>251</v>
      </c>
      <c r="O877" s="749" t="s">
        <v>251</v>
      </c>
      <c r="P877" s="1497">
        <f t="shared" si="72"/>
        <v>0</v>
      </c>
      <c r="Q877" s="1141">
        <f t="shared" si="73"/>
        <v>0</v>
      </c>
      <c r="R877" s="748"/>
      <c r="S877" s="749"/>
      <c r="T877" s="749"/>
      <c r="U877" s="749"/>
      <c r="V877" s="749"/>
      <c r="W877" s="749"/>
      <c r="X877" s="749"/>
      <c r="Y877" s="749"/>
      <c r="Z877" s="749"/>
      <c r="AA877" s="749"/>
      <c r="AB877" s="749"/>
      <c r="AC877" s="749"/>
      <c r="AD877" s="1141">
        <f t="shared" si="74"/>
        <v>0</v>
      </c>
      <c r="AE877" s="896">
        <f t="shared" si="75"/>
        <v>0</v>
      </c>
      <c r="AF877" s="897">
        <f t="shared" si="71"/>
        <v>983</v>
      </c>
    </row>
    <row r="878" spans="1:32" x14ac:dyDescent="0.3">
      <c r="A878" s="305" t="s">
        <v>1314</v>
      </c>
      <c r="B878" s="895" t="s">
        <v>1323</v>
      </c>
      <c r="C878" s="748"/>
      <c r="D878" s="749">
        <v>0</v>
      </c>
      <c r="E878" s="749"/>
      <c r="F878" s="749">
        <v>0</v>
      </c>
      <c r="G878" s="749">
        <v>0</v>
      </c>
      <c r="H878" s="749">
        <v>810600</v>
      </c>
      <c r="I878" s="749">
        <v>0</v>
      </c>
      <c r="J878" s="749">
        <v>0</v>
      </c>
      <c r="K878" s="749">
        <v>0</v>
      </c>
      <c r="L878" s="749">
        <v>0</v>
      </c>
      <c r="M878" s="749">
        <v>0</v>
      </c>
      <c r="N878" s="749">
        <v>0</v>
      </c>
      <c r="O878" s="749">
        <v>789900</v>
      </c>
      <c r="P878" s="1497">
        <f t="shared" si="72"/>
        <v>810600</v>
      </c>
      <c r="Q878" s="1141">
        <f t="shared" si="73"/>
        <v>1600500</v>
      </c>
      <c r="R878" s="748">
        <v>82900</v>
      </c>
      <c r="S878" s="749"/>
      <c r="T878" s="749">
        <v>0</v>
      </c>
      <c r="U878" s="749">
        <v>0</v>
      </c>
      <c r="V878" s="749">
        <v>0</v>
      </c>
      <c r="W878" s="749">
        <v>0</v>
      </c>
      <c r="X878" s="749">
        <v>0</v>
      </c>
      <c r="Y878" s="749">
        <v>0</v>
      </c>
      <c r="Z878" s="749"/>
      <c r="AA878" s="749"/>
      <c r="AB878" s="749"/>
      <c r="AC878" s="749"/>
      <c r="AD878" s="1141">
        <f t="shared" si="74"/>
        <v>82900</v>
      </c>
      <c r="AE878" s="896">
        <f t="shared" si="75"/>
        <v>-0.89773007648655312</v>
      </c>
      <c r="AF878" s="897">
        <f t="shared" si="71"/>
        <v>768</v>
      </c>
    </row>
    <row r="879" spans="1:32" x14ac:dyDescent="0.3">
      <c r="A879" s="305" t="s">
        <v>1314</v>
      </c>
      <c r="B879" s="895" t="s">
        <v>1324</v>
      </c>
      <c r="C879" s="748"/>
      <c r="D879" s="749" t="s">
        <v>251</v>
      </c>
      <c r="E879" s="749"/>
      <c r="F879" s="749" t="s">
        <v>251</v>
      </c>
      <c r="G879" s="749" t="s">
        <v>251</v>
      </c>
      <c r="H879" s="749" t="s">
        <v>251</v>
      </c>
      <c r="I879" s="749" t="s">
        <v>251</v>
      </c>
      <c r="J879" s="749" t="s">
        <v>251</v>
      </c>
      <c r="K879" s="749"/>
      <c r="L879" s="749" t="s">
        <v>251</v>
      </c>
      <c r="M879" s="749" t="s">
        <v>251</v>
      </c>
      <c r="N879" s="749" t="s">
        <v>251</v>
      </c>
      <c r="O879" s="749" t="s">
        <v>251</v>
      </c>
      <c r="P879" s="1497">
        <f t="shared" si="72"/>
        <v>0</v>
      </c>
      <c r="Q879" s="1141">
        <f t="shared" si="73"/>
        <v>0</v>
      </c>
      <c r="R879" s="748"/>
      <c r="S879" s="749"/>
      <c r="T879" s="749"/>
      <c r="U879" s="749"/>
      <c r="V879" s="749"/>
      <c r="W879" s="749"/>
      <c r="X879" s="749"/>
      <c r="Y879" s="749"/>
      <c r="Z879" s="749"/>
      <c r="AA879" s="749"/>
      <c r="AB879" s="749"/>
      <c r="AC879" s="749"/>
      <c r="AD879" s="1141">
        <f t="shared" si="74"/>
        <v>0</v>
      </c>
      <c r="AE879" s="896">
        <f t="shared" si="75"/>
        <v>0</v>
      </c>
      <c r="AF879" s="897">
        <f t="shared" si="71"/>
        <v>983</v>
      </c>
    </row>
    <row r="880" spans="1:32" x14ac:dyDescent="0.3">
      <c r="A880" s="305" t="s">
        <v>1314</v>
      </c>
      <c r="B880" s="895" t="s">
        <v>1325</v>
      </c>
      <c r="C880" s="748"/>
      <c r="D880" s="749">
        <v>0</v>
      </c>
      <c r="E880" s="749"/>
      <c r="F880" s="749">
        <v>0</v>
      </c>
      <c r="G880" s="749">
        <v>0</v>
      </c>
      <c r="H880" s="749">
        <v>0</v>
      </c>
      <c r="I880" s="749">
        <v>0</v>
      </c>
      <c r="J880" s="749">
        <v>0</v>
      </c>
      <c r="K880" s="749"/>
      <c r="L880" s="749">
        <v>0</v>
      </c>
      <c r="M880" s="749">
        <v>0</v>
      </c>
      <c r="N880" s="749">
        <v>130400</v>
      </c>
      <c r="O880" s="749" t="s">
        <v>251</v>
      </c>
      <c r="P880" s="1497">
        <f t="shared" si="72"/>
        <v>0</v>
      </c>
      <c r="Q880" s="1141">
        <f t="shared" si="73"/>
        <v>130400</v>
      </c>
      <c r="R880" s="748"/>
      <c r="S880" s="749"/>
      <c r="T880" s="749"/>
      <c r="U880" s="749"/>
      <c r="V880" s="749"/>
      <c r="W880" s="749"/>
      <c r="X880" s="749"/>
      <c r="Y880" s="749"/>
      <c r="Z880" s="749"/>
      <c r="AA880" s="749"/>
      <c r="AB880" s="749"/>
      <c r="AC880" s="749"/>
      <c r="AD880" s="1141">
        <f t="shared" si="74"/>
        <v>0</v>
      </c>
      <c r="AE880" s="896">
        <f t="shared" si="75"/>
        <v>0</v>
      </c>
      <c r="AF880" s="897">
        <f t="shared" si="71"/>
        <v>983</v>
      </c>
    </row>
    <row r="881" spans="1:32" x14ac:dyDescent="0.3">
      <c r="A881" s="305" t="s">
        <v>1314</v>
      </c>
      <c r="B881" s="895" t="s">
        <v>1326</v>
      </c>
      <c r="C881" s="748"/>
      <c r="D881" s="749" t="s">
        <v>251</v>
      </c>
      <c r="E881" s="749"/>
      <c r="F881" s="749" t="s">
        <v>251</v>
      </c>
      <c r="G881" s="749" t="s">
        <v>251</v>
      </c>
      <c r="H881" s="749" t="s">
        <v>251</v>
      </c>
      <c r="I881" s="749" t="s">
        <v>251</v>
      </c>
      <c r="J881" s="749" t="s">
        <v>251</v>
      </c>
      <c r="K881" s="749"/>
      <c r="L881" s="749" t="s">
        <v>251</v>
      </c>
      <c r="M881" s="749" t="s">
        <v>251</v>
      </c>
      <c r="N881" s="749" t="s">
        <v>251</v>
      </c>
      <c r="O881" s="749" t="s">
        <v>251</v>
      </c>
      <c r="P881" s="1497">
        <f t="shared" si="72"/>
        <v>0</v>
      </c>
      <c r="Q881" s="1141">
        <f t="shared" si="73"/>
        <v>0</v>
      </c>
      <c r="R881" s="748"/>
      <c r="S881" s="749"/>
      <c r="T881" s="749"/>
      <c r="U881" s="749"/>
      <c r="V881" s="749"/>
      <c r="W881" s="749"/>
      <c r="X881" s="749"/>
      <c r="Y881" s="749"/>
      <c r="Z881" s="749"/>
      <c r="AA881" s="749"/>
      <c r="AB881" s="749"/>
      <c r="AC881" s="749"/>
      <c r="AD881" s="1141">
        <f t="shared" si="74"/>
        <v>0</v>
      </c>
      <c r="AE881" s="896">
        <f t="shared" si="75"/>
        <v>0</v>
      </c>
      <c r="AF881" s="897">
        <f t="shared" si="71"/>
        <v>983</v>
      </c>
    </row>
    <row r="882" spans="1:32" x14ac:dyDescent="0.3">
      <c r="A882" s="305" t="s">
        <v>1314</v>
      </c>
      <c r="B882" s="895" t="s">
        <v>2124</v>
      </c>
      <c r="C882" s="748"/>
      <c r="D882" s="749" t="s">
        <v>251</v>
      </c>
      <c r="E882" s="749"/>
      <c r="F882" s="749" t="s">
        <v>251</v>
      </c>
      <c r="G882" s="749" t="s">
        <v>251</v>
      </c>
      <c r="H882" s="749" t="s">
        <v>251</v>
      </c>
      <c r="I882" s="749" t="s">
        <v>251</v>
      </c>
      <c r="J882" s="749" t="s">
        <v>251</v>
      </c>
      <c r="K882" s="749"/>
      <c r="L882" s="749" t="s">
        <v>251</v>
      </c>
      <c r="M882" s="749" t="s">
        <v>251</v>
      </c>
      <c r="N882" s="749" t="s">
        <v>251</v>
      </c>
      <c r="O882" s="749" t="s">
        <v>251</v>
      </c>
      <c r="P882" s="1497">
        <f t="shared" si="72"/>
        <v>0</v>
      </c>
      <c r="Q882" s="1141">
        <f t="shared" si="73"/>
        <v>0</v>
      </c>
      <c r="R882" s="748"/>
      <c r="S882" s="749"/>
      <c r="T882" s="749"/>
      <c r="U882" s="749"/>
      <c r="V882" s="749"/>
      <c r="W882" s="749"/>
      <c r="X882" s="749"/>
      <c r="Y882" s="749"/>
      <c r="Z882" s="749"/>
      <c r="AA882" s="749"/>
      <c r="AB882" s="749"/>
      <c r="AC882" s="749"/>
      <c r="AD882" s="1141">
        <f t="shared" si="74"/>
        <v>0</v>
      </c>
      <c r="AE882" s="896">
        <f t="shared" si="75"/>
        <v>0</v>
      </c>
      <c r="AF882" s="897">
        <f t="shared" si="71"/>
        <v>983</v>
      </c>
    </row>
    <row r="883" spans="1:32" x14ac:dyDescent="0.3">
      <c r="A883" s="305" t="s">
        <v>1314</v>
      </c>
      <c r="B883" s="895" t="s">
        <v>2125</v>
      </c>
      <c r="C883" s="748"/>
      <c r="D883" s="749" t="s">
        <v>251</v>
      </c>
      <c r="E883" s="749"/>
      <c r="F883" s="749" t="s">
        <v>251</v>
      </c>
      <c r="G883" s="749" t="s">
        <v>251</v>
      </c>
      <c r="H883" s="749" t="s">
        <v>251</v>
      </c>
      <c r="I883" s="749" t="s">
        <v>251</v>
      </c>
      <c r="J883" s="749" t="s">
        <v>251</v>
      </c>
      <c r="K883" s="749"/>
      <c r="L883" s="749" t="s">
        <v>251</v>
      </c>
      <c r="M883" s="749" t="s">
        <v>251</v>
      </c>
      <c r="N883" s="749" t="s">
        <v>251</v>
      </c>
      <c r="O883" s="749" t="s">
        <v>251</v>
      </c>
      <c r="P883" s="1497">
        <f t="shared" si="72"/>
        <v>0</v>
      </c>
      <c r="Q883" s="1141">
        <f t="shared" si="73"/>
        <v>0</v>
      </c>
      <c r="R883" s="748"/>
      <c r="S883" s="749"/>
      <c r="T883" s="749"/>
      <c r="U883" s="749"/>
      <c r="V883" s="749"/>
      <c r="W883" s="749"/>
      <c r="X883" s="749"/>
      <c r="Y883" s="749"/>
      <c r="Z883" s="749"/>
      <c r="AA883" s="749"/>
      <c r="AB883" s="749"/>
      <c r="AC883" s="749"/>
      <c r="AD883" s="1141">
        <f t="shared" si="74"/>
        <v>0</v>
      </c>
      <c r="AE883" s="896">
        <f t="shared" si="75"/>
        <v>0</v>
      </c>
      <c r="AF883" s="897">
        <f t="shared" si="71"/>
        <v>983</v>
      </c>
    </row>
    <row r="884" spans="1:32" x14ac:dyDescent="0.3">
      <c r="A884" s="305" t="s">
        <v>1314</v>
      </c>
      <c r="B884" s="895" t="s">
        <v>2126</v>
      </c>
      <c r="C884" s="748"/>
      <c r="D884" s="749" t="s">
        <v>251</v>
      </c>
      <c r="E884" s="749"/>
      <c r="F884" s="749" t="s">
        <v>251</v>
      </c>
      <c r="G884" s="749" t="s">
        <v>251</v>
      </c>
      <c r="H884" s="749" t="s">
        <v>251</v>
      </c>
      <c r="I884" s="749" t="s">
        <v>251</v>
      </c>
      <c r="J884" s="749" t="s">
        <v>251</v>
      </c>
      <c r="K884" s="749"/>
      <c r="L884" s="749" t="s">
        <v>251</v>
      </c>
      <c r="M884" s="749" t="s">
        <v>251</v>
      </c>
      <c r="N884" s="749" t="s">
        <v>251</v>
      </c>
      <c r="O884" s="749" t="s">
        <v>251</v>
      </c>
      <c r="P884" s="1497">
        <f t="shared" si="72"/>
        <v>0</v>
      </c>
      <c r="Q884" s="1141">
        <f t="shared" si="73"/>
        <v>0</v>
      </c>
      <c r="R884" s="748"/>
      <c r="S884" s="749"/>
      <c r="T884" s="749"/>
      <c r="U884" s="749"/>
      <c r="V884" s="749"/>
      <c r="W884" s="749"/>
      <c r="X884" s="749"/>
      <c r="Y884" s="749"/>
      <c r="Z884" s="749"/>
      <c r="AA884" s="749"/>
      <c r="AB884" s="749"/>
      <c r="AC884" s="749"/>
      <c r="AD884" s="1141">
        <f t="shared" si="74"/>
        <v>0</v>
      </c>
      <c r="AE884" s="896">
        <f t="shared" si="75"/>
        <v>0</v>
      </c>
      <c r="AF884" s="897">
        <f t="shared" si="71"/>
        <v>983</v>
      </c>
    </row>
    <row r="885" spans="1:32" x14ac:dyDescent="0.3">
      <c r="A885" s="305" t="s">
        <v>1314</v>
      </c>
      <c r="B885" s="895" t="s">
        <v>2127</v>
      </c>
      <c r="C885" s="748"/>
      <c r="D885" s="749" t="s">
        <v>251</v>
      </c>
      <c r="E885" s="749"/>
      <c r="F885" s="749" t="s">
        <v>251</v>
      </c>
      <c r="G885" s="749" t="s">
        <v>251</v>
      </c>
      <c r="H885" s="749" t="s">
        <v>251</v>
      </c>
      <c r="I885" s="749" t="s">
        <v>251</v>
      </c>
      <c r="J885" s="749" t="s">
        <v>251</v>
      </c>
      <c r="K885" s="749"/>
      <c r="L885" s="749" t="s">
        <v>251</v>
      </c>
      <c r="M885" s="749" t="s">
        <v>251</v>
      </c>
      <c r="N885" s="749" t="s">
        <v>251</v>
      </c>
      <c r="O885" s="749" t="s">
        <v>251</v>
      </c>
      <c r="P885" s="1497">
        <f t="shared" si="72"/>
        <v>0</v>
      </c>
      <c r="Q885" s="1141">
        <f t="shared" si="73"/>
        <v>0</v>
      </c>
      <c r="R885" s="748"/>
      <c r="S885" s="749"/>
      <c r="T885" s="749"/>
      <c r="U885" s="749"/>
      <c r="V885" s="749"/>
      <c r="W885" s="749"/>
      <c r="X885" s="749"/>
      <c r="Y885" s="749"/>
      <c r="Z885" s="749"/>
      <c r="AA885" s="749"/>
      <c r="AB885" s="749"/>
      <c r="AC885" s="749"/>
      <c r="AD885" s="1141">
        <f t="shared" si="74"/>
        <v>0</v>
      </c>
      <c r="AE885" s="896">
        <f t="shared" si="75"/>
        <v>0</v>
      </c>
      <c r="AF885" s="897">
        <f t="shared" si="71"/>
        <v>983</v>
      </c>
    </row>
    <row r="886" spans="1:32" x14ac:dyDescent="0.3">
      <c r="A886" s="305" t="s">
        <v>1314</v>
      </c>
      <c r="B886" s="895" t="s">
        <v>790</v>
      </c>
      <c r="C886" s="748"/>
      <c r="D886" s="749" t="s">
        <v>251</v>
      </c>
      <c r="E886" s="749"/>
      <c r="F886" s="749" t="s">
        <v>251</v>
      </c>
      <c r="G886" s="749" t="s">
        <v>251</v>
      </c>
      <c r="H886" s="749" t="s">
        <v>251</v>
      </c>
      <c r="I886" s="749" t="s">
        <v>251</v>
      </c>
      <c r="J886" s="749" t="s">
        <v>251</v>
      </c>
      <c r="K886" s="749"/>
      <c r="L886" s="749" t="s">
        <v>251</v>
      </c>
      <c r="M886" s="749" t="s">
        <v>251</v>
      </c>
      <c r="N886" s="749" t="s">
        <v>251</v>
      </c>
      <c r="O886" s="749" t="s">
        <v>251</v>
      </c>
      <c r="P886" s="1497">
        <f t="shared" si="72"/>
        <v>0</v>
      </c>
      <c r="Q886" s="1141">
        <f t="shared" si="73"/>
        <v>0</v>
      </c>
      <c r="R886" s="748"/>
      <c r="S886" s="749"/>
      <c r="T886" s="749"/>
      <c r="U886" s="749"/>
      <c r="V886" s="749"/>
      <c r="W886" s="749"/>
      <c r="X886" s="749"/>
      <c r="Y886" s="749"/>
      <c r="Z886" s="749"/>
      <c r="AA886" s="749"/>
      <c r="AB886" s="749"/>
      <c r="AC886" s="749"/>
      <c r="AD886" s="1141">
        <f t="shared" si="74"/>
        <v>0</v>
      </c>
      <c r="AE886" s="896">
        <f t="shared" si="75"/>
        <v>0</v>
      </c>
      <c r="AF886" s="897">
        <f t="shared" si="71"/>
        <v>983</v>
      </c>
    </row>
    <row r="887" spans="1:32" x14ac:dyDescent="0.3">
      <c r="A887" s="305" t="s">
        <v>1314</v>
      </c>
      <c r="B887" s="895" t="s">
        <v>1333</v>
      </c>
      <c r="C887" s="748"/>
      <c r="D887" s="749">
        <v>0</v>
      </c>
      <c r="E887" s="749"/>
      <c r="F887" s="749">
        <v>0</v>
      </c>
      <c r="G887" s="749">
        <v>0</v>
      </c>
      <c r="H887" s="749">
        <v>212700</v>
      </c>
      <c r="I887" s="749">
        <v>0</v>
      </c>
      <c r="J887" s="749">
        <v>0</v>
      </c>
      <c r="K887" s="749">
        <v>0</v>
      </c>
      <c r="L887" s="749">
        <v>0</v>
      </c>
      <c r="M887" s="749">
        <v>0</v>
      </c>
      <c r="N887" s="749">
        <v>1259000</v>
      </c>
      <c r="O887" s="749">
        <v>256800</v>
      </c>
      <c r="P887" s="1497">
        <f t="shared" si="72"/>
        <v>212700</v>
      </c>
      <c r="Q887" s="1141">
        <f t="shared" si="73"/>
        <v>1728500</v>
      </c>
      <c r="R887" s="748"/>
      <c r="S887" s="749"/>
      <c r="T887" s="749"/>
      <c r="U887" s="749"/>
      <c r="V887" s="749"/>
      <c r="W887" s="749"/>
      <c r="X887" s="749"/>
      <c r="Y887" s="749"/>
      <c r="Z887" s="749"/>
      <c r="AA887" s="749"/>
      <c r="AB887" s="749"/>
      <c r="AC887" s="749"/>
      <c r="AD887" s="1141">
        <f t="shared" si="74"/>
        <v>0</v>
      </c>
      <c r="AE887" s="896">
        <f t="shared" si="75"/>
        <v>-1</v>
      </c>
      <c r="AF887" s="897">
        <f t="shared" si="71"/>
        <v>983</v>
      </c>
    </row>
    <row r="888" spans="1:32" x14ac:dyDescent="0.3">
      <c r="A888" s="305" t="s">
        <v>1314</v>
      </c>
      <c r="B888" s="895" t="s">
        <v>2128</v>
      </c>
      <c r="C888" s="748"/>
      <c r="D888" s="749">
        <v>0</v>
      </c>
      <c r="E888" s="749"/>
      <c r="F888" s="749">
        <v>0</v>
      </c>
      <c r="G888" s="749">
        <v>0</v>
      </c>
      <c r="H888" s="749">
        <v>0</v>
      </c>
      <c r="I888" s="749">
        <v>56300</v>
      </c>
      <c r="J888" s="749">
        <v>112600</v>
      </c>
      <c r="K888" s="749">
        <v>0</v>
      </c>
      <c r="L888" s="749">
        <v>0</v>
      </c>
      <c r="M888" s="749">
        <v>0</v>
      </c>
      <c r="N888" s="749">
        <v>0</v>
      </c>
      <c r="O888" s="749" t="s">
        <v>251</v>
      </c>
      <c r="P888" s="1497">
        <f t="shared" si="72"/>
        <v>56300</v>
      </c>
      <c r="Q888" s="1141">
        <f t="shared" si="73"/>
        <v>168900</v>
      </c>
      <c r="R888" s="748"/>
      <c r="S888" s="749"/>
      <c r="T888" s="749"/>
      <c r="U888" s="749"/>
      <c r="V888" s="749"/>
      <c r="W888" s="749"/>
      <c r="X888" s="749"/>
      <c r="Y888" s="749"/>
      <c r="Z888" s="749"/>
      <c r="AA888" s="749"/>
      <c r="AB888" s="749"/>
      <c r="AC888" s="749"/>
      <c r="AD888" s="1141">
        <f t="shared" si="74"/>
        <v>0</v>
      </c>
      <c r="AE888" s="896">
        <f t="shared" si="75"/>
        <v>-1</v>
      </c>
      <c r="AF888" s="897">
        <f t="shared" si="71"/>
        <v>983</v>
      </c>
    </row>
    <row r="889" spans="1:32" x14ac:dyDescent="0.3">
      <c r="A889" s="305" t="s">
        <v>1314</v>
      </c>
      <c r="B889" s="895" t="s">
        <v>1339</v>
      </c>
      <c r="C889" s="748"/>
      <c r="D889" s="749">
        <v>0</v>
      </c>
      <c r="E889" s="749"/>
      <c r="F889" s="749">
        <v>0</v>
      </c>
      <c r="G889" s="749">
        <v>0</v>
      </c>
      <c r="H889" s="749">
        <v>0</v>
      </c>
      <c r="I889" s="749">
        <v>0</v>
      </c>
      <c r="J889" s="749">
        <v>67300</v>
      </c>
      <c r="K889" s="749"/>
      <c r="L889" s="749">
        <v>0</v>
      </c>
      <c r="M889" s="749">
        <v>300000</v>
      </c>
      <c r="N889" s="749">
        <v>0</v>
      </c>
      <c r="O889" s="749" t="s">
        <v>251</v>
      </c>
      <c r="P889" s="1497">
        <f t="shared" si="72"/>
        <v>0</v>
      </c>
      <c r="Q889" s="1141">
        <f t="shared" si="73"/>
        <v>367300</v>
      </c>
      <c r="R889" s="748"/>
      <c r="S889" s="749"/>
      <c r="T889" s="749"/>
      <c r="U889" s="749"/>
      <c r="V889" s="749"/>
      <c r="W889" s="749"/>
      <c r="X889" s="749"/>
      <c r="Y889" s="749"/>
      <c r="Z889" s="749"/>
      <c r="AA889" s="749"/>
      <c r="AB889" s="749"/>
      <c r="AC889" s="749"/>
      <c r="AD889" s="1141">
        <f t="shared" si="74"/>
        <v>0</v>
      </c>
      <c r="AE889" s="896">
        <f t="shared" si="75"/>
        <v>0</v>
      </c>
      <c r="AF889" s="897">
        <f t="shared" si="71"/>
        <v>983</v>
      </c>
    </row>
    <row r="890" spans="1:32" x14ac:dyDescent="0.3">
      <c r="A890" s="305" t="s">
        <v>1314</v>
      </c>
      <c r="B890" s="895" t="s">
        <v>2129</v>
      </c>
      <c r="C890" s="748"/>
      <c r="D890" s="749">
        <v>0</v>
      </c>
      <c r="E890" s="749"/>
      <c r="F890" s="749">
        <v>0</v>
      </c>
      <c r="G890" s="749">
        <v>0</v>
      </c>
      <c r="H890" s="749">
        <v>0</v>
      </c>
      <c r="I890" s="749">
        <v>0</v>
      </c>
      <c r="J890" s="749">
        <v>610800</v>
      </c>
      <c r="K890" s="749">
        <v>429200</v>
      </c>
      <c r="L890" s="749">
        <v>214600</v>
      </c>
      <c r="M890" s="749">
        <v>0</v>
      </c>
      <c r="N890" s="749">
        <v>0</v>
      </c>
      <c r="O890" s="749" t="s">
        <v>251</v>
      </c>
      <c r="P890" s="1497">
        <f t="shared" si="72"/>
        <v>429200</v>
      </c>
      <c r="Q890" s="1141">
        <f t="shared" si="73"/>
        <v>825400</v>
      </c>
      <c r="R890" s="748"/>
      <c r="S890" s="749"/>
      <c r="T890" s="749"/>
      <c r="U890" s="749"/>
      <c r="V890" s="749"/>
      <c r="W890" s="749"/>
      <c r="X890" s="749"/>
      <c r="Y890" s="749"/>
      <c r="Z890" s="749"/>
      <c r="AA890" s="749"/>
      <c r="AB890" s="749"/>
      <c r="AC890" s="749"/>
      <c r="AD890" s="1141">
        <f t="shared" si="74"/>
        <v>0</v>
      </c>
      <c r="AE890" s="896">
        <f t="shared" si="75"/>
        <v>-1</v>
      </c>
      <c r="AF890" s="897">
        <f t="shared" si="71"/>
        <v>983</v>
      </c>
    </row>
    <row r="891" spans="1:32" x14ac:dyDescent="0.3">
      <c r="A891" s="305" t="s">
        <v>1314</v>
      </c>
      <c r="B891" s="895" t="s">
        <v>2130</v>
      </c>
      <c r="C891" s="748"/>
      <c r="D891" s="749">
        <v>0</v>
      </c>
      <c r="E891" s="749"/>
      <c r="F891" s="749">
        <v>0</v>
      </c>
      <c r="G891" s="749">
        <v>0</v>
      </c>
      <c r="H891" s="749">
        <v>0</v>
      </c>
      <c r="I891" s="749">
        <v>0</v>
      </c>
      <c r="J891" s="749">
        <v>575400</v>
      </c>
      <c r="K891" s="749">
        <v>575400</v>
      </c>
      <c r="L891" s="749">
        <v>34500</v>
      </c>
      <c r="M891" s="749">
        <v>19900</v>
      </c>
      <c r="N891" s="749">
        <v>0</v>
      </c>
      <c r="O891" s="749" t="s">
        <v>251</v>
      </c>
      <c r="P891" s="1497">
        <f t="shared" si="72"/>
        <v>575400</v>
      </c>
      <c r="Q891" s="1141">
        <f t="shared" si="73"/>
        <v>629800</v>
      </c>
      <c r="R891" s="748"/>
      <c r="S891" s="749"/>
      <c r="T891" s="749"/>
      <c r="U891" s="749"/>
      <c r="V891" s="749"/>
      <c r="W891" s="749"/>
      <c r="X891" s="749"/>
      <c r="Y891" s="749"/>
      <c r="Z891" s="749"/>
      <c r="AA891" s="749"/>
      <c r="AB891" s="749"/>
      <c r="AC891" s="749"/>
      <c r="AD891" s="1141">
        <f t="shared" si="74"/>
        <v>0</v>
      </c>
      <c r="AE891" s="896">
        <f t="shared" si="75"/>
        <v>-1</v>
      </c>
      <c r="AF891" s="897">
        <f t="shared" si="71"/>
        <v>983</v>
      </c>
    </row>
    <row r="892" spans="1:32" x14ac:dyDescent="0.3">
      <c r="A892" s="305" t="s">
        <v>1314</v>
      </c>
      <c r="B892" s="895" t="s">
        <v>1658</v>
      </c>
      <c r="C892" s="748"/>
      <c r="D892" s="749">
        <v>0</v>
      </c>
      <c r="E892" s="749"/>
      <c r="F892" s="749">
        <v>0</v>
      </c>
      <c r="G892" s="749">
        <v>0</v>
      </c>
      <c r="H892" s="749">
        <v>0</v>
      </c>
      <c r="I892" s="749">
        <v>0</v>
      </c>
      <c r="J892" s="749">
        <v>181950</v>
      </c>
      <c r="K892" s="749">
        <v>181950</v>
      </c>
      <c r="L892" s="749">
        <v>0</v>
      </c>
      <c r="M892" s="749">
        <v>0</v>
      </c>
      <c r="N892" s="749">
        <v>0</v>
      </c>
      <c r="O892" s="749" t="s">
        <v>251</v>
      </c>
      <c r="P892" s="1497">
        <f t="shared" si="72"/>
        <v>181950</v>
      </c>
      <c r="Q892" s="1141">
        <f t="shared" si="73"/>
        <v>181950</v>
      </c>
      <c r="R892" s="748"/>
      <c r="S892" s="749"/>
      <c r="T892" s="749"/>
      <c r="U892" s="749"/>
      <c r="V892" s="749"/>
      <c r="W892" s="749"/>
      <c r="X892" s="749"/>
      <c r="Y892" s="749"/>
      <c r="Z892" s="749"/>
      <c r="AA892" s="749"/>
      <c r="AB892" s="749"/>
      <c r="AC892" s="749"/>
      <c r="AD892" s="1141">
        <f t="shared" si="74"/>
        <v>0</v>
      </c>
      <c r="AE892" s="896">
        <f t="shared" si="75"/>
        <v>-1</v>
      </c>
      <c r="AF892" s="897">
        <f t="shared" si="71"/>
        <v>983</v>
      </c>
    </row>
    <row r="893" spans="1:32" x14ac:dyDescent="0.3">
      <c r="A893" s="305" t="s">
        <v>1314</v>
      </c>
      <c r="B893" s="895" t="s">
        <v>2120</v>
      </c>
      <c r="C893" s="748"/>
      <c r="D893" s="749">
        <v>0</v>
      </c>
      <c r="E893" s="749"/>
      <c r="F893" s="749">
        <v>0</v>
      </c>
      <c r="G893" s="749">
        <v>0</v>
      </c>
      <c r="H893" s="749">
        <v>0</v>
      </c>
      <c r="I893" s="749">
        <v>0</v>
      </c>
      <c r="J893" s="749">
        <v>34700</v>
      </c>
      <c r="K893" s="749">
        <v>34700</v>
      </c>
      <c r="L893" s="749">
        <v>0</v>
      </c>
      <c r="M893" s="749">
        <v>0</v>
      </c>
      <c r="N893" s="749">
        <v>0</v>
      </c>
      <c r="O893" s="749" t="s">
        <v>251</v>
      </c>
      <c r="P893" s="1497">
        <f t="shared" si="72"/>
        <v>34700</v>
      </c>
      <c r="Q893" s="1141">
        <f t="shared" si="73"/>
        <v>34700</v>
      </c>
      <c r="R893" s="748"/>
      <c r="S893" s="749"/>
      <c r="T893" s="749"/>
      <c r="U893" s="749"/>
      <c r="V893" s="749">
        <v>591400</v>
      </c>
      <c r="W893" s="749">
        <v>68000</v>
      </c>
      <c r="X893" s="749">
        <v>0</v>
      </c>
      <c r="Y893" s="749">
        <v>0</v>
      </c>
      <c r="Z893" s="749"/>
      <c r="AA893" s="749"/>
      <c r="AB893" s="749"/>
      <c r="AC893" s="749"/>
      <c r="AD893" s="1141">
        <f t="shared" si="74"/>
        <v>659400</v>
      </c>
      <c r="AE893" s="896">
        <f t="shared" si="75"/>
        <v>18.002881844380404</v>
      </c>
      <c r="AF893" s="897">
        <f t="shared" si="71"/>
        <v>392</v>
      </c>
    </row>
    <row r="894" spans="1:32" x14ac:dyDescent="0.3">
      <c r="A894" s="305" t="s">
        <v>1314</v>
      </c>
      <c r="B894" s="895" t="s">
        <v>2131</v>
      </c>
      <c r="C894" s="748"/>
      <c r="D894" s="749">
        <v>0</v>
      </c>
      <c r="E894" s="749"/>
      <c r="F894" s="749">
        <v>0</v>
      </c>
      <c r="G894" s="749">
        <v>0</v>
      </c>
      <c r="H894" s="749">
        <v>0</v>
      </c>
      <c r="I894" s="749">
        <v>0</v>
      </c>
      <c r="J894" s="749">
        <v>0</v>
      </c>
      <c r="K894" s="749"/>
      <c r="L894" s="749">
        <v>470900</v>
      </c>
      <c r="M894" s="749">
        <v>1862500</v>
      </c>
      <c r="N894" s="749">
        <v>0</v>
      </c>
      <c r="O894" s="749" t="s">
        <v>251</v>
      </c>
      <c r="P894" s="1497">
        <f t="shared" si="72"/>
        <v>0</v>
      </c>
      <c r="Q894" s="1141">
        <f t="shared" si="73"/>
        <v>2333400</v>
      </c>
      <c r="R894" s="748"/>
      <c r="S894" s="749"/>
      <c r="T894" s="749"/>
      <c r="U894" s="749"/>
      <c r="V894" s="749"/>
      <c r="W894" s="749"/>
      <c r="X894" s="749"/>
      <c r="Y894" s="749"/>
      <c r="Z894" s="749"/>
      <c r="AA894" s="749"/>
      <c r="AB894" s="749"/>
      <c r="AC894" s="749"/>
      <c r="AD894" s="1141">
        <f t="shared" si="74"/>
        <v>0</v>
      </c>
      <c r="AE894" s="896">
        <f t="shared" si="75"/>
        <v>0</v>
      </c>
      <c r="AF894" s="897">
        <f t="shared" si="71"/>
        <v>983</v>
      </c>
    </row>
    <row r="895" spans="1:32" x14ac:dyDescent="0.3">
      <c r="A895" s="305" t="s">
        <v>1314</v>
      </c>
      <c r="B895" s="895" t="s">
        <v>2132</v>
      </c>
      <c r="C895" s="748"/>
      <c r="D895" s="749">
        <v>0</v>
      </c>
      <c r="E895" s="749"/>
      <c r="F895" s="749">
        <v>0</v>
      </c>
      <c r="G895" s="749">
        <v>0</v>
      </c>
      <c r="H895" s="749">
        <v>0</v>
      </c>
      <c r="I895" s="749">
        <v>0</v>
      </c>
      <c r="J895" s="749">
        <v>0</v>
      </c>
      <c r="K895" s="749"/>
      <c r="L895" s="749">
        <v>555500</v>
      </c>
      <c r="M895" s="749">
        <v>0</v>
      </c>
      <c r="N895" s="749">
        <v>0</v>
      </c>
      <c r="O895" s="749" t="s">
        <v>251</v>
      </c>
      <c r="P895" s="1497">
        <f t="shared" si="72"/>
        <v>0</v>
      </c>
      <c r="Q895" s="1141">
        <f t="shared" si="73"/>
        <v>555500</v>
      </c>
      <c r="R895" s="748"/>
      <c r="S895" s="749"/>
      <c r="T895" s="749"/>
      <c r="U895" s="749"/>
      <c r="V895" s="749"/>
      <c r="W895" s="749"/>
      <c r="X895" s="749"/>
      <c r="Y895" s="749"/>
      <c r="Z895" s="749"/>
      <c r="AA895" s="749"/>
      <c r="AB895" s="749"/>
      <c r="AC895" s="749"/>
      <c r="AD895" s="1141">
        <f t="shared" si="74"/>
        <v>0</v>
      </c>
      <c r="AE895" s="896">
        <f t="shared" si="75"/>
        <v>0</v>
      </c>
      <c r="AF895" s="897">
        <f t="shared" si="71"/>
        <v>983</v>
      </c>
    </row>
    <row r="896" spans="1:32" x14ac:dyDescent="0.3">
      <c r="A896" s="305" t="s">
        <v>1314</v>
      </c>
      <c r="B896" s="895" t="s">
        <v>1445</v>
      </c>
      <c r="C896" s="748"/>
      <c r="D896" s="749" t="s">
        <v>251</v>
      </c>
      <c r="E896" s="749"/>
      <c r="F896" s="749" t="s">
        <v>251</v>
      </c>
      <c r="G896" s="749" t="s">
        <v>251</v>
      </c>
      <c r="H896" s="749" t="s">
        <v>251</v>
      </c>
      <c r="I896" s="749" t="s">
        <v>251</v>
      </c>
      <c r="J896" s="749" t="s">
        <v>251</v>
      </c>
      <c r="K896" s="749"/>
      <c r="L896" s="749" t="s">
        <v>251</v>
      </c>
      <c r="M896" s="749" t="s">
        <v>251</v>
      </c>
      <c r="N896" s="749" t="s">
        <v>251</v>
      </c>
      <c r="O896" s="749" t="s">
        <v>251</v>
      </c>
      <c r="P896" s="1497">
        <f t="shared" si="72"/>
        <v>0</v>
      </c>
      <c r="Q896" s="1141">
        <f t="shared" si="73"/>
        <v>0</v>
      </c>
      <c r="R896" s="748"/>
      <c r="S896" s="749"/>
      <c r="T896" s="749"/>
      <c r="U896" s="749"/>
      <c r="V896" s="749"/>
      <c r="W896" s="749"/>
      <c r="X896" s="749"/>
      <c r="Y896" s="749"/>
      <c r="Z896" s="749"/>
      <c r="AA896" s="749"/>
      <c r="AB896" s="749"/>
      <c r="AC896" s="749"/>
      <c r="AD896" s="1141">
        <f t="shared" si="74"/>
        <v>0</v>
      </c>
      <c r="AE896" s="896">
        <f t="shared" si="75"/>
        <v>0</v>
      </c>
      <c r="AF896" s="897">
        <f t="shared" si="71"/>
        <v>983</v>
      </c>
    </row>
    <row r="897" spans="1:32" x14ac:dyDescent="0.3">
      <c r="A897" s="305" t="s">
        <v>1314</v>
      </c>
      <c r="B897" s="895" t="s">
        <v>2353</v>
      </c>
      <c r="C897" s="748"/>
      <c r="D897" s="749" t="s">
        <v>251</v>
      </c>
      <c r="E897" s="749"/>
      <c r="F897" s="749" t="s">
        <v>251</v>
      </c>
      <c r="G897" s="749" t="s">
        <v>251</v>
      </c>
      <c r="H897" s="749" t="s">
        <v>251</v>
      </c>
      <c r="I897" s="749" t="s">
        <v>251</v>
      </c>
      <c r="J897" s="749" t="s">
        <v>251</v>
      </c>
      <c r="K897" s="749"/>
      <c r="L897" s="749" t="s">
        <v>251</v>
      </c>
      <c r="M897" s="749" t="s">
        <v>251</v>
      </c>
      <c r="N897" s="749"/>
      <c r="O897" s="749">
        <v>402400</v>
      </c>
      <c r="P897" s="1497">
        <f t="shared" si="72"/>
        <v>0</v>
      </c>
      <c r="Q897" s="1141">
        <f t="shared" si="73"/>
        <v>402400</v>
      </c>
      <c r="R897" s="748"/>
      <c r="S897" s="749"/>
      <c r="T897" s="749"/>
      <c r="U897" s="749"/>
      <c r="V897" s="749">
        <v>314400</v>
      </c>
      <c r="W897" s="749">
        <v>415400</v>
      </c>
      <c r="X897" s="749">
        <v>0</v>
      </c>
      <c r="Y897" s="749">
        <v>299700</v>
      </c>
      <c r="Z897" s="749"/>
      <c r="AA897" s="749"/>
      <c r="AB897" s="749"/>
      <c r="AC897" s="749"/>
      <c r="AD897" s="1141">
        <f t="shared" si="74"/>
        <v>1029500</v>
      </c>
      <c r="AE897" s="896">
        <f t="shared" si="75"/>
        <v>1</v>
      </c>
      <c r="AF897" s="897">
        <f t="shared" si="71"/>
        <v>314</v>
      </c>
    </row>
    <row r="898" spans="1:32" x14ac:dyDescent="0.3">
      <c r="A898" s="305" t="s">
        <v>1314</v>
      </c>
      <c r="B898" s="895" t="s">
        <v>2354</v>
      </c>
      <c r="C898" s="748"/>
      <c r="D898" s="749" t="s">
        <v>251</v>
      </c>
      <c r="E898" s="749"/>
      <c r="F898" s="749" t="s">
        <v>251</v>
      </c>
      <c r="G898" s="749" t="s">
        <v>251</v>
      </c>
      <c r="H898" s="749" t="s">
        <v>251</v>
      </c>
      <c r="I898" s="749" t="s">
        <v>251</v>
      </c>
      <c r="J898" s="749" t="s">
        <v>251</v>
      </c>
      <c r="K898" s="749"/>
      <c r="L898" s="749" t="s">
        <v>251</v>
      </c>
      <c r="M898" s="749" t="s">
        <v>251</v>
      </c>
      <c r="N898" s="749"/>
      <c r="O898" s="749">
        <v>337300</v>
      </c>
      <c r="P898" s="1497">
        <f t="shared" si="72"/>
        <v>0</v>
      </c>
      <c r="Q898" s="1141">
        <f t="shared" si="73"/>
        <v>337300</v>
      </c>
      <c r="R898" s="748">
        <v>319100</v>
      </c>
      <c r="S898" s="749"/>
      <c r="T898" s="749">
        <v>0</v>
      </c>
      <c r="U898" s="749">
        <v>0</v>
      </c>
      <c r="V898" s="749">
        <v>0</v>
      </c>
      <c r="W898" s="749">
        <v>0</v>
      </c>
      <c r="X898" s="749">
        <v>19200</v>
      </c>
      <c r="Y898" s="749">
        <v>0</v>
      </c>
      <c r="Z898" s="749"/>
      <c r="AA898" s="749"/>
      <c r="AB898" s="749"/>
      <c r="AC898" s="749"/>
      <c r="AD898" s="1141">
        <f t="shared" si="74"/>
        <v>338300</v>
      </c>
      <c r="AE898" s="896">
        <f t="shared" si="75"/>
        <v>1</v>
      </c>
      <c r="AF898" s="897">
        <f t="shared" si="71"/>
        <v>510</v>
      </c>
    </row>
    <row r="899" spans="1:32" x14ac:dyDescent="0.3">
      <c r="A899" s="305" t="s">
        <v>1314</v>
      </c>
      <c r="B899" s="895" t="s">
        <v>2053</v>
      </c>
      <c r="C899" s="748"/>
      <c r="D899" s="749" t="s">
        <v>251</v>
      </c>
      <c r="E899" s="749"/>
      <c r="F899" s="749"/>
      <c r="G899" s="749" t="s">
        <v>251</v>
      </c>
      <c r="H899" s="749" t="s">
        <v>251</v>
      </c>
      <c r="I899" s="749" t="s">
        <v>251</v>
      </c>
      <c r="J899" s="749"/>
      <c r="K899" s="749"/>
      <c r="L899" s="749"/>
      <c r="M899" s="749"/>
      <c r="N899" s="749"/>
      <c r="O899" s="749">
        <v>573000</v>
      </c>
      <c r="P899" s="1497">
        <f t="shared" si="72"/>
        <v>0</v>
      </c>
      <c r="Q899" s="1141">
        <f t="shared" si="73"/>
        <v>573000</v>
      </c>
      <c r="R899" s="748">
        <v>150000</v>
      </c>
      <c r="S899" s="749">
        <v>941400</v>
      </c>
      <c r="T899" s="749">
        <v>0</v>
      </c>
      <c r="U899" s="749">
        <v>0</v>
      </c>
      <c r="V899" s="749">
        <v>0</v>
      </c>
      <c r="W899" s="749">
        <v>0</v>
      </c>
      <c r="X899" s="749">
        <v>316500</v>
      </c>
      <c r="Y899" s="749">
        <v>1263450</v>
      </c>
      <c r="Z899" s="749"/>
      <c r="AA899" s="749"/>
      <c r="AB899" s="749"/>
      <c r="AC899" s="749"/>
      <c r="AD899" s="1141">
        <f t="shared" si="74"/>
        <v>2671350</v>
      </c>
      <c r="AE899" s="896">
        <f t="shared" si="75"/>
        <v>1</v>
      </c>
      <c r="AF899" s="897">
        <f t="shared" si="71"/>
        <v>164</v>
      </c>
    </row>
    <row r="900" spans="1:32" x14ac:dyDescent="0.3">
      <c r="A900" s="305" t="s">
        <v>1314</v>
      </c>
      <c r="B900" s="895" t="s">
        <v>1195</v>
      </c>
      <c r="C900" s="748"/>
      <c r="D900" s="749"/>
      <c r="E900" s="749"/>
      <c r="F900" s="749"/>
      <c r="G900" s="749"/>
      <c r="H900" s="749"/>
      <c r="I900" s="749"/>
      <c r="J900" s="749"/>
      <c r="K900" s="749"/>
      <c r="L900" s="749"/>
      <c r="M900" s="749"/>
      <c r="N900" s="749"/>
      <c r="O900" s="749"/>
      <c r="P900" s="1497">
        <f t="shared" si="72"/>
        <v>0</v>
      </c>
      <c r="Q900" s="1141">
        <f t="shared" si="73"/>
        <v>0</v>
      </c>
      <c r="R900" s="748">
        <v>2227500</v>
      </c>
      <c r="S900" s="749">
        <v>54900</v>
      </c>
      <c r="T900" s="749">
        <v>0</v>
      </c>
      <c r="U900" s="749">
        <v>0</v>
      </c>
      <c r="V900" s="749">
        <v>0</v>
      </c>
      <c r="W900" s="749">
        <v>0</v>
      </c>
      <c r="X900" s="749">
        <v>0</v>
      </c>
      <c r="Y900" s="749">
        <v>0</v>
      </c>
      <c r="Z900" s="749"/>
      <c r="AA900" s="749"/>
      <c r="AB900" s="749"/>
      <c r="AC900" s="749"/>
      <c r="AD900" s="1141">
        <f t="shared" si="74"/>
        <v>2282400</v>
      </c>
      <c r="AE900" s="896">
        <f t="shared" si="75"/>
        <v>1</v>
      </c>
      <c r="AF900" s="897">
        <f t="shared" si="71"/>
        <v>190</v>
      </c>
    </row>
    <row r="901" spans="1:32" x14ac:dyDescent="0.3">
      <c r="A901" s="305" t="s">
        <v>1314</v>
      </c>
      <c r="B901" s="895" t="s">
        <v>1189</v>
      </c>
      <c r="C901" s="748"/>
      <c r="D901" s="749"/>
      <c r="E901" s="749"/>
      <c r="F901" s="749"/>
      <c r="G901" s="749"/>
      <c r="H901" s="749"/>
      <c r="I901" s="749"/>
      <c r="J901" s="749"/>
      <c r="K901" s="749"/>
      <c r="L901" s="749"/>
      <c r="M901" s="749"/>
      <c r="N901" s="749"/>
      <c r="O901" s="749"/>
      <c r="P901" s="1497">
        <f t="shared" si="72"/>
        <v>0</v>
      </c>
      <c r="Q901" s="1141">
        <f t="shared" si="73"/>
        <v>0</v>
      </c>
      <c r="R901" s="748">
        <v>683700</v>
      </c>
      <c r="S901" s="749">
        <v>256500</v>
      </c>
      <c r="T901" s="749">
        <v>354900</v>
      </c>
      <c r="U901" s="749">
        <v>0</v>
      </c>
      <c r="V901" s="749">
        <v>0</v>
      </c>
      <c r="W901" s="749">
        <v>475200</v>
      </c>
      <c r="X901" s="749">
        <v>0</v>
      </c>
      <c r="Y901" s="749">
        <v>0</v>
      </c>
      <c r="Z901" s="749"/>
      <c r="AA901" s="749"/>
      <c r="AB901" s="749"/>
      <c r="AC901" s="749"/>
      <c r="AD901" s="1141">
        <f t="shared" si="74"/>
        <v>1770300</v>
      </c>
      <c r="AE901" s="896">
        <f t="shared" si="75"/>
        <v>1</v>
      </c>
      <c r="AF901" s="897">
        <f t="shared" ref="AF901:AF964" si="76">IFERROR(_xlfn.RANK.EQ(AD901, $AD$2:$AD$2064), "")</f>
        <v>229</v>
      </c>
    </row>
    <row r="902" spans="1:32" x14ac:dyDescent="0.3">
      <c r="A902" s="305" t="s">
        <v>1314</v>
      </c>
      <c r="B902" s="895" t="s">
        <v>2499</v>
      </c>
      <c r="C902" s="748"/>
      <c r="D902" s="749"/>
      <c r="E902" s="749"/>
      <c r="F902" s="749"/>
      <c r="G902" s="749"/>
      <c r="H902" s="749"/>
      <c r="I902" s="749"/>
      <c r="J902" s="749"/>
      <c r="K902" s="749"/>
      <c r="L902" s="749"/>
      <c r="M902" s="749"/>
      <c r="N902" s="749"/>
      <c r="O902" s="749"/>
      <c r="P902" s="1497">
        <f t="shared" si="72"/>
        <v>0</v>
      </c>
      <c r="Q902" s="1141">
        <f t="shared" si="73"/>
        <v>0</v>
      </c>
      <c r="R902" s="748">
        <v>246800</v>
      </c>
      <c r="S902" s="749">
        <v>54100</v>
      </c>
      <c r="T902" s="749">
        <v>19000</v>
      </c>
      <c r="U902" s="749">
        <v>68000</v>
      </c>
      <c r="V902" s="749">
        <v>59000</v>
      </c>
      <c r="W902" s="749">
        <v>0</v>
      </c>
      <c r="X902" s="749">
        <v>67000</v>
      </c>
      <c r="Y902" s="749">
        <v>1652300</v>
      </c>
      <c r="Z902" s="749"/>
      <c r="AA902" s="749"/>
      <c r="AB902" s="749"/>
      <c r="AC902" s="749"/>
      <c r="AD902" s="1141">
        <f t="shared" si="74"/>
        <v>2166200</v>
      </c>
      <c r="AE902" s="896">
        <f t="shared" si="75"/>
        <v>1</v>
      </c>
      <c r="AF902" s="897">
        <f t="shared" si="76"/>
        <v>200</v>
      </c>
    </row>
    <row r="903" spans="1:32" x14ac:dyDescent="0.3">
      <c r="A903" s="305" t="s">
        <v>1314</v>
      </c>
      <c r="B903" s="895" t="s">
        <v>1184</v>
      </c>
      <c r="C903" s="748"/>
      <c r="D903" s="749"/>
      <c r="E903" s="749"/>
      <c r="F903" s="749"/>
      <c r="G903" s="749"/>
      <c r="H903" s="749"/>
      <c r="I903" s="749"/>
      <c r="J903" s="749"/>
      <c r="K903" s="749"/>
      <c r="L903" s="749"/>
      <c r="M903" s="749"/>
      <c r="N903" s="749"/>
      <c r="O903" s="749"/>
      <c r="P903" s="1497">
        <f t="shared" si="72"/>
        <v>0</v>
      </c>
      <c r="Q903" s="1141">
        <f t="shared" si="73"/>
        <v>0</v>
      </c>
      <c r="R903" s="748">
        <v>12000</v>
      </c>
      <c r="S903" s="749"/>
      <c r="T903" s="749">
        <v>0</v>
      </c>
      <c r="U903" s="749">
        <v>0</v>
      </c>
      <c r="V903" s="749">
        <v>0</v>
      </c>
      <c r="W903" s="749">
        <v>0</v>
      </c>
      <c r="X903" s="749">
        <v>0</v>
      </c>
      <c r="Y903" s="749">
        <v>0</v>
      </c>
      <c r="Z903" s="749"/>
      <c r="AA903" s="749"/>
      <c r="AB903" s="749"/>
      <c r="AC903" s="749"/>
      <c r="AD903" s="1141">
        <f t="shared" si="74"/>
        <v>12000</v>
      </c>
      <c r="AE903" s="896">
        <f t="shared" si="75"/>
        <v>1</v>
      </c>
      <c r="AF903" s="897">
        <f t="shared" si="76"/>
        <v>947</v>
      </c>
    </row>
    <row r="904" spans="1:32" x14ac:dyDescent="0.3">
      <c r="A904" s="305" t="s">
        <v>1314</v>
      </c>
      <c r="B904" s="895" t="s">
        <v>1299</v>
      </c>
      <c r="C904" s="748"/>
      <c r="D904" s="749"/>
      <c r="E904" s="749"/>
      <c r="F904" s="749"/>
      <c r="G904" s="749"/>
      <c r="H904" s="749"/>
      <c r="I904" s="749"/>
      <c r="J904" s="749"/>
      <c r="K904" s="749"/>
      <c r="L904" s="749"/>
      <c r="M904" s="749"/>
      <c r="N904" s="749"/>
      <c r="O904" s="749"/>
      <c r="P904" s="1497">
        <f t="shared" si="72"/>
        <v>0</v>
      </c>
      <c r="Q904" s="1141">
        <f t="shared" si="73"/>
        <v>0</v>
      </c>
      <c r="R904" s="748">
        <v>160000</v>
      </c>
      <c r="S904" s="749"/>
      <c r="T904" s="749">
        <v>0</v>
      </c>
      <c r="U904" s="749">
        <v>0</v>
      </c>
      <c r="V904" s="749">
        <v>0</v>
      </c>
      <c r="W904" s="749">
        <v>0</v>
      </c>
      <c r="X904" s="749">
        <v>0</v>
      </c>
      <c r="Y904" s="749">
        <v>0</v>
      </c>
      <c r="Z904" s="749"/>
      <c r="AA904" s="749"/>
      <c r="AB904" s="749"/>
      <c r="AC904" s="749"/>
      <c r="AD904" s="1141">
        <f t="shared" si="74"/>
        <v>160000</v>
      </c>
      <c r="AE904" s="896">
        <f t="shared" si="75"/>
        <v>1</v>
      </c>
      <c r="AF904" s="897">
        <f t="shared" si="76"/>
        <v>660</v>
      </c>
    </row>
    <row r="905" spans="1:32" x14ac:dyDescent="0.3">
      <c r="A905" s="305" t="s">
        <v>1314</v>
      </c>
      <c r="B905" s="895" t="s">
        <v>2500</v>
      </c>
      <c r="C905" s="748"/>
      <c r="D905" s="749"/>
      <c r="E905" s="749"/>
      <c r="F905" s="749"/>
      <c r="G905" s="749"/>
      <c r="H905" s="749"/>
      <c r="I905" s="749"/>
      <c r="J905" s="749"/>
      <c r="K905" s="749"/>
      <c r="L905" s="749"/>
      <c r="M905" s="749"/>
      <c r="N905" s="749"/>
      <c r="O905" s="749"/>
      <c r="P905" s="1497">
        <f t="shared" si="72"/>
        <v>0</v>
      </c>
      <c r="Q905" s="1141">
        <f t="shared" si="73"/>
        <v>0</v>
      </c>
      <c r="R905" s="748">
        <v>76100</v>
      </c>
      <c r="S905" s="749"/>
      <c r="T905" s="749">
        <v>0</v>
      </c>
      <c r="U905" s="749">
        <v>0</v>
      </c>
      <c r="V905" s="749">
        <v>0</v>
      </c>
      <c r="W905" s="749">
        <v>0</v>
      </c>
      <c r="X905" s="749">
        <v>0</v>
      </c>
      <c r="Y905" s="749">
        <v>0</v>
      </c>
      <c r="Z905" s="749"/>
      <c r="AA905" s="749"/>
      <c r="AB905" s="749"/>
      <c r="AC905" s="749"/>
      <c r="AD905" s="1141">
        <f t="shared" si="74"/>
        <v>76100</v>
      </c>
      <c r="AE905" s="896">
        <f t="shared" si="75"/>
        <v>1</v>
      </c>
      <c r="AF905" s="897">
        <f t="shared" si="76"/>
        <v>778</v>
      </c>
    </row>
    <row r="906" spans="1:32" x14ac:dyDescent="0.3">
      <c r="A906" s="305" t="s">
        <v>1314</v>
      </c>
      <c r="B906" s="895" t="s">
        <v>2547</v>
      </c>
      <c r="C906" s="748"/>
      <c r="D906" s="749"/>
      <c r="E906" s="749"/>
      <c r="F906" s="749"/>
      <c r="G906" s="749"/>
      <c r="H906" s="749"/>
      <c r="I906" s="749"/>
      <c r="J906" s="749"/>
      <c r="K906" s="749"/>
      <c r="L906" s="749"/>
      <c r="M906" s="749"/>
      <c r="N906" s="749"/>
      <c r="O906" s="749"/>
      <c r="P906" s="1497">
        <f t="shared" si="72"/>
        <v>0</v>
      </c>
      <c r="Q906" s="1141">
        <f t="shared" si="73"/>
        <v>0</v>
      </c>
      <c r="R906" s="748">
        <v>17250</v>
      </c>
      <c r="S906" s="749"/>
      <c r="T906" s="749">
        <v>0</v>
      </c>
      <c r="U906" s="749">
        <v>0</v>
      </c>
      <c r="V906" s="749">
        <v>0</v>
      </c>
      <c r="W906" s="749">
        <v>0</v>
      </c>
      <c r="X906" s="749">
        <v>0</v>
      </c>
      <c r="Y906" s="749">
        <v>0</v>
      </c>
      <c r="Z906" s="749"/>
      <c r="AA906" s="749"/>
      <c r="AB906" s="749"/>
      <c r="AC906" s="749"/>
      <c r="AD906" s="1141">
        <f t="shared" si="74"/>
        <v>17250</v>
      </c>
      <c r="AE906" s="896">
        <f t="shared" si="75"/>
        <v>1</v>
      </c>
      <c r="AF906" s="897">
        <f t="shared" si="76"/>
        <v>933</v>
      </c>
    </row>
    <row r="907" spans="1:32" x14ac:dyDescent="0.3">
      <c r="A907" s="305" t="s">
        <v>1314</v>
      </c>
      <c r="B907" s="895" t="s">
        <v>1491</v>
      </c>
      <c r="C907" s="748"/>
      <c r="D907" s="749"/>
      <c r="E907" s="749"/>
      <c r="F907" s="749"/>
      <c r="G907" s="749"/>
      <c r="H907" s="749"/>
      <c r="I907" s="749"/>
      <c r="J907" s="749"/>
      <c r="K907" s="749"/>
      <c r="L907" s="749"/>
      <c r="M907" s="749"/>
      <c r="N907" s="749"/>
      <c r="O907" s="749"/>
      <c r="P907" s="1497">
        <f t="shared" si="72"/>
        <v>0</v>
      </c>
      <c r="Q907" s="1141">
        <f t="shared" si="73"/>
        <v>0</v>
      </c>
      <c r="R907" s="748"/>
      <c r="S907" s="749"/>
      <c r="T907" s="749">
        <v>34400</v>
      </c>
      <c r="U907" s="749">
        <v>0</v>
      </c>
      <c r="V907" s="749">
        <v>0</v>
      </c>
      <c r="W907" s="749">
        <v>0</v>
      </c>
      <c r="X907" s="749">
        <v>0</v>
      </c>
      <c r="Y907" s="749">
        <v>92500</v>
      </c>
      <c r="Z907" s="749"/>
      <c r="AA907" s="749"/>
      <c r="AB907" s="749"/>
      <c r="AC907" s="749"/>
      <c r="AD907" s="1141">
        <f t="shared" si="74"/>
        <v>126900</v>
      </c>
      <c r="AE907" s="896">
        <f t="shared" si="75"/>
        <v>1</v>
      </c>
      <c r="AF907" s="897">
        <f t="shared" si="76"/>
        <v>702</v>
      </c>
    </row>
    <row r="908" spans="1:32" x14ac:dyDescent="0.3">
      <c r="A908" s="305" t="s">
        <v>1314</v>
      </c>
      <c r="B908" s="895" t="s">
        <v>2743</v>
      </c>
      <c r="C908" s="748"/>
      <c r="D908" s="749"/>
      <c r="E908" s="749"/>
      <c r="F908" s="749"/>
      <c r="G908" s="749"/>
      <c r="H908" s="749"/>
      <c r="I908" s="749"/>
      <c r="J908" s="749"/>
      <c r="K908" s="749"/>
      <c r="L908" s="749"/>
      <c r="M908" s="749"/>
      <c r="N908" s="749"/>
      <c r="O908" s="749"/>
      <c r="P908" s="1497">
        <f t="shared" si="72"/>
        <v>0</v>
      </c>
      <c r="Q908" s="1141">
        <f t="shared" si="73"/>
        <v>0</v>
      </c>
      <c r="R908" s="748"/>
      <c r="S908" s="749"/>
      <c r="T908" s="749"/>
      <c r="U908" s="749">
        <v>26000</v>
      </c>
      <c r="V908" s="749"/>
      <c r="W908" s="749"/>
      <c r="X908" s="749"/>
      <c r="Y908" s="749"/>
      <c r="Z908" s="749"/>
      <c r="AA908" s="749"/>
      <c r="AB908" s="749"/>
      <c r="AC908" s="749"/>
      <c r="AD908" s="1141">
        <f t="shared" si="74"/>
        <v>26000</v>
      </c>
      <c r="AE908" s="896">
        <f t="shared" si="75"/>
        <v>1</v>
      </c>
      <c r="AF908" s="897">
        <f t="shared" si="76"/>
        <v>904</v>
      </c>
    </row>
    <row r="909" spans="1:32" x14ac:dyDescent="0.3">
      <c r="A909" s="305" t="s">
        <v>1314</v>
      </c>
      <c r="B909" s="895" t="s">
        <v>2902</v>
      </c>
      <c r="C909" s="748"/>
      <c r="D909" s="749"/>
      <c r="E909" s="749"/>
      <c r="F909" s="749"/>
      <c r="G909" s="749"/>
      <c r="H909" s="749"/>
      <c r="I909" s="749"/>
      <c r="J909" s="749"/>
      <c r="K909" s="749"/>
      <c r="L909" s="749"/>
      <c r="M909" s="749"/>
      <c r="N909" s="749"/>
      <c r="O909" s="749"/>
      <c r="P909" s="1497">
        <f t="shared" ref="P909:P974" si="77">SUM(C909:I909,K909)</f>
        <v>0</v>
      </c>
      <c r="Q909" s="1141">
        <f t="shared" ref="Q909:Q973" si="78">SUM(C909:J909,L909:O909)</f>
        <v>0</v>
      </c>
      <c r="R909" s="748"/>
      <c r="S909" s="749"/>
      <c r="T909" s="749"/>
      <c r="U909" s="749"/>
      <c r="V909" s="749"/>
      <c r="W909" s="749">
        <v>343200</v>
      </c>
      <c r="X909" s="749">
        <v>0</v>
      </c>
      <c r="Y909" s="749">
        <v>0</v>
      </c>
      <c r="Z909" s="749"/>
      <c r="AA909" s="749"/>
      <c r="AB909" s="749"/>
      <c r="AC909" s="749"/>
      <c r="AD909" s="1141">
        <f t="shared" si="74"/>
        <v>343200</v>
      </c>
      <c r="AE909" s="896">
        <f t="shared" si="75"/>
        <v>1</v>
      </c>
      <c r="AF909" s="897">
        <f t="shared" si="76"/>
        <v>507</v>
      </c>
    </row>
    <row r="910" spans="1:32" x14ac:dyDescent="0.3">
      <c r="A910" s="305" t="s">
        <v>1314</v>
      </c>
      <c r="B910" s="895" t="s">
        <v>2957</v>
      </c>
      <c r="C910" s="748"/>
      <c r="D910" s="749"/>
      <c r="E910" s="749"/>
      <c r="F910" s="749"/>
      <c r="G910" s="749"/>
      <c r="H910" s="749"/>
      <c r="I910" s="749"/>
      <c r="J910" s="749"/>
      <c r="K910" s="749"/>
      <c r="L910" s="749"/>
      <c r="M910" s="749"/>
      <c r="N910" s="749"/>
      <c r="O910" s="749"/>
      <c r="P910" s="1497">
        <f t="shared" si="77"/>
        <v>0</v>
      </c>
      <c r="Q910" s="1141">
        <f t="shared" si="78"/>
        <v>0</v>
      </c>
      <c r="R910" s="748"/>
      <c r="S910" s="749"/>
      <c r="T910" s="749"/>
      <c r="U910" s="749"/>
      <c r="V910" s="749"/>
      <c r="W910" s="749"/>
      <c r="X910" s="749">
        <v>885300</v>
      </c>
      <c r="Y910" s="749">
        <v>0</v>
      </c>
      <c r="Z910" s="749"/>
      <c r="AA910" s="749"/>
      <c r="AB910" s="749"/>
      <c r="AC910" s="749"/>
      <c r="AD910" s="1141">
        <f t="shared" si="74"/>
        <v>885300</v>
      </c>
      <c r="AE910" s="896">
        <f t="shared" si="75"/>
        <v>1</v>
      </c>
      <c r="AF910" s="897">
        <f t="shared" si="76"/>
        <v>337</v>
      </c>
    </row>
    <row r="911" spans="1:32" x14ac:dyDescent="0.3">
      <c r="A911" s="305" t="s">
        <v>1314</v>
      </c>
      <c r="B911" s="895" t="s">
        <v>1283</v>
      </c>
      <c r="C911" s="748"/>
      <c r="D911" s="749"/>
      <c r="E911" s="749"/>
      <c r="F911" s="749"/>
      <c r="G911" s="749"/>
      <c r="H911" s="749"/>
      <c r="I911" s="749"/>
      <c r="J911" s="749"/>
      <c r="K911" s="749"/>
      <c r="L911" s="749"/>
      <c r="M911" s="749"/>
      <c r="N911" s="749"/>
      <c r="O911" s="749"/>
      <c r="P911" s="1497">
        <f t="shared" si="77"/>
        <v>0</v>
      </c>
      <c r="Q911" s="1141">
        <f t="shared" si="78"/>
        <v>0</v>
      </c>
      <c r="R911" s="748"/>
      <c r="S911" s="749"/>
      <c r="T911" s="749"/>
      <c r="U911" s="749"/>
      <c r="V911" s="749"/>
      <c r="W911" s="749"/>
      <c r="X911" s="749">
        <v>206000</v>
      </c>
      <c r="Y911" s="749">
        <v>0</v>
      </c>
      <c r="Z911" s="749"/>
      <c r="AA911" s="749"/>
      <c r="AB911" s="749"/>
      <c r="AC911" s="749"/>
      <c r="AD911" s="1141">
        <f t="shared" si="74"/>
        <v>206000</v>
      </c>
      <c r="AE911" s="896">
        <f t="shared" si="75"/>
        <v>1</v>
      </c>
      <c r="AF911" s="897">
        <f t="shared" si="76"/>
        <v>606</v>
      </c>
    </row>
    <row r="912" spans="1:32" x14ac:dyDescent="0.3">
      <c r="A912" s="305" t="s">
        <v>1314</v>
      </c>
      <c r="B912" s="895" t="s">
        <v>2958</v>
      </c>
      <c r="C912" s="748"/>
      <c r="D912" s="749"/>
      <c r="E912" s="749"/>
      <c r="F912" s="749"/>
      <c r="G912" s="749"/>
      <c r="H912" s="749"/>
      <c r="I912" s="749"/>
      <c r="J912" s="749"/>
      <c r="K912" s="749"/>
      <c r="L912" s="749"/>
      <c r="M912" s="749"/>
      <c r="N912" s="749"/>
      <c r="O912" s="749"/>
      <c r="P912" s="1497">
        <f t="shared" si="77"/>
        <v>0</v>
      </c>
      <c r="Q912" s="1141">
        <f t="shared" si="78"/>
        <v>0</v>
      </c>
      <c r="R912" s="748"/>
      <c r="S912" s="749"/>
      <c r="T912" s="749"/>
      <c r="U912" s="749"/>
      <c r="V912" s="749"/>
      <c r="W912" s="749"/>
      <c r="X912" s="749">
        <v>38400</v>
      </c>
      <c r="Y912" s="749">
        <v>884200</v>
      </c>
      <c r="Z912" s="749"/>
      <c r="AA912" s="749"/>
      <c r="AB912" s="749"/>
      <c r="AC912" s="749"/>
      <c r="AD912" s="1141">
        <f t="shared" si="74"/>
        <v>922600</v>
      </c>
      <c r="AE912" s="896">
        <f t="shared" si="75"/>
        <v>1</v>
      </c>
      <c r="AF912" s="897">
        <f t="shared" si="76"/>
        <v>333</v>
      </c>
    </row>
    <row r="913" spans="1:32" x14ac:dyDescent="0.3">
      <c r="A913" s="305" t="s">
        <v>1314</v>
      </c>
      <c r="B913" s="895" t="s">
        <v>1329</v>
      </c>
      <c r="C913" s="748"/>
      <c r="D913" s="749"/>
      <c r="E913" s="749"/>
      <c r="F913" s="749"/>
      <c r="G913" s="749"/>
      <c r="H913" s="749"/>
      <c r="I913" s="749"/>
      <c r="J913" s="749"/>
      <c r="K913" s="749"/>
      <c r="L913" s="749"/>
      <c r="M913" s="749"/>
      <c r="N913" s="749"/>
      <c r="O913" s="749"/>
      <c r="P913" s="1497">
        <f t="shared" si="77"/>
        <v>0</v>
      </c>
      <c r="Q913" s="1141">
        <f t="shared" si="78"/>
        <v>0</v>
      </c>
      <c r="R913" s="748"/>
      <c r="S913" s="749"/>
      <c r="T913" s="749"/>
      <c r="U913" s="749"/>
      <c r="V913" s="749"/>
      <c r="W913" s="749"/>
      <c r="X913" s="749">
        <v>102700</v>
      </c>
      <c r="Y913" s="749">
        <v>0</v>
      </c>
      <c r="Z913" s="749"/>
      <c r="AA913" s="749"/>
      <c r="AB913" s="749"/>
      <c r="AC913" s="749"/>
      <c r="AD913" s="1141">
        <f t="shared" si="74"/>
        <v>102700</v>
      </c>
      <c r="AE913" s="896">
        <f t="shared" si="75"/>
        <v>1</v>
      </c>
      <c r="AF913" s="897">
        <f t="shared" si="76"/>
        <v>737</v>
      </c>
    </row>
    <row r="914" spans="1:32" x14ac:dyDescent="0.3">
      <c r="A914" s="18" t="s">
        <v>2646</v>
      </c>
      <c r="B914" s="659" t="s">
        <v>1328</v>
      </c>
      <c r="C914" s="750"/>
      <c r="D914" s="751">
        <v>1687500</v>
      </c>
      <c r="E914" s="751">
        <v>1367450</v>
      </c>
      <c r="F914" s="751">
        <v>1620700</v>
      </c>
      <c r="G914" s="751">
        <v>873900</v>
      </c>
      <c r="H914" s="751">
        <v>97100</v>
      </c>
      <c r="I914" s="751">
        <v>1350500</v>
      </c>
      <c r="J914" s="751">
        <v>1773500</v>
      </c>
      <c r="K914" s="751">
        <v>1773500</v>
      </c>
      <c r="L914" s="751">
        <v>817850</v>
      </c>
      <c r="M914" s="751">
        <v>0</v>
      </c>
      <c r="N914" s="751">
        <v>388400</v>
      </c>
      <c r="O914" s="751">
        <v>194200</v>
      </c>
      <c r="P914" s="1497">
        <f t="shared" si="77"/>
        <v>8770650</v>
      </c>
      <c r="Q914" s="1142">
        <f t="shared" si="78"/>
        <v>10171100</v>
      </c>
      <c r="R914" s="750">
        <v>2754850</v>
      </c>
      <c r="S914" s="751">
        <v>1130050</v>
      </c>
      <c r="T914" s="751">
        <v>553800</v>
      </c>
      <c r="U914" s="751">
        <v>632200</v>
      </c>
      <c r="V914" s="751">
        <v>174600</v>
      </c>
      <c r="W914" s="751">
        <v>1239700</v>
      </c>
      <c r="X914" s="751">
        <v>2525800</v>
      </c>
      <c r="Y914" s="751">
        <v>1167100</v>
      </c>
      <c r="Z914" s="751"/>
      <c r="AA914" s="751"/>
      <c r="AB914" s="751"/>
      <c r="AC914" s="751"/>
      <c r="AD914" s="1142">
        <f t="shared" si="74"/>
        <v>10178100</v>
      </c>
      <c r="AE914" s="586">
        <f t="shared" si="75"/>
        <v>0.16047271296882215</v>
      </c>
      <c r="AF914" s="587">
        <f t="shared" si="76"/>
        <v>32</v>
      </c>
    </row>
    <row r="915" spans="1:32" x14ac:dyDescent="0.3">
      <c r="A915" s="18" t="s">
        <v>1327</v>
      </c>
      <c r="B915" s="659" t="s">
        <v>444</v>
      </c>
      <c r="C915" s="750"/>
      <c r="D915" s="751">
        <v>0</v>
      </c>
      <c r="E915" s="751">
        <v>1988250</v>
      </c>
      <c r="F915" s="751">
        <v>378750</v>
      </c>
      <c r="G915" s="751">
        <v>0</v>
      </c>
      <c r="H915" s="751">
        <v>0</v>
      </c>
      <c r="I915" s="751">
        <v>223800</v>
      </c>
      <c r="J915" s="751">
        <v>131000</v>
      </c>
      <c r="K915" s="751">
        <v>131000</v>
      </c>
      <c r="L915" s="751">
        <v>0</v>
      </c>
      <c r="M915" s="751">
        <v>0</v>
      </c>
      <c r="N915" s="751">
        <v>0</v>
      </c>
      <c r="O915" s="751" t="s">
        <v>251</v>
      </c>
      <c r="P915" s="1497">
        <f t="shared" si="77"/>
        <v>2721800</v>
      </c>
      <c r="Q915" s="1142">
        <f t="shared" si="78"/>
        <v>2721800</v>
      </c>
      <c r="R915" s="750"/>
      <c r="S915" s="751"/>
      <c r="T915" s="751"/>
      <c r="U915" s="751"/>
      <c r="V915" s="751"/>
      <c r="W915" s="751"/>
      <c r="X915" s="751"/>
      <c r="Y915" s="751"/>
      <c r="Z915" s="751"/>
      <c r="AA915" s="751"/>
      <c r="AB915" s="751"/>
      <c r="AC915" s="751"/>
      <c r="AD915" s="1142">
        <f t="shared" si="74"/>
        <v>0</v>
      </c>
      <c r="AE915" s="586">
        <f t="shared" si="75"/>
        <v>-1</v>
      </c>
      <c r="AF915" s="587">
        <f t="shared" si="76"/>
        <v>983</v>
      </c>
    </row>
    <row r="916" spans="1:32" x14ac:dyDescent="0.3">
      <c r="A916" s="18" t="s">
        <v>1327</v>
      </c>
      <c r="B916" s="659" t="s">
        <v>883</v>
      </c>
      <c r="C916" s="750">
        <v>165450</v>
      </c>
      <c r="D916" s="751">
        <v>220400</v>
      </c>
      <c r="E916" s="751">
        <v>509800</v>
      </c>
      <c r="F916" s="751">
        <v>329600</v>
      </c>
      <c r="G916" s="751">
        <v>504500</v>
      </c>
      <c r="H916" s="751">
        <v>1005400</v>
      </c>
      <c r="I916" s="751">
        <v>55200</v>
      </c>
      <c r="J916" s="751">
        <v>0</v>
      </c>
      <c r="K916" s="751">
        <v>0</v>
      </c>
      <c r="L916" s="751">
        <v>0</v>
      </c>
      <c r="M916" s="751">
        <v>0</v>
      </c>
      <c r="N916" s="751">
        <v>0</v>
      </c>
      <c r="O916" s="751" t="s">
        <v>251</v>
      </c>
      <c r="P916" s="1497">
        <f t="shared" si="77"/>
        <v>2790350</v>
      </c>
      <c r="Q916" s="1142">
        <f t="shared" si="78"/>
        <v>2790350</v>
      </c>
      <c r="R916" s="750"/>
      <c r="S916" s="751"/>
      <c r="T916" s="751"/>
      <c r="U916" s="751">
        <v>17600</v>
      </c>
      <c r="V916" s="751">
        <v>0</v>
      </c>
      <c r="W916" s="751">
        <v>0</v>
      </c>
      <c r="X916" s="751">
        <v>1620300</v>
      </c>
      <c r="Y916" s="751">
        <v>56950</v>
      </c>
      <c r="Z916" s="751"/>
      <c r="AA916" s="751"/>
      <c r="AB916" s="751"/>
      <c r="AC916" s="751"/>
      <c r="AD916" s="1142">
        <f t="shared" si="74"/>
        <v>1694850</v>
      </c>
      <c r="AE916" s="586">
        <f t="shared" si="75"/>
        <v>-0.39260307846685899</v>
      </c>
      <c r="AF916" s="587">
        <f t="shared" si="76"/>
        <v>234</v>
      </c>
    </row>
    <row r="917" spans="1:32" x14ac:dyDescent="0.3">
      <c r="A917" s="18" t="s">
        <v>1327</v>
      </c>
      <c r="B917" s="659" t="s">
        <v>972</v>
      </c>
      <c r="C917" s="750">
        <v>17600</v>
      </c>
      <c r="D917" s="751">
        <v>539600</v>
      </c>
      <c r="E917" s="751">
        <v>500900</v>
      </c>
      <c r="F917" s="751">
        <v>0</v>
      </c>
      <c r="G917" s="751">
        <v>68000</v>
      </c>
      <c r="H917" s="751">
        <v>493300</v>
      </c>
      <c r="I917" s="751">
        <v>42050</v>
      </c>
      <c r="J917" s="751">
        <v>0</v>
      </c>
      <c r="K917" s="751">
        <v>0</v>
      </c>
      <c r="L917" s="751">
        <v>0</v>
      </c>
      <c r="M917" s="751">
        <v>0</v>
      </c>
      <c r="N917" s="751">
        <v>0</v>
      </c>
      <c r="O917" s="751" t="s">
        <v>251</v>
      </c>
      <c r="P917" s="1497">
        <f t="shared" si="77"/>
        <v>1661450</v>
      </c>
      <c r="Q917" s="1142">
        <f t="shared" si="78"/>
        <v>1661450</v>
      </c>
      <c r="R917" s="750"/>
      <c r="S917" s="751"/>
      <c r="T917" s="751"/>
      <c r="U917" s="751"/>
      <c r="V917" s="751"/>
      <c r="W917" s="751"/>
      <c r="X917" s="751"/>
      <c r="Y917" s="751"/>
      <c r="Z917" s="751"/>
      <c r="AA917" s="751"/>
      <c r="AB917" s="751"/>
      <c r="AC917" s="751"/>
      <c r="AD917" s="1142">
        <f t="shared" si="74"/>
        <v>0</v>
      </c>
      <c r="AE917" s="586">
        <f t="shared" si="75"/>
        <v>-1</v>
      </c>
      <c r="AF917" s="587">
        <f t="shared" si="76"/>
        <v>983</v>
      </c>
    </row>
    <row r="918" spans="1:32" x14ac:dyDescent="0.3">
      <c r="A918" s="18" t="s">
        <v>1327</v>
      </c>
      <c r="B918" s="659" t="s">
        <v>1318</v>
      </c>
      <c r="C918" s="750"/>
      <c r="D918" s="751">
        <v>0</v>
      </c>
      <c r="E918" s="751">
        <v>915600</v>
      </c>
      <c r="F918" s="751">
        <v>0</v>
      </c>
      <c r="G918" s="751">
        <v>0</v>
      </c>
      <c r="H918" s="751">
        <v>0</v>
      </c>
      <c r="I918" s="751">
        <v>1936800</v>
      </c>
      <c r="J918" s="751">
        <v>1501100</v>
      </c>
      <c r="K918" s="751">
        <v>1501100</v>
      </c>
      <c r="L918" s="751">
        <v>65200</v>
      </c>
      <c r="M918" s="751">
        <v>0</v>
      </c>
      <c r="N918" s="751">
        <v>0</v>
      </c>
      <c r="O918" s="751" t="s">
        <v>251</v>
      </c>
      <c r="P918" s="1497">
        <f t="shared" si="77"/>
        <v>4353500</v>
      </c>
      <c r="Q918" s="1142">
        <f t="shared" si="78"/>
        <v>4418700</v>
      </c>
      <c r="R918" s="750"/>
      <c r="S918" s="751"/>
      <c r="T918" s="751"/>
      <c r="U918" s="751"/>
      <c r="V918" s="751"/>
      <c r="W918" s="751"/>
      <c r="X918" s="751"/>
      <c r="Y918" s="751"/>
      <c r="Z918" s="751"/>
      <c r="AA918" s="751"/>
      <c r="AB918" s="751"/>
      <c r="AC918" s="751"/>
      <c r="AD918" s="1142">
        <f t="shared" si="74"/>
        <v>0</v>
      </c>
      <c r="AE918" s="586">
        <f t="shared" si="75"/>
        <v>-1</v>
      </c>
      <c r="AF918" s="587">
        <f t="shared" si="76"/>
        <v>983</v>
      </c>
    </row>
    <row r="919" spans="1:32" x14ac:dyDescent="0.3">
      <c r="A919" s="18" t="s">
        <v>1327</v>
      </c>
      <c r="B919" s="659" t="s">
        <v>1298</v>
      </c>
      <c r="C919" s="750">
        <v>517000</v>
      </c>
      <c r="D919" s="751">
        <v>196400</v>
      </c>
      <c r="E919" s="751">
        <v>61000</v>
      </c>
      <c r="F919" s="751">
        <v>0</v>
      </c>
      <c r="G919" s="751">
        <v>0</v>
      </c>
      <c r="H919" s="751">
        <v>0</v>
      </c>
      <c r="I919" s="751">
        <v>0</v>
      </c>
      <c r="J919" s="751">
        <v>0</v>
      </c>
      <c r="K919" s="751">
        <v>0</v>
      </c>
      <c r="L919" s="751">
        <v>0</v>
      </c>
      <c r="M919" s="751">
        <v>0</v>
      </c>
      <c r="N919" s="751">
        <v>0</v>
      </c>
      <c r="O919" s="751">
        <v>798700</v>
      </c>
      <c r="P919" s="1497">
        <f t="shared" si="77"/>
        <v>774400</v>
      </c>
      <c r="Q919" s="1142">
        <f t="shared" si="78"/>
        <v>1573100</v>
      </c>
      <c r="R919" s="750">
        <v>422400</v>
      </c>
      <c r="S919" s="751">
        <v>85600</v>
      </c>
      <c r="T919" s="751">
        <v>0</v>
      </c>
      <c r="U919" s="751">
        <v>0</v>
      </c>
      <c r="V919" s="751">
        <v>0</v>
      </c>
      <c r="W919" s="751">
        <v>0</v>
      </c>
      <c r="X919" s="751">
        <v>0</v>
      </c>
      <c r="Y919" s="751">
        <v>0</v>
      </c>
      <c r="Z919" s="751"/>
      <c r="AA919" s="751"/>
      <c r="AB919" s="751"/>
      <c r="AC919" s="751"/>
      <c r="AD919" s="1142">
        <f t="shared" si="74"/>
        <v>508000</v>
      </c>
      <c r="AE919" s="586">
        <f t="shared" si="75"/>
        <v>-0.34400826446280991</v>
      </c>
      <c r="AF919" s="587">
        <f t="shared" si="76"/>
        <v>433</v>
      </c>
    </row>
    <row r="920" spans="1:32" x14ac:dyDescent="0.3">
      <c r="A920" s="18" t="s">
        <v>1327</v>
      </c>
      <c r="B920" s="659" t="s">
        <v>1295</v>
      </c>
      <c r="C920" s="750"/>
      <c r="D920" s="751">
        <v>261900</v>
      </c>
      <c r="E920" s="751">
        <v>69500</v>
      </c>
      <c r="F920" s="751">
        <v>0</v>
      </c>
      <c r="G920" s="751">
        <v>0</v>
      </c>
      <c r="H920" s="751">
        <v>376500</v>
      </c>
      <c r="I920" s="751">
        <v>747300</v>
      </c>
      <c r="J920" s="751">
        <v>261900</v>
      </c>
      <c r="K920" s="751">
        <v>261900</v>
      </c>
      <c r="L920" s="751">
        <v>100050</v>
      </c>
      <c r="M920" s="751">
        <v>141000</v>
      </c>
      <c r="N920" s="751">
        <v>188000</v>
      </c>
      <c r="O920" s="751">
        <v>1143200</v>
      </c>
      <c r="P920" s="1497">
        <f t="shared" si="77"/>
        <v>1717100</v>
      </c>
      <c r="Q920" s="1142">
        <f t="shared" si="78"/>
        <v>3289350</v>
      </c>
      <c r="R920" s="750"/>
      <c r="S920" s="751">
        <v>381900</v>
      </c>
      <c r="T920" s="751">
        <v>766000</v>
      </c>
      <c r="U920" s="751">
        <v>574500</v>
      </c>
      <c r="V920" s="751">
        <v>940050</v>
      </c>
      <c r="W920" s="751">
        <v>1440750</v>
      </c>
      <c r="X920" s="751">
        <v>753650</v>
      </c>
      <c r="Y920" s="751">
        <v>0</v>
      </c>
      <c r="Z920" s="751"/>
      <c r="AA920" s="751"/>
      <c r="AB920" s="751"/>
      <c r="AC920" s="751"/>
      <c r="AD920" s="1142">
        <f t="shared" si="74"/>
        <v>4856850</v>
      </c>
      <c r="AE920" s="586">
        <f t="shared" si="75"/>
        <v>1.8285190146176693</v>
      </c>
      <c r="AF920" s="587">
        <f t="shared" si="76"/>
        <v>92</v>
      </c>
    </row>
    <row r="921" spans="1:32" x14ac:dyDescent="0.3">
      <c r="A921" s="18" t="s">
        <v>1327</v>
      </c>
      <c r="B921" s="659" t="s">
        <v>1329</v>
      </c>
      <c r="C921" s="750">
        <v>207800</v>
      </c>
      <c r="D921" s="751">
        <v>88000</v>
      </c>
      <c r="E921" s="751"/>
      <c r="F921" s="751">
        <v>0</v>
      </c>
      <c r="G921" s="751">
        <v>0</v>
      </c>
      <c r="H921" s="751">
        <v>0</v>
      </c>
      <c r="I921" s="751">
        <v>0</v>
      </c>
      <c r="J921" s="751">
        <v>0</v>
      </c>
      <c r="K921" s="751">
        <v>0</v>
      </c>
      <c r="L921" s="751">
        <v>0</v>
      </c>
      <c r="M921" s="751">
        <v>0</v>
      </c>
      <c r="N921" s="751">
        <v>0</v>
      </c>
      <c r="O921" s="751" t="s">
        <v>251</v>
      </c>
      <c r="P921" s="1497">
        <f t="shared" si="77"/>
        <v>295800</v>
      </c>
      <c r="Q921" s="1142">
        <f t="shared" si="78"/>
        <v>295800</v>
      </c>
      <c r="R921" s="750"/>
      <c r="S921" s="751"/>
      <c r="T921" s="751"/>
      <c r="U921" s="751"/>
      <c r="V921" s="751"/>
      <c r="W921" s="751"/>
      <c r="X921" s="751"/>
      <c r="Y921" s="751"/>
      <c r="Z921" s="751"/>
      <c r="AA921" s="751"/>
      <c r="AB921" s="751"/>
      <c r="AC921" s="751"/>
      <c r="AD921" s="1142">
        <f t="shared" si="74"/>
        <v>0</v>
      </c>
      <c r="AE921" s="586">
        <f t="shared" si="75"/>
        <v>-1</v>
      </c>
      <c r="AF921" s="587">
        <f t="shared" si="76"/>
        <v>983</v>
      </c>
    </row>
    <row r="922" spans="1:32" x14ac:dyDescent="0.3">
      <c r="A922" s="18" t="s">
        <v>1327</v>
      </c>
      <c r="B922" s="659" t="s">
        <v>1330</v>
      </c>
      <c r="C922" s="750"/>
      <c r="D922" s="751">
        <v>83000</v>
      </c>
      <c r="E922" s="751"/>
      <c r="F922" s="751">
        <v>0</v>
      </c>
      <c r="G922" s="751">
        <v>0</v>
      </c>
      <c r="H922" s="751">
        <v>0</v>
      </c>
      <c r="I922" s="751">
        <v>0</v>
      </c>
      <c r="J922" s="751">
        <v>0</v>
      </c>
      <c r="K922" s="751">
        <v>0</v>
      </c>
      <c r="L922" s="751">
        <v>0</v>
      </c>
      <c r="M922" s="751">
        <v>0</v>
      </c>
      <c r="N922" s="751">
        <v>0</v>
      </c>
      <c r="O922" s="751" t="s">
        <v>251</v>
      </c>
      <c r="P922" s="1497">
        <f t="shared" si="77"/>
        <v>83000</v>
      </c>
      <c r="Q922" s="1142">
        <f t="shared" si="78"/>
        <v>83000</v>
      </c>
      <c r="R922" s="750"/>
      <c r="S922" s="751"/>
      <c r="T922" s="751"/>
      <c r="U922" s="751"/>
      <c r="V922" s="751"/>
      <c r="W922" s="751"/>
      <c r="X922" s="751"/>
      <c r="Y922" s="751"/>
      <c r="Z922" s="751"/>
      <c r="AA922" s="751"/>
      <c r="AB922" s="751"/>
      <c r="AC922" s="751"/>
      <c r="AD922" s="1142">
        <f t="shared" si="74"/>
        <v>0</v>
      </c>
      <c r="AE922" s="586">
        <f t="shared" si="75"/>
        <v>-1</v>
      </c>
      <c r="AF922" s="587">
        <f t="shared" si="76"/>
        <v>983</v>
      </c>
    </row>
    <row r="923" spans="1:32" x14ac:dyDescent="0.3">
      <c r="A923" s="18" t="s">
        <v>1327</v>
      </c>
      <c r="B923" s="659" t="s">
        <v>1331</v>
      </c>
      <c r="C923" s="750">
        <v>53300</v>
      </c>
      <c r="D923" s="751">
        <v>0</v>
      </c>
      <c r="E923" s="751"/>
      <c r="F923" s="751">
        <v>0</v>
      </c>
      <c r="G923" s="751">
        <v>24000</v>
      </c>
      <c r="H923" s="751">
        <v>17000</v>
      </c>
      <c r="I923" s="751">
        <v>0</v>
      </c>
      <c r="J923" s="751">
        <v>0</v>
      </c>
      <c r="K923" s="751">
        <v>0</v>
      </c>
      <c r="L923" s="751">
        <v>0</v>
      </c>
      <c r="M923" s="751">
        <v>0</v>
      </c>
      <c r="N923" s="751">
        <v>0</v>
      </c>
      <c r="O923" s="751">
        <v>12000</v>
      </c>
      <c r="P923" s="1497">
        <f t="shared" si="77"/>
        <v>94300</v>
      </c>
      <c r="Q923" s="1142">
        <f t="shared" si="78"/>
        <v>106300</v>
      </c>
      <c r="R923" s="750">
        <v>26200</v>
      </c>
      <c r="S923" s="751">
        <v>12800</v>
      </c>
      <c r="T923" s="751">
        <v>0</v>
      </c>
      <c r="U923" s="751">
        <v>0</v>
      </c>
      <c r="V923" s="751">
        <v>10600</v>
      </c>
      <c r="W923" s="751">
        <v>12800</v>
      </c>
      <c r="X923" s="751">
        <v>0</v>
      </c>
      <c r="Y923" s="751">
        <v>0</v>
      </c>
      <c r="Z923" s="751"/>
      <c r="AA923" s="751"/>
      <c r="AB923" s="751"/>
      <c r="AC923" s="751"/>
      <c r="AD923" s="1142">
        <f t="shared" si="74"/>
        <v>62400</v>
      </c>
      <c r="AE923" s="586">
        <f t="shared" si="75"/>
        <v>-0.33828207847295866</v>
      </c>
      <c r="AF923" s="587">
        <f t="shared" si="76"/>
        <v>813</v>
      </c>
    </row>
    <row r="924" spans="1:32" x14ac:dyDescent="0.3">
      <c r="A924" s="18" t="s">
        <v>1327</v>
      </c>
      <c r="B924" s="659" t="s">
        <v>1316</v>
      </c>
      <c r="C924" s="750"/>
      <c r="D924" s="751" t="s">
        <v>251</v>
      </c>
      <c r="E924" s="751"/>
      <c r="F924" s="751" t="s">
        <v>251</v>
      </c>
      <c r="G924" s="751" t="s">
        <v>251</v>
      </c>
      <c r="H924" s="751" t="s">
        <v>251</v>
      </c>
      <c r="I924" s="751" t="s">
        <v>251</v>
      </c>
      <c r="J924" s="751" t="s">
        <v>251</v>
      </c>
      <c r="K924" s="751"/>
      <c r="L924" s="751" t="s">
        <v>251</v>
      </c>
      <c r="M924" s="751" t="s">
        <v>251</v>
      </c>
      <c r="N924" s="751" t="s">
        <v>251</v>
      </c>
      <c r="O924" s="751" t="s">
        <v>251</v>
      </c>
      <c r="P924" s="1497">
        <f t="shared" si="77"/>
        <v>0</v>
      </c>
      <c r="Q924" s="1142">
        <f t="shared" si="78"/>
        <v>0</v>
      </c>
      <c r="R924" s="750"/>
      <c r="S924" s="751"/>
      <c r="T924" s="751"/>
      <c r="U924" s="751"/>
      <c r="V924" s="751"/>
      <c r="W924" s="751"/>
      <c r="X924" s="751"/>
      <c r="Y924" s="751"/>
      <c r="Z924" s="751"/>
      <c r="AA924" s="751"/>
      <c r="AB924" s="751"/>
      <c r="AC924" s="751"/>
      <c r="AD924" s="1142">
        <f t="shared" si="74"/>
        <v>0</v>
      </c>
      <c r="AE924" s="586">
        <f t="shared" si="75"/>
        <v>0</v>
      </c>
      <c r="AF924" s="587">
        <f t="shared" si="76"/>
        <v>983</v>
      </c>
    </row>
    <row r="925" spans="1:32" x14ac:dyDescent="0.3">
      <c r="A925" s="18" t="s">
        <v>1327</v>
      </c>
      <c r="B925" s="659" t="s">
        <v>2126</v>
      </c>
      <c r="C925" s="750"/>
      <c r="D925" s="751" t="s">
        <v>251</v>
      </c>
      <c r="E925" s="751"/>
      <c r="F925" s="751" t="s">
        <v>251</v>
      </c>
      <c r="G925" s="751" t="s">
        <v>251</v>
      </c>
      <c r="H925" s="751" t="s">
        <v>251</v>
      </c>
      <c r="I925" s="751" t="s">
        <v>251</v>
      </c>
      <c r="J925" s="751" t="s">
        <v>251</v>
      </c>
      <c r="K925" s="751"/>
      <c r="L925" s="751" t="s">
        <v>251</v>
      </c>
      <c r="M925" s="751" t="s">
        <v>251</v>
      </c>
      <c r="N925" s="751" t="s">
        <v>251</v>
      </c>
      <c r="O925" s="751" t="s">
        <v>251</v>
      </c>
      <c r="P925" s="1497">
        <f t="shared" si="77"/>
        <v>0</v>
      </c>
      <c r="Q925" s="1142">
        <f t="shared" si="78"/>
        <v>0</v>
      </c>
      <c r="R925" s="750"/>
      <c r="S925" s="751"/>
      <c r="T925" s="751"/>
      <c r="U925" s="751"/>
      <c r="V925" s="751"/>
      <c r="W925" s="751"/>
      <c r="X925" s="751"/>
      <c r="Y925" s="751"/>
      <c r="Z925" s="751"/>
      <c r="AA925" s="751"/>
      <c r="AB925" s="751"/>
      <c r="AC925" s="751"/>
      <c r="AD925" s="1142">
        <f t="shared" si="74"/>
        <v>0</v>
      </c>
      <c r="AE925" s="586">
        <f t="shared" si="75"/>
        <v>0</v>
      </c>
      <c r="AF925" s="587">
        <f t="shared" si="76"/>
        <v>983</v>
      </c>
    </row>
    <row r="926" spans="1:32" x14ac:dyDescent="0.3">
      <c r="A926" s="18" t="s">
        <v>1327</v>
      </c>
      <c r="B926" s="659" t="s">
        <v>2133</v>
      </c>
      <c r="C926" s="750"/>
      <c r="D926" s="751">
        <v>0</v>
      </c>
      <c r="E926" s="751"/>
      <c r="F926" s="751">
        <v>0</v>
      </c>
      <c r="G926" s="751">
        <v>0</v>
      </c>
      <c r="H926" s="751">
        <v>746500</v>
      </c>
      <c r="I926" s="751">
        <v>818500</v>
      </c>
      <c r="J926" s="751">
        <v>0</v>
      </c>
      <c r="K926" s="751">
        <v>0</v>
      </c>
      <c r="L926" s="751">
        <v>0</v>
      </c>
      <c r="M926" s="751">
        <v>0</v>
      </c>
      <c r="N926" s="751">
        <v>0</v>
      </c>
      <c r="O926" s="751" t="s">
        <v>251</v>
      </c>
      <c r="P926" s="1497">
        <f t="shared" si="77"/>
        <v>1565000</v>
      </c>
      <c r="Q926" s="1142">
        <f t="shared" si="78"/>
        <v>1565000</v>
      </c>
      <c r="R926" s="750"/>
      <c r="S926" s="751"/>
      <c r="T926" s="751"/>
      <c r="U926" s="751"/>
      <c r="V926" s="751"/>
      <c r="W926" s="751"/>
      <c r="X926" s="751"/>
      <c r="Y926" s="751"/>
      <c r="Z926" s="751"/>
      <c r="AA926" s="751"/>
      <c r="AB926" s="751"/>
      <c r="AC926" s="751"/>
      <c r="AD926" s="1142">
        <f t="shared" si="74"/>
        <v>0</v>
      </c>
      <c r="AE926" s="586">
        <f t="shared" si="75"/>
        <v>-1</v>
      </c>
      <c r="AF926" s="587">
        <f t="shared" si="76"/>
        <v>983</v>
      </c>
    </row>
    <row r="927" spans="1:32" x14ac:dyDescent="0.3">
      <c r="A927" s="18" t="s">
        <v>1327</v>
      </c>
      <c r="B927" s="659" t="s">
        <v>1335</v>
      </c>
      <c r="C927" s="750"/>
      <c r="D927" s="751">
        <v>0</v>
      </c>
      <c r="E927" s="751"/>
      <c r="F927" s="751">
        <v>0</v>
      </c>
      <c r="G927" s="751" t="s">
        <v>251</v>
      </c>
      <c r="H927" s="751">
        <v>17000</v>
      </c>
      <c r="I927" s="751">
        <v>0</v>
      </c>
      <c r="J927" s="751">
        <v>0</v>
      </c>
      <c r="K927" s="751">
        <v>0</v>
      </c>
      <c r="L927" s="751">
        <v>0</v>
      </c>
      <c r="M927" s="751">
        <v>0</v>
      </c>
      <c r="N927" s="751">
        <v>0</v>
      </c>
      <c r="O927" s="751" t="s">
        <v>251</v>
      </c>
      <c r="P927" s="1497">
        <f t="shared" si="77"/>
        <v>17000</v>
      </c>
      <c r="Q927" s="1142">
        <f t="shared" si="78"/>
        <v>17000</v>
      </c>
      <c r="R927" s="750"/>
      <c r="S927" s="751"/>
      <c r="T927" s="751"/>
      <c r="U927" s="751"/>
      <c r="V927" s="751"/>
      <c r="W927" s="751"/>
      <c r="X927" s="751"/>
      <c r="Y927" s="751"/>
      <c r="Z927" s="751"/>
      <c r="AA927" s="751"/>
      <c r="AB927" s="751"/>
      <c r="AC927" s="751"/>
      <c r="AD927" s="1142">
        <f t="shared" si="74"/>
        <v>0</v>
      </c>
      <c r="AE927" s="586">
        <f t="shared" si="75"/>
        <v>-1</v>
      </c>
      <c r="AF927" s="587">
        <f t="shared" si="76"/>
        <v>983</v>
      </c>
    </row>
    <row r="928" spans="1:32" x14ac:dyDescent="0.3">
      <c r="A928" s="18" t="s">
        <v>1327</v>
      </c>
      <c r="B928" s="659" t="s">
        <v>1136</v>
      </c>
      <c r="C928" s="750"/>
      <c r="D928" s="751">
        <v>0</v>
      </c>
      <c r="E928" s="751"/>
      <c r="F928" s="751">
        <v>0</v>
      </c>
      <c r="G928" s="751">
        <v>0</v>
      </c>
      <c r="H928" s="751">
        <v>0</v>
      </c>
      <c r="I928" s="751">
        <v>0</v>
      </c>
      <c r="J928" s="751">
        <v>257500</v>
      </c>
      <c r="K928" s="751">
        <v>237600</v>
      </c>
      <c r="L928" s="751">
        <v>0</v>
      </c>
      <c r="M928" s="751">
        <v>0</v>
      </c>
      <c r="N928" s="751">
        <v>0</v>
      </c>
      <c r="O928" s="751" t="s">
        <v>251</v>
      </c>
      <c r="P928" s="1497">
        <f t="shared" si="77"/>
        <v>237600</v>
      </c>
      <c r="Q928" s="1142">
        <f t="shared" si="78"/>
        <v>257500</v>
      </c>
      <c r="R928" s="750"/>
      <c r="S928" s="751"/>
      <c r="T928" s="751"/>
      <c r="U928" s="751"/>
      <c r="V928" s="751"/>
      <c r="W928" s="751"/>
      <c r="X928" s="751"/>
      <c r="Y928" s="751"/>
      <c r="Z928" s="751"/>
      <c r="AA928" s="751"/>
      <c r="AB928" s="751"/>
      <c r="AC928" s="751"/>
      <c r="AD928" s="1142">
        <f t="shared" si="74"/>
        <v>0</v>
      </c>
      <c r="AE928" s="586">
        <f t="shared" si="75"/>
        <v>-1</v>
      </c>
      <c r="AF928" s="587">
        <f t="shared" si="76"/>
        <v>983</v>
      </c>
    </row>
    <row r="929" spans="1:32" x14ac:dyDescent="0.3">
      <c r="A929" s="18" t="s">
        <v>1327</v>
      </c>
      <c r="B929" s="659" t="s">
        <v>2134</v>
      </c>
      <c r="C929" s="750"/>
      <c r="D929" s="751">
        <v>0</v>
      </c>
      <c r="E929" s="751"/>
      <c r="F929" s="751">
        <v>0</v>
      </c>
      <c r="G929" s="751">
        <v>0</v>
      </c>
      <c r="H929" s="751">
        <v>0</v>
      </c>
      <c r="I929" s="751">
        <v>0</v>
      </c>
      <c r="J929" s="751">
        <v>0</v>
      </c>
      <c r="K929" s="751"/>
      <c r="L929" s="751">
        <v>99300</v>
      </c>
      <c r="M929" s="751">
        <v>12350</v>
      </c>
      <c r="N929" s="751" t="s">
        <v>251</v>
      </c>
      <c r="O929" s="751" t="s">
        <v>251</v>
      </c>
      <c r="P929" s="1497">
        <f t="shared" si="77"/>
        <v>0</v>
      </c>
      <c r="Q929" s="1142">
        <f t="shared" si="78"/>
        <v>111650</v>
      </c>
      <c r="R929" s="750"/>
      <c r="S929" s="751"/>
      <c r="T929" s="751"/>
      <c r="U929" s="751"/>
      <c r="V929" s="751"/>
      <c r="W929" s="751"/>
      <c r="X929" s="751"/>
      <c r="Y929" s="751"/>
      <c r="Z929" s="751"/>
      <c r="AA929" s="751"/>
      <c r="AB929" s="751"/>
      <c r="AC929" s="751"/>
      <c r="AD929" s="1142">
        <f t="shared" si="74"/>
        <v>0</v>
      </c>
      <c r="AE929" s="586">
        <f t="shared" si="75"/>
        <v>0</v>
      </c>
      <c r="AF929" s="587">
        <f t="shared" si="76"/>
        <v>983</v>
      </c>
    </row>
    <row r="930" spans="1:32" x14ac:dyDescent="0.3">
      <c r="A930" s="18" t="s">
        <v>1327</v>
      </c>
      <c r="B930" s="659" t="s">
        <v>2135</v>
      </c>
      <c r="C930" s="750"/>
      <c r="D930" s="751">
        <v>0</v>
      </c>
      <c r="E930" s="751"/>
      <c r="F930" s="751">
        <v>0</v>
      </c>
      <c r="G930" s="751">
        <v>0</v>
      </c>
      <c r="H930" s="751">
        <v>0</v>
      </c>
      <c r="I930" s="751">
        <v>0</v>
      </c>
      <c r="J930" s="751">
        <v>0</v>
      </c>
      <c r="K930" s="751"/>
      <c r="L930" s="751">
        <v>31600</v>
      </c>
      <c r="M930" s="751">
        <v>49800</v>
      </c>
      <c r="N930" s="751">
        <v>0</v>
      </c>
      <c r="O930" s="751">
        <v>654800</v>
      </c>
      <c r="P930" s="1497">
        <f t="shared" si="77"/>
        <v>0</v>
      </c>
      <c r="Q930" s="1142">
        <f t="shared" si="78"/>
        <v>736200</v>
      </c>
      <c r="R930" s="750"/>
      <c r="S930" s="751"/>
      <c r="T930" s="751"/>
      <c r="U930" s="751"/>
      <c r="V930" s="751"/>
      <c r="W930" s="751">
        <v>255000</v>
      </c>
      <c r="X930" s="751">
        <v>0</v>
      </c>
      <c r="Y930" s="751">
        <v>0</v>
      </c>
      <c r="Z930" s="751"/>
      <c r="AA930" s="751"/>
      <c r="AB930" s="751"/>
      <c r="AC930" s="751"/>
      <c r="AD930" s="1142">
        <f t="shared" si="74"/>
        <v>255000</v>
      </c>
      <c r="AE930" s="586">
        <f t="shared" si="75"/>
        <v>1</v>
      </c>
      <c r="AF930" s="587">
        <f t="shared" si="76"/>
        <v>563</v>
      </c>
    </row>
    <row r="931" spans="1:32" x14ac:dyDescent="0.3">
      <c r="A931" s="18" t="s">
        <v>1327</v>
      </c>
      <c r="B931" s="659" t="s">
        <v>1086</v>
      </c>
      <c r="C931" s="750"/>
      <c r="D931" s="751">
        <v>0</v>
      </c>
      <c r="E931" s="751"/>
      <c r="F931" s="751">
        <v>0</v>
      </c>
      <c r="G931" s="751">
        <v>0</v>
      </c>
      <c r="H931" s="751">
        <v>0</v>
      </c>
      <c r="I931" s="751">
        <v>0</v>
      </c>
      <c r="J931" s="751">
        <v>0</v>
      </c>
      <c r="K931" s="751"/>
      <c r="L931" s="751">
        <v>493000</v>
      </c>
      <c r="M931" s="751">
        <v>0</v>
      </c>
      <c r="N931" s="751">
        <v>0</v>
      </c>
      <c r="O931" s="751" t="s">
        <v>251</v>
      </c>
      <c r="P931" s="1497">
        <f t="shared" si="77"/>
        <v>0</v>
      </c>
      <c r="Q931" s="1142">
        <f t="shared" si="78"/>
        <v>493000</v>
      </c>
      <c r="R931" s="750"/>
      <c r="S931" s="751"/>
      <c r="T931" s="751"/>
      <c r="U931" s="751"/>
      <c r="V931" s="751"/>
      <c r="W931" s="751"/>
      <c r="X931" s="751">
        <v>27400</v>
      </c>
      <c r="Y931" s="751">
        <v>93400</v>
      </c>
      <c r="Z931" s="751"/>
      <c r="AA931" s="751"/>
      <c r="AB931" s="751"/>
      <c r="AC931" s="751"/>
      <c r="AD931" s="1142">
        <f t="shared" si="74"/>
        <v>120800</v>
      </c>
      <c r="AE931" s="586">
        <f t="shared" si="75"/>
        <v>1</v>
      </c>
      <c r="AF931" s="587">
        <f t="shared" si="76"/>
        <v>714</v>
      </c>
    </row>
    <row r="932" spans="1:32" x14ac:dyDescent="0.3">
      <c r="A932" s="18" t="s">
        <v>1327</v>
      </c>
      <c r="B932" s="659" t="s">
        <v>2136</v>
      </c>
      <c r="C932" s="750"/>
      <c r="D932" s="751">
        <v>0</v>
      </c>
      <c r="E932" s="751"/>
      <c r="F932" s="751">
        <v>0</v>
      </c>
      <c r="G932" s="751">
        <v>0</v>
      </c>
      <c r="H932" s="751">
        <v>0</v>
      </c>
      <c r="I932" s="751">
        <v>0</v>
      </c>
      <c r="J932" s="751">
        <v>0</v>
      </c>
      <c r="K932" s="751"/>
      <c r="L932" s="751">
        <v>0</v>
      </c>
      <c r="M932" s="751">
        <v>172500</v>
      </c>
      <c r="N932" s="751">
        <v>167200</v>
      </c>
      <c r="O932" s="751" t="s">
        <v>251</v>
      </c>
      <c r="P932" s="1497">
        <f t="shared" si="77"/>
        <v>0</v>
      </c>
      <c r="Q932" s="1142">
        <f t="shared" si="78"/>
        <v>339700</v>
      </c>
      <c r="R932" s="750"/>
      <c r="S932" s="751"/>
      <c r="T932" s="751"/>
      <c r="U932" s="751"/>
      <c r="V932" s="751"/>
      <c r="W932" s="751"/>
      <c r="X932" s="751">
        <v>82200</v>
      </c>
      <c r="Y932" s="751">
        <v>171700</v>
      </c>
      <c r="Z932" s="751"/>
      <c r="AA932" s="751"/>
      <c r="AB932" s="751"/>
      <c r="AC932" s="751"/>
      <c r="AD932" s="1142">
        <f t="shared" si="74"/>
        <v>253900</v>
      </c>
      <c r="AE932" s="586">
        <f t="shared" si="75"/>
        <v>1</v>
      </c>
      <c r="AF932" s="587">
        <f t="shared" si="76"/>
        <v>566</v>
      </c>
    </row>
    <row r="933" spans="1:32" x14ac:dyDescent="0.3">
      <c r="A933" s="18" t="s">
        <v>1327</v>
      </c>
      <c r="B933" s="659" t="s">
        <v>1184</v>
      </c>
      <c r="C933" s="750"/>
      <c r="D933" s="751">
        <v>0</v>
      </c>
      <c r="E933" s="751"/>
      <c r="F933" s="751">
        <v>0</v>
      </c>
      <c r="G933" s="751">
        <v>0</v>
      </c>
      <c r="H933" s="751">
        <v>0</v>
      </c>
      <c r="I933" s="751">
        <v>0</v>
      </c>
      <c r="J933" s="751">
        <v>0</v>
      </c>
      <c r="K933" s="751"/>
      <c r="L933" s="751">
        <v>0</v>
      </c>
      <c r="M933" s="751">
        <v>0</v>
      </c>
      <c r="N933" s="751">
        <v>310000</v>
      </c>
      <c r="O933" s="751" t="s">
        <v>251</v>
      </c>
      <c r="P933" s="1497">
        <f t="shared" si="77"/>
        <v>0</v>
      </c>
      <c r="Q933" s="1142">
        <f t="shared" si="78"/>
        <v>310000</v>
      </c>
      <c r="R933" s="750">
        <v>17250</v>
      </c>
      <c r="S933" s="751"/>
      <c r="T933" s="751">
        <v>0</v>
      </c>
      <c r="U933" s="751">
        <v>0</v>
      </c>
      <c r="V933" s="751">
        <v>0</v>
      </c>
      <c r="W933" s="751">
        <v>67500</v>
      </c>
      <c r="X933" s="751">
        <v>0</v>
      </c>
      <c r="Y933" s="751">
        <v>0</v>
      </c>
      <c r="Z933" s="751"/>
      <c r="AA933" s="751"/>
      <c r="AB933" s="751"/>
      <c r="AC933" s="751"/>
      <c r="AD933" s="1142">
        <f t="shared" si="74"/>
        <v>84750</v>
      </c>
      <c r="AE933" s="586">
        <f t="shared" si="75"/>
        <v>1</v>
      </c>
      <c r="AF933" s="587">
        <f t="shared" si="76"/>
        <v>763</v>
      </c>
    </row>
    <row r="934" spans="1:32" x14ac:dyDescent="0.3">
      <c r="A934" s="18" t="s">
        <v>1327</v>
      </c>
      <c r="B934" s="659" t="s">
        <v>2353</v>
      </c>
      <c r="C934" s="750"/>
      <c r="D934" s="751"/>
      <c r="E934" s="751"/>
      <c r="F934" s="751"/>
      <c r="G934" s="751"/>
      <c r="H934" s="751"/>
      <c r="I934" s="751"/>
      <c r="J934" s="751"/>
      <c r="K934" s="751"/>
      <c r="L934" s="751"/>
      <c r="M934" s="751"/>
      <c r="N934" s="751"/>
      <c r="O934" s="751"/>
      <c r="P934" s="1497">
        <f t="shared" si="77"/>
        <v>0</v>
      </c>
      <c r="Q934" s="1142">
        <f t="shared" si="78"/>
        <v>0</v>
      </c>
      <c r="R934" s="750">
        <v>130000</v>
      </c>
      <c r="S934" s="751"/>
      <c r="T934" s="751">
        <v>0</v>
      </c>
      <c r="U934" s="751">
        <v>0</v>
      </c>
      <c r="V934" s="751">
        <v>0</v>
      </c>
      <c r="W934" s="751">
        <v>0</v>
      </c>
      <c r="X934" s="751">
        <v>163400</v>
      </c>
      <c r="Y934" s="751">
        <v>52000</v>
      </c>
      <c r="Z934" s="751"/>
      <c r="AA934" s="751"/>
      <c r="AB934" s="751"/>
      <c r="AC934" s="751"/>
      <c r="AD934" s="1142">
        <f t="shared" si="74"/>
        <v>345400</v>
      </c>
      <c r="AE934" s="586">
        <f t="shared" si="75"/>
        <v>1</v>
      </c>
      <c r="AF934" s="587">
        <f t="shared" si="76"/>
        <v>506</v>
      </c>
    </row>
    <row r="935" spans="1:32" x14ac:dyDescent="0.3">
      <c r="A935" s="18" t="s">
        <v>1327</v>
      </c>
      <c r="B935" s="659" t="s">
        <v>1609</v>
      </c>
      <c r="C935" s="750"/>
      <c r="D935" s="751"/>
      <c r="E935" s="751"/>
      <c r="F935" s="751"/>
      <c r="G935" s="751"/>
      <c r="H935" s="751"/>
      <c r="I935" s="751"/>
      <c r="J935" s="751"/>
      <c r="K935" s="751"/>
      <c r="L935" s="751"/>
      <c r="M935" s="751"/>
      <c r="N935" s="751"/>
      <c r="O935" s="751"/>
      <c r="P935" s="1497">
        <f t="shared" si="77"/>
        <v>0</v>
      </c>
      <c r="Q935" s="1142">
        <f t="shared" si="78"/>
        <v>0</v>
      </c>
      <c r="R935" s="750">
        <v>408000</v>
      </c>
      <c r="S935" s="751">
        <v>72500</v>
      </c>
      <c r="T935" s="751">
        <v>93000</v>
      </c>
      <c r="U935" s="751">
        <v>0</v>
      </c>
      <c r="V935" s="751">
        <v>0</v>
      </c>
      <c r="W935" s="751">
        <v>0</v>
      </c>
      <c r="X935" s="751">
        <v>0</v>
      </c>
      <c r="Y935" s="751">
        <v>0</v>
      </c>
      <c r="Z935" s="751"/>
      <c r="AA935" s="751"/>
      <c r="AB935" s="751"/>
      <c r="AC935" s="751"/>
      <c r="AD935" s="1142">
        <f t="shared" si="74"/>
        <v>573500</v>
      </c>
      <c r="AE935" s="586">
        <f t="shared" si="75"/>
        <v>1</v>
      </c>
      <c r="AF935" s="587">
        <f t="shared" si="76"/>
        <v>413</v>
      </c>
    </row>
    <row r="936" spans="1:32" x14ac:dyDescent="0.3">
      <c r="A936" s="18" t="s">
        <v>1327</v>
      </c>
      <c r="B936" s="659" t="s">
        <v>2127</v>
      </c>
      <c r="C936" s="750"/>
      <c r="D936" s="751"/>
      <c r="E936" s="751"/>
      <c r="F936" s="751"/>
      <c r="G936" s="751"/>
      <c r="H936" s="751"/>
      <c r="I936" s="751"/>
      <c r="J936" s="751"/>
      <c r="K936" s="751"/>
      <c r="L936" s="751"/>
      <c r="M936" s="751"/>
      <c r="N936" s="751"/>
      <c r="O936" s="751"/>
      <c r="P936" s="1497">
        <f t="shared" si="77"/>
        <v>0</v>
      </c>
      <c r="Q936" s="1142">
        <f t="shared" si="78"/>
        <v>0</v>
      </c>
      <c r="R936" s="750">
        <v>24950</v>
      </c>
      <c r="S936" s="751"/>
      <c r="T936" s="751">
        <v>0</v>
      </c>
      <c r="U936" s="751">
        <v>0</v>
      </c>
      <c r="V936" s="751">
        <v>0</v>
      </c>
      <c r="W936" s="751">
        <v>0</v>
      </c>
      <c r="X936" s="751">
        <v>0</v>
      </c>
      <c r="Y936" s="751">
        <v>0</v>
      </c>
      <c r="Z936" s="751"/>
      <c r="AA936" s="751"/>
      <c r="AB936" s="751"/>
      <c r="AC936" s="751"/>
      <c r="AD936" s="1142">
        <f t="shared" si="74"/>
        <v>24950</v>
      </c>
      <c r="AE936" s="586">
        <f t="shared" si="75"/>
        <v>1</v>
      </c>
      <c r="AF936" s="587">
        <f t="shared" si="76"/>
        <v>909</v>
      </c>
    </row>
    <row r="937" spans="1:32" x14ac:dyDescent="0.3">
      <c r="A937" s="18" t="s">
        <v>1327</v>
      </c>
      <c r="B937" s="659" t="s">
        <v>2512</v>
      </c>
      <c r="C937" s="750"/>
      <c r="D937" s="751"/>
      <c r="E937" s="751"/>
      <c r="F937" s="751"/>
      <c r="G937" s="751"/>
      <c r="H937" s="751"/>
      <c r="I937" s="751"/>
      <c r="J937" s="751"/>
      <c r="K937" s="751"/>
      <c r="L937" s="751"/>
      <c r="M937" s="751"/>
      <c r="N937" s="751"/>
      <c r="O937" s="751"/>
      <c r="P937" s="1497">
        <f t="shared" si="77"/>
        <v>0</v>
      </c>
      <c r="Q937" s="1142">
        <f t="shared" si="78"/>
        <v>0</v>
      </c>
      <c r="R937" s="750">
        <v>11600</v>
      </c>
      <c r="S937" s="751"/>
      <c r="T937" s="751">
        <v>0</v>
      </c>
      <c r="U937" s="751">
        <v>0</v>
      </c>
      <c r="V937" s="751">
        <v>0</v>
      </c>
      <c r="W937" s="751">
        <v>0</v>
      </c>
      <c r="X937" s="751">
        <v>13400</v>
      </c>
      <c r="Y937" s="751">
        <v>13400</v>
      </c>
      <c r="Z937" s="751"/>
      <c r="AA937" s="751"/>
      <c r="AB937" s="751"/>
      <c r="AC937" s="751"/>
      <c r="AD937" s="1142">
        <f t="shared" si="74"/>
        <v>38400</v>
      </c>
      <c r="AE937" s="586">
        <f t="shared" si="75"/>
        <v>1</v>
      </c>
      <c r="AF937" s="587">
        <f t="shared" si="76"/>
        <v>873</v>
      </c>
    </row>
    <row r="938" spans="1:32" x14ac:dyDescent="0.3">
      <c r="A938" s="18" t="s">
        <v>1327</v>
      </c>
      <c r="B938" s="659" t="s">
        <v>2120</v>
      </c>
      <c r="C938" s="750"/>
      <c r="D938" s="751"/>
      <c r="E938" s="751"/>
      <c r="F938" s="751"/>
      <c r="G938" s="751"/>
      <c r="H938" s="751"/>
      <c r="I938" s="751"/>
      <c r="J938" s="751"/>
      <c r="K938" s="751"/>
      <c r="L938" s="751"/>
      <c r="M938" s="751"/>
      <c r="N938" s="751"/>
      <c r="O938" s="751"/>
      <c r="P938" s="1497">
        <f t="shared" si="77"/>
        <v>0</v>
      </c>
      <c r="Q938" s="1142">
        <f t="shared" si="78"/>
        <v>0</v>
      </c>
      <c r="R938" s="750">
        <v>12000</v>
      </c>
      <c r="S938" s="751">
        <v>81000</v>
      </c>
      <c r="T938" s="751">
        <v>0</v>
      </c>
      <c r="U938" s="751">
        <v>0</v>
      </c>
      <c r="V938" s="751">
        <v>0</v>
      </c>
      <c r="W938" s="751">
        <v>0</v>
      </c>
      <c r="X938" s="751">
        <v>0</v>
      </c>
      <c r="Y938" s="751">
        <v>0</v>
      </c>
      <c r="Z938" s="751"/>
      <c r="AA938" s="751"/>
      <c r="AB938" s="751"/>
      <c r="AC938" s="751"/>
      <c r="AD938" s="1142">
        <f t="shared" si="74"/>
        <v>93000</v>
      </c>
      <c r="AE938" s="586">
        <f t="shared" si="75"/>
        <v>1</v>
      </c>
      <c r="AF938" s="587">
        <f t="shared" si="76"/>
        <v>755</v>
      </c>
    </row>
    <row r="939" spans="1:32" x14ac:dyDescent="0.3">
      <c r="A939" s="18" t="s">
        <v>1327</v>
      </c>
      <c r="B939" s="659" t="s">
        <v>2689</v>
      </c>
      <c r="C939" s="750"/>
      <c r="D939" s="751"/>
      <c r="E939" s="751"/>
      <c r="F939" s="751"/>
      <c r="G939" s="751"/>
      <c r="H939" s="751"/>
      <c r="I939" s="751"/>
      <c r="J939" s="751"/>
      <c r="K939" s="751"/>
      <c r="L939" s="751"/>
      <c r="M939" s="751"/>
      <c r="N939" s="751"/>
      <c r="O939" s="751"/>
      <c r="P939" s="1497">
        <f t="shared" si="77"/>
        <v>0</v>
      </c>
      <c r="Q939" s="1142">
        <f t="shared" si="78"/>
        <v>0</v>
      </c>
      <c r="R939" s="750"/>
      <c r="S939" s="751"/>
      <c r="T939" s="751"/>
      <c r="U939" s="751">
        <v>438200</v>
      </c>
      <c r="V939" s="751">
        <v>72750</v>
      </c>
      <c r="W939" s="751">
        <v>0</v>
      </c>
      <c r="X939" s="751">
        <v>0</v>
      </c>
      <c r="Y939" s="751">
        <v>0</v>
      </c>
      <c r="Z939" s="751"/>
      <c r="AA939" s="751"/>
      <c r="AB939" s="751"/>
      <c r="AC939" s="751"/>
      <c r="AD939" s="1142">
        <f t="shared" si="74"/>
        <v>510950</v>
      </c>
      <c r="AE939" s="586">
        <f t="shared" si="75"/>
        <v>1</v>
      </c>
      <c r="AF939" s="587">
        <f t="shared" si="76"/>
        <v>431</v>
      </c>
    </row>
    <row r="940" spans="1:32" x14ac:dyDescent="0.3">
      <c r="A940" s="18" t="s">
        <v>1327</v>
      </c>
      <c r="B940" s="659" t="s">
        <v>2536</v>
      </c>
      <c r="C940" s="750"/>
      <c r="D940" s="751"/>
      <c r="E940" s="751"/>
      <c r="F940" s="751"/>
      <c r="G940" s="751"/>
      <c r="H940" s="751"/>
      <c r="I940" s="751"/>
      <c r="J940" s="751"/>
      <c r="K940" s="751"/>
      <c r="L940" s="751"/>
      <c r="M940" s="751"/>
      <c r="N940" s="751"/>
      <c r="O940" s="751"/>
      <c r="P940" s="1497">
        <f t="shared" si="77"/>
        <v>0</v>
      </c>
      <c r="Q940" s="1142">
        <f t="shared" si="78"/>
        <v>0</v>
      </c>
      <c r="R940" s="750"/>
      <c r="S940" s="751"/>
      <c r="T940" s="751"/>
      <c r="U940" s="751"/>
      <c r="V940" s="751"/>
      <c r="W940" s="751">
        <v>606300</v>
      </c>
      <c r="X940" s="751"/>
      <c r="Y940" s="751"/>
      <c r="Z940" s="751"/>
      <c r="AA940" s="751"/>
      <c r="AB940" s="751"/>
      <c r="AC940" s="751"/>
      <c r="AD940" s="1142">
        <f t="shared" si="74"/>
        <v>606300</v>
      </c>
      <c r="AE940" s="586">
        <f t="shared" si="75"/>
        <v>1</v>
      </c>
      <c r="AF940" s="587">
        <f t="shared" si="76"/>
        <v>404</v>
      </c>
    </row>
    <row r="941" spans="1:32" x14ac:dyDescent="0.3">
      <c r="A941" s="18" t="s">
        <v>1327</v>
      </c>
      <c r="B941" s="659" t="s">
        <v>2959</v>
      </c>
      <c r="C941" s="750"/>
      <c r="D941" s="751"/>
      <c r="E941" s="751"/>
      <c r="F941" s="751"/>
      <c r="G941" s="751"/>
      <c r="H941" s="751"/>
      <c r="I941" s="751"/>
      <c r="J941" s="751"/>
      <c r="K941" s="751"/>
      <c r="L941" s="751"/>
      <c r="M941" s="751"/>
      <c r="N941" s="751"/>
      <c r="O941" s="751"/>
      <c r="P941" s="1497">
        <f t="shared" si="77"/>
        <v>0</v>
      </c>
      <c r="Q941" s="1142">
        <f t="shared" si="78"/>
        <v>0</v>
      </c>
      <c r="R941" s="750"/>
      <c r="S941" s="751"/>
      <c r="T941" s="751"/>
      <c r="U941" s="751"/>
      <c r="V941" s="751"/>
      <c r="W941" s="751"/>
      <c r="X941" s="751">
        <v>2245200</v>
      </c>
      <c r="Y941" s="751">
        <v>1734600</v>
      </c>
      <c r="Z941" s="751"/>
      <c r="AA941" s="751"/>
      <c r="AB941" s="751"/>
      <c r="AC941" s="751"/>
      <c r="AD941" s="1142">
        <f t="shared" si="74"/>
        <v>3979800</v>
      </c>
      <c r="AE941" s="586">
        <f t="shared" si="75"/>
        <v>1</v>
      </c>
      <c r="AF941" s="587">
        <f t="shared" si="76"/>
        <v>112</v>
      </c>
    </row>
    <row r="942" spans="1:32" x14ac:dyDescent="0.3">
      <c r="A942" s="18" t="s">
        <v>1327</v>
      </c>
      <c r="B942" s="659" t="s">
        <v>2852</v>
      </c>
      <c r="C942" s="750"/>
      <c r="D942" s="751"/>
      <c r="E942" s="751"/>
      <c r="F942" s="751"/>
      <c r="G942" s="751"/>
      <c r="H942" s="751"/>
      <c r="I942" s="751"/>
      <c r="J942" s="751"/>
      <c r="K942" s="751"/>
      <c r="L942" s="751"/>
      <c r="M942" s="751"/>
      <c r="N942" s="751"/>
      <c r="O942" s="751"/>
      <c r="P942" s="1497">
        <f t="shared" si="77"/>
        <v>0</v>
      </c>
      <c r="Q942" s="1142">
        <f t="shared" si="78"/>
        <v>0</v>
      </c>
      <c r="R942" s="750"/>
      <c r="S942" s="751"/>
      <c r="T942" s="751"/>
      <c r="U942" s="751"/>
      <c r="V942" s="751"/>
      <c r="W942" s="751"/>
      <c r="X942" s="751">
        <v>502600</v>
      </c>
      <c r="Y942" s="751">
        <v>0</v>
      </c>
      <c r="Z942" s="751"/>
      <c r="AA942" s="751"/>
      <c r="AB942" s="751"/>
      <c r="AC942" s="751"/>
      <c r="AD942" s="1142">
        <f t="shared" si="74"/>
        <v>502600</v>
      </c>
      <c r="AE942" s="586">
        <f t="shared" si="75"/>
        <v>1</v>
      </c>
      <c r="AF942" s="587">
        <f t="shared" si="76"/>
        <v>439</v>
      </c>
    </row>
    <row r="943" spans="1:32" x14ac:dyDescent="0.3">
      <c r="A943" s="18" t="s">
        <v>1327</v>
      </c>
      <c r="B943" s="659" t="s">
        <v>1014</v>
      </c>
      <c r="C943" s="750"/>
      <c r="D943" s="751"/>
      <c r="E943" s="751"/>
      <c r="F943" s="751"/>
      <c r="G943" s="751"/>
      <c r="H943" s="751"/>
      <c r="I943" s="751"/>
      <c r="J943" s="751"/>
      <c r="K943" s="751"/>
      <c r="L943" s="751"/>
      <c r="M943" s="751"/>
      <c r="N943" s="751"/>
      <c r="O943" s="751"/>
      <c r="P943" s="1497">
        <f t="shared" si="77"/>
        <v>0</v>
      </c>
      <c r="Q943" s="1142">
        <f t="shared" si="78"/>
        <v>0</v>
      </c>
      <c r="R943" s="750"/>
      <c r="S943" s="751"/>
      <c r="T943" s="751"/>
      <c r="U943" s="751"/>
      <c r="V943" s="751"/>
      <c r="W943" s="751"/>
      <c r="X943" s="751"/>
      <c r="Y943" s="751">
        <v>451000</v>
      </c>
      <c r="Z943" s="751"/>
      <c r="AA943" s="751"/>
      <c r="AB943" s="751"/>
      <c r="AC943" s="751"/>
      <c r="AD943" s="1142">
        <f t="shared" si="74"/>
        <v>451000</v>
      </c>
      <c r="AE943" s="586">
        <f t="shared" si="75"/>
        <v>1</v>
      </c>
      <c r="AF943" s="587">
        <f t="shared" si="76"/>
        <v>461</v>
      </c>
    </row>
    <row r="944" spans="1:32" x14ac:dyDescent="0.3">
      <c r="A944" s="18" t="s">
        <v>1327</v>
      </c>
      <c r="B944" s="659" t="s">
        <v>1299</v>
      </c>
      <c r="C944" s="750"/>
      <c r="D944" s="751"/>
      <c r="E944" s="751"/>
      <c r="F944" s="751"/>
      <c r="G944" s="751"/>
      <c r="H944" s="751"/>
      <c r="I944" s="751"/>
      <c r="J944" s="751"/>
      <c r="K944" s="751"/>
      <c r="L944" s="751"/>
      <c r="M944" s="751"/>
      <c r="N944" s="751"/>
      <c r="O944" s="751"/>
      <c r="P944" s="1497">
        <f t="shared" si="77"/>
        <v>0</v>
      </c>
      <c r="Q944" s="1142">
        <f t="shared" si="78"/>
        <v>0</v>
      </c>
      <c r="R944" s="750"/>
      <c r="S944" s="751"/>
      <c r="T944" s="751"/>
      <c r="U944" s="751"/>
      <c r="V944" s="751"/>
      <c r="W944" s="751"/>
      <c r="X944" s="751"/>
      <c r="Y944" s="751">
        <v>68400</v>
      </c>
      <c r="Z944" s="751"/>
      <c r="AA944" s="751"/>
      <c r="AB944" s="751"/>
      <c r="AC944" s="751"/>
      <c r="AD944" s="1142">
        <f t="shared" si="74"/>
        <v>68400</v>
      </c>
      <c r="AE944" s="586">
        <f t="shared" si="75"/>
        <v>1</v>
      </c>
      <c r="AF944" s="587">
        <f t="shared" si="76"/>
        <v>803</v>
      </c>
    </row>
    <row r="945" spans="1:32" x14ac:dyDescent="0.3">
      <c r="A945" s="307" t="s">
        <v>974</v>
      </c>
      <c r="B945" s="898" t="s">
        <v>2137</v>
      </c>
      <c r="C945" s="752">
        <v>796300</v>
      </c>
      <c r="D945" s="753">
        <v>64800</v>
      </c>
      <c r="E945" s="753">
        <v>682000</v>
      </c>
      <c r="F945" s="753">
        <v>354800</v>
      </c>
      <c r="G945" s="753">
        <v>817800</v>
      </c>
      <c r="H945" s="753">
        <v>844900</v>
      </c>
      <c r="I945" s="753">
        <v>578700</v>
      </c>
      <c r="J945" s="753">
        <v>356000</v>
      </c>
      <c r="K945" s="753">
        <v>356000</v>
      </c>
      <c r="L945" s="753">
        <v>0</v>
      </c>
      <c r="M945" s="753">
        <v>0</v>
      </c>
      <c r="N945" s="753">
        <v>427200</v>
      </c>
      <c r="O945" s="753">
        <v>596200</v>
      </c>
      <c r="P945" s="1497">
        <f t="shared" si="77"/>
        <v>4495300</v>
      </c>
      <c r="Q945" s="1143">
        <f t="shared" si="78"/>
        <v>5518700</v>
      </c>
      <c r="R945" s="752">
        <v>1514600</v>
      </c>
      <c r="S945" s="753"/>
      <c r="T945" s="753">
        <v>262200</v>
      </c>
      <c r="U945" s="753">
        <v>61200</v>
      </c>
      <c r="V945" s="753">
        <v>580800</v>
      </c>
      <c r="W945" s="753">
        <v>0</v>
      </c>
      <c r="X945" s="753">
        <v>955200</v>
      </c>
      <c r="Y945" s="753">
        <v>284800</v>
      </c>
      <c r="Z945" s="753"/>
      <c r="AA945" s="753"/>
      <c r="AB945" s="753"/>
      <c r="AC945" s="753"/>
      <c r="AD945" s="1143">
        <f t="shared" si="74"/>
        <v>3658800</v>
      </c>
      <c r="AE945" s="899">
        <f t="shared" si="75"/>
        <v>-0.18608324249771985</v>
      </c>
      <c r="AF945" s="900">
        <f t="shared" si="76"/>
        <v>125</v>
      </c>
    </row>
    <row r="946" spans="1:32" x14ac:dyDescent="0.3">
      <c r="A946" s="307" t="s">
        <v>974</v>
      </c>
      <c r="B946" s="898" t="s">
        <v>1332</v>
      </c>
      <c r="C946" s="752">
        <v>1305000</v>
      </c>
      <c r="D946" s="753">
        <v>0</v>
      </c>
      <c r="E946" s="753">
        <v>1123800</v>
      </c>
      <c r="F946" s="753">
        <v>90000</v>
      </c>
      <c r="G946" s="753">
        <v>0</v>
      </c>
      <c r="H946" s="753">
        <v>0</v>
      </c>
      <c r="I946" s="753">
        <v>386800</v>
      </c>
      <c r="J946" s="753">
        <v>1074300</v>
      </c>
      <c r="K946" s="753">
        <v>1074300</v>
      </c>
      <c r="L946" s="753">
        <v>1804000</v>
      </c>
      <c r="M946" s="753">
        <v>0</v>
      </c>
      <c r="N946" s="753">
        <v>0</v>
      </c>
      <c r="O946" s="753">
        <v>358600</v>
      </c>
      <c r="P946" s="1497">
        <f t="shared" si="77"/>
        <v>3979900</v>
      </c>
      <c r="Q946" s="1143">
        <f t="shared" si="78"/>
        <v>6142500</v>
      </c>
      <c r="R946" s="752">
        <v>1417200</v>
      </c>
      <c r="S946" s="753">
        <v>1043000</v>
      </c>
      <c r="T946" s="753">
        <v>445900</v>
      </c>
      <c r="U946" s="753">
        <v>0</v>
      </c>
      <c r="V946" s="753">
        <v>0</v>
      </c>
      <c r="W946" s="753">
        <v>188500</v>
      </c>
      <c r="X946" s="753">
        <v>237800</v>
      </c>
      <c r="Y946" s="753">
        <v>840000</v>
      </c>
      <c r="Z946" s="753"/>
      <c r="AA946" s="753"/>
      <c r="AB946" s="753"/>
      <c r="AC946" s="753"/>
      <c r="AD946" s="1143">
        <f t="shared" si="74"/>
        <v>4172400</v>
      </c>
      <c r="AE946" s="899">
        <f t="shared" si="75"/>
        <v>4.8368049448478605E-2</v>
      </c>
      <c r="AF946" s="900">
        <f t="shared" si="76"/>
        <v>107</v>
      </c>
    </row>
    <row r="947" spans="1:32" x14ac:dyDescent="0.3">
      <c r="A947" s="307" t="s">
        <v>974</v>
      </c>
      <c r="B947" s="898" t="s">
        <v>1317</v>
      </c>
      <c r="C947" s="752">
        <v>371100</v>
      </c>
      <c r="D947" s="753">
        <v>247400</v>
      </c>
      <c r="E947" s="753">
        <v>296600</v>
      </c>
      <c r="F947" s="753">
        <v>626900</v>
      </c>
      <c r="G947" s="753">
        <v>494800</v>
      </c>
      <c r="H947" s="753">
        <v>0</v>
      </c>
      <c r="I947" s="753">
        <v>110000</v>
      </c>
      <c r="J947" s="753">
        <v>1492800</v>
      </c>
      <c r="K947" s="753">
        <v>0</v>
      </c>
      <c r="L947" s="753">
        <v>613200</v>
      </c>
      <c r="M947" s="753">
        <v>713500</v>
      </c>
      <c r="N947" s="753">
        <v>0</v>
      </c>
      <c r="O947" s="753" t="s">
        <v>251</v>
      </c>
      <c r="P947" s="1497">
        <f t="shared" si="77"/>
        <v>2146800</v>
      </c>
      <c r="Q947" s="1143">
        <f t="shared" si="78"/>
        <v>4966300</v>
      </c>
      <c r="R947" s="752"/>
      <c r="S947" s="753"/>
      <c r="T947" s="753">
        <v>1774050</v>
      </c>
      <c r="U947" s="753">
        <v>0</v>
      </c>
      <c r="V947" s="753">
        <v>0</v>
      </c>
      <c r="W947" s="753">
        <v>0</v>
      </c>
      <c r="X947" s="753">
        <v>0</v>
      </c>
      <c r="Y947" s="753">
        <v>110000</v>
      </c>
      <c r="Z947" s="753"/>
      <c r="AA947" s="753"/>
      <c r="AB947" s="753"/>
      <c r="AC947" s="753"/>
      <c r="AD947" s="1143">
        <f t="shared" si="74"/>
        <v>1884050</v>
      </c>
      <c r="AE947" s="899">
        <f t="shared" si="75"/>
        <v>-0.12239146636854854</v>
      </c>
      <c r="AF947" s="900">
        <f t="shared" si="76"/>
        <v>220</v>
      </c>
    </row>
    <row r="948" spans="1:32" x14ac:dyDescent="0.3">
      <c r="A948" s="307" t="s">
        <v>974</v>
      </c>
      <c r="B948" s="898" t="s">
        <v>883</v>
      </c>
      <c r="C948" s="752">
        <v>70400</v>
      </c>
      <c r="D948" s="753">
        <v>166400</v>
      </c>
      <c r="E948" s="753">
        <v>213200</v>
      </c>
      <c r="F948" s="753">
        <v>155300</v>
      </c>
      <c r="G948" s="753">
        <v>1286800</v>
      </c>
      <c r="H948" s="753">
        <v>1177200</v>
      </c>
      <c r="I948" s="753">
        <v>186750</v>
      </c>
      <c r="J948" s="753">
        <v>14900</v>
      </c>
      <c r="K948" s="753">
        <v>14900</v>
      </c>
      <c r="L948" s="753">
        <v>0</v>
      </c>
      <c r="M948" s="753">
        <v>62600</v>
      </c>
      <c r="N948" s="753">
        <v>3189200</v>
      </c>
      <c r="O948" s="753">
        <v>2898400</v>
      </c>
      <c r="P948" s="1497">
        <f t="shared" si="77"/>
        <v>3270950</v>
      </c>
      <c r="Q948" s="1143">
        <f t="shared" si="78"/>
        <v>9421150</v>
      </c>
      <c r="R948" s="752">
        <v>291600</v>
      </c>
      <c r="S948" s="753">
        <v>170200</v>
      </c>
      <c r="T948" s="753">
        <v>38700</v>
      </c>
      <c r="U948" s="753">
        <v>106000</v>
      </c>
      <c r="V948" s="753">
        <v>789700</v>
      </c>
      <c r="W948" s="753">
        <v>924700</v>
      </c>
      <c r="X948" s="753">
        <v>900050</v>
      </c>
      <c r="Y948" s="753">
        <v>36500</v>
      </c>
      <c r="Z948" s="753"/>
      <c r="AA948" s="753"/>
      <c r="AB948" s="753"/>
      <c r="AC948" s="753"/>
      <c r="AD948" s="1143">
        <f t="shared" ref="AD948:AD1018" si="79">SUM(R948:AC948)</f>
        <v>3257450</v>
      </c>
      <c r="AE948" s="899">
        <f t="shared" ref="AE948:AE1018" si="80">IF(OR(AD948="", P948=""), 0, IFERROR((AD948-P948)/P948, IF(AD948&lt;&gt;0, 1, 0)))</f>
        <v>-4.1272413213286662E-3</v>
      </c>
      <c r="AF948" s="900">
        <f t="shared" si="76"/>
        <v>140</v>
      </c>
    </row>
    <row r="949" spans="1:32" x14ac:dyDescent="0.3">
      <c r="A949" s="307" t="s">
        <v>974</v>
      </c>
      <c r="B949" s="898" t="s">
        <v>1329</v>
      </c>
      <c r="C949" s="752">
        <v>19800</v>
      </c>
      <c r="D949" s="753">
        <v>0</v>
      </c>
      <c r="E949" s="753"/>
      <c r="F949" s="753">
        <v>0</v>
      </c>
      <c r="G949" s="753">
        <v>1250400</v>
      </c>
      <c r="H949" s="753">
        <v>1178900</v>
      </c>
      <c r="I949" s="753">
        <v>680500</v>
      </c>
      <c r="J949" s="753">
        <v>29500</v>
      </c>
      <c r="K949" s="753">
        <v>29500</v>
      </c>
      <c r="L949" s="753">
        <v>0</v>
      </c>
      <c r="M949" s="753">
        <v>27400</v>
      </c>
      <c r="N949" s="753">
        <v>13400</v>
      </c>
      <c r="O949" s="753">
        <v>1358000</v>
      </c>
      <c r="P949" s="1497">
        <f t="shared" si="77"/>
        <v>3159100</v>
      </c>
      <c r="Q949" s="1143">
        <f t="shared" si="78"/>
        <v>4557900</v>
      </c>
      <c r="R949" s="752">
        <v>26800</v>
      </c>
      <c r="S949" s="753">
        <v>33000</v>
      </c>
      <c r="T949" s="753">
        <v>0</v>
      </c>
      <c r="U949" s="753">
        <v>0</v>
      </c>
      <c r="V949" s="753">
        <v>0</v>
      </c>
      <c r="W949" s="753">
        <v>0</v>
      </c>
      <c r="X949" s="753">
        <v>0</v>
      </c>
      <c r="Y949" s="753">
        <v>0</v>
      </c>
      <c r="Z949" s="753"/>
      <c r="AA949" s="753"/>
      <c r="AB949" s="753"/>
      <c r="AC949" s="753"/>
      <c r="AD949" s="1143">
        <f t="shared" si="79"/>
        <v>59800</v>
      </c>
      <c r="AE949" s="899">
        <f t="shared" si="80"/>
        <v>-0.9810705580703365</v>
      </c>
      <c r="AF949" s="900">
        <f t="shared" si="76"/>
        <v>824</v>
      </c>
    </row>
    <row r="950" spans="1:32" x14ac:dyDescent="0.3">
      <c r="A950" s="307" t="s">
        <v>974</v>
      </c>
      <c r="B950" s="898" t="s">
        <v>1333</v>
      </c>
      <c r="C950" s="752">
        <v>962100</v>
      </c>
      <c r="D950" s="753">
        <v>69600</v>
      </c>
      <c r="E950" s="753"/>
      <c r="F950" s="753">
        <v>0</v>
      </c>
      <c r="G950" s="753">
        <v>0</v>
      </c>
      <c r="H950" s="753">
        <v>0</v>
      </c>
      <c r="I950" s="753">
        <v>0</v>
      </c>
      <c r="J950" s="753">
        <v>0</v>
      </c>
      <c r="K950" s="753">
        <v>0</v>
      </c>
      <c r="L950" s="753">
        <v>0</v>
      </c>
      <c r="M950" s="753">
        <v>0</v>
      </c>
      <c r="N950" s="753">
        <v>0</v>
      </c>
      <c r="O950" s="753" t="s">
        <v>251</v>
      </c>
      <c r="P950" s="1497">
        <f t="shared" si="77"/>
        <v>1031700</v>
      </c>
      <c r="Q950" s="1143">
        <f t="shared" si="78"/>
        <v>1031700</v>
      </c>
      <c r="R950" s="752"/>
      <c r="S950" s="753"/>
      <c r="T950" s="753"/>
      <c r="U950" s="753"/>
      <c r="V950" s="753"/>
      <c r="W950" s="753"/>
      <c r="X950" s="753"/>
      <c r="Y950" s="753"/>
      <c r="Z950" s="753"/>
      <c r="AA950" s="753"/>
      <c r="AB950" s="753"/>
      <c r="AC950" s="753"/>
      <c r="AD950" s="1143">
        <f t="shared" si="79"/>
        <v>0</v>
      </c>
      <c r="AE950" s="899">
        <f t="shared" si="80"/>
        <v>-1</v>
      </c>
      <c r="AF950" s="900">
        <f t="shared" si="76"/>
        <v>983</v>
      </c>
    </row>
    <row r="951" spans="1:32" x14ac:dyDescent="0.3">
      <c r="A951" s="307" t="s">
        <v>974</v>
      </c>
      <c r="B951" s="898" t="s">
        <v>1330</v>
      </c>
      <c r="C951" s="752">
        <v>336900</v>
      </c>
      <c r="D951" s="753">
        <v>131000</v>
      </c>
      <c r="E951" s="753">
        <v>253400</v>
      </c>
      <c r="F951" s="753">
        <v>0</v>
      </c>
      <c r="G951" s="753">
        <v>0</v>
      </c>
      <c r="H951" s="753">
        <v>0</v>
      </c>
      <c r="I951" s="753">
        <v>0</v>
      </c>
      <c r="J951" s="753">
        <v>0</v>
      </c>
      <c r="K951" s="753">
        <v>0</v>
      </c>
      <c r="L951" s="753">
        <v>0</v>
      </c>
      <c r="M951" s="753">
        <v>0</v>
      </c>
      <c r="N951" s="753">
        <v>0</v>
      </c>
      <c r="O951" s="753" t="s">
        <v>251</v>
      </c>
      <c r="P951" s="1497">
        <f t="shared" si="77"/>
        <v>721300</v>
      </c>
      <c r="Q951" s="1143">
        <f t="shared" si="78"/>
        <v>721300</v>
      </c>
      <c r="R951" s="752"/>
      <c r="S951" s="753"/>
      <c r="T951" s="753"/>
      <c r="U951" s="753"/>
      <c r="V951" s="753"/>
      <c r="W951" s="753"/>
      <c r="X951" s="753"/>
      <c r="Y951" s="753"/>
      <c r="Z951" s="753"/>
      <c r="AA951" s="753"/>
      <c r="AB951" s="753"/>
      <c r="AC951" s="753"/>
      <c r="AD951" s="1143">
        <f t="shared" si="79"/>
        <v>0</v>
      </c>
      <c r="AE951" s="899">
        <f t="shared" si="80"/>
        <v>-1</v>
      </c>
      <c r="AF951" s="900">
        <f t="shared" si="76"/>
        <v>983</v>
      </c>
    </row>
    <row r="952" spans="1:32" x14ac:dyDescent="0.3">
      <c r="A952" s="307" t="s">
        <v>974</v>
      </c>
      <c r="B952" s="898" t="s">
        <v>1294</v>
      </c>
      <c r="C952" s="752"/>
      <c r="D952" s="753">
        <v>399600</v>
      </c>
      <c r="E952" s="753">
        <v>141600</v>
      </c>
      <c r="F952" s="753">
        <v>0</v>
      </c>
      <c r="G952" s="753">
        <v>0</v>
      </c>
      <c r="H952" s="753">
        <v>0</v>
      </c>
      <c r="I952" s="753">
        <v>0</v>
      </c>
      <c r="J952" s="753">
        <v>0</v>
      </c>
      <c r="K952" s="753">
        <v>0</v>
      </c>
      <c r="L952" s="753">
        <v>0</v>
      </c>
      <c r="M952" s="753">
        <v>0</v>
      </c>
      <c r="N952" s="753">
        <v>0</v>
      </c>
      <c r="O952" s="753" t="s">
        <v>251</v>
      </c>
      <c r="P952" s="1497">
        <f t="shared" si="77"/>
        <v>541200</v>
      </c>
      <c r="Q952" s="1143">
        <f t="shared" si="78"/>
        <v>541200</v>
      </c>
      <c r="R952" s="752"/>
      <c r="S952" s="753"/>
      <c r="T952" s="753"/>
      <c r="U952" s="753"/>
      <c r="V952" s="753"/>
      <c r="W952" s="753"/>
      <c r="X952" s="753"/>
      <c r="Y952" s="753"/>
      <c r="Z952" s="753"/>
      <c r="AA952" s="753"/>
      <c r="AB952" s="753"/>
      <c r="AC952" s="753"/>
      <c r="AD952" s="1143">
        <f t="shared" si="79"/>
        <v>0</v>
      </c>
      <c r="AE952" s="899">
        <f t="shared" si="80"/>
        <v>-1</v>
      </c>
      <c r="AF952" s="900">
        <f t="shared" si="76"/>
        <v>983</v>
      </c>
    </row>
    <row r="953" spans="1:32" x14ac:dyDescent="0.3">
      <c r="A953" s="307" t="s">
        <v>974</v>
      </c>
      <c r="B953" s="898" t="s">
        <v>1042</v>
      </c>
      <c r="C953" s="752">
        <v>190700</v>
      </c>
      <c r="D953" s="753">
        <v>0</v>
      </c>
      <c r="E953" s="753"/>
      <c r="F953" s="753">
        <v>0</v>
      </c>
      <c r="G953" s="753">
        <v>0</v>
      </c>
      <c r="H953" s="753">
        <v>0</v>
      </c>
      <c r="I953" s="753">
        <v>0</v>
      </c>
      <c r="J953" s="753">
        <v>0</v>
      </c>
      <c r="K953" s="753">
        <v>0</v>
      </c>
      <c r="L953" s="753">
        <v>0</v>
      </c>
      <c r="M953" s="753">
        <v>0</v>
      </c>
      <c r="N953" s="753">
        <v>0</v>
      </c>
      <c r="O953" s="753" t="s">
        <v>251</v>
      </c>
      <c r="P953" s="1497">
        <f t="shared" si="77"/>
        <v>190700</v>
      </c>
      <c r="Q953" s="1143">
        <f t="shared" si="78"/>
        <v>190700</v>
      </c>
      <c r="R953" s="752"/>
      <c r="S953" s="753"/>
      <c r="T953" s="753"/>
      <c r="U953" s="753"/>
      <c r="V953" s="753"/>
      <c r="W953" s="753"/>
      <c r="X953" s="753"/>
      <c r="Y953" s="753"/>
      <c r="Z953" s="753"/>
      <c r="AA953" s="753"/>
      <c r="AB953" s="753"/>
      <c r="AC953" s="753"/>
      <c r="AD953" s="1143">
        <f t="shared" si="79"/>
        <v>0</v>
      </c>
      <c r="AE953" s="899">
        <f t="shared" si="80"/>
        <v>-1</v>
      </c>
      <c r="AF953" s="900">
        <f t="shared" si="76"/>
        <v>983</v>
      </c>
    </row>
    <row r="954" spans="1:32" x14ac:dyDescent="0.3">
      <c r="A954" s="307" t="s">
        <v>974</v>
      </c>
      <c r="B954" s="898" t="s">
        <v>1334</v>
      </c>
      <c r="C954" s="752"/>
      <c r="D954" s="753">
        <v>108000</v>
      </c>
      <c r="E954" s="753"/>
      <c r="F954" s="753">
        <v>0</v>
      </c>
      <c r="G954" s="753">
        <v>0</v>
      </c>
      <c r="H954" s="753">
        <v>0</v>
      </c>
      <c r="I954" s="753">
        <v>0</v>
      </c>
      <c r="J954" s="753">
        <v>0</v>
      </c>
      <c r="K954" s="753">
        <v>0</v>
      </c>
      <c r="L954" s="753">
        <v>0</v>
      </c>
      <c r="M954" s="753">
        <v>0</v>
      </c>
      <c r="N954" s="753">
        <v>0</v>
      </c>
      <c r="O954" s="753" t="s">
        <v>251</v>
      </c>
      <c r="P954" s="1497">
        <f t="shared" si="77"/>
        <v>108000</v>
      </c>
      <c r="Q954" s="1143">
        <f t="shared" si="78"/>
        <v>108000</v>
      </c>
      <c r="R954" s="752"/>
      <c r="S954" s="753"/>
      <c r="T954" s="753"/>
      <c r="U954" s="753"/>
      <c r="V954" s="753"/>
      <c r="W954" s="753"/>
      <c r="X954" s="753"/>
      <c r="Y954" s="753"/>
      <c r="Z954" s="753"/>
      <c r="AA954" s="753"/>
      <c r="AB954" s="753"/>
      <c r="AC954" s="753"/>
      <c r="AD954" s="1143">
        <f t="shared" si="79"/>
        <v>0</v>
      </c>
      <c r="AE954" s="899">
        <f t="shared" si="80"/>
        <v>-1</v>
      </c>
      <c r="AF954" s="900">
        <f t="shared" si="76"/>
        <v>983</v>
      </c>
    </row>
    <row r="955" spans="1:32" x14ac:dyDescent="0.3">
      <c r="A955" s="307" t="s">
        <v>974</v>
      </c>
      <c r="B955" s="898" t="s">
        <v>1284</v>
      </c>
      <c r="C955" s="752">
        <v>89000</v>
      </c>
      <c r="D955" s="753">
        <v>0</v>
      </c>
      <c r="E955" s="753"/>
      <c r="F955" s="753">
        <v>0</v>
      </c>
      <c r="G955" s="753">
        <v>0</v>
      </c>
      <c r="H955" s="753">
        <v>0</v>
      </c>
      <c r="I955" s="753">
        <v>455000</v>
      </c>
      <c r="J955" s="753">
        <v>0</v>
      </c>
      <c r="K955" s="753">
        <v>0</v>
      </c>
      <c r="L955" s="753">
        <v>0</v>
      </c>
      <c r="M955" s="753">
        <v>0</v>
      </c>
      <c r="N955" s="753">
        <v>0</v>
      </c>
      <c r="O955" s="753" t="s">
        <v>251</v>
      </c>
      <c r="P955" s="1497">
        <f t="shared" si="77"/>
        <v>544000</v>
      </c>
      <c r="Q955" s="1143">
        <f t="shared" si="78"/>
        <v>544000</v>
      </c>
      <c r="R955" s="752">
        <v>89000</v>
      </c>
      <c r="S955" s="753"/>
      <c r="T955" s="753">
        <v>47000</v>
      </c>
      <c r="U955" s="753">
        <v>0</v>
      </c>
      <c r="V955" s="753">
        <v>0</v>
      </c>
      <c r="W955" s="753">
        <v>89000</v>
      </c>
      <c r="X955" s="753">
        <v>0</v>
      </c>
      <c r="Y955" s="753">
        <v>0</v>
      </c>
      <c r="Z955" s="753"/>
      <c r="AA955" s="753"/>
      <c r="AB955" s="753"/>
      <c r="AC955" s="753"/>
      <c r="AD955" s="1143">
        <f t="shared" si="79"/>
        <v>225000</v>
      </c>
      <c r="AE955" s="899">
        <f t="shared" si="80"/>
        <v>-0.58639705882352944</v>
      </c>
      <c r="AF955" s="900">
        <f t="shared" si="76"/>
        <v>588</v>
      </c>
    </row>
    <row r="956" spans="1:32" x14ac:dyDescent="0.3">
      <c r="A956" s="307" t="s">
        <v>974</v>
      </c>
      <c r="B956" s="898" t="s">
        <v>1298</v>
      </c>
      <c r="C956" s="752">
        <v>60000</v>
      </c>
      <c r="D956" s="753">
        <v>0</v>
      </c>
      <c r="E956" s="753"/>
      <c r="F956" s="753">
        <v>0</v>
      </c>
      <c r="G956" s="753">
        <v>0</v>
      </c>
      <c r="H956" s="753">
        <v>0</v>
      </c>
      <c r="I956" s="753">
        <v>0</v>
      </c>
      <c r="J956" s="753">
        <v>0</v>
      </c>
      <c r="K956" s="753">
        <v>0</v>
      </c>
      <c r="L956" s="753">
        <v>0</v>
      </c>
      <c r="M956" s="753">
        <v>0</v>
      </c>
      <c r="N956" s="753">
        <v>0</v>
      </c>
      <c r="O956" s="753">
        <v>799700</v>
      </c>
      <c r="P956" s="1497">
        <f t="shared" si="77"/>
        <v>60000</v>
      </c>
      <c r="Q956" s="1143">
        <f t="shared" si="78"/>
        <v>859700</v>
      </c>
      <c r="R956" s="752">
        <v>168500</v>
      </c>
      <c r="S956" s="753"/>
      <c r="T956" s="753">
        <v>0</v>
      </c>
      <c r="U956" s="753">
        <v>0</v>
      </c>
      <c r="V956" s="753">
        <v>0</v>
      </c>
      <c r="W956" s="753">
        <v>0</v>
      </c>
      <c r="X956" s="753">
        <v>0</v>
      </c>
      <c r="Y956" s="753">
        <v>0</v>
      </c>
      <c r="Z956" s="753"/>
      <c r="AA956" s="753"/>
      <c r="AB956" s="753"/>
      <c r="AC956" s="753"/>
      <c r="AD956" s="1143">
        <f t="shared" si="79"/>
        <v>168500</v>
      </c>
      <c r="AE956" s="899">
        <f t="shared" si="80"/>
        <v>1.8083333333333333</v>
      </c>
      <c r="AF956" s="900">
        <f t="shared" si="76"/>
        <v>652</v>
      </c>
    </row>
    <row r="957" spans="1:32" x14ac:dyDescent="0.3">
      <c r="A957" s="307" t="s">
        <v>974</v>
      </c>
      <c r="B957" s="898" t="s">
        <v>1335</v>
      </c>
      <c r="C957" s="752">
        <v>17250</v>
      </c>
      <c r="D957" s="753" t="s">
        <v>251</v>
      </c>
      <c r="E957" s="753"/>
      <c r="F957" s="753">
        <v>0</v>
      </c>
      <c r="G957" s="753">
        <v>0</v>
      </c>
      <c r="H957" s="753">
        <v>0</v>
      </c>
      <c r="I957" s="753" t="s">
        <v>251</v>
      </c>
      <c r="J957" s="753">
        <v>0</v>
      </c>
      <c r="K957" s="753">
        <v>0</v>
      </c>
      <c r="L957" s="753">
        <v>0</v>
      </c>
      <c r="M957" s="753">
        <v>0</v>
      </c>
      <c r="N957" s="753">
        <v>0</v>
      </c>
      <c r="O957" s="753" t="s">
        <v>251</v>
      </c>
      <c r="P957" s="1497">
        <f t="shared" si="77"/>
        <v>17250</v>
      </c>
      <c r="Q957" s="1143">
        <f t="shared" si="78"/>
        <v>17250</v>
      </c>
      <c r="R957" s="752"/>
      <c r="S957" s="753"/>
      <c r="T957" s="753"/>
      <c r="U957" s="753"/>
      <c r="V957" s="753"/>
      <c r="W957" s="753"/>
      <c r="X957" s="753"/>
      <c r="Y957" s="753"/>
      <c r="Z957" s="753"/>
      <c r="AA957" s="753"/>
      <c r="AB957" s="753"/>
      <c r="AC957" s="753"/>
      <c r="AD957" s="1143">
        <f t="shared" si="79"/>
        <v>0</v>
      </c>
      <c r="AE957" s="899">
        <f t="shared" si="80"/>
        <v>-1</v>
      </c>
      <c r="AF957" s="900">
        <f t="shared" si="76"/>
        <v>983</v>
      </c>
    </row>
    <row r="958" spans="1:32" x14ac:dyDescent="0.3">
      <c r="A958" s="307" t="s">
        <v>974</v>
      </c>
      <c r="B958" s="898" t="s">
        <v>972</v>
      </c>
      <c r="C958" s="752"/>
      <c r="D958" s="753">
        <v>0</v>
      </c>
      <c r="E958" s="753"/>
      <c r="F958" s="753">
        <v>0</v>
      </c>
      <c r="G958" s="753">
        <v>0</v>
      </c>
      <c r="H958" s="753">
        <v>2245400</v>
      </c>
      <c r="I958" s="753">
        <v>1283500</v>
      </c>
      <c r="J958" s="753">
        <v>39400</v>
      </c>
      <c r="K958" s="753">
        <v>39400</v>
      </c>
      <c r="L958" s="753">
        <v>0</v>
      </c>
      <c r="M958" s="753">
        <v>163600</v>
      </c>
      <c r="N958" s="753">
        <v>0</v>
      </c>
      <c r="O958" s="753">
        <v>82000</v>
      </c>
      <c r="P958" s="1497">
        <f t="shared" si="77"/>
        <v>3568300</v>
      </c>
      <c r="Q958" s="1143">
        <f t="shared" si="78"/>
        <v>3813900</v>
      </c>
      <c r="R958" s="752">
        <v>393100</v>
      </c>
      <c r="S958" s="753">
        <v>30900</v>
      </c>
      <c r="T958" s="753">
        <v>237600</v>
      </c>
      <c r="U958" s="753">
        <v>0</v>
      </c>
      <c r="V958" s="753">
        <v>0</v>
      </c>
      <c r="W958" s="753">
        <v>210800</v>
      </c>
      <c r="X958" s="753">
        <v>179300</v>
      </c>
      <c r="Y958" s="753">
        <v>261900</v>
      </c>
      <c r="Z958" s="753"/>
      <c r="AA958" s="753"/>
      <c r="AB958" s="753"/>
      <c r="AC958" s="753"/>
      <c r="AD958" s="1143">
        <f t="shared" si="79"/>
        <v>1313600</v>
      </c>
      <c r="AE958" s="899">
        <f t="shared" si="80"/>
        <v>-0.63186951769750299</v>
      </c>
      <c r="AF958" s="900">
        <f t="shared" si="76"/>
        <v>264</v>
      </c>
    </row>
    <row r="959" spans="1:32" x14ac:dyDescent="0.3">
      <c r="A959" s="307" t="s">
        <v>974</v>
      </c>
      <c r="B959" s="898" t="s">
        <v>1048</v>
      </c>
      <c r="C959" s="752"/>
      <c r="D959" s="753">
        <v>0</v>
      </c>
      <c r="E959" s="753"/>
      <c r="F959" s="753">
        <v>0</v>
      </c>
      <c r="G959" s="753">
        <v>0</v>
      </c>
      <c r="H959" s="753">
        <v>0</v>
      </c>
      <c r="I959" s="753">
        <v>2067100</v>
      </c>
      <c r="J959" s="753">
        <v>0</v>
      </c>
      <c r="K959" s="753">
        <v>0</v>
      </c>
      <c r="L959" s="753">
        <v>0</v>
      </c>
      <c r="M959" s="753">
        <v>0</v>
      </c>
      <c r="N959" s="753">
        <v>0</v>
      </c>
      <c r="O959" s="753" t="s">
        <v>251</v>
      </c>
      <c r="P959" s="1497">
        <f t="shared" si="77"/>
        <v>2067100</v>
      </c>
      <c r="Q959" s="1143">
        <f t="shared" si="78"/>
        <v>2067100</v>
      </c>
      <c r="R959" s="752">
        <v>742150</v>
      </c>
      <c r="S959" s="753"/>
      <c r="T959" s="753">
        <v>0</v>
      </c>
      <c r="U959" s="753">
        <v>0</v>
      </c>
      <c r="V959" s="753">
        <v>0</v>
      </c>
      <c r="W959" s="753">
        <v>202200</v>
      </c>
      <c r="X959" s="753">
        <v>194000</v>
      </c>
      <c r="Y959" s="753">
        <v>48500</v>
      </c>
      <c r="Z959" s="753"/>
      <c r="AA959" s="753"/>
      <c r="AB959" s="753"/>
      <c r="AC959" s="753"/>
      <c r="AD959" s="1143">
        <f t="shared" si="79"/>
        <v>1186850</v>
      </c>
      <c r="AE959" s="899">
        <f t="shared" si="80"/>
        <v>-0.42583813071452759</v>
      </c>
      <c r="AF959" s="900">
        <f t="shared" si="76"/>
        <v>285</v>
      </c>
    </row>
    <row r="960" spans="1:32" x14ac:dyDescent="0.3">
      <c r="A960" s="307" t="s">
        <v>974</v>
      </c>
      <c r="B960" s="898" t="s">
        <v>878</v>
      </c>
      <c r="C960" s="752"/>
      <c r="D960" s="753" t="s">
        <v>251</v>
      </c>
      <c r="E960" s="753"/>
      <c r="F960" s="753" t="s">
        <v>251</v>
      </c>
      <c r="G960" s="753" t="s">
        <v>251</v>
      </c>
      <c r="H960" s="753" t="s">
        <v>251</v>
      </c>
      <c r="I960" s="753" t="s">
        <v>251</v>
      </c>
      <c r="J960" s="753" t="s">
        <v>251</v>
      </c>
      <c r="K960" s="753"/>
      <c r="L960" s="753" t="s">
        <v>251</v>
      </c>
      <c r="M960" s="753" t="s">
        <v>251</v>
      </c>
      <c r="N960" s="753" t="s">
        <v>251</v>
      </c>
      <c r="O960" s="753" t="s">
        <v>251</v>
      </c>
      <c r="P960" s="1497">
        <f t="shared" si="77"/>
        <v>0</v>
      </c>
      <c r="Q960" s="1143">
        <f t="shared" si="78"/>
        <v>0</v>
      </c>
      <c r="R960" s="752"/>
      <c r="S960" s="753"/>
      <c r="T960" s="753"/>
      <c r="U960" s="753"/>
      <c r="V960" s="753"/>
      <c r="W960" s="753"/>
      <c r="X960" s="753"/>
      <c r="Y960" s="753"/>
      <c r="Z960" s="753"/>
      <c r="AA960" s="753"/>
      <c r="AB960" s="753"/>
      <c r="AC960" s="753"/>
      <c r="AD960" s="1143">
        <f t="shared" si="79"/>
        <v>0</v>
      </c>
      <c r="AE960" s="899">
        <f t="shared" si="80"/>
        <v>0</v>
      </c>
      <c r="AF960" s="900">
        <f t="shared" si="76"/>
        <v>983</v>
      </c>
    </row>
    <row r="961" spans="1:32" x14ac:dyDescent="0.3">
      <c r="A961" s="307" t="s">
        <v>974</v>
      </c>
      <c r="B961" s="898" t="s">
        <v>1319</v>
      </c>
      <c r="C961" s="752"/>
      <c r="D961" s="753" t="s">
        <v>251</v>
      </c>
      <c r="E961" s="753"/>
      <c r="F961" s="753" t="s">
        <v>251</v>
      </c>
      <c r="G961" s="753" t="s">
        <v>251</v>
      </c>
      <c r="H961" s="753" t="s">
        <v>251</v>
      </c>
      <c r="I961" s="753" t="s">
        <v>251</v>
      </c>
      <c r="J961" s="753" t="s">
        <v>251</v>
      </c>
      <c r="K961" s="753"/>
      <c r="L961" s="753" t="s">
        <v>251</v>
      </c>
      <c r="M961" s="753" t="s">
        <v>251</v>
      </c>
      <c r="N961" s="753" t="s">
        <v>251</v>
      </c>
      <c r="O961" s="753" t="s">
        <v>251</v>
      </c>
      <c r="P961" s="1497">
        <f t="shared" si="77"/>
        <v>0</v>
      </c>
      <c r="Q961" s="1143">
        <f t="shared" si="78"/>
        <v>0</v>
      </c>
      <c r="R961" s="752"/>
      <c r="S961" s="753"/>
      <c r="T961" s="753"/>
      <c r="U961" s="753"/>
      <c r="V961" s="753"/>
      <c r="W961" s="753"/>
      <c r="X961" s="753"/>
      <c r="Y961" s="753"/>
      <c r="Z961" s="753"/>
      <c r="AA961" s="753"/>
      <c r="AB961" s="753"/>
      <c r="AC961" s="753"/>
      <c r="AD961" s="1143">
        <f t="shared" si="79"/>
        <v>0</v>
      </c>
      <c r="AE961" s="899">
        <f t="shared" si="80"/>
        <v>0</v>
      </c>
      <c r="AF961" s="900">
        <f t="shared" si="76"/>
        <v>983</v>
      </c>
    </row>
    <row r="962" spans="1:32" x14ac:dyDescent="0.3">
      <c r="A962" s="307" t="s">
        <v>974</v>
      </c>
      <c r="B962" s="898" t="s">
        <v>1336</v>
      </c>
      <c r="C962" s="752"/>
      <c r="D962" s="753" t="s">
        <v>251</v>
      </c>
      <c r="E962" s="753"/>
      <c r="F962" s="753" t="s">
        <v>251</v>
      </c>
      <c r="G962" s="753" t="s">
        <v>251</v>
      </c>
      <c r="H962" s="753" t="s">
        <v>251</v>
      </c>
      <c r="I962" s="753" t="s">
        <v>251</v>
      </c>
      <c r="J962" s="753" t="s">
        <v>251</v>
      </c>
      <c r="K962" s="753"/>
      <c r="L962" s="753" t="s">
        <v>251</v>
      </c>
      <c r="M962" s="753" t="s">
        <v>251</v>
      </c>
      <c r="N962" s="753" t="s">
        <v>251</v>
      </c>
      <c r="O962" s="753" t="s">
        <v>251</v>
      </c>
      <c r="P962" s="1497">
        <f t="shared" si="77"/>
        <v>0</v>
      </c>
      <c r="Q962" s="1143">
        <f t="shared" si="78"/>
        <v>0</v>
      </c>
      <c r="R962" s="752"/>
      <c r="S962" s="753"/>
      <c r="T962" s="753"/>
      <c r="U962" s="753"/>
      <c r="V962" s="753"/>
      <c r="W962" s="753"/>
      <c r="X962" s="753"/>
      <c r="Y962" s="753"/>
      <c r="Z962" s="753"/>
      <c r="AA962" s="753"/>
      <c r="AB962" s="753"/>
      <c r="AC962" s="753"/>
      <c r="AD962" s="1143">
        <f t="shared" si="79"/>
        <v>0</v>
      </c>
      <c r="AE962" s="899">
        <f t="shared" si="80"/>
        <v>0</v>
      </c>
      <c r="AF962" s="900">
        <f t="shared" si="76"/>
        <v>983</v>
      </c>
    </row>
    <row r="963" spans="1:32" x14ac:dyDescent="0.3">
      <c r="A963" s="307" t="s">
        <v>974</v>
      </c>
      <c r="B963" s="898" t="s">
        <v>1337</v>
      </c>
      <c r="C963" s="752"/>
      <c r="D963" s="753" t="s">
        <v>251</v>
      </c>
      <c r="E963" s="753"/>
      <c r="F963" s="753" t="s">
        <v>251</v>
      </c>
      <c r="G963" s="753" t="s">
        <v>251</v>
      </c>
      <c r="H963" s="753" t="s">
        <v>251</v>
      </c>
      <c r="I963" s="753" t="s">
        <v>251</v>
      </c>
      <c r="J963" s="753" t="s">
        <v>251</v>
      </c>
      <c r="K963" s="753"/>
      <c r="L963" s="753" t="s">
        <v>251</v>
      </c>
      <c r="M963" s="753" t="s">
        <v>251</v>
      </c>
      <c r="N963" s="753" t="s">
        <v>251</v>
      </c>
      <c r="O963" s="753" t="s">
        <v>251</v>
      </c>
      <c r="P963" s="1497">
        <f t="shared" si="77"/>
        <v>0</v>
      </c>
      <c r="Q963" s="1143">
        <f t="shared" si="78"/>
        <v>0</v>
      </c>
      <c r="R963" s="752"/>
      <c r="S963" s="753"/>
      <c r="T963" s="753"/>
      <c r="U963" s="753"/>
      <c r="V963" s="753"/>
      <c r="W963" s="753"/>
      <c r="X963" s="753"/>
      <c r="Y963" s="753"/>
      <c r="Z963" s="753"/>
      <c r="AA963" s="753"/>
      <c r="AB963" s="753"/>
      <c r="AC963" s="753"/>
      <c r="AD963" s="1143">
        <f t="shared" si="79"/>
        <v>0</v>
      </c>
      <c r="AE963" s="899">
        <f t="shared" si="80"/>
        <v>0</v>
      </c>
      <c r="AF963" s="900">
        <f t="shared" si="76"/>
        <v>983</v>
      </c>
    </row>
    <row r="964" spans="1:32" x14ac:dyDescent="0.3">
      <c r="A964" s="307" t="s">
        <v>974</v>
      </c>
      <c r="B964" s="898" t="s">
        <v>1338</v>
      </c>
      <c r="C964" s="752"/>
      <c r="D964" s="753" t="s">
        <v>251</v>
      </c>
      <c r="E964" s="753"/>
      <c r="F964" s="753" t="s">
        <v>251</v>
      </c>
      <c r="G964" s="753" t="s">
        <v>251</v>
      </c>
      <c r="H964" s="753" t="s">
        <v>251</v>
      </c>
      <c r="I964" s="753" t="s">
        <v>251</v>
      </c>
      <c r="J964" s="753" t="s">
        <v>251</v>
      </c>
      <c r="K964" s="753"/>
      <c r="L964" s="753" t="s">
        <v>251</v>
      </c>
      <c r="M964" s="753" t="s">
        <v>251</v>
      </c>
      <c r="N964" s="753" t="s">
        <v>251</v>
      </c>
      <c r="O964" s="753" t="s">
        <v>251</v>
      </c>
      <c r="P964" s="1497">
        <f t="shared" si="77"/>
        <v>0</v>
      </c>
      <c r="Q964" s="1143">
        <f t="shared" si="78"/>
        <v>0</v>
      </c>
      <c r="R964" s="752"/>
      <c r="S964" s="753"/>
      <c r="T964" s="753"/>
      <c r="U964" s="753"/>
      <c r="V964" s="753"/>
      <c r="W964" s="753"/>
      <c r="X964" s="753"/>
      <c r="Y964" s="753"/>
      <c r="Z964" s="753"/>
      <c r="AA964" s="753"/>
      <c r="AB964" s="753"/>
      <c r="AC964" s="753"/>
      <c r="AD964" s="1143">
        <f t="shared" si="79"/>
        <v>0</v>
      </c>
      <c r="AE964" s="899">
        <f t="shared" si="80"/>
        <v>0</v>
      </c>
      <c r="AF964" s="900">
        <f t="shared" si="76"/>
        <v>983</v>
      </c>
    </row>
    <row r="965" spans="1:32" x14ac:dyDescent="0.3">
      <c r="A965" s="307" t="s">
        <v>974</v>
      </c>
      <c r="B965" s="898" t="s">
        <v>1339</v>
      </c>
      <c r="C965" s="752"/>
      <c r="D965" s="753" t="s">
        <v>251</v>
      </c>
      <c r="E965" s="753"/>
      <c r="F965" s="753" t="s">
        <v>251</v>
      </c>
      <c r="G965" s="753" t="s">
        <v>251</v>
      </c>
      <c r="H965" s="753" t="s">
        <v>251</v>
      </c>
      <c r="I965" s="753" t="s">
        <v>251</v>
      </c>
      <c r="J965" s="753" t="s">
        <v>251</v>
      </c>
      <c r="K965" s="753"/>
      <c r="L965" s="753" t="s">
        <v>251</v>
      </c>
      <c r="M965" s="753" t="s">
        <v>251</v>
      </c>
      <c r="N965" s="753" t="s">
        <v>251</v>
      </c>
      <c r="O965" s="753" t="s">
        <v>251</v>
      </c>
      <c r="P965" s="1497">
        <f t="shared" si="77"/>
        <v>0</v>
      </c>
      <c r="Q965" s="1143">
        <f t="shared" si="78"/>
        <v>0</v>
      </c>
      <c r="R965" s="752"/>
      <c r="S965" s="753"/>
      <c r="T965" s="753"/>
      <c r="U965" s="753"/>
      <c r="V965" s="753"/>
      <c r="W965" s="753"/>
      <c r="X965" s="753"/>
      <c r="Y965" s="753"/>
      <c r="Z965" s="753"/>
      <c r="AA965" s="753"/>
      <c r="AB965" s="753"/>
      <c r="AC965" s="753"/>
      <c r="AD965" s="1143">
        <f t="shared" si="79"/>
        <v>0</v>
      </c>
      <c r="AE965" s="899">
        <f t="shared" si="80"/>
        <v>0</v>
      </c>
      <c r="AF965" s="900">
        <f>IFERROR(_xlfn.RANK.EQ(AD965, $AD$2:$AD$2064), "")</f>
        <v>983</v>
      </c>
    </row>
    <row r="966" spans="1:32" x14ac:dyDescent="0.3">
      <c r="A966" s="307" t="s">
        <v>974</v>
      </c>
      <c r="B966" s="898" t="s">
        <v>1216</v>
      </c>
      <c r="C966" s="752"/>
      <c r="D966" s="753" t="s">
        <v>251</v>
      </c>
      <c r="E966" s="753"/>
      <c r="F966" s="753" t="s">
        <v>251</v>
      </c>
      <c r="G966" s="753" t="s">
        <v>251</v>
      </c>
      <c r="H966" s="753" t="s">
        <v>251</v>
      </c>
      <c r="I966" s="753" t="s">
        <v>251</v>
      </c>
      <c r="J966" s="753" t="s">
        <v>251</v>
      </c>
      <c r="K966" s="753"/>
      <c r="L966" s="753" t="s">
        <v>251</v>
      </c>
      <c r="M966" s="753" t="s">
        <v>251</v>
      </c>
      <c r="N966" s="753" t="s">
        <v>251</v>
      </c>
      <c r="O966" s="753" t="s">
        <v>251</v>
      </c>
      <c r="P966" s="1497">
        <f t="shared" si="77"/>
        <v>0</v>
      </c>
      <c r="Q966" s="1143">
        <f t="shared" si="78"/>
        <v>0</v>
      </c>
      <c r="R966" s="752"/>
      <c r="S966" s="753"/>
      <c r="T966" s="753"/>
      <c r="U966" s="753"/>
      <c r="V966" s="753"/>
      <c r="W966" s="753"/>
      <c r="X966" s="753"/>
      <c r="Y966" s="753"/>
      <c r="Z966" s="753"/>
      <c r="AA966" s="753"/>
      <c r="AB966" s="753"/>
      <c r="AC966" s="753"/>
      <c r="AD966" s="1143">
        <f t="shared" si="79"/>
        <v>0</v>
      </c>
      <c r="AE966" s="899">
        <f t="shared" si="80"/>
        <v>0</v>
      </c>
      <c r="AF966" s="900">
        <f t="shared" ref="AF966:AF1029" si="81">IFERROR(_xlfn.RANK.EQ(AD966, $AD$2:$AD$2064), "")</f>
        <v>983</v>
      </c>
    </row>
    <row r="967" spans="1:32" x14ac:dyDescent="0.3">
      <c r="A967" s="307" t="s">
        <v>974</v>
      </c>
      <c r="B967" s="898" t="s">
        <v>1340</v>
      </c>
      <c r="C967" s="752"/>
      <c r="D967" s="753" t="s">
        <v>251</v>
      </c>
      <c r="E967" s="753"/>
      <c r="F967" s="753" t="s">
        <v>251</v>
      </c>
      <c r="G967" s="753" t="s">
        <v>251</v>
      </c>
      <c r="H967" s="753" t="s">
        <v>251</v>
      </c>
      <c r="I967" s="753" t="s">
        <v>251</v>
      </c>
      <c r="J967" s="753" t="s">
        <v>251</v>
      </c>
      <c r="K967" s="753"/>
      <c r="L967" s="753" t="s">
        <v>251</v>
      </c>
      <c r="M967" s="753" t="s">
        <v>251</v>
      </c>
      <c r="N967" s="753" t="s">
        <v>251</v>
      </c>
      <c r="O967" s="753" t="s">
        <v>251</v>
      </c>
      <c r="P967" s="1497">
        <f t="shared" si="77"/>
        <v>0</v>
      </c>
      <c r="Q967" s="1143">
        <f t="shared" si="78"/>
        <v>0</v>
      </c>
      <c r="R967" s="752"/>
      <c r="S967" s="753"/>
      <c r="T967" s="753"/>
      <c r="U967" s="753"/>
      <c r="V967" s="753"/>
      <c r="W967" s="753"/>
      <c r="X967" s="753"/>
      <c r="Y967" s="753"/>
      <c r="Z967" s="753"/>
      <c r="AA967" s="753"/>
      <c r="AB967" s="753"/>
      <c r="AC967" s="753"/>
      <c r="AD967" s="1143">
        <f t="shared" si="79"/>
        <v>0</v>
      </c>
      <c r="AE967" s="899">
        <f t="shared" si="80"/>
        <v>0</v>
      </c>
      <c r="AF967" s="900">
        <f t="shared" si="81"/>
        <v>983</v>
      </c>
    </row>
    <row r="968" spans="1:32" x14ac:dyDescent="0.3">
      <c r="A968" s="307" t="s">
        <v>974</v>
      </c>
      <c r="B968" s="898" t="s">
        <v>1331</v>
      </c>
      <c r="C968" s="752"/>
      <c r="D968" s="753">
        <v>0</v>
      </c>
      <c r="E968" s="753"/>
      <c r="F968" s="753">
        <v>0</v>
      </c>
      <c r="G968" s="753">
        <v>0</v>
      </c>
      <c r="H968" s="753">
        <v>0</v>
      </c>
      <c r="I968" s="753">
        <v>27600</v>
      </c>
      <c r="J968" s="753">
        <v>0</v>
      </c>
      <c r="K968" s="753">
        <v>0</v>
      </c>
      <c r="L968" s="753">
        <v>0</v>
      </c>
      <c r="M968" s="753">
        <v>0</v>
      </c>
      <c r="N968" s="753">
        <v>0</v>
      </c>
      <c r="O968" s="753" t="s">
        <v>251</v>
      </c>
      <c r="P968" s="1497">
        <f t="shared" si="77"/>
        <v>27600</v>
      </c>
      <c r="Q968" s="1143">
        <f t="shared" si="78"/>
        <v>27600</v>
      </c>
      <c r="R968" s="752"/>
      <c r="S968" s="753">
        <v>17250</v>
      </c>
      <c r="T968" s="753">
        <v>0</v>
      </c>
      <c r="U968" s="753">
        <v>0</v>
      </c>
      <c r="V968" s="753">
        <v>0</v>
      </c>
      <c r="W968" s="753">
        <v>0</v>
      </c>
      <c r="X968" s="753">
        <v>293500</v>
      </c>
      <c r="Y968" s="753">
        <v>26000</v>
      </c>
      <c r="Z968" s="753"/>
      <c r="AA968" s="753"/>
      <c r="AB968" s="753"/>
      <c r="AC968" s="753"/>
      <c r="AD968" s="1143">
        <f t="shared" si="79"/>
        <v>336750</v>
      </c>
      <c r="AE968" s="899">
        <f t="shared" si="80"/>
        <v>11.201086956521738</v>
      </c>
      <c r="AF968" s="900">
        <f t="shared" si="81"/>
        <v>511</v>
      </c>
    </row>
    <row r="969" spans="1:32" x14ac:dyDescent="0.3">
      <c r="A969" s="307" t="s">
        <v>974</v>
      </c>
      <c r="B969" s="898" t="s">
        <v>1320</v>
      </c>
      <c r="C969" s="752"/>
      <c r="D969" s="753">
        <v>0</v>
      </c>
      <c r="E969" s="753"/>
      <c r="F969" s="753">
        <v>0</v>
      </c>
      <c r="G969" s="753">
        <v>0</v>
      </c>
      <c r="H969" s="753">
        <v>0</v>
      </c>
      <c r="I969" s="753">
        <v>607200</v>
      </c>
      <c r="J969" s="753">
        <v>0</v>
      </c>
      <c r="K969" s="753">
        <v>0</v>
      </c>
      <c r="L969" s="753">
        <v>0</v>
      </c>
      <c r="M969" s="753">
        <v>0</v>
      </c>
      <c r="N969" s="753">
        <v>0</v>
      </c>
      <c r="O969" s="753" t="s">
        <v>251</v>
      </c>
      <c r="P969" s="1497">
        <f t="shared" si="77"/>
        <v>607200</v>
      </c>
      <c r="Q969" s="1143">
        <f t="shared" si="78"/>
        <v>607200</v>
      </c>
      <c r="R969" s="752"/>
      <c r="S969" s="753"/>
      <c r="T969" s="753"/>
      <c r="U969" s="753"/>
      <c r="V969" s="753"/>
      <c r="W969" s="753"/>
      <c r="X969" s="753"/>
      <c r="Y969" s="753"/>
      <c r="Z969" s="753"/>
      <c r="AA969" s="753"/>
      <c r="AB969" s="753"/>
      <c r="AC969" s="753"/>
      <c r="AD969" s="1143">
        <f t="shared" si="79"/>
        <v>0</v>
      </c>
      <c r="AE969" s="899">
        <f t="shared" si="80"/>
        <v>-1</v>
      </c>
      <c r="AF969" s="900">
        <f t="shared" si="81"/>
        <v>983</v>
      </c>
    </row>
    <row r="970" spans="1:32" x14ac:dyDescent="0.3">
      <c r="A970" s="307" t="s">
        <v>974</v>
      </c>
      <c r="B970" s="898" t="s">
        <v>1551</v>
      </c>
      <c r="C970" s="752"/>
      <c r="D970" s="753" t="s">
        <v>251</v>
      </c>
      <c r="E970" s="753"/>
      <c r="F970" s="753" t="s">
        <v>251</v>
      </c>
      <c r="G970" s="753" t="s">
        <v>251</v>
      </c>
      <c r="H970" s="753" t="s">
        <v>251</v>
      </c>
      <c r="I970" s="753" t="s">
        <v>251</v>
      </c>
      <c r="J970" s="753" t="s">
        <v>251</v>
      </c>
      <c r="K970" s="753"/>
      <c r="L970" s="753" t="s">
        <v>251</v>
      </c>
      <c r="M970" s="753" t="s">
        <v>251</v>
      </c>
      <c r="N970" s="753" t="s">
        <v>251</v>
      </c>
      <c r="O970" s="753" t="s">
        <v>251</v>
      </c>
      <c r="P970" s="1497">
        <f t="shared" si="77"/>
        <v>0</v>
      </c>
      <c r="Q970" s="1143">
        <f t="shared" si="78"/>
        <v>0</v>
      </c>
      <c r="R970" s="752"/>
      <c r="S970" s="753"/>
      <c r="T970" s="753"/>
      <c r="U970" s="753"/>
      <c r="V970" s="753"/>
      <c r="W970" s="753"/>
      <c r="X970" s="753"/>
      <c r="Y970" s="753"/>
      <c r="Z970" s="753"/>
      <c r="AA970" s="753"/>
      <c r="AB970" s="753"/>
      <c r="AC970" s="753"/>
      <c r="AD970" s="1143">
        <f t="shared" si="79"/>
        <v>0</v>
      </c>
      <c r="AE970" s="899">
        <f t="shared" si="80"/>
        <v>0</v>
      </c>
      <c r="AF970" s="900">
        <f t="shared" si="81"/>
        <v>983</v>
      </c>
    </row>
    <row r="971" spans="1:32" x14ac:dyDescent="0.3">
      <c r="A971" s="307" t="s">
        <v>974</v>
      </c>
      <c r="B971" s="898" t="s">
        <v>2138</v>
      </c>
      <c r="C971" s="752"/>
      <c r="D971" s="753">
        <v>0</v>
      </c>
      <c r="E971" s="753"/>
      <c r="F971" s="753">
        <v>0</v>
      </c>
      <c r="G971" s="753">
        <v>0</v>
      </c>
      <c r="H971" s="753">
        <v>101800</v>
      </c>
      <c r="I971" s="753">
        <v>941400</v>
      </c>
      <c r="J971" s="753">
        <v>398800</v>
      </c>
      <c r="K971" s="753">
        <v>29600</v>
      </c>
      <c r="L971" s="753">
        <v>52000</v>
      </c>
      <c r="M971" s="753">
        <v>0</v>
      </c>
      <c r="N971" s="753">
        <v>0</v>
      </c>
      <c r="O971" s="753" t="s">
        <v>251</v>
      </c>
      <c r="P971" s="1497">
        <f t="shared" si="77"/>
        <v>1072800</v>
      </c>
      <c r="Q971" s="1143">
        <f t="shared" si="78"/>
        <v>1494000</v>
      </c>
      <c r="R971" s="752"/>
      <c r="S971" s="753"/>
      <c r="T971" s="753"/>
      <c r="U971" s="753"/>
      <c r="V971" s="753"/>
      <c r="W971" s="753"/>
      <c r="X971" s="753"/>
      <c r="Y971" s="753"/>
      <c r="Z971" s="753"/>
      <c r="AA971" s="753"/>
      <c r="AB971" s="753"/>
      <c r="AC971" s="753"/>
      <c r="AD971" s="1143">
        <f t="shared" si="79"/>
        <v>0</v>
      </c>
      <c r="AE971" s="899">
        <f t="shared" si="80"/>
        <v>-1</v>
      </c>
      <c r="AF971" s="900">
        <f t="shared" si="81"/>
        <v>983</v>
      </c>
    </row>
    <row r="972" spans="1:32" x14ac:dyDescent="0.3">
      <c r="A972" s="307" t="s">
        <v>974</v>
      </c>
      <c r="B972" s="898" t="s">
        <v>1587</v>
      </c>
      <c r="C972" s="752"/>
      <c r="D972" s="753">
        <v>0</v>
      </c>
      <c r="E972" s="753"/>
      <c r="F972" s="753">
        <v>0</v>
      </c>
      <c r="G972" s="753">
        <v>0</v>
      </c>
      <c r="H972" s="753">
        <v>0</v>
      </c>
      <c r="I972" s="753">
        <v>715150</v>
      </c>
      <c r="J972" s="753">
        <v>0</v>
      </c>
      <c r="K972" s="753">
        <v>0</v>
      </c>
      <c r="L972" s="753">
        <v>0</v>
      </c>
      <c r="M972" s="753">
        <v>0</v>
      </c>
      <c r="N972" s="753">
        <v>0</v>
      </c>
      <c r="O972" s="753" t="s">
        <v>251</v>
      </c>
      <c r="P972" s="1497">
        <f t="shared" si="77"/>
        <v>715150</v>
      </c>
      <c r="Q972" s="1143">
        <f t="shared" si="78"/>
        <v>715150</v>
      </c>
      <c r="R972" s="752"/>
      <c r="S972" s="753"/>
      <c r="T972" s="753"/>
      <c r="U972" s="753"/>
      <c r="V972" s="753"/>
      <c r="W972" s="753"/>
      <c r="X972" s="753"/>
      <c r="Y972" s="753"/>
      <c r="Z972" s="753"/>
      <c r="AA972" s="753"/>
      <c r="AB972" s="753"/>
      <c r="AC972" s="753"/>
      <c r="AD972" s="1143">
        <f t="shared" si="79"/>
        <v>0</v>
      </c>
      <c r="AE972" s="899">
        <f t="shared" si="80"/>
        <v>-1</v>
      </c>
      <c r="AF972" s="900">
        <f t="shared" si="81"/>
        <v>983</v>
      </c>
    </row>
    <row r="973" spans="1:32" x14ac:dyDescent="0.3">
      <c r="A973" s="307" t="s">
        <v>974</v>
      </c>
      <c r="B973" s="898" t="s">
        <v>2139</v>
      </c>
      <c r="C973" s="752"/>
      <c r="D973" s="753">
        <v>0</v>
      </c>
      <c r="E973" s="753"/>
      <c r="F973" s="753">
        <v>0</v>
      </c>
      <c r="G973" s="753">
        <v>0</v>
      </c>
      <c r="H973" s="753">
        <v>0</v>
      </c>
      <c r="I973" s="753">
        <v>221000</v>
      </c>
      <c r="J973" s="753">
        <v>207000</v>
      </c>
      <c r="K973" s="753">
        <v>207000</v>
      </c>
      <c r="L973" s="753">
        <v>0</v>
      </c>
      <c r="M973" s="753">
        <v>0</v>
      </c>
      <c r="N973" s="753">
        <v>0</v>
      </c>
      <c r="O973" s="753" t="s">
        <v>251</v>
      </c>
      <c r="P973" s="1497">
        <f t="shared" si="77"/>
        <v>428000</v>
      </c>
      <c r="Q973" s="1143">
        <f t="shared" si="78"/>
        <v>428000</v>
      </c>
      <c r="R973" s="752"/>
      <c r="S973" s="753"/>
      <c r="T973" s="753"/>
      <c r="U973" s="753"/>
      <c r="V973" s="753"/>
      <c r="W973" s="753"/>
      <c r="X973" s="753"/>
      <c r="Y973" s="753"/>
      <c r="Z973" s="753"/>
      <c r="AA973" s="753"/>
      <c r="AB973" s="753"/>
      <c r="AC973" s="753"/>
      <c r="AD973" s="1143">
        <f t="shared" si="79"/>
        <v>0</v>
      </c>
      <c r="AE973" s="899">
        <f t="shared" si="80"/>
        <v>-1</v>
      </c>
      <c r="AF973" s="900">
        <f t="shared" si="81"/>
        <v>983</v>
      </c>
    </row>
    <row r="974" spans="1:32" x14ac:dyDescent="0.3">
      <c r="A974" s="307" t="s">
        <v>974</v>
      </c>
      <c r="B974" s="898" t="s">
        <v>2140</v>
      </c>
      <c r="C974" s="752"/>
      <c r="D974" s="753">
        <v>0</v>
      </c>
      <c r="E974" s="753"/>
      <c r="F974" s="753">
        <v>0</v>
      </c>
      <c r="G974" s="753">
        <v>0</v>
      </c>
      <c r="H974" s="753">
        <v>0</v>
      </c>
      <c r="I974" s="753">
        <v>0</v>
      </c>
      <c r="J974" s="753">
        <v>0</v>
      </c>
      <c r="K974" s="753"/>
      <c r="L974" s="753">
        <v>1394700</v>
      </c>
      <c r="M974" s="753">
        <v>1263500</v>
      </c>
      <c r="N974" s="753">
        <v>848150</v>
      </c>
      <c r="O974" s="753" t="s">
        <v>251</v>
      </c>
      <c r="P974" s="1497">
        <f t="shared" si="77"/>
        <v>0</v>
      </c>
      <c r="Q974" s="1143">
        <f>SUM(C974:J974,L974:O974)</f>
        <v>3506350</v>
      </c>
      <c r="R974" s="752"/>
      <c r="S974" s="753"/>
      <c r="T974" s="753"/>
      <c r="U974" s="753"/>
      <c r="V974" s="753"/>
      <c r="W974" s="753"/>
      <c r="X974" s="753"/>
      <c r="Y974" s="753"/>
      <c r="Z974" s="753"/>
      <c r="AA974" s="753"/>
      <c r="AB974" s="753"/>
      <c r="AC974" s="753"/>
      <c r="AD974" s="1143">
        <f t="shared" si="79"/>
        <v>0</v>
      </c>
      <c r="AE974" s="899">
        <f t="shared" si="80"/>
        <v>0</v>
      </c>
      <c r="AF974" s="900">
        <f t="shared" si="81"/>
        <v>983</v>
      </c>
    </row>
    <row r="975" spans="1:32" x14ac:dyDescent="0.3">
      <c r="A975" s="307" t="s">
        <v>974</v>
      </c>
      <c r="B975" s="898" t="s">
        <v>1292</v>
      </c>
      <c r="C975" s="752"/>
      <c r="D975" s="753">
        <v>0</v>
      </c>
      <c r="E975" s="753"/>
      <c r="F975" s="753">
        <v>0</v>
      </c>
      <c r="G975" s="753">
        <v>0</v>
      </c>
      <c r="H975" s="753">
        <v>0</v>
      </c>
      <c r="I975" s="753">
        <v>0</v>
      </c>
      <c r="J975" s="753">
        <v>0</v>
      </c>
      <c r="K975" s="753"/>
      <c r="L975" s="753">
        <v>262000</v>
      </c>
      <c r="M975" s="753">
        <v>130000</v>
      </c>
      <c r="N975" s="753">
        <v>0</v>
      </c>
      <c r="O975" s="753" t="s">
        <v>251</v>
      </c>
      <c r="P975" s="1497">
        <f t="shared" ref="P975:P1042" si="82">SUM(C975:I975,K975)</f>
        <v>0</v>
      </c>
      <c r="Q975" s="1143">
        <f t="shared" ref="Q975:Q1042" si="83">SUM(C975:J975,L975:O975)</f>
        <v>392000</v>
      </c>
      <c r="R975" s="752"/>
      <c r="S975" s="753"/>
      <c r="T975" s="753"/>
      <c r="U975" s="753"/>
      <c r="V975" s="753"/>
      <c r="W975" s="753"/>
      <c r="X975" s="753">
        <v>143000</v>
      </c>
      <c r="Y975" s="753">
        <v>1062000</v>
      </c>
      <c r="Z975" s="753"/>
      <c r="AA975" s="753"/>
      <c r="AB975" s="753"/>
      <c r="AC975" s="753"/>
      <c r="AD975" s="1143">
        <f t="shared" si="79"/>
        <v>1205000</v>
      </c>
      <c r="AE975" s="899">
        <f t="shared" si="80"/>
        <v>1</v>
      </c>
      <c r="AF975" s="900">
        <f t="shared" si="81"/>
        <v>281</v>
      </c>
    </row>
    <row r="976" spans="1:32" x14ac:dyDescent="0.3">
      <c r="A976" s="307" t="s">
        <v>974</v>
      </c>
      <c r="B976" s="898" t="s">
        <v>2141</v>
      </c>
      <c r="C976" s="752"/>
      <c r="D976" s="753" t="s">
        <v>251</v>
      </c>
      <c r="E976" s="753"/>
      <c r="F976" s="753" t="s">
        <v>251</v>
      </c>
      <c r="G976" s="753" t="s">
        <v>251</v>
      </c>
      <c r="H976" s="753" t="s">
        <v>251</v>
      </c>
      <c r="I976" s="753" t="s">
        <v>251</v>
      </c>
      <c r="J976" s="753" t="s">
        <v>251</v>
      </c>
      <c r="K976" s="753"/>
      <c r="L976" s="753" t="s">
        <v>251</v>
      </c>
      <c r="M976" s="753" t="s">
        <v>251</v>
      </c>
      <c r="N976" s="753" t="s">
        <v>251</v>
      </c>
      <c r="O976" s="753" t="s">
        <v>251</v>
      </c>
      <c r="P976" s="1497">
        <f t="shared" si="82"/>
        <v>0</v>
      </c>
      <c r="Q976" s="1143">
        <f t="shared" si="83"/>
        <v>0</v>
      </c>
      <c r="R976" s="752"/>
      <c r="S976" s="753"/>
      <c r="T976" s="753"/>
      <c r="U976" s="753"/>
      <c r="V976" s="753"/>
      <c r="W976" s="753"/>
      <c r="X976" s="753"/>
      <c r="Y976" s="753"/>
      <c r="Z976" s="753"/>
      <c r="AA976" s="753"/>
      <c r="AB976" s="753"/>
      <c r="AC976" s="753"/>
      <c r="AD976" s="1143">
        <f t="shared" si="79"/>
        <v>0</v>
      </c>
      <c r="AE976" s="899">
        <f t="shared" si="80"/>
        <v>0</v>
      </c>
      <c r="AF976" s="900">
        <f t="shared" si="81"/>
        <v>983</v>
      </c>
    </row>
    <row r="977" spans="1:32" x14ac:dyDescent="0.3">
      <c r="A977" s="307" t="s">
        <v>974</v>
      </c>
      <c r="B977" s="898" t="s">
        <v>2142</v>
      </c>
      <c r="C977" s="752"/>
      <c r="D977" s="753" t="s">
        <v>251</v>
      </c>
      <c r="E977" s="753"/>
      <c r="F977" s="753" t="s">
        <v>251</v>
      </c>
      <c r="G977" s="753" t="s">
        <v>251</v>
      </c>
      <c r="H977" s="753" t="s">
        <v>251</v>
      </c>
      <c r="I977" s="753" t="s">
        <v>251</v>
      </c>
      <c r="J977" s="753" t="s">
        <v>251</v>
      </c>
      <c r="K977" s="753"/>
      <c r="L977" s="753" t="s">
        <v>251</v>
      </c>
      <c r="M977" s="753" t="s">
        <v>251</v>
      </c>
      <c r="N977" s="753" t="s">
        <v>251</v>
      </c>
      <c r="O977" s="753" t="s">
        <v>251</v>
      </c>
      <c r="P977" s="1497">
        <f t="shared" si="82"/>
        <v>0</v>
      </c>
      <c r="Q977" s="1143">
        <f t="shared" si="83"/>
        <v>0</v>
      </c>
      <c r="R977" s="752"/>
      <c r="S977" s="753"/>
      <c r="T977" s="753"/>
      <c r="U977" s="753"/>
      <c r="V977" s="753"/>
      <c r="W977" s="753"/>
      <c r="X977" s="753"/>
      <c r="Y977" s="753"/>
      <c r="Z977" s="753"/>
      <c r="AA977" s="753"/>
      <c r="AB977" s="753"/>
      <c r="AC977" s="753"/>
      <c r="AD977" s="1143">
        <f t="shared" si="79"/>
        <v>0</v>
      </c>
      <c r="AE977" s="899">
        <f t="shared" si="80"/>
        <v>0</v>
      </c>
      <c r="AF977" s="900">
        <f t="shared" si="81"/>
        <v>983</v>
      </c>
    </row>
    <row r="978" spans="1:32" x14ac:dyDescent="0.3">
      <c r="A978" s="307" t="s">
        <v>974</v>
      </c>
      <c r="B978" s="898" t="s">
        <v>1438</v>
      </c>
      <c r="C978" s="752"/>
      <c r="D978" s="753" t="s">
        <v>251</v>
      </c>
      <c r="E978" s="753"/>
      <c r="F978" s="753" t="s">
        <v>251</v>
      </c>
      <c r="G978" s="753" t="s">
        <v>251</v>
      </c>
      <c r="H978" s="753" t="s">
        <v>251</v>
      </c>
      <c r="I978" s="753" t="s">
        <v>251</v>
      </c>
      <c r="J978" s="753" t="s">
        <v>251</v>
      </c>
      <c r="K978" s="753"/>
      <c r="L978" s="753" t="s">
        <v>251</v>
      </c>
      <c r="M978" s="753" t="s">
        <v>251</v>
      </c>
      <c r="N978" s="753" t="s">
        <v>251</v>
      </c>
      <c r="O978" s="753" t="s">
        <v>251</v>
      </c>
      <c r="P978" s="1497">
        <f t="shared" si="82"/>
        <v>0</v>
      </c>
      <c r="Q978" s="1143">
        <f t="shared" si="83"/>
        <v>0</v>
      </c>
      <c r="R978" s="752"/>
      <c r="S978" s="753"/>
      <c r="T978" s="753"/>
      <c r="U978" s="753"/>
      <c r="V978" s="753"/>
      <c r="W978" s="753"/>
      <c r="X978" s="753"/>
      <c r="Y978" s="753"/>
      <c r="Z978" s="753"/>
      <c r="AA978" s="753"/>
      <c r="AB978" s="753"/>
      <c r="AC978" s="753"/>
      <c r="AD978" s="1143">
        <f t="shared" si="79"/>
        <v>0</v>
      </c>
      <c r="AE978" s="899">
        <f t="shared" si="80"/>
        <v>0</v>
      </c>
      <c r="AF978" s="900">
        <f t="shared" si="81"/>
        <v>983</v>
      </c>
    </row>
    <row r="979" spans="1:32" x14ac:dyDescent="0.3">
      <c r="A979" s="307" t="s">
        <v>974</v>
      </c>
      <c r="B979" s="898" t="s">
        <v>1635</v>
      </c>
      <c r="C979" s="752"/>
      <c r="D979" s="753">
        <v>0</v>
      </c>
      <c r="E979" s="753"/>
      <c r="F979" s="753">
        <v>0</v>
      </c>
      <c r="G979" s="753">
        <v>0</v>
      </c>
      <c r="H979" s="753">
        <v>0</v>
      </c>
      <c r="I979" s="753">
        <v>0</v>
      </c>
      <c r="J979" s="753">
        <v>0</v>
      </c>
      <c r="K979" s="753"/>
      <c r="L979" s="753">
        <v>0</v>
      </c>
      <c r="M979" s="753">
        <v>0</v>
      </c>
      <c r="N979" s="753">
        <v>303200</v>
      </c>
      <c r="O979" s="753" t="s">
        <v>251</v>
      </c>
      <c r="P979" s="1497">
        <f t="shared" si="82"/>
        <v>0</v>
      </c>
      <c r="Q979" s="1143">
        <f t="shared" si="83"/>
        <v>303200</v>
      </c>
      <c r="R979" s="752"/>
      <c r="S979" s="753"/>
      <c r="T979" s="753"/>
      <c r="U979" s="753"/>
      <c r="V979" s="753"/>
      <c r="W979" s="753"/>
      <c r="X979" s="753"/>
      <c r="Y979" s="753"/>
      <c r="Z979" s="753"/>
      <c r="AA979" s="753"/>
      <c r="AB979" s="753"/>
      <c r="AC979" s="753"/>
      <c r="AD979" s="1143">
        <f t="shared" si="79"/>
        <v>0</v>
      </c>
      <c r="AE979" s="899">
        <f t="shared" si="80"/>
        <v>0</v>
      </c>
      <c r="AF979" s="900">
        <f t="shared" si="81"/>
        <v>983</v>
      </c>
    </row>
    <row r="980" spans="1:32" x14ac:dyDescent="0.3">
      <c r="A980" s="307" t="s">
        <v>974</v>
      </c>
      <c r="B980" s="898" t="s">
        <v>2143</v>
      </c>
      <c r="C980" s="752"/>
      <c r="D980" s="753" t="s">
        <v>251</v>
      </c>
      <c r="E980" s="753"/>
      <c r="F980" s="753" t="s">
        <v>251</v>
      </c>
      <c r="G980" s="753" t="s">
        <v>251</v>
      </c>
      <c r="H980" s="753" t="s">
        <v>251</v>
      </c>
      <c r="I980" s="753" t="s">
        <v>251</v>
      </c>
      <c r="J980" s="753" t="s">
        <v>251</v>
      </c>
      <c r="K980" s="753"/>
      <c r="L980" s="753" t="s">
        <v>251</v>
      </c>
      <c r="M980" s="753" t="s">
        <v>251</v>
      </c>
      <c r="N980" s="753" t="s">
        <v>251</v>
      </c>
      <c r="O980" s="753" t="s">
        <v>251</v>
      </c>
      <c r="P980" s="1497">
        <f t="shared" si="82"/>
        <v>0</v>
      </c>
      <c r="Q980" s="1143">
        <f t="shared" si="83"/>
        <v>0</v>
      </c>
      <c r="R980" s="752"/>
      <c r="S980" s="753"/>
      <c r="T980" s="753"/>
      <c r="U980" s="753"/>
      <c r="V980" s="753"/>
      <c r="W980" s="753"/>
      <c r="X980" s="753"/>
      <c r="Y980" s="753"/>
      <c r="Z980" s="753"/>
      <c r="AA980" s="753"/>
      <c r="AB980" s="753"/>
      <c r="AC980" s="753"/>
      <c r="AD980" s="1143">
        <f t="shared" si="79"/>
        <v>0</v>
      </c>
      <c r="AE980" s="899">
        <f t="shared" si="80"/>
        <v>0</v>
      </c>
      <c r="AF980" s="900">
        <f t="shared" si="81"/>
        <v>983</v>
      </c>
    </row>
    <row r="981" spans="1:32" x14ac:dyDescent="0.3">
      <c r="A981" s="307" t="s">
        <v>974</v>
      </c>
      <c r="B981" s="898" t="s">
        <v>975</v>
      </c>
      <c r="C981" s="752"/>
      <c r="D981" s="753" t="s">
        <v>251</v>
      </c>
      <c r="E981" s="753"/>
      <c r="F981" s="753" t="s">
        <v>251</v>
      </c>
      <c r="G981" s="753" t="s">
        <v>251</v>
      </c>
      <c r="H981" s="753" t="s">
        <v>251</v>
      </c>
      <c r="I981" s="753" t="s">
        <v>251</v>
      </c>
      <c r="J981" s="753" t="s">
        <v>251</v>
      </c>
      <c r="K981" s="753"/>
      <c r="L981" s="753" t="s">
        <v>251</v>
      </c>
      <c r="M981" s="753" t="s">
        <v>251</v>
      </c>
      <c r="N981" s="753"/>
      <c r="O981" s="753" t="s">
        <v>251</v>
      </c>
      <c r="P981" s="1497">
        <f t="shared" si="82"/>
        <v>0</v>
      </c>
      <c r="Q981" s="1143">
        <f t="shared" si="83"/>
        <v>0</v>
      </c>
      <c r="R981" s="752"/>
      <c r="S981" s="753"/>
      <c r="T981" s="753"/>
      <c r="U981" s="753"/>
      <c r="V981" s="753"/>
      <c r="W981" s="753"/>
      <c r="X981" s="753">
        <v>780000</v>
      </c>
      <c r="Y981" s="753">
        <v>0</v>
      </c>
      <c r="Z981" s="753"/>
      <c r="AA981" s="753"/>
      <c r="AB981" s="753"/>
      <c r="AC981" s="753"/>
      <c r="AD981" s="1143">
        <f t="shared" si="79"/>
        <v>780000</v>
      </c>
      <c r="AE981" s="899">
        <f t="shared" si="80"/>
        <v>1</v>
      </c>
      <c r="AF981" s="900">
        <f t="shared" si="81"/>
        <v>357</v>
      </c>
    </row>
    <row r="982" spans="1:32" x14ac:dyDescent="0.3">
      <c r="A982" s="307" t="s">
        <v>974</v>
      </c>
      <c r="B982" s="898" t="s">
        <v>1532</v>
      </c>
      <c r="C982" s="752"/>
      <c r="D982" s="753" t="s">
        <v>251</v>
      </c>
      <c r="E982" s="753"/>
      <c r="F982" s="753"/>
      <c r="G982" s="753" t="s">
        <v>251</v>
      </c>
      <c r="H982" s="753" t="s">
        <v>251</v>
      </c>
      <c r="I982" s="753" t="s">
        <v>251</v>
      </c>
      <c r="J982" s="753"/>
      <c r="K982" s="753"/>
      <c r="L982" s="753"/>
      <c r="M982" s="753"/>
      <c r="N982" s="753"/>
      <c r="O982" s="753">
        <v>759000</v>
      </c>
      <c r="P982" s="1497">
        <f t="shared" si="82"/>
        <v>0</v>
      </c>
      <c r="Q982" s="1143">
        <f t="shared" si="83"/>
        <v>759000</v>
      </c>
      <c r="R982" s="752">
        <v>572600</v>
      </c>
      <c r="S982" s="753">
        <v>132000</v>
      </c>
      <c r="T982" s="753">
        <v>0</v>
      </c>
      <c r="U982" s="753">
        <v>0</v>
      </c>
      <c r="V982" s="753">
        <v>0</v>
      </c>
      <c r="W982" s="753">
        <v>0</v>
      </c>
      <c r="X982" s="753">
        <v>0</v>
      </c>
      <c r="Y982" s="753">
        <v>0</v>
      </c>
      <c r="Z982" s="753"/>
      <c r="AA982" s="753"/>
      <c r="AB982" s="753"/>
      <c r="AC982" s="753"/>
      <c r="AD982" s="1143">
        <f t="shared" si="79"/>
        <v>704600</v>
      </c>
      <c r="AE982" s="899">
        <f t="shared" si="80"/>
        <v>1</v>
      </c>
      <c r="AF982" s="900">
        <f t="shared" si="81"/>
        <v>380</v>
      </c>
    </row>
    <row r="983" spans="1:32" x14ac:dyDescent="0.3">
      <c r="A983" s="307" t="s">
        <v>974</v>
      </c>
      <c r="B983" s="898" t="s">
        <v>2568</v>
      </c>
      <c r="C983" s="752"/>
      <c r="D983" s="753"/>
      <c r="E983" s="753"/>
      <c r="F983" s="753"/>
      <c r="G983" s="753"/>
      <c r="H983" s="753"/>
      <c r="I983" s="753"/>
      <c r="J983" s="753"/>
      <c r="K983" s="753"/>
      <c r="L983" s="753"/>
      <c r="M983" s="753"/>
      <c r="N983" s="753"/>
      <c r="O983" s="753"/>
      <c r="P983" s="1497">
        <f t="shared" si="82"/>
        <v>0</v>
      </c>
      <c r="Q983" s="1143">
        <f t="shared" si="83"/>
        <v>0</v>
      </c>
      <c r="R983" s="752"/>
      <c r="S983" s="753">
        <v>68000</v>
      </c>
      <c r="T983" s="753">
        <v>0</v>
      </c>
      <c r="U983" s="753">
        <v>0</v>
      </c>
      <c r="V983" s="753">
        <v>0</v>
      </c>
      <c r="W983" s="753">
        <v>0</v>
      </c>
      <c r="X983" s="753">
        <v>0</v>
      </c>
      <c r="Y983" s="753">
        <v>0</v>
      </c>
      <c r="Z983" s="753"/>
      <c r="AA983" s="753"/>
      <c r="AB983" s="753"/>
      <c r="AC983" s="753"/>
      <c r="AD983" s="1143">
        <f t="shared" si="79"/>
        <v>68000</v>
      </c>
      <c r="AE983" s="899">
        <f t="shared" si="80"/>
        <v>1</v>
      </c>
      <c r="AF983" s="900">
        <f t="shared" si="81"/>
        <v>804</v>
      </c>
    </row>
    <row r="984" spans="1:32" x14ac:dyDescent="0.3">
      <c r="A984" s="307" t="s">
        <v>974</v>
      </c>
      <c r="B984" s="898" t="s">
        <v>1491</v>
      </c>
      <c r="C984" s="752"/>
      <c r="D984" s="753"/>
      <c r="E984" s="753"/>
      <c r="F984" s="753"/>
      <c r="G984" s="753"/>
      <c r="H984" s="753"/>
      <c r="I984" s="753"/>
      <c r="J984" s="753"/>
      <c r="K984" s="753"/>
      <c r="L984" s="753"/>
      <c r="M984" s="753"/>
      <c r="N984" s="753"/>
      <c r="O984" s="753"/>
      <c r="P984" s="1497">
        <f t="shared" si="82"/>
        <v>0</v>
      </c>
      <c r="Q984" s="1143">
        <f t="shared" si="83"/>
        <v>0</v>
      </c>
      <c r="R984" s="752"/>
      <c r="S984" s="753">
        <v>125750</v>
      </c>
      <c r="T984" s="753">
        <v>0</v>
      </c>
      <c r="U984" s="753">
        <v>0</v>
      </c>
      <c r="V984" s="753">
        <v>0</v>
      </c>
      <c r="W984" s="753">
        <v>0</v>
      </c>
      <c r="X984" s="753">
        <v>0</v>
      </c>
      <c r="Y984" s="753">
        <v>0</v>
      </c>
      <c r="Z984" s="753"/>
      <c r="AA984" s="753"/>
      <c r="AB984" s="753"/>
      <c r="AC984" s="753"/>
      <c r="AD984" s="1143">
        <f t="shared" si="79"/>
        <v>125750</v>
      </c>
      <c r="AE984" s="899">
        <f t="shared" si="80"/>
        <v>1</v>
      </c>
      <c r="AF984" s="900">
        <f t="shared" si="81"/>
        <v>704</v>
      </c>
    </row>
    <row r="985" spans="1:32" x14ac:dyDescent="0.3">
      <c r="A985" s="307" t="s">
        <v>974</v>
      </c>
      <c r="B985" s="898" t="s">
        <v>1195</v>
      </c>
      <c r="C985" s="752"/>
      <c r="D985" s="753"/>
      <c r="E985" s="753"/>
      <c r="F985" s="753"/>
      <c r="G985" s="753"/>
      <c r="H985" s="753"/>
      <c r="I985" s="753"/>
      <c r="J985" s="753"/>
      <c r="K985" s="753"/>
      <c r="L985" s="753"/>
      <c r="M985" s="753"/>
      <c r="N985" s="753"/>
      <c r="O985" s="753"/>
      <c r="P985" s="1497">
        <f t="shared" si="82"/>
        <v>0</v>
      </c>
      <c r="Q985" s="1143">
        <f t="shared" si="83"/>
        <v>0</v>
      </c>
      <c r="R985" s="752"/>
      <c r="S985" s="753">
        <v>380200</v>
      </c>
      <c r="T985" s="753">
        <v>615600</v>
      </c>
      <c r="U985" s="753">
        <v>0</v>
      </c>
      <c r="V985" s="753">
        <v>0</v>
      </c>
      <c r="W985" s="753">
        <v>0</v>
      </c>
      <c r="X985" s="753">
        <v>0</v>
      </c>
      <c r="Y985" s="753">
        <v>0</v>
      </c>
      <c r="Z985" s="753"/>
      <c r="AA985" s="753"/>
      <c r="AB985" s="753"/>
      <c r="AC985" s="753"/>
      <c r="AD985" s="1143">
        <f t="shared" si="79"/>
        <v>995800</v>
      </c>
      <c r="AE985" s="899">
        <f t="shared" si="80"/>
        <v>1</v>
      </c>
      <c r="AF985" s="900">
        <f t="shared" si="81"/>
        <v>319</v>
      </c>
    </row>
    <row r="986" spans="1:32" ht="17.25" customHeight="1" x14ac:dyDescent="0.3">
      <c r="A986" s="307" t="s">
        <v>974</v>
      </c>
      <c r="B986" s="898" t="s">
        <v>1470</v>
      </c>
      <c r="C986" s="752"/>
      <c r="D986" s="753"/>
      <c r="E986" s="753"/>
      <c r="F986" s="753"/>
      <c r="G986" s="753"/>
      <c r="H986" s="753"/>
      <c r="I986" s="753"/>
      <c r="J986" s="753"/>
      <c r="K986" s="753"/>
      <c r="L986" s="753"/>
      <c r="M986" s="753"/>
      <c r="N986" s="753"/>
      <c r="O986" s="753"/>
      <c r="P986" s="1497">
        <f t="shared" si="82"/>
        <v>0</v>
      </c>
      <c r="Q986" s="1143">
        <f t="shared" si="83"/>
        <v>0</v>
      </c>
      <c r="R986" s="752"/>
      <c r="S986" s="753"/>
      <c r="T986" s="753">
        <v>35200</v>
      </c>
      <c r="U986" s="753">
        <v>631000</v>
      </c>
      <c r="V986" s="753">
        <v>0</v>
      </c>
      <c r="W986" s="753">
        <v>0</v>
      </c>
      <c r="X986" s="753">
        <v>0</v>
      </c>
      <c r="Y986" s="753">
        <v>0</v>
      </c>
      <c r="Z986" s="753"/>
      <c r="AA986" s="753"/>
      <c r="AB986" s="753"/>
      <c r="AC986" s="753"/>
      <c r="AD986" s="1143">
        <f t="shared" si="79"/>
        <v>666200</v>
      </c>
      <c r="AE986" s="899">
        <f t="shared" si="80"/>
        <v>1</v>
      </c>
      <c r="AF986" s="900">
        <f t="shared" si="81"/>
        <v>390</v>
      </c>
    </row>
    <row r="987" spans="1:32" ht="17.25" customHeight="1" x14ac:dyDescent="0.3">
      <c r="A987" s="307" t="s">
        <v>974</v>
      </c>
      <c r="B987" s="898" t="s">
        <v>690</v>
      </c>
      <c r="C987" s="752"/>
      <c r="D987" s="753"/>
      <c r="E987" s="753"/>
      <c r="F987" s="753"/>
      <c r="G987" s="753"/>
      <c r="H987" s="753"/>
      <c r="I987" s="753"/>
      <c r="J987" s="753"/>
      <c r="K987" s="753"/>
      <c r="L987" s="753"/>
      <c r="M987" s="753"/>
      <c r="N987" s="753"/>
      <c r="O987" s="753"/>
      <c r="P987" s="1497">
        <f t="shared" si="82"/>
        <v>0</v>
      </c>
      <c r="Q987" s="1143">
        <f t="shared" si="83"/>
        <v>0</v>
      </c>
      <c r="R987" s="752"/>
      <c r="S987" s="753"/>
      <c r="T987" s="753"/>
      <c r="U987" s="753"/>
      <c r="V987" s="753">
        <v>103000</v>
      </c>
      <c r="W987" s="753">
        <v>0</v>
      </c>
      <c r="X987" s="753">
        <v>103000</v>
      </c>
      <c r="Y987" s="753">
        <v>0</v>
      </c>
      <c r="Z987" s="753"/>
      <c r="AA987" s="753"/>
      <c r="AB987" s="753"/>
      <c r="AC987" s="753"/>
      <c r="AD987" s="1143">
        <f t="shared" si="79"/>
        <v>206000</v>
      </c>
      <c r="AE987" s="899">
        <f t="shared" si="80"/>
        <v>1</v>
      </c>
      <c r="AF987" s="900">
        <f t="shared" si="81"/>
        <v>606</v>
      </c>
    </row>
    <row r="988" spans="1:32" x14ac:dyDescent="0.3">
      <c r="A988" s="307" t="s">
        <v>974</v>
      </c>
      <c r="B988" s="898" t="s">
        <v>2133</v>
      </c>
      <c r="C988" s="752"/>
      <c r="D988" s="753"/>
      <c r="E988" s="753"/>
      <c r="F988" s="753"/>
      <c r="G988" s="753"/>
      <c r="H988" s="753"/>
      <c r="I988" s="753"/>
      <c r="J988" s="753"/>
      <c r="K988" s="753"/>
      <c r="L988" s="753"/>
      <c r="M988" s="753"/>
      <c r="N988" s="753"/>
      <c r="O988" s="753"/>
      <c r="P988" s="1497">
        <f t="shared" si="82"/>
        <v>0</v>
      </c>
      <c r="Q988" s="1143">
        <f t="shared" si="83"/>
        <v>0</v>
      </c>
      <c r="R988" s="752"/>
      <c r="S988" s="753"/>
      <c r="T988" s="753"/>
      <c r="U988" s="753"/>
      <c r="V988" s="753">
        <v>1666150</v>
      </c>
      <c r="W988" s="753">
        <v>1982300</v>
      </c>
      <c r="X988" s="753">
        <v>0</v>
      </c>
      <c r="Y988" s="753">
        <v>0</v>
      </c>
      <c r="Z988" s="753"/>
      <c r="AA988" s="753"/>
      <c r="AB988" s="753"/>
      <c r="AC988" s="753"/>
      <c r="AD988" s="1143">
        <f t="shared" si="79"/>
        <v>3648450</v>
      </c>
      <c r="AE988" s="899">
        <f t="shared" si="80"/>
        <v>1</v>
      </c>
      <c r="AF988" s="900">
        <f t="shared" si="81"/>
        <v>126</v>
      </c>
    </row>
    <row r="989" spans="1:32" x14ac:dyDescent="0.3">
      <c r="A989" s="307" t="s">
        <v>974</v>
      </c>
      <c r="B989" s="898" t="s">
        <v>2363</v>
      </c>
      <c r="C989" s="752"/>
      <c r="D989" s="753"/>
      <c r="E989" s="753"/>
      <c r="F989" s="753"/>
      <c r="G989" s="753"/>
      <c r="H989" s="753"/>
      <c r="I989" s="753"/>
      <c r="J989" s="753"/>
      <c r="K989" s="753"/>
      <c r="L989" s="753"/>
      <c r="M989" s="753"/>
      <c r="N989" s="753"/>
      <c r="O989" s="753"/>
      <c r="P989" s="1497">
        <f t="shared" si="82"/>
        <v>0</v>
      </c>
      <c r="Q989" s="1143">
        <f t="shared" si="83"/>
        <v>0</v>
      </c>
      <c r="R989" s="752"/>
      <c r="S989" s="753"/>
      <c r="T989" s="753"/>
      <c r="U989" s="753"/>
      <c r="V989" s="753"/>
      <c r="W989" s="753"/>
      <c r="X989" s="753">
        <v>166100</v>
      </c>
      <c r="Y989" s="753">
        <v>0</v>
      </c>
      <c r="Z989" s="753"/>
      <c r="AA989" s="753"/>
      <c r="AB989" s="753"/>
      <c r="AC989" s="753"/>
      <c r="AD989" s="1143">
        <f t="shared" si="79"/>
        <v>166100</v>
      </c>
      <c r="AE989" s="899">
        <f t="shared" si="80"/>
        <v>1</v>
      </c>
      <c r="AF989" s="900">
        <f t="shared" si="81"/>
        <v>653</v>
      </c>
    </row>
    <row r="990" spans="1:32" x14ac:dyDescent="0.3">
      <c r="A990" s="307" t="s">
        <v>974</v>
      </c>
      <c r="B990" s="898" t="s">
        <v>2990</v>
      </c>
      <c r="C990" s="752"/>
      <c r="D990" s="753"/>
      <c r="E990" s="753"/>
      <c r="F990" s="753"/>
      <c r="G990" s="753"/>
      <c r="H990" s="753"/>
      <c r="I990" s="753"/>
      <c r="J990" s="753"/>
      <c r="K990" s="753"/>
      <c r="L990" s="753"/>
      <c r="M990" s="753"/>
      <c r="N990" s="753"/>
      <c r="O990" s="753"/>
      <c r="P990" s="1497">
        <f t="shared" si="82"/>
        <v>0</v>
      </c>
      <c r="Q990" s="1143">
        <f t="shared" si="83"/>
        <v>0</v>
      </c>
      <c r="R990" s="752"/>
      <c r="S990" s="753"/>
      <c r="T990" s="753"/>
      <c r="U990" s="753"/>
      <c r="V990" s="753"/>
      <c r="W990" s="753"/>
      <c r="X990" s="753">
        <v>497700</v>
      </c>
      <c r="Y990" s="753">
        <v>1790600</v>
      </c>
      <c r="Z990" s="753"/>
      <c r="AA990" s="753"/>
      <c r="AB990" s="753"/>
      <c r="AC990" s="753"/>
      <c r="AD990" s="1143">
        <f t="shared" si="79"/>
        <v>2288300</v>
      </c>
      <c r="AE990" s="899">
        <f t="shared" si="80"/>
        <v>1</v>
      </c>
      <c r="AF990" s="900">
        <f t="shared" si="81"/>
        <v>189</v>
      </c>
    </row>
    <row r="991" spans="1:32" x14ac:dyDescent="0.3">
      <c r="A991" s="307" t="s">
        <v>974</v>
      </c>
      <c r="B991" s="898" t="s">
        <v>2959</v>
      </c>
      <c r="C991" s="752"/>
      <c r="D991" s="753"/>
      <c r="E991" s="753"/>
      <c r="F991" s="753"/>
      <c r="G991" s="753"/>
      <c r="H991" s="753"/>
      <c r="I991" s="753"/>
      <c r="J991" s="753"/>
      <c r="K991" s="753"/>
      <c r="L991" s="753"/>
      <c r="M991" s="753"/>
      <c r="N991" s="753"/>
      <c r="O991" s="753"/>
      <c r="P991" s="1497">
        <f t="shared" si="82"/>
        <v>0</v>
      </c>
      <c r="Q991" s="1143">
        <f t="shared" si="83"/>
        <v>0</v>
      </c>
      <c r="R991" s="752"/>
      <c r="S991" s="753"/>
      <c r="T991" s="753"/>
      <c r="U991" s="753"/>
      <c r="V991" s="753"/>
      <c r="W991" s="753"/>
      <c r="X991" s="753"/>
      <c r="Y991" s="753">
        <v>514500</v>
      </c>
      <c r="Z991" s="753"/>
      <c r="AA991" s="753"/>
      <c r="AB991" s="753"/>
      <c r="AC991" s="753"/>
      <c r="AD991" s="1143">
        <f t="shared" si="79"/>
        <v>514500</v>
      </c>
      <c r="AE991" s="899">
        <f t="shared" si="80"/>
        <v>1</v>
      </c>
      <c r="AF991" s="900">
        <f t="shared" si="81"/>
        <v>428</v>
      </c>
    </row>
    <row r="992" spans="1:32" x14ac:dyDescent="0.3">
      <c r="A992" s="307" t="s">
        <v>974</v>
      </c>
      <c r="B992" s="898" t="s">
        <v>2957</v>
      </c>
      <c r="C992" s="752"/>
      <c r="D992" s="753"/>
      <c r="E992" s="753"/>
      <c r="F992" s="753"/>
      <c r="G992" s="753"/>
      <c r="H992" s="753"/>
      <c r="I992" s="753"/>
      <c r="J992" s="753"/>
      <c r="K992" s="753"/>
      <c r="L992" s="753"/>
      <c r="M992" s="753"/>
      <c r="N992" s="753"/>
      <c r="O992" s="753"/>
      <c r="P992" s="1497">
        <f t="shared" si="82"/>
        <v>0</v>
      </c>
      <c r="Q992" s="1143">
        <f t="shared" si="83"/>
        <v>0</v>
      </c>
      <c r="R992" s="752"/>
      <c r="S992" s="753"/>
      <c r="T992" s="753"/>
      <c r="U992" s="753"/>
      <c r="V992" s="753"/>
      <c r="W992" s="753"/>
      <c r="X992" s="753"/>
      <c r="Y992" s="753">
        <v>1749550</v>
      </c>
      <c r="Z992" s="753"/>
      <c r="AA992" s="753"/>
      <c r="AB992" s="753"/>
      <c r="AC992" s="753"/>
      <c r="AD992" s="1143">
        <f t="shared" si="79"/>
        <v>1749550</v>
      </c>
      <c r="AE992" s="899">
        <f t="shared" si="80"/>
        <v>1</v>
      </c>
      <c r="AF992" s="900">
        <f t="shared" si="81"/>
        <v>230</v>
      </c>
    </row>
    <row r="993" spans="1:32" x14ac:dyDescent="0.3">
      <c r="A993" s="307" t="s">
        <v>974</v>
      </c>
      <c r="B993" s="898" t="s">
        <v>2499</v>
      </c>
      <c r="C993" s="752"/>
      <c r="D993" s="753"/>
      <c r="E993" s="753"/>
      <c r="F993" s="753"/>
      <c r="G993" s="753"/>
      <c r="H993" s="753"/>
      <c r="I993" s="753"/>
      <c r="J993" s="753"/>
      <c r="K993" s="753"/>
      <c r="L993" s="753"/>
      <c r="M993" s="753"/>
      <c r="N993" s="753"/>
      <c r="O993" s="753"/>
      <c r="P993" s="1497">
        <f t="shared" si="82"/>
        <v>0</v>
      </c>
      <c r="Q993" s="1143">
        <f t="shared" si="83"/>
        <v>0</v>
      </c>
      <c r="R993" s="752"/>
      <c r="S993" s="753"/>
      <c r="T993" s="753"/>
      <c r="U993" s="753"/>
      <c r="V993" s="753"/>
      <c r="W993" s="753"/>
      <c r="X993" s="753"/>
      <c r="Y993" s="753">
        <v>216800</v>
      </c>
      <c r="Z993" s="753"/>
      <c r="AA993" s="753"/>
      <c r="AB993" s="753"/>
      <c r="AC993" s="753"/>
      <c r="AD993" s="1143">
        <f t="shared" si="79"/>
        <v>216800</v>
      </c>
      <c r="AE993" s="899">
        <f t="shared" si="80"/>
        <v>1</v>
      </c>
      <c r="AF993" s="900">
        <f t="shared" si="81"/>
        <v>596</v>
      </c>
    </row>
    <row r="994" spans="1:32" x14ac:dyDescent="0.3">
      <c r="A994" s="309" t="s">
        <v>785</v>
      </c>
      <c r="B994" s="901" t="s">
        <v>394</v>
      </c>
      <c r="C994" s="754">
        <v>987000</v>
      </c>
      <c r="D994" s="755">
        <v>417000</v>
      </c>
      <c r="E994" s="755">
        <v>822000</v>
      </c>
      <c r="F994" s="755">
        <v>2494000</v>
      </c>
      <c r="G994" s="755">
        <v>2774250</v>
      </c>
      <c r="H994" s="755">
        <v>2941000</v>
      </c>
      <c r="I994" s="755">
        <v>1232000</v>
      </c>
      <c r="J994" s="755">
        <v>1985250</v>
      </c>
      <c r="K994" s="755">
        <v>1865500</v>
      </c>
      <c r="L994" s="755">
        <v>1344000</v>
      </c>
      <c r="M994" s="755">
        <v>2579500</v>
      </c>
      <c r="N994" s="755">
        <v>2092500</v>
      </c>
      <c r="O994" s="755">
        <v>4881000</v>
      </c>
      <c r="P994" s="1497">
        <f t="shared" si="82"/>
        <v>13532750</v>
      </c>
      <c r="Q994" s="1144">
        <f t="shared" si="83"/>
        <v>24549500</v>
      </c>
      <c r="R994" s="754">
        <v>366000</v>
      </c>
      <c r="S994" s="755">
        <v>452500</v>
      </c>
      <c r="T994" s="755">
        <v>5973750</v>
      </c>
      <c r="U994" s="755">
        <v>4857250</v>
      </c>
      <c r="V994" s="755">
        <v>6096000</v>
      </c>
      <c r="W994" s="755">
        <v>9352000</v>
      </c>
      <c r="X994" s="755">
        <v>3656000</v>
      </c>
      <c r="Y994" s="755">
        <v>2440000</v>
      </c>
      <c r="Z994" s="755"/>
      <c r="AA994" s="755"/>
      <c r="AB994" s="755"/>
      <c r="AC994" s="755"/>
      <c r="AD994" s="1144">
        <f t="shared" si="79"/>
        <v>33193500</v>
      </c>
      <c r="AE994" s="902">
        <f t="shared" si="80"/>
        <v>1.4528274001958212</v>
      </c>
      <c r="AF994" s="903">
        <f t="shared" si="81"/>
        <v>8</v>
      </c>
    </row>
    <row r="995" spans="1:32" x14ac:dyDescent="0.3">
      <c r="A995" s="309" t="s">
        <v>785</v>
      </c>
      <c r="B995" s="901" t="s">
        <v>1341</v>
      </c>
      <c r="C995" s="754">
        <v>286500</v>
      </c>
      <c r="D995" s="755">
        <v>1446000</v>
      </c>
      <c r="E995" s="755">
        <v>44000</v>
      </c>
      <c r="F995" s="755">
        <v>159500</v>
      </c>
      <c r="G995" s="755">
        <v>45000</v>
      </c>
      <c r="H995" s="755">
        <v>0</v>
      </c>
      <c r="I995" s="755">
        <v>0</v>
      </c>
      <c r="J995" s="755">
        <v>0</v>
      </c>
      <c r="K995" s="755">
        <v>0</v>
      </c>
      <c r="L995" s="755">
        <v>0</v>
      </c>
      <c r="M995" s="755">
        <v>0</v>
      </c>
      <c r="N995" s="755">
        <v>0</v>
      </c>
      <c r="O995" s="755" t="s">
        <v>251</v>
      </c>
      <c r="P995" s="1497">
        <f t="shared" si="82"/>
        <v>1981000</v>
      </c>
      <c r="Q995" s="1144">
        <f t="shared" si="83"/>
        <v>1981000</v>
      </c>
      <c r="R995" s="754"/>
      <c r="S995" s="755"/>
      <c r="T995" s="755"/>
      <c r="U995" s="755"/>
      <c r="V995" s="755"/>
      <c r="W995" s="755"/>
      <c r="X995" s="755"/>
      <c r="Y995" s="755"/>
      <c r="Z995" s="755"/>
      <c r="AA995" s="755"/>
      <c r="AB995" s="755"/>
      <c r="AC995" s="755"/>
      <c r="AD995" s="1144">
        <f t="shared" si="79"/>
        <v>0</v>
      </c>
      <c r="AE995" s="902">
        <f t="shared" si="80"/>
        <v>-1</v>
      </c>
      <c r="AF995" s="903">
        <f t="shared" si="81"/>
        <v>983</v>
      </c>
    </row>
    <row r="996" spans="1:32" x14ac:dyDescent="0.3">
      <c r="A996" s="309" t="s">
        <v>785</v>
      </c>
      <c r="B996" s="901" t="s">
        <v>1342</v>
      </c>
      <c r="C996" s="754"/>
      <c r="D996" s="755">
        <v>0</v>
      </c>
      <c r="E996" s="755">
        <v>430000</v>
      </c>
      <c r="F996" s="755">
        <v>752000</v>
      </c>
      <c r="G996" s="755">
        <v>18750</v>
      </c>
      <c r="H996" s="755">
        <v>200750</v>
      </c>
      <c r="I996" s="755">
        <v>0</v>
      </c>
      <c r="J996" s="755">
        <v>12000</v>
      </c>
      <c r="K996" s="755">
        <v>12000</v>
      </c>
      <c r="L996" s="755">
        <v>0</v>
      </c>
      <c r="M996" s="755">
        <v>0</v>
      </c>
      <c r="N996" s="755">
        <v>0</v>
      </c>
      <c r="O996" s="755" t="s">
        <v>251</v>
      </c>
      <c r="P996" s="1497">
        <f t="shared" si="82"/>
        <v>1413500</v>
      </c>
      <c r="Q996" s="1144">
        <f t="shared" si="83"/>
        <v>1413500</v>
      </c>
      <c r="R996" s="754"/>
      <c r="S996" s="755"/>
      <c r="T996" s="755"/>
      <c r="U996" s="755"/>
      <c r="V996" s="755"/>
      <c r="W996" s="755"/>
      <c r="X996" s="755"/>
      <c r="Y996" s="755"/>
      <c r="Z996" s="755"/>
      <c r="AA996" s="755"/>
      <c r="AB996" s="755"/>
      <c r="AC996" s="755"/>
      <c r="AD996" s="1144">
        <f t="shared" si="79"/>
        <v>0</v>
      </c>
      <c r="AE996" s="902">
        <f t="shared" si="80"/>
        <v>-1</v>
      </c>
      <c r="AF996" s="903">
        <f t="shared" si="81"/>
        <v>983</v>
      </c>
    </row>
    <row r="997" spans="1:32" x14ac:dyDescent="0.3">
      <c r="A997" s="309" t="s">
        <v>785</v>
      </c>
      <c r="B997" s="901" t="s">
        <v>690</v>
      </c>
      <c r="C997" s="754"/>
      <c r="D997" s="755">
        <v>0</v>
      </c>
      <c r="E997" s="755">
        <v>153500</v>
      </c>
      <c r="F997" s="755">
        <v>332500</v>
      </c>
      <c r="G997" s="755">
        <v>608500</v>
      </c>
      <c r="H997" s="755">
        <v>8500</v>
      </c>
      <c r="I997" s="755">
        <v>1877000</v>
      </c>
      <c r="J997" s="755">
        <v>700000</v>
      </c>
      <c r="K997" s="755">
        <v>515000</v>
      </c>
      <c r="L997" s="755">
        <v>1461000</v>
      </c>
      <c r="M997" s="755">
        <v>305500</v>
      </c>
      <c r="N997" s="755">
        <v>246500</v>
      </c>
      <c r="O997" s="755">
        <v>1191250</v>
      </c>
      <c r="P997" s="1497">
        <f t="shared" si="82"/>
        <v>3495000</v>
      </c>
      <c r="Q997" s="1144">
        <f t="shared" si="83"/>
        <v>6884250</v>
      </c>
      <c r="R997" s="754">
        <v>597500</v>
      </c>
      <c r="S997" s="755"/>
      <c r="T997" s="755">
        <v>117000</v>
      </c>
      <c r="U997" s="755">
        <v>31000</v>
      </c>
      <c r="V997" s="755">
        <v>377500</v>
      </c>
      <c r="W997" s="755">
        <v>3816250</v>
      </c>
      <c r="X997" s="755">
        <v>2071500</v>
      </c>
      <c r="Y997" s="755">
        <v>2111000</v>
      </c>
      <c r="Z997" s="755"/>
      <c r="AA997" s="755"/>
      <c r="AB997" s="755"/>
      <c r="AC997" s="755"/>
      <c r="AD997" s="1144">
        <f t="shared" si="79"/>
        <v>9121750</v>
      </c>
      <c r="AE997" s="902">
        <f t="shared" si="80"/>
        <v>1.6099427753934192</v>
      </c>
      <c r="AF997" s="903">
        <f t="shared" si="81"/>
        <v>39</v>
      </c>
    </row>
    <row r="998" spans="1:32" x14ac:dyDescent="0.3">
      <c r="A998" s="309" t="s">
        <v>785</v>
      </c>
      <c r="B998" s="901" t="s">
        <v>1161</v>
      </c>
      <c r="C998" s="754"/>
      <c r="D998" s="755">
        <v>665000</v>
      </c>
      <c r="E998" s="755"/>
      <c r="F998" s="755">
        <v>0</v>
      </c>
      <c r="G998" s="755" t="s">
        <v>251</v>
      </c>
      <c r="H998" s="755" t="s">
        <v>251</v>
      </c>
      <c r="I998" s="755" t="s">
        <v>251</v>
      </c>
      <c r="J998" s="755">
        <v>0</v>
      </c>
      <c r="K998" s="755">
        <v>0</v>
      </c>
      <c r="L998" s="755">
        <v>0</v>
      </c>
      <c r="M998" s="755">
        <v>0</v>
      </c>
      <c r="N998" s="755">
        <v>0</v>
      </c>
      <c r="O998" s="755" t="s">
        <v>251</v>
      </c>
      <c r="P998" s="1497">
        <f t="shared" si="82"/>
        <v>665000</v>
      </c>
      <c r="Q998" s="1144">
        <f t="shared" si="83"/>
        <v>665000</v>
      </c>
      <c r="R998" s="754"/>
      <c r="S998" s="755"/>
      <c r="T998" s="755"/>
      <c r="U998" s="755"/>
      <c r="V998" s="755"/>
      <c r="W998" s="755"/>
      <c r="X998" s="755"/>
      <c r="Y998" s="755"/>
      <c r="Z998" s="755"/>
      <c r="AA998" s="755"/>
      <c r="AB998" s="755"/>
      <c r="AC998" s="755"/>
      <c r="AD998" s="1144">
        <f t="shared" si="79"/>
        <v>0</v>
      </c>
      <c r="AE998" s="902">
        <f t="shared" si="80"/>
        <v>-1</v>
      </c>
      <c r="AF998" s="903">
        <f t="shared" si="81"/>
        <v>983</v>
      </c>
    </row>
    <row r="999" spans="1:32" x14ac:dyDescent="0.3">
      <c r="A999" s="309" t="s">
        <v>785</v>
      </c>
      <c r="B999" s="901" t="s">
        <v>1343</v>
      </c>
      <c r="C999" s="754">
        <v>8500</v>
      </c>
      <c r="D999" s="755">
        <v>179250</v>
      </c>
      <c r="E999" s="755">
        <v>205000</v>
      </c>
      <c r="F999" s="755">
        <v>0</v>
      </c>
      <c r="G999" s="755">
        <v>43500</v>
      </c>
      <c r="H999" s="755">
        <v>253500</v>
      </c>
      <c r="I999" s="755">
        <v>78000</v>
      </c>
      <c r="J999" s="755">
        <v>137000</v>
      </c>
      <c r="K999" s="755">
        <v>121500</v>
      </c>
      <c r="L999" s="755">
        <v>225500</v>
      </c>
      <c r="M999" s="755">
        <v>253000</v>
      </c>
      <c r="N999" s="755">
        <v>126500</v>
      </c>
      <c r="O999" s="755">
        <v>125000</v>
      </c>
      <c r="P999" s="1497">
        <f t="shared" si="82"/>
        <v>889250</v>
      </c>
      <c r="Q999" s="1144">
        <f t="shared" si="83"/>
        <v>1634750</v>
      </c>
      <c r="R999" s="754">
        <v>31000</v>
      </c>
      <c r="S999" s="755"/>
      <c r="T999" s="755">
        <v>0</v>
      </c>
      <c r="U999" s="755">
        <v>0</v>
      </c>
      <c r="V999" s="755">
        <v>0</v>
      </c>
      <c r="W999" s="755">
        <v>0</v>
      </c>
      <c r="X999" s="755">
        <v>0</v>
      </c>
      <c r="Y999" s="755">
        <v>0</v>
      </c>
      <c r="Z999" s="755"/>
      <c r="AA999" s="755"/>
      <c r="AB999" s="755"/>
      <c r="AC999" s="755"/>
      <c r="AD999" s="1144">
        <f t="shared" si="79"/>
        <v>31000</v>
      </c>
      <c r="AE999" s="902">
        <f t="shared" si="80"/>
        <v>-0.96513916221535001</v>
      </c>
      <c r="AF999" s="903">
        <f t="shared" si="81"/>
        <v>891</v>
      </c>
    </row>
    <row r="1000" spans="1:32" x14ac:dyDescent="0.3">
      <c r="A1000" s="309" t="s">
        <v>785</v>
      </c>
      <c r="B1000" s="901" t="s">
        <v>1526</v>
      </c>
      <c r="C1000" s="754"/>
      <c r="D1000" s="755">
        <v>0</v>
      </c>
      <c r="E1000" s="755"/>
      <c r="F1000" s="755">
        <v>0</v>
      </c>
      <c r="G1000" s="755">
        <v>0</v>
      </c>
      <c r="H1000" s="755">
        <v>181000</v>
      </c>
      <c r="I1000" s="755">
        <v>0</v>
      </c>
      <c r="J1000" s="755">
        <v>0</v>
      </c>
      <c r="K1000" s="755">
        <v>0</v>
      </c>
      <c r="L1000" s="755">
        <v>0</v>
      </c>
      <c r="M1000" s="755">
        <v>0</v>
      </c>
      <c r="N1000" s="755">
        <v>0</v>
      </c>
      <c r="O1000" s="755" t="s">
        <v>251</v>
      </c>
      <c r="P1000" s="1497">
        <f t="shared" si="82"/>
        <v>181000</v>
      </c>
      <c r="Q1000" s="1144">
        <f t="shared" si="83"/>
        <v>181000</v>
      </c>
      <c r="R1000" s="754"/>
      <c r="S1000" s="755"/>
      <c r="T1000" s="755"/>
      <c r="U1000" s="755"/>
      <c r="V1000" s="755"/>
      <c r="W1000" s="755"/>
      <c r="X1000" s="755"/>
      <c r="Y1000" s="755"/>
      <c r="Z1000" s="755"/>
      <c r="AA1000" s="755"/>
      <c r="AB1000" s="755"/>
      <c r="AC1000" s="755"/>
      <c r="AD1000" s="1144">
        <f t="shared" si="79"/>
        <v>0</v>
      </c>
      <c r="AE1000" s="902">
        <f t="shared" si="80"/>
        <v>-1</v>
      </c>
      <c r="AF1000" s="903">
        <f t="shared" si="81"/>
        <v>983</v>
      </c>
    </row>
    <row r="1001" spans="1:32" x14ac:dyDescent="0.3">
      <c r="A1001" s="309" t="s">
        <v>785</v>
      </c>
      <c r="B1001" s="901" t="s">
        <v>2144</v>
      </c>
      <c r="C1001" s="754"/>
      <c r="D1001" s="755">
        <v>0</v>
      </c>
      <c r="E1001" s="755"/>
      <c r="F1001" s="755">
        <v>0</v>
      </c>
      <c r="G1001" s="755">
        <v>0</v>
      </c>
      <c r="H1001" s="755">
        <v>0</v>
      </c>
      <c r="I1001" s="755">
        <v>0</v>
      </c>
      <c r="J1001" s="755">
        <v>10250</v>
      </c>
      <c r="K1001" s="755"/>
      <c r="L1001" s="755">
        <v>0</v>
      </c>
      <c r="M1001" s="755">
        <v>0</v>
      </c>
      <c r="N1001" s="755">
        <v>0</v>
      </c>
      <c r="O1001" s="755" t="s">
        <v>251</v>
      </c>
      <c r="P1001" s="1497">
        <f t="shared" si="82"/>
        <v>0</v>
      </c>
      <c r="Q1001" s="1144">
        <f t="shared" si="83"/>
        <v>10250</v>
      </c>
      <c r="R1001" s="754"/>
      <c r="S1001" s="755"/>
      <c r="T1001" s="755"/>
      <c r="U1001" s="755"/>
      <c r="V1001" s="755"/>
      <c r="W1001" s="755"/>
      <c r="X1001" s="755"/>
      <c r="Y1001" s="755"/>
      <c r="Z1001" s="755"/>
      <c r="AA1001" s="755"/>
      <c r="AB1001" s="755"/>
      <c r="AC1001" s="755"/>
      <c r="AD1001" s="1144">
        <f t="shared" si="79"/>
        <v>0</v>
      </c>
      <c r="AE1001" s="902">
        <f t="shared" si="80"/>
        <v>0</v>
      </c>
      <c r="AF1001" s="903">
        <f t="shared" si="81"/>
        <v>983</v>
      </c>
    </row>
    <row r="1002" spans="1:32" x14ac:dyDescent="0.3">
      <c r="A1002" s="309" t="s">
        <v>785</v>
      </c>
      <c r="B1002" s="901" t="s">
        <v>1153</v>
      </c>
      <c r="C1002" s="754"/>
      <c r="D1002" s="755" t="s">
        <v>251</v>
      </c>
      <c r="E1002" s="755"/>
      <c r="F1002" s="755" t="s">
        <v>251</v>
      </c>
      <c r="G1002" s="755" t="s">
        <v>251</v>
      </c>
      <c r="H1002" s="755" t="s">
        <v>251</v>
      </c>
      <c r="I1002" s="755" t="s">
        <v>251</v>
      </c>
      <c r="J1002" s="755" t="s">
        <v>251</v>
      </c>
      <c r="K1002" s="755"/>
      <c r="L1002" s="755" t="s">
        <v>251</v>
      </c>
      <c r="M1002" s="755" t="s">
        <v>251</v>
      </c>
      <c r="N1002" s="755" t="s">
        <v>251</v>
      </c>
      <c r="O1002" s="755" t="s">
        <v>251</v>
      </c>
      <c r="P1002" s="1497">
        <f t="shared" si="82"/>
        <v>0</v>
      </c>
      <c r="Q1002" s="1144">
        <f t="shared" si="83"/>
        <v>0</v>
      </c>
      <c r="R1002" s="754"/>
      <c r="S1002" s="755"/>
      <c r="T1002" s="755"/>
      <c r="U1002" s="755"/>
      <c r="V1002" s="755"/>
      <c r="W1002" s="755"/>
      <c r="X1002" s="755"/>
      <c r="Y1002" s="755"/>
      <c r="Z1002" s="755"/>
      <c r="AA1002" s="755"/>
      <c r="AB1002" s="755"/>
      <c r="AC1002" s="755"/>
      <c r="AD1002" s="1144">
        <f t="shared" si="79"/>
        <v>0</v>
      </c>
      <c r="AE1002" s="902">
        <f t="shared" si="80"/>
        <v>0</v>
      </c>
      <c r="AF1002" s="903">
        <f t="shared" si="81"/>
        <v>983</v>
      </c>
    </row>
    <row r="1003" spans="1:32" x14ac:dyDescent="0.3">
      <c r="A1003" s="309" t="s">
        <v>785</v>
      </c>
      <c r="B1003" s="901" t="s">
        <v>1468</v>
      </c>
      <c r="C1003" s="754"/>
      <c r="D1003" s="755" t="s">
        <v>251</v>
      </c>
      <c r="E1003" s="755"/>
      <c r="F1003" s="755"/>
      <c r="G1003" s="755" t="s">
        <v>251</v>
      </c>
      <c r="H1003" s="755" t="s">
        <v>251</v>
      </c>
      <c r="I1003" s="755" t="s">
        <v>251</v>
      </c>
      <c r="J1003" s="755"/>
      <c r="K1003" s="755"/>
      <c r="L1003" s="755"/>
      <c r="M1003" s="755"/>
      <c r="N1003" s="755"/>
      <c r="O1003" s="755">
        <v>78000</v>
      </c>
      <c r="P1003" s="1497">
        <f t="shared" si="82"/>
        <v>0</v>
      </c>
      <c r="Q1003" s="1144">
        <f t="shared" si="83"/>
        <v>78000</v>
      </c>
      <c r="R1003" s="754"/>
      <c r="S1003" s="755"/>
      <c r="T1003" s="755"/>
      <c r="U1003" s="755"/>
      <c r="V1003" s="755"/>
      <c r="W1003" s="755"/>
      <c r="X1003" s="755"/>
      <c r="Y1003" s="755"/>
      <c r="Z1003" s="755"/>
      <c r="AA1003" s="755"/>
      <c r="AB1003" s="755"/>
      <c r="AC1003" s="755"/>
      <c r="AD1003" s="1144">
        <f t="shared" si="79"/>
        <v>0</v>
      </c>
      <c r="AE1003" s="902">
        <f t="shared" si="80"/>
        <v>0</v>
      </c>
      <c r="AF1003" s="903">
        <f t="shared" si="81"/>
        <v>983</v>
      </c>
    </row>
    <row r="1004" spans="1:32" x14ac:dyDescent="0.3">
      <c r="A1004" s="309" t="s">
        <v>785</v>
      </c>
      <c r="B1004" s="901" t="s">
        <v>646</v>
      </c>
      <c r="C1004" s="754"/>
      <c r="D1004" s="755"/>
      <c r="E1004" s="755"/>
      <c r="F1004" s="755"/>
      <c r="G1004" s="755"/>
      <c r="H1004" s="755"/>
      <c r="I1004" s="755"/>
      <c r="J1004" s="755"/>
      <c r="K1004" s="755"/>
      <c r="L1004" s="755"/>
      <c r="M1004" s="755"/>
      <c r="N1004" s="755"/>
      <c r="O1004" s="755"/>
      <c r="P1004" s="1497">
        <f t="shared" si="82"/>
        <v>0</v>
      </c>
      <c r="Q1004" s="1144">
        <f t="shared" si="83"/>
        <v>0</v>
      </c>
      <c r="R1004" s="754">
        <v>180000</v>
      </c>
      <c r="S1004" s="755"/>
      <c r="T1004" s="755">
        <v>0</v>
      </c>
      <c r="U1004" s="755">
        <v>0</v>
      </c>
      <c r="V1004" s="755">
        <v>0</v>
      </c>
      <c r="W1004" s="755">
        <v>0</v>
      </c>
      <c r="X1004" s="755">
        <v>0</v>
      </c>
      <c r="Y1004" s="755">
        <v>0</v>
      </c>
      <c r="Z1004" s="755"/>
      <c r="AA1004" s="755"/>
      <c r="AB1004" s="755"/>
      <c r="AC1004" s="755"/>
      <c r="AD1004" s="1144">
        <f t="shared" si="79"/>
        <v>180000</v>
      </c>
      <c r="AE1004" s="902">
        <f t="shared" si="80"/>
        <v>1</v>
      </c>
      <c r="AF1004" s="903">
        <f t="shared" si="81"/>
        <v>634</v>
      </c>
    </row>
    <row r="1005" spans="1:32" x14ac:dyDescent="0.3">
      <c r="A1005" s="309" t="s">
        <v>785</v>
      </c>
      <c r="B1005" s="901" t="s">
        <v>687</v>
      </c>
      <c r="C1005" s="754"/>
      <c r="D1005" s="755"/>
      <c r="E1005" s="755"/>
      <c r="F1005" s="755"/>
      <c r="G1005" s="755"/>
      <c r="H1005" s="755"/>
      <c r="I1005" s="755"/>
      <c r="J1005" s="755"/>
      <c r="K1005" s="755"/>
      <c r="L1005" s="755"/>
      <c r="M1005" s="755"/>
      <c r="N1005" s="755"/>
      <c r="O1005" s="755"/>
      <c r="P1005" s="1497">
        <f t="shared" si="82"/>
        <v>0</v>
      </c>
      <c r="Q1005" s="1144">
        <f t="shared" si="83"/>
        <v>0</v>
      </c>
      <c r="R1005" s="754"/>
      <c r="S1005" s="755"/>
      <c r="T1005" s="755"/>
      <c r="U1005" s="755"/>
      <c r="V1005" s="755">
        <v>24000</v>
      </c>
      <c r="W1005" s="755">
        <v>0</v>
      </c>
      <c r="X1005" s="755">
        <v>0</v>
      </c>
      <c r="Y1005" s="755">
        <v>0</v>
      </c>
      <c r="Z1005" s="755"/>
      <c r="AA1005" s="755"/>
      <c r="AB1005" s="755"/>
      <c r="AC1005" s="755"/>
      <c r="AD1005" s="1144">
        <f t="shared" si="79"/>
        <v>24000</v>
      </c>
      <c r="AE1005" s="902">
        <f t="shared" si="80"/>
        <v>1</v>
      </c>
      <c r="AF1005" s="903">
        <f t="shared" si="81"/>
        <v>910</v>
      </c>
    </row>
    <row r="1006" spans="1:32" x14ac:dyDescent="0.3">
      <c r="A1006" s="311" t="s">
        <v>1344</v>
      </c>
      <c r="B1006" s="904" t="s">
        <v>1345</v>
      </c>
      <c r="C1006" s="756">
        <v>1227400</v>
      </c>
      <c r="D1006" s="757">
        <v>1414400</v>
      </c>
      <c r="E1006" s="757">
        <v>4786000</v>
      </c>
      <c r="F1006" s="757">
        <v>2240000</v>
      </c>
      <c r="G1006" s="757">
        <v>1794800</v>
      </c>
      <c r="H1006" s="757">
        <v>3023000</v>
      </c>
      <c r="I1006" s="757">
        <v>5064200</v>
      </c>
      <c r="J1006" s="757">
        <v>4971100</v>
      </c>
      <c r="K1006" s="757">
        <v>4176500</v>
      </c>
      <c r="L1006" s="757">
        <v>1509800</v>
      </c>
      <c r="M1006" s="757">
        <v>64800</v>
      </c>
      <c r="N1006" s="757">
        <v>1060500</v>
      </c>
      <c r="O1006" s="757">
        <v>2432200</v>
      </c>
      <c r="P1006" s="1497">
        <f t="shared" si="82"/>
        <v>23726300</v>
      </c>
      <c r="Q1006" s="1145">
        <f t="shared" si="83"/>
        <v>29588200</v>
      </c>
      <c r="R1006" s="756">
        <v>1840600</v>
      </c>
      <c r="S1006" s="757">
        <v>1028000</v>
      </c>
      <c r="T1006" s="757">
        <v>1798200</v>
      </c>
      <c r="U1006" s="757">
        <v>698800</v>
      </c>
      <c r="V1006" s="757">
        <v>0</v>
      </c>
      <c r="W1006" s="757">
        <v>0</v>
      </c>
      <c r="X1006" s="757">
        <v>1560200</v>
      </c>
      <c r="Y1006" s="757">
        <v>487000</v>
      </c>
      <c r="Z1006" s="757"/>
      <c r="AA1006" s="757"/>
      <c r="AB1006" s="757"/>
      <c r="AC1006" s="757"/>
      <c r="AD1006" s="1145">
        <f t="shared" si="79"/>
        <v>7412800</v>
      </c>
      <c r="AE1006" s="905">
        <f t="shared" si="80"/>
        <v>-0.68757033334316775</v>
      </c>
      <c r="AF1006" s="906">
        <f t="shared" si="81"/>
        <v>56</v>
      </c>
    </row>
    <row r="1007" spans="1:32" x14ac:dyDescent="0.3">
      <c r="A1007" s="311" t="s">
        <v>1344</v>
      </c>
      <c r="B1007" s="904" t="s">
        <v>1346</v>
      </c>
      <c r="C1007" s="756"/>
      <c r="D1007" s="757">
        <v>0</v>
      </c>
      <c r="E1007" s="757"/>
      <c r="F1007" s="757">
        <v>0</v>
      </c>
      <c r="G1007" s="757">
        <v>467200</v>
      </c>
      <c r="H1007" s="757">
        <v>0</v>
      </c>
      <c r="I1007" s="757">
        <v>0</v>
      </c>
      <c r="J1007" s="757">
        <v>0</v>
      </c>
      <c r="K1007" s="757">
        <v>0</v>
      </c>
      <c r="L1007" s="757">
        <v>139000</v>
      </c>
      <c r="M1007" s="757">
        <v>422800</v>
      </c>
      <c r="N1007" s="757">
        <v>0</v>
      </c>
      <c r="O1007" s="757" t="s">
        <v>251</v>
      </c>
      <c r="P1007" s="1497">
        <f t="shared" si="82"/>
        <v>467200</v>
      </c>
      <c r="Q1007" s="1145">
        <f t="shared" si="83"/>
        <v>1029000</v>
      </c>
      <c r="R1007" s="756"/>
      <c r="S1007" s="757"/>
      <c r="T1007" s="757"/>
      <c r="U1007" s="757"/>
      <c r="V1007" s="757"/>
      <c r="W1007" s="757"/>
      <c r="X1007" s="757"/>
      <c r="Y1007" s="757"/>
      <c r="Z1007" s="757"/>
      <c r="AA1007" s="757"/>
      <c r="AB1007" s="757"/>
      <c r="AC1007" s="757"/>
      <c r="AD1007" s="1145">
        <f t="shared" si="79"/>
        <v>0</v>
      </c>
      <c r="AE1007" s="905">
        <f t="shared" si="80"/>
        <v>-1</v>
      </c>
      <c r="AF1007" s="906">
        <f t="shared" si="81"/>
        <v>983</v>
      </c>
    </row>
    <row r="1008" spans="1:32" x14ac:dyDescent="0.3">
      <c r="A1008" s="311" t="s">
        <v>1344</v>
      </c>
      <c r="B1008" s="904" t="s">
        <v>1416</v>
      </c>
      <c r="C1008" s="756"/>
      <c r="D1008" s="757">
        <v>0</v>
      </c>
      <c r="E1008" s="757"/>
      <c r="F1008" s="757">
        <v>0</v>
      </c>
      <c r="G1008" s="757">
        <v>0</v>
      </c>
      <c r="H1008" s="757">
        <v>2557800</v>
      </c>
      <c r="I1008" s="757">
        <v>2079150</v>
      </c>
      <c r="J1008" s="757">
        <v>0</v>
      </c>
      <c r="K1008" s="757">
        <v>0</v>
      </c>
      <c r="L1008" s="757">
        <v>0</v>
      </c>
      <c r="M1008" s="757">
        <v>195400</v>
      </c>
      <c r="N1008" s="757">
        <v>188750</v>
      </c>
      <c r="O1008" s="757">
        <v>426060</v>
      </c>
      <c r="P1008" s="1497">
        <f t="shared" si="82"/>
        <v>4636950</v>
      </c>
      <c r="Q1008" s="1145">
        <f t="shared" si="83"/>
        <v>5447160</v>
      </c>
      <c r="R1008" s="756">
        <v>827400</v>
      </c>
      <c r="S1008" s="757"/>
      <c r="T1008" s="757">
        <v>1294250</v>
      </c>
      <c r="U1008" s="757">
        <v>1092300</v>
      </c>
      <c r="V1008" s="757">
        <v>186350</v>
      </c>
      <c r="W1008" s="757">
        <v>0</v>
      </c>
      <c r="X1008" s="757">
        <v>500050</v>
      </c>
      <c r="Y1008" s="757">
        <v>0</v>
      </c>
      <c r="Z1008" s="757"/>
      <c r="AA1008" s="757"/>
      <c r="AB1008" s="757"/>
      <c r="AC1008" s="757"/>
      <c r="AD1008" s="1145">
        <f t="shared" si="79"/>
        <v>3900350</v>
      </c>
      <c r="AE1008" s="905">
        <f t="shared" si="80"/>
        <v>-0.15885441939205727</v>
      </c>
      <c r="AF1008" s="906">
        <f t="shared" si="81"/>
        <v>118</v>
      </c>
    </row>
    <row r="1009" spans="1:32" x14ac:dyDescent="0.3">
      <c r="A1009" s="311" t="s">
        <v>1344</v>
      </c>
      <c r="B1009" s="904" t="s">
        <v>1344</v>
      </c>
      <c r="C1009" s="756"/>
      <c r="D1009" s="757" t="s">
        <v>251</v>
      </c>
      <c r="E1009" s="757"/>
      <c r="F1009" s="757">
        <v>0</v>
      </c>
      <c r="G1009" s="757" t="s">
        <v>251</v>
      </c>
      <c r="H1009" s="757" t="s">
        <v>251</v>
      </c>
      <c r="I1009" s="757" t="s">
        <v>251</v>
      </c>
      <c r="J1009" s="757">
        <v>41000</v>
      </c>
      <c r="K1009" s="757">
        <v>41000</v>
      </c>
      <c r="L1009" s="757">
        <v>0</v>
      </c>
      <c r="M1009" s="757">
        <v>0</v>
      </c>
      <c r="N1009" s="757">
        <v>0</v>
      </c>
      <c r="O1009" s="757" t="s">
        <v>251</v>
      </c>
      <c r="P1009" s="1497">
        <f t="shared" si="82"/>
        <v>41000</v>
      </c>
      <c r="Q1009" s="1145">
        <f t="shared" si="83"/>
        <v>41000</v>
      </c>
      <c r="R1009" s="756"/>
      <c r="S1009" s="757"/>
      <c r="T1009" s="757"/>
      <c r="U1009" s="757"/>
      <c r="V1009" s="757"/>
      <c r="W1009" s="757"/>
      <c r="X1009" s="757"/>
      <c r="Y1009" s="757"/>
      <c r="Z1009" s="757"/>
      <c r="AA1009" s="757"/>
      <c r="AB1009" s="757"/>
      <c r="AC1009" s="757"/>
      <c r="AD1009" s="1145">
        <f t="shared" si="79"/>
        <v>0</v>
      </c>
      <c r="AE1009" s="905">
        <f t="shared" si="80"/>
        <v>-1</v>
      </c>
      <c r="AF1009" s="906">
        <f t="shared" si="81"/>
        <v>983</v>
      </c>
    </row>
    <row r="1010" spans="1:32" x14ac:dyDescent="0.3">
      <c r="A1010" s="311" t="s">
        <v>1344</v>
      </c>
      <c r="B1010" s="904" t="s">
        <v>2619</v>
      </c>
      <c r="C1010" s="756"/>
      <c r="D1010" s="757"/>
      <c r="E1010" s="757"/>
      <c r="F1010" s="757"/>
      <c r="G1010" s="757"/>
      <c r="H1010" s="757"/>
      <c r="I1010" s="757"/>
      <c r="J1010" s="757"/>
      <c r="K1010" s="757"/>
      <c r="L1010" s="757"/>
      <c r="M1010" s="757"/>
      <c r="N1010" s="757"/>
      <c r="O1010" s="757"/>
      <c r="P1010" s="1497">
        <f t="shared" si="82"/>
        <v>0</v>
      </c>
      <c r="Q1010" s="1145">
        <f t="shared" si="83"/>
        <v>0</v>
      </c>
      <c r="R1010" s="756"/>
      <c r="S1010" s="757"/>
      <c r="T1010" s="757">
        <v>350000</v>
      </c>
      <c r="U1010" s="757">
        <v>0</v>
      </c>
      <c r="V1010" s="757">
        <v>0</v>
      </c>
      <c r="W1010" s="757">
        <v>0</v>
      </c>
      <c r="X1010" s="757"/>
      <c r="Y1010" s="757"/>
      <c r="Z1010" s="757"/>
      <c r="AA1010" s="757"/>
      <c r="AB1010" s="757"/>
      <c r="AC1010" s="757"/>
      <c r="AD1010" s="1145">
        <f t="shared" si="79"/>
        <v>350000</v>
      </c>
      <c r="AE1010" s="905">
        <f t="shared" si="80"/>
        <v>1</v>
      </c>
      <c r="AF1010" s="906">
        <f t="shared" si="81"/>
        <v>504</v>
      </c>
    </row>
    <row r="1011" spans="1:32" x14ac:dyDescent="0.3">
      <c r="A1011" s="311" t="s">
        <v>1344</v>
      </c>
      <c r="B1011" s="904" t="s">
        <v>2176</v>
      </c>
      <c r="C1011" s="756"/>
      <c r="D1011" s="757"/>
      <c r="E1011" s="757"/>
      <c r="F1011" s="757"/>
      <c r="G1011" s="757"/>
      <c r="H1011" s="757"/>
      <c r="I1011" s="757"/>
      <c r="J1011" s="757"/>
      <c r="K1011" s="757"/>
      <c r="L1011" s="757"/>
      <c r="M1011" s="757"/>
      <c r="N1011" s="757"/>
      <c r="O1011" s="757"/>
      <c r="P1011" s="1497">
        <f t="shared" si="82"/>
        <v>0</v>
      </c>
      <c r="Q1011" s="1145">
        <f t="shared" si="83"/>
        <v>0</v>
      </c>
      <c r="R1011" s="756"/>
      <c r="S1011" s="757"/>
      <c r="T1011" s="757"/>
      <c r="U1011" s="757"/>
      <c r="V1011" s="757"/>
      <c r="W1011" s="757">
        <v>117350</v>
      </c>
      <c r="X1011" s="757">
        <v>114950</v>
      </c>
      <c r="Y1011" s="757">
        <v>0</v>
      </c>
      <c r="Z1011" s="757"/>
      <c r="AA1011" s="757"/>
      <c r="AB1011" s="757"/>
      <c r="AC1011" s="757"/>
      <c r="AD1011" s="1145">
        <f t="shared" si="79"/>
        <v>232300</v>
      </c>
      <c r="AE1011" s="905">
        <f t="shared" si="80"/>
        <v>1</v>
      </c>
      <c r="AF1011" s="906">
        <f t="shared" si="81"/>
        <v>582</v>
      </c>
    </row>
    <row r="1012" spans="1:32" x14ac:dyDescent="0.3">
      <c r="A1012" s="311" t="s">
        <v>1344</v>
      </c>
      <c r="B1012" s="904" t="s">
        <v>2960</v>
      </c>
      <c r="C1012" s="756"/>
      <c r="D1012" s="757"/>
      <c r="E1012" s="757"/>
      <c r="F1012" s="757"/>
      <c r="G1012" s="757"/>
      <c r="H1012" s="757"/>
      <c r="I1012" s="757"/>
      <c r="J1012" s="757"/>
      <c r="K1012" s="757"/>
      <c r="L1012" s="757"/>
      <c r="M1012" s="757"/>
      <c r="N1012" s="757"/>
      <c r="O1012" s="757"/>
      <c r="P1012" s="1497">
        <f t="shared" si="82"/>
        <v>0</v>
      </c>
      <c r="Q1012" s="1145">
        <f t="shared" si="83"/>
        <v>0</v>
      </c>
      <c r="R1012" s="756"/>
      <c r="S1012" s="757"/>
      <c r="T1012" s="757"/>
      <c r="U1012" s="757"/>
      <c r="V1012" s="757"/>
      <c r="W1012" s="757"/>
      <c r="X1012" s="757">
        <v>345000</v>
      </c>
      <c r="Y1012" s="757">
        <v>84800</v>
      </c>
      <c r="Z1012" s="757"/>
      <c r="AA1012" s="757"/>
      <c r="AB1012" s="757"/>
      <c r="AC1012" s="757"/>
      <c r="AD1012" s="1145">
        <f t="shared" si="79"/>
        <v>429800</v>
      </c>
      <c r="AE1012" s="905">
        <f t="shared" si="80"/>
        <v>1</v>
      </c>
      <c r="AF1012" s="906">
        <f t="shared" si="81"/>
        <v>469</v>
      </c>
    </row>
    <row r="1013" spans="1:32" x14ac:dyDescent="0.3">
      <c r="A1013" s="311" t="s">
        <v>1344</v>
      </c>
      <c r="B1013" s="904" t="s">
        <v>394</v>
      </c>
      <c r="C1013" s="756"/>
      <c r="D1013" s="757"/>
      <c r="E1013" s="757"/>
      <c r="F1013" s="757"/>
      <c r="G1013" s="757"/>
      <c r="H1013" s="757"/>
      <c r="I1013" s="757"/>
      <c r="J1013" s="757"/>
      <c r="K1013" s="757"/>
      <c r="L1013" s="757"/>
      <c r="M1013" s="757"/>
      <c r="N1013" s="757"/>
      <c r="O1013" s="757"/>
      <c r="P1013" s="1497">
        <f t="shared" si="82"/>
        <v>0</v>
      </c>
      <c r="Q1013" s="1145">
        <f t="shared" si="83"/>
        <v>0</v>
      </c>
      <c r="R1013" s="756"/>
      <c r="S1013" s="757"/>
      <c r="T1013" s="757"/>
      <c r="U1013" s="757"/>
      <c r="V1013" s="757"/>
      <c r="W1013" s="757"/>
      <c r="X1013" s="757"/>
      <c r="Y1013" s="757">
        <v>147600</v>
      </c>
      <c r="Z1013" s="757"/>
      <c r="AA1013" s="757"/>
      <c r="AB1013" s="757"/>
      <c r="AC1013" s="757"/>
      <c r="AD1013" s="1145">
        <f t="shared" si="79"/>
        <v>147600</v>
      </c>
      <c r="AE1013" s="905">
        <f t="shared" si="80"/>
        <v>1</v>
      </c>
      <c r="AF1013" s="906">
        <f t="shared" si="81"/>
        <v>677</v>
      </c>
    </row>
    <row r="1014" spans="1:32" x14ac:dyDescent="0.3">
      <c r="A1014" s="313" t="s">
        <v>727</v>
      </c>
      <c r="B1014" s="907" t="s">
        <v>728</v>
      </c>
      <c r="C1014" s="758"/>
      <c r="D1014" s="759">
        <v>0</v>
      </c>
      <c r="E1014" s="759"/>
      <c r="F1014" s="759">
        <v>0</v>
      </c>
      <c r="G1014" s="759">
        <v>9687800</v>
      </c>
      <c r="H1014" s="759">
        <v>0</v>
      </c>
      <c r="I1014" s="759">
        <v>0</v>
      </c>
      <c r="J1014" s="759">
        <v>0</v>
      </c>
      <c r="K1014" s="759">
        <v>0</v>
      </c>
      <c r="L1014" s="759">
        <v>0</v>
      </c>
      <c r="M1014" s="759">
        <v>0</v>
      </c>
      <c r="N1014" s="759">
        <v>9909000</v>
      </c>
      <c r="O1014" s="759" t="s">
        <v>251</v>
      </c>
      <c r="P1014" s="1497">
        <f t="shared" si="82"/>
        <v>9687800</v>
      </c>
      <c r="Q1014" s="1146">
        <f t="shared" si="83"/>
        <v>19596800</v>
      </c>
      <c r="R1014" s="758"/>
      <c r="S1014" s="759"/>
      <c r="T1014" s="759"/>
      <c r="U1014" s="759">
        <v>10087400</v>
      </c>
      <c r="V1014" s="759">
        <v>500000</v>
      </c>
      <c r="W1014" s="759">
        <v>0</v>
      </c>
      <c r="X1014" s="759">
        <v>0</v>
      </c>
      <c r="Y1014" s="759">
        <v>0</v>
      </c>
      <c r="Z1014" s="759"/>
      <c r="AA1014" s="759"/>
      <c r="AB1014" s="759"/>
      <c r="AC1014" s="759"/>
      <c r="AD1014" s="1146">
        <f t="shared" si="79"/>
        <v>10587400</v>
      </c>
      <c r="AE1014" s="908">
        <f t="shared" si="80"/>
        <v>9.2859059848469205E-2</v>
      </c>
      <c r="AF1014" s="909">
        <f t="shared" si="81"/>
        <v>30</v>
      </c>
    </row>
    <row r="1015" spans="1:32" x14ac:dyDescent="0.3">
      <c r="A1015" s="313" t="s">
        <v>727</v>
      </c>
      <c r="B1015" s="907" t="s">
        <v>729</v>
      </c>
      <c r="C1015" s="758"/>
      <c r="D1015" s="759">
        <v>0</v>
      </c>
      <c r="E1015" s="759">
        <v>1990000</v>
      </c>
      <c r="F1015" s="759">
        <v>0</v>
      </c>
      <c r="G1015" s="759">
        <v>0</v>
      </c>
      <c r="H1015" s="759">
        <v>0</v>
      </c>
      <c r="I1015" s="759">
        <v>0</v>
      </c>
      <c r="J1015" s="759">
        <v>0</v>
      </c>
      <c r="K1015" s="759">
        <v>0</v>
      </c>
      <c r="L1015" s="759">
        <v>0</v>
      </c>
      <c r="M1015" s="759">
        <v>1742200</v>
      </c>
      <c r="N1015" s="759">
        <v>0</v>
      </c>
      <c r="O1015" s="759" t="s">
        <v>251</v>
      </c>
      <c r="P1015" s="1497">
        <f t="shared" si="82"/>
        <v>1990000</v>
      </c>
      <c r="Q1015" s="1146">
        <f t="shared" si="83"/>
        <v>3732200</v>
      </c>
      <c r="R1015" s="758"/>
      <c r="S1015" s="759"/>
      <c r="T1015" s="759"/>
      <c r="U1015" s="759"/>
      <c r="V1015" s="759"/>
      <c r="W1015" s="759"/>
      <c r="X1015" s="759"/>
      <c r="Y1015" s="759"/>
      <c r="Z1015" s="759"/>
      <c r="AA1015" s="759"/>
      <c r="AB1015" s="759"/>
      <c r="AC1015" s="759"/>
      <c r="AD1015" s="1146">
        <f t="shared" si="79"/>
        <v>0</v>
      </c>
      <c r="AE1015" s="908">
        <f t="shared" si="80"/>
        <v>-1</v>
      </c>
      <c r="AF1015" s="909">
        <f t="shared" si="81"/>
        <v>983</v>
      </c>
    </row>
    <row r="1016" spans="1:32" x14ac:dyDescent="0.3">
      <c r="A1016" s="313" t="s">
        <v>727</v>
      </c>
      <c r="B1016" s="907" t="s">
        <v>731</v>
      </c>
      <c r="C1016" s="758"/>
      <c r="D1016" s="759">
        <v>0</v>
      </c>
      <c r="E1016" s="759"/>
      <c r="F1016" s="759">
        <v>0</v>
      </c>
      <c r="G1016" s="759">
        <v>195200</v>
      </c>
      <c r="H1016" s="759">
        <v>0</v>
      </c>
      <c r="I1016" s="759">
        <v>0</v>
      </c>
      <c r="J1016" s="759">
        <v>0</v>
      </c>
      <c r="K1016" s="759">
        <v>0</v>
      </c>
      <c r="L1016" s="759">
        <v>0</v>
      </c>
      <c r="M1016" s="759">
        <v>0</v>
      </c>
      <c r="N1016" s="759">
        <v>0</v>
      </c>
      <c r="O1016" s="759" t="s">
        <v>251</v>
      </c>
      <c r="P1016" s="1497">
        <f t="shared" si="82"/>
        <v>195200</v>
      </c>
      <c r="Q1016" s="1146">
        <f t="shared" si="83"/>
        <v>195200</v>
      </c>
      <c r="R1016" s="758"/>
      <c r="S1016" s="759"/>
      <c r="T1016" s="759"/>
      <c r="U1016" s="759"/>
      <c r="V1016" s="759">
        <v>930000</v>
      </c>
      <c r="W1016" s="759">
        <v>0</v>
      </c>
      <c r="X1016" s="759">
        <v>0</v>
      </c>
      <c r="Y1016" s="759">
        <v>0</v>
      </c>
      <c r="Z1016" s="759"/>
      <c r="AA1016" s="759"/>
      <c r="AB1016" s="759"/>
      <c r="AC1016" s="759"/>
      <c r="AD1016" s="1146">
        <f t="shared" si="79"/>
        <v>930000</v>
      </c>
      <c r="AE1016" s="908">
        <f t="shared" si="80"/>
        <v>3.764344262295082</v>
      </c>
      <c r="AF1016" s="909">
        <f t="shared" si="81"/>
        <v>330</v>
      </c>
    </row>
    <row r="1017" spans="1:32" x14ac:dyDescent="0.3">
      <c r="A1017" s="313" t="s">
        <v>727</v>
      </c>
      <c r="B1017" s="907" t="s">
        <v>730</v>
      </c>
      <c r="C1017" s="758"/>
      <c r="D1017" s="759">
        <v>0</v>
      </c>
      <c r="E1017" s="759"/>
      <c r="F1017" s="759">
        <v>0</v>
      </c>
      <c r="G1017" s="759">
        <v>119600</v>
      </c>
      <c r="H1017" s="759">
        <v>1690000</v>
      </c>
      <c r="I1017" s="759">
        <v>0</v>
      </c>
      <c r="J1017" s="759">
        <v>0</v>
      </c>
      <c r="K1017" s="759">
        <v>0</v>
      </c>
      <c r="L1017" s="759">
        <v>0</v>
      </c>
      <c r="M1017" s="759">
        <v>0</v>
      </c>
      <c r="N1017" s="759">
        <v>0</v>
      </c>
      <c r="O1017" s="759" t="s">
        <v>251</v>
      </c>
      <c r="P1017" s="1497">
        <f t="shared" si="82"/>
        <v>1809600</v>
      </c>
      <c r="Q1017" s="1146">
        <f t="shared" si="83"/>
        <v>1809600</v>
      </c>
      <c r="R1017" s="758"/>
      <c r="S1017" s="759"/>
      <c r="T1017" s="759"/>
      <c r="U1017" s="759"/>
      <c r="V1017" s="759"/>
      <c r="W1017" s="759"/>
      <c r="X1017" s="759"/>
      <c r="Y1017" s="759"/>
      <c r="Z1017" s="759"/>
      <c r="AA1017" s="759"/>
      <c r="AB1017" s="759"/>
      <c r="AC1017" s="759"/>
      <c r="AD1017" s="1146">
        <f t="shared" si="79"/>
        <v>0</v>
      </c>
      <c r="AE1017" s="908">
        <f t="shared" si="80"/>
        <v>-1</v>
      </c>
      <c r="AF1017" s="909">
        <f t="shared" si="81"/>
        <v>983</v>
      </c>
    </row>
    <row r="1018" spans="1:32" x14ac:dyDescent="0.3">
      <c r="A1018" s="313" t="s">
        <v>727</v>
      </c>
      <c r="B1018" s="907" t="s">
        <v>732</v>
      </c>
      <c r="C1018" s="758" t="s">
        <v>251</v>
      </c>
      <c r="D1018" s="759" t="s">
        <v>251</v>
      </c>
      <c r="E1018" s="759"/>
      <c r="F1018" s="759" t="s">
        <v>251</v>
      </c>
      <c r="G1018" s="759" t="s">
        <v>251</v>
      </c>
      <c r="H1018" s="759" t="s">
        <v>251</v>
      </c>
      <c r="I1018" s="759" t="s">
        <v>251</v>
      </c>
      <c r="J1018" s="759" t="s">
        <v>251</v>
      </c>
      <c r="K1018" s="759"/>
      <c r="L1018" s="759" t="s">
        <v>251</v>
      </c>
      <c r="M1018" s="759" t="s">
        <v>251</v>
      </c>
      <c r="N1018" s="759" t="s">
        <v>251</v>
      </c>
      <c r="O1018" s="759" t="s">
        <v>251</v>
      </c>
      <c r="P1018" s="1497">
        <f t="shared" si="82"/>
        <v>0</v>
      </c>
      <c r="Q1018" s="1146">
        <f t="shared" si="83"/>
        <v>0</v>
      </c>
      <c r="R1018" s="758"/>
      <c r="S1018" s="759"/>
      <c r="T1018" s="759"/>
      <c r="U1018" s="759"/>
      <c r="V1018" s="759"/>
      <c r="W1018" s="759"/>
      <c r="X1018" s="759"/>
      <c r="Y1018" s="759"/>
      <c r="Z1018" s="759"/>
      <c r="AA1018" s="759"/>
      <c r="AB1018" s="759"/>
      <c r="AC1018" s="759"/>
      <c r="AD1018" s="1146">
        <f t="shared" si="79"/>
        <v>0</v>
      </c>
      <c r="AE1018" s="908">
        <f t="shared" si="80"/>
        <v>0</v>
      </c>
      <c r="AF1018" s="909">
        <f t="shared" si="81"/>
        <v>983</v>
      </c>
    </row>
    <row r="1019" spans="1:32" x14ac:dyDescent="0.3">
      <c r="A1019" s="313" t="s">
        <v>727</v>
      </c>
      <c r="B1019" s="907" t="s">
        <v>2690</v>
      </c>
      <c r="C1019" s="758"/>
      <c r="D1019" s="759"/>
      <c r="E1019" s="759"/>
      <c r="F1019" s="759"/>
      <c r="G1019" s="759"/>
      <c r="H1019" s="759"/>
      <c r="I1019" s="759"/>
      <c r="J1019" s="759"/>
      <c r="K1019" s="759"/>
      <c r="L1019" s="759"/>
      <c r="M1019" s="759"/>
      <c r="N1019" s="759"/>
      <c r="O1019" s="759"/>
      <c r="P1019" s="1497">
        <f t="shared" si="82"/>
        <v>0</v>
      </c>
      <c r="Q1019" s="1146">
        <f t="shared" si="83"/>
        <v>0</v>
      </c>
      <c r="R1019" s="758"/>
      <c r="S1019" s="759"/>
      <c r="T1019" s="759"/>
      <c r="U1019" s="759">
        <v>5447800</v>
      </c>
      <c r="V1019" s="759">
        <v>0</v>
      </c>
      <c r="W1019" s="759">
        <v>0</v>
      </c>
      <c r="X1019" s="759">
        <v>0</v>
      </c>
      <c r="Y1019" s="759">
        <v>0</v>
      </c>
      <c r="Z1019" s="759"/>
      <c r="AA1019" s="759"/>
      <c r="AB1019" s="759"/>
      <c r="AC1019" s="759"/>
      <c r="AD1019" s="1146">
        <f t="shared" ref="AD1019:AD1084" si="84">SUM(R1019:AC1019)</f>
        <v>5447800</v>
      </c>
      <c r="AE1019" s="908">
        <f t="shared" ref="AE1019:AE1084" si="85">IF(OR(AD1019="", P1019=""), 0, IFERROR((AD1019-P1019)/P1019, IF(AD1019&lt;&gt;0, 1, 0)))</f>
        <v>1</v>
      </c>
      <c r="AF1019" s="909">
        <f t="shared" si="81"/>
        <v>77</v>
      </c>
    </row>
    <row r="1020" spans="1:32" x14ac:dyDescent="0.3">
      <c r="A1020" s="16" t="s">
        <v>1347</v>
      </c>
      <c r="B1020" s="658" t="s">
        <v>1348</v>
      </c>
      <c r="C1020" s="738">
        <v>515800</v>
      </c>
      <c r="D1020" s="739">
        <v>730000</v>
      </c>
      <c r="E1020" s="739">
        <v>266400</v>
      </c>
      <c r="F1020" s="739">
        <v>2324600</v>
      </c>
      <c r="G1020" s="739">
        <v>1465600</v>
      </c>
      <c r="H1020" s="739">
        <v>0</v>
      </c>
      <c r="I1020" s="739">
        <v>0</v>
      </c>
      <c r="J1020" s="739">
        <v>0</v>
      </c>
      <c r="K1020" s="739">
        <v>0</v>
      </c>
      <c r="L1020" s="739">
        <v>1178000</v>
      </c>
      <c r="M1020" s="739">
        <v>1256200</v>
      </c>
      <c r="N1020" s="739">
        <v>720200</v>
      </c>
      <c r="O1020" s="739">
        <v>607600</v>
      </c>
      <c r="P1020" s="1497">
        <f t="shared" si="82"/>
        <v>5302400</v>
      </c>
      <c r="Q1020" s="1135">
        <f t="shared" si="83"/>
        <v>9064400</v>
      </c>
      <c r="R1020" s="738"/>
      <c r="S1020" s="739"/>
      <c r="T1020" s="739">
        <v>1344600</v>
      </c>
      <c r="U1020" s="739">
        <v>1026200</v>
      </c>
      <c r="V1020" s="739">
        <v>504300</v>
      </c>
      <c r="W1020" s="739">
        <v>1904700</v>
      </c>
      <c r="X1020" s="739">
        <v>519400</v>
      </c>
      <c r="Y1020" s="739">
        <v>102000</v>
      </c>
      <c r="Z1020" s="739"/>
      <c r="AA1020" s="739"/>
      <c r="AB1020" s="739"/>
      <c r="AC1020" s="739"/>
      <c r="AD1020" s="1135">
        <f t="shared" si="84"/>
        <v>5401200</v>
      </c>
      <c r="AE1020" s="584">
        <f t="shared" si="85"/>
        <v>1.8633071816535909E-2</v>
      </c>
      <c r="AF1020" s="585">
        <f t="shared" si="81"/>
        <v>78</v>
      </c>
    </row>
    <row r="1021" spans="1:32" x14ac:dyDescent="0.3">
      <c r="A1021" s="16" t="s">
        <v>1347</v>
      </c>
      <c r="B1021" s="658" t="s">
        <v>1349</v>
      </c>
      <c r="C1021" s="738"/>
      <c r="D1021" s="739">
        <v>959700</v>
      </c>
      <c r="E1021" s="739">
        <v>120200</v>
      </c>
      <c r="F1021" s="739">
        <v>49200</v>
      </c>
      <c r="G1021" s="739">
        <v>0</v>
      </c>
      <c r="H1021" s="739">
        <v>0</v>
      </c>
      <c r="I1021" s="739">
        <v>0</v>
      </c>
      <c r="J1021" s="739">
        <v>0</v>
      </c>
      <c r="K1021" s="739">
        <v>0</v>
      </c>
      <c r="L1021" s="739">
        <v>0</v>
      </c>
      <c r="M1021" s="739">
        <v>0</v>
      </c>
      <c r="N1021" s="739">
        <v>0</v>
      </c>
      <c r="O1021" s="739" t="s">
        <v>251</v>
      </c>
      <c r="P1021" s="1497">
        <f t="shared" si="82"/>
        <v>1129100</v>
      </c>
      <c r="Q1021" s="1135">
        <f t="shared" si="83"/>
        <v>1129100</v>
      </c>
      <c r="R1021" s="738"/>
      <c r="S1021" s="739"/>
      <c r="T1021" s="739"/>
      <c r="U1021" s="739"/>
      <c r="V1021" s="739"/>
      <c r="W1021" s="739"/>
      <c r="X1021" s="739"/>
      <c r="Y1021" s="739"/>
      <c r="Z1021" s="739"/>
      <c r="AA1021" s="739"/>
      <c r="AB1021" s="739"/>
      <c r="AC1021" s="739"/>
      <c r="AD1021" s="1135">
        <f t="shared" si="84"/>
        <v>0</v>
      </c>
      <c r="AE1021" s="584">
        <f t="shared" si="85"/>
        <v>-1</v>
      </c>
      <c r="AF1021" s="585">
        <f t="shared" si="81"/>
        <v>983</v>
      </c>
    </row>
    <row r="1022" spans="1:32" x14ac:dyDescent="0.3">
      <c r="A1022" s="16" t="s">
        <v>1347</v>
      </c>
      <c r="B1022" s="658" t="s">
        <v>648</v>
      </c>
      <c r="C1022" s="738">
        <v>269200</v>
      </c>
      <c r="D1022" s="739">
        <v>0</v>
      </c>
      <c r="E1022" s="739">
        <v>328600</v>
      </c>
      <c r="F1022" s="739">
        <v>318000</v>
      </c>
      <c r="G1022" s="739">
        <v>0</v>
      </c>
      <c r="H1022" s="739">
        <v>0</v>
      </c>
      <c r="I1022" s="739">
        <v>0</v>
      </c>
      <c r="J1022" s="739">
        <v>0</v>
      </c>
      <c r="K1022" s="739">
        <v>0</v>
      </c>
      <c r="L1022" s="739">
        <v>0</v>
      </c>
      <c r="M1022" s="739">
        <v>0</v>
      </c>
      <c r="N1022" s="739">
        <v>0</v>
      </c>
      <c r="O1022" s="739" t="s">
        <v>251</v>
      </c>
      <c r="P1022" s="1497">
        <f t="shared" si="82"/>
        <v>915800</v>
      </c>
      <c r="Q1022" s="1135">
        <f t="shared" si="83"/>
        <v>915800</v>
      </c>
      <c r="R1022" s="738"/>
      <c r="S1022" s="739"/>
      <c r="T1022" s="739"/>
      <c r="U1022" s="739"/>
      <c r="V1022" s="739"/>
      <c r="W1022" s="739"/>
      <c r="X1022" s="739"/>
      <c r="Y1022" s="739"/>
      <c r="Z1022" s="739"/>
      <c r="AA1022" s="739"/>
      <c r="AB1022" s="739"/>
      <c r="AC1022" s="739"/>
      <c r="AD1022" s="1135">
        <f t="shared" si="84"/>
        <v>0</v>
      </c>
      <c r="AE1022" s="584">
        <f t="shared" si="85"/>
        <v>-1</v>
      </c>
      <c r="AF1022" s="585">
        <f t="shared" si="81"/>
        <v>983</v>
      </c>
    </row>
    <row r="1023" spans="1:32" x14ac:dyDescent="0.3">
      <c r="A1023" s="16" t="s">
        <v>1347</v>
      </c>
      <c r="B1023" s="658" t="s">
        <v>1071</v>
      </c>
      <c r="C1023" s="738">
        <v>8200</v>
      </c>
      <c r="D1023" s="739">
        <v>510300</v>
      </c>
      <c r="E1023" s="739">
        <v>202800</v>
      </c>
      <c r="F1023" s="739">
        <v>6600</v>
      </c>
      <c r="G1023" s="739">
        <v>105000</v>
      </c>
      <c r="H1023" s="739">
        <v>165400</v>
      </c>
      <c r="I1023" s="739">
        <v>0</v>
      </c>
      <c r="J1023" s="739">
        <v>0</v>
      </c>
      <c r="K1023" s="739">
        <v>0</v>
      </c>
      <c r="L1023" s="739">
        <v>0</v>
      </c>
      <c r="M1023" s="739">
        <v>0</v>
      </c>
      <c r="N1023" s="739">
        <v>0</v>
      </c>
      <c r="O1023" s="739" t="s">
        <v>251</v>
      </c>
      <c r="P1023" s="1497">
        <f t="shared" si="82"/>
        <v>998300</v>
      </c>
      <c r="Q1023" s="1135">
        <f t="shared" si="83"/>
        <v>998300</v>
      </c>
      <c r="R1023" s="738"/>
      <c r="S1023" s="739"/>
      <c r="T1023" s="739"/>
      <c r="U1023" s="739"/>
      <c r="V1023" s="739"/>
      <c r="W1023" s="739"/>
      <c r="X1023" s="739"/>
      <c r="Y1023" s="739"/>
      <c r="Z1023" s="739"/>
      <c r="AA1023" s="739"/>
      <c r="AB1023" s="739"/>
      <c r="AC1023" s="739"/>
      <c r="AD1023" s="1135">
        <f t="shared" si="84"/>
        <v>0</v>
      </c>
      <c r="AE1023" s="584">
        <f t="shared" si="85"/>
        <v>-1</v>
      </c>
      <c r="AF1023" s="585">
        <f t="shared" si="81"/>
        <v>983</v>
      </c>
    </row>
    <row r="1024" spans="1:32" x14ac:dyDescent="0.3">
      <c r="A1024" s="16" t="s">
        <v>1347</v>
      </c>
      <c r="B1024" s="658" t="s">
        <v>1350</v>
      </c>
      <c r="C1024" s="738">
        <v>604400</v>
      </c>
      <c r="D1024" s="739">
        <v>0</v>
      </c>
      <c r="E1024" s="739"/>
      <c r="F1024" s="739">
        <v>0</v>
      </c>
      <c r="G1024" s="739">
        <v>0</v>
      </c>
      <c r="H1024" s="739">
        <v>0</v>
      </c>
      <c r="I1024" s="739">
        <v>0</v>
      </c>
      <c r="J1024" s="739">
        <v>0</v>
      </c>
      <c r="K1024" s="739">
        <v>0</v>
      </c>
      <c r="L1024" s="739">
        <v>0</v>
      </c>
      <c r="M1024" s="739">
        <v>0</v>
      </c>
      <c r="N1024" s="739">
        <v>0</v>
      </c>
      <c r="O1024" s="739" t="s">
        <v>251</v>
      </c>
      <c r="P1024" s="1497">
        <f t="shared" si="82"/>
        <v>604400</v>
      </c>
      <c r="Q1024" s="1135">
        <f t="shared" si="83"/>
        <v>604400</v>
      </c>
      <c r="R1024" s="738"/>
      <c r="S1024" s="739"/>
      <c r="T1024" s="739"/>
      <c r="U1024" s="739">
        <v>55800</v>
      </c>
      <c r="V1024" s="739">
        <v>1317200</v>
      </c>
      <c r="W1024" s="739">
        <v>442160</v>
      </c>
      <c r="X1024" s="739">
        <v>836920</v>
      </c>
      <c r="Y1024" s="739">
        <v>10600</v>
      </c>
      <c r="Z1024" s="739"/>
      <c r="AA1024" s="739"/>
      <c r="AB1024" s="739"/>
      <c r="AC1024" s="739"/>
      <c r="AD1024" s="1135">
        <f t="shared" si="84"/>
        <v>2662680</v>
      </c>
      <c r="AE1024" s="584">
        <f t="shared" si="85"/>
        <v>3.4054930509596293</v>
      </c>
      <c r="AF1024" s="585">
        <f t="shared" si="81"/>
        <v>167</v>
      </c>
    </row>
    <row r="1025" spans="1:32" x14ac:dyDescent="0.3">
      <c r="A1025" s="16" t="s">
        <v>1347</v>
      </c>
      <c r="B1025" s="658" t="s">
        <v>724</v>
      </c>
      <c r="C1025" s="738">
        <v>49000</v>
      </c>
      <c r="D1025" s="739">
        <v>82000</v>
      </c>
      <c r="E1025" s="739"/>
      <c r="F1025" s="739">
        <v>432000</v>
      </c>
      <c r="G1025" s="739">
        <v>0</v>
      </c>
      <c r="H1025" s="739">
        <v>0</v>
      </c>
      <c r="I1025" s="739">
        <v>112000</v>
      </c>
      <c r="J1025" s="739">
        <v>142000</v>
      </c>
      <c r="K1025" s="739">
        <v>142000</v>
      </c>
      <c r="L1025" s="739">
        <v>191000</v>
      </c>
      <c r="M1025" s="739">
        <v>0</v>
      </c>
      <c r="N1025" s="739">
        <v>0</v>
      </c>
      <c r="O1025" s="739">
        <v>1623000</v>
      </c>
      <c r="P1025" s="1497">
        <f t="shared" si="82"/>
        <v>817000</v>
      </c>
      <c r="Q1025" s="1135">
        <f t="shared" si="83"/>
        <v>2631000</v>
      </c>
      <c r="R1025" s="738">
        <v>531600</v>
      </c>
      <c r="S1025" s="739"/>
      <c r="T1025" s="739">
        <v>0</v>
      </c>
      <c r="U1025" s="739">
        <v>0</v>
      </c>
      <c r="V1025" s="739">
        <v>145000</v>
      </c>
      <c r="W1025" s="739">
        <v>902000</v>
      </c>
      <c r="X1025" s="739">
        <v>161000</v>
      </c>
      <c r="Y1025" s="739">
        <v>0</v>
      </c>
      <c r="Z1025" s="739"/>
      <c r="AA1025" s="739"/>
      <c r="AB1025" s="739"/>
      <c r="AC1025" s="739"/>
      <c r="AD1025" s="1135">
        <f t="shared" si="84"/>
        <v>1739600</v>
      </c>
      <c r="AE1025" s="584">
        <f t="shared" si="85"/>
        <v>1.1292533659730721</v>
      </c>
      <c r="AF1025" s="585">
        <f t="shared" si="81"/>
        <v>232</v>
      </c>
    </row>
    <row r="1026" spans="1:32" x14ac:dyDescent="0.3">
      <c r="A1026" s="16" t="s">
        <v>1347</v>
      </c>
      <c r="B1026" s="658" t="s">
        <v>767</v>
      </c>
      <c r="C1026" s="738"/>
      <c r="D1026" s="739">
        <v>0</v>
      </c>
      <c r="E1026" s="739"/>
      <c r="F1026" s="739">
        <v>0</v>
      </c>
      <c r="G1026" s="739">
        <v>480400</v>
      </c>
      <c r="H1026" s="739">
        <v>296200</v>
      </c>
      <c r="I1026" s="739">
        <v>201200</v>
      </c>
      <c r="J1026" s="739">
        <v>153000</v>
      </c>
      <c r="K1026" s="739">
        <v>153000</v>
      </c>
      <c r="L1026" s="739">
        <v>213000</v>
      </c>
      <c r="M1026" s="739">
        <v>292000</v>
      </c>
      <c r="N1026" s="739">
        <v>0</v>
      </c>
      <c r="O1026" s="739" t="s">
        <v>251</v>
      </c>
      <c r="P1026" s="1497">
        <f t="shared" si="82"/>
        <v>1130800</v>
      </c>
      <c r="Q1026" s="1135">
        <f t="shared" si="83"/>
        <v>1635800</v>
      </c>
      <c r="R1026" s="738"/>
      <c r="S1026" s="739"/>
      <c r="T1026" s="739"/>
      <c r="U1026" s="739"/>
      <c r="V1026" s="739"/>
      <c r="W1026" s="739"/>
      <c r="X1026" s="739"/>
      <c r="Y1026" s="739"/>
      <c r="Z1026" s="739"/>
      <c r="AA1026" s="739"/>
      <c r="AB1026" s="739"/>
      <c r="AC1026" s="739"/>
      <c r="AD1026" s="1135">
        <f t="shared" si="84"/>
        <v>0</v>
      </c>
      <c r="AE1026" s="584">
        <f t="shared" si="85"/>
        <v>-1</v>
      </c>
      <c r="AF1026" s="585">
        <f t="shared" si="81"/>
        <v>983</v>
      </c>
    </row>
    <row r="1027" spans="1:32" x14ac:dyDescent="0.3">
      <c r="A1027" s="16" t="s">
        <v>1347</v>
      </c>
      <c r="B1027" s="658" t="s">
        <v>1351</v>
      </c>
      <c r="C1027" s="738"/>
      <c r="D1027" s="739">
        <v>0</v>
      </c>
      <c r="E1027" s="739">
        <v>188400</v>
      </c>
      <c r="F1027" s="739">
        <v>0</v>
      </c>
      <c r="G1027" s="739">
        <v>0</v>
      </c>
      <c r="H1027" s="739">
        <v>0</v>
      </c>
      <c r="I1027" s="739">
        <v>0</v>
      </c>
      <c r="J1027" s="739">
        <v>0</v>
      </c>
      <c r="K1027" s="739">
        <v>0</v>
      </c>
      <c r="L1027" s="739">
        <v>0</v>
      </c>
      <c r="M1027" s="739">
        <v>0</v>
      </c>
      <c r="N1027" s="739">
        <v>277500</v>
      </c>
      <c r="O1027" s="739" t="s">
        <v>251</v>
      </c>
      <c r="P1027" s="1497">
        <f t="shared" si="82"/>
        <v>188400</v>
      </c>
      <c r="Q1027" s="1135">
        <f t="shared" si="83"/>
        <v>465900</v>
      </c>
      <c r="R1027" s="738"/>
      <c r="S1027" s="739"/>
      <c r="T1027" s="739"/>
      <c r="U1027" s="739"/>
      <c r="V1027" s="739"/>
      <c r="W1027" s="739"/>
      <c r="X1027" s="739"/>
      <c r="Y1027" s="739"/>
      <c r="Z1027" s="739"/>
      <c r="AA1027" s="739"/>
      <c r="AB1027" s="739"/>
      <c r="AC1027" s="739"/>
      <c r="AD1027" s="1135">
        <f t="shared" si="84"/>
        <v>0</v>
      </c>
      <c r="AE1027" s="584">
        <f t="shared" si="85"/>
        <v>-1</v>
      </c>
      <c r="AF1027" s="585">
        <f t="shared" si="81"/>
        <v>983</v>
      </c>
    </row>
    <row r="1028" spans="1:32" x14ac:dyDescent="0.3">
      <c r="A1028" s="16" t="s">
        <v>1347</v>
      </c>
      <c r="B1028" s="658" t="s">
        <v>710</v>
      </c>
      <c r="C1028" s="738"/>
      <c r="D1028" s="739">
        <v>0</v>
      </c>
      <c r="E1028" s="739">
        <v>117400</v>
      </c>
      <c r="F1028" s="739">
        <v>9600</v>
      </c>
      <c r="G1028" s="739">
        <v>0</v>
      </c>
      <c r="H1028" s="739">
        <v>14400</v>
      </c>
      <c r="I1028" s="739">
        <v>0</v>
      </c>
      <c r="J1028" s="739">
        <v>0</v>
      </c>
      <c r="K1028" s="739">
        <v>0</v>
      </c>
      <c r="L1028" s="739">
        <v>0</v>
      </c>
      <c r="M1028" s="739">
        <v>0</v>
      </c>
      <c r="N1028" s="739">
        <v>0</v>
      </c>
      <c r="O1028" s="739" t="s">
        <v>251</v>
      </c>
      <c r="P1028" s="1497">
        <f t="shared" si="82"/>
        <v>141400</v>
      </c>
      <c r="Q1028" s="1135">
        <f t="shared" si="83"/>
        <v>141400</v>
      </c>
      <c r="R1028" s="738"/>
      <c r="S1028" s="739"/>
      <c r="T1028" s="739"/>
      <c r="U1028" s="739"/>
      <c r="V1028" s="739"/>
      <c r="W1028" s="739"/>
      <c r="X1028" s="739"/>
      <c r="Y1028" s="739"/>
      <c r="Z1028" s="739"/>
      <c r="AA1028" s="739"/>
      <c r="AB1028" s="739"/>
      <c r="AC1028" s="739"/>
      <c r="AD1028" s="1135">
        <f t="shared" si="84"/>
        <v>0</v>
      </c>
      <c r="AE1028" s="584">
        <f t="shared" si="85"/>
        <v>-1</v>
      </c>
      <c r="AF1028" s="585">
        <f t="shared" si="81"/>
        <v>983</v>
      </c>
    </row>
    <row r="1029" spans="1:32" x14ac:dyDescent="0.3">
      <c r="A1029" s="16" t="s">
        <v>1347</v>
      </c>
      <c r="B1029" s="658" t="s">
        <v>701</v>
      </c>
      <c r="C1029" s="738"/>
      <c r="D1029" s="739">
        <v>0</v>
      </c>
      <c r="E1029" s="739"/>
      <c r="F1029" s="739">
        <v>119000</v>
      </c>
      <c r="G1029" s="739">
        <v>0</v>
      </c>
      <c r="H1029" s="739">
        <v>0</v>
      </c>
      <c r="I1029" s="739">
        <v>0</v>
      </c>
      <c r="J1029" s="739">
        <v>0</v>
      </c>
      <c r="K1029" s="739">
        <v>0</v>
      </c>
      <c r="L1029" s="739">
        <v>0</v>
      </c>
      <c r="M1029" s="739">
        <v>0</v>
      </c>
      <c r="N1029" s="739">
        <v>0</v>
      </c>
      <c r="O1029" s="739" t="s">
        <v>251</v>
      </c>
      <c r="P1029" s="1497">
        <f t="shared" si="82"/>
        <v>119000</v>
      </c>
      <c r="Q1029" s="1135">
        <f t="shared" si="83"/>
        <v>119000</v>
      </c>
      <c r="R1029" s="738"/>
      <c r="S1029" s="739"/>
      <c r="T1029" s="739"/>
      <c r="U1029" s="739"/>
      <c r="V1029" s="739"/>
      <c r="W1029" s="739"/>
      <c r="X1029" s="739"/>
      <c r="Y1029" s="739"/>
      <c r="Z1029" s="739"/>
      <c r="AA1029" s="739"/>
      <c r="AB1029" s="739"/>
      <c r="AC1029" s="739"/>
      <c r="AD1029" s="1135">
        <f t="shared" si="84"/>
        <v>0</v>
      </c>
      <c r="AE1029" s="584">
        <f t="shared" si="85"/>
        <v>-1</v>
      </c>
      <c r="AF1029" s="585">
        <f t="shared" si="81"/>
        <v>983</v>
      </c>
    </row>
    <row r="1030" spans="1:32" x14ac:dyDescent="0.3">
      <c r="A1030" s="16" t="s">
        <v>1347</v>
      </c>
      <c r="B1030" s="658" t="s">
        <v>719</v>
      </c>
      <c r="C1030" s="738"/>
      <c r="D1030" s="739" t="s">
        <v>251</v>
      </c>
      <c r="E1030" s="739"/>
      <c r="F1030" s="739" t="s">
        <v>251</v>
      </c>
      <c r="G1030" s="739" t="s">
        <v>251</v>
      </c>
      <c r="H1030" s="739" t="s">
        <v>251</v>
      </c>
      <c r="I1030" s="739" t="s">
        <v>251</v>
      </c>
      <c r="J1030" s="739" t="s">
        <v>251</v>
      </c>
      <c r="K1030" s="739"/>
      <c r="L1030" s="739" t="s">
        <v>251</v>
      </c>
      <c r="M1030" s="739" t="s">
        <v>251</v>
      </c>
      <c r="N1030" s="739" t="s">
        <v>251</v>
      </c>
      <c r="O1030" s="739" t="s">
        <v>251</v>
      </c>
      <c r="P1030" s="1497">
        <f t="shared" si="82"/>
        <v>0</v>
      </c>
      <c r="Q1030" s="1135">
        <f t="shared" si="83"/>
        <v>0</v>
      </c>
      <c r="R1030" s="738"/>
      <c r="S1030" s="739"/>
      <c r="T1030" s="739"/>
      <c r="U1030" s="739"/>
      <c r="V1030" s="739"/>
      <c r="W1030" s="739"/>
      <c r="X1030" s="739"/>
      <c r="Y1030" s="739"/>
      <c r="Z1030" s="739"/>
      <c r="AA1030" s="739"/>
      <c r="AB1030" s="739"/>
      <c r="AC1030" s="739"/>
      <c r="AD1030" s="1135">
        <f t="shared" si="84"/>
        <v>0</v>
      </c>
      <c r="AE1030" s="584">
        <f t="shared" si="85"/>
        <v>0</v>
      </c>
      <c r="AF1030" s="585">
        <f t="shared" ref="AF1030:AF1093" si="86">IFERROR(_xlfn.RANK.EQ(AD1030, $AD$2:$AD$2064), "")</f>
        <v>983</v>
      </c>
    </row>
    <row r="1031" spans="1:32" x14ac:dyDescent="0.3">
      <c r="A1031" s="16" t="s">
        <v>1347</v>
      </c>
      <c r="B1031" s="658" t="s">
        <v>803</v>
      </c>
      <c r="C1031" s="738"/>
      <c r="D1031" s="739" t="s">
        <v>251</v>
      </c>
      <c r="E1031" s="739"/>
      <c r="F1031" s="739" t="s">
        <v>251</v>
      </c>
      <c r="G1031" s="739" t="s">
        <v>251</v>
      </c>
      <c r="H1031" s="739" t="s">
        <v>251</v>
      </c>
      <c r="I1031" s="739" t="s">
        <v>251</v>
      </c>
      <c r="J1031" s="739" t="s">
        <v>251</v>
      </c>
      <c r="K1031" s="739"/>
      <c r="L1031" s="739" t="s">
        <v>251</v>
      </c>
      <c r="M1031" s="739" t="s">
        <v>251</v>
      </c>
      <c r="N1031" s="739" t="s">
        <v>251</v>
      </c>
      <c r="O1031" s="739" t="s">
        <v>251</v>
      </c>
      <c r="P1031" s="1497">
        <f t="shared" si="82"/>
        <v>0</v>
      </c>
      <c r="Q1031" s="1135">
        <f t="shared" si="83"/>
        <v>0</v>
      </c>
      <c r="R1031" s="738"/>
      <c r="S1031" s="739"/>
      <c r="T1031" s="739"/>
      <c r="U1031" s="739"/>
      <c r="V1031" s="739"/>
      <c r="W1031" s="739"/>
      <c r="X1031" s="739"/>
      <c r="Y1031" s="739"/>
      <c r="Z1031" s="739"/>
      <c r="AA1031" s="739"/>
      <c r="AB1031" s="739"/>
      <c r="AC1031" s="739"/>
      <c r="AD1031" s="1135">
        <f t="shared" si="84"/>
        <v>0</v>
      </c>
      <c r="AE1031" s="584">
        <f t="shared" si="85"/>
        <v>0</v>
      </c>
      <c r="AF1031" s="585">
        <f t="shared" si="86"/>
        <v>983</v>
      </c>
    </row>
    <row r="1032" spans="1:32" x14ac:dyDescent="0.3">
      <c r="A1032" s="16" t="s">
        <v>1347</v>
      </c>
      <c r="B1032" s="658" t="s">
        <v>709</v>
      </c>
      <c r="C1032" s="738"/>
      <c r="D1032" s="739" t="s">
        <v>251</v>
      </c>
      <c r="E1032" s="739"/>
      <c r="F1032" s="739" t="s">
        <v>251</v>
      </c>
      <c r="G1032" s="739" t="s">
        <v>251</v>
      </c>
      <c r="H1032" s="739" t="s">
        <v>251</v>
      </c>
      <c r="I1032" s="739" t="s">
        <v>251</v>
      </c>
      <c r="J1032" s="739" t="s">
        <v>251</v>
      </c>
      <c r="K1032" s="739"/>
      <c r="L1032" s="739" t="s">
        <v>251</v>
      </c>
      <c r="M1032" s="739" t="s">
        <v>251</v>
      </c>
      <c r="N1032" s="739" t="s">
        <v>251</v>
      </c>
      <c r="O1032" s="739" t="s">
        <v>251</v>
      </c>
      <c r="P1032" s="1497">
        <f t="shared" si="82"/>
        <v>0</v>
      </c>
      <c r="Q1032" s="1135">
        <f t="shared" si="83"/>
        <v>0</v>
      </c>
      <c r="R1032" s="738"/>
      <c r="S1032" s="739"/>
      <c r="T1032" s="739"/>
      <c r="U1032" s="739"/>
      <c r="V1032" s="739"/>
      <c r="W1032" s="739"/>
      <c r="X1032" s="739"/>
      <c r="Y1032" s="739"/>
      <c r="Z1032" s="739"/>
      <c r="AA1032" s="739"/>
      <c r="AB1032" s="739"/>
      <c r="AC1032" s="739"/>
      <c r="AD1032" s="1135">
        <f t="shared" si="84"/>
        <v>0</v>
      </c>
      <c r="AE1032" s="584">
        <f t="shared" si="85"/>
        <v>0</v>
      </c>
      <c r="AF1032" s="585">
        <f t="shared" si="86"/>
        <v>983</v>
      </c>
    </row>
    <row r="1033" spans="1:32" x14ac:dyDescent="0.3">
      <c r="A1033" s="16" t="s">
        <v>1347</v>
      </c>
      <c r="B1033" s="658" t="s">
        <v>842</v>
      </c>
      <c r="C1033" s="738"/>
      <c r="D1033" s="739" t="s">
        <v>251</v>
      </c>
      <c r="E1033" s="739"/>
      <c r="F1033" s="739" t="s">
        <v>251</v>
      </c>
      <c r="G1033" s="739" t="s">
        <v>251</v>
      </c>
      <c r="H1033" s="739" t="s">
        <v>251</v>
      </c>
      <c r="I1033" s="739" t="s">
        <v>251</v>
      </c>
      <c r="J1033" s="739" t="s">
        <v>251</v>
      </c>
      <c r="K1033" s="739"/>
      <c r="L1033" s="739" t="s">
        <v>251</v>
      </c>
      <c r="M1033" s="739" t="s">
        <v>251</v>
      </c>
      <c r="N1033" s="739" t="s">
        <v>251</v>
      </c>
      <c r="O1033" s="739" t="s">
        <v>251</v>
      </c>
      <c r="P1033" s="1497">
        <f t="shared" si="82"/>
        <v>0</v>
      </c>
      <c r="Q1033" s="1135">
        <f t="shared" si="83"/>
        <v>0</v>
      </c>
      <c r="R1033" s="738"/>
      <c r="S1033" s="739"/>
      <c r="T1033" s="739"/>
      <c r="U1033" s="739"/>
      <c r="V1033" s="739"/>
      <c r="W1033" s="739"/>
      <c r="X1033" s="739"/>
      <c r="Y1033" s="739"/>
      <c r="Z1033" s="739"/>
      <c r="AA1033" s="739"/>
      <c r="AB1033" s="739"/>
      <c r="AC1033" s="739"/>
      <c r="AD1033" s="1135">
        <f t="shared" si="84"/>
        <v>0</v>
      </c>
      <c r="AE1033" s="584">
        <f t="shared" si="85"/>
        <v>0</v>
      </c>
      <c r="AF1033" s="585">
        <f t="shared" si="86"/>
        <v>983</v>
      </c>
    </row>
    <row r="1034" spans="1:32" x14ac:dyDescent="0.3">
      <c r="A1034" s="16" t="s">
        <v>1347</v>
      </c>
      <c r="B1034" s="658" t="s">
        <v>808</v>
      </c>
      <c r="C1034" s="738"/>
      <c r="D1034" s="739" t="s">
        <v>251</v>
      </c>
      <c r="E1034" s="739"/>
      <c r="F1034" s="739" t="s">
        <v>251</v>
      </c>
      <c r="G1034" s="739" t="s">
        <v>251</v>
      </c>
      <c r="H1034" s="739" t="s">
        <v>251</v>
      </c>
      <c r="I1034" s="739" t="s">
        <v>251</v>
      </c>
      <c r="J1034" s="739" t="s">
        <v>251</v>
      </c>
      <c r="K1034" s="739"/>
      <c r="L1034" s="739" t="s">
        <v>251</v>
      </c>
      <c r="M1034" s="739" t="s">
        <v>251</v>
      </c>
      <c r="N1034" s="739" t="s">
        <v>251</v>
      </c>
      <c r="O1034" s="739" t="s">
        <v>251</v>
      </c>
      <c r="P1034" s="1497">
        <f t="shared" si="82"/>
        <v>0</v>
      </c>
      <c r="Q1034" s="1135">
        <f t="shared" si="83"/>
        <v>0</v>
      </c>
      <c r="R1034" s="738"/>
      <c r="S1034" s="739"/>
      <c r="T1034" s="739"/>
      <c r="U1034" s="739"/>
      <c r="V1034" s="739"/>
      <c r="W1034" s="739"/>
      <c r="X1034" s="739"/>
      <c r="Y1034" s="739"/>
      <c r="Z1034" s="739"/>
      <c r="AA1034" s="739"/>
      <c r="AB1034" s="739"/>
      <c r="AC1034" s="739"/>
      <c r="AD1034" s="1135">
        <f t="shared" si="84"/>
        <v>0</v>
      </c>
      <c r="AE1034" s="584">
        <f t="shared" si="85"/>
        <v>0</v>
      </c>
      <c r="AF1034" s="585">
        <f t="shared" si="86"/>
        <v>983</v>
      </c>
    </row>
    <row r="1035" spans="1:32" x14ac:dyDescent="0.3">
      <c r="A1035" s="16" t="s">
        <v>1347</v>
      </c>
      <c r="B1035" s="658" t="s">
        <v>815</v>
      </c>
      <c r="C1035" s="738"/>
      <c r="D1035" s="739" t="s">
        <v>251</v>
      </c>
      <c r="E1035" s="739"/>
      <c r="F1035" s="739" t="s">
        <v>251</v>
      </c>
      <c r="G1035" s="739" t="s">
        <v>251</v>
      </c>
      <c r="H1035" s="739" t="s">
        <v>251</v>
      </c>
      <c r="I1035" s="739" t="s">
        <v>251</v>
      </c>
      <c r="J1035" s="739" t="s">
        <v>251</v>
      </c>
      <c r="K1035" s="739"/>
      <c r="L1035" s="739" t="s">
        <v>251</v>
      </c>
      <c r="M1035" s="739" t="s">
        <v>251</v>
      </c>
      <c r="N1035" s="739" t="s">
        <v>251</v>
      </c>
      <c r="O1035" s="739" t="s">
        <v>251</v>
      </c>
      <c r="P1035" s="1497">
        <f t="shared" si="82"/>
        <v>0</v>
      </c>
      <c r="Q1035" s="1135">
        <f t="shared" si="83"/>
        <v>0</v>
      </c>
      <c r="R1035" s="738"/>
      <c r="S1035" s="739"/>
      <c r="T1035" s="739"/>
      <c r="U1035" s="739"/>
      <c r="V1035" s="739"/>
      <c r="W1035" s="739"/>
      <c r="X1035" s="739"/>
      <c r="Y1035" s="739"/>
      <c r="Z1035" s="739"/>
      <c r="AA1035" s="739"/>
      <c r="AB1035" s="739"/>
      <c r="AC1035" s="739"/>
      <c r="AD1035" s="1135">
        <f t="shared" si="84"/>
        <v>0</v>
      </c>
      <c r="AE1035" s="584">
        <f t="shared" si="85"/>
        <v>0</v>
      </c>
      <c r="AF1035" s="585">
        <f t="shared" si="86"/>
        <v>983</v>
      </c>
    </row>
    <row r="1036" spans="1:32" x14ac:dyDescent="0.3">
      <c r="A1036" s="16" t="s">
        <v>1347</v>
      </c>
      <c r="B1036" s="658" t="s">
        <v>805</v>
      </c>
      <c r="C1036" s="738"/>
      <c r="D1036" s="739" t="s">
        <v>251</v>
      </c>
      <c r="E1036" s="739"/>
      <c r="F1036" s="739" t="s">
        <v>251</v>
      </c>
      <c r="G1036" s="739" t="s">
        <v>251</v>
      </c>
      <c r="H1036" s="739" t="s">
        <v>251</v>
      </c>
      <c r="I1036" s="739" t="s">
        <v>251</v>
      </c>
      <c r="J1036" s="739" t="s">
        <v>251</v>
      </c>
      <c r="K1036" s="739"/>
      <c r="L1036" s="739" t="s">
        <v>251</v>
      </c>
      <c r="M1036" s="739" t="s">
        <v>251</v>
      </c>
      <c r="N1036" s="739" t="s">
        <v>251</v>
      </c>
      <c r="O1036" s="739" t="s">
        <v>251</v>
      </c>
      <c r="P1036" s="1497">
        <f t="shared" si="82"/>
        <v>0</v>
      </c>
      <c r="Q1036" s="1135">
        <f t="shared" si="83"/>
        <v>0</v>
      </c>
      <c r="R1036" s="738"/>
      <c r="S1036" s="739"/>
      <c r="T1036" s="739"/>
      <c r="U1036" s="739"/>
      <c r="V1036" s="739"/>
      <c r="W1036" s="739"/>
      <c r="X1036" s="739"/>
      <c r="Y1036" s="739"/>
      <c r="Z1036" s="739"/>
      <c r="AA1036" s="739"/>
      <c r="AB1036" s="739"/>
      <c r="AC1036" s="739"/>
      <c r="AD1036" s="1135">
        <f t="shared" si="84"/>
        <v>0</v>
      </c>
      <c r="AE1036" s="584">
        <f t="shared" si="85"/>
        <v>0</v>
      </c>
      <c r="AF1036" s="585">
        <f t="shared" si="86"/>
        <v>983</v>
      </c>
    </row>
    <row r="1037" spans="1:32" x14ac:dyDescent="0.3">
      <c r="A1037" s="16" t="s">
        <v>1347</v>
      </c>
      <c r="B1037" s="658" t="s">
        <v>447</v>
      </c>
      <c r="C1037" s="738"/>
      <c r="D1037" s="739" t="s">
        <v>251</v>
      </c>
      <c r="E1037" s="739"/>
      <c r="F1037" s="739" t="s">
        <v>251</v>
      </c>
      <c r="G1037" s="739" t="s">
        <v>251</v>
      </c>
      <c r="H1037" s="739" t="s">
        <v>251</v>
      </c>
      <c r="I1037" s="739" t="s">
        <v>251</v>
      </c>
      <c r="J1037" s="739" t="s">
        <v>251</v>
      </c>
      <c r="K1037" s="739"/>
      <c r="L1037" s="739" t="s">
        <v>251</v>
      </c>
      <c r="M1037" s="739" t="s">
        <v>251</v>
      </c>
      <c r="N1037" s="739" t="s">
        <v>251</v>
      </c>
      <c r="O1037" s="739" t="s">
        <v>251</v>
      </c>
      <c r="P1037" s="1497">
        <f t="shared" si="82"/>
        <v>0</v>
      </c>
      <c r="Q1037" s="1135">
        <f t="shared" si="83"/>
        <v>0</v>
      </c>
      <c r="R1037" s="738"/>
      <c r="S1037" s="739"/>
      <c r="T1037" s="739"/>
      <c r="U1037" s="739"/>
      <c r="V1037" s="739"/>
      <c r="W1037" s="739"/>
      <c r="X1037" s="739"/>
      <c r="Y1037" s="739"/>
      <c r="Z1037" s="739"/>
      <c r="AA1037" s="739"/>
      <c r="AB1037" s="739"/>
      <c r="AC1037" s="739"/>
      <c r="AD1037" s="1135">
        <f t="shared" si="84"/>
        <v>0</v>
      </c>
      <c r="AE1037" s="584">
        <f t="shared" si="85"/>
        <v>0</v>
      </c>
      <c r="AF1037" s="585">
        <f t="shared" si="86"/>
        <v>983</v>
      </c>
    </row>
    <row r="1038" spans="1:32" x14ac:dyDescent="0.3">
      <c r="A1038" s="16" t="s">
        <v>1347</v>
      </c>
      <c r="B1038" s="658" t="s">
        <v>816</v>
      </c>
      <c r="C1038" s="738"/>
      <c r="D1038" s="739" t="s">
        <v>251</v>
      </c>
      <c r="E1038" s="739"/>
      <c r="F1038" s="739" t="s">
        <v>251</v>
      </c>
      <c r="G1038" s="739" t="s">
        <v>251</v>
      </c>
      <c r="H1038" s="739" t="s">
        <v>251</v>
      </c>
      <c r="I1038" s="739" t="s">
        <v>251</v>
      </c>
      <c r="J1038" s="739" t="s">
        <v>251</v>
      </c>
      <c r="K1038" s="739"/>
      <c r="L1038" s="739" t="s">
        <v>251</v>
      </c>
      <c r="M1038" s="739" t="s">
        <v>251</v>
      </c>
      <c r="N1038" s="739" t="s">
        <v>251</v>
      </c>
      <c r="O1038" s="739" t="s">
        <v>251</v>
      </c>
      <c r="P1038" s="1497">
        <f t="shared" si="82"/>
        <v>0</v>
      </c>
      <c r="Q1038" s="1135">
        <f t="shared" si="83"/>
        <v>0</v>
      </c>
      <c r="R1038" s="738"/>
      <c r="S1038" s="739"/>
      <c r="T1038" s="739"/>
      <c r="U1038" s="739"/>
      <c r="V1038" s="739"/>
      <c r="W1038" s="739"/>
      <c r="X1038" s="739"/>
      <c r="Y1038" s="739"/>
      <c r="Z1038" s="739"/>
      <c r="AA1038" s="739"/>
      <c r="AB1038" s="739"/>
      <c r="AC1038" s="739"/>
      <c r="AD1038" s="1135">
        <f t="shared" si="84"/>
        <v>0</v>
      </c>
      <c r="AE1038" s="584">
        <f t="shared" si="85"/>
        <v>0</v>
      </c>
      <c r="AF1038" s="585">
        <f t="shared" si="86"/>
        <v>983</v>
      </c>
    </row>
    <row r="1039" spans="1:32" x14ac:dyDescent="0.3">
      <c r="A1039" s="16" t="s">
        <v>1347</v>
      </c>
      <c r="B1039" s="658" t="s">
        <v>1161</v>
      </c>
      <c r="C1039" s="738"/>
      <c r="D1039" s="739" t="s">
        <v>251</v>
      </c>
      <c r="E1039" s="739"/>
      <c r="F1039" s="739" t="s">
        <v>251</v>
      </c>
      <c r="G1039" s="739" t="s">
        <v>251</v>
      </c>
      <c r="H1039" s="739" t="s">
        <v>251</v>
      </c>
      <c r="I1039" s="739" t="s">
        <v>251</v>
      </c>
      <c r="J1039" s="739" t="s">
        <v>251</v>
      </c>
      <c r="K1039" s="739"/>
      <c r="L1039" s="739" t="s">
        <v>251</v>
      </c>
      <c r="M1039" s="739" t="s">
        <v>251</v>
      </c>
      <c r="N1039" s="739" t="s">
        <v>251</v>
      </c>
      <c r="O1039" s="739" t="s">
        <v>251</v>
      </c>
      <c r="P1039" s="1497">
        <f t="shared" si="82"/>
        <v>0</v>
      </c>
      <c r="Q1039" s="1135">
        <f t="shared" si="83"/>
        <v>0</v>
      </c>
      <c r="R1039" s="738"/>
      <c r="S1039" s="739"/>
      <c r="T1039" s="739"/>
      <c r="U1039" s="739"/>
      <c r="V1039" s="739"/>
      <c r="W1039" s="739"/>
      <c r="X1039" s="739"/>
      <c r="Y1039" s="739"/>
      <c r="Z1039" s="739"/>
      <c r="AA1039" s="739"/>
      <c r="AB1039" s="739"/>
      <c r="AC1039" s="739"/>
      <c r="AD1039" s="1135">
        <f t="shared" si="84"/>
        <v>0</v>
      </c>
      <c r="AE1039" s="584">
        <f t="shared" si="85"/>
        <v>0</v>
      </c>
      <c r="AF1039" s="585">
        <f t="shared" si="86"/>
        <v>983</v>
      </c>
    </row>
    <row r="1040" spans="1:32" x14ac:dyDescent="0.3">
      <c r="A1040" s="16" t="s">
        <v>1347</v>
      </c>
      <c r="B1040" s="658" t="s">
        <v>823</v>
      </c>
      <c r="C1040" s="738"/>
      <c r="D1040" s="739" t="s">
        <v>251</v>
      </c>
      <c r="E1040" s="739"/>
      <c r="F1040" s="739" t="s">
        <v>251</v>
      </c>
      <c r="G1040" s="739" t="s">
        <v>251</v>
      </c>
      <c r="H1040" s="739" t="s">
        <v>251</v>
      </c>
      <c r="I1040" s="739" t="s">
        <v>251</v>
      </c>
      <c r="J1040" s="739" t="s">
        <v>251</v>
      </c>
      <c r="K1040" s="739"/>
      <c r="L1040" s="739" t="s">
        <v>251</v>
      </c>
      <c r="M1040" s="739" t="s">
        <v>251</v>
      </c>
      <c r="N1040" s="739" t="s">
        <v>251</v>
      </c>
      <c r="O1040" s="739" t="s">
        <v>251</v>
      </c>
      <c r="P1040" s="1497">
        <f t="shared" si="82"/>
        <v>0</v>
      </c>
      <c r="Q1040" s="1135">
        <f t="shared" si="83"/>
        <v>0</v>
      </c>
      <c r="R1040" s="738"/>
      <c r="S1040" s="739"/>
      <c r="T1040" s="739"/>
      <c r="U1040" s="739"/>
      <c r="V1040" s="739"/>
      <c r="W1040" s="739"/>
      <c r="X1040" s="739"/>
      <c r="Y1040" s="739"/>
      <c r="Z1040" s="739"/>
      <c r="AA1040" s="739"/>
      <c r="AB1040" s="739"/>
      <c r="AC1040" s="739"/>
      <c r="AD1040" s="1135">
        <f t="shared" si="84"/>
        <v>0</v>
      </c>
      <c r="AE1040" s="584">
        <f t="shared" si="85"/>
        <v>0</v>
      </c>
      <c r="AF1040" s="585">
        <f t="shared" si="86"/>
        <v>983</v>
      </c>
    </row>
    <row r="1041" spans="1:32" x14ac:dyDescent="0.3">
      <c r="A1041" s="16" t="s">
        <v>1347</v>
      </c>
      <c r="B1041" s="658" t="s">
        <v>1352</v>
      </c>
      <c r="C1041" s="738"/>
      <c r="D1041" s="739" t="s">
        <v>251</v>
      </c>
      <c r="E1041" s="739"/>
      <c r="F1041" s="739" t="s">
        <v>251</v>
      </c>
      <c r="G1041" s="739" t="s">
        <v>251</v>
      </c>
      <c r="H1041" s="739" t="s">
        <v>251</v>
      </c>
      <c r="I1041" s="739" t="s">
        <v>251</v>
      </c>
      <c r="J1041" s="739" t="s">
        <v>251</v>
      </c>
      <c r="K1041" s="739"/>
      <c r="L1041" s="739" t="s">
        <v>251</v>
      </c>
      <c r="M1041" s="739" t="s">
        <v>251</v>
      </c>
      <c r="N1041" s="739" t="s">
        <v>251</v>
      </c>
      <c r="O1041" s="739" t="s">
        <v>251</v>
      </c>
      <c r="P1041" s="1497">
        <f t="shared" si="82"/>
        <v>0</v>
      </c>
      <c r="Q1041" s="1135">
        <f t="shared" si="83"/>
        <v>0</v>
      </c>
      <c r="R1041" s="738"/>
      <c r="S1041" s="739"/>
      <c r="T1041" s="739"/>
      <c r="U1041" s="739"/>
      <c r="V1041" s="739"/>
      <c r="W1041" s="739"/>
      <c r="X1041" s="739"/>
      <c r="Y1041" s="739"/>
      <c r="Z1041" s="739"/>
      <c r="AA1041" s="739"/>
      <c r="AB1041" s="739"/>
      <c r="AC1041" s="739"/>
      <c r="AD1041" s="1135">
        <f t="shared" si="84"/>
        <v>0</v>
      </c>
      <c r="AE1041" s="584">
        <f t="shared" si="85"/>
        <v>0</v>
      </c>
      <c r="AF1041" s="585">
        <f t="shared" si="86"/>
        <v>983</v>
      </c>
    </row>
    <row r="1042" spans="1:32" x14ac:dyDescent="0.3">
      <c r="A1042" s="16" t="s">
        <v>1347</v>
      </c>
      <c r="B1042" s="658" t="s">
        <v>854</v>
      </c>
      <c r="C1042" s="738"/>
      <c r="D1042" s="739" t="s">
        <v>251</v>
      </c>
      <c r="E1042" s="739"/>
      <c r="F1042" s="739" t="s">
        <v>251</v>
      </c>
      <c r="G1042" s="739" t="s">
        <v>251</v>
      </c>
      <c r="H1042" s="739" t="s">
        <v>251</v>
      </c>
      <c r="I1042" s="739" t="s">
        <v>251</v>
      </c>
      <c r="J1042" s="739" t="s">
        <v>251</v>
      </c>
      <c r="K1042" s="739"/>
      <c r="L1042" s="739" t="s">
        <v>251</v>
      </c>
      <c r="M1042" s="739" t="s">
        <v>251</v>
      </c>
      <c r="N1042" s="739" t="s">
        <v>251</v>
      </c>
      <c r="O1042" s="739" t="s">
        <v>251</v>
      </c>
      <c r="P1042" s="1497">
        <f t="shared" si="82"/>
        <v>0</v>
      </c>
      <c r="Q1042" s="1135">
        <f t="shared" si="83"/>
        <v>0</v>
      </c>
      <c r="R1042" s="738"/>
      <c r="S1042" s="739"/>
      <c r="T1042" s="739"/>
      <c r="U1042" s="739"/>
      <c r="V1042" s="739"/>
      <c r="W1042" s="739"/>
      <c r="X1042" s="739"/>
      <c r="Y1042" s="739"/>
      <c r="Z1042" s="739"/>
      <c r="AA1042" s="739"/>
      <c r="AB1042" s="739"/>
      <c r="AC1042" s="739"/>
      <c r="AD1042" s="1135">
        <f t="shared" si="84"/>
        <v>0</v>
      </c>
      <c r="AE1042" s="584">
        <f t="shared" si="85"/>
        <v>0</v>
      </c>
      <c r="AF1042" s="585">
        <f t="shared" si="86"/>
        <v>983</v>
      </c>
    </row>
    <row r="1043" spans="1:32" x14ac:dyDescent="0.3">
      <c r="A1043" s="16" t="s">
        <v>1347</v>
      </c>
      <c r="B1043" s="658" t="s">
        <v>1010</v>
      </c>
      <c r="C1043" s="738"/>
      <c r="D1043" s="739" t="s">
        <v>251</v>
      </c>
      <c r="E1043" s="739"/>
      <c r="F1043" s="739" t="s">
        <v>251</v>
      </c>
      <c r="G1043" s="739" t="s">
        <v>251</v>
      </c>
      <c r="H1043" s="739" t="s">
        <v>251</v>
      </c>
      <c r="I1043" s="739" t="s">
        <v>251</v>
      </c>
      <c r="J1043" s="739" t="s">
        <v>251</v>
      </c>
      <c r="K1043" s="739"/>
      <c r="L1043" s="739" t="s">
        <v>251</v>
      </c>
      <c r="M1043" s="739" t="s">
        <v>251</v>
      </c>
      <c r="N1043" s="739" t="s">
        <v>251</v>
      </c>
      <c r="O1043" s="739" t="s">
        <v>251</v>
      </c>
      <c r="P1043" s="1497">
        <f t="shared" ref="P1043:P1107" si="87">SUM(C1043:I1043,K1043)</f>
        <v>0</v>
      </c>
      <c r="Q1043" s="1135">
        <f t="shared" ref="Q1043:Q1107" si="88">SUM(C1043:J1043,L1043:O1043)</f>
        <v>0</v>
      </c>
      <c r="R1043" s="738"/>
      <c r="S1043" s="739"/>
      <c r="T1043" s="739"/>
      <c r="U1043" s="739"/>
      <c r="V1043" s="739"/>
      <c r="W1043" s="739"/>
      <c r="X1043" s="739"/>
      <c r="Y1043" s="739"/>
      <c r="Z1043" s="739"/>
      <c r="AA1043" s="739"/>
      <c r="AB1043" s="739"/>
      <c r="AC1043" s="739"/>
      <c r="AD1043" s="1135">
        <f t="shared" si="84"/>
        <v>0</v>
      </c>
      <c r="AE1043" s="584">
        <f t="shared" si="85"/>
        <v>0</v>
      </c>
      <c r="AF1043" s="585">
        <f t="shared" si="86"/>
        <v>983</v>
      </c>
    </row>
    <row r="1044" spans="1:32" x14ac:dyDescent="0.3">
      <c r="A1044" s="16" t="s">
        <v>1347</v>
      </c>
      <c r="B1044" s="658" t="s">
        <v>2145</v>
      </c>
      <c r="C1044" s="738"/>
      <c r="D1044" s="739">
        <v>0</v>
      </c>
      <c r="E1044" s="739"/>
      <c r="F1044" s="739">
        <v>0</v>
      </c>
      <c r="G1044" s="739">
        <v>0</v>
      </c>
      <c r="H1044" s="739">
        <v>117600</v>
      </c>
      <c r="I1044" s="739">
        <v>0</v>
      </c>
      <c r="J1044" s="739">
        <v>0</v>
      </c>
      <c r="K1044" s="739">
        <v>0</v>
      </c>
      <c r="L1044" s="739">
        <v>0</v>
      </c>
      <c r="M1044" s="739">
        <v>0</v>
      </c>
      <c r="N1044" s="739">
        <v>0</v>
      </c>
      <c r="O1044" s="739" t="s">
        <v>251</v>
      </c>
      <c r="P1044" s="1497">
        <f t="shared" si="87"/>
        <v>117600</v>
      </c>
      <c r="Q1044" s="1135">
        <f t="shared" si="88"/>
        <v>117600</v>
      </c>
      <c r="R1044" s="738"/>
      <c r="S1044" s="739"/>
      <c r="T1044" s="739"/>
      <c r="U1044" s="739"/>
      <c r="V1044" s="739"/>
      <c r="W1044" s="739"/>
      <c r="X1044" s="739"/>
      <c r="Y1044" s="739"/>
      <c r="Z1044" s="739"/>
      <c r="AA1044" s="739"/>
      <c r="AB1044" s="739"/>
      <c r="AC1044" s="739"/>
      <c r="AD1044" s="1135">
        <f t="shared" si="84"/>
        <v>0</v>
      </c>
      <c r="AE1044" s="584">
        <f t="shared" si="85"/>
        <v>-1</v>
      </c>
      <c r="AF1044" s="585">
        <f t="shared" si="86"/>
        <v>983</v>
      </c>
    </row>
    <row r="1045" spans="1:32" x14ac:dyDescent="0.3">
      <c r="A1045" s="16" t="s">
        <v>1347</v>
      </c>
      <c r="B1045" s="658" t="s">
        <v>2146</v>
      </c>
      <c r="C1045" s="738"/>
      <c r="D1045" s="739">
        <v>0</v>
      </c>
      <c r="E1045" s="739"/>
      <c r="F1045" s="739">
        <v>0</v>
      </c>
      <c r="G1045" s="739">
        <v>0</v>
      </c>
      <c r="H1045" s="739">
        <v>0</v>
      </c>
      <c r="I1045" s="739">
        <v>0</v>
      </c>
      <c r="J1045" s="739">
        <v>0</v>
      </c>
      <c r="K1045" s="739"/>
      <c r="L1045" s="739">
        <v>265500</v>
      </c>
      <c r="M1045" s="739">
        <v>591000</v>
      </c>
      <c r="N1045" s="739">
        <v>232000</v>
      </c>
      <c r="O1045" s="739" t="s">
        <v>251</v>
      </c>
      <c r="P1045" s="1497">
        <f t="shared" si="87"/>
        <v>0</v>
      </c>
      <c r="Q1045" s="1135">
        <f t="shared" si="88"/>
        <v>1088500</v>
      </c>
      <c r="R1045" s="738"/>
      <c r="S1045" s="739"/>
      <c r="T1045" s="739"/>
      <c r="U1045" s="739"/>
      <c r="V1045" s="739"/>
      <c r="W1045" s="739"/>
      <c r="X1045" s="739"/>
      <c r="Y1045" s="739"/>
      <c r="Z1045" s="739"/>
      <c r="AA1045" s="739"/>
      <c r="AB1045" s="739"/>
      <c r="AC1045" s="739"/>
      <c r="AD1045" s="1135">
        <f t="shared" si="84"/>
        <v>0</v>
      </c>
      <c r="AE1045" s="584">
        <f t="shared" si="85"/>
        <v>0</v>
      </c>
      <c r="AF1045" s="585">
        <f t="shared" si="86"/>
        <v>983</v>
      </c>
    </row>
    <row r="1046" spans="1:32" x14ac:dyDescent="0.3">
      <c r="A1046" s="16" t="s">
        <v>1347</v>
      </c>
      <c r="B1046" s="658" t="s">
        <v>2147</v>
      </c>
      <c r="C1046" s="738"/>
      <c r="D1046" s="739" t="s">
        <v>251</v>
      </c>
      <c r="E1046" s="739"/>
      <c r="F1046" s="739">
        <v>0</v>
      </c>
      <c r="G1046" s="739" t="s">
        <v>251</v>
      </c>
      <c r="H1046" s="739" t="s">
        <v>251</v>
      </c>
      <c r="I1046" s="739" t="s">
        <v>251</v>
      </c>
      <c r="J1046" s="739">
        <v>0</v>
      </c>
      <c r="K1046" s="739"/>
      <c r="L1046" s="739">
        <v>454300</v>
      </c>
      <c r="M1046" s="739">
        <v>7800</v>
      </c>
      <c r="N1046" s="739">
        <v>23400</v>
      </c>
      <c r="O1046" s="739" t="s">
        <v>251</v>
      </c>
      <c r="P1046" s="1497">
        <f t="shared" si="87"/>
        <v>0</v>
      </c>
      <c r="Q1046" s="1135">
        <f t="shared" si="88"/>
        <v>485500</v>
      </c>
      <c r="R1046" s="738"/>
      <c r="S1046" s="739"/>
      <c r="T1046" s="739"/>
      <c r="U1046" s="739"/>
      <c r="V1046" s="739"/>
      <c r="W1046" s="739"/>
      <c r="X1046" s="739"/>
      <c r="Y1046" s="739"/>
      <c r="Z1046" s="739"/>
      <c r="AA1046" s="739"/>
      <c r="AB1046" s="739"/>
      <c r="AC1046" s="739"/>
      <c r="AD1046" s="1135">
        <f t="shared" si="84"/>
        <v>0</v>
      </c>
      <c r="AE1046" s="584">
        <f t="shared" si="85"/>
        <v>0</v>
      </c>
      <c r="AF1046" s="585">
        <f t="shared" si="86"/>
        <v>983</v>
      </c>
    </row>
    <row r="1047" spans="1:32" x14ac:dyDescent="0.3">
      <c r="A1047" s="16" t="s">
        <v>1347</v>
      </c>
      <c r="B1047" s="658" t="s">
        <v>2019</v>
      </c>
      <c r="C1047" s="738"/>
      <c r="D1047" s="739">
        <v>0</v>
      </c>
      <c r="E1047" s="739"/>
      <c r="F1047" s="739">
        <v>0</v>
      </c>
      <c r="G1047" s="739">
        <v>0</v>
      </c>
      <c r="H1047" s="739">
        <v>0</v>
      </c>
      <c r="I1047" s="739">
        <v>0</v>
      </c>
      <c r="J1047" s="739">
        <v>0</v>
      </c>
      <c r="K1047" s="739"/>
      <c r="L1047" s="739">
        <v>208400</v>
      </c>
      <c r="M1047" s="739">
        <v>0</v>
      </c>
      <c r="N1047" s="739">
        <v>112000</v>
      </c>
      <c r="O1047" s="739" t="s">
        <v>251</v>
      </c>
      <c r="P1047" s="1497">
        <f t="shared" si="87"/>
        <v>0</v>
      </c>
      <c r="Q1047" s="1135">
        <f t="shared" si="88"/>
        <v>320400</v>
      </c>
      <c r="R1047" s="738"/>
      <c r="S1047" s="739"/>
      <c r="T1047" s="739"/>
      <c r="U1047" s="739"/>
      <c r="V1047" s="739"/>
      <c r="W1047" s="739"/>
      <c r="X1047" s="739"/>
      <c r="Y1047" s="739"/>
      <c r="Z1047" s="739"/>
      <c r="AA1047" s="739"/>
      <c r="AB1047" s="739"/>
      <c r="AC1047" s="739"/>
      <c r="AD1047" s="1135">
        <f t="shared" si="84"/>
        <v>0</v>
      </c>
      <c r="AE1047" s="584">
        <f t="shared" si="85"/>
        <v>0</v>
      </c>
      <c r="AF1047" s="585">
        <f t="shared" si="86"/>
        <v>983</v>
      </c>
    </row>
    <row r="1048" spans="1:32" x14ac:dyDescent="0.3">
      <c r="A1048" s="16" t="s">
        <v>1347</v>
      </c>
      <c r="B1048" s="658" t="s">
        <v>2148</v>
      </c>
      <c r="C1048" s="738"/>
      <c r="D1048" s="739">
        <v>0</v>
      </c>
      <c r="E1048" s="739"/>
      <c r="F1048" s="739">
        <v>0</v>
      </c>
      <c r="G1048" s="739">
        <v>0</v>
      </c>
      <c r="H1048" s="739">
        <v>0</v>
      </c>
      <c r="I1048" s="739">
        <v>0</v>
      </c>
      <c r="J1048" s="739">
        <v>0</v>
      </c>
      <c r="K1048" s="739"/>
      <c r="L1048" s="739">
        <v>9800</v>
      </c>
      <c r="M1048" s="739">
        <v>0</v>
      </c>
      <c r="N1048" s="739">
        <v>0</v>
      </c>
      <c r="O1048" s="739" t="s">
        <v>251</v>
      </c>
      <c r="P1048" s="1497">
        <f t="shared" si="87"/>
        <v>0</v>
      </c>
      <c r="Q1048" s="1135">
        <f t="shared" si="88"/>
        <v>9800</v>
      </c>
      <c r="R1048" s="738"/>
      <c r="S1048" s="739"/>
      <c r="T1048" s="739"/>
      <c r="U1048" s="739"/>
      <c r="V1048" s="739"/>
      <c r="W1048" s="739"/>
      <c r="X1048" s="739"/>
      <c r="Y1048" s="739"/>
      <c r="Z1048" s="739"/>
      <c r="AA1048" s="739"/>
      <c r="AB1048" s="739"/>
      <c r="AC1048" s="739"/>
      <c r="AD1048" s="1135">
        <f t="shared" si="84"/>
        <v>0</v>
      </c>
      <c r="AE1048" s="584">
        <f t="shared" si="85"/>
        <v>0</v>
      </c>
      <c r="AF1048" s="585">
        <f t="shared" si="86"/>
        <v>983</v>
      </c>
    </row>
    <row r="1049" spans="1:32" x14ac:dyDescent="0.3">
      <c r="A1049" s="16" t="s">
        <v>1347</v>
      </c>
      <c r="B1049" s="658" t="s">
        <v>1405</v>
      </c>
      <c r="C1049" s="738"/>
      <c r="D1049" s="739">
        <v>0</v>
      </c>
      <c r="E1049" s="739"/>
      <c r="F1049" s="739">
        <v>0</v>
      </c>
      <c r="G1049" s="739">
        <v>0</v>
      </c>
      <c r="H1049" s="739">
        <v>0</v>
      </c>
      <c r="I1049" s="739">
        <v>0</v>
      </c>
      <c r="J1049" s="739">
        <v>0</v>
      </c>
      <c r="K1049" s="739"/>
      <c r="L1049" s="739">
        <v>1580200</v>
      </c>
      <c r="M1049" s="739">
        <v>450300</v>
      </c>
      <c r="N1049" s="739">
        <v>177000</v>
      </c>
      <c r="O1049" s="739" t="s">
        <v>251</v>
      </c>
      <c r="P1049" s="1497">
        <f t="shared" si="87"/>
        <v>0</v>
      </c>
      <c r="Q1049" s="1135">
        <f t="shared" si="88"/>
        <v>2207500</v>
      </c>
      <c r="R1049" s="738"/>
      <c r="S1049" s="739"/>
      <c r="T1049" s="739"/>
      <c r="U1049" s="739">
        <v>3089300</v>
      </c>
      <c r="V1049" s="739">
        <v>456300</v>
      </c>
      <c r="W1049" s="739">
        <v>0</v>
      </c>
      <c r="X1049" s="739">
        <v>0</v>
      </c>
      <c r="Y1049" s="739">
        <v>0</v>
      </c>
      <c r="Z1049" s="739"/>
      <c r="AA1049" s="739"/>
      <c r="AB1049" s="739"/>
      <c r="AC1049" s="739"/>
      <c r="AD1049" s="1135">
        <f t="shared" si="84"/>
        <v>3545600</v>
      </c>
      <c r="AE1049" s="584">
        <f t="shared" si="85"/>
        <v>1</v>
      </c>
      <c r="AF1049" s="585">
        <f t="shared" si="86"/>
        <v>131</v>
      </c>
    </row>
    <row r="1050" spans="1:32" x14ac:dyDescent="0.3">
      <c r="A1050" s="16" t="s">
        <v>1347</v>
      </c>
      <c r="B1050" s="658" t="s">
        <v>2149</v>
      </c>
      <c r="C1050" s="738"/>
      <c r="D1050" s="739">
        <v>0</v>
      </c>
      <c r="E1050" s="739"/>
      <c r="F1050" s="739">
        <v>0</v>
      </c>
      <c r="G1050" s="739">
        <v>0</v>
      </c>
      <c r="H1050" s="739">
        <v>0</v>
      </c>
      <c r="I1050" s="739">
        <v>0</v>
      </c>
      <c r="J1050" s="739">
        <v>0</v>
      </c>
      <c r="K1050" s="739"/>
      <c r="L1050" s="739">
        <v>0</v>
      </c>
      <c r="M1050" s="739">
        <v>570000</v>
      </c>
      <c r="N1050" s="739">
        <v>0</v>
      </c>
      <c r="O1050" s="739" t="s">
        <v>251</v>
      </c>
      <c r="P1050" s="1497">
        <f t="shared" si="87"/>
        <v>0</v>
      </c>
      <c r="Q1050" s="1135">
        <f t="shared" si="88"/>
        <v>570000</v>
      </c>
      <c r="R1050" s="738"/>
      <c r="S1050" s="739"/>
      <c r="T1050" s="739"/>
      <c r="U1050" s="739"/>
      <c r="V1050" s="739"/>
      <c r="W1050" s="739"/>
      <c r="X1050" s="739"/>
      <c r="Y1050" s="739"/>
      <c r="Z1050" s="739"/>
      <c r="AA1050" s="739"/>
      <c r="AB1050" s="739"/>
      <c r="AC1050" s="739"/>
      <c r="AD1050" s="1135">
        <f t="shared" si="84"/>
        <v>0</v>
      </c>
      <c r="AE1050" s="584">
        <f t="shared" si="85"/>
        <v>0</v>
      </c>
      <c r="AF1050" s="585">
        <f t="shared" si="86"/>
        <v>983</v>
      </c>
    </row>
    <row r="1051" spans="1:32" x14ac:dyDescent="0.3">
      <c r="A1051" s="16" t="s">
        <v>1347</v>
      </c>
      <c r="B1051" s="658" t="s">
        <v>2150</v>
      </c>
      <c r="C1051" s="738"/>
      <c r="D1051" s="739">
        <v>0</v>
      </c>
      <c r="E1051" s="739"/>
      <c r="F1051" s="739">
        <v>0</v>
      </c>
      <c r="G1051" s="739">
        <v>0</v>
      </c>
      <c r="H1051" s="739">
        <v>0</v>
      </c>
      <c r="I1051" s="739">
        <v>0</v>
      </c>
      <c r="J1051" s="739">
        <v>0</v>
      </c>
      <c r="K1051" s="739"/>
      <c r="L1051" s="739">
        <v>0</v>
      </c>
      <c r="M1051" s="739">
        <v>65600</v>
      </c>
      <c r="N1051" s="739">
        <v>0</v>
      </c>
      <c r="O1051" s="739" t="s">
        <v>251</v>
      </c>
      <c r="P1051" s="1497">
        <f t="shared" si="87"/>
        <v>0</v>
      </c>
      <c r="Q1051" s="1135">
        <f t="shared" si="88"/>
        <v>65600</v>
      </c>
      <c r="R1051" s="738"/>
      <c r="S1051" s="739"/>
      <c r="T1051" s="739"/>
      <c r="U1051" s="739"/>
      <c r="V1051" s="739"/>
      <c r="W1051" s="739"/>
      <c r="X1051" s="739"/>
      <c r="Y1051" s="739"/>
      <c r="Z1051" s="739"/>
      <c r="AA1051" s="739"/>
      <c r="AB1051" s="739"/>
      <c r="AC1051" s="739"/>
      <c r="AD1051" s="1135">
        <f t="shared" si="84"/>
        <v>0</v>
      </c>
      <c r="AE1051" s="584">
        <f t="shared" si="85"/>
        <v>0</v>
      </c>
      <c r="AF1051" s="585">
        <f t="shared" si="86"/>
        <v>983</v>
      </c>
    </row>
    <row r="1052" spans="1:32" x14ac:dyDescent="0.3">
      <c r="A1052" s="16" t="s">
        <v>1347</v>
      </c>
      <c r="B1052" s="658" t="s">
        <v>725</v>
      </c>
      <c r="C1052" s="738"/>
      <c r="D1052" s="739" t="s">
        <v>251</v>
      </c>
      <c r="E1052" s="739"/>
      <c r="F1052" s="739" t="s">
        <v>251</v>
      </c>
      <c r="G1052" s="739" t="s">
        <v>251</v>
      </c>
      <c r="H1052" s="739" t="s">
        <v>251</v>
      </c>
      <c r="I1052" s="739" t="s">
        <v>251</v>
      </c>
      <c r="J1052" s="739" t="s">
        <v>251</v>
      </c>
      <c r="K1052" s="739"/>
      <c r="L1052" s="739" t="s">
        <v>251</v>
      </c>
      <c r="M1052" s="739" t="s">
        <v>251</v>
      </c>
      <c r="N1052" s="739" t="s">
        <v>251</v>
      </c>
      <c r="O1052" s="739" t="s">
        <v>251</v>
      </c>
      <c r="P1052" s="1497">
        <f t="shared" si="87"/>
        <v>0</v>
      </c>
      <c r="Q1052" s="1135">
        <f t="shared" si="88"/>
        <v>0</v>
      </c>
      <c r="R1052" s="738"/>
      <c r="S1052" s="739"/>
      <c r="T1052" s="739"/>
      <c r="U1052" s="739"/>
      <c r="V1052" s="739"/>
      <c r="W1052" s="739"/>
      <c r="X1052" s="739"/>
      <c r="Y1052" s="739"/>
      <c r="Z1052" s="739"/>
      <c r="AA1052" s="739"/>
      <c r="AB1052" s="739"/>
      <c r="AC1052" s="739"/>
      <c r="AD1052" s="1135">
        <f t="shared" si="84"/>
        <v>0</v>
      </c>
      <c r="AE1052" s="584">
        <f t="shared" si="85"/>
        <v>0</v>
      </c>
      <c r="AF1052" s="585">
        <f t="shared" si="86"/>
        <v>983</v>
      </c>
    </row>
    <row r="1053" spans="1:32" x14ac:dyDescent="0.3">
      <c r="A1053" s="16" t="s">
        <v>1347</v>
      </c>
      <c r="B1053" s="658" t="s">
        <v>1508</v>
      </c>
      <c r="C1053" s="738"/>
      <c r="D1053" s="739" t="s">
        <v>251</v>
      </c>
      <c r="E1053" s="739"/>
      <c r="F1053" s="739" t="s">
        <v>251</v>
      </c>
      <c r="G1053" s="739" t="s">
        <v>251</v>
      </c>
      <c r="H1053" s="739" t="s">
        <v>251</v>
      </c>
      <c r="I1053" s="739" t="s">
        <v>251</v>
      </c>
      <c r="J1053" s="739" t="s">
        <v>251</v>
      </c>
      <c r="K1053" s="739"/>
      <c r="L1053" s="739" t="s">
        <v>251</v>
      </c>
      <c r="M1053" s="739" t="s">
        <v>251</v>
      </c>
      <c r="N1053" s="739" t="s">
        <v>251</v>
      </c>
      <c r="O1053" s="739" t="s">
        <v>251</v>
      </c>
      <c r="P1053" s="1497">
        <f t="shared" si="87"/>
        <v>0</v>
      </c>
      <c r="Q1053" s="1135">
        <f t="shared" si="88"/>
        <v>0</v>
      </c>
      <c r="R1053" s="738"/>
      <c r="S1053" s="739"/>
      <c r="T1053" s="739"/>
      <c r="U1053" s="739"/>
      <c r="V1053" s="739"/>
      <c r="W1053" s="739"/>
      <c r="X1053" s="739"/>
      <c r="Y1053" s="739"/>
      <c r="Z1053" s="739"/>
      <c r="AA1053" s="739"/>
      <c r="AB1053" s="739"/>
      <c r="AC1053" s="739"/>
      <c r="AD1053" s="1135">
        <f t="shared" si="84"/>
        <v>0</v>
      </c>
      <c r="AE1053" s="584">
        <f t="shared" si="85"/>
        <v>0</v>
      </c>
      <c r="AF1053" s="585">
        <f t="shared" si="86"/>
        <v>983</v>
      </c>
    </row>
    <row r="1054" spans="1:32" x14ac:dyDescent="0.3">
      <c r="A1054" s="16" t="s">
        <v>1347</v>
      </c>
      <c r="B1054" s="658" t="s">
        <v>2151</v>
      </c>
      <c r="C1054" s="738"/>
      <c r="D1054" s="739" t="s">
        <v>251</v>
      </c>
      <c r="E1054" s="739"/>
      <c r="F1054" s="739" t="s">
        <v>251</v>
      </c>
      <c r="G1054" s="739" t="s">
        <v>251</v>
      </c>
      <c r="H1054" s="739" t="s">
        <v>251</v>
      </c>
      <c r="I1054" s="739" t="s">
        <v>251</v>
      </c>
      <c r="J1054" s="739" t="s">
        <v>251</v>
      </c>
      <c r="K1054" s="739"/>
      <c r="L1054" s="739" t="s">
        <v>251</v>
      </c>
      <c r="M1054" s="739" t="s">
        <v>251</v>
      </c>
      <c r="N1054" s="739" t="s">
        <v>251</v>
      </c>
      <c r="O1054" s="739" t="s">
        <v>251</v>
      </c>
      <c r="P1054" s="1497">
        <f t="shared" si="87"/>
        <v>0</v>
      </c>
      <c r="Q1054" s="1135">
        <f t="shared" si="88"/>
        <v>0</v>
      </c>
      <c r="R1054" s="738"/>
      <c r="S1054" s="739"/>
      <c r="T1054" s="739"/>
      <c r="U1054" s="739"/>
      <c r="V1054" s="739"/>
      <c r="W1054" s="739"/>
      <c r="X1054" s="739"/>
      <c r="Y1054" s="739"/>
      <c r="Z1054" s="739"/>
      <c r="AA1054" s="739"/>
      <c r="AB1054" s="739"/>
      <c r="AC1054" s="739"/>
      <c r="AD1054" s="1135">
        <f t="shared" si="84"/>
        <v>0</v>
      </c>
      <c r="AE1054" s="584">
        <f t="shared" si="85"/>
        <v>0</v>
      </c>
      <c r="AF1054" s="585">
        <f t="shared" si="86"/>
        <v>983</v>
      </c>
    </row>
    <row r="1055" spans="1:32" x14ac:dyDescent="0.3">
      <c r="A1055" s="16" t="s">
        <v>1347</v>
      </c>
      <c r="B1055" s="658" t="s">
        <v>2176</v>
      </c>
      <c r="C1055" s="738"/>
      <c r="D1055" s="739"/>
      <c r="E1055" s="739"/>
      <c r="F1055" s="739"/>
      <c r="G1055" s="739"/>
      <c r="H1055" s="739"/>
      <c r="I1055" s="739"/>
      <c r="J1055" s="739"/>
      <c r="K1055" s="739"/>
      <c r="L1055" s="739"/>
      <c r="M1055" s="739"/>
      <c r="N1055" s="739"/>
      <c r="O1055" s="739"/>
      <c r="P1055" s="1497">
        <f t="shared" si="87"/>
        <v>0</v>
      </c>
      <c r="Q1055" s="1135">
        <f t="shared" si="88"/>
        <v>0</v>
      </c>
      <c r="R1055" s="738"/>
      <c r="S1055" s="739"/>
      <c r="T1055" s="739"/>
      <c r="U1055" s="739">
        <v>300200</v>
      </c>
      <c r="V1055" s="739">
        <v>0</v>
      </c>
      <c r="W1055" s="739">
        <v>489600</v>
      </c>
      <c r="X1055" s="739">
        <v>87500</v>
      </c>
      <c r="Y1055" s="739">
        <v>0</v>
      </c>
      <c r="Z1055" s="739"/>
      <c r="AA1055" s="739"/>
      <c r="AB1055" s="739"/>
      <c r="AC1055" s="739"/>
      <c r="AD1055" s="1135">
        <f t="shared" si="84"/>
        <v>877300</v>
      </c>
      <c r="AE1055" s="584">
        <f t="shared" si="85"/>
        <v>1</v>
      </c>
      <c r="AF1055" s="585">
        <f t="shared" si="86"/>
        <v>341</v>
      </c>
    </row>
    <row r="1056" spans="1:32" x14ac:dyDescent="0.3">
      <c r="A1056" s="16" t="s">
        <v>1347</v>
      </c>
      <c r="B1056" s="658" t="s">
        <v>886</v>
      </c>
      <c r="C1056" s="738"/>
      <c r="D1056" s="739"/>
      <c r="E1056" s="739"/>
      <c r="F1056" s="739"/>
      <c r="G1056" s="739"/>
      <c r="H1056" s="739"/>
      <c r="I1056" s="739"/>
      <c r="J1056" s="739"/>
      <c r="K1056" s="739"/>
      <c r="L1056" s="739"/>
      <c r="M1056" s="739"/>
      <c r="N1056" s="739"/>
      <c r="O1056" s="739"/>
      <c r="P1056" s="1497">
        <f t="shared" si="87"/>
        <v>0</v>
      </c>
      <c r="Q1056" s="1135">
        <f t="shared" si="88"/>
        <v>0</v>
      </c>
      <c r="R1056" s="738"/>
      <c r="S1056" s="739"/>
      <c r="T1056" s="739"/>
      <c r="U1056" s="739"/>
      <c r="V1056" s="739"/>
      <c r="W1056" s="739"/>
      <c r="X1056" s="739">
        <v>20000</v>
      </c>
      <c r="Y1056" s="739">
        <v>0</v>
      </c>
      <c r="Z1056" s="739"/>
      <c r="AA1056" s="739"/>
      <c r="AB1056" s="739"/>
      <c r="AC1056" s="739"/>
      <c r="AD1056" s="1135">
        <f t="shared" si="84"/>
        <v>20000</v>
      </c>
      <c r="AE1056" s="584">
        <f t="shared" si="85"/>
        <v>1</v>
      </c>
      <c r="AF1056" s="585">
        <f t="shared" si="86"/>
        <v>921</v>
      </c>
    </row>
    <row r="1057" spans="1:32" x14ac:dyDescent="0.3">
      <c r="A1057" s="16" t="s">
        <v>1347</v>
      </c>
      <c r="B1057" s="658" t="s">
        <v>2398</v>
      </c>
      <c r="C1057" s="738"/>
      <c r="D1057" s="739"/>
      <c r="E1057" s="739"/>
      <c r="F1057" s="739"/>
      <c r="G1057" s="739"/>
      <c r="H1057" s="739"/>
      <c r="I1057" s="739"/>
      <c r="J1057" s="739"/>
      <c r="K1057" s="739"/>
      <c r="L1057" s="739"/>
      <c r="M1057" s="739"/>
      <c r="N1057" s="739"/>
      <c r="O1057" s="739"/>
      <c r="P1057" s="1497">
        <f t="shared" si="87"/>
        <v>0</v>
      </c>
      <c r="Q1057" s="1135">
        <f t="shared" si="88"/>
        <v>0</v>
      </c>
      <c r="R1057" s="738"/>
      <c r="S1057" s="739"/>
      <c r="T1057" s="739"/>
      <c r="U1057" s="739"/>
      <c r="V1057" s="739"/>
      <c r="W1057" s="739"/>
      <c r="X1057" s="739"/>
      <c r="Y1057" s="739">
        <v>1262900</v>
      </c>
      <c r="Z1057" s="739"/>
      <c r="AA1057" s="739"/>
      <c r="AB1057" s="739"/>
      <c r="AC1057" s="739"/>
      <c r="AD1057" s="1135">
        <f t="shared" si="84"/>
        <v>1262900</v>
      </c>
      <c r="AE1057" s="584">
        <f t="shared" si="85"/>
        <v>1</v>
      </c>
      <c r="AF1057" s="585">
        <f t="shared" si="86"/>
        <v>272</v>
      </c>
    </row>
    <row r="1058" spans="1:32" x14ac:dyDescent="0.3">
      <c r="A1058" s="315" t="s">
        <v>1004</v>
      </c>
      <c r="B1058" s="910" t="s">
        <v>1353</v>
      </c>
      <c r="C1058" s="760"/>
      <c r="D1058" s="761">
        <v>0</v>
      </c>
      <c r="E1058" s="761">
        <v>1550950</v>
      </c>
      <c r="F1058" s="761">
        <v>687000</v>
      </c>
      <c r="G1058" s="761">
        <v>1528010</v>
      </c>
      <c r="H1058" s="761">
        <v>48700</v>
      </c>
      <c r="I1058" s="761">
        <v>1393150</v>
      </c>
      <c r="J1058" s="761">
        <v>1015600</v>
      </c>
      <c r="K1058" s="761">
        <v>1015600</v>
      </c>
      <c r="L1058" s="761">
        <v>130400</v>
      </c>
      <c r="M1058" s="761">
        <v>16400</v>
      </c>
      <c r="N1058" s="761">
        <v>344000</v>
      </c>
      <c r="O1058" s="761">
        <v>1124750</v>
      </c>
      <c r="P1058" s="1497">
        <f t="shared" si="87"/>
        <v>6223410</v>
      </c>
      <c r="Q1058" s="1147">
        <f t="shared" si="88"/>
        <v>7838960</v>
      </c>
      <c r="R1058" s="760">
        <v>407000</v>
      </c>
      <c r="S1058" s="761">
        <v>23000</v>
      </c>
      <c r="T1058" s="761">
        <v>142200</v>
      </c>
      <c r="U1058" s="761">
        <v>124000</v>
      </c>
      <c r="V1058" s="761">
        <v>453450</v>
      </c>
      <c r="W1058" s="761">
        <v>638000</v>
      </c>
      <c r="X1058" s="761">
        <v>443700</v>
      </c>
      <c r="Y1058" s="761">
        <v>260600</v>
      </c>
      <c r="Z1058" s="761"/>
      <c r="AA1058" s="761"/>
      <c r="AB1058" s="761"/>
      <c r="AC1058" s="761"/>
      <c r="AD1058" s="1147">
        <f t="shared" si="84"/>
        <v>2491950</v>
      </c>
      <c r="AE1058" s="911">
        <f t="shared" si="85"/>
        <v>-0.59958447217843591</v>
      </c>
      <c r="AF1058" s="912">
        <f t="shared" si="86"/>
        <v>175</v>
      </c>
    </row>
    <row r="1059" spans="1:32" x14ac:dyDescent="0.3">
      <c r="A1059" s="315" t="s">
        <v>1004</v>
      </c>
      <c r="B1059" s="910" t="s">
        <v>980</v>
      </c>
      <c r="C1059" s="760">
        <v>799600</v>
      </c>
      <c r="D1059" s="761">
        <v>348800</v>
      </c>
      <c r="E1059" s="761">
        <v>377000</v>
      </c>
      <c r="F1059" s="761">
        <v>159000</v>
      </c>
      <c r="G1059" s="761">
        <v>179400</v>
      </c>
      <c r="H1059" s="761">
        <v>596000</v>
      </c>
      <c r="I1059" s="761">
        <v>1349000</v>
      </c>
      <c r="J1059" s="761">
        <v>187000</v>
      </c>
      <c r="K1059" s="761">
        <v>170000</v>
      </c>
      <c r="L1059" s="761">
        <v>107000</v>
      </c>
      <c r="M1059" s="761">
        <v>385400</v>
      </c>
      <c r="N1059" s="761">
        <v>935800</v>
      </c>
      <c r="O1059" s="761">
        <v>118600</v>
      </c>
      <c r="P1059" s="1497">
        <f t="shared" si="87"/>
        <v>3978800</v>
      </c>
      <c r="Q1059" s="1147">
        <f t="shared" si="88"/>
        <v>5542600</v>
      </c>
      <c r="R1059" s="760">
        <v>640200</v>
      </c>
      <c r="S1059" s="761">
        <v>63000</v>
      </c>
      <c r="T1059" s="761">
        <v>51000</v>
      </c>
      <c r="U1059" s="761">
        <v>0</v>
      </c>
      <c r="V1059" s="761">
        <v>0</v>
      </c>
      <c r="W1059" s="761">
        <v>431000</v>
      </c>
      <c r="X1059" s="761">
        <v>517650</v>
      </c>
      <c r="Y1059" s="761">
        <v>557200</v>
      </c>
      <c r="Z1059" s="761"/>
      <c r="AA1059" s="761"/>
      <c r="AB1059" s="761"/>
      <c r="AC1059" s="761"/>
      <c r="AD1059" s="1147">
        <f t="shared" si="84"/>
        <v>2260050</v>
      </c>
      <c r="AE1059" s="911">
        <f t="shared" si="85"/>
        <v>-0.43197697798331153</v>
      </c>
      <c r="AF1059" s="912">
        <f t="shared" si="86"/>
        <v>194</v>
      </c>
    </row>
    <row r="1060" spans="1:32" x14ac:dyDescent="0.3">
      <c r="A1060" s="315" t="s">
        <v>1004</v>
      </c>
      <c r="B1060" s="910" t="s">
        <v>1354</v>
      </c>
      <c r="C1060" s="760"/>
      <c r="D1060" s="761">
        <v>0</v>
      </c>
      <c r="E1060" s="761"/>
      <c r="F1060" s="761">
        <v>1017850</v>
      </c>
      <c r="G1060" s="761">
        <v>0</v>
      </c>
      <c r="H1060" s="761">
        <v>0</v>
      </c>
      <c r="I1060" s="761">
        <v>0</v>
      </c>
      <c r="J1060" s="761">
        <v>0</v>
      </c>
      <c r="K1060" s="761">
        <v>0</v>
      </c>
      <c r="L1060" s="761">
        <v>0</v>
      </c>
      <c r="M1060" s="761">
        <v>0</v>
      </c>
      <c r="N1060" s="761">
        <v>0</v>
      </c>
      <c r="O1060" s="761" t="s">
        <v>251</v>
      </c>
      <c r="P1060" s="1497">
        <f t="shared" si="87"/>
        <v>1017850</v>
      </c>
      <c r="Q1060" s="1147">
        <f t="shared" si="88"/>
        <v>1017850</v>
      </c>
      <c r="R1060" s="760"/>
      <c r="S1060" s="761"/>
      <c r="T1060" s="761"/>
      <c r="U1060" s="761"/>
      <c r="V1060" s="761"/>
      <c r="W1060" s="761"/>
      <c r="X1060" s="761"/>
      <c r="Y1060" s="761"/>
      <c r="Z1060" s="761"/>
      <c r="AA1060" s="761"/>
      <c r="AB1060" s="761"/>
      <c r="AC1060" s="761"/>
      <c r="AD1060" s="1147">
        <f t="shared" si="84"/>
        <v>0</v>
      </c>
      <c r="AE1060" s="911">
        <f t="shared" si="85"/>
        <v>-1</v>
      </c>
      <c r="AF1060" s="912">
        <f t="shared" si="86"/>
        <v>983</v>
      </c>
    </row>
    <row r="1061" spans="1:32" x14ac:dyDescent="0.3">
      <c r="A1061" s="315" t="s">
        <v>1004</v>
      </c>
      <c r="B1061" s="910" t="s">
        <v>888</v>
      </c>
      <c r="C1061" s="760"/>
      <c r="D1061" s="761">
        <v>0</v>
      </c>
      <c r="E1061" s="761"/>
      <c r="F1061" s="761">
        <v>0</v>
      </c>
      <c r="G1061" s="761">
        <v>334900</v>
      </c>
      <c r="H1061" s="761">
        <v>2364800</v>
      </c>
      <c r="I1061" s="761">
        <v>419200</v>
      </c>
      <c r="J1061" s="761">
        <v>48800</v>
      </c>
      <c r="K1061" s="761">
        <v>48800</v>
      </c>
      <c r="L1061" s="761">
        <v>0</v>
      </c>
      <c r="M1061" s="761">
        <v>97600</v>
      </c>
      <c r="N1061" s="761">
        <v>1404550</v>
      </c>
      <c r="O1061" s="761">
        <v>313150</v>
      </c>
      <c r="P1061" s="1497">
        <f t="shared" si="87"/>
        <v>3167700</v>
      </c>
      <c r="Q1061" s="1147">
        <f t="shared" si="88"/>
        <v>4983000</v>
      </c>
      <c r="R1061" s="760">
        <v>810800</v>
      </c>
      <c r="S1061" s="761">
        <v>259300</v>
      </c>
      <c r="T1061" s="761">
        <v>22400</v>
      </c>
      <c r="U1061" s="761">
        <v>69800</v>
      </c>
      <c r="V1061" s="761">
        <v>161800</v>
      </c>
      <c r="W1061" s="761">
        <v>309550</v>
      </c>
      <c r="X1061" s="761">
        <v>136400</v>
      </c>
      <c r="Y1061" s="761">
        <v>37400</v>
      </c>
      <c r="Z1061" s="761"/>
      <c r="AA1061" s="761"/>
      <c r="AB1061" s="761"/>
      <c r="AC1061" s="761"/>
      <c r="AD1061" s="1147">
        <f t="shared" si="84"/>
        <v>1807450</v>
      </c>
      <c r="AE1061" s="911">
        <f t="shared" si="85"/>
        <v>-0.42941250749755344</v>
      </c>
      <c r="AF1061" s="912">
        <f t="shared" si="86"/>
        <v>226</v>
      </c>
    </row>
    <row r="1062" spans="1:32" ht="15.75" customHeight="1" x14ac:dyDescent="0.3">
      <c r="A1062" s="315" t="s">
        <v>1004</v>
      </c>
      <c r="B1062" s="910" t="s">
        <v>1344</v>
      </c>
      <c r="C1062" s="760"/>
      <c r="D1062" s="761" t="s">
        <v>251</v>
      </c>
      <c r="E1062" s="761"/>
      <c r="F1062" s="761">
        <v>0</v>
      </c>
      <c r="G1062" s="761" t="s">
        <v>251</v>
      </c>
      <c r="H1062" s="761">
        <v>17200</v>
      </c>
      <c r="I1062" s="761">
        <v>34800</v>
      </c>
      <c r="J1062" s="761">
        <v>503050</v>
      </c>
      <c r="K1062" s="761">
        <v>503050</v>
      </c>
      <c r="L1062" s="761">
        <v>65400</v>
      </c>
      <c r="M1062" s="761">
        <v>0</v>
      </c>
      <c r="N1062" s="761">
        <v>0</v>
      </c>
      <c r="O1062" s="761" t="s">
        <v>251</v>
      </c>
      <c r="P1062" s="1497">
        <f t="shared" si="87"/>
        <v>555050</v>
      </c>
      <c r="Q1062" s="1147">
        <f t="shared" si="88"/>
        <v>620450</v>
      </c>
      <c r="R1062" s="760"/>
      <c r="S1062" s="761"/>
      <c r="T1062" s="761">
        <v>304600</v>
      </c>
      <c r="U1062" s="761">
        <v>0</v>
      </c>
      <c r="V1062" s="761">
        <v>0</v>
      </c>
      <c r="W1062" s="761">
        <v>395200</v>
      </c>
      <c r="X1062" s="761">
        <v>119400</v>
      </c>
      <c r="Y1062" s="761">
        <v>516600</v>
      </c>
      <c r="Z1062" s="761"/>
      <c r="AA1062" s="761"/>
      <c r="AB1062" s="761"/>
      <c r="AC1062" s="761"/>
      <c r="AD1062" s="1147">
        <f t="shared" si="84"/>
        <v>1335800</v>
      </c>
      <c r="AE1062" s="911">
        <f t="shared" si="85"/>
        <v>1.4066300333303305</v>
      </c>
      <c r="AF1062" s="912">
        <f t="shared" si="86"/>
        <v>262</v>
      </c>
    </row>
    <row r="1063" spans="1:32" ht="15.75" customHeight="1" x14ac:dyDescent="0.3">
      <c r="A1063" s="315" t="s">
        <v>1004</v>
      </c>
      <c r="B1063" s="910" t="s">
        <v>2351</v>
      </c>
      <c r="C1063" s="760"/>
      <c r="D1063" s="761" t="s">
        <v>251</v>
      </c>
      <c r="E1063" s="761"/>
      <c r="F1063" s="761" t="s">
        <v>251</v>
      </c>
      <c r="G1063" s="761" t="s">
        <v>251</v>
      </c>
      <c r="H1063" s="761" t="s">
        <v>251</v>
      </c>
      <c r="I1063" s="761" t="s">
        <v>251</v>
      </c>
      <c r="J1063" s="761" t="s">
        <v>251</v>
      </c>
      <c r="K1063" s="761"/>
      <c r="L1063" s="761" t="s">
        <v>251</v>
      </c>
      <c r="M1063" s="761" t="s">
        <v>251</v>
      </c>
      <c r="N1063" s="761"/>
      <c r="O1063" s="761">
        <v>52400</v>
      </c>
      <c r="P1063" s="1497">
        <f t="shared" si="87"/>
        <v>0</v>
      </c>
      <c r="Q1063" s="1147">
        <f t="shared" si="88"/>
        <v>52400</v>
      </c>
      <c r="R1063" s="760">
        <v>52400</v>
      </c>
      <c r="S1063" s="761"/>
      <c r="T1063" s="761">
        <v>0</v>
      </c>
      <c r="U1063" s="761">
        <v>0</v>
      </c>
      <c r="V1063" s="761">
        <v>0</v>
      </c>
      <c r="W1063" s="761">
        <v>121200</v>
      </c>
      <c r="X1063" s="761">
        <v>180000</v>
      </c>
      <c r="Y1063" s="761">
        <v>39200</v>
      </c>
      <c r="Z1063" s="761"/>
      <c r="AA1063" s="761"/>
      <c r="AB1063" s="761"/>
      <c r="AC1063" s="761"/>
      <c r="AD1063" s="1147">
        <f t="shared" si="84"/>
        <v>392800</v>
      </c>
      <c r="AE1063" s="911">
        <f t="shared" si="85"/>
        <v>1</v>
      </c>
      <c r="AF1063" s="912">
        <f t="shared" si="86"/>
        <v>485</v>
      </c>
    </row>
    <row r="1064" spans="1:32" x14ac:dyDescent="0.3">
      <c r="A1064" s="317" t="s">
        <v>1355</v>
      </c>
      <c r="B1064" s="913" t="s">
        <v>1356</v>
      </c>
      <c r="C1064" s="762">
        <v>1229000</v>
      </c>
      <c r="D1064" s="763">
        <v>105500</v>
      </c>
      <c r="E1064" s="763">
        <v>1035100</v>
      </c>
      <c r="F1064" s="763">
        <v>2575300</v>
      </c>
      <c r="G1064" s="763">
        <v>0</v>
      </c>
      <c r="H1064" s="763">
        <v>0</v>
      </c>
      <c r="I1064" s="763">
        <v>0</v>
      </c>
      <c r="J1064" s="763">
        <v>0</v>
      </c>
      <c r="K1064" s="763">
        <v>0</v>
      </c>
      <c r="L1064" s="763">
        <v>0</v>
      </c>
      <c r="M1064" s="763">
        <v>0</v>
      </c>
      <c r="N1064" s="763">
        <v>0</v>
      </c>
      <c r="O1064" s="763" t="s">
        <v>251</v>
      </c>
      <c r="P1064" s="1497">
        <f t="shared" si="87"/>
        <v>4944900</v>
      </c>
      <c r="Q1064" s="1148">
        <f t="shared" si="88"/>
        <v>4944900</v>
      </c>
      <c r="R1064" s="762"/>
      <c r="S1064" s="763"/>
      <c r="T1064" s="763"/>
      <c r="U1064" s="763"/>
      <c r="V1064" s="763"/>
      <c r="W1064" s="763"/>
      <c r="X1064" s="763"/>
      <c r="Y1064" s="763"/>
      <c r="Z1064" s="763"/>
      <c r="AA1064" s="763"/>
      <c r="AB1064" s="763"/>
      <c r="AC1064" s="763"/>
      <c r="AD1064" s="1148">
        <f t="shared" si="84"/>
        <v>0</v>
      </c>
      <c r="AE1064" s="914">
        <f t="shared" si="85"/>
        <v>-1</v>
      </c>
      <c r="AF1064" s="915">
        <f t="shared" si="86"/>
        <v>983</v>
      </c>
    </row>
    <row r="1065" spans="1:32" x14ac:dyDescent="0.3">
      <c r="A1065" s="317" t="s">
        <v>1355</v>
      </c>
      <c r="B1065" s="913" t="s">
        <v>1042</v>
      </c>
      <c r="C1065" s="762">
        <v>92300</v>
      </c>
      <c r="D1065" s="763">
        <v>0</v>
      </c>
      <c r="E1065" s="763"/>
      <c r="F1065" s="763">
        <v>0</v>
      </c>
      <c r="G1065" s="763">
        <v>152500</v>
      </c>
      <c r="H1065" s="763">
        <v>92300</v>
      </c>
      <c r="I1065" s="763">
        <v>0</v>
      </c>
      <c r="J1065" s="763">
        <v>0</v>
      </c>
      <c r="K1065" s="763">
        <v>0</v>
      </c>
      <c r="L1065" s="763">
        <v>0</v>
      </c>
      <c r="M1065" s="763">
        <v>0</v>
      </c>
      <c r="N1065" s="763">
        <v>0</v>
      </c>
      <c r="O1065" s="763" t="s">
        <v>251</v>
      </c>
      <c r="P1065" s="1497">
        <f t="shared" si="87"/>
        <v>337100</v>
      </c>
      <c r="Q1065" s="1148">
        <f t="shared" si="88"/>
        <v>337100</v>
      </c>
      <c r="R1065" s="762"/>
      <c r="S1065" s="763"/>
      <c r="T1065" s="763"/>
      <c r="U1065" s="763"/>
      <c r="V1065" s="763"/>
      <c r="W1065" s="763"/>
      <c r="X1065" s="763"/>
      <c r="Y1065" s="763"/>
      <c r="Z1065" s="763"/>
      <c r="AA1065" s="763"/>
      <c r="AB1065" s="763"/>
      <c r="AC1065" s="763"/>
      <c r="AD1065" s="1148">
        <f t="shared" si="84"/>
        <v>0</v>
      </c>
      <c r="AE1065" s="914">
        <f t="shared" si="85"/>
        <v>-1</v>
      </c>
      <c r="AF1065" s="915">
        <f t="shared" si="86"/>
        <v>983</v>
      </c>
    </row>
    <row r="1066" spans="1:32" x14ac:dyDescent="0.3">
      <c r="A1066" s="317" t="s">
        <v>1355</v>
      </c>
      <c r="B1066" s="913" t="s">
        <v>1316</v>
      </c>
      <c r="C1066" s="762"/>
      <c r="D1066" s="763">
        <v>0</v>
      </c>
      <c r="E1066" s="763"/>
      <c r="F1066" s="763">
        <v>0</v>
      </c>
      <c r="G1066" s="763">
        <v>192500</v>
      </c>
      <c r="H1066" s="763">
        <v>1589500</v>
      </c>
      <c r="I1066" s="763">
        <v>2593000</v>
      </c>
      <c r="J1066" s="763">
        <v>742000</v>
      </c>
      <c r="K1066" s="763">
        <v>742000</v>
      </c>
      <c r="L1066" s="763">
        <v>185500</v>
      </c>
      <c r="M1066" s="763">
        <v>0</v>
      </c>
      <c r="N1066" s="763">
        <v>22500</v>
      </c>
      <c r="O1066" s="763">
        <v>293400</v>
      </c>
      <c r="P1066" s="1497">
        <f t="shared" si="87"/>
        <v>5117000</v>
      </c>
      <c r="Q1066" s="1148">
        <f t="shared" si="88"/>
        <v>5618400</v>
      </c>
      <c r="R1066" s="762"/>
      <c r="S1066" s="763"/>
      <c r="T1066" s="763">
        <v>213400</v>
      </c>
      <c r="U1066" s="763">
        <v>1314400</v>
      </c>
      <c r="V1066" s="763">
        <v>1713600</v>
      </c>
      <c r="W1066" s="763">
        <v>0</v>
      </c>
      <c r="X1066" s="763">
        <v>0</v>
      </c>
      <c r="Y1066" s="763">
        <v>0</v>
      </c>
      <c r="Z1066" s="763"/>
      <c r="AA1066" s="763"/>
      <c r="AB1066" s="763"/>
      <c r="AC1066" s="763"/>
      <c r="AD1066" s="1148">
        <f t="shared" si="84"/>
        <v>3241400</v>
      </c>
      <c r="AE1066" s="914">
        <f t="shared" si="85"/>
        <v>-0.36654289622825875</v>
      </c>
      <c r="AF1066" s="915">
        <f t="shared" si="86"/>
        <v>141</v>
      </c>
    </row>
    <row r="1067" spans="1:32" x14ac:dyDescent="0.3">
      <c r="A1067" s="317" t="s">
        <v>1355</v>
      </c>
      <c r="B1067" s="913" t="s">
        <v>1339</v>
      </c>
      <c r="C1067" s="762"/>
      <c r="D1067" s="763">
        <v>0</v>
      </c>
      <c r="E1067" s="763"/>
      <c r="F1067" s="763">
        <v>59000</v>
      </c>
      <c r="G1067" s="763">
        <v>0</v>
      </c>
      <c r="H1067" s="763">
        <v>313200</v>
      </c>
      <c r="I1067" s="763">
        <v>0</v>
      </c>
      <c r="J1067" s="763">
        <v>0</v>
      </c>
      <c r="K1067" s="763">
        <v>0</v>
      </c>
      <c r="L1067" s="763">
        <v>0</v>
      </c>
      <c r="M1067" s="763">
        <v>411400</v>
      </c>
      <c r="N1067" s="763">
        <v>239000</v>
      </c>
      <c r="O1067" s="763" t="s">
        <v>251</v>
      </c>
      <c r="P1067" s="1497">
        <f t="shared" si="87"/>
        <v>372200</v>
      </c>
      <c r="Q1067" s="1148">
        <f t="shared" si="88"/>
        <v>1022600</v>
      </c>
      <c r="R1067" s="762"/>
      <c r="S1067" s="763"/>
      <c r="T1067" s="763"/>
      <c r="U1067" s="763"/>
      <c r="V1067" s="763"/>
      <c r="W1067" s="763">
        <v>131900</v>
      </c>
      <c r="X1067" s="763">
        <v>84400</v>
      </c>
      <c r="Y1067" s="763">
        <v>0</v>
      </c>
      <c r="Z1067" s="763"/>
      <c r="AA1067" s="763"/>
      <c r="AB1067" s="763"/>
      <c r="AC1067" s="763"/>
      <c r="AD1067" s="1148">
        <f t="shared" si="84"/>
        <v>216300</v>
      </c>
      <c r="AE1067" s="914">
        <f t="shared" si="85"/>
        <v>-0.41886082751209025</v>
      </c>
      <c r="AF1067" s="915">
        <f t="shared" si="86"/>
        <v>597</v>
      </c>
    </row>
    <row r="1068" spans="1:32" x14ac:dyDescent="0.3">
      <c r="A1068" s="317" t="s">
        <v>1355</v>
      </c>
      <c r="B1068" s="913" t="s">
        <v>1324</v>
      </c>
      <c r="C1068" s="762"/>
      <c r="D1068" s="763" t="s">
        <v>251</v>
      </c>
      <c r="E1068" s="763"/>
      <c r="F1068" s="763" t="s">
        <v>251</v>
      </c>
      <c r="G1068" s="763" t="s">
        <v>251</v>
      </c>
      <c r="H1068" s="763" t="s">
        <v>251</v>
      </c>
      <c r="I1068" s="763" t="s">
        <v>251</v>
      </c>
      <c r="J1068" s="763" t="s">
        <v>251</v>
      </c>
      <c r="K1068" s="763"/>
      <c r="L1068" s="763" t="s">
        <v>251</v>
      </c>
      <c r="M1068" s="763" t="s">
        <v>251</v>
      </c>
      <c r="N1068" s="763" t="s">
        <v>251</v>
      </c>
      <c r="O1068" s="763" t="s">
        <v>251</v>
      </c>
      <c r="P1068" s="1497">
        <f t="shared" si="87"/>
        <v>0</v>
      </c>
      <c r="Q1068" s="1148">
        <f t="shared" si="88"/>
        <v>0</v>
      </c>
      <c r="R1068" s="762"/>
      <c r="S1068" s="763"/>
      <c r="T1068" s="763"/>
      <c r="U1068" s="763"/>
      <c r="V1068" s="763"/>
      <c r="W1068" s="763"/>
      <c r="X1068" s="763"/>
      <c r="Y1068" s="763"/>
      <c r="Z1068" s="763"/>
      <c r="AA1068" s="763"/>
      <c r="AB1068" s="763"/>
      <c r="AC1068" s="763"/>
      <c r="AD1068" s="1148">
        <f t="shared" si="84"/>
        <v>0</v>
      </c>
      <c r="AE1068" s="914">
        <f t="shared" si="85"/>
        <v>0</v>
      </c>
      <c r="AF1068" s="915">
        <f t="shared" si="86"/>
        <v>983</v>
      </c>
    </row>
    <row r="1069" spans="1:32" x14ac:dyDescent="0.3">
      <c r="A1069" s="317" t="s">
        <v>1355</v>
      </c>
      <c r="B1069" s="913" t="s">
        <v>1357</v>
      </c>
      <c r="C1069" s="762"/>
      <c r="D1069" s="763" t="s">
        <v>251</v>
      </c>
      <c r="E1069" s="763"/>
      <c r="F1069" s="763" t="s">
        <v>251</v>
      </c>
      <c r="G1069" s="763" t="s">
        <v>251</v>
      </c>
      <c r="H1069" s="763" t="s">
        <v>251</v>
      </c>
      <c r="I1069" s="763" t="s">
        <v>251</v>
      </c>
      <c r="J1069" s="763" t="s">
        <v>251</v>
      </c>
      <c r="K1069" s="763"/>
      <c r="L1069" s="763" t="s">
        <v>251</v>
      </c>
      <c r="M1069" s="763" t="s">
        <v>251</v>
      </c>
      <c r="N1069" s="763" t="s">
        <v>251</v>
      </c>
      <c r="O1069" s="763" t="s">
        <v>251</v>
      </c>
      <c r="P1069" s="1497">
        <f t="shared" si="87"/>
        <v>0</v>
      </c>
      <c r="Q1069" s="1148">
        <f t="shared" si="88"/>
        <v>0</v>
      </c>
      <c r="R1069" s="762"/>
      <c r="S1069" s="763"/>
      <c r="T1069" s="763"/>
      <c r="U1069" s="763"/>
      <c r="V1069" s="763"/>
      <c r="W1069" s="763"/>
      <c r="X1069" s="763"/>
      <c r="Y1069" s="763"/>
      <c r="Z1069" s="763"/>
      <c r="AA1069" s="763"/>
      <c r="AB1069" s="763"/>
      <c r="AC1069" s="763"/>
      <c r="AD1069" s="1148">
        <f t="shared" si="84"/>
        <v>0</v>
      </c>
      <c r="AE1069" s="914">
        <f t="shared" si="85"/>
        <v>0</v>
      </c>
      <c r="AF1069" s="915">
        <f t="shared" si="86"/>
        <v>983</v>
      </c>
    </row>
    <row r="1070" spans="1:32" x14ac:dyDescent="0.3">
      <c r="A1070" s="317" t="s">
        <v>1355</v>
      </c>
      <c r="B1070" s="913" t="s">
        <v>2152</v>
      </c>
      <c r="C1070" s="762"/>
      <c r="D1070" s="763" t="s">
        <v>251</v>
      </c>
      <c r="E1070" s="763"/>
      <c r="F1070" s="763" t="s">
        <v>251</v>
      </c>
      <c r="G1070" s="763" t="s">
        <v>251</v>
      </c>
      <c r="H1070" s="763" t="s">
        <v>251</v>
      </c>
      <c r="I1070" s="763" t="s">
        <v>251</v>
      </c>
      <c r="J1070" s="763" t="s">
        <v>251</v>
      </c>
      <c r="K1070" s="763"/>
      <c r="L1070" s="763" t="s">
        <v>251</v>
      </c>
      <c r="M1070" s="763" t="s">
        <v>251</v>
      </c>
      <c r="N1070" s="763" t="s">
        <v>251</v>
      </c>
      <c r="O1070" s="763" t="s">
        <v>251</v>
      </c>
      <c r="P1070" s="1497">
        <f t="shared" si="87"/>
        <v>0</v>
      </c>
      <c r="Q1070" s="1148">
        <f t="shared" si="88"/>
        <v>0</v>
      </c>
      <c r="R1070" s="762"/>
      <c r="S1070" s="763"/>
      <c r="T1070" s="763"/>
      <c r="U1070" s="763"/>
      <c r="V1070" s="763"/>
      <c r="W1070" s="763"/>
      <c r="X1070" s="763"/>
      <c r="Y1070" s="763"/>
      <c r="Z1070" s="763"/>
      <c r="AA1070" s="763"/>
      <c r="AB1070" s="763"/>
      <c r="AC1070" s="763"/>
      <c r="AD1070" s="1148">
        <f t="shared" si="84"/>
        <v>0</v>
      </c>
      <c r="AE1070" s="914">
        <f t="shared" si="85"/>
        <v>0</v>
      </c>
      <c r="AF1070" s="915">
        <f t="shared" si="86"/>
        <v>983</v>
      </c>
    </row>
    <row r="1071" spans="1:32" x14ac:dyDescent="0.3">
      <c r="A1071" s="317" t="s">
        <v>1355</v>
      </c>
      <c r="B1071" s="913" t="s">
        <v>2153</v>
      </c>
      <c r="C1071" s="762"/>
      <c r="D1071" s="763">
        <v>0</v>
      </c>
      <c r="E1071" s="763"/>
      <c r="F1071" s="763">
        <v>0</v>
      </c>
      <c r="G1071" s="763">
        <v>0</v>
      </c>
      <c r="H1071" s="763">
        <v>0</v>
      </c>
      <c r="I1071" s="763">
        <v>0</v>
      </c>
      <c r="J1071" s="763">
        <v>0</v>
      </c>
      <c r="K1071" s="763"/>
      <c r="L1071" s="763">
        <v>0</v>
      </c>
      <c r="M1071" s="763">
        <v>1750300</v>
      </c>
      <c r="N1071" s="763">
        <v>0</v>
      </c>
      <c r="O1071" s="763">
        <v>255750</v>
      </c>
      <c r="P1071" s="1497">
        <f t="shared" si="87"/>
        <v>0</v>
      </c>
      <c r="Q1071" s="1148">
        <f t="shared" si="88"/>
        <v>2006050</v>
      </c>
      <c r="R1071" s="762"/>
      <c r="S1071" s="763"/>
      <c r="T1071" s="763"/>
      <c r="U1071" s="763"/>
      <c r="V1071" s="763"/>
      <c r="W1071" s="763"/>
      <c r="X1071" s="763"/>
      <c r="Y1071" s="763"/>
      <c r="Z1071" s="763"/>
      <c r="AA1071" s="763"/>
      <c r="AB1071" s="763"/>
      <c r="AC1071" s="763"/>
      <c r="AD1071" s="1148">
        <f t="shared" si="84"/>
        <v>0</v>
      </c>
      <c r="AE1071" s="914">
        <f t="shared" si="85"/>
        <v>0</v>
      </c>
      <c r="AF1071" s="915">
        <f t="shared" si="86"/>
        <v>983</v>
      </c>
    </row>
    <row r="1072" spans="1:32" x14ac:dyDescent="0.3">
      <c r="A1072" s="317" t="s">
        <v>1355</v>
      </c>
      <c r="B1072" s="913" t="s">
        <v>2154</v>
      </c>
      <c r="C1072" s="762"/>
      <c r="D1072" s="763">
        <v>0</v>
      </c>
      <c r="E1072" s="763"/>
      <c r="F1072" s="763">
        <v>0</v>
      </c>
      <c r="G1072" s="763">
        <v>0</v>
      </c>
      <c r="H1072" s="763">
        <v>0</v>
      </c>
      <c r="I1072" s="763">
        <v>0</v>
      </c>
      <c r="J1072" s="763">
        <v>0</v>
      </c>
      <c r="K1072" s="763"/>
      <c r="L1072" s="763">
        <v>0</v>
      </c>
      <c r="M1072" s="763">
        <v>308800</v>
      </c>
      <c r="N1072" s="763">
        <v>0</v>
      </c>
      <c r="O1072" s="763" t="s">
        <v>251</v>
      </c>
      <c r="P1072" s="1497">
        <f t="shared" si="87"/>
        <v>0</v>
      </c>
      <c r="Q1072" s="1148">
        <f t="shared" si="88"/>
        <v>308800</v>
      </c>
      <c r="R1072" s="762"/>
      <c r="S1072" s="763"/>
      <c r="T1072" s="763"/>
      <c r="U1072" s="763"/>
      <c r="V1072" s="763"/>
      <c r="W1072" s="763"/>
      <c r="X1072" s="763"/>
      <c r="Y1072" s="763"/>
      <c r="Z1072" s="763"/>
      <c r="AA1072" s="763"/>
      <c r="AB1072" s="763"/>
      <c r="AC1072" s="763"/>
      <c r="AD1072" s="1148">
        <f t="shared" si="84"/>
        <v>0</v>
      </c>
      <c r="AE1072" s="914">
        <f t="shared" si="85"/>
        <v>0</v>
      </c>
      <c r="AF1072" s="915">
        <f t="shared" si="86"/>
        <v>983</v>
      </c>
    </row>
    <row r="1073" spans="1:32" x14ac:dyDescent="0.3">
      <c r="A1073" s="317" t="s">
        <v>1355</v>
      </c>
      <c r="B1073" s="913" t="s">
        <v>2501</v>
      </c>
      <c r="C1073" s="762"/>
      <c r="D1073" s="763"/>
      <c r="E1073" s="763"/>
      <c r="F1073" s="763"/>
      <c r="G1073" s="763"/>
      <c r="H1073" s="763"/>
      <c r="I1073" s="763"/>
      <c r="J1073" s="763"/>
      <c r="K1073" s="763"/>
      <c r="L1073" s="763"/>
      <c r="M1073" s="763"/>
      <c r="N1073" s="763"/>
      <c r="O1073" s="763"/>
      <c r="P1073" s="1497">
        <f t="shared" si="87"/>
        <v>0</v>
      </c>
      <c r="Q1073" s="1148">
        <f t="shared" si="88"/>
        <v>0</v>
      </c>
      <c r="R1073" s="762">
        <v>252000</v>
      </c>
      <c r="S1073" s="763"/>
      <c r="T1073" s="763">
        <v>0</v>
      </c>
      <c r="U1073" s="763">
        <v>0</v>
      </c>
      <c r="V1073" s="763">
        <v>0</v>
      </c>
      <c r="W1073" s="763">
        <v>0</v>
      </c>
      <c r="X1073" s="763">
        <v>0</v>
      </c>
      <c r="Y1073" s="763">
        <v>0</v>
      </c>
      <c r="Z1073" s="763"/>
      <c r="AA1073" s="763"/>
      <c r="AB1073" s="763"/>
      <c r="AC1073" s="763"/>
      <c r="AD1073" s="1148">
        <f t="shared" si="84"/>
        <v>252000</v>
      </c>
      <c r="AE1073" s="914">
        <f t="shared" si="85"/>
        <v>1</v>
      </c>
      <c r="AF1073" s="915">
        <f t="shared" si="86"/>
        <v>567</v>
      </c>
    </row>
    <row r="1074" spans="1:32" x14ac:dyDescent="0.3">
      <c r="A1074" s="319" t="s">
        <v>1358</v>
      </c>
      <c r="B1074" s="916" t="s">
        <v>1359</v>
      </c>
      <c r="C1074" s="764"/>
      <c r="D1074" s="765">
        <v>656000</v>
      </c>
      <c r="E1074" s="765"/>
      <c r="F1074" s="765">
        <v>728500</v>
      </c>
      <c r="G1074" s="765">
        <v>2764500</v>
      </c>
      <c r="H1074" s="765">
        <v>325500</v>
      </c>
      <c r="I1074" s="765">
        <v>0</v>
      </c>
      <c r="J1074" s="765">
        <v>0</v>
      </c>
      <c r="K1074" s="765">
        <v>0</v>
      </c>
      <c r="L1074" s="765">
        <v>0</v>
      </c>
      <c r="M1074" s="765">
        <v>0</v>
      </c>
      <c r="N1074" s="765">
        <v>0</v>
      </c>
      <c r="O1074" s="765" t="s">
        <v>251</v>
      </c>
      <c r="P1074" s="1497">
        <f t="shared" si="87"/>
        <v>4474500</v>
      </c>
      <c r="Q1074" s="1149">
        <f t="shared" si="88"/>
        <v>4474500</v>
      </c>
      <c r="R1074" s="764">
        <v>1241000</v>
      </c>
      <c r="S1074" s="765"/>
      <c r="T1074" s="765">
        <v>671000</v>
      </c>
      <c r="U1074" s="765">
        <v>2284000</v>
      </c>
      <c r="V1074" s="765">
        <v>1713500</v>
      </c>
      <c r="W1074" s="765">
        <v>879000</v>
      </c>
      <c r="X1074" s="765">
        <v>109000</v>
      </c>
      <c r="Y1074" s="765">
        <v>0</v>
      </c>
      <c r="Z1074" s="765"/>
      <c r="AA1074" s="765"/>
      <c r="AB1074" s="765"/>
      <c r="AC1074" s="765"/>
      <c r="AD1074" s="1149">
        <f t="shared" si="84"/>
        <v>6897500</v>
      </c>
      <c r="AE1074" s="917">
        <f t="shared" si="85"/>
        <v>0.54151301821432563</v>
      </c>
      <c r="AF1074" s="918">
        <f t="shared" si="86"/>
        <v>60</v>
      </c>
    </row>
    <row r="1075" spans="1:32" x14ac:dyDescent="0.3">
      <c r="A1075" s="319" t="s">
        <v>1358</v>
      </c>
      <c r="B1075" s="916" t="s">
        <v>1156</v>
      </c>
      <c r="C1075" s="764"/>
      <c r="D1075" s="765">
        <v>0</v>
      </c>
      <c r="E1075" s="765"/>
      <c r="F1075" s="765">
        <v>0</v>
      </c>
      <c r="G1075" s="765">
        <v>46250</v>
      </c>
      <c r="H1075" s="765">
        <v>0</v>
      </c>
      <c r="I1075" s="765">
        <v>0</v>
      </c>
      <c r="J1075" s="765">
        <v>0</v>
      </c>
      <c r="K1075" s="765">
        <v>0</v>
      </c>
      <c r="L1075" s="765">
        <v>0</v>
      </c>
      <c r="M1075" s="765">
        <v>0</v>
      </c>
      <c r="N1075" s="765">
        <v>0</v>
      </c>
      <c r="O1075" s="765" t="s">
        <v>251</v>
      </c>
      <c r="P1075" s="1497">
        <f t="shared" si="87"/>
        <v>46250</v>
      </c>
      <c r="Q1075" s="1149">
        <f t="shared" si="88"/>
        <v>46250</v>
      </c>
      <c r="R1075" s="764"/>
      <c r="S1075" s="765"/>
      <c r="T1075" s="765"/>
      <c r="U1075" s="765"/>
      <c r="V1075" s="765"/>
      <c r="W1075" s="765"/>
      <c r="X1075" s="765"/>
      <c r="Y1075" s="765"/>
      <c r="Z1075" s="765"/>
      <c r="AA1075" s="765"/>
      <c r="AB1075" s="765"/>
      <c r="AC1075" s="765"/>
      <c r="AD1075" s="1149">
        <f t="shared" si="84"/>
        <v>0</v>
      </c>
      <c r="AE1075" s="917">
        <f t="shared" si="85"/>
        <v>-1</v>
      </c>
      <c r="AF1075" s="918">
        <f t="shared" si="86"/>
        <v>983</v>
      </c>
    </row>
    <row r="1076" spans="1:32" x14ac:dyDescent="0.3">
      <c r="A1076" s="319" t="s">
        <v>1358</v>
      </c>
      <c r="B1076" s="916" t="s">
        <v>888</v>
      </c>
      <c r="C1076" s="764">
        <v>22000</v>
      </c>
      <c r="D1076" s="765">
        <v>0</v>
      </c>
      <c r="E1076" s="765"/>
      <c r="F1076" s="765">
        <v>0</v>
      </c>
      <c r="G1076" s="765">
        <v>0</v>
      </c>
      <c r="H1076" s="765">
        <v>0</v>
      </c>
      <c r="I1076" s="765">
        <v>0</v>
      </c>
      <c r="J1076" s="765">
        <v>0</v>
      </c>
      <c r="K1076" s="765">
        <v>0</v>
      </c>
      <c r="L1076" s="765">
        <v>0</v>
      </c>
      <c r="M1076" s="765">
        <v>0</v>
      </c>
      <c r="N1076" s="765">
        <v>0</v>
      </c>
      <c r="O1076" s="765" t="s">
        <v>251</v>
      </c>
      <c r="P1076" s="1497">
        <f t="shared" si="87"/>
        <v>22000</v>
      </c>
      <c r="Q1076" s="1149">
        <f t="shared" si="88"/>
        <v>22000</v>
      </c>
      <c r="R1076" s="764"/>
      <c r="S1076" s="765"/>
      <c r="T1076" s="765"/>
      <c r="U1076" s="765"/>
      <c r="V1076" s="765"/>
      <c r="W1076" s="765"/>
      <c r="X1076" s="765"/>
      <c r="Y1076" s="765"/>
      <c r="Z1076" s="765"/>
      <c r="AA1076" s="765"/>
      <c r="AB1076" s="765"/>
      <c r="AC1076" s="765"/>
      <c r="AD1076" s="1149">
        <f t="shared" si="84"/>
        <v>0</v>
      </c>
      <c r="AE1076" s="917">
        <f t="shared" si="85"/>
        <v>-1</v>
      </c>
      <c r="AF1076" s="918">
        <f t="shared" si="86"/>
        <v>983</v>
      </c>
    </row>
    <row r="1077" spans="1:32" x14ac:dyDescent="0.3">
      <c r="A1077" s="319" t="s">
        <v>1358</v>
      </c>
      <c r="B1077" s="916" t="s">
        <v>2155</v>
      </c>
      <c r="C1077" s="764"/>
      <c r="D1077" s="765" t="s">
        <v>251</v>
      </c>
      <c r="E1077" s="765"/>
      <c r="F1077" s="765" t="s">
        <v>251</v>
      </c>
      <c r="G1077" s="765" t="s">
        <v>251</v>
      </c>
      <c r="H1077" s="765" t="s">
        <v>251</v>
      </c>
      <c r="I1077" s="765" t="s">
        <v>251</v>
      </c>
      <c r="J1077" s="765" t="s">
        <v>251</v>
      </c>
      <c r="K1077" s="765"/>
      <c r="L1077" s="765" t="s">
        <v>251</v>
      </c>
      <c r="M1077" s="765" t="s">
        <v>251</v>
      </c>
      <c r="N1077" s="765" t="s">
        <v>251</v>
      </c>
      <c r="O1077" s="765" t="s">
        <v>251</v>
      </c>
      <c r="P1077" s="1497">
        <f t="shared" si="87"/>
        <v>0</v>
      </c>
      <c r="Q1077" s="1149">
        <f t="shared" si="88"/>
        <v>0</v>
      </c>
      <c r="R1077" s="764"/>
      <c r="S1077" s="765"/>
      <c r="T1077" s="765"/>
      <c r="U1077" s="765"/>
      <c r="V1077" s="765"/>
      <c r="W1077" s="765"/>
      <c r="X1077" s="765"/>
      <c r="Y1077" s="765"/>
      <c r="Z1077" s="765"/>
      <c r="AA1077" s="765"/>
      <c r="AB1077" s="765"/>
      <c r="AC1077" s="765"/>
      <c r="AD1077" s="1149">
        <f t="shared" si="84"/>
        <v>0</v>
      </c>
      <c r="AE1077" s="917">
        <f t="shared" si="85"/>
        <v>0</v>
      </c>
      <c r="AF1077" s="918">
        <f t="shared" si="86"/>
        <v>983</v>
      </c>
    </row>
    <row r="1078" spans="1:32" x14ac:dyDescent="0.3">
      <c r="A1078" s="321" t="s">
        <v>1360</v>
      </c>
      <c r="B1078" s="919" t="s">
        <v>1332</v>
      </c>
      <c r="C1078" s="766">
        <v>829450</v>
      </c>
      <c r="D1078" s="767">
        <v>468020</v>
      </c>
      <c r="E1078" s="767">
        <v>924690</v>
      </c>
      <c r="F1078" s="767">
        <v>1068800</v>
      </c>
      <c r="G1078" s="767">
        <v>856170</v>
      </c>
      <c r="H1078" s="767">
        <v>370750</v>
      </c>
      <c r="I1078" s="767">
        <v>1045650</v>
      </c>
      <c r="J1078" s="767">
        <v>598600</v>
      </c>
      <c r="K1078" s="767">
        <v>459050</v>
      </c>
      <c r="L1078" s="767">
        <v>0</v>
      </c>
      <c r="M1078" s="767">
        <v>456320</v>
      </c>
      <c r="N1078" s="767">
        <v>1017100</v>
      </c>
      <c r="O1078" s="767">
        <v>1084200</v>
      </c>
      <c r="P1078" s="1497">
        <f t="shared" si="87"/>
        <v>6022580</v>
      </c>
      <c r="Q1078" s="1150">
        <f t="shared" si="88"/>
        <v>8719750</v>
      </c>
      <c r="R1078" s="766">
        <v>1634350</v>
      </c>
      <c r="S1078" s="767">
        <v>356000</v>
      </c>
      <c r="T1078" s="767">
        <v>120300</v>
      </c>
      <c r="U1078" s="767">
        <v>414900</v>
      </c>
      <c r="V1078" s="767">
        <v>207700</v>
      </c>
      <c r="W1078" s="767">
        <v>515800</v>
      </c>
      <c r="X1078" s="767">
        <v>251800</v>
      </c>
      <c r="Y1078" s="767">
        <v>224850</v>
      </c>
      <c r="Z1078" s="767"/>
      <c r="AA1078" s="767"/>
      <c r="AB1078" s="767"/>
      <c r="AC1078" s="767"/>
      <c r="AD1078" s="1150">
        <f t="shared" si="84"/>
        <v>3725700</v>
      </c>
      <c r="AE1078" s="920">
        <f t="shared" si="85"/>
        <v>-0.38137808049042105</v>
      </c>
      <c r="AF1078" s="921">
        <f t="shared" si="86"/>
        <v>121</v>
      </c>
    </row>
    <row r="1079" spans="1:32" x14ac:dyDescent="0.3">
      <c r="A1079" s="321" t="s">
        <v>1360</v>
      </c>
      <c r="B1079" s="919" t="s">
        <v>2156</v>
      </c>
      <c r="C1079" s="766"/>
      <c r="D1079" s="767">
        <v>0</v>
      </c>
      <c r="E1079" s="767"/>
      <c r="F1079" s="767">
        <v>0</v>
      </c>
      <c r="G1079" s="767">
        <v>0</v>
      </c>
      <c r="H1079" s="767">
        <v>0</v>
      </c>
      <c r="I1079" s="767">
        <v>0</v>
      </c>
      <c r="J1079" s="767">
        <v>702800</v>
      </c>
      <c r="K1079" s="767">
        <v>623400</v>
      </c>
      <c r="L1079" s="767">
        <v>1099000</v>
      </c>
      <c r="M1079" s="767">
        <v>1800150</v>
      </c>
      <c r="N1079" s="767">
        <v>588050</v>
      </c>
      <c r="O1079" s="767">
        <v>51200</v>
      </c>
      <c r="P1079" s="1497">
        <f t="shared" si="87"/>
        <v>623400</v>
      </c>
      <c r="Q1079" s="1150">
        <f t="shared" si="88"/>
        <v>4241200</v>
      </c>
      <c r="R1079" s="766">
        <v>626900</v>
      </c>
      <c r="S1079" s="767">
        <v>70700</v>
      </c>
      <c r="T1079" s="767">
        <v>1423800</v>
      </c>
      <c r="U1079" s="767">
        <v>1657400</v>
      </c>
      <c r="V1079" s="767">
        <v>548500</v>
      </c>
      <c r="W1079" s="767">
        <v>346200</v>
      </c>
      <c r="X1079" s="767">
        <v>91050</v>
      </c>
      <c r="Y1079" s="767">
        <v>309500</v>
      </c>
      <c r="Z1079" s="767"/>
      <c r="AA1079" s="767"/>
      <c r="AB1079" s="767"/>
      <c r="AC1079" s="767"/>
      <c r="AD1079" s="1150">
        <f t="shared" si="84"/>
        <v>5074050</v>
      </c>
      <c r="AE1079" s="920">
        <f t="shared" si="85"/>
        <v>7.1393166506256014</v>
      </c>
      <c r="AF1079" s="921">
        <f t="shared" si="86"/>
        <v>88</v>
      </c>
    </row>
    <row r="1080" spans="1:32" x14ac:dyDescent="0.3">
      <c r="A1080" s="321" t="s">
        <v>1360</v>
      </c>
      <c r="B1080" s="919" t="s">
        <v>1138</v>
      </c>
      <c r="C1080" s="766"/>
      <c r="D1080" s="767"/>
      <c r="E1080" s="767"/>
      <c r="F1080" s="767"/>
      <c r="G1080" s="767"/>
      <c r="H1080" s="767"/>
      <c r="I1080" s="767"/>
      <c r="J1080" s="767"/>
      <c r="K1080" s="767">
        <v>0</v>
      </c>
      <c r="L1080" s="767"/>
      <c r="M1080" s="767"/>
      <c r="N1080" s="767"/>
      <c r="O1080" s="767"/>
      <c r="P1080" s="1497">
        <f t="shared" si="87"/>
        <v>0</v>
      </c>
      <c r="Q1080" s="1150">
        <f t="shared" si="88"/>
        <v>0</v>
      </c>
      <c r="R1080" s="766">
        <v>272350</v>
      </c>
      <c r="S1080" s="767"/>
      <c r="T1080" s="767">
        <v>0</v>
      </c>
      <c r="U1080" s="767">
        <v>117200</v>
      </c>
      <c r="V1080" s="767">
        <v>94850</v>
      </c>
      <c r="W1080" s="767">
        <v>1129750</v>
      </c>
      <c r="X1080" s="767">
        <v>0</v>
      </c>
      <c r="Y1080" s="767">
        <v>0</v>
      </c>
      <c r="Z1080" s="767"/>
      <c r="AA1080" s="767"/>
      <c r="AB1080" s="767"/>
      <c r="AC1080" s="767"/>
      <c r="AD1080" s="1150">
        <f t="shared" si="84"/>
        <v>1614150</v>
      </c>
      <c r="AE1080" s="920">
        <f t="shared" si="85"/>
        <v>1</v>
      </c>
      <c r="AF1080" s="921">
        <f t="shared" si="86"/>
        <v>240</v>
      </c>
    </row>
    <row r="1081" spans="1:32" x14ac:dyDescent="0.3">
      <c r="A1081" s="321" t="s">
        <v>1360</v>
      </c>
      <c r="B1081" s="919" t="s">
        <v>2785</v>
      </c>
      <c r="C1081" s="766"/>
      <c r="D1081" s="767"/>
      <c r="E1081" s="767"/>
      <c r="F1081" s="767"/>
      <c r="G1081" s="767"/>
      <c r="H1081" s="767"/>
      <c r="I1081" s="767"/>
      <c r="J1081" s="767"/>
      <c r="K1081" s="767"/>
      <c r="L1081" s="767"/>
      <c r="M1081" s="767"/>
      <c r="N1081" s="767"/>
      <c r="O1081" s="767"/>
      <c r="P1081" s="1497">
        <f t="shared" si="87"/>
        <v>0</v>
      </c>
      <c r="Q1081" s="1150">
        <f t="shared" si="88"/>
        <v>0</v>
      </c>
      <c r="R1081" s="766"/>
      <c r="S1081" s="767"/>
      <c r="T1081" s="767"/>
      <c r="U1081" s="767"/>
      <c r="V1081" s="767">
        <v>382200</v>
      </c>
      <c r="W1081" s="767">
        <v>402150</v>
      </c>
      <c r="X1081" s="767">
        <v>373550</v>
      </c>
      <c r="Y1081" s="767">
        <v>11000</v>
      </c>
      <c r="Z1081" s="767"/>
      <c r="AA1081" s="767"/>
      <c r="AB1081" s="767"/>
      <c r="AC1081" s="767"/>
      <c r="AD1081" s="1150">
        <f t="shared" si="84"/>
        <v>1168900</v>
      </c>
      <c r="AE1081" s="920">
        <f t="shared" si="85"/>
        <v>1</v>
      </c>
      <c r="AF1081" s="921">
        <f t="shared" si="86"/>
        <v>291</v>
      </c>
    </row>
    <row r="1082" spans="1:32" x14ac:dyDescent="0.3">
      <c r="A1082" s="321" t="s">
        <v>1360</v>
      </c>
      <c r="B1082" s="919" t="s">
        <v>2863</v>
      </c>
      <c r="C1082" s="766"/>
      <c r="D1082" s="767"/>
      <c r="E1082" s="767"/>
      <c r="F1082" s="767"/>
      <c r="G1082" s="767"/>
      <c r="H1082" s="767"/>
      <c r="I1082" s="767"/>
      <c r="J1082" s="767"/>
      <c r="K1082" s="767"/>
      <c r="L1082" s="767"/>
      <c r="M1082" s="767"/>
      <c r="N1082" s="767"/>
      <c r="O1082" s="767"/>
      <c r="P1082" s="1497">
        <f t="shared" si="87"/>
        <v>0</v>
      </c>
      <c r="Q1082" s="1150">
        <f t="shared" si="88"/>
        <v>0</v>
      </c>
      <c r="R1082" s="766"/>
      <c r="S1082" s="767"/>
      <c r="T1082" s="767"/>
      <c r="U1082" s="767"/>
      <c r="V1082" s="767"/>
      <c r="W1082" s="767">
        <v>606950</v>
      </c>
      <c r="X1082" s="767">
        <v>0</v>
      </c>
      <c r="Y1082" s="767">
        <v>0</v>
      </c>
      <c r="Z1082" s="767"/>
      <c r="AA1082" s="767"/>
      <c r="AB1082" s="767"/>
      <c r="AC1082" s="767"/>
      <c r="AD1082" s="1150">
        <f t="shared" si="84"/>
        <v>606950</v>
      </c>
      <c r="AE1082" s="920">
        <f t="shared" si="85"/>
        <v>1</v>
      </c>
      <c r="AF1082" s="921">
        <f t="shared" si="86"/>
        <v>403</v>
      </c>
    </row>
    <row r="1083" spans="1:32" x14ac:dyDescent="0.3">
      <c r="A1083" s="323" t="s">
        <v>1361</v>
      </c>
      <c r="B1083" s="924" t="s">
        <v>1117</v>
      </c>
      <c r="C1083" s="770"/>
      <c r="D1083" s="771">
        <v>0</v>
      </c>
      <c r="E1083" s="771">
        <v>89000</v>
      </c>
      <c r="F1083" s="771">
        <v>878000</v>
      </c>
      <c r="G1083" s="771">
        <v>463000</v>
      </c>
      <c r="H1083" s="771">
        <v>89500</v>
      </c>
      <c r="I1083" s="771">
        <v>0</v>
      </c>
      <c r="J1083" s="771">
        <v>537000</v>
      </c>
      <c r="K1083" s="771">
        <v>356000</v>
      </c>
      <c r="L1083" s="771">
        <v>952000</v>
      </c>
      <c r="M1083" s="771">
        <v>864000</v>
      </c>
      <c r="N1083" s="771">
        <v>541000</v>
      </c>
      <c r="O1083" s="771">
        <v>16000</v>
      </c>
      <c r="P1083" s="1497">
        <f t="shared" si="87"/>
        <v>1875500</v>
      </c>
      <c r="Q1083" s="1151">
        <f t="shared" si="88"/>
        <v>4429500</v>
      </c>
      <c r="R1083" s="770"/>
      <c r="S1083" s="771">
        <v>253500</v>
      </c>
      <c r="T1083" s="771">
        <v>1141500</v>
      </c>
      <c r="U1083" s="771">
        <v>1040500</v>
      </c>
      <c r="V1083" s="771">
        <v>197000</v>
      </c>
      <c r="W1083" s="771">
        <v>385000</v>
      </c>
      <c r="X1083" s="771">
        <v>0</v>
      </c>
      <c r="Y1083" s="771">
        <v>0</v>
      </c>
      <c r="Z1083" s="771"/>
      <c r="AA1083" s="771"/>
      <c r="AB1083" s="771"/>
      <c r="AC1083" s="771"/>
      <c r="AD1083" s="1151">
        <f t="shared" si="84"/>
        <v>3017500</v>
      </c>
      <c r="AE1083" s="925">
        <f t="shared" si="85"/>
        <v>0.60890429218874964</v>
      </c>
      <c r="AF1083" s="926">
        <f t="shared" si="86"/>
        <v>154</v>
      </c>
    </row>
    <row r="1084" spans="1:32" x14ac:dyDescent="0.3">
      <c r="A1084" s="323" t="s">
        <v>1361</v>
      </c>
      <c r="B1084" s="924" t="s">
        <v>1362</v>
      </c>
      <c r="C1084" s="770">
        <v>137500</v>
      </c>
      <c r="D1084" s="771">
        <v>0</v>
      </c>
      <c r="E1084" s="771">
        <v>135500</v>
      </c>
      <c r="F1084" s="771">
        <v>665000</v>
      </c>
      <c r="G1084" s="771">
        <v>106500</v>
      </c>
      <c r="H1084" s="771">
        <v>0</v>
      </c>
      <c r="I1084" s="771">
        <v>391500</v>
      </c>
      <c r="J1084" s="771">
        <v>543500</v>
      </c>
      <c r="K1084" s="771">
        <v>525000</v>
      </c>
      <c r="L1084" s="771">
        <v>435500</v>
      </c>
      <c r="M1084" s="771">
        <v>596500</v>
      </c>
      <c r="N1084" s="771">
        <v>677500</v>
      </c>
      <c r="O1084" s="771">
        <v>158500</v>
      </c>
      <c r="P1084" s="1497">
        <f t="shared" si="87"/>
        <v>1961000</v>
      </c>
      <c r="Q1084" s="1151">
        <f t="shared" si="88"/>
        <v>3847500</v>
      </c>
      <c r="R1084" s="770"/>
      <c r="S1084" s="771"/>
      <c r="T1084" s="771"/>
      <c r="U1084" s="771"/>
      <c r="V1084" s="771"/>
      <c r="W1084" s="771"/>
      <c r="X1084" s="771"/>
      <c r="Y1084" s="771"/>
      <c r="Z1084" s="771"/>
      <c r="AA1084" s="771"/>
      <c r="AB1084" s="771"/>
      <c r="AC1084" s="771"/>
      <c r="AD1084" s="1151">
        <f t="shared" si="84"/>
        <v>0</v>
      </c>
      <c r="AE1084" s="925">
        <f t="shared" si="85"/>
        <v>-1</v>
      </c>
      <c r="AF1084" s="926">
        <f t="shared" si="86"/>
        <v>983</v>
      </c>
    </row>
    <row r="1085" spans="1:32" x14ac:dyDescent="0.3">
      <c r="A1085" s="323" t="s">
        <v>1361</v>
      </c>
      <c r="B1085" s="924" t="s">
        <v>1363</v>
      </c>
      <c r="C1085" s="770">
        <v>127500</v>
      </c>
      <c r="D1085" s="771">
        <v>178000</v>
      </c>
      <c r="E1085" s="771">
        <v>535500</v>
      </c>
      <c r="F1085" s="771">
        <v>0</v>
      </c>
      <c r="G1085" s="771">
        <v>12000</v>
      </c>
      <c r="H1085" s="771">
        <v>0</v>
      </c>
      <c r="I1085" s="771">
        <v>0</v>
      </c>
      <c r="J1085" s="771">
        <v>0</v>
      </c>
      <c r="K1085" s="771">
        <v>0</v>
      </c>
      <c r="L1085" s="771">
        <v>0</v>
      </c>
      <c r="M1085" s="771">
        <v>0</v>
      </c>
      <c r="N1085" s="771">
        <v>0</v>
      </c>
      <c r="O1085" s="771" t="s">
        <v>251</v>
      </c>
      <c r="P1085" s="1497">
        <f t="shared" si="87"/>
        <v>853000</v>
      </c>
      <c r="Q1085" s="1151">
        <f t="shared" si="88"/>
        <v>853000</v>
      </c>
      <c r="R1085" s="770"/>
      <c r="S1085" s="771"/>
      <c r="T1085" s="771"/>
      <c r="U1085" s="771"/>
      <c r="V1085" s="771"/>
      <c r="W1085" s="771"/>
      <c r="X1085" s="771"/>
      <c r="Y1085" s="771"/>
      <c r="Z1085" s="771"/>
      <c r="AA1085" s="771"/>
      <c r="AB1085" s="771"/>
      <c r="AC1085" s="771"/>
      <c r="AD1085" s="1151">
        <f t="shared" ref="AD1085:AD1152" si="89">SUM(R1085:AC1085)</f>
        <v>0</v>
      </c>
      <c r="AE1085" s="925">
        <f t="shared" ref="AE1085:AE1152" si="90">IF(OR(AD1085="", P1085=""), 0, IFERROR((AD1085-P1085)/P1085, IF(AD1085&lt;&gt;0, 1, 0)))</f>
        <v>-1</v>
      </c>
      <c r="AF1085" s="926">
        <f t="shared" si="86"/>
        <v>983</v>
      </c>
    </row>
    <row r="1086" spans="1:32" x14ac:dyDescent="0.3">
      <c r="A1086" s="323" t="s">
        <v>1361</v>
      </c>
      <c r="B1086" s="924" t="s">
        <v>1136</v>
      </c>
      <c r="C1086" s="770">
        <v>495000</v>
      </c>
      <c r="D1086" s="771">
        <v>0</v>
      </c>
      <c r="E1086" s="771"/>
      <c r="F1086" s="771">
        <v>0</v>
      </c>
      <c r="G1086" s="771">
        <v>0</v>
      </c>
      <c r="H1086" s="771">
        <v>182500</v>
      </c>
      <c r="I1086" s="771">
        <v>0</v>
      </c>
      <c r="J1086" s="771">
        <v>0</v>
      </c>
      <c r="K1086" s="771">
        <v>0</v>
      </c>
      <c r="L1086" s="771">
        <v>146000</v>
      </c>
      <c r="M1086" s="771">
        <v>0</v>
      </c>
      <c r="N1086" s="771">
        <v>0</v>
      </c>
      <c r="O1086" s="771" t="s">
        <v>251</v>
      </c>
      <c r="P1086" s="1497">
        <f t="shared" si="87"/>
        <v>677500</v>
      </c>
      <c r="Q1086" s="1151">
        <f t="shared" si="88"/>
        <v>823500</v>
      </c>
      <c r="R1086" s="770">
        <v>356000</v>
      </c>
      <c r="S1086" s="771"/>
      <c r="T1086" s="771">
        <v>0</v>
      </c>
      <c r="U1086" s="771">
        <v>0</v>
      </c>
      <c r="V1086" s="771">
        <v>422500</v>
      </c>
      <c r="W1086" s="771">
        <v>0</v>
      </c>
      <c r="X1086" s="771">
        <v>0</v>
      </c>
      <c r="Y1086" s="771">
        <v>0</v>
      </c>
      <c r="Z1086" s="771"/>
      <c r="AA1086" s="771"/>
      <c r="AB1086" s="771"/>
      <c r="AC1086" s="771"/>
      <c r="AD1086" s="1151">
        <f t="shared" si="89"/>
        <v>778500</v>
      </c>
      <c r="AE1086" s="925">
        <f t="shared" si="90"/>
        <v>0.14907749077490776</v>
      </c>
      <c r="AF1086" s="926">
        <f t="shared" si="86"/>
        <v>359</v>
      </c>
    </row>
    <row r="1087" spans="1:32" x14ac:dyDescent="0.3">
      <c r="A1087" s="323" t="s">
        <v>1361</v>
      </c>
      <c r="B1087" s="924" t="s">
        <v>2157</v>
      </c>
      <c r="C1087" s="770"/>
      <c r="D1087" s="771">
        <v>0</v>
      </c>
      <c r="E1087" s="771"/>
      <c r="F1087" s="771">
        <v>0</v>
      </c>
      <c r="G1087" s="771">
        <v>0</v>
      </c>
      <c r="H1087" s="771">
        <v>0</v>
      </c>
      <c r="I1087" s="771">
        <v>0</v>
      </c>
      <c r="J1087" s="771">
        <v>89500</v>
      </c>
      <c r="K1087" s="771">
        <v>89500</v>
      </c>
      <c r="L1087" s="771">
        <v>8500</v>
      </c>
      <c r="M1087" s="771">
        <v>0</v>
      </c>
      <c r="N1087" s="771">
        <v>0</v>
      </c>
      <c r="O1087" s="771" t="s">
        <v>251</v>
      </c>
      <c r="P1087" s="1497">
        <f t="shared" si="87"/>
        <v>89500</v>
      </c>
      <c r="Q1087" s="1151">
        <f t="shared" si="88"/>
        <v>98000</v>
      </c>
      <c r="R1087" s="770"/>
      <c r="S1087" s="771"/>
      <c r="T1087" s="771"/>
      <c r="U1087" s="771"/>
      <c r="V1087" s="771"/>
      <c r="W1087" s="771"/>
      <c r="X1087" s="771"/>
      <c r="Y1087" s="771"/>
      <c r="Z1087" s="771"/>
      <c r="AA1087" s="771"/>
      <c r="AB1087" s="771"/>
      <c r="AC1087" s="771"/>
      <c r="AD1087" s="1151">
        <f t="shared" si="89"/>
        <v>0</v>
      </c>
      <c r="AE1087" s="925">
        <f t="shared" si="90"/>
        <v>-1</v>
      </c>
      <c r="AF1087" s="926">
        <f t="shared" si="86"/>
        <v>983</v>
      </c>
    </row>
    <row r="1088" spans="1:32" x14ac:dyDescent="0.3">
      <c r="A1088" s="323" t="s">
        <v>1361</v>
      </c>
      <c r="B1088" s="924" t="s">
        <v>1359</v>
      </c>
      <c r="C1088" s="770"/>
      <c r="D1088" s="771"/>
      <c r="E1088" s="771"/>
      <c r="F1088" s="771"/>
      <c r="G1088" s="771"/>
      <c r="H1088" s="771"/>
      <c r="I1088" s="771"/>
      <c r="J1088" s="771"/>
      <c r="K1088" s="771"/>
      <c r="L1088" s="771"/>
      <c r="M1088" s="771"/>
      <c r="N1088" s="771"/>
      <c r="O1088" s="771"/>
      <c r="P1088" s="1497">
        <f t="shared" si="87"/>
        <v>0</v>
      </c>
      <c r="Q1088" s="1151">
        <f t="shared" si="88"/>
        <v>0</v>
      </c>
      <c r="R1088" s="770">
        <v>141000</v>
      </c>
      <c r="S1088" s="771"/>
      <c r="T1088" s="771">
        <v>0</v>
      </c>
      <c r="U1088" s="771">
        <v>0</v>
      </c>
      <c r="V1088" s="771">
        <v>0</v>
      </c>
      <c r="W1088" s="771">
        <v>0</v>
      </c>
      <c r="X1088" s="771">
        <v>0</v>
      </c>
      <c r="Y1088" s="771">
        <v>0</v>
      </c>
      <c r="Z1088" s="771"/>
      <c r="AA1088" s="771"/>
      <c r="AB1088" s="771"/>
      <c r="AC1088" s="771"/>
      <c r="AD1088" s="1151">
        <f t="shared" si="89"/>
        <v>141000</v>
      </c>
      <c r="AE1088" s="925">
        <f t="shared" si="90"/>
        <v>1</v>
      </c>
      <c r="AF1088" s="926">
        <f t="shared" si="86"/>
        <v>681</v>
      </c>
    </row>
    <row r="1089" spans="1:32" x14ac:dyDescent="0.3">
      <c r="A1089" s="323" t="s">
        <v>1361</v>
      </c>
      <c r="B1089" s="924" t="s">
        <v>2691</v>
      </c>
      <c r="C1089" s="770"/>
      <c r="D1089" s="771"/>
      <c r="E1089" s="771"/>
      <c r="F1089" s="771"/>
      <c r="G1089" s="771"/>
      <c r="H1089" s="771"/>
      <c r="I1089" s="771"/>
      <c r="J1089" s="771"/>
      <c r="K1089" s="771"/>
      <c r="L1089" s="771"/>
      <c r="M1089" s="771"/>
      <c r="N1089" s="771"/>
      <c r="O1089" s="771"/>
      <c r="P1089" s="1497">
        <f t="shared" si="87"/>
        <v>0</v>
      </c>
      <c r="Q1089" s="1151">
        <f t="shared" si="88"/>
        <v>0</v>
      </c>
      <c r="R1089" s="770"/>
      <c r="S1089" s="771"/>
      <c r="T1089" s="771"/>
      <c r="U1089" s="771">
        <v>174000</v>
      </c>
      <c r="V1089" s="771">
        <v>687500</v>
      </c>
      <c r="W1089" s="771">
        <v>181500</v>
      </c>
      <c r="X1089" s="771">
        <v>0</v>
      </c>
      <c r="Y1089" s="771">
        <v>896000</v>
      </c>
      <c r="Z1089" s="771"/>
      <c r="AA1089" s="771"/>
      <c r="AB1089" s="771"/>
      <c r="AC1089" s="771"/>
      <c r="AD1089" s="1151">
        <f t="shared" si="89"/>
        <v>1939000</v>
      </c>
      <c r="AE1089" s="925">
        <f t="shared" si="90"/>
        <v>1</v>
      </c>
      <c r="AF1089" s="926">
        <f t="shared" si="86"/>
        <v>216</v>
      </c>
    </row>
    <row r="1090" spans="1:32" x14ac:dyDescent="0.3">
      <c r="A1090" s="325" t="s">
        <v>1364</v>
      </c>
      <c r="B1090" s="927" t="s">
        <v>1193</v>
      </c>
      <c r="C1090" s="772"/>
      <c r="D1090" s="773">
        <v>2072200</v>
      </c>
      <c r="E1090" s="773">
        <v>639000</v>
      </c>
      <c r="F1090" s="773">
        <v>277800</v>
      </c>
      <c r="G1090" s="773">
        <v>0</v>
      </c>
      <c r="H1090" s="773">
        <v>0</v>
      </c>
      <c r="I1090" s="773">
        <v>0</v>
      </c>
      <c r="J1090" s="773">
        <v>0</v>
      </c>
      <c r="K1090" s="773">
        <v>0</v>
      </c>
      <c r="L1090" s="773">
        <v>0</v>
      </c>
      <c r="M1090" s="773">
        <v>0</v>
      </c>
      <c r="N1090" s="773">
        <v>0</v>
      </c>
      <c r="O1090" s="773" t="s">
        <v>251</v>
      </c>
      <c r="P1090" s="1497">
        <f t="shared" si="87"/>
        <v>2989000</v>
      </c>
      <c r="Q1090" s="1152">
        <f t="shared" si="88"/>
        <v>2989000</v>
      </c>
      <c r="R1090" s="772"/>
      <c r="S1090" s="773"/>
      <c r="T1090" s="773"/>
      <c r="U1090" s="773"/>
      <c r="V1090" s="773"/>
      <c r="W1090" s="773"/>
      <c r="X1090" s="773"/>
      <c r="Y1090" s="773"/>
      <c r="Z1090" s="773"/>
      <c r="AA1090" s="773"/>
      <c r="AB1090" s="773"/>
      <c r="AC1090" s="773"/>
      <c r="AD1090" s="1152">
        <f t="shared" si="89"/>
        <v>0</v>
      </c>
      <c r="AE1090" s="928">
        <f t="shared" si="90"/>
        <v>-1</v>
      </c>
      <c r="AF1090" s="929">
        <f t="shared" si="86"/>
        <v>983</v>
      </c>
    </row>
    <row r="1091" spans="1:32" x14ac:dyDescent="0.3">
      <c r="A1091" s="325" t="s">
        <v>1364</v>
      </c>
      <c r="B1091" s="927" t="s">
        <v>1281</v>
      </c>
      <c r="C1091" s="772">
        <v>619500</v>
      </c>
      <c r="D1091" s="773">
        <v>0</v>
      </c>
      <c r="E1091" s="773"/>
      <c r="F1091" s="773">
        <v>0</v>
      </c>
      <c r="G1091" s="773">
        <v>0</v>
      </c>
      <c r="H1091" s="773">
        <v>0</v>
      </c>
      <c r="I1091" s="773">
        <v>31500</v>
      </c>
      <c r="J1091" s="773">
        <v>0</v>
      </c>
      <c r="K1091" s="773">
        <v>0</v>
      </c>
      <c r="L1091" s="773">
        <v>0</v>
      </c>
      <c r="M1091" s="773">
        <v>0</v>
      </c>
      <c r="N1091" s="773">
        <v>0</v>
      </c>
      <c r="O1091" s="773" t="s">
        <v>251</v>
      </c>
      <c r="P1091" s="1497">
        <f t="shared" si="87"/>
        <v>651000</v>
      </c>
      <c r="Q1091" s="1152">
        <f t="shared" si="88"/>
        <v>651000</v>
      </c>
      <c r="R1091" s="772"/>
      <c r="S1091" s="773"/>
      <c r="T1091" s="773"/>
      <c r="U1091" s="773"/>
      <c r="V1091" s="773"/>
      <c r="W1091" s="773"/>
      <c r="X1091" s="773"/>
      <c r="Y1091" s="773"/>
      <c r="Z1091" s="773"/>
      <c r="AA1091" s="773"/>
      <c r="AB1091" s="773"/>
      <c r="AC1091" s="773"/>
      <c r="AD1091" s="1152">
        <f t="shared" si="89"/>
        <v>0</v>
      </c>
      <c r="AE1091" s="928">
        <f t="shared" si="90"/>
        <v>-1</v>
      </c>
      <c r="AF1091" s="929">
        <f t="shared" si="86"/>
        <v>983</v>
      </c>
    </row>
    <row r="1092" spans="1:32" x14ac:dyDescent="0.3">
      <c r="A1092" s="325" t="s">
        <v>1364</v>
      </c>
      <c r="B1092" s="927" t="s">
        <v>1365</v>
      </c>
      <c r="C1092" s="772"/>
      <c r="D1092" s="773">
        <v>0</v>
      </c>
      <c r="E1092" s="773"/>
      <c r="F1092" s="773">
        <v>0</v>
      </c>
      <c r="G1092" s="773">
        <v>37600</v>
      </c>
      <c r="H1092" s="773">
        <v>0</v>
      </c>
      <c r="I1092" s="773">
        <v>0</v>
      </c>
      <c r="J1092" s="773">
        <v>0</v>
      </c>
      <c r="K1092" s="773">
        <v>0</v>
      </c>
      <c r="L1092" s="773">
        <v>0</v>
      </c>
      <c r="M1092" s="773">
        <v>0</v>
      </c>
      <c r="N1092" s="773">
        <v>0</v>
      </c>
      <c r="O1092" s="773" t="s">
        <v>251</v>
      </c>
      <c r="P1092" s="1497">
        <f t="shared" si="87"/>
        <v>37600</v>
      </c>
      <c r="Q1092" s="1152">
        <f t="shared" si="88"/>
        <v>37600</v>
      </c>
      <c r="R1092" s="772"/>
      <c r="S1092" s="773"/>
      <c r="T1092" s="773"/>
      <c r="U1092" s="773"/>
      <c r="V1092" s="773"/>
      <c r="W1092" s="773"/>
      <c r="X1092" s="773"/>
      <c r="Y1092" s="773"/>
      <c r="Z1092" s="773"/>
      <c r="AA1092" s="773"/>
      <c r="AB1092" s="773"/>
      <c r="AC1092" s="773"/>
      <c r="AD1092" s="1152">
        <f t="shared" si="89"/>
        <v>0</v>
      </c>
      <c r="AE1092" s="928">
        <f t="shared" si="90"/>
        <v>-1</v>
      </c>
      <c r="AF1092" s="929">
        <f t="shared" si="86"/>
        <v>983</v>
      </c>
    </row>
    <row r="1093" spans="1:32" x14ac:dyDescent="0.3">
      <c r="A1093" s="325" t="s">
        <v>1364</v>
      </c>
      <c r="B1093" s="927" t="s">
        <v>1611</v>
      </c>
      <c r="C1093" s="772"/>
      <c r="D1093" s="773" t="s">
        <v>251</v>
      </c>
      <c r="E1093" s="773"/>
      <c r="F1093" s="773"/>
      <c r="G1093" s="773" t="s">
        <v>251</v>
      </c>
      <c r="H1093" s="773" t="s">
        <v>251</v>
      </c>
      <c r="I1093" s="773" t="s">
        <v>251</v>
      </c>
      <c r="J1093" s="773"/>
      <c r="K1093" s="773"/>
      <c r="L1093" s="773"/>
      <c r="M1093" s="773"/>
      <c r="N1093" s="773"/>
      <c r="O1093" s="773">
        <v>504900</v>
      </c>
      <c r="P1093" s="1497">
        <f t="shared" si="87"/>
        <v>0</v>
      </c>
      <c r="Q1093" s="1152">
        <f t="shared" si="88"/>
        <v>504900</v>
      </c>
      <c r="R1093" s="772"/>
      <c r="S1093" s="773"/>
      <c r="T1093" s="773"/>
      <c r="U1093" s="773"/>
      <c r="V1093" s="773"/>
      <c r="W1093" s="773"/>
      <c r="X1093" s="773"/>
      <c r="Y1093" s="773"/>
      <c r="Z1093" s="773"/>
      <c r="AA1093" s="773"/>
      <c r="AB1093" s="773"/>
      <c r="AC1093" s="773"/>
      <c r="AD1093" s="1152">
        <f t="shared" si="89"/>
        <v>0</v>
      </c>
      <c r="AE1093" s="928">
        <f t="shared" si="90"/>
        <v>0</v>
      </c>
      <c r="AF1093" s="929">
        <f t="shared" si="86"/>
        <v>983</v>
      </c>
    </row>
    <row r="1094" spans="1:32" x14ac:dyDescent="0.3">
      <c r="A1094" s="774" t="s">
        <v>2158</v>
      </c>
      <c r="B1094" s="930" t="s">
        <v>2159</v>
      </c>
      <c r="C1094" s="775"/>
      <c r="D1094" s="776" t="s">
        <v>251</v>
      </c>
      <c r="E1094" s="776"/>
      <c r="F1094" s="776" t="s">
        <v>251</v>
      </c>
      <c r="G1094" s="776" t="s">
        <v>251</v>
      </c>
      <c r="H1094" s="776" t="s">
        <v>251</v>
      </c>
      <c r="I1094" s="776" t="s">
        <v>251</v>
      </c>
      <c r="J1094" s="776" t="s">
        <v>251</v>
      </c>
      <c r="K1094" s="776"/>
      <c r="L1094" s="776" t="s">
        <v>251</v>
      </c>
      <c r="M1094" s="776" t="s">
        <v>251</v>
      </c>
      <c r="N1094" s="776" t="s">
        <v>251</v>
      </c>
      <c r="O1094" s="776" t="s">
        <v>251</v>
      </c>
      <c r="P1094" s="1497">
        <f t="shared" si="87"/>
        <v>0</v>
      </c>
      <c r="Q1094" s="1153">
        <f t="shared" si="88"/>
        <v>0</v>
      </c>
      <c r="R1094" s="775"/>
      <c r="S1094" s="776"/>
      <c r="T1094" s="776"/>
      <c r="U1094" s="776"/>
      <c r="V1094" s="776"/>
      <c r="W1094" s="776"/>
      <c r="X1094" s="776"/>
      <c r="Y1094" s="776"/>
      <c r="Z1094" s="776"/>
      <c r="AA1094" s="776"/>
      <c r="AB1094" s="776"/>
      <c r="AC1094" s="776"/>
      <c r="AD1094" s="1153">
        <f t="shared" si="89"/>
        <v>0</v>
      </c>
      <c r="AE1094" s="931">
        <f t="shared" si="90"/>
        <v>0</v>
      </c>
      <c r="AF1094" s="932">
        <f t="shared" ref="AF1094:AF1157" si="91">IFERROR(_xlfn.RANK.EQ(AD1094, $AD$2:$AD$2064), "")</f>
        <v>983</v>
      </c>
    </row>
    <row r="1095" spans="1:32" x14ac:dyDescent="0.3">
      <c r="A1095" s="327" t="s">
        <v>693</v>
      </c>
      <c r="B1095" s="933" t="s">
        <v>693</v>
      </c>
      <c r="C1095" s="777">
        <v>1038100</v>
      </c>
      <c r="D1095" s="778">
        <v>463150</v>
      </c>
      <c r="E1095" s="778">
        <v>596750</v>
      </c>
      <c r="F1095" s="778">
        <v>677990</v>
      </c>
      <c r="G1095" s="778">
        <v>830900</v>
      </c>
      <c r="H1095" s="778">
        <v>961250</v>
      </c>
      <c r="I1095" s="778">
        <v>1516320</v>
      </c>
      <c r="J1095" s="778">
        <v>841950</v>
      </c>
      <c r="K1095" s="778">
        <v>589450</v>
      </c>
      <c r="L1095" s="778">
        <v>804850</v>
      </c>
      <c r="M1095" s="778">
        <v>1485480</v>
      </c>
      <c r="N1095" s="778">
        <v>531450</v>
      </c>
      <c r="O1095" s="778">
        <v>1318720</v>
      </c>
      <c r="P1095" s="1497">
        <f t="shared" si="87"/>
        <v>6673910</v>
      </c>
      <c r="Q1095" s="1154">
        <f t="shared" si="88"/>
        <v>11066910</v>
      </c>
      <c r="R1095" s="777">
        <v>1568360</v>
      </c>
      <c r="S1095" s="778">
        <v>899150</v>
      </c>
      <c r="T1095" s="778">
        <v>1238510</v>
      </c>
      <c r="U1095" s="778">
        <v>2778560</v>
      </c>
      <c r="V1095" s="778">
        <v>1147620</v>
      </c>
      <c r="W1095" s="778">
        <v>952700</v>
      </c>
      <c r="X1095" s="778">
        <v>1113800</v>
      </c>
      <c r="Y1095" s="778">
        <v>202000</v>
      </c>
      <c r="Z1095" s="778"/>
      <c r="AA1095" s="778"/>
      <c r="AB1095" s="778"/>
      <c r="AC1095" s="778"/>
      <c r="AD1095" s="1154">
        <f t="shared" si="89"/>
        <v>9900700</v>
      </c>
      <c r="AE1095" s="934">
        <f t="shared" si="90"/>
        <v>0.48349318465487245</v>
      </c>
      <c r="AF1095" s="935">
        <f t="shared" si="91"/>
        <v>34</v>
      </c>
    </row>
    <row r="1096" spans="1:32" x14ac:dyDescent="0.3">
      <c r="A1096" s="327" t="s">
        <v>693</v>
      </c>
      <c r="B1096" s="933" t="s">
        <v>694</v>
      </c>
      <c r="C1096" s="777">
        <v>0</v>
      </c>
      <c r="D1096" s="778">
        <v>41100</v>
      </c>
      <c r="E1096" s="778"/>
      <c r="F1096" s="778">
        <v>0</v>
      </c>
      <c r="G1096" s="778">
        <v>0</v>
      </c>
      <c r="H1096" s="778">
        <v>0</v>
      </c>
      <c r="I1096" s="778">
        <v>0</v>
      </c>
      <c r="J1096" s="778">
        <v>0</v>
      </c>
      <c r="K1096" s="778">
        <v>0</v>
      </c>
      <c r="L1096" s="778">
        <v>0</v>
      </c>
      <c r="M1096" s="778">
        <v>0</v>
      </c>
      <c r="N1096" s="778">
        <v>0</v>
      </c>
      <c r="O1096" s="778" t="s">
        <v>251</v>
      </c>
      <c r="P1096" s="1497">
        <f t="shared" si="87"/>
        <v>41100</v>
      </c>
      <c r="Q1096" s="1154">
        <f t="shared" si="88"/>
        <v>41100</v>
      </c>
      <c r="R1096" s="777"/>
      <c r="S1096" s="778"/>
      <c r="T1096" s="778"/>
      <c r="U1096" s="778"/>
      <c r="V1096" s="778"/>
      <c r="W1096" s="778"/>
      <c r="X1096" s="778"/>
      <c r="Y1096" s="778"/>
      <c r="Z1096" s="778"/>
      <c r="AA1096" s="778"/>
      <c r="AB1096" s="778"/>
      <c r="AC1096" s="778"/>
      <c r="AD1096" s="1154">
        <f t="shared" si="89"/>
        <v>0</v>
      </c>
      <c r="AE1096" s="934">
        <f t="shared" si="90"/>
        <v>-1</v>
      </c>
      <c r="AF1096" s="935">
        <f t="shared" si="91"/>
        <v>983</v>
      </c>
    </row>
    <row r="1097" spans="1:32" x14ac:dyDescent="0.3">
      <c r="A1097" s="329" t="s">
        <v>1366</v>
      </c>
      <c r="B1097" s="936" t="s">
        <v>1367</v>
      </c>
      <c r="C1097" s="779">
        <v>1213600</v>
      </c>
      <c r="D1097" s="780">
        <v>0</v>
      </c>
      <c r="E1097" s="780"/>
      <c r="F1097" s="780">
        <v>1737900</v>
      </c>
      <c r="G1097" s="780">
        <v>324500</v>
      </c>
      <c r="H1097" s="780">
        <v>0</v>
      </c>
      <c r="I1097" s="780">
        <v>0</v>
      </c>
      <c r="J1097" s="780">
        <v>0</v>
      </c>
      <c r="K1097" s="780">
        <v>0</v>
      </c>
      <c r="L1097" s="780">
        <v>0</v>
      </c>
      <c r="M1097" s="780">
        <v>583200</v>
      </c>
      <c r="N1097" s="780">
        <v>582600</v>
      </c>
      <c r="O1097" s="780">
        <v>3386800</v>
      </c>
      <c r="P1097" s="1497">
        <f t="shared" si="87"/>
        <v>3276000</v>
      </c>
      <c r="Q1097" s="1155">
        <f t="shared" si="88"/>
        <v>7828600</v>
      </c>
      <c r="R1097" s="779">
        <v>1010200</v>
      </c>
      <c r="S1097" s="780"/>
      <c r="T1097" s="780">
        <v>549900</v>
      </c>
      <c r="U1097" s="780">
        <v>581400</v>
      </c>
      <c r="V1097" s="780">
        <v>0</v>
      </c>
      <c r="W1097" s="780">
        <v>0</v>
      </c>
      <c r="X1097" s="780">
        <v>0</v>
      </c>
      <c r="Y1097" s="780">
        <v>0</v>
      </c>
      <c r="Z1097" s="780"/>
      <c r="AA1097" s="780"/>
      <c r="AB1097" s="780"/>
      <c r="AC1097" s="780"/>
      <c r="AD1097" s="1155">
        <f t="shared" si="89"/>
        <v>2141500</v>
      </c>
      <c r="AE1097" s="937">
        <f t="shared" si="90"/>
        <v>-0.3463064713064713</v>
      </c>
      <c r="AF1097" s="938">
        <f t="shared" si="91"/>
        <v>202</v>
      </c>
    </row>
    <row r="1098" spans="1:32" x14ac:dyDescent="0.3">
      <c r="A1098" s="329" t="s">
        <v>1366</v>
      </c>
      <c r="B1098" s="936" t="s">
        <v>1366</v>
      </c>
      <c r="C1098" s="779" t="s">
        <v>251</v>
      </c>
      <c r="D1098" s="780" t="s">
        <v>251</v>
      </c>
      <c r="E1098" s="780" t="s">
        <v>251</v>
      </c>
      <c r="F1098" s="780" t="s">
        <v>251</v>
      </c>
      <c r="G1098" s="780" t="s">
        <v>251</v>
      </c>
      <c r="H1098" s="780" t="s">
        <v>251</v>
      </c>
      <c r="I1098" s="780" t="s">
        <v>251</v>
      </c>
      <c r="J1098" s="780" t="s">
        <v>251</v>
      </c>
      <c r="K1098" s="780"/>
      <c r="L1098" s="780" t="s">
        <v>251</v>
      </c>
      <c r="M1098" s="780" t="s">
        <v>251</v>
      </c>
      <c r="N1098" s="780" t="s">
        <v>251</v>
      </c>
      <c r="O1098" s="780" t="s">
        <v>251</v>
      </c>
      <c r="P1098" s="1497">
        <f t="shared" si="87"/>
        <v>0</v>
      </c>
      <c r="Q1098" s="1155">
        <f t="shared" si="88"/>
        <v>0</v>
      </c>
      <c r="R1098" s="779"/>
      <c r="S1098" s="780"/>
      <c r="T1098" s="780"/>
      <c r="U1098" s="780"/>
      <c r="V1098" s="780"/>
      <c r="W1098" s="780"/>
      <c r="X1098" s="780"/>
      <c r="Y1098" s="780"/>
      <c r="Z1098" s="780"/>
      <c r="AA1098" s="780"/>
      <c r="AB1098" s="780"/>
      <c r="AC1098" s="780"/>
      <c r="AD1098" s="1155">
        <f t="shared" si="89"/>
        <v>0</v>
      </c>
      <c r="AE1098" s="937">
        <f t="shared" si="90"/>
        <v>0</v>
      </c>
      <c r="AF1098" s="938">
        <f t="shared" si="91"/>
        <v>983</v>
      </c>
    </row>
    <row r="1099" spans="1:32" x14ac:dyDescent="0.3">
      <c r="A1099" s="331" t="s">
        <v>1368</v>
      </c>
      <c r="B1099" s="939" t="s">
        <v>1198</v>
      </c>
      <c r="C1099" s="781">
        <v>477800</v>
      </c>
      <c r="D1099" s="782">
        <v>0</v>
      </c>
      <c r="E1099" s="782"/>
      <c r="F1099" s="782">
        <v>310800</v>
      </c>
      <c r="G1099" s="782">
        <v>35000</v>
      </c>
      <c r="H1099" s="782">
        <v>204700</v>
      </c>
      <c r="I1099" s="782">
        <v>1065400</v>
      </c>
      <c r="J1099" s="782">
        <v>65200</v>
      </c>
      <c r="K1099" s="782">
        <v>65200</v>
      </c>
      <c r="L1099" s="782">
        <v>0</v>
      </c>
      <c r="M1099" s="782">
        <v>95000</v>
      </c>
      <c r="N1099" s="782">
        <v>477800</v>
      </c>
      <c r="O1099" s="782">
        <v>2269600</v>
      </c>
      <c r="P1099" s="1497">
        <f t="shared" si="87"/>
        <v>2158900</v>
      </c>
      <c r="Q1099" s="1156">
        <f t="shared" si="88"/>
        <v>5001300</v>
      </c>
      <c r="R1099" s="781">
        <v>1278700</v>
      </c>
      <c r="S1099" s="782">
        <v>454300</v>
      </c>
      <c r="T1099" s="782">
        <v>177900</v>
      </c>
      <c r="U1099" s="782">
        <v>252900</v>
      </c>
      <c r="V1099" s="782">
        <v>706000</v>
      </c>
      <c r="W1099" s="782">
        <v>169900</v>
      </c>
      <c r="X1099" s="782">
        <v>277400</v>
      </c>
      <c r="Y1099" s="782">
        <v>0</v>
      </c>
      <c r="Z1099" s="782"/>
      <c r="AA1099" s="782"/>
      <c r="AB1099" s="782"/>
      <c r="AC1099" s="782"/>
      <c r="AD1099" s="1156">
        <f t="shared" si="89"/>
        <v>3317100</v>
      </c>
      <c r="AE1099" s="940">
        <f t="shared" si="90"/>
        <v>0.53647690953726435</v>
      </c>
      <c r="AF1099" s="941">
        <f t="shared" si="91"/>
        <v>137</v>
      </c>
    </row>
    <row r="1100" spans="1:32" x14ac:dyDescent="0.3">
      <c r="A1100" s="331" t="s">
        <v>1368</v>
      </c>
      <c r="B1100" s="939" t="s">
        <v>1369</v>
      </c>
      <c r="C1100" s="781">
        <v>341800</v>
      </c>
      <c r="D1100" s="782">
        <v>101900</v>
      </c>
      <c r="E1100" s="782">
        <v>171800</v>
      </c>
      <c r="F1100" s="782">
        <v>76000</v>
      </c>
      <c r="G1100" s="782">
        <v>0</v>
      </c>
      <c r="H1100" s="782">
        <v>117100</v>
      </c>
      <c r="I1100" s="782">
        <v>74600</v>
      </c>
      <c r="J1100" s="782">
        <v>334400</v>
      </c>
      <c r="K1100" s="782">
        <v>248200</v>
      </c>
      <c r="L1100" s="782">
        <v>381900</v>
      </c>
      <c r="M1100" s="782">
        <v>94600</v>
      </c>
      <c r="N1100" s="782">
        <v>372200</v>
      </c>
      <c r="O1100" s="782">
        <v>88600</v>
      </c>
      <c r="P1100" s="1497">
        <f t="shared" si="87"/>
        <v>1131400</v>
      </c>
      <c r="Q1100" s="1156">
        <f t="shared" si="88"/>
        <v>2154900</v>
      </c>
      <c r="R1100" s="781">
        <v>202000</v>
      </c>
      <c r="S1100" s="782"/>
      <c r="T1100" s="782">
        <v>0</v>
      </c>
      <c r="U1100" s="782">
        <v>0</v>
      </c>
      <c r="V1100" s="782">
        <v>0</v>
      </c>
      <c r="W1100" s="782">
        <v>53000</v>
      </c>
      <c r="X1100" s="782">
        <v>0</v>
      </c>
      <c r="Y1100" s="782">
        <v>0</v>
      </c>
      <c r="Z1100" s="782"/>
      <c r="AA1100" s="782"/>
      <c r="AB1100" s="782"/>
      <c r="AC1100" s="782"/>
      <c r="AD1100" s="1156">
        <f t="shared" si="89"/>
        <v>255000</v>
      </c>
      <c r="AE1100" s="940">
        <f t="shared" si="90"/>
        <v>-0.77461552059395444</v>
      </c>
      <c r="AF1100" s="941">
        <f t="shared" si="91"/>
        <v>563</v>
      </c>
    </row>
    <row r="1101" spans="1:32" x14ac:dyDescent="0.3">
      <c r="A1101" s="331" t="s">
        <v>1368</v>
      </c>
      <c r="B1101" s="939" t="s">
        <v>1370</v>
      </c>
      <c r="C1101" s="781"/>
      <c r="D1101" s="782">
        <v>0</v>
      </c>
      <c r="E1101" s="782"/>
      <c r="F1101" s="782">
        <v>0</v>
      </c>
      <c r="G1101" s="782">
        <v>589200</v>
      </c>
      <c r="H1101" s="782">
        <v>23600</v>
      </c>
      <c r="I1101" s="782">
        <v>0</v>
      </c>
      <c r="J1101" s="782">
        <v>0</v>
      </c>
      <c r="K1101" s="782">
        <v>0</v>
      </c>
      <c r="L1101" s="782">
        <v>0</v>
      </c>
      <c r="M1101" s="782">
        <v>0</v>
      </c>
      <c r="N1101" s="782">
        <v>0</v>
      </c>
      <c r="O1101" s="782" t="s">
        <v>251</v>
      </c>
      <c r="P1101" s="1497">
        <f t="shared" si="87"/>
        <v>612800</v>
      </c>
      <c r="Q1101" s="1156">
        <f t="shared" si="88"/>
        <v>612800</v>
      </c>
      <c r="R1101" s="781"/>
      <c r="S1101" s="782"/>
      <c r="T1101" s="782"/>
      <c r="U1101" s="782"/>
      <c r="V1101" s="782">
        <v>26600</v>
      </c>
      <c r="W1101" s="782">
        <v>785200</v>
      </c>
      <c r="X1101" s="782">
        <v>0</v>
      </c>
      <c r="Y1101" s="782">
        <v>0</v>
      </c>
      <c r="Z1101" s="782"/>
      <c r="AA1101" s="782"/>
      <c r="AB1101" s="782"/>
      <c r="AC1101" s="782"/>
      <c r="AD1101" s="1156">
        <f t="shared" si="89"/>
        <v>811800</v>
      </c>
      <c r="AE1101" s="940">
        <f t="shared" si="90"/>
        <v>0.32473890339425587</v>
      </c>
      <c r="AF1101" s="941">
        <f t="shared" si="91"/>
        <v>352</v>
      </c>
    </row>
    <row r="1102" spans="1:32" x14ac:dyDescent="0.3">
      <c r="A1102" s="331" t="s">
        <v>1368</v>
      </c>
      <c r="B1102" s="939" t="s">
        <v>1371</v>
      </c>
      <c r="C1102" s="781"/>
      <c r="D1102" s="782">
        <v>0</v>
      </c>
      <c r="E1102" s="782"/>
      <c r="F1102" s="782">
        <v>188600</v>
      </c>
      <c r="G1102" s="782">
        <v>322500</v>
      </c>
      <c r="H1102" s="782">
        <v>153100</v>
      </c>
      <c r="I1102" s="782">
        <v>0</v>
      </c>
      <c r="J1102" s="782">
        <v>0</v>
      </c>
      <c r="K1102" s="782">
        <v>0</v>
      </c>
      <c r="L1102" s="782">
        <v>0</v>
      </c>
      <c r="M1102" s="782">
        <v>0</v>
      </c>
      <c r="N1102" s="782">
        <v>0</v>
      </c>
      <c r="O1102" s="782" t="s">
        <v>251</v>
      </c>
      <c r="P1102" s="1497">
        <f t="shared" si="87"/>
        <v>664200</v>
      </c>
      <c r="Q1102" s="1156">
        <f t="shared" si="88"/>
        <v>664200</v>
      </c>
      <c r="R1102" s="781"/>
      <c r="S1102" s="782"/>
      <c r="T1102" s="782"/>
      <c r="U1102" s="782"/>
      <c r="V1102" s="782"/>
      <c r="W1102" s="782"/>
      <c r="X1102" s="782"/>
      <c r="Y1102" s="782"/>
      <c r="Z1102" s="782"/>
      <c r="AA1102" s="782"/>
      <c r="AB1102" s="782"/>
      <c r="AC1102" s="782"/>
      <c r="AD1102" s="1156">
        <f t="shared" si="89"/>
        <v>0</v>
      </c>
      <c r="AE1102" s="940">
        <f t="shared" si="90"/>
        <v>-1</v>
      </c>
      <c r="AF1102" s="941">
        <f t="shared" si="91"/>
        <v>983</v>
      </c>
    </row>
    <row r="1103" spans="1:32" x14ac:dyDescent="0.3">
      <c r="A1103" s="331" t="s">
        <v>1368</v>
      </c>
      <c r="B1103" s="939" t="s">
        <v>394</v>
      </c>
      <c r="C1103" s="781"/>
      <c r="D1103" s="782">
        <v>0</v>
      </c>
      <c r="E1103" s="782"/>
      <c r="F1103" s="782">
        <v>0</v>
      </c>
      <c r="G1103" s="782">
        <v>91600</v>
      </c>
      <c r="H1103" s="782">
        <v>328600</v>
      </c>
      <c r="I1103" s="782">
        <v>204600</v>
      </c>
      <c r="J1103" s="782">
        <v>340800</v>
      </c>
      <c r="K1103" s="782">
        <v>219000</v>
      </c>
      <c r="L1103" s="782">
        <v>338200</v>
      </c>
      <c r="M1103" s="782">
        <v>0</v>
      </c>
      <c r="N1103" s="782">
        <v>0</v>
      </c>
      <c r="O1103" s="782">
        <v>244800</v>
      </c>
      <c r="P1103" s="1497">
        <f t="shared" si="87"/>
        <v>843800</v>
      </c>
      <c r="Q1103" s="1156">
        <f t="shared" si="88"/>
        <v>1548600</v>
      </c>
      <c r="R1103" s="781">
        <v>118500</v>
      </c>
      <c r="S1103" s="782"/>
      <c r="T1103" s="782">
        <v>0</v>
      </c>
      <c r="U1103" s="782">
        <v>0</v>
      </c>
      <c r="V1103" s="782">
        <v>198200</v>
      </c>
      <c r="W1103" s="782">
        <v>544400</v>
      </c>
      <c r="X1103" s="782">
        <v>122100</v>
      </c>
      <c r="Y1103" s="782">
        <v>0</v>
      </c>
      <c r="Z1103" s="782"/>
      <c r="AA1103" s="782"/>
      <c r="AB1103" s="782"/>
      <c r="AC1103" s="782"/>
      <c r="AD1103" s="1156">
        <f t="shared" si="89"/>
        <v>983200</v>
      </c>
      <c r="AE1103" s="940">
        <f t="shared" si="90"/>
        <v>0.16520502488741409</v>
      </c>
      <c r="AF1103" s="941">
        <f t="shared" si="91"/>
        <v>321</v>
      </c>
    </row>
    <row r="1104" spans="1:32" x14ac:dyDescent="0.3">
      <c r="A1104" s="331" t="s">
        <v>1368</v>
      </c>
      <c r="B1104" s="939" t="s">
        <v>1372</v>
      </c>
      <c r="C1104" s="781"/>
      <c r="D1104" s="782" t="s">
        <v>251</v>
      </c>
      <c r="E1104" s="782"/>
      <c r="F1104" s="782" t="s">
        <v>251</v>
      </c>
      <c r="G1104" s="782" t="s">
        <v>251</v>
      </c>
      <c r="H1104" s="782" t="s">
        <v>251</v>
      </c>
      <c r="I1104" s="782" t="s">
        <v>251</v>
      </c>
      <c r="J1104" s="782" t="s">
        <v>251</v>
      </c>
      <c r="K1104" s="782"/>
      <c r="L1104" s="782" t="s">
        <v>251</v>
      </c>
      <c r="M1104" s="782" t="s">
        <v>251</v>
      </c>
      <c r="N1104" s="782" t="s">
        <v>251</v>
      </c>
      <c r="O1104" s="782" t="s">
        <v>251</v>
      </c>
      <c r="P1104" s="1497">
        <f t="shared" si="87"/>
        <v>0</v>
      </c>
      <c r="Q1104" s="1156">
        <f t="shared" si="88"/>
        <v>0</v>
      </c>
      <c r="R1104" s="781"/>
      <c r="S1104" s="782"/>
      <c r="T1104" s="782"/>
      <c r="U1104" s="782"/>
      <c r="V1104" s="782"/>
      <c r="W1104" s="782"/>
      <c r="X1104" s="782"/>
      <c r="Y1104" s="782"/>
      <c r="Z1104" s="782"/>
      <c r="AA1104" s="782"/>
      <c r="AB1104" s="782"/>
      <c r="AC1104" s="782"/>
      <c r="AD1104" s="1156">
        <f t="shared" si="89"/>
        <v>0</v>
      </c>
      <c r="AE1104" s="940">
        <f t="shared" si="90"/>
        <v>0</v>
      </c>
      <c r="AF1104" s="941">
        <f t="shared" si="91"/>
        <v>983</v>
      </c>
    </row>
    <row r="1105" spans="1:32" x14ac:dyDescent="0.3">
      <c r="A1105" s="331" t="s">
        <v>1368</v>
      </c>
      <c r="B1105" s="939" t="s">
        <v>1373</v>
      </c>
      <c r="C1105" s="781"/>
      <c r="D1105" s="782" t="s">
        <v>251</v>
      </c>
      <c r="E1105" s="782"/>
      <c r="F1105" s="782" t="s">
        <v>251</v>
      </c>
      <c r="G1105" s="782" t="s">
        <v>251</v>
      </c>
      <c r="H1105" s="782" t="s">
        <v>251</v>
      </c>
      <c r="I1105" s="782" t="s">
        <v>251</v>
      </c>
      <c r="J1105" s="782" t="s">
        <v>251</v>
      </c>
      <c r="K1105" s="782"/>
      <c r="L1105" s="782" t="s">
        <v>251</v>
      </c>
      <c r="M1105" s="782" t="s">
        <v>251</v>
      </c>
      <c r="N1105" s="782" t="s">
        <v>251</v>
      </c>
      <c r="O1105" s="782" t="s">
        <v>251</v>
      </c>
      <c r="P1105" s="1497">
        <f t="shared" si="87"/>
        <v>0</v>
      </c>
      <c r="Q1105" s="1156">
        <f t="shared" si="88"/>
        <v>0</v>
      </c>
      <c r="R1105" s="781"/>
      <c r="S1105" s="782"/>
      <c r="T1105" s="782"/>
      <c r="U1105" s="782"/>
      <c r="V1105" s="782"/>
      <c r="W1105" s="782"/>
      <c r="X1105" s="782"/>
      <c r="Y1105" s="782"/>
      <c r="Z1105" s="782"/>
      <c r="AA1105" s="782"/>
      <c r="AB1105" s="782"/>
      <c r="AC1105" s="782"/>
      <c r="AD1105" s="1156">
        <f t="shared" si="89"/>
        <v>0</v>
      </c>
      <c r="AE1105" s="940">
        <f t="shared" si="90"/>
        <v>0</v>
      </c>
      <c r="AF1105" s="941">
        <f t="shared" si="91"/>
        <v>983</v>
      </c>
    </row>
    <row r="1106" spans="1:32" x14ac:dyDescent="0.3">
      <c r="A1106" s="331" t="s">
        <v>1368</v>
      </c>
      <c r="B1106" s="939" t="s">
        <v>1374</v>
      </c>
      <c r="C1106" s="781"/>
      <c r="D1106" s="782" t="s">
        <v>251</v>
      </c>
      <c r="E1106" s="782"/>
      <c r="F1106" s="782" t="s">
        <v>251</v>
      </c>
      <c r="G1106" s="782" t="s">
        <v>251</v>
      </c>
      <c r="H1106" s="782" t="s">
        <v>251</v>
      </c>
      <c r="I1106" s="782" t="s">
        <v>251</v>
      </c>
      <c r="J1106" s="782" t="s">
        <v>251</v>
      </c>
      <c r="K1106" s="782"/>
      <c r="L1106" s="782" t="s">
        <v>251</v>
      </c>
      <c r="M1106" s="782" t="s">
        <v>251</v>
      </c>
      <c r="N1106" s="782" t="s">
        <v>251</v>
      </c>
      <c r="O1106" s="782" t="s">
        <v>251</v>
      </c>
      <c r="P1106" s="1497">
        <f t="shared" si="87"/>
        <v>0</v>
      </c>
      <c r="Q1106" s="1156">
        <f t="shared" si="88"/>
        <v>0</v>
      </c>
      <c r="R1106" s="781"/>
      <c r="S1106" s="782"/>
      <c r="T1106" s="782"/>
      <c r="U1106" s="782"/>
      <c r="V1106" s="782"/>
      <c r="W1106" s="782"/>
      <c r="X1106" s="782"/>
      <c r="Y1106" s="782"/>
      <c r="Z1106" s="782"/>
      <c r="AA1106" s="782"/>
      <c r="AB1106" s="782"/>
      <c r="AC1106" s="782"/>
      <c r="AD1106" s="1156">
        <f t="shared" si="89"/>
        <v>0</v>
      </c>
      <c r="AE1106" s="940">
        <f t="shared" si="90"/>
        <v>0</v>
      </c>
      <c r="AF1106" s="941">
        <f t="shared" si="91"/>
        <v>983</v>
      </c>
    </row>
    <row r="1107" spans="1:32" x14ac:dyDescent="0.3">
      <c r="A1107" s="331" t="s">
        <v>1368</v>
      </c>
      <c r="B1107" s="939" t="s">
        <v>2160</v>
      </c>
      <c r="C1107" s="781"/>
      <c r="D1107" s="782" t="s">
        <v>251</v>
      </c>
      <c r="E1107" s="782"/>
      <c r="F1107" s="782" t="s">
        <v>251</v>
      </c>
      <c r="G1107" s="782" t="s">
        <v>251</v>
      </c>
      <c r="H1107" s="782" t="s">
        <v>251</v>
      </c>
      <c r="I1107" s="782" t="s">
        <v>251</v>
      </c>
      <c r="J1107" s="782" t="s">
        <v>251</v>
      </c>
      <c r="K1107" s="782"/>
      <c r="L1107" s="782" t="s">
        <v>251</v>
      </c>
      <c r="M1107" s="782" t="s">
        <v>251</v>
      </c>
      <c r="N1107" s="782" t="s">
        <v>251</v>
      </c>
      <c r="O1107" s="782" t="s">
        <v>251</v>
      </c>
      <c r="P1107" s="1497">
        <f t="shared" si="87"/>
        <v>0</v>
      </c>
      <c r="Q1107" s="1156">
        <f t="shared" si="88"/>
        <v>0</v>
      </c>
      <c r="R1107" s="781"/>
      <c r="S1107" s="782"/>
      <c r="T1107" s="782"/>
      <c r="U1107" s="782"/>
      <c r="V1107" s="782"/>
      <c r="W1107" s="782"/>
      <c r="X1107" s="782"/>
      <c r="Y1107" s="782"/>
      <c r="Z1107" s="782"/>
      <c r="AA1107" s="782"/>
      <c r="AB1107" s="782"/>
      <c r="AC1107" s="782"/>
      <c r="AD1107" s="1156">
        <f t="shared" si="89"/>
        <v>0</v>
      </c>
      <c r="AE1107" s="940">
        <f t="shared" si="90"/>
        <v>0</v>
      </c>
      <c r="AF1107" s="941">
        <f t="shared" si="91"/>
        <v>983</v>
      </c>
    </row>
    <row r="1108" spans="1:32" x14ac:dyDescent="0.3">
      <c r="A1108" s="331" t="s">
        <v>1368</v>
      </c>
      <c r="B1108" s="939" t="s">
        <v>2161</v>
      </c>
      <c r="C1108" s="781"/>
      <c r="D1108" s="782" t="s">
        <v>251</v>
      </c>
      <c r="E1108" s="782"/>
      <c r="F1108" s="782">
        <v>0</v>
      </c>
      <c r="G1108" s="782">
        <v>0</v>
      </c>
      <c r="H1108" s="782">
        <v>0</v>
      </c>
      <c r="I1108" s="782" t="s">
        <v>251</v>
      </c>
      <c r="J1108" s="782">
        <v>0</v>
      </c>
      <c r="K1108" s="782"/>
      <c r="L1108" s="782">
        <v>0</v>
      </c>
      <c r="M1108" s="782">
        <v>114100</v>
      </c>
      <c r="N1108" s="782">
        <v>0</v>
      </c>
      <c r="O1108" s="782" t="s">
        <v>251</v>
      </c>
      <c r="P1108" s="1497">
        <f t="shared" ref="P1108:P1173" si="92">SUM(C1108:I1108,K1108)</f>
        <v>0</v>
      </c>
      <c r="Q1108" s="1156">
        <f t="shared" ref="Q1108:Q1173" si="93">SUM(C1108:J1108,L1108:O1108)</f>
        <v>114100</v>
      </c>
      <c r="R1108" s="781"/>
      <c r="S1108" s="782"/>
      <c r="T1108" s="782"/>
      <c r="U1108" s="782"/>
      <c r="V1108" s="782"/>
      <c r="W1108" s="782"/>
      <c r="X1108" s="782"/>
      <c r="Y1108" s="782"/>
      <c r="Z1108" s="782"/>
      <c r="AA1108" s="782"/>
      <c r="AB1108" s="782"/>
      <c r="AC1108" s="782"/>
      <c r="AD1108" s="1156">
        <f t="shared" si="89"/>
        <v>0</v>
      </c>
      <c r="AE1108" s="940">
        <f t="shared" si="90"/>
        <v>0</v>
      </c>
      <c r="AF1108" s="941">
        <f t="shared" si="91"/>
        <v>983</v>
      </c>
    </row>
    <row r="1109" spans="1:32" x14ac:dyDescent="0.3">
      <c r="A1109" s="331" t="s">
        <v>1368</v>
      </c>
      <c r="B1109" s="939" t="s">
        <v>2961</v>
      </c>
      <c r="C1109" s="781"/>
      <c r="D1109" s="782"/>
      <c r="E1109" s="782"/>
      <c r="F1109" s="782"/>
      <c r="G1109" s="782"/>
      <c r="H1109" s="782"/>
      <c r="I1109" s="782"/>
      <c r="J1109" s="782"/>
      <c r="K1109" s="782"/>
      <c r="L1109" s="782"/>
      <c r="M1109" s="782"/>
      <c r="N1109" s="782"/>
      <c r="O1109" s="782"/>
      <c r="P1109" s="1497">
        <f t="shared" si="92"/>
        <v>0</v>
      </c>
      <c r="Q1109" s="1156">
        <f t="shared" si="93"/>
        <v>0</v>
      </c>
      <c r="R1109" s="781"/>
      <c r="S1109" s="782"/>
      <c r="T1109" s="782"/>
      <c r="U1109" s="782"/>
      <c r="V1109" s="782"/>
      <c r="W1109" s="782"/>
      <c r="X1109" s="782">
        <v>125000</v>
      </c>
      <c r="Y1109" s="782">
        <v>0</v>
      </c>
      <c r="Z1109" s="782"/>
      <c r="AA1109" s="782"/>
      <c r="AB1109" s="782"/>
      <c r="AC1109" s="782"/>
      <c r="AD1109" s="1156">
        <f t="shared" si="89"/>
        <v>125000</v>
      </c>
      <c r="AE1109" s="940">
        <f t="shared" si="90"/>
        <v>1</v>
      </c>
      <c r="AF1109" s="941">
        <f t="shared" si="91"/>
        <v>705</v>
      </c>
    </row>
    <row r="1110" spans="1:32" x14ac:dyDescent="0.3">
      <c r="A1110" s="331" t="s">
        <v>1368</v>
      </c>
      <c r="B1110" s="939" t="s">
        <v>2991</v>
      </c>
      <c r="C1110" s="781"/>
      <c r="D1110" s="782"/>
      <c r="E1110" s="782"/>
      <c r="F1110" s="782"/>
      <c r="G1110" s="782"/>
      <c r="H1110" s="782"/>
      <c r="I1110" s="782"/>
      <c r="J1110" s="782"/>
      <c r="K1110" s="782"/>
      <c r="L1110" s="782"/>
      <c r="M1110" s="782"/>
      <c r="N1110" s="782"/>
      <c r="O1110" s="782"/>
      <c r="P1110" s="1497">
        <f t="shared" si="92"/>
        <v>0</v>
      </c>
      <c r="Q1110" s="1156">
        <f t="shared" si="93"/>
        <v>0</v>
      </c>
      <c r="R1110" s="781"/>
      <c r="S1110" s="782"/>
      <c r="T1110" s="782"/>
      <c r="U1110" s="782"/>
      <c r="V1110" s="782"/>
      <c r="W1110" s="782"/>
      <c r="X1110" s="782">
        <v>541600</v>
      </c>
      <c r="Y1110" s="782">
        <v>0</v>
      </c>
      <c r="Z1110" s="782"/>
      <c r="AA1110" s="782"/>
      <c r="AB1110" s="782"/>
      <c r="AC1110" s="782"/>
      <c r="AD1110" s="1156">
        <f t="shared" si="89"/>
        <v>541600</v>
      </c>
      <c r="AE1110" s="940">
        <f t="shared" si="90"/>
        <v>1</v>
      </c>
      <c r="AF1110" s="941">
        <f t="shared" si="91"/>
        <v>421</v>
      </c>
    </row>
    <row r="1111" spans="1:32" x14ac:dyDescent="0.3">
      <c r="A1111" s="333" t="s">
        <v>1375</v>
      </c>
      <c r="B1111" s="942" t="s">
        <v>1287</v>
      </c>
      <c r="C1111" s="783"/>
      <c r="D1111" s="784">
        <v>156300</v>
      </c>
      <c r="E1111" s="784">
        <v>177900</v>
      </c>
      <c r="F1111" s="784">
        <v>1126400</v>
      </c>
      <c r="G1111" s="784">
        <v>778400</v>
      </c>
      <c r="H1111" s="784">
        <v>0</v>
      </c>
      <c r="I1111" s="784">
        <v>0</v>
      </c>
      <c r="J1111" s="784">
        <v>0</v>
      </c>
      <c r="K1111" s="784">
        <v>0</v>
      </c>
      <c r="L1111" s="784">
        <v>0</v>
      </c>
      <c r="M1111" s="784">
        <v>0</v>
      </c>
      <c r="N1111" s="784">
        <v>0</v>
      </c>
      <c r="O1111" s="784" t="s">
        <v>251</v>
      </c>
      <c r="P1111" s="1497">
        <f t="shared" si="92"/>
        <v>2239000</v>
      </c>
      <c r="Q1111" s="1157">
        <f t="shared" si="93"/>
        <v>2239000</v>
      </c>
      <c r="R1111" s="783"/>
      <c r="S1111" s="784"/>
      <c r="T1111" s="784"/>
      <c r="U1111" s="784"/>
      <c r="V1111" s="784"/>
      <c r="W1111" s="784"/>
      <c r="X1111" s="784"/>
      <c r="Y1111" s="784"/>
      <c r="Z1111" s="784"/>
      <c r="AA1111" s="784"/>
      <c r="AB1111" s="784"/>
      <c r="AC1111" s="784"/>
      <c r="AD1111" s="1157">
        <f t="shared" si="89"/>
        <v>0</v>
      </c>
      <c r="AE1111" s="943">
        <f t="shared" si="90"/>
        <v>-1</v>
      </c>
      <c r="AF1111" s="944">
        <f t="shared" si="91"/>
        <v>983</v>
      </c>
    </row>
    <row r="1112" spans="1:32" x14ac:dyDescent="0.3">
      <c r="A1112" s="333" t="s">
        <v>1375</v>
      </c>
      <c r="B1112" s="942" t="s">
        <v>1376</v>
      </c>
      <c r="C1112" s="783">
        <v>197300</v>
      </c>
      <c r="D1112" s="784">
        <v>0</v>
      </c>
      <c r="E1112" s="784"/>
      <c r="F1112" s="784">
        <v>0</v>
      </c>
      <c r="G1112" s="784">
        <v>245800</v>
      </c>
      <c r="H1112" s="784">
        <v>0</v>
      </c>
      <c r="I1112" s="784">
        <v>3650800</v>
      </c>
      <c r="J1112" s="784">
        <v>1641600</v>
      </c>
      <c r="K1112" s="784">
        <v>628200</v>
      </c>
      <c r="L1112" s="784">
        <v>2874390</v>
      </c>
      <c r="M1112" s="784">
        <v>2489700</v>
      </c>
      <c r="N1112" s="784">
        <v>1391250</v>
      </c>
      <c r="O1112" s="784">
        <v>2710600</v>
      </c>
      <c r="P1112" s="1497">
        <f t="shared" si="92"/>
        <v>4722100</v>
      </c>
      <c r="Q1112" s="1157">
        <f t="shared" si="93"/>
        <v>15201440</v>
      </c>
      <c r="R1112" s="783">
        <v>5625500</v>
      </c>
      <c r="S1112" s="784">
        <v>274000</v>
      </c>
      <c r="T1112" s="784">
        <v>7835000</v>
      </c>
      <c r="U1112" s="784">
        <v>1615000</v>
      </c>
      <c r="V1112" s="784">
        <v>753500</v>
      </c>
      <c r="W1112" s="784">
        <v>3512000</v>
      </c>
      <c r="X1112" s="784">
        <v>2842000</v>
      </c>
      <c r="Y1112" s="784">
        <v>1200000</v>
      </c>
      <c r="Z1112" s="784"/>
      <c r="AA1112" s="784"/>
      <c r="AB1112" s="784"/>
      <c r="AC1112" s="784"/>
      <c r="AD1112" s="1157">
        <f t="shared" si="89"/>
        <v>23657000</v>
      </c>
      <c r="AE1112" s="943">
        <f t="shared" si="90"/>
        <v>4.009847313695178</v>
      </c>
      <c r="AF1112" s="944">
        <f t="shared" si="91"/>
        <v>13</v>
      </c>
    </row>
    <row r="1113" spans="1:32" x14ac:dyDescent="0.3">
      <c r="A1113" s="333" t="s">
        <v>1375</v>
      </c>
      <c r="B1113" s="942" t="s">
        <v>2162</v>
      </c>
      <c r="C1113" s="783"/>
      <c r="D1113" s="784">
        <v>0</v>
      </c>
      <c r="E1113" s="784"/>
      <c r="F1113" s="784">
        <v>0</v>
      </c>
      <c r="G1113" s="784">
        <v>0</v>
      </c>
      <c r="H1113" s="784">
        <v>0</v>
      </c>
      <c r="I1113" s="784">
        <v>0</v>
      </c>
      <c r="J1113" s="784">
        <v>0</v>
      </c>
      <c r="K1113" s="784"/>
      <c r="L1113" s="784">
        <v>845000</v>
      </c>
      <c r="M1113" s="784">
        <v>190500</v>
      </c>
      <c r="N1113" s="784">
        <v>0</v>
      </c>
      <c r="O1113" s="784" t="s">
        <v>251</v>
      </c>
      <c r="P1113" s="1497">
        <f t="shared" si="92"/>
        <v>0</v>
      </c>
      <c r="Q1113" s="1157">
        <f t="shared" si="93"/>
        <v>1035500</v>
      </c>
      <c r="R1113" s="783"/>
      <c r="S1113" s="784"/>
      <c r="T1113" s="784"/>
      <c r="U1113" s="784"/>
      <c r="V1113" s="784"/>
      <c r="W1113" s="784"/>
      <c r="X1113" s="784"/>
      <c r="Y1113" s="784"/>
      <c r="Z1113" s="784"/>
      <c r="AA1113" s="784"/>
      <c r="AB1113" s="784"/>
      <c r="AC1113" s="784"/>
      <c r="AD1113" s="1157">
        <f t="shared" si="89"/>
        <v>0</v>
      </c>
      <c r="AE1113" s="943">
        <f t="shared" si="90"/>
        <v>0</v>
      </c>
      <c r="AF1113" s="944">
        <f t="shared" si="91"/>
        <v>983</v>
      </c>
    </row>
    <row r="1114" spans="1:32" x14ac:dyDescent="0.3">
      <c r="A1114" s="945" t="s">
        <v>2163</v>
      </c>
      <c r="B1114" s="946" t="s">
        <v>690</v>
      </c>
      <c r="C1114" s="785"/>
      <c r="D1114" s="786" t="s">
        <v>251</v>
      </c>
      <c r="E1114" s="786"/>
      <c r="F1114" s="786" t="s">
        <v>251</v>
      </c>
      <c r="G1114" s="786" t="s">
        <v>251</v>
      </c>
      <c r="H1114" s="786" t="s">
        <v>251</v>
      </c>
      <c r="I1114" s="786" t="s">
        <v>251</v>
      </c>
      <c r="J1114" s="786" t="s">
        <v>251</v>
      </c>
      <c r="K1114" s="786"/>
      <c r="L1114" s="786" t="s">
        <v>251</v>
      </c>
      <c r="M1114" s="786" t="s">
        <v>251</v>
      </c>
      <c r="N1114" s="786" t="s">
        <v>251</v>
      </c>
      <c r="O1114" s="786" t="s">
        <v>251</v>
      </c>
      <c r="P1114" s="1497">
        <f t="shared" si="92"/>
        <v>0</v>
      </c>
      <c r="Q1114" s="1158">
        <f t="shared" si="93"/>
        <v>0</v>
      </c>
      <c r="R1114" s="785"/>
      <c r="S1114" s="786"/>
      <c r="T1114" s="786"/>
      <c r="U1114" s="786"/>
      <c r="V1114" s="786"/>
      <c r="W1114" s="786"/>
      <c r="X1114" s="786"/>
      <c r="Y1114" s="786"/>
      <c r="Z1114" s="786"/>
      <c r="AA1114" s="786"/>
      <c r="AB1114" s="786"/>
      <c r="AC1114" s="786"/>
      <c r="AD1114" s="1158">
        <f t="shared" si="89"/>
        <v>0</v>
      </c>
      <c r="AE1114" s="947">
        <f t="shared" si="90"/>
        <v>0</v>
      </c>
      <c r="AF1114" s="948">
        <f t="shared" si="91"/>
        <v>983</v>
      </c>
    </row>
    <row r="1115" spans="1:32" x14ac:dyDescent="0.3">
      <c r="A1115" s="945" t="s">
        <v>2163</v>
      </c>
      <c r="B1115" s="946" t="s">
        <v>2352</v>
      </c>
      <c r="C1115" s="785"/>
      <c r="D1115" s="786" t="s">
        <v>251</v>
      </c>
      <c r="E1115" s="786"/>
      <c r="F1115" s="786" t="s">
        <v>251</v>
      </c>
      <c r="G1115" s="786" t="s">
        <v>251</v>
      </c>
      <c r="H1115" s="786" t="s">
        <v>251</v>
      </c>
      <c r="I1115" s="786" t="s">
        <v>251</v>
      </c>
      <c r="J1115" s="786" t="s">
        <v>251</v>
      </c>
      <c r="K1115" s="786"/>
      <c r="L1115" s="786" t="s">
        <v>251</v>
      </c>
      <c r="M1115" s="786" t="s">
        <v>251</v>
      </c>
      <c r="N1115" s="786"/>
      <c r="O1115" s="786">
        <v>263850</v>
      </c>
      <c r="P1115" s="1497">
        <f t="shared" si="92"/>
        <v>0</v>
      </c>
      <c r="Q1115" s="1158">
        <f t="shared" si="93"/>
        <v>263850</v>
      </c>
      <c r="R1115" s="785"/>
      <c r="S1115" s="786"/>
      <c r="T1115" s="786"/>
      <c r="U1115" s="786"/>
      <c r="V1115" s="786"/>
      <c r="W1115" s="786"/>
      <c r="X1115" s="786"/>
      <c r="Y1115" s="786"/>
      <c r="Z1115" s="786"/>
      <c r="AA1115" s="786"/>
      <c r="AB1115" s="786"/>
      <c r="AC1115" s="786"/>
      <c r="AD1115" s="1158">
        <f t="shared" si="89"/>
        <v>0</v>
      </c>
      <c r="AE1115" s="947">
        <f t="shared" si="90"/>
        <v>0</v>
      </c>
      <c r="AF1115" s="948">
        <f t="shared" si="91"/>
        <v>983</v>
      </c>
    </row>
    <row r="1116" spans="1:32" x14ac:dyDescent="0.3">
      <c r="A1116" s="335" t="s">
        <v>758</v>
      </c>
      <c r="B1116" s="949" t="s">
        <v>1377</v>
      </c>
      <c r="C1116" s="787">
        <v>320000</v>
      </c>
      <c r="D1116" s="788" t="s">
        <v>251</v>
      </c>
      <c r="E1116" s="788">
        <v>977500</v>
      </c>
      <c r="F1116" s="788">
        <v>0</v>
      </c>
      <c r="G1116" s="788" t="s">
        <v>251</v>
      </c>
      <c r="H1116" s="788" t="s">
        <v>251</v>
      </c>
      <c r="I1116" s="788" t="s">
        <v>251</v>
      </c>
      <c r="J1116" s="788">
        <v>0</v>
      </c>
      <c r="K1116" s="788">
        <v>0</v>
      </c>
      <c r="L1116" s="788">
        <v>0</v>
      </c>
      <c r="M1116" s="788">
        <v>0</v>
      </c>
      <c r="N1116" s="788">
        <v>0</v>
      </c>
      <c r="O1116" s="788" t="s">
        <v>251</v>
      </c>
      <c r="P1116" s="1497">
        <f t="shared" si="92"/>
        <v>1297500</v>
      </c>
      <c r="Q1116" s="1159">
        <f t="shared" si="93"/>
        <v>1297500</v>
      </c>
      <c r="R1116" s="787"/>
      <c r="S1116" s="788"/>
      <c r="T1116" s="788"/>
      <c r="U1116" s="788"/>
      <c r="V1116" s="788"/>
      <c r="W1116" s="788"/>
      <c r="X1116" s="788"/>
      <c r="Y1116" s="788"/>
      <c r="Z1116" s="788"/>
      <c r="AA1116" s="788"/>
      <c r="AB1116" s="788"/>
      <c r="AC1116" s="788"/>
      <c r="AD1116" s="1159">
        <f t="shared" si="89"/>
        <v>0</v>
      </c>
      <c r="AE1116" s="950">
        <f t="shared" si="90"/>
        <v>-1</v>
      </c>
      <c r="AF1116" s="951">
        <f t="shared" si="91"/>
        <v>983</v>
      </c>
    </row>
    <row r="1117" spans="1:32" x14ac:dyDescent="0.3">
      <c r="A1117" s="335" t="s">
        <v>758</v>
      </c>
      <c r="B1117" s="949" t="s">
        <v>1378</v>
      </c>
      <c r="C1117" s="787"/>
      <c r="D1117" s="788">
        <v>915000</v>
      </c>
      <c r="E1117" s="788"/>
      <c r="F1117" s="788">
        <v>0</v>
      </c>
      <c r="G1117" s="788">
        <v>0</v>
      </c>
      <c r="H1117" s="788">
        <v>0</v>
      </c>
      <c r="I1117" s="788">
        <v>0</v>
      </c>
      <c r="J1117" s="788">
        <v>0</v>
      </c>
      <c r="K1117" s="788">
        <v>0</v>
      </c>
      <c r="L1117" s="788">
        <v>0</v>
      </c>
      <c r="M1117" s="788">
        <v>0</v>
      </c>
      <c r="N1117" s="788">
        <v>0</v>
      </c>
      <c r="O1117" s="788" t="s">
        <v>251</v>
      </c>
      <c r="P1117" s="1497">
        <f t="shared" si="92"/>
        <v>915000</v>
      </c>
      <c r="Q1117" s="1159">
        <f t="shared" si="93"/>
        <v>915000</v>
      </c>
      <c r="R1117" s="787"/>
      <c r="S1117" s="788"/>
      <c r="T1117" s="788"/>
      <c r="U1117" s="788"/>
      <c r="V1117" s="788"/>
      <c r="W1117" s="788"/>
      <c r="X1117" s="788"/>
      <c r="Y1117" s="788"/>
      <c r="Z1117" s="788"/>
      <c r="AA1117" s="788"/>
      <c r="AB1117" s="788"/>
      <c r="AC1117" s="788"/>
      <c r="AD1117" s="1159">
        <f t="shared" si="89"/>
        <v>0</v>
      </c>
      <c r="AE1117" s="950">
        <f t="shared" si="90"/>
        <v>-1</v>
      </c>
      <c r="AF1117" s="951">
        <f t="shared" si="91"/>
        <v>983</v>
      </c>
    </row>
    <row r="1118" spans="1:32" x14ac:dyDescent="0.3">
      <c r="A1118" s="335" t="s">
        <v>758</v>
      </c>
      <c r="B1118" s="949" t="s">
        <v>1379</v>
      </c>
      <c r="C1118" s="787"/>
      <c r="D1118" s="788">
        <v>283500</v>
      </c>
      <c r="E1118" s="788"/>
      <c r="F1118" s="788">
        <v>0</v>
      </c>
      <c r="G1118" s="788">
        <v>0</v>
      </c>
      <c r="H1118" s="788">
        <v>0</v>
      </c>
      <c r="I1118" s="788">
        <v>0</v>
      </c>
      <c r="J1118" s="788">
        <v>0</v>
      </c>
      <c r="K1118" s="788">
        <v>0</v>
      </c>
      <c r="L1118" s="788">
        <v>0</v>
      </c>
      <c r="M1118" s="788">
        <v>0</v>
      </c>
      <c r="N1118" s="788">
        <v>0</v>
      </c>
      <c r="O1118" s="788" t="s">
        <v>251</v>
      </c>
      <c r="P1118" s="1497">
        <f t="shared" si="92"/>
        <v>283500</v>
      </c>
      <c r="Q1118" s="1159">
        <f t="shared" si="93"/>
        <v>283500</v>
      </c>
      <c r="R1118" s="787"/>
      <c r="S1118" s="788"/>
      <c r="T1118" s="788"/>
      <c r="U1118" s="788"/>
      <c r="V1118" s="788"/>
      <c r="W1118" s="788"/>
      <c r="X1118" s="788"/>
      <c r="Y1118" s="788"/>
      <c r="Z1118" s="788"/>
      <c r="AA1118" s="788"/>
      <c r="AB1118" s="788"/>
      <c r="AC1118" s="788"/>
      <c r="AD1118" s="1159">
        <f t="shared" si="89"/>
        <v>0</v>
      </c>
      <c r="AE1118" s="950">
        <f t="shared" si="90"/>
        <v>-1</v>
      </c>
      <c r="AF1118" s="951">
        <f t="shared" si="91"/>
        <v>983</v>
      </c>
    </row>
    <row r="1119" spans="1:32" x14ac:dyDescent="0.3">
      <c r="A1119" s="335" t="s">
        <v>758</v>
      </c>
      <c r="B1119" s="949" t="s">
        <v>621</v>
      </c>
      <c r="C1119" s="787" t="s">
        <v>251</v>
      </c>
      <c r="D1119" s="788" t="s">
        <v>251</v>
      </c>
      <c r="E1119" s="788" t="s">
        <v>251</v>
      </c>
      <c r="F1119" s="788" t="s">
        <v>251</v>
      </c>
      <c r="G1119" s="788" t="s">
        <v>251</v>
      </c>
      <c r="H1119" s="788" t="s">
        <v>251</v>
      </c>
      <c r="I1119" s="788" t="s">
        <v>251</v>
      </c>
      <c r="J1119" s="788" t="s">
        <v>251</v>
      </c>
      <c r="K1119" s="788"/>
      <c r="L1119" s="788" t="s">
        <v>251</v>
      </c>
      <c r="M1119" s="788" t="s">
        <v>251</v>
      </c>
      <c r="N1119" s="788" t="s">
        <v>251</v>
      </c>
      <c r="O1119" s="788" t="s">
        <v>251</v>
      </c>
      <c r="P1119" s="1497">
        <f t="shared" si="92"/>
        <v>0</v>
      </c>
      <c r="Q1119" s="1159">
        <f t="shared" si="93"/>
        <v>0</v>
      </c>
      <c r="R1119" s="787"/>
      <c r="S1119" s="788"/>
      <c r="T1119" s="788"/>
      <c r="U1119" s="788"/>
      <c r="V1119" s="788"/>
      <c r="W1119" s="788"/>
      <c r="X1119" s="788"/>
      <c r="Y1119" s="788"/>
      <c r="Z1119" s="788"/>
      <c r="AA1119" s="788"/>
      <c r="AB1119" s="788"/>
      <c r="AC1119" s="788"/>
      <c r="AD1119" s="1159">
        <f t="shared" si="89"/>
        <v>0</v>
      </c>
      <c r="AE1119" s="950">
        <f t="shared" si="90"/>
        <v>0</v>
      </c>
      <c r="AF1119" s="951">
        <f t="shared" si="91"/>
        <v>983</v>
      </c>
    </row>
    <row r="1120" spans="1:32" x14ac:dyDescent="0.3">
      <c r="A1120" s="335" t="s">
        <v>758</v>
      </c>
      <c r="B1120" s="949" t="s">
        <v>622</v>
      </c>
      <c r="C1120" s="787" t="s">
        <v>251</v>
      </c>
      <c r="D1120" s="788" t="s">
        <v>251</v>
      </c>
      <c r="E1120" s="788" t="s">
        <v>251</v>
      </c>
      <c r="F1120" s="788" t="s">
        <v>251</v>
      </c>
      <c r="G1120" s="788" t="s">
        <v>251</v>
      </c>
      <c r="H1120" s="788" t="s">
        <v>251</v>
      </c>
      <c r="I1120" s="788" t="s">
        <v>251</v>
      </c>
      <c r="J1120" s="788" t="s">
        <v>251</v>
      </c>
      <c r="K1120" s="788"/>
      <c r="L1120" s="788" t="s">
        <v>251</v>
      </c>
      <c r="M1120" s="788" t="s">
        <v>251</v>
      </c>
      <c r="N1120" s="788" t="s">
        <v>251</v>
      </c>
      <c r="O1120" s="788" t="s">
        <v>251</v>
      </c>
      <c r="P1120" s="1497">
        <f t="shared" si="92"/>
        <v>0</v>
      </c>
      <c r="Q1120" s="1159">
        <f t="shared" si="93"/>
        <v>0</v>
      </c>
      <c r="R1120" s="787"/>
      <c r="S1120" s="788"/>
      <c r="T1120" s="788"/>
      <c r="U1120" s="788"/>
      <c r="V1120" s="788"/>
      <c r="W1120" s="788"/>
      <c r="X1120" s="788"/>
      <c r="Y1120" s="788"/>
      <c r="Z1120" s="788"/>
      <c r="AA1120" s="788"/>
      <c r="AB1120" s="788"/>
      <c r="AC1120" s="788"/>
      <c r="AD1120" s="1159">
        <f t="shared" si="89"/>
        <v>0</v>
      </c>
      <c r="AE1120" s="950">
        <f t="shared" si="90"/>
        <v>0</v>
      </c>
      <c r="AF1120" s="951">
        <f t="shared" si="91"/>
        <v>983</v>
      </c>
    </row>
    <row r="1121" spans="1:32" x14ac:dyDescent="0.3">
      <c r="A1121" s="335" t="s">
        <v>758</v>
      </c>
      <c r="B1121" s="949" t="s">
        <v>628</v>
      </c>
      <c r="C1121" s="787" t="s">
        <v>251</v>
      </c>
      <c r="D1121" s="788" t="s">
        <v>251</v>
      </c>
      <c r="E1121" s="788" t="s">
        <v>251</v>
      </c>
      <c r="F1121" s="788" t="s">
        <v>251</v>
      </c>
      <c r="G1121" s="788" t="s">
        <v>251</v>
      </c>
      <c r="H1121" s="788" t="s">
        <v>251</v>
      </c>
      <c r="I1121" s="788" t="s">
        <v>251</v>
      </c>
      <c r="J1121" s="788" t="s">
        <v>251</v>
      </c>
      <c r="K1121" s="788"/>
      <c r="L1121" s="788" t="s">
        <v>251</v>
      </c>
      <c r="M1121" s="788" t="s">
        <v>251</v>
      </c>
      <c r="N1121" s="788" t="s">
        <v>251</v>
      </c>
      <c r="O1121" s="788" t="s">
        <v>251</v>
      </c>
      <c r="P1121" s="1497">
        <f t="shared" si="92"/>
        <v>0</v>
      </c>
      <c r="Q1121" s="1159">
        <f t="shared" si="93"/>
        <v>0</v>
      </c>
      <c r="R1121" s="787"/>
      <c r="S1121" s="788"/>
      <c r="T1121" s="788"/>
      <c r="U1121" s="788"/>
      <c r="V1121" s="788"/>
      <c r="W1121" s="788"/>
      <c r="X1121" s="788"/>
      <c r="Y1121" s="788"/>
      <c r="Z1121" s="788"/>
      <c r="AA1121" s="788"/>
      <c r="AB1121" s="788"/>
      <c r="AC1121" s="788"/>
      <c r="AD1121" s="1159">
        <f t="shared" si="89"/>
        <v>0</v>
      </c>
      <c r="AE1121" s="950">
        <f t="shared" si="90"/>
        <v>0</v>
      </c>
      <c r="AF1121" s="951">
        <f t="shared" si="91"/>
        <v>983</v>
      </c>
    </row>
    <row r="1122" spans="1:32" x14ac:dyDescent="0.3">
      <c r="A1122" s="335" t="s">
        <v>758</v>
      </c>
      <c r="B1122" s="949" t="s">
        <v>623</v>
      </c>
      <c r="C1122" s="787" t="s">
        <v>251</v>
      </c>
      <c r="D1122" s="788" t="s">
        <v>251</v>
      </c>
      <c r="E1122" s="788" t="s">
        <v>251</v>
      </c>
      <c r="F1122" s="788" t="s">
        <v>251</v>
      </c>
      <c r="G1122" s="788" t="s">
        <v>251</v>
      </c>
      <c r="H1122" s="788" t="s">
        <v>251</v>
      </c>
      <c r="I1122" s="788" t="s">
        <v>251</v>
      </c>
      <c r="J1122" s="788" t="s">
        <v>251</v>
      </c>
      <c r="K1122" s="788"/>
      <c r="L1122" s="788" t="s">
        <v>251</v>
      </c>
      <c r="M1122" s="788" t="s">
        <v>251</v>
      </c>
      <c r="N1122" s="788" t="s">
        <v>251</v>
      </c>
      <c r="O1122" s="788" t="s">
        <v>251</v>
      </c>
      <c r="P1122" s="1497">
        <f t="shared" si="92"/>
        <v>0</v>
      </c>
      <c r="Q1122" s="1159">
        <f t="shared" si="93"/>
        <v>0</v>
      </c>
      <c r="R1122" s="787"/>
      <c r="S1122" s="788"/>
      <c r="T1122" s="788"/>
      <c r="U1122" s="788"/>
      <c r="V1122" s="788"/>
      <c r="W1122" s="788"/>
      <c r="X1122" s="788"/>
      <c r="Y1122" s="788"/>
      <c r="Z1122" s="788"/>
      <c r="AA1122" s="788"/>
      <c r="AB1122" s="788"/>
      <c r="AC1122" s="788"/>
      <c r="AD1122" s="1159">
        <f t="shared" si="89"/>
        <v>0</v>
      </c>
      <c r="AE1122" s="950">
        <f t="shared" si="90"/>
        <v>0</v>
      </c>
      <c r="AF1122" s="951">
        <f t="shared" si="91"/>
        <v>983</v>
      </c>
    </row>
    <row r="1123" spans="1:32" x14ac:dyDescent="0.3">
      <c r="A1123" s="335" t="s">
        <v>758</v>
      </c>
      <c r="B1123" s="949" t="s">
        <v>634</v>
      </c>
      <c r="C1123" s="787"/>
      <c r="D1123" s="788" t="s">
        <v>251</v>
      </c>
      <c r="E1123" s="788"/>
      <c r="F1123" s="788" t="s">
        <v>251</v>
      </c>
      <c r="G1123" s="788" t="s">
        <v>251</v>
      </c>
      <c r="H1123" s="788" t="s">
        <v>251</v>
      </c>
      <c r="I1123" s="788" t="s">
        <v>251</v>
      </c>
      <c r="J1123" s="788" t="s">
        <v>251</v>
      </c>
      <c r="K1123" s="788"/>
      <c r="L1123" s="788" t="s">
        <v>251</v>
      </c>
      <c r="M1123" s="788" t="s">
        <v>251</v>
      </c>
      <c r="N1123" s="788" t="s">
        <v>251</v>
      </c>
      <c r="O1123" s="788" t="s">
        <v>251</v>
      </c>
      <c r="P1123" s="1497">
        <f t="shared" si="92"/>
        <v>0</v>
      </c>
      <c r="Q1123" s="1159">
        <f t="shared" si="93"/>
        <v>0</v>
      </c>
      <c r="R1123" s="787"/>
      <c r="S1123" s="788"/>
      <c r="T1123" s="788"/>
      <c r="U1123" s="788"/>
      <c r="V1123" s="788"/>
      <c r="W1123" s="788"/>
      <c r="X1123" s="788"/>
      <c r="Y1123" s="788"/>
      <c r="Z1123" s="788"/>
      <c r="AA1123" s="788"/>
      <c r="AB1123" s="788"/>
      <c r="AC1123" s="788"/>
      <c r="AD1123" s="1159">
        <f t="shared" si="89"/>
        <v>0</v>
      </c>
      <c r="AE1123" s="950">
        <f t="shared" si="90"/>
        <v>0</v>
      </c>
      <c r="AF1123" s="951">
        <f t="shared" si="91"/>
        <v>983</v>
      </c>
    </row>
    <row r="1124" spans="1:32" x14ac:dyDescent="0.3">
      <c r="A1124" s="335" t="s">
        <v>758</v>
      </c>
      <c r="B1124" s="949" t="s">
        <v>620</v>
      </c>
      <c r="C1124" s="787"/>
      <c r="D1124" s="788" t="s">
        <v>251</v>
      </c>
      <c r="E1124" s="788"/>
      <c r="F1124" s="788" t="s">
        <v>251</v>
      </c>
      <c r="G1124" s="788" t="s">
        <v>251</v>
      </c>
      <c r="H1124" s="788" t="s">
        <v>251</v>
      </c>
      <c r="I1124" s="788" t="s">
        <v>251</v>
      </c>
      <c r="J1124" s="788" t="s">
        <v>251</v>
      </c>
      <c r="K1124" s="788"/>
      <c r="L1124" s="788" t="s">
        <v>251</v>
      </c>
      <c r="M1124" s="788" t="s">
        <v>251</v>
      </c>
      <c r="N1124" s="788" t="s">
        <v>251</v>
      </c>
      <c r="O1124" s="788" t="s">
        <v>251</v>
      </c>
      <c r="P1124" s="1497">
        <f t="shared" si="92"/>
        <v>0</v>
      </c>
      <c r="Q1124" s="1159">
        <f t="shared" si="93"/>
        <v>0</v>
      </c>
      <c r="R1124" s="787"/>
      <c r="S1124" s="788"/>
      <c r="T1124" s="788"/>
      <c r="U1124" s="788"/>
      <c r="V1124" s="788"/>
      <c r="W1124" s="788"/>
      <c r="X1124" s="788"/>
      <c r="Y1124" s="788"/>
      <c r="Z1124" s="788"/>
      <c r="AA1124" s="788"/>
      <c r="AB1124" s="788"/>
      <c r="AC1124" s="788"/>
      <c r="AD1124" s="1159">
        <f t="shared" si="89"/>
        <v>0</v>
      </c>
      <c r="AE1124" s="950">
        <f t="shared" si="90"/>
        <v>0</v>
      </c>
      <c r="AF1124" s="951">
        <f t="shared" si="91"/>
        <v>983</v>
      </c>
    </row>
    <row r="1125" spans="1:32" x14ac:dyDescent="0.3">
      <c r="A1125" s="335" t="s">
        <v>758</v>
      </c>
      <c r="B1125" s="949" t="s">
        <v>645</v>
      </c>
      <c r="C1125" s="787"/>
      <c r="D1125" s="788" t="s">
        <v>251</v>
      </c>
      <c r="E1125" s="788"/>
      <c r="F1125" s="788" t="s">
        <v>251</v>
      </c>
      <c r="G1125" s="788" t="s">
        <v>251</v>
      </c>
      <c r="H1125" s="788" t="s">
        <v>251</v>
      </c>
      <c r="I1125" s="788" t="s">
        <v>251</v>
      </c>
      <c r="J1125" s="788" t="s">
        <v>251</v>
      </c>
      <c r="K1125" s="788"/>
      <c r="L1125" s="788" t="s">
        <v>251</v>
      </c>
      <c r="M1125" s="788" t="s">
        <v>251</v>
      </c>
      <c r="N1125" s="788" t="s">
        <v>251</v>
      </c>
      <c r="O1125" s="788" t="s">
        <v>251</v>
      </c>
      <c r="P1125" s="1497">
        <f t="shared" si="92"/>
        <v>0</v>
      </c>
      <c r="Q1125" s="1159">
        <f t="shared" si="93"/>
        <v>0</v>
      </c>
      <c r="R1125" s="787"/>
      <c r="S1125" s="788"/>
      <c r="T1125" s="788"/>
      <c r="U1125" s="788"/>
      <c r="V1125" s="788"/>
      <c r="W1125" s="788"/>
      <c r="X1125" s="788"/>
      <c r="Y1125" s="788"/>
      <c r="Z1125" s="788"/>
      <c r="AA1125" s="788"/>
      <c r="AB1125" s="788"/>
      <c r="AC1125" s="788"/>
      <c r="AD1125" s="1159">
        <f t="shared" si="89"/>
        <v>0</v>
      </c>
      <c r="AE1125" s="950">
        <f t="shared" si="90"/>
        <v>0</v>
      </c>
      <c r="AF1125" s="951">
        <f t="shared" si="91"/>
        <v>983</v>
      </c>
    </row>
    <row r="1126" spans="1:32" x14ac:dyDescent="0.3">
      <c r="A1126" s="335" t="s">
        <v>758</v>
      </c>
      <c r="B1126" s="949" t="s">
        <v>630</v>
      </c>
      <c r="C1126" s="787"/>
      <c r="D1126" s="788" t="s">
        <v>251</v>
      </c>
      <c r="E1126" s="788"/>
      <c r="F1126" s="788" t="s">
        <v>251</v>
      </c>
      <c r="G1126" s="788" t="s">
        <v>251</v>
      </c>
      <c r="H1126" s="788" t="s">
        <v>251</v>
      </c>
      <c r="I1126" s="788" t="s">
        <v>251</v>
      </c>
      <c r="J1126" s="788" t="s">
        <v>251</v>
      </c>
      <c r="K1126" s="788"/>
      <c r="L1126" s="788" t="s">
        <v>251</v>
      </c>
      <c r="M1126" s="788" t="s">
        <v>251</v>
      </c>
      <c r="N1126" s="788" t="s">
        <v>251</v>
      </c>
      <c r="O1126" s="788" t="s">
        <v>251</v>
      </c>
      <c r="P1126" s="1497">
        <f t="shared" si="92"/>
        <v>0</v>
      </c>
      <c r="Q1126" s="1159">
        <f t="shared" si="93"/>
        <v>0</v>
      </c>
      <c r="R1126" s="787"/>
      <c r="S1126" s="788"/>
      <c r="T1126" s="788"/>
      <c r="U1126" s="788"/>
      <c r="V1126" s="788"/>
      <c r="W1126" s="788"/>
      <c r="X1126" s="788"/>
      <c r="Y1126" s="788"/>
      <c r="Z1126" s="788"/>
      <c r="AA1126" s="788"/>
      <c r="AB1126" s="788"/>
      <c r="AC1126" s="788"/>
      <c r="AD1126" s="1159">
        <f t="shared" si="89"/>
        <v>0</v>
      </c>
      <c r="AE1126" s="950">
        <f t="shared" si="90"/>
        <v>0</v>
      </c>
      <c r="AF1126" s="951">
        <f t="shared" si="91"/>
        <v>983</v>
      </c>
    </row>
    <row r="1127" spans="1:32" x14ac:dyDescent="0.3">
      <c r="A1127" s="337" t="s">
        <v>1380</v>
      </c>
      <c r="B1127" s="952" t="s">
        <v>1381</v>
      </c>
      <c r="C1127" s="789">
        <v>833600</v>
      </c>
      <c r="D1127" s="790">
        <v>1046300</v>
      </c>
      <c r="E1127" s="790">
        <v>145000</v>
      </c>
      <c r="F1127" s="790">
        <v>301200</v>
      </c>
      <c r="G1127" s="790">
        <v>0</v>
      </c>
      <c r="H1127" s="790">
        <v>0</v>
      </c>
      <c r="I1127" s="790">
        <v>0</v>
      </c>
      <c r="J1127" s="790">
        <v>0</v>
      </c>
      <c r="K1127" s="790">
        <v>0</v>
      </c>
      <c r="L1127" s="790">
        <v>0</v>
      </c>
      <c r="M1127" s="790">
        <v>0</v>
      </c>
      <c r="N1127" s="790">
        <v>0</v>
      </c>
      <c r="O1127" s="790" t="s">
        <v>251</v>
      </c>
      <c r="P1127" s="1497">
        <f t="shared" si="92"/>
        <v>2326100</v>
      </c>
      <c r="Q1127" s="1160">
        <f t="shared" si="93"/>
        <v>2326100</v>
      </c>
      <c r="R1127" s="789"/>
      <c r="S1127" s="790"/>
      <c r="T1127" s="790"/>
      <c r="U1127" s="790"/>
      <c r="V1127" s="790"/>
      <c r="W1127" s="790"/>
      <c r="X1127" s="790"/>
      <c r="Y1127" s="790"/>
      <c r="Z1127" s="790"/>
      <c r="AA1127" s="790"/>
      <c r="AB1127" s="790"/>
      <c r="AC1127" s="790"/>
      <c r="AD1127" s="1160">
        <f t="shared" si="89"/>
        <v>0</v>
      </c>
      <c r="AE1127" s="633">
        <f t="shared" si="90"/>
        <v>-1</v>
      </c>
      <c r="AF1127" s="634">
        <f t="shared" si="91"/>
        <v>983</v>
      </c>
    </row>
    <row r="1128" spans="1:32" x14ac:dyDescent="0.3">
      <c r="A1128" s="337" t="s">
        <v>1380</v>
      </c>
      <c r="B1128" s="952" t="s">
        <v>1382</v>
      </c>
      <c r="C1128" s="789" t="s">
        <v>251</v>
      </c>
      <c r="D1128" s="790" t="s">
        <v>251</v>
      </c>
      <c r="E1128" s="790" t="s">
        <v>251</v>
      </c>
      <c r="F1128" s="790" t="s">
        <v>251</v>
      </c>
      <c r="G1128" s="790" t="s">
        <v>251</v>
      </c>
      <c r="H1128" s="790" t="s">
        <v>251</v>
      </c>
      <c r="I1128" s="790" t="s">
        <v>251</v>
      </c>
      <c r="J1128" s="790" t="s">
        <v>251</v>
      </c>
      <c r="K1128" s="790"/>
      <c r="L1128" s="790" t="s">
        <v>251</v>
      </c>
      <c r="M1128" s="790" t="s">
        <v>251</v>
      </c>
      <c r="N1128" s="790" t="s">
        <v>251</v>
      </c>
      <c r="O1128" s="790" t="s">
        <v>251</v>
      </c>
      <c r="P1128" s="1497">
        <f t="shared" si="92"/>
        <v>0</v>
      </c>
      <c r="Q1128" s="1160">
        <f t="shared" si="93"/>
        <v>0</v>
      </c>
      <c r="R1128" s="789"/>
      <c r="S1128" s="790"/>
      <c r="T1128" s="790"/>
      <c r="U1128" s="790"/>
      <c r="V1128" s="790"/>
      <c r="W1128" s="790"/>
      <c r="X1128" s="790"/>
      <c r="Y1128" s="790"/>
      <c r="Z1128" s="790"/>
      <c r="AA1128" s="790"/>
      <c r="AB1128" s="790"/>
      <c r="AC1128" s="790"/>
      <c r="AD1128" s="1160">
        <f t="shared" si="89"/>
        <v>0</v>
      </c>
      <c r="AE1128" s="633">
        <f t="shared" si="90"/>
        <v>0</v>
      </c>
      <c r="AF1128" s="634">
        <f t="shared" si="91"/>
        <v>983</v>
      </c>
    </row>
    <row r="1129" spans="1:32" x14ac:dyDescent="0.3">
      <c r="A1129" s="337" t="s">
        <v>1380</v>
      </c>
      <c r="B1129" s="952" t="s">
        <v>1297</v>
      </c>
      <c r="C1129" s="789"/>
      <c r="D1129" s="790" t="s">
        <v>251</v>
      </c>
      <c r="E1129" s="790"/>
      <c r="F1129" s="790" t="s">
        <v>251</v>
      </c>
      <c r="G1129" s="790" t="s">
        <v>251</v>
      </c>
      <c r="H1129" s="790" t="s">
        <v>251</v>
      </c>
      <c r="I1129" s="790" t="s">
        <v>251</v>
      </c>
      <c r="J1129" s="790" t="s">
        <v>251</v>
      </c>
      <c r="K1129" s="790"/>
      <c r="L1129" s="790" t="s">
        <v>251</v>
      </c>
      <c r="M1129" s="790" t="s">
        <v>251</v>
      </c>
      <c r="N1129" s="790" t="s">
        <v>251</v>
      </c>
      <c r="O1129" s="790" t="s">
        <v>251</v>
      </c>
      <c r="P1129" s="1497">
        <f t="shared" si="92"/>
        <v>0</v>
      </c>
      <c r="Q1129" s="1160">
        <f t="shared" si="93"/>
        <v>0</v>
      </c>
      <c r="R1129" s="789"/>
      <c r="S1129" s="790"/>
      <c r="T1129" s="790"/>
      <c r="U1129" s="790"/>
      <c r="V1129" s="790"/>
      <c r="W1129" s="790"/>
      <c r="X1129" s="790">
        <v>880700</v>
      </c>
      <c r="Y1129" s="790">
        <v>0</v>
      </c>
      <c r="Z1129" s="790"/>
      <c r="AA1129" s="790"/>
      <c r="AB1129" s="790"/>
      <c r="AC1129" s="790"/>
      <c r="AD1129" s="1160">
        <f t="shared" si="89"/>
        <v>880700</v>
      </c>
      <c r="AE1129" s="633">
        <f t="shared" si="90"/>
        <v>1</v>
      </c>
      <c r="AF1129" s="634">
        <f t="shared" si="91"/>
        <v>339</v>
      </c>
    </row>
    <row r="1130" spans="1:32" x14ac:dyDescent="0.3">
      <c r="A1130" s="337" t="s">
        <v>1380</v>
      </c>
      <c r="B1130" s="952" t="s">
        <v>1060</v>
      </c>
      <c r="C1130" s="789"/>
      <c r="D1130" s="790" t="s">
        <v>251</v>
      </c>
      <c r="E1130" s="790"/>
      <c r="F1130" s="790" t="s">
        <v>251</v>
      </c>
      <c r="G1130" s="790" t="s">
        <v>251</v>
      </c>
      <c r="H1130" s="790" t="s">
        <v>251</v>
      </c>
      <c r="I1130" s="790" t="s">
        <v>251</v>
      </c>
      <c r="J1130" s="790" t="s">
        <v>251</v>
      </c>
      <c r="K1130" s="790"/>
      <c r="L1130" s="790" t="s">
        <v>251</v>
      </c>
      <c r="M1130" s="790" t="s">
        <v>251</v>
      </c>
      <c r="N1130" s="790" t="s">
        <v>251</v>
      </c>
      <c r="O1130" s="790" t="s">
        <v>251</v>
      </c>
      <c r="P1130" s="1497">
        <f t="shared" si="92"/>
        <v>0</v>
      </c>
      <c r="Q1130" s="1160">
        <f t="shared" si="93"/>
        <v>0</v>
      </c>
      <c r="R1130" s="789"/>
      <c r="S1130" s="790"/>
      <c r="T1130" s="790"/>
      <c r="U1130" s="790"/>
      <c r="V1130" s="790"/>
      <c r="W1130" s="790"/>
      <c r="X1130" s="790"/>
      <c r="Y1130" s="790"/>
      <c r="Z1130" s="790"/>
      <c r="AA1130" s="790"/>
      <c r="AB1130" s="790"/>
      <c r="AC1130" s="790"/>
      <c r="AD1130" s="1160">
        <f t="shared" si="89"/>
        <v>0</v>
      </c>
      <c r="AE1130" s="633">
        <f t="shared" si="90"/>
        <v>0</v>
      </c>
      <c r="AF1130" s="634">
        <f t="shared" si="91"/>
        <v>983</v>
      </c>
    </row>
    <row r="1131" spans="1:32" x14ac:dyDescent="0.3">
      <c r="A1131" s="337" t="s">
        <v>1380</v>
      </c>
      <c r="B1131" s="952" t="s">
        <v>1318</v>
      </c>
      <c r="C1131" s="789"/>
      <c r="D1131" s="790">
        <v>0</v>
      </c>
      <c r="E1131" s="790"/>
      <c r="F1131" s="790">
        <v>0</v>
      </c>
      <c r="G1131" s="790">
        <v>0</v>
      </c>
      <c r="H1131" s="790">
        <v>0</v>
      </c>
      <c r="I1131" s="790">
        <v>861000</v>
      </c>
      <c r="J1131" s="790">
        <v>181750</v>
      </c>
      <c r="K1131" s="790">
        <v>181750</v>
      </c>
      <c r="L1131" s="790">
        <v>49500</v>
      </c>
      <c r="M1131" s="790">
        <v>0</v>
      </c>
      <c r="N1131" s="790">
        <v>0</v>
      </c>
      <c r="O1131" s="790" t="s">
        <v>251</v>
      </c>
      <c r="P1131" s="1497">
        <f t="shared" si="92"/>
        <v>1042750</v>
      </c>
      <c r="Q1131" s="1160">
        <f t="shared" si="93"/>
        <v>1092250</v>
      </c>
      <c r="R1131" s="789"/>
      <c r="S1131" s="790"/>
      <c r="T1131" s="790"/>
      <c r="U1131" s="790"/>
      <c r="V1131" s="790"/>
      <c r="W1131" s="790"/>
      <c r="X1131" s="790"/>
      <c r="Y1131" s="790"/>
      <c r="Z1131" s="790"/>
      <c r="AA1131" s="790"/>
      <c r="AB1131" s="790"/>
      <c r="AC1131" s="790"/>
      <c r="AD1131" s="1160">
        <f t="shared" si="89"/>
        <v>0</v>
      </c>
      <c r="AE1131" s="633">
        <f t="shared" si="90"/>
        <v>-1</v>
      </c>
      <c r="AF1131" s="634">
        <f t="shared" si="91"/>
        <v>983</v>
      </c>
    </row>
    <row r="1132" spans="1:32" x14ac:dyDescent="0.3">
      <c r="A1132" s="337" t="s">
        <v>1380</v>
      </c>
      <c r="B1132" s="952" t="s">
        <v>444</v>
      </c>
      <c r="C1132" s="789"/>
      <c r="D1132" s="790">
        <v>0</v>
      </c>
      <c r="E1132" s="790"/>
      <c r="F1132" s="790">
        <v>0</v>
      </c>
      <c r="G1132" s="790">
        <v>0</v>
      </c>
      <c r="H1132" s="790">
        <v>0</v>
      </c>
      <c r="I1132" s="790">
        <v>584500</v>
      </c>
      <c r="J1132" s="790">
        <v>99500</v>
      </c>
      <c r="K1132" s="790">
        <v>99500</v>
      </c>
      <c r="L1132" s="790">
        <v>0</v>
      </c>
      <c r="M1132" s="790">
        <v>0</v>
      </c>
      <c r="N1132" s="790">
        <v>0</v>
      </c>
      <c r="O1132" s="790" t="s">
        <v>251</v>
      </c>
      <c r="P1132" s="1497">
        <f t="shared" si="92"/>
        <v>684000</v>
      </c>
      <c r="Q1132" s="1160">
        <f t="shared" si="93"/>
        <v>684000</v>
      </c>
      <c r="R1132" s="789"/>
      <c r="S1132" s="790"/>
      <c r="T1132" s="790"/>
      <c r="U1132" s="790"/>
      <c r="V1132" s="790"/>
      <c r="W1132" s="790"/>
      <c r="X1132" s="790">
        <v>206200</v>
      </c>
      <c r="Y1132" s="790">
        <v>665500</v>
      </c>
      <c r="Z1132" s="790"/>
      <c r="AA1132" s="790"/>
      <c r="AB1132" s="790"/>
      <c r="AC1132" s="790"/>
      <c r="AD1132" s="1160">
        <f t="shared" si="89"/>
        <v>871700</v>
      </c>
      <c r="AE1132" s="633">
        <f t="shared" si="90"/>
        <v>0.27441520467836256</v>
      </c>
      <c r="AF1132" s="634">
        <f t="shared" si="91"/>
        <v>343</v>
      </c>
    </row>
    <row r="1133" spans="1:32" x14ac:dyDescent="0.3">
      <c r="A1133" s="337" t="s">
        <v>1380</v>
      </c>
      <c r="B1133" s="952" t="s">
        <v>1298</v>
      </c>
      <c r="C1133" s="789"/>
      <c r="D1133" s="790" t="s">
        <v>251</v>
      </c>
      <c r="E1133" s="790"/>
      <c r="F1133" s="790" t="s">
        <v>251</v>
      </c>
      <c r="G1133" s="790" t="s">
        <v>251</v>
      </c>
      <c r="H1133" s="790" t="s">
        <v>251</v>
      </c>
      <c r="I1133" s="790" t="s">
        <v>251</v>
      </c>
      <c r="J1133" s="790" t="s">
        <v>251</v>
      </c>
      <c r="K1133" s="790"/>
      <c r="L1133" s="790" t="s">
        <v>251</v>
      </c>
      <c r="M1133" s="790" t="s">
        <v>251</v>
      </c>
      <c r="N1133" s="790" t="s">
        <v>251</v>
      </c>
      <c r="O1133" s="790" t="s">
        <v>251</v>
      </c>
      <c r="P1133" s="1497">
        <f t="shared" si="92"/>
        <v>0</v>
      </c>
      <c r="Q1133" s="1160">
        <f t="shared" si="93"/>
        <v>0</v>
      </c>
      <c r="R1133" s="789"/>
      <c r="S1133" s="790"/>
      <c r="T1133" s="790"/>
      <c r="U1133" s="790"/>
      <c r="V1133" s="790"/>
      <c r="W1133" s="790"/>
      <c r="X1133" s="790"/>
      <c r="Y1133" s="790"/>
      <c r="Z1133" s="790"/>
      <c r="AA1133" s="790"/>
      <c r="AB1133" s="790"/>
      <c r="AC1133" s="790"/>
      <c r="AD1133" s="1160">
        <f t="shared" si="89"/>
        <v>0</v>
      </c>
      <c r="AE1133" s="633">
        <f t="shared" si="90"/>
        <v>0</v>
      </c>
      <c r="AF1133" s="634">
        <f t="shared" si="91"/>
        <v>983</v>
      </c>
    </row>
    <row r="1134" spans="1:32" x14ac:dyDescent="0.3">
      <c r="A1134" s="337" t="s">
        <v>1380</v>
      </c>
      <c r="B1134" s="952" t="s">
        <v>1195</v>
      </c>
      <c r="C1134" s="789"/>
      <c r="D1134" s="790"/>
      <c r="E1134" s="790"/>
      <c r="F1134" s="790"/>
      <c r="G1134" s="790"/>
      <c r="H1134" s="790"/>
      <c r="I1134" s="790"/>
      <c r="J1134" s="790"/>
      <c r="K1134" s="790"/>
      <c r="L1134" s="790"/>
      <c r="M1134" s="790"/>
      <c r="N1134" s="790"/>
      <c r="O1134" s="790"/>
      <c r="P1134" s="1497">
        <f t="shared" si="92"/>
        <v>0</v>
      </c>
      <c r="Q1134" s="1160">
        <f t="shared" si="93"/>
        <v>0</v>
      </c>
      <c r="R1134" s="789">
        <v>290000</v>
      </c>
      <c r="S1134" s="790">
        <v>77000</v>
      </c>
      <c r="T1134" s="790">
        <v>154000</v>
      </c>
      <c r="U1134" s="790">
        <v>0</v>
      </c>
      <c r="V1134" s="790">
        <v>0</v>
      </c>
      <c r="W1134" s="790">
        <v>0</v>
      </c>
      <c r="X1134" s="790">
        <v>1268700</v>
      </c>
      <c r="Y1134" s="790">
        <v>0</v>
      </c>
      <c r="Z1134" s="790"/>
      <c r="AA1134" s="790"/>
      <c r="AB1134" s="790"/>
      <c r="AC1134" s="790"/>
      <c r="AD1134" s="1160">
        <f t="shared" si="89"/>
        <v>1789700</v>
      </c>
      <c r="AE1134" s="633">
        <f t="shared" si="90"/>
        <v>1</v>
      </c>
      <c r="AF1134" s="634">
        <f t="shared" si="91"/>
        <v>227</v>
      </c>
    </row>
    <row r="1135" spans="1:32" x14ac:dyDescent="0.3">
      <c r="A1135" s="337" t="s">
        <v>1380</v>
      </c>
      <c r="B1135" s="952" t="s">
        <v>1189</v>
      </c>
      <c r="C1135" s="789"/>
      <c r="D1135" s="790"/>
      <c r="E1135" s="790"/>
      <c r="F1135" s="790"/>
      <c r="G1135" s="790"/>
      <c r="H1135" s="790"/>
      <c r="I1135" s="790"/>
      <c r="J1135" s="790"/>
      <c r="K1135" s="790"/>
      <c r="L1135" s="790"/>
      <c r="M1135" s="790"/>
      <c r="N1135" s="790"/>
      <c r="O1135" s="790"/>
      <c r="P1135" s="1497">
        <f t="shared" si="92"/>
        <v>0</v>
      </c>
      <c r="Q1135" s="1160">
        <f t="shared" si="93"/>
        <v>0</v>
      </c>
      <c r="R1135" s="789">
        <v>490000</v>
      </c>
      <c r="S1135" s="790"/>
      <c r="T1135" s="790">
        <v>258200</v>
      </c>
      <c r="U1135" s="790">
        <v>0</v>
      </c>
      <c r="V1135" s="790">
        <v>0</v>
      </c>
      <c r="W1135" s="790">
        <v>324000</v>
      </c>
      <c r="X1135" s="790">
        <v>79900</v>
      </c>
      <c r="Y1135" s="790">
        <v>0</v>
      </c>
      <c r="Z1135" s="790"/>
      <c r="AA1135" s="790"/>
      <c r="AB1135" s="790"/>
      <c r="AC1135" s="790"/>
      <c r="AD1135" s="1160">
        <f t="shared" si="89"/>
        <v>1152100</v>
      </c>
      <c r="AE1135" s="633">
        <f t="shared" si="90"/>
        <v>1</v>
      </c>
      <c r="AF1135" s="634">
        <f t="shared" si="91"/>
        <v>293</v>
      </c>
    </row>
    <row r="1136" spans="1:32" x14ac:dyDescent="0.3">
      <c r="A1136" s="337" t="s">
        <v>1380</v>
      </c>
      <c r="B1136" s="952" t="s">
        <v>1184</v>
      </c>
      <c r="C1136" s="789"/>
      <c r="D1136" s="790"/>
      <c r="E1136" s="790"/>
      <c r="F1136" s="790"/>
      <c r="G1136" s="790"/>
      <c r="H1136" s="790"/>
      <c r="I1136" s="790"/>
      <c r="J1136" s="790"/>
      <c r="K1136" s="790"/>
      <c r="L1136" s="790"/>
      <c r="M1136" s="790"/>
      <c r="N1136" s="790"/>
      <c r="O1136" s="790"/>
      <c r="P1136" s="1497">
        <f t="shared" si="92"/>
        <v>0</v>
      </c>
      <c r="Q1136" s="1160">
        <f t="shared" si="93"/>
        <v>0</v>
      </c>
      <c r="R1136" s="789"/>
      <c r="S1136" s="790"/>
      <c r="T1136" s="790"/>
      <c r="U1136" s="790"/>
      <c r="V1136" s="790"/>
      <c r="W1136" s="790"/>
      <c r="X1136" s="790">
        <v>131000</v>
      </c>
      <c r="Y1136" s="790">
        <v>1063800</v>
      </c>
      <c r="Z1136" s="790"/>
      <c r="AA1136" s="790"/>
      <c r="AB1136" s="790"/>
      <c r="AC1136" s="790"/>
      <c r="AD1136" s="1160">
        <f t="shared" si="89"/>
        <v>1194800</v>
      </c>
      <c r="AE1136" s="633">
        <f t="shared" si="90"/>
        <v>1</v>
      </c>
      <c r="AF1136" s="634">
        <f t="shared" si="91"/>
        <v>284</v>
      </c>
    </row>
    <row r="1137" spans="1:32" x14ac:dyDescent="0.3">
      <c r="A1137" s="337" t="s">
        <v>1380</v>
      </c>
      <c r="B1137" s="952" t="s">
        <v>1057</v>
      </c>
      <c r="C1137" s="789"/>
      <c r="D1137" s="790"/>
      <c r="E1137" s="790"/>
      <c r="F1137" s="790"/>
      <c r="G1137" s="790"/>
      <c r="H1137" s="790"/>
      <c r="I1137" s="790"/>
      <c r="J1137" s="790"/>
      <c r="K1137" s="790"/>
      <c r="L1137" s="790"/>
      <c r="M1137" s="790"/>
      <c r="N1137" s="790"/>
      <c r="O1137" s="790"/>
      <c r="P1137" s="1497">
        <f t="shared" si="92"/>
        <v>0</v>
      </c>
      <c r="Q1137" s="1160">
        <f t="shared" si="93"/>
        <v>0</v>
      </c>
      <c r="R1137" s="789"/>
      <c r="S1137" s="790"/>
      <c r="T1137" s="790"/>
      <c r="U1137" s="790"/>
      <c r="V1137" s="790"/>
      <c r="W1137" s="790"/>
      <c r="X1137" s="790">
        <v>678000</v>
      </c>
      <c r="Y1137" s="790">
        <v>5000</v>
      </c>
      <c r="Z1137" s="790"/>
      <c r="AA1137" s="790"/>
      <c r="AB1137" s="790"/>
      <c r="AC1137" s="790"/>
      <c r="AD1137" s="1160">
        <f t="shared" si="89"/>
        <v>683000</v>
      </c>
      <c r="AE1137" s="633">
        <f t="shared" si="90"/>
        <v>1</v>
      </c>
      <c r="AF1137" s="634">
        <f t="shared" si="91"/>
        <v>385</v>
      </c>
    </row>
    <row r="1138" spans="1:32" ht="15.75" customHeight="1" x14ac:dyDescent="0.3">
      <c r="A1138" s="339" t="s">
        <v>976</v>
      </c>
      <c r="B1138" s="953" t="s">
        <v>1383</v>
      </c>
      <c r="C1138" s="791">
        <v>455400</v>
      </c>
      <c r="D1138" s="792">
        <v>20000</v>
      </c>
      <c r="E1138" s="792">
        <v>14000</v>
      </c>
      <c r="F1138" s="792">
        <v>0</v>
      </c>
      <c r="G1138" s="792">
        <v>733600</v>
      </c>
      <c r="H1138" s="792">
        <v>1078500</v>
      </c>
      <c r="I1138" s="792">
        <v>38000</v>
      </c>
      <c r="J1138" s="792">
        <v>0</v>
      </c>
      <c r="K1138" s="792"/>
      <c r="L1138" s="792">
        <v>0</v>
      </c>
      <c r="M1138" s="792">
        <v>0</v>
      </c>
      <c r="N1138" s="792">
        <v>889000</v>
      </c>
      <c r="O1138" s="792">
        <v>172400</v>
      </c>
      <c r="P1138" s="1497">
        <f t="shared" si="92"/>
        <v>2339500</v>
      </c>
      <c r="Q1138" s="1161">
        <f t="shared" si="93"/>
        <v>3400900</v>
      </c>
      <c r="R1138" s="791"/>
      <c r="S1138" s="792"/>
      <c r="T1138" s="792"/>
      <c r="U1138" s="792"/>
      <c r="V1138" s="792"/>
      <c r="W1138" s="792"/>
      <c r="X1138" s="792"/>
      <c r="Y1138" s="792"/>
      <c r="Z1138" s="792"/>
      <c r="AA1138" s="792"/>
      <c r="AB1138" s="792"/>
      <c r="AC1138" s="792"/>
      <c r="AD1138" s="1161">
        <f t="shared" si="89"/>
        <v>0</v>
      </c>
      <c r="AE1138" s="954">
        <f t="shared" si="90"/>
        <v>-1</v>
      </c>
      <c r="AF1138" s="955">
        <f t="shared" si="91"/>
        <v>983</v>
      </c>
    </row>
    <row r="1139" spans="1:32" x14ac:dyDescent="0.3">
      <c r="A1139" s="339" t="s">
        <v>976</v>
      </c>
      <c r="B1139" s="953" t="s">
        <v>1384</v>
      </c>
      <c r="C1139" s="791">
        <v>326600</v>
      </c>
      <c r="D1139" s="792">
        <v>0</v>
      </c>
      <c r="E1139" s="792"/>
      <c r="F1139" s="792">
        <v>0</v>
      </c>
      <c r="G1139" s="792">
        <v>0</v>
      </c>
      <c r="H1139" s="792">
        <v>0</v>
      </c>
      <c r="I1139" s="792">
        <v>0</v>
      </c>
      <c r="J1139" s="792">
        <v>0</v>
      </c>
      <c r="K1139" s="792">
        <v>0</v>
      </c>
      <c r="L1139" s="792">
        <v>0</v>
      </c>
      <c r="M1139" s="792">
        <v>0</v>
      </c>
      <c r="N1139" s="792">
        <v>0</v>
      </c>
      <c r="O1139" s="792" t="s">
        <v>251</v>
      </c>
      <c r="P1139" s="1497">
        <f t="shared" si="92"/>
        <v>326600</v>
      </c>
      <c r="Q1139" s="1161">
        <f t="shared" si="93"/>
        <v>326600</v>
      </c>
      <c r="R1139" s="791"/>
      <c r="S1139" s="792"/>
      <c r="T1139" s="792"/>
      <c r="U1139" s="792"/>
      <c r="V1139" s="792"/>
      <c r="W1139" s="792"/>
      <c r="X1139" s="792"/>
      <c r="Y1139" s="792"/>
      <c r="Z1139" s="792"/>
      <c r="AA1139" s="792"/>
      <c r="AB1139" s="792"/>
      <c r="AC1139" s="792"/>
      <c r="AD1139" s="1161">
        <f t="shared" si="89"/>
        <v>0</v>
      </c>
      <c r="AE1139" s="954">
        <f t="shared" si="90"/>
        <v>-1</v>
      </c>
      <c r="AF1139" s="955">
        <f t="shared" si="91"/>
        <v>983</v>
      </c>
    </row>
    <row r="1140" spans="1:32" x14ac:dyDescent="0.3">
      <c r="A1140" s="339" t="s">
        <v>976</v>
      </c>
      <c r="B1140" s="953" t="s">
        <v>1385</v>
      </c>
      <c r="C1140" s="791"/>
      <c r="D1140" s="792">
        <v>0</v>
      </c>
      <c r="E1140" s="792"/>
      <c r="F1140" s="792">
        <v>108000</v>
      </c>
      <c r="G1140" s="792">
        <v>0</v>
      </c>
      <c r="H1140" s="792">
        <v>17000</v>
      </c>
      <c r="I1140" s="792">
        <v>0</v>
      </c>
      <c r="J1140" s="792">
        <v>0</v>
      </c>
      <c r="K1140" s="792">
        <v>0</v>
      </c>
      <c r="L1140" s="792">
        <v>0</v>
      </c>
      <c r="M1140" s="792">
        <v>0</v>
      </c>
      <c r="N1140" s="792">
        <v>0</v>
      </c>
      <c r="O1140" s="792" t="s">
        <v>251</v>
      </c>
      <c r="P1140" s="1497">
        <f t="shared" si="92"/>
        <v>125000</v>
      </c>
      <c r="Q1140" s="1161">
        <f t="shared" si="93"/>
        <v>125000</v>
      </c>
      <c r="R1140" s="791"/>
      <c r="S1140" s="792"/>
      <c r="T1140" s="792"/>
      <c r="U1140" s="792"/>
      <c r="V1140" s="792"/>
      <c r="W1140" s="792"/>
      <c r="X1140" s="792"/>
      <c r="Y1140" s="792"/>
      <c r="Z1140" s="792"/>
      <c r="AA1140" s="792"/>
      <c r="AB1140" s="792"/>
      <c r="AC1140" s="792"/>
      <c r="AD1140" s="1161">
        <f t="shared" si="89"/>
        <v>0</v>
      </c>
      <c r="AE1140" s="954">
        <f t="shared" si="90"/>
        <v>-1</v>
      </c>
      <c r="AF1140" s="955">
        <f t="shared" si="91"/>
        <v>983</v>
      </c>
    </row>
    <row r="1141" spans="1:32" x14ac:dyDescent="0.3">
      <c r="A1141" s="339" t="s">
        <v>976</v>
      </c>
      <c r="B1141" s="953" t="s">
        <v>1386</v>
      </c>
      <c r="C1141" s="791"/>
      <c r="D1141" s="792">
        <v>0</v>
      </c>
      <c r="E1141" s="792"/>
      <c r="F1141" s="792">
        <v>0</v>
      </c>
      <c r="G1141" s="792">
        <v>94300</v>
      </c>
      <c r="H1141" s="792">
        <v>0</v>
      </c>
      <c r="I1141" s="792">
        <v>0</v>
      </c>
      <c r="J1141" s="792">
        <v>0</v>
      </c>
      <c r="K1141" s="792">
        <v>0</v>
      </c>
      <c r="L1141" s="792">
        <v>0</v>
      </c>
      <c r="M1141" s="792">
        <v>0</v>
      </c>
      <c r="N1141" s="792">
        <v>0</v>
      </c>
      <c r="O1141" s="792" t="s">
        <v>251</v>
      </c>
      <c r="P1141" s="1497">
        <f t="shared" si="92"/>
        <v>94300</v>
      </c>
      <c r="Q1141" s="1161">
        <f t="shared" si="93"/>
        <v>94300</v>
      </c>
      <c r="R1141" s="791"/>
      <c r="S1141" s="792"/>
      <c r="T1141" s="792"/>
      <c r="U1141" s="792"/>
      <c r="V1141" s="792"/>
      <c r="W1141" s="792"/>
      <c r="X1141" s="792"/>
      <c r="Y1141" s="792"/>
      <c r="Z1141" s="792"/>
      <c r="AA1141" s="792"/>
      <c r="AB1141" s="792"/>
      <c r="AC1141" s="792"/>
      <c r="AD1141" s="1161">
        <f t="shared" si="89"/>
        <v>0</v>
      </c>
      <c r="AE1141" s="954">
        <f t="shared" si="90"/>
        <v>-1</v>
      </c>
      <c r="AF1141" s="955">
        <f t="shared" si="91"/>
        <v>983</v>
      </c>
    </row>
    <row r="1142" spans="1:32" x14ac:dyDescent="0.3">
      <c r="A1142" s="339" t="s">
        <v>976</v>
      </c>
      <c r="B1142" s="953" t="s">
        <v>658</v>
      </c>
      <c r="C1142" s="791"/>
      <c r="D1142" s="792">
        <v>0</v>
      </c>
      <c r="E1142" s="792"/>
      <c r="F1142" s="792">
        <v>0</v>
      </c>
      <c r="G1142" s="792">
        <v>67200</v>
      </c>
      <c r="H1142" s="792">
        <v>0</v>
      </c>
      <c r="I1142" s="792">
        <v>150200</v>
      </c>
      <c r="J1142" s="792">
        <v>17800</v>
      </c>
      <c r="K1142" s="792">
        <v>17800</v>
      </c>
      <c r="L1142" s="792">
        <v>0</v>
      </c>
      <c r="M1142" s="792">
        <v>422000</v>
      </c>
      <c r="N1142" s="792">
        <v>728000</v>
      </c>
      <c r="O1142" s="792">
        <v>177200</v>
      </c>
      <c r="P1142" s="1497">
        <f t="shared" si="92"/>
        <v>235200</v>
      </c>
      <c r="Q1142" s="1161">
        <f t="shared" si="93"/>
        <v>1562400</v>
      </c>
      <c r="R1142" s="791">
        <v>157400</v>
      </c>
      <c r="S1142" s="792">
        <v>11400</v>
      </c>
      <c r="T1142" s="792">
        <v>0</v>
      </c>
      <c r="U1142" s="792">
        <v>0</v>
      </c>
      <c r="V1142" s="792">
        <v>515600</v>
      </c>
      <c r="W1142" s="792">
        <v>0</v>
      </c>
      <c r="X1142" s="792">
        <v>47000</v>
      </c>
      <c r="Y1142" s="792">
        <v>0</v>
      </c>
      <c r="Z1142" s="792"/>
      <c r="AA1142" s="792"/>
      <c r="AB1142" s="792"/>
      <c r="AC1142" s="792"/>
      <c r="AD1142" s="1161">
        <f t="shared" si="89"/>
        <v>731400</v>
      </c>
      <c r="AE1142" s="954">
        <f t="shared" si="90"/>
        <v>2.1096938775510203</v>
      </c>
      <c r="AF1142" s="955">
        <f t="shared" si="91"/>
        <v>370</v>
      </c>
    </row>
    <row r="1143" spans="1:32" x14ac:dyDescent="0.3">
      <c r="A1143" s="339" t="s">
        <v>976</v>
      </c>
      <c r="B1143" s="953" t="s">
        <v>1387</v>
      </c>
      <c r="C1143" s="791"/>
      <c r="D1143" s="792" t="s">
        <v>251</v>
      </c>
      <c r="E1143" s="792"/>
      <c r="F1143" s="792" t="s">
        <v>251</v>
      </c>
      <c r="G1143" s="792" t="s">
        <v>251</v>
      </c>
      <c r="H1143" s="792" t="s">
        <v>251</v>
      </c>
      <c r="I1143" s="792" t="s">
        <v>251</v>
      </c>
      <c r="J1143" s="792" t="s">
        <v>251</v>
      </c>
      <c r="K1143" s="792"/>
      <c r="L1143" s="792" t="s">
        <v>251</v>
      </c>
      <c r="M1143" s="792" t="s">
        <v>251</v>
      </c>
      <c r="N1143" s="792" t="s">
        <v>251</v>
      </c>
      <c r="O1143" s="792" t="s">
        <v>251</v>
      </c>
      <c r="P1143" s="1497">
        <f t="shared" si="92"/>
        <v>0</v>
      </c>
      <c r="Q1143" s="1161">
        <f t="shared" si="93"/>
        <v>0</v>
      </c>
      <c r="R1143" s="791"/>
      <c r="S1143" s="792"/>
      <c r="T1143" s="792"/>
      <c r="U1143" s="792"/>
      <c r="V1143" s="792"/>
      <c r="W1143" s="792"/>
      <c r="X1143" s="792"/>
      <c r="Y1143" s="792"/>
      <c r="Z1143" s="792"/>
      <c r="AA1143" s="792"/>
      <c r="AB1143" s="792"/>
      <c r="AC1143" s="792"/>
      <c r="AD1143" s="1161">
        <f t="shared" si="89"/>
        <v>0</v>
      </c>
      <c r="AE1143" s="954">
        <f t="shared" si="90"/>
        <v>0</v>
      </c>
      <c r="AF1143" s="955">
        <f t="shared" si="91"/>
        <v>983</v>
      </c>
    </row>
    <row r="1144" spans="1:32" x14ac:dyDescent="0.3">
      <c r="A1144" s="339" t="s">
        <v>976</v>
      </c>
      <c r="B1144" s="953" t="s">
        <v>1178</v>
      </c>
      <c r="C1144" s="791"/>
      <c r="D1144" s="792" t="s">
        <v>251</v>
      </c>
      <c r="E1144" s="792"/>
      <c r="F1144" s="792" t="s">
        <v>251</v>
      </c>
      <c r="G1144" s="792" t="s">
        <v>251</v>
      </c>
      <c r="H1144" s="792" t="s">
        <v>251</v>
      </c>
      <c r="I1144" s="792" t="s">
        <v>251</v>
      </c>
      <c r="J1144" s="792" t="s">
        <v>251</v>
      </c>
      <c r="K1144" s="792"/>
      <c r="L1144" s="792" t="s">
        <v>251</v>
      </c>
      <c r="M1144" s="792" t="s">
        <v>251</v>
      </c>
      <c r="N1144" s="792" t="s">
        <v>251</v>
      </c>
      <c r="O1144" s="792" t="s">
        <v>251</v>
      </c>
      <c r="P1144" s="1497">
        <f t="shared" si="92"/>
        <v>0</v>
      </c>
      <c r="Q1144" s="1161">
        <f t="shared" si="93"/>
        <v>0</v>
      </c>
      <c r="R1144" s="791"/>
      <c r="S1144" s="792"/>
      <c r="T1144" s="792"/>
      <c r="U1144" s="792"/>
      <c r="V1144" s="792"/>
      <c r="W1144" s="792"/>
      <c r="X1144" s="792"/>
      <c r="Y1144" s="792"/>
      <c r="Z1144" s="792"/>
      <c r="AA1144" s="792"/>
      <c r="AB1144" s="792"/>
      <c r="AC1144" s="792"/>
      <c r="AD1144" s="1161">
        <f t="shared" si="89"/>
        <v>0</v>
      </c>
      <c r="AE1144" s="954">
        <f t="shared" si="90"/>
        <v>0</v>
      </c>
      <c r="AF1144" s="955">
        <f t="shared" si="91"/>
        <v>983</v>
      </c>
    </row>
    <row r="1145" spans="1:32" x14ac:dyDescent="0.3">
      <c r="A1145" s="339" t="s">
        <v>976</v>
      </c>
      <c r="B1145" s="953" t="s">
        <v>2548</v>
      </c>
      <c r="C1145" s="791"/>
      <c r="D1145" s="792"/>
      <c r="E1145" s="792"/>
      <c r="F1145" s="792"/>
      <c r="G1145" s="792"/>
      <c r="H1145" s="792"/>
      <c r="I1145" s="792"/>
      <c r="J1145" s="792"/>
      <c r="K1145" s="792">
        <v>0</v>
      </c>
      <c r="L1145" s="792"/>
      <c r="M1145" s="792"/>
      <c r="N1145" s="792"/>
      <c r="O1145" s="792"/>
      <c r="P1145" s="1497">
        <f t="shared" si="92"/>
        <v>0</v>
      </c>
      <c r="Q1145" s="1161">
        <f t="shared" si="93"/>
        <v>0</v>
      </c>
      <c r="R1145" s="791">
        <v>191600</v>
      </c>
      <c r="S1145" s="792">
        <v>103200</v>
      </c>
      <c r="T1145" s="792">
        <v>196400</v>
      </c>
      <c r="U1145" s="792">
        <v>0</v>
      </c>
      <c r="V1145" s="792">
        <v>94200</v>
      </c>
      <c r="W1145" s="792">
        <v>0</v>
      </c>
      <c r="X1145" s="792">
        <v>0</v>
      </c>
      <c r="Y1145" s="792">
        <v>0</v>
      </c>
      <c r="Z1145" s="792"/>
      <c r="AA1145" s="792"/>
      <c r="AB1145" s="792"/>
      <c r="AC1145" s="792"/>
      <c r="AD1145" s="1161">
        <f t="shared" si="89"/>
        <v>585400</v>
      </c>
      <c r="AE1145" s="954">
        <f t="shared" si="90"/>
        <v>1</v>
      </c>
      <c r="AF1145" s="955">
        <f t="shared" si="91"/>
        <v>409</v>
      </c>
    </row>
    <row r="1146" spans="1:32" x14ac:dyDescent="0.3">
      <c r="A1146" s="339" t="s">
        <v>976</v>
      </c>
      <c r="B1146" s="953" t="s">
        <v>2692</v>
      </c>
      <c r="C1146" s="791"/>
      <c r="D1146" s="792"/>
      <c r="E1146" s="792"/>
      <c r="F1146" s="792"/>
      <c r="G1146" s="792"/>
      <c r="H1146" s="792"/>
      <c r="I1146" s="792"/>
      <c r="J1146" s="792"/>
      <c r="K1146" s="792"/>
      <c r="L1146" s="792"/>
      <c r="M1146" s="792"/>
      <c r="N1146" s="792"/>
      <c r="O1146" s="792"/>
      <c r="P1146" s="1497">
        <f t="shared" si="92"/>
        <v>0</v>
      </c>
      <c r="Q1146" s="1161">
        <f t="shared" si="93"/>
        <v>0</v>
      </c>
      <c r="R1146" s="791"/>
      <c r="S1146" s="792"/>
      <c r="T1146" s="792"/>
      <c r="U1146" s="792">
        <v>11360</v>
      </c>
      <c r="V1146" s="792">
        <v>0</v>
      </c>
      <c r="W1146" s="792">
        <v>0</v>
      </c>
      <c r="X1146" s="792">
        <v>0</v>
      </c>
      <c r="Y1146" s="792">
        <v>0</v>
      </c>
      <c r="Z1146" s="792"/>
      <c r="AA1146" s="792"/>
      <c r="AB1146" s="792"/>
      <c r="AC1146" s="792"/>
      <c r="AD1146" s="1161">
        <f t="shared" si="89"/>
        <v>11360</v>
      </c>
      <c r="AE1146" s="954">
        <f t="shared" si="90"/>
        <v>1</v>
      </c>
      <c r="AF1146" s="955">
        <f t="shared" si="91"/>
        <v>949</v>
      </c>
    </row>
    <row r="1147" spans="1:32" x14ac:dyDescent="0.3">
      <c r="A1147" s="339" t="s">
        <v>976</v>
      </c>
      <c r="B1147" s="953" t="s">
        <v>2744</v>
      </c>
      <c r="C1147" s="791"/>
      <c r="D1147" s="792"/>
      <c r="E1147" s="792"/>
      <c r="F1147" s="792"/>
      <c r="G1147" s="792"/>
      <c r="H1147" s="792"/>
      <c r="I1147" s="792"/>
      <c r="J1147" s="792"/>
      <c r="K1147" s="792"/>
      <c r="L1147" s="792"/>
      <c r="M1147" s="792"/>
      <c r="N1147" s="792"/>
      <c r="O1147" s="792"/>
      <c r="P1147" s="1497">
        <f t="shared" si="92"/>
        <v>0</v>
      </c>
      <c r="Q1147" s="1161">
        <f t="shared" si="93"/>
        <v>0</v>
      </c>
      <c r="R1147" s="791"/>
      <c r="S1147" s="792"/>
      <c r="T1147" s="792"/>
      <c r="U1147" s="792">
        <v>14000</v>
      </c>
      <c r="V1147" s="792">
        <v>0</v>
      </c>
      <c r="W1147" s="792">
        <v>0</v>
      </c>
      <c r="X1147" s="792">
        <v>0</v>
      </c>
      <c r="Y1147" s="792">
        <v>0</v>
      </c>
      <c r="Z1147" s="792"/>
      <c r="AA1147" s="792"/>
      <c r="AB1147" s="792"/>
      <c r="AC1147" s="792"/>
      <c r="AD1147" s="1161">
        <f t="shared" si="89"/>
        <v>14000</v>
      </c>
      <c r="AE1147" s="954">
        <f t="shared" si="90"/>
        <v>1</v>
      </c>
      <c r="AF1147" s="955">
        <f t="shared" si="91"/>
        <v>944</v>
      </c>
    </row>
    <row r="1148" spans="1:32" x14ac:dyDescent="0.3">
      <c r="A1148" s="341" t="s">
        <v>1388</v>
      </c>
      <c r="B1148" s="956" t="s">
        <v>1389</v>
      </c>
      <c r="C1148" s="793">
        <v>971800</v>
      </c>
      <c r="D1148" s="794">
        <v>0</v>
      </c>
      <c r="E1148" s="794">
        <v>175200</v>
      </c>
      <c r="F1148" s="794">
        <v>0</v>
      </c>
      <c r="G1148" s="794">
        <v>0</v>
      </c>
      <c r="H1148" s="794">
        <v>0</v>
      </c>
      <c r="I1148" s="794">
        <v>0</v>
      </c>
      <c r="J1148" s="794">
        <v>0</v>
      </c>
      <c r="K1148" s="794">
        <v>0</v>
      </c>
      <c r="L1148" s="794">
        <v>0</v>
      </c>
      <c r="M1148" s="794">
        <v>0</v>
      </c>
      <c r="N1148" s="794">
        <v>0</v>
      </c>
      <c r="O1148" s="794" t="s">
        <v>251</v>
      </c>
      <c r="P1148" s="1497">
        <f t="shared" si="92"/>
        <v>1147000</v>
      </c>
      <c r="Q1148" s="1162">
        <f t="shared" si="93"/>
        <v>1147000</v>
      </c>
      <c r="R1148" s="793"/>
      <c r="S1148" s="794"/>
      <c r="T1148" s="794"/>
      <c r="U1148" s="794"/>
      <c r="V1148" s="794"/>
      <c r="W1148" s="794"/>
      <c r="X1148" s="794"/>
      <c r="Y1148" s="794"/>
      <c r="Z1148" s="794"/>
      <c r="AA1148" s="794"/>
      <c r="AB1148" s="794"/>
      <c r="AC1148" s="794"/>
      <c r="AD1148" s="1162">
        <f t="shared" si="89"/>
        <v>0</v>
      </c>
      <c r="AE1148" s="957">
        <f t="shared" si="90"/>
        <v>-1</v>
      </c>
      <c r="AF1148" s="958">
        <f t="shared" si="91"/>
        <v>983</v>
      </c>
    </row>
    <row r="1149" spans="1:32" x14ac:dyDescent="0.3">
      <c r="A1149" s="341" t="s">
        <v>1388</v>
      </c>
      <c r="B1149" s="956" t="s">
        <v>1390</v>
      </c>
      <c r="C1149" s="793"/>
      <c r="D1149" s="794">
        <v>0</v>
      </c>
      <c r="E1149" s="794">
        <v>544000</v>
      </c>
      <c r="F1149" s="794">
        <v>0</v>
      </c>
      <c r="G1149" s="794">
        <v>0</v>
      </c>
      <c r="H1149" s="794">
        <v>0</v>
      </c>
      <c r="I1149" s="794">
        <v>0</v>
      </c>
      <c r="J1149" s="794">
        <v>0</v>
      </c>
      <c r="K1149" s="794">
        <v>0</v>
      </c>
      <c r="L1149" s="794">
        <v>0</v>
      </c>
      <c r="M1149" s="794">
        <v>0</v>
      </c>
      <c r="N1149" s="794">
        <v>0</v>
      </c>
      <c r="O1149" s="794" t="s">
        <v>251</v>
      </c>
      <c r="P1149" s="1497">
        <f t="shared" si="92"/>
        <v>544000</v>
      </c>
      <c r="Q1149" s="1162">
        <f t="shared" si="93"/>
        <v>544000</v>
      </c>
      <c r="R1149" s="793"/>
      <c r="S1149" s="794"/>
      <c r="T1149" s="794"/>
      <c r="U1149" s="794"/>
      <c r="V1149" s="794"/>
      <c r="W1149" s="794"/>
      <c r="X1149" s="794"/>
      <c r="Y1149" s="794"/>
      <c r="Z1149" s="794"/>
      <c r="AA1149" s="794"/>
      <c r="AB1149" s="794"/>
      <c r="AC1149" s="794"/>
      <c r="AD1149" s="1162">
        <f t="shared" si="89"/>
        <v>0</v>
      </c>
      <c r="AE1149" s="957">
        <f t="shared" si="90"/>
        <v>-1</v>
      </c>
      <c r="AF1149" s="958">
        <f t="shared" si="91"/>
        <v>983</v>
      </c>
    </row>
    <row r="1150" spans="1:32" x14ac:dyDescent="0.3">
      <c r="A1150" s="341" t="s">
        <v>1388</v>
      </c>
      <c r="B1150" s="956" t="s">
        <v>1388</v>
      </c>
      <c r="C1150" s="793"/>
      <c r="D1150" s="794">
        <v>0</v>
      </c>
      <c r="E1150" s="794"/>
      <c r="F1150" s="794">
        <v>277600</v>
      </c>
      <c r="G1150" s="794">
        <v>0</v>
      </c>
      <c r="H1150" s="794">
        <v>0</v>
      </c>
      <c r="I1150" s="794">
        <v>0</v>
      </c>
      <c r="J1150" s="794">
        <v>0</v>
      </c>
      <c r="K1150" s="794">
        <v>0</v>
      </c>
      <c r="L1150" s="794">
        <v>0</v>
      </c>
      <c r="M1150" s="794">
        <v>0</v>
      </c>
      <c r="N1150" s="794">
        <v>0</v>
      </c>
      <c r="O1150" s="794" t="s">
        <v>251</v>
      </c>
      <c r="P1150" s="1497">
        <f t="shared" si="92"/>
        <v>277600</v>
      </c>
      <c r="Q1150" s="1162">
        <f t="shared" si="93"/>
        <v>277600</v>
      </c>
      <c r="R1150" s="793"/>
      <c r="S1150" s="794">
        <v>277600</v>
      </c>
      <c r="T1150" s="794">
        <v>17000</v>
      </c>
      <c r="U1150" s="794">
        <v>0</v>
      </c>
      <c r="V1150" s="794">
        <v>277600</v>
      </c>
      <c r="W1150" s="794">
        <v>0</v>
      </c>
      <c r="X1150" s="794">
        <v>0</v>
      </c>
      <c r="Y1150" s="794">
        <v>0</v>
      </c>
      <c r="Z1150" s="794"/>
      <c r="AA1150" s="794"/>
      <c r="AB1150" s="794"/>
      <c r="AC1150" s="794"/>
      <c r="AD1150" s="1162">
        <f t="shared" si="89"/>
        <v>572200</v>
      </c>
      <c r="AE1150" s="957">
        <f t="shared" si="90"/>
        <v>1.0612391930835734</v>
      </c>
      <c r="AF1150" s="958">
        <f t="shared" si="91"/>
        <v>414</v>
      </c>
    </row>
    <row r="1151" spans="1:32" x14ac:dyDescent="0.3">
      <c r="A1151" s="341" t="s">
        <v>1388</v>
      </c>
      <c r="B1151" s="956" t="s">
        <v>1391</v>
      </c>
      <c r="C1151" s="793"/>
      <c r="D1151" s="794">
        <v>0</v>
      </c>
      <c r="E1151" s="794"/>
      <c r="F1151" s="794">
        <v>0</v>
      </c>
      <c r="G1151" s="794">
        <v>15500</v>
      </c>
      <c r="H1151" s="794">
        <v>0</v>
      </c>
      <c r="I1151" s="794">
        <v>0</v>
      </c>
      <c r="J1151" s="794">
        <v>0</v>
      </c>
      <c r="K1151" s="794">
        <v>0</v>
      </c>
      <c r="L1151" s="794">
        <v>0</v>
      </c>
      <c r="M1151" s="794">
        <v>0</v>
      </c>
      <c r="N1151" s="794">
        <v>0</v>
      </c>
      <c r="O1151" s="794" t="s">
        <v>251</v>
      </c>
      <c r="P1151" s="1497">
        <f t="shared" si="92"/>
        <v>15500</v>
      </c>
      <c r="Q1151" s="1162">
        <f t="shared" si="93"/>
        <v>15500</v>
      </c>
      <c r="R1151" s="793"/>
      <c r="S1151" s="794"/>
      <c r="T1151" s="794"/>
      <c r="U1151" s="794"/>
      <c r="V1151" s="794"/>
      <c r="W1151" s="794"/>
      <c r="X1151" s="794"/>
      <c r="Y1151" s="794"/>
      <c r="Z1151" s="794"/>
      <c r="AA1151" s="794"/>
      <c r="AB1151" s="794"/>
      <c r="AC1151" s="794"/>
      <c r="AD1151" s="1162">
        <f t="shared" si="89"/>
        <v>0</v>
      </c>
      <c r="AE1151" s="957">
        <f t="shared" si="90"/>
        <v>-1</v>
      </c>
      <c r="AF1151" s="958">
        <f t="shared" si="91"/>
        <v>983</v>
      </c>
    </row>
    <row r="1152" spans="1:32" x14ac:dyDescent="0.3">
      <c r="A1152" s="341" t="s">
        <v>1388</v>
      </c>
      <c r="B1152" s="956" t="s">
        <v>2164</v>
      </c>
      <c r="C1152" s="793"/>
      <c r="D1152" s="794">
        <v>0</v>
      </c>
      <c r="E1152" s="794"/>
      <c r="F1152" s="794">
        <v>0</v>
      </c>
      <c r="G1152" s="794">
        <v>0</v>
      </c>
      <c r="H1152" s="794">
        <v>0</v>
      </c>
      <c r="I1152" s="794">
        <v>313000</v>
      </c>
      <c r="J1152" s="794">
        <v>0</v>
      </c>
      <c r="K1152" s="794">
        <v>0</v>
      </c>
      <c r="L1152" s="794">
        <v>0</v>
      </c>
      <c r="M1152" s="794">
        <v>0</v>
      </c>
      <c r="N1152" s="794">
        <v>0</v>
      </c>
      <c r="O1152" s="794" t="s">
        <v>251</v>
      </c>
      <c r="P1152" s="1497">
        <f t="shared" si="92"/>
        <v>313000</v>
      </c>
      <c r="Q1152" s="1162">
        <f t="shared" si="93"/>
        <v>313000</v>
      </c>
      <c r="R1152" s="793"/>
      <c r="S1152" s="794"/>
      <c r="T1152" s="794"/>
      <c r="U1152" s="794"/>
      <c r="V1152" s="794"/>
      <c r="W1152" s="794"/>
      <c r="X1152" s="794"/>
      <c r="Y1152" s="794"/>
      <c r="Z1152" s="794"/>
      <c r="AA1152" s="794"/>
      <c r="AB1152" s="794"/>
      <c r="AC1152" s="794"/>
      <c r="AD1152" s="1162">
        <f t="shared" si="89"/>
        <v>0</v>
      </c>
      <c r="AE1152" s="957">
        <f t="shared" si="90"/>
        <v>-1</v>
      </c>
      <c r="AF1152" s="958">
        <f t="shared" si="91"/>
        <v>983</v>
      </c>
    </row>
    <row r="1153" spans="1:32" x14ac:dyDescent="0.3">
      <c r="A1153" s="341" t="s">
        <v>1388</v>
      </c>
      <c r="B1153" s="956" t="s">
        <v>2165</v>
      </c>
      <c r="C1153" s="793"/>
      <c r="D1153" s="794">
        <v>0</v>
      </c>
      <c r="E1153" s="794"/>
      <c r="F1153" s="794">
        <v>0</v>
      </c>
      <c r="G1153" s="794">
        <v>0</v>
      </c>
      <c r="H1153" s="794">
        <v>0</v>
      </c>
      <c r="I1153" s="794">
        <v>195000</v>
      </c>
      <c r="J1153" s="794">
        <v>0</v>
      </c>
      <c r="K1153" s="794">
        <v>0</v>
      </c>
      <c r="L1153" s="794">
        <v>0</v>
      </c>
      <c r="M1153" s="794">
        <v>0</v>
      </c>
      <c r="N1153" s="794">
        <v>0</v>
      </c>
      <c r="O1153" s="794" t="s">
        <v>251</v>
      </c>
      <c r="P1153" s="1497">
        <f t="shared" si="92"/>
        <v>195000</v>
      </c>
      <c r="Q1153" s="1162">
        <f t="shared" si="93"/>
        <v>195000</v>
      </c>
      <c r="R1153" s="793"/>
      <c r="S1153" s="794"/>
      <c r="T1153" s="794"/>
      <c r="U1153" s="794"/>
      <c r="V1153" s="794"/>
      <c r="W1153" s="794"/>
      <c r="X1153" s="794"/>
      <c r="Y1153" s="794"/>
      <c r="Z1153" s="794"/>
      <c r="AA1153" s="794"/>
      <c r="AB1153" s="794"/>
      <c r="AC1153" s="794"/>
      <c r="AD1153" s="1162">
        <f t="shared" ref="AD1153:AD1223" si="94">SUM(R1153:AC1153)</f>
        <v>0</v>
      </c>
      <c r="AE1153" s="957">
        <f t="shared" ref="AE1153:AE1223" si="95">IF(OR(AD1153="", P1153=""), 0, IFERROR((AD1153-P1153)/P1153, IF(AD1153&lt;&gt;0, 1, 0)))</f>
        <v>-1</v>
      </c>
      <c r="AF1153" s="958">
        <f t="shared" si="91"/>
        <v>983</v>
      </c>
    </row>
    <row r="1154" spans="1:32" x14ac:dyDescent="0.3">
      <c r="A1154" s="341" t="s">
        <v>1388</v>
      </c>
      <c r="B1154" s="956" t="s">
        <v>2166</v>
      </c>
      <c r="C1154" s="793"/>
      <c r="D1154" s="794" t="s">
        <v>251</v>
      </c>
      <c r="E1154" s="794"/>
      <c r="F1154" s="794" t="s">
        <v>251</v>
      </c>
      <c r="G1154" s="794" t="s">
        <v>251</v>
      </c>
      <c r="H1154" s="794" t="s">
        <v>251</v>
      </c>
      <c r="I1154" s="794" t="s">
        <v>251</v>
      </c>
      <c r="J1154" s="794" t="s">
        <v>251</v>
      </c>
      <c r="K1154" s="794"/>
      <c r="L1154" s="794" t="s">
        <v>251</v>
      </c>
      <c r="M1154" s="794" t="s">
        <v>251</v>
      </c>
      <c r="N1154" s="794" t="s">
        <v>251</v>
      </c>
      <c r="O1154" s="794" t="s">
        <v>251</v>
      </c>
      <c r="P1154" s="1497">
        <f t="shared" si="92"/>
        <v>0</v>
      </c>
      <c r="Q1154" s="1162">
        <f t="shared" si="93"/>
        <v>0</v>
      </c>
      <c r="R1154" s="793"/>
      <c r="S1154" s="794"/>
      <c r="T1154" s="794"/>
      <c r="U1154" s="794"/>
      <c r="V1154" s="794"/>
      <c r="W1154" s="794"/>
      <c r="X1154" s="794"/>
      <c r="Y1154" s="794"/>
      <c r="Z1154" s="794"/>
      <c r="AA1154" s="794"/>
      <c r="AB1154" s="794"/>
      <c r="AC1154" s="794"/>
      <c r="AD1154" s="1162">
        <f t="shared" si="94"/>
        <v>0</v>
      </c>
      <c r="AE1154" s="957">
        <f t="shared" si="95"/>
        <v>0</v>
      </c>
      <c r="AF1154" s="958">
        <f t="shared" si="91"/>
        <v>983</v>
      </c>
    </row>
    <row r="1155" spans="1:32" x14ac:dyDescent="0.3">
      <c r="A1155" s="341" t="s">
        <v>1388</v>
      </c>
      <c r="B1155" s="956" t="s">
        <v>2620</v>
      </c>
      <c r="C1155" s="793"/>
      <c r="D1155" s="794"/>
      <c r="E1155" s="794"/>
      <c r="F1155" s="794"/>
      <c r="G1155" s="794"/>
      <c r="H1155" s="794"/>
      <c r="I1155" s="794"/>
      <c r="J1155" s="794"/>
      <c r="K1155" s="794"/>
      <c r="L1155" s="794"/>
      <c r="M1155" s="794"/>
      <c r="N1155" s="794"/>
      <c r="O1155" s="794"/>
      <c r="P1155" s="1497">
        <f t="shared" si="92"/>
        <v>0</v>
      </c>
      <c r="Q1155" s="1162">
        <f t="shared" si="93"/>
        <v>0</v>
      </c>
      <c r="R1155" s="793"/>
      <c r="S1155" s="794"/>
      <c r="T1155" s="794"/>
      <c r="U1155" s="794"/>
      <c r="V1155" s="794"/>
      <c r="W1155" s="794"/>
      <c r="X1155" s="794"/>
      <c r="Y1155" s="794"/>
      <c r="Z1155" s="794"/>
      <c r="AA1155" s="794"/>
      <c r="AB1155" s="794"/>
      <c r="AC1155" s="794"/>
      <c r="AD1155" s="1162">
        <f t="shared" si="94"/>
        <v>0</v>
      </c>
      <c r="AE1155" s="957">
        <f t="shared" si="95"/>
        <v>0</v>
      </c>
      <c r="AF1155" s="958">
        <f t="shared" si="91"/>
        <v>983</v>
      </c>
    </row>
    <row r="1156" spans="1:32" x14ac:dyDescent="0.3">
      <c r="A1156" s="341" t="s">
        <v>1388</v>
      </c>
      <c r="B1156" s="956" t="s">
        <v>2962</v>
      </c>
      <c r="C1156" s="793"/>
      <c r="D1156" s="794"/>
      <c r="E1156" s="794"/>
      <c r="F1156" s="794"/>
      <c r="G1156" s="794"/>
      <c r="H1156" s="794"/>
      <c r="I1156" s="794"/>
      <c r="J1156" s="794"/>
      <c r="K1156" s="794"/>
      <c r="L1156" s="794"/>
      <c r="M1156" s="794"/>
      <c r="N1156" s="794"/>
      <c r="O1156" s="794"/>
      <c r="P1156" s="1497">
        <f t="shared" si="92"/>
        <v>0</v>
      </c>
      <c r="Q1156" s="1162">
        <f t="shared" si="93"/>
        <v>0</v>
      </c>
      <c r="R1156" s="793"/>
      <c r="S1156" s="794"/>
      <c r="T1156" s="794"/>
      <c r="U1156" s="794"/>
      <c r="V1156" s="794"/>
      <c r="W1156" s="794"/>
      <c r="X1156" s="794">
        <v>158000</v>
      </c>
      <c r="Y1156" s="794">
        <v>0</v>
      </c>
      <c r="Z1156" s="794"/>
      <c r="AA1156" s="794"/>
      <c r="AB1156" s="794"/>
      <c r="AC1156" s="794"/>
      <c r="AD1156" s="1162">
        <f t="shared" si="94"/>
        <v>158000</v>
      </c>
      <c r="AE1156" s="957">
        <f t="shared" si="95"/>
        <v>1</v>
      </c>
      <c r="AF1156" s="958">
        <f t="shared" si="91"/>
        <v>665</v>
      </c>
    </row>
    <row r="1157" spans="1:32" x14ac:dyDescent="0.3">
      <c r="A1157" s="594" t="s">
        <v>1403</v>
      </c>
      <c r="B1157" s="688" t="s">
        <v>2167</v>
      </c>
      <c r="C1157" s="730"/>
      <c r="D1157" s="731">
        <v>0</v>
      </c>
      <c r="E1157" s="731"/>
      <c r="F1157" s="731">
        <v>0</v>
      </c>
      <c r="G1157" s="731">
        <v>0</v>
      </c>
      <c r="H1157" s="731">
        <v>0</v>
      </c>
      <c r="I1157" s="731">
        <v>0</v>
      </c>
      <c r="J1157" s="731">
        <v>0</v>
      </c>
      <c r="K1157" s="731"/>
      <c r="L1157" s="731">
        <v>0</v>
      </c>
      <c r="M1157" s="731">
        <v>0</v>
      </c>
      <c r="N1157" s="731">
        <v>1130400</v>
      </c>
      <c r="O1157" s="731">
        <v>910200</v>
      </c>
      <c r="P1157" s="1497">
        <f t="shared" si="92"/>
        <v>0</v>
      </c>
      <c r="Q1157" s="1131">
        <f t="shared" si="93"/>
        <v>2040600</v>
      </c>
      <c r="R1157" s="730"/>
      <c r="S1157" s="731">
        <v>317600</v>
      </c>
      <c r="T1157" s="731">
        <v>0</v>
      </c>
      <c r="U1157" s="731">
        <v>0</v>
      </c>
      <c r="V1157" s="731">
        <v>0</v>
      </c>
      <c r="W1157" s="731">
        <v>0</v>
      </c>
      <c r="X1157" s="731">
        <v>0</v>
      </c>
      <c r="Y1157" s="731">
        <v>0</v>
      </c>
      <c r="Z1157" s="731"/>
      <c r="AA1157" s="731"/>
      <c r="AB1157" s="731"/>
      <c r="AC1157" s="731"/>
      <c r="AD1157" s="1131">
        <f t="shared" si="94"/>
        <v>317600</v>
      </c>
      <c r="AE1157" s="870">
        <f t="shared" si="95"/>
        <v>1</v>
      </c>
      <c r="AF1157" s="871">
        <f t="shared" si="91"/>
        <v>523</v>
      </c>
    </row>
    <row r="1158" spans="1:32" x14ac:dyDescent="0.3">
      <c r="A1158" s="594" t="s">
        <v>1403</v>
      </c>
      <c r="B1158" s="688" t="s">
        <v>1403</v>
      </c>
      <c r="C1158" s="730"/>
      <c r="D1158" s="731">
        <v>0</v>
      </c>
      <c r="E1158" s="731"/>
      <c r="F1158" s="731">
        <v>0</v>
      </c>
      <c r="G1158" s="731">
        <v>0</v>
      </c>
      <c r="H1158" s="731">
        <v>0</v>
      </c>
      <c r="I1158" s="731">
        <v>0</v>
      </c>
      <c r="J1158" s="731">
        <v>0</v>
      </c>
      <c r="K1158" s="731"/>
      <c r="L1158" s="731">
        <v>0</v>
      </c>
      <c r="M1158" s="731">
        <v>0</v>
      </c>
      <c r="N1158" s="731">
        <v>233700</v>
      </c>
      <c r="O1158" s="731" t="s">
        <v>251</v>
      </c>
      <c r="P1158" s="1497">
        <f t="shared" si="92"/>
        <v>0</v>
      </c>
      <c r="Q1158" s="1131">
        <f t="shared" si="93"/>
        <v>233700</v>
      </c>
      <c r="R1158" s="730"/>
      <c r="S1158" s="731"/>
      <c r="T1158" s="731"/>
      <c r="U1158" s="731"/>
      <c r="V1158" s="731"/>
      <c r="W1158" s="731"/>
      <c r="X1158" s="731"/>
      <c r="Y1158" s="731"/>
      <c r="Z1158" s="731"/>
      <c r="AA1158" s="731"/>
      <c r="AB1158" s="731"/>
      <c r="AC1158" s="731"/>
      <c r="AD1158" s="1131">
        <f t="shared" si="94"/>
        <v>0</v>
      </c>
      <c r="AE1158" s="870">
        <f t="shared" si="95"/>
        <v>0</v>
      </c>
      <c r="AF1158" s="871">
        <f t="shared" ref="AF1158:AF1221" si="96">IFERROR(_xlfn.RANK.EQ(AD1158, $AD$2:$AD$2064), "")</f>
        <v>983</v>
      </c>
    </row>
    <row r="1159" spans="1:32" x14ac:dyDescent="0.3">
      <c r="A1159" s="595" t="s">
        <v>2168</v>
      </c>
      <c r="B1159" s="689" t="s">
        <v>2169</v>
      </c>
      <c r="C1159" s="768"/>
      <c r="D1159" s="769">
        <v>0</v>
      </c>
      <c r="E1159" s="769"/>
      <c r="F1159" s="769">
        <v>0</v>
      </c>
      <c r="G1159" s="769">
        <v>0</v>
      </c>
      <c r="H1159" s="769">
        <v>0</v>
      </c>
      <c r="I1159" s="769">
        <v>0</v>
      </c>
      <c r="J1159" s="769">
        <v>0</v>
      </c>
      <c r="K1159" s="769"/>
      <c r="L1159" s="769">
        <v>0</v>
      </c>
      <c r="M1159" s="769">
        <v>0</v>
      </c>
      <c r="N1159" s="769">
        <v>106000</v>
      </c>
      <c r="O1159" s="769" t="s">
        <v>251</v>
      </c>
      <c r="P1159" s="1497">
        <f t="shared" si="92"/>
        <v>0</v>
      </c>
      <c r="Q1159" s="1163">
        <f t="shared" si="93"/>
        <v>106000</v>
      </c>
      <c r="R1159" s="768"/>
      <c r="S1159" s="769"/>
      <c r="T1159" s="769"/>
      <c r="U1159" s="769"/>
      <c r="V1159" s="769"/>
      <c r="W1159" s="769"/>
      <c r="X1159" s="769"/>
      <c r="Y1159" s="769"/>
      <c r="Z1159" s="769"/>
      <c r="AA1159" s="769"/>
      <c r="AB1159" s="769"/>
      <c r="AC1159" s="769"/>
      <c r="AD1159" s="1163">
        <f t="shared" si="94"/>
        <v>0</v>
      </c>
      <c r="AE1159" s="922">
        <f t="shared" si="95"/>
        <v>0</v>
      </c>
      <c r="AF1159" s="923">
        <f t="shared" si="96"/>
        <v>983</v>
      </c>
    </row>
    <row r="1160" spans="1:32" x14ac:dyDescent="0.3">
      <c r="A1160" s="642" t="s">
        <v>1875</v>
      </c>
      <c r="B1160" s="692" t="s">
        <v>1875</v>
      </c>
      <c r="C1160" s="732"/>
      <c r="D1160" s="733">
        <v>0</v>
      </c>
      <c r="E1160" s="733"/>
      <c r="F1160" s="733">
        <v>0</v>
      </c>
      <c r="G1160" s="733">
        <v>0</v>
      </c>
      <c r="H1160" s="733">
        <v>0</v>
      </c>
      <c r="I1160" s="733">
        <v>0</v>
      </c>
      <c r="J1160" s="733">
        <v>0</v>
      </c>
      <c r="K1160" s="733"/>
      <c r="L1160" s="733">
        <v>0</v>
      </c>
      <c r="M1160" s="733">
        <v>0</v>
      </c>
      <c r="N1160" s="733">
        <v>240000</v>
      </c>
      <c r="O1160" s="733" t="s">
        <v>251</v>
      </c>
      <c r="P1160" s="1497">
        <f t="shared" si="92"/>
        <v>0</v>
      </c>
      <c r="Q1160" s="1132">
        <f t="shared" si="93"/>
        <v>240000</v>
      </c>
      <c r="R1160" s="732"/>
      <c r="S1160" s="733"/>
      <c r="T1160" s="733"/>
      <c r="U1160" s="733"/>
      <c r="V1160" s="733"/>
      <c r="W1160" s="733">
        <v>116550</v>
      </c>
      <c r="X1160" s="733">
        <v>0</v>
      </c>
      <c r="Y1160" s="733"/>
      <c r="Z1160" s="733"/>
      <c r="AA1160" s="733"/>
      <c r="AB1160" s="733"/>
      <c r="AC1160" s="733"/>
      <c r="AD1160" s="1132">
        <f t="shared" si="94"/>
        <v>116550</v>
      </c>
      <c r="AE1160" s="645">
        <f t="shared" si="95"/>
        <v>1</v>
      </c>
      <c r="AF1160" s="646">
        <f t="shared" si="96"/>
        <v>719</v>
      </c>
    </row>
    <row r="1161" spans="1:32" ht="18.75" customHeight="1" x14ac:dyDescent="0.3">
      <c r="A1161" s="642" t="s">
        <v>1875</v>
      </c>
      <c r="B1161" s="692" t="s">
        <v>2170</v>
      </c>
      <c r="C1161" s="732"/>
      <c r="D1161" s="733">
        <v>0</v>
      </c>
      <c r="E1161" s="733"/>
      <c r="F1161" s="733">
        <v>0</v>
      </c>
      <c r="G1161" s="733">
        <v>0</v>
      </c>
      <c r="H1161" s="733">
        <v>0</v>
      </c>
      <c r="I1161" s="733">
        <v>0</v>
      </c>
      <c r="J1161" s="733">
        <v>0</v>
      </c>
      <c r="K1161" s="733"/>
      <c r="L1161" s="733">
        <v>0</v>
      </c>
      <c r="M1161" s="733">
        <v>0</v>
      </c>
      <c r="N1161" s="733">
        <v>233100</v>
      </c>
      <c r="O1161" s="733" t="s">
        <v>251</v>
      </c>
      <c r="P1161" s="1497">
        <f t="shared" si="92"/>
        <v>0</v>
      </c>
      <c r="Q1161" s="1132">
        <f t="shared" si="93"/>
        <v>233100</v>
      </c>
      <c r="R1161" s="732"/>
      <c r="S1161" s="733"/>
      <c r="T1161" s="733"/>
      <c r="U1161" s="733"/>
      <c r="V1161" s="733"/>
      <c r="W1161" s="733"/>
      <c r="X1161" s="733"/>
      <c r="Y1161" s="733"/>
      <c r="Z1161" s="733"/>
      <c r="AA1161" s="733"/>
      <c r="AB1161" s="733"/>
      <c r="AC1161" s="733"/>
      <c r="AD1161" s="1132">
        <f t="shared" si="94"/>
        <v>0</v>
      </c>
      <c r="AE1161" s="645">
        <f t="shared" si="95"/>
        <v>0</v>
      </c>
      <c r="AF1161" s="646">
        <f t="shared" si="96"/>
        <v>983</v>
      </c>
    </row>
    <row r="1162" spans="1:32" ht="18.75" customHeight="1" x14ac:dyDescent="0.3">
      <c r="A1162" s="642" t="s">
        <v>1875</v>
      </c>
      <c r="B1162" s="692" t="s">
        <v>703</v>
      </c>
      <c r="C1162" s="732"/>
      <c r="D1162" s="733"/>
      <c r="E1162" s="733"/>
      <c r="F1162" s="733"/>
      <c r="G1162" s="733"/>
      <c r="H1162" s="733"/>
      <c r="I1162" s="733"/>
      <c r="J1162" s="733"/>
      <c r="K1162" s="733"/>
      <c r="L1162" s="733"/>
      <c r="M1162" s="733"/>
      <c r="N1162" s="733"/>
      <c r="O1162" s="733"/>
      <c r="P1162" s="1497">
        <f t="shared" si="92"/>
        <v>0</v>
      </c>
      <c r="Q1162" s="1132">
        <f t="shared" si="93"/>
        <v>0</v>
      </c>
      <c r="R1162" s="732">
        <v>291600</v>
      </c>
      <c r="S1162" s="733"/>
      <c r="T1162" s="733">
        <v>0</v>
      </c>
      <c r="U1162" s="733">
        <v>0</v>
      </c>
      <c r="V1162" s="733">
        <v>0</v>
      </c>
      <c r="W1162" s="733">
        <v>0</v>
      </c>
      <c r="X1162" s="733">
        <v>0</v>
      </c>
      <c r="Y1162" s="733">
        <v>0</v>
      </c>
      <c r="Z1162" s="733"/>
      <c r="AA1162" s="733"/>
      <c r="AB1162" s="733"/>
      <c r="AC1162" s="733"/>
      <c r="AD1162" s="1132">
        <f t="shared" si="94"/>
        <v>291600</v>
      </c>
      <c r="AE1162" s="645">
        <f t="shared" si="95"/>
        <v>1</v>
      </c>
      <c r="AF1162" s="646">
        <f t="shared" si="96"/>
        <v>537</v>
      </c>
    </row>
    <row r="1163" spans="1:32" ht="18.75" customHeight="1" x14ac:dyDescent="0.3">
      <c r="A1163" s="642" t="s">
        <v>1875</v>
      </c>
      <c r="B1163" s="692" t="s">
        <v>2786</v>
      </c>
      <c r="C1163" s="732"/>
      <c r="D1163" s="733"/>
      <c r="E1163" s="733"/>
      <c r="F1163" s="733"/>
      <c r="G1163" s="733"/>
      <c r="H1163" s="733"/>
      <c r="I1163" s="733"/>
      <c r="J1163" s="733"/>
      <c r="K1163" s="733"/>
      <c r="L1163" s="733"/>
      <c r="M1163" s="733"/>
      <c r="N1163" s="733"/>
      <c r="O1163" s="733"/>
      <c r="P1163" s="1497">
        <f t="shared" si="92"/>
        <v>0</v>
      </c>
      <c r="Q1163" s="1132">
        <f t="shared" si="93"/>
        <v>0</v>
      </c>
      <c r="R1163" s="732"/>
      <c r="S1163" s="733"/>
      <c r="T1163" s="733"/>
      <c r="U1163" s="733"/>
      <c r="V1163" s="733">
        <v>280350</v>
      </c>
      <c r="W1163" s="733">
        <v>0</v>
      </c>
      <c r="X1163" s="733">
        <v>0</v>
      </c>
      <c r="Y1163" s="733">
        <v>0</v>
      </c>
      <c r="Z1163" s="733"/>
      <c r="AA1163" s="733"/>
      <c r="AB1163" s="733"/>
      <c r="AC1163" s="733"/>
      <c r="AD1163" s="1132">
        <f t="shared" si="94"/>
        <v>280350</v>
      </c>
      <c r="AE1163" s="645">
        <f t="shared" si="95"/>
        <v>1</v>
      </c>
      <c r="AF1163" s="646">
        <f t="shared" si="96"/>
        <v>545</v>
      </c>
    </row>
    <row r="1164" spans="1:32" ht="18.75" customHeight="1" x14ac:dyDescent="0.3">
      <c r="A1164" s="642" t="s">
        <v>1875</v>
      </c>
      <c r="B1164" s="692" t="s">
        <v>2814</v>
      </c>
      <c r="C1164" s="732"/>
      <c r="D1164" s="733"/>
      <c r="E1164" s="733"/>
      <c r="F1164" s="733"/>
      <c r="G1164" s="733"/>
      <c r="H1164" s="733"/>
      <c r="I1164" s="733"/>
      <c r="J1164" s="733"/>
      <c r="K1164" s="733"/>
      <c r="L1164" s="733"/>
      <c r="M1164" s="733"/>
      <c r="N1164" s="733"/>
      <c r="O1164" s="733"/>
      <c r="P1164" s="1497">
        <f t="shared" si="92"/>
        <v>0</v>
      </c>
      <c r="Q1164" s="1132">
        <f t="shared" si="93"/>
        <v>0</v>
      </c>
      <c r="R1164" s="732"/>
      <c r="S1164" s="733"/>
      <c r="T1164" s="733"/>
      <c r="U1164" s="733"/>
      <c r="V1164" s="733">
        <v>128250</v>
      </c>
      <c r="W1164" s="733">
        <v>0</v>
      </c>
      <c r="X1164" s="733">
        <v>0</v>
      </c>
      <c r="Y1164" s="733">
        <v>0</v>
      </c>
      <c r="Z1164" s="733"/>
      <c r="AA1164" s="733"/>
      <c r="AB1164" s="733"/>
      <c r="AC1164" s="733"/>
      <c r="AD1164" s="1132">
        <f t="shared" si="94"/>
        <v>128250</v>
      </c>
      <c r="AE1164" s="645">
        <f t="shared" si="95"/>
        <v>1</v>
      </c>
      <c r="AF1164" s="646">
        <f t="shared" si="96"/>
        <v>699</v>
      </c>
    </row>
    <row r="1165" spans="1:32" ht="18.75" customHeight="1" x14ac:dyDescent="0.3">
      <c r="A1165" s="642" t="s">
        <v>1875</v>
      </c>
      <c r="B1165" s="692" t="s">
        <v>2815</v>
      </c>
      <c r="C1165" s="732"/>
      <c r="D1165" s="733"/>
      <c r="E1165" s="733"/>
      <c r="F1165" s="733"/>
      <c r="G1165" s="733"/>
      <c r="H1165" s="733"/>
      <c r="I1165" s="733"/>
      <c r="J1165" s="733"/>
      <c r="K1165" s="733"/>
      <c r="L1165" s="733"/>
      <c r="M1165" s="733"/>
      <c r="N1165" s="733"/>
      <c r="O1165" s="733"/>
      <c r="P1165" s="1497">
        <f t="shared" si="92"/>
        <v>0</v>
      </c>
      <c r="Q1165" s="1132">
        <f t="shared" si="93"/>
        <v>0</v>
      </c>
      <c r="R1165" s="732"/>
      <c r="S1165" s="733"/>
      <c r="T1165" s="733"/>
      <c r="U1165" s="733"/>
      <c r="V1165" s="733">
        <v>108100</v>
      </c>
      <c r="W1165" s="733">
        <v>0</v>
      </c>
      <c r="X1165" s="733">
        <v>0</v>
      </c>
      <c r="Y1165" s="733">
        <v>0</v>
      </c>
      <c r="Z1165" s="733"/>
      <c r="AA1165" s="733"/>
      <c r="AB1165" s="733"/>
      <c r="AC1165" s="733"/>
      <c r="AD1165" s="1132">
        <f t="shared" si="94"/>
        <v>108100</v>
      </c>
      <c r="AE1165" s="645">
        <f t="shared" si="95"/>
        <v>1</v>
      </c>
      <c r="AF1165" s="646">
        <f t="shared" si="96"/>
        <v>728</v>
      </c>
    </row>
    <row r="1166" spans="1:32" ht="18.75" customHeight="1" x14ac:dyDescent="0.3">
      <c r="A1166" s="642" t="s">
        <v>1875</v>
      </c>
      <c r="B1166" s="692" t="s">
        <v>2864</v>
      </c>
      <c r="C1166" s="732"/>
      <c r="D1166" s="733"/>
      <c r="E1166" s="733"/>
      <c r="F1166" s="733"/>
      <c r="G1166" s="733"/>
      <c r="H1166" s="733"/>
      <c r="I1166" s="733"/>
      <c r="J1166" s="733"/>
      <c r="K1166" s="733"/>
      <c r="L1166" s="733"/>
      <c r="M1166" s="733"/>
      <c r="N1166" s="733"/>
      <c r="O1166" s="733"/>
      <c r="P1166" s="1497">
        <f t="shared" si="92"/>
        <v>0</v>
      </c>
      <c r="Q1166" s="1132">
        <f t="shared" si="93"/>
        <v>0</v>
      </c>
      <c r="R1166" s="732"/>
      <c r="S1166" s="733"/>
      <c r="T1166" s="733"/>
      <c r="U1166" s="733"/>
      <c r="V1166" s="733"/>
      <c r="W1166" s="733">
        <v>184600</v>
      </c>
      <c r="X1166" s="733">
        <v>0</v>
      </c>
      <c r="Y1166" s="733">
        <v>0</v>
      </c>
      <c r="Z1166" s="733"/>
      <c r="AA1166" s="733"/>
      <c r="AB1166" s="733"/>
      <c r="AC1166" s="733"/>
      <c r="AD1166" s="1132">
        <f t="shared" si="94"/>
        <v>184600</v>
      </c>
      <c r="AE1166" s="645">
        <f t="shared" si="95"/>
        <v>1</v>
      </c>
      <c r="AF1166" s="646">
        <f t="shared" si="96"/>
        <v>627</v>
      </c>
    </row>
    <row r="1167" spans="1:32" ht="18.75" customHeight="1" x14ac:dyDescent="0.3">
      <c r="A1167" s="642" t="s">
        <v>1875</v>
      </c>
      <c r="B1167" s="692" t="s">
        <v>2903</v>
      </c>
      <c r="C1167" s="732"/>
      <c r="D1167" s="733"/>
      <c r="E1167" s="733"/>
      <c r="F1167" s="733"/>
      <c r="G1167" s="733"/>
      <c r="H1167" s="733"/>
      <c r="I1167" s="733"/>
      <c r="J1167" s="733"/>
      <c r="K1167" s="733"/>
      <c r="L1167" s="733"/>
      <c r="M1167" s="733"/>
      <c r="N1167" s="733"/>
      <c r="O1167" s="733"/>
      <c r="P1167" s="1497">
        <f t="shared" si="92"/>
        <v>0</v>
      </c>
      <c r="Q1167" s="1132">
        <f t="shared" si="93"/>
        <v>0</v>
      </c>
      <c r="R1167" s="732"/>
      <c r="S1167" s="733"/>
      <c r="T1167" s="733"/>
      <c r="U1167" s="733"/>
      <c r="V1167" s="733"/>
      <c r="W1167" s="733">
        <v>116550</v>
      </c>
      <c r="X1167" s="733">
        <v>0</v>
      </c>
      <c r="Y1167" s="733">
        <v>377000</v>
      </c>
      <c r="Z1167" s="733"/>
      <c r="AA1167" s="733"/>
      <c r="AB1167" s="733"/>
      <c r="AC1167" s="733"/>
      <c r="AD1167" s="1132">
        <f t="shared" si="94"/>
        <v>493550</v>
      </c>
      <c r="AE1167" s="645">
        <f t="shared" si="95"/>
        <v>1</v>
      </c>
      <c r="AF1167" s="646">
        <f t="shared" si="96"/>
        <v>444</v>
      </c>
    </row>
    <row r="1168" spans="1:32" ht="18.75" customHeight="1" x14ac:dyDescent="0.3">
      <c r="A1168" s="642" t="s">
        <v>1875</v>
      </c>
      <c r="B1168" s="692" t="s">
        <v>1939</v>
      </c>
      <c r="C1168" s="732"/>
      <c r="D1168" s="733"/>
      <c r="E1168" s="733"/>
      <c r="F1168" s="733"/>
      <c r="G1168" s="733"/>
      <c r="H1168" s="733"/>
      <c r="I1168" s="733"/>
      <c r="J1168" s="733"/>
      <c r="K1168" s="733"/>
      <c r="L1168" s="733"/>
      <c r="M1168" s="733"/>
      <c r="N1168" s="733"/>
      <c r="O1168" s="733"/>
      <c r="P1168" s="1497">
        <f t="shared" si="92"/>
        <v>0</v>
      </c>
      <c r="Q1168" s="1132">
        <f t="shared" si="93"/>
        <v>0</v>
      </c>
      <c r="R1168" s="732"/>
      <c r="S1168" s="733"/>
      <c r="T1168" s="733"/>
      <c r="U1168" s="733"/>
      <c r="V1168" s="733"/>
      <c r="W1168" s="733"/>
      <c r="X1168" s="733">
        <v>128250</v>
      </c>
      <c r="Y1168" s="733">
        <v>0</v>
      </c>
      <c r="Z1168" s="733"/>
      <c r="AA1168" s="733"/>
      <c r="AB1168" s="733"/>
      <c r="AC1168" s="733"/>
      <c r="AD1168" s="1132">
        <f t="shared" si="94"/>
        <v>128250</v>
      </c>
      <c r="AE1168" s="645">
        <f t="shared" si="95"/>
        <v>1</v>
      </c>
      <c r="AF1168" s="646">
        <f t="shared" si="96"/>
        <v>699</v>
      </c>
    </row>
    <row r="1169" spans="1:32" ht="18.75" customHeight="1" x14ac:dyDescent="0.3">
      <c r="A1169" s="642" t="s">
        <v>1875</v>
      </c>
      <c r="B1169" s="692" t="s">
        <v>2457</v>
      </c>
      <c r="C1169" s="732"/>
      <c r="D1169" s="733"/>
      <c r="E1169" s="733"/>
      <c r="F1169" s="733"/>
      <c r="G1169" s="733"/>
      <c r="H1169" s="733"/>
      <c r="I1169" s="733"/>
      <c r="J1169" s="733"/>
      <c r="K1169" s="733"/>
      <c r="L1169" s="733"/>
      <c r="M1169" s="733"/>
      <c r="N1169" s="733"/>
      <c r="O1169" s="733"/>
      <c r="P1169" s="1497">
        <f t="shared" si="92"/>
        <v>0</v>
      </c>
      <c r="Q1169" s="1132">
        <f t="shared" si="93"/>
        <v>0</v>
      </c>
      <c r="R1169" s="732"/>
      <c r="S1169" s="733"/>
      <c r="T1169" s="733"/>
      <c r="U1169" s="733"/>
      <c r="V1169" s="733"/>
      <c r="W1169" s="733"/>
      <c r="X1169" s="733"/>
      <c r="Y1169" s="733">
        <v>188050</v>
      </c>
      <c r="Z1169" s="733"/>
      <c r="AA1169" s="733"/>
      <c r="AB1169" s="733"/>
      <c r="AC1169" s="733"/>
      <c r="AD1169" s="1132">
        <f t="shared" si="94"/>
        <v>188050</v>
      </c>
      <c r="AE1169" s="645">
        <f t="shared" si="95"/>
        <v>1</v>
      </c>
      <c r="AF1169" s="646">
        <f t="shared" si="96"/>
        <v>623</v>
      </c>
    </row>
    <row r="1170" spans="1:32" ht="18.75" customHeight="1" x14ac:dyDescent="0.3">
      <c r="A1170" s="642" t="s">
        <v>1875</v>
      </c>
      <c r="B1170" s="692" t="s">
        <v>3028</v>
      </c>
      <c r="C1170" s="732"/>
      <c r="D1170" s="733"/>
      <c r="E1170" s="733"/>
      <c r="F1170" s="733"/>
      <c r="G1170" s="733"/>
      <c r="H1170" s="733"/>
      <c r="I1170" s="733"/>
      <c r="J1170" s="733"/>
      <c r="K1170" s="733"/>
      <c r="L1170" s="733"/>
      <c r="M1170" s="733"/>
      <c r="N1170" s="733"/>
      <c r="O1170" s="733"/>
      <c r="P1170" s="1497">
        <f t="shared" si="92"/>
        <v>0</v>
      </c>
      <c r="Q1170" s="1132">
        <f t="shared" si="93"/>
        <v>0</v>
      </c>
      <c r="R1170" s="732"/>
      <c r="S1170" s="733"/>
      <c r="T1170" s="733"/>
      <c r="U1170" s="733"/>
      <c r="V1170" s="733"/>
      <c r="W1170" s="733"/>
      <c r="X1170" s="733"/>
      <c r="Y1170" s="733">
        <v>400020</v>
      </c>
      <c r="Z1170" s="733"/>
      <c r="AA1170" s="733"/>
      <c r="AB1170" s="733"/>
      <c r="AC1170" s="733"/>
      <c r="AD1170" s="1132">
        <f t="shared" si="94"/>
        <v>400020</v>
      </c>
      <c r="AE1170" s="645">
        <f t="shared" si="95"/>
        <v>1</v>
      </c>
      <c r="AF1170" s="646">
        <f t="shared" si="96"/>
        <v>482</v>
      </c>
    </row>
    <row r="1171" spans="1:32" x14ac:dyDescent="0.3">
      <c r="A1171" s="20" t="s">
        <v>2355</v>
      </c>
      <c r="B1171" s="959" t="s">
        <v>1376</v>
      </c>
      <c r="C1171" s="843"/>
      <c r="D1171" s="844" t="s">
        <v>251</v>
      </c>
      <c r="E1171" s="844"/>
      <c r="F1171" s="844" t="s">
        <v>251</v>
      </c>
      <c r="G1171" s="844" t="s">
        <v>251</v>
      </c>
      <c r="H1171" s="844" t="s">
        <v>251</v>
      </c>
      <c r="I1171" s="844" t="s">
        <v>251</v>
      </c>
      <c r="J1171" s="844" t="s">
        <v>251</v>
      </c>
      <c r="K1171" s="844"/>
      <c r="L1171" s="844" t="s">
        <v>251</v>
      </c>
      <c r="M1171" s="844" t="s">
        <v>251</v>
      </c>
      <c r="N1171" s="844"/>
      <c r="O1171" s="844">
        <v>391600</v>
      </c>
      <c r="P1171" s="1497">
        <f t="shared" si="92"/>
        <v>0</v>
      </c>
      <c r="Q1171" s="1165">
        <f t="shared" si="93"/>
        <v>391600</v>
      </c>
      <c r="R1171" s="843"/>
      <c r="S1171" s="844"/>
      <c r="T1171" s="844"/>
      <c r="U1171" s="844"/>
      <c r="V1171" s="844"/>
      <c r="W1171" s="844"/>
      <c r="X1171" s="844"/>
      <c r="Y1171" s="844"/>
      <c r="Z1171" s="844"/>
      <c r="AA1171" s="844"/>
      <c r="AB1171" s="844"/>
      <c r="AC1171" s="844"/>
      <c r="AD1171" s="1165">
        <f t="shared" si="94"/>
        <v>0</v>
      </c>
      <c r="AE1171" s="960">
        <f t="shared" si="95"/>
        <v>0</v>
      </c>
      <c r="AF1171" s="961">
        <f t="shared" si="96"/>
        <v>983</v>
      </c>
    </row>
    <row r="1172" spans="1:32" x14ac:dyDescent="0.3">
      <c r="A1172" s="20" t="s">
        <v>2355</v>
      </c>
      <c r="B1172" s="959" t="s">
        <v>991</v>
      </c>
      <c r="C1172" s="843"/>
      <c r="D1172" s="844" t="s">
        <v>251</v>
      </c>
      <c r="E1172" s="844"/>
      <c r="F1172" s="844" t="s">
        <v>251</v>
      </c>
      <c r="G1172" s="844" t="s">
        <v>251</v>
      </c>
      <c r="H1172" s="844" t="s">
        <v>251</v>
      </c>
      <c r="I1172" s="844" t="s">
        <v>251</v>
      </c>
      <c r="J1172" s="844" t="s">
        <v>251</v>
      </c>
      <c r="K1172" s="844"/>
      <c r="L1172" s="844" t="s">
        <v>251</v>
      </c>
      <c r="M1172" s="844" t="s">
        <v>251</v>
      </c>
      <c r="N1172" s="844"/>
      <c r="O1172" s="844">
        <v>952500</v>
      </c>
      <c r="P1172" s="1497">
        <f t="shared" si="92"/>
        <v>0</v>
      </c>
      <c r="Q1172" s="1165">
        <f t="shared" si="93"/>
        <v>952500</v>
      </c>
      <c r="R1172" s="843"/>
      <c r="S1172" s="844"/>
      <c r="T1172" s="844"/>
      <c r="U1172" s="844"/>
      <c r="V1172" s="844"/>
      <c r="W1172" s="844"/>
      <c r="X1172" s="844"/>
      <c r="Y1172" s="844"/>
      <c r="Z1172" s="844"/>
      <c r="AA1172" s="844"/>
      <c r="AB1172" s="844"/>
      <c r="AC1172" s="844"/>
      <c r="AD1172" s="1165">
        <f t="shared" si="94"/>
        <v>0</v>
      </c>
      <c r="AE1172" s="960">
        <f t="shared" si="95"/>
        <v>0</v>
      </c>
      <c r="AF1172" s="961">
        <f t="shared" si="96"/>
        <v>983</v>
      </c>
    </row>
    <row r="1173" spans="1:32" x14ac:dyDescent="0.3">
      <c r="A1173" s="343" t="s">
        <v>1392</v>
      </c>
      <c r="B1173" s="962" t="s">
        <v>1295</v>
      </c>
      <c r="C1173" s="795">
        <v>337350</v>
      </c>
      <c r="D1173" s="796">
        <v>0</v>
      </c>
      <c r="E1173" s="796"/>
      <c r="F1173" s="796">
        <v>190200</v>
      </c>
      <c r="G1173" s="796">
        <v>313200</v>
      </c>
      <c r="H1173" s="796">
        <v>0</v>
      </c>
      <c r="I1173" s="796">
        <v>0</v>
      </c>
      <c r="J1173" s="796">
        <v>0</v>
      </c>
      <c r="K1173" s="796"/>
      <c r="L1173" s="796">
        <v>0</v>
      </c>
      <c r="M1173" s="796">
        <v>0</v>
      </c>
      <c r="N1173" s="796">
        <v>138900</v>
      </c>
      <c r="O1173" s="796" t="s">
        <v>251</v>
      </c>
      <c r="P1173" s="1497">
        <f t="shared" si="92"/>
        <v>840750</v>
      </c>
      <c r="Q1173" s="1166">
        <f t="shared" si="93"/>
        <v>979650</v>
      </c>
      <c r="R1173" s="795">
        <v>301650</v>
      </c>
      <c r="S1173" s="796"/>
      <c r="T1173" s="796">
        <v>0</v>
      </c>
      <c r="U1173" s="796"/>
      <c r="V1173" s="796"/>
      <c r="W1173" s="796"/>
      <c r="X1173" s="796"/>
      <c r="Y1173" s="796"/>
      <c r="Z1173" s="796"/>
      <c r="AA1173" s="796"/>
      <c r="AB1173" s="796"/>
      <c r="AC1173" s="796"/>
      <c r="AD1173" s="1166">
        <f t="shared" si="94"/>
        <v>301650</v>
      </c>
      <c r="AE1173" s="963">
        <f t="shared" si="95"/>
        <v>-0.64121320249776981</v>
      </c>
      <c r="AF1173" s="964">
        <f t="shared" si="96"/>
        <v>532</v>
      </c>
    </row>
    <row r="1174" spans="1:32" x14ac:dyDescent="0.3">
      <c r="A1174" s="343" t="s">
        <v>1392</v>
      </c>
      <c r="B1174" s="962" t="s">
        <v>1329</v>
      </c>
      <c r="C1174" s="795">
        <v>338800</v>
      </c>
      <c r="D1174" s="796">
        <v>99500</v>
      </c>
      <c r="E1174" s="796"/>
      <c r="F1174" s="796">
        <v>107600</v>
      </c>
      <c r="G1174" s="796">
        <v>0</v>
      </c>
      <c r="H1174" s="796">
        <v>710300</v>
      </c>
      <c r="I1174" s="796">
        <v>198500</v>
      </c>
      <c r="J1174" s="796">
        <v>14200</v>
      </c>
      <c r="K1174" s="796">
        <v>14200</v>
      </c>
      <c r="L1174" s="796">
        <v>24700</v>
      </c>
      <c r="M1174" s="796">
        <v>0</v>
      </c>
      <c r="N1174" s="796">
        <v>0</v>
      </c>
      <c r="O1174" s="796" t="s">
        <v>251</v>
      </c>
      <c r="P1174" s="1497">
        <f t="shared" ref="P1174:P1175" si="97">SUM(C1174:I1174,K1174)</f>
        <v>1468900</v>
      </c>
      <c r="Q1174" s="1166">
        <f t="shared" ref="Q1174:Q1237" si="98">SUM(C1174:J1174,L1174:O1174)</f>
        <v>1493600</v>
      </c>
      <c r="R1174" s="795"/>
      <c r="S1174" s="796"/>
      <c r="T1174" s="796"/>
      <c r="U1174" s="796"/>
      <c r="V1174" s="796"/>
      <c r="W1174" s="796"/>
      <c r="X1174" s="796"/>
      <c r="Y1174" s="796"/>
      <c r="Z1174" s="796"/>
      <c r="AA1174" s="796"/>
      <c r="AB1174" s="796"/>
      <c r="AC1174" s="796"/>
      <c r="AD1174" s="1166">
        <f t="shared" si="94"/>
        <v>0</v>
      </c>
      <c r="AE1174" s="963">
        <f t="shared" si="95"/>
        <v>-1</v>
      </c>
      <c r="AF1174" s="964">
        <f t="shared" si="96"/>
        <v>983</v>
      </c>
    </row>
    <row r="1175" spans="1:32" x14ac:dyDescent="0.3">
      <c r="A1175" s="343" t="s">
        <v>1392</v>
      </c>
      <c r="B1175" s="962" t="s">
        <v>1357</v>
      </c>
      <c r="C1175" s="795"/>
      <c r="D1175" s="796">
        <v>136000</v>
      </c>
      <c r="E1175" s="796"/>
      <c r="F1175" s="796">
        <v>0</v>
      </c>
      <c r="G1175" s="796">
        <v>0</v>
      </c>
      <c r="H1175" s="796">
        <v>0</v>
      </c>
      <c r="I1175" s="796">
        <v>0</v>
      </c>
      <c r="J1175" s="796">
        <v>0</v>
      </c>
      <c r="K1175" s="796"/>
      <c r="L1175" s="796">
        <v>0</v>
      </c>
      <c r="M1175" s="796">
        <v>0</v>
      </c>
      <c r="N1175" s="796">
        <v>0</v>
      </c>
      <c r="O1175" s="796" t="s">
        <v>251</v>
      </c>
      <c r="P1175" s="1497">
        <f t="shared" si="97"/>
        <v>136000</v>
      </c>
      <c r="Q1175" s="1166">
        <f t="shared" si="98"/>
        <v>136000</v>
      </c>
      <c r="R1175" s="795"/>
      <c r="S1175" s="796"/>
      <c r="T1175" s="796"/>
      <c r="U1175" s="796"/>
      <c r="V1175" s="796"/>
      <c r="W1175" s="796"/>
      <c r="X1175" s="796"/>
      <c r="Y1175" s="796"/>
      <c r="Z1175" s="796"/>
      <c r="AA1175" s="796"/>
      <c r="AB1175" s="796"/>
      <c r="AC1175" s="796"/>
      <c r="AD1175" s="1166">
        <f t="shared" si="94"/>
        <v>0</v>
      </c>
      <c r="AE1175" s="963">
        <f t="shared" si="95"/>
        <v>-1</v>
      </c>
      <c r="AF1175" s="964">
        <f t="shared" si="96"/>
        <v>983</v>
      </c>
    </row>
    <row r="1176" spans="1:32" x14ac:dyDescent="0.3">
      <c r="A1176" s="343" t="s">
        <v>1392</v>
      </c>
      <c r="B1176" s="962" t="s">
        <v>1393</v>
      </c>
      <c r="C1176" s="795">
        <v>83500</v>
      </c>
      <c r="D1176" s="796">
        <v>0</v>
      </c>
      <c r="E1176" s="796"/>
      <c r="F1176" s="796">
        <v>0</v>
      </c>
      <c r="G1176" s="796">
        <v>0</v>
      </c>
      <c r="H1176" s="796">
        <v>0</v>
      </c>
      <c r="I1176" s="796">
        <v>0</v>
      </c>
      <c r="J1176" s="796">
        <v>0</v>
      </c>
      <c r="K1176" s="796"/>
      <c r="L1176" s="796">
        <v>0</v>
      </c>
      <c r="M1176" s="796">
        <v>0</v>
      </c>
      <c r="N1176" s="796">
        <v>0</v>
      </c>
      <c r="O1176" s="796" t="s">
        <v>251</v>
      </c>
      <c r="P1176" s="1497">
        <f t="shared" ref="P1176:P1237" si="99">SUM(C1176:I1176,K1176)</f>
        <v>83500</v>
      </c>
      <c r="Q1176" s="1166">
        <f t="shared" si="98"/>
        <v>83500</v>
      </c>
      <c r="R1176" s="795"/>
      <c r="S1176" s="796"/>
      <c r="T1176" s="796"/>
      <c r="U1176" s="796"/>
      <c r="V1176" s="796"/>
      <c r="W1176" s="796"/>
      <c r="X1176" s="796"/>
      <c r="Y1176" s="796"/>
      <c r="Z1176" s="796"/>
      <c r="AA1176" s="796"/>
      <c r="AB1176" s="796"/>
      <c r="AC1176" s="796"/>
      <c r="AD1176" s="1166">
        <f t="shared" si="94"/>
        <v>0</v>
      </c>
      <c r="AE1176" s="963">
        <f t="shared" si="95"/>
        <v>-1</v>
      </c>
      <c r="AF1176" s="964">
        <f t="shared" si="96"/>
        <v>983</v>
      </c>
    </row>
    <row r="1177" spans="1:32" x14ac:dyDescent="0.3">
      <c r="A1177" s="343" t="s">
        <v>1392</v>
      </c>
      <c r="B1177" s="962" t="s">
        <v>1331</v>
      </c>
      <c r="C1177" s="795"/>
      <c r="D1177" s="796">
        <v>0</v>
      </c>
      <c r="E1177" s="796"/>
      <c r="F1177" s="796">
        <v>0</v>
      </c>
      <c r="G1177" s="796">
        <v>24000</v>
      </c>
      <c r="H1177" s="796">
        <v>0</v>
      </c>
      <c r="I1177" s="796">
        <v>78500</v>
      </c>
      <c r="J1177" s="796">
        <v>24700</v>
      </c>
      <c r="K1177" s="796">
        <v>24700</v>
      </c>
      <c r="L1177" s="796">
        <v>0</v>
      </c>
      <c r="M1177" s="796">
        <v>0</v>
      </c>
      <c r="N1177" s="796">
        <v>0</v>
      </c>
      <c r="O1177" s="796" t="s">
        <v>251</v>
      </c>
      <c r="P1177" s="1497">
        <f t="shared" si="99"/>
        <v>127200</v>
      </c>
      <c r="Q1177" s="1166">
        <f t="shared" si="98"/>
        <v>127200</v>
      </c>
      <c r="R1177" s="795">
        <v>27750</v>
      </c>
      <c r="S1177" s="796"/>
      <c r="T1177" s="796">
        <v>0</v>
      </c>
      <c r="U1177" s="796"/>
      <c r="V1177" s="796"/>
      <c r="W1177" s="796"/>
      <c r="X1177" s="796"/>
      <c r="Y1177" s="796"/>
      <c r="Z1177" s="796"/>
      <c r="AA1177" s="796"/>
      <c r="AB1177" s="796"/>
      <c r="AC1177" s="796"/>
      <c r="AD1177" s="1166">
        <f t="shared" si="94"/>
        <v>27750</v>
      </c>
      <c r="AE1177" s="963">
        <f t="shared" si="95"/>
        <v>-0.78183962264150941</v>
      </c>
      <c r="AF1177" s="964">
        <f t="shared" si="96"/>
        <v>902</v>
      </c>
    </row>
    <row r="1178" spans="1:32" x14ac:dyDescent="0.3">
      <c r="A1178" s="343" t="s">
        <v>1392</v>
      </c>
      <c r="B1178" s="962" t="s">
        <v>1298</v>
      </c>
      <c r="C1178" s="795" t="s">
        <v>251</v>
      </c>
      <c r="D1178" s="796" t="s">
        <v>251</v>
      </c>
      <c r="E1178" s="796"/>
      <c r="F1178" s="796" t="s">
        <v>251</v>
      </c>
      <c r="G1178" s="796" t="s">
        <v>251</v>
      </c>
      <c r="H1178" s="796" t="s">
        <v>251</v>
      </c>
      <c r="I1178" s="796" t="s">
        <v>251</v>
      </c>
      <c r="J1178" s="796" t="s">
        <v>251</v>
      </c>
      <c r="K1178" s="796"/>
      <c r="L1178" s="796" t="s">
        <v>251</v>
      </c>
      <c r="M1178" s="796" t="s">
        <v>251</v>
      </c>
      <c r="N1178" s="796" t="s">
        <v>251</v>
      </c>
      <c r="O1178" s="796" t="s">
        <v>251</v>
      </c>
      <c r="P1178" s="1497">
        <f t="shared" si="99"/>
        <v>0</v>
      </c>
      <c r="Q1178" s="1166">
        <f t="shared" si="98"/>
        <v>0</v>
      </c>
      <c r="R1178" s="795"/>
      <c r="S1178" s="796">
        <v>345900</v>
      </c>
      <c r="T1178" s="796">
        <v>158000</v>
      </c>
      <c r="U1178" s="796"/>
      <c r="V1178" s="796"/>
      <c r="W1178" s="796"/>
      <c r="X1178" s="796"/>
      <c r="Y1178" s="796"/>
      <c r="Z1178" s="796"/>
      <c r="AA1178" s="796"/>
      <c r="AB1178" s="796"/>
      <c r="AC1178" s="796"/>
      <c r="AD1178" s="1166">
        <f t="shared" si="94"/>
        <v>503900</v>
      </c>
      <c r="AE1178" s="963">
        <f t="shared" si="95"/>
        <v>1</v>
      </c>
      <c r="AF1178" s="964">
        <f t="shared" si="96"/>
        <v>438</v>
      </c>
    </row>
    <row r="1179" spans="1:32" x14ac:dyDescent="0.3">
      <c r="A1179" s="343" t="s">
        <v>1392</v>
      </c>
      <c r="B1179" s="962" t="s">
        <v>972</v>
      </c>
      <c r="C1179" s="795" t="s">
        <v>251</v>
      </c>
      <c r="D1179" s="796" t="s">
        <v>251</v>
      </c>
      <c r="E1179" s="796"/>
      <c r="F1179" s="796" t="s">
        <v>251</v>
      </c>
      <c r="G1179" s="796" t="s">
        <v>251</v>
      </c>
      <c r="H1179" s="796" t="s">
        <v>251</v>
      </c>
      <c r="I1179" s="796" t="s">
        <v>251</v>
      </c>
      <c r="J1179" s="796" t="s">
        <v>251</v>
      </c>
      <c r="K1179" s="796"/>
      <c r="L1179" s="796" t="s">
        <v>251</v>
      </c>
      <c r="M1179" s="796" t="s">
        <v>251</v>
      </c>
      <c r="N1179" s="796" t="s">
        <v>251</v>
      </c>
      <c r="O1179" s="796" t="s">
        <v>251</v>
      </c>
      <c r="P1179" s="1497">
        <f t="shared" si="99"/>
        <v>0</v>
      </c>
      <c r="Q1179" s="1166">
        <f t="shared" si="98"/>
        <v>0</v>
      </c>
      <c r="R1179" s="795"/>
      <c r="S1179" s="796"/>
      <c r="T1179" s="796"/>
      <c r="U1179" s="796"/>
      <c r="V1179" s="796"/>
      <c r="W1179" s="796"/>
      <c r="X1179" s="796"/>
      <c r="Y1179" s="796"/>
      <c r="Z1179" s="796"/>
      <c r="AA1179" s="796"/>
      <c r="AB1179" s="796"/>
      <c r="AC1179" s="796"/>
      <c r="AD1179" s="1166">
        <f t="shared" si="94"/>
        <v>0</v>
      </c>
      <c r="AE1179" s="963">
        <f t="shared" si="95"/>
        <v>0</v>
      </c>
      <c r="AF1179" s="964">
        <f t="shared" si="96"/>
        <v>983</v>
      </c>
    </row>
    <row r="1180" spans="1:32" x14ac:dyDescent="0.3">
      <c r="A1180" s="343" t="s">
        <v>1392</v>
      </c>
      <c r="B1180" s="962" t="s">
        <v>979</v>
      </c>
      <c r="C1180" s="795" t="s">
        <v>251</v>
      </c>
      <c r="D1180" s="796" t="s">
        <v>251</v>
      </c>
      <c r="E1180" s="796"/>
      <c r="F1180" s="796" t="s">
        <v>251</v>
      </c>
      <c r="G1180" s="796" t="s">
        <v>251</v>
      </c>
      <c r="H1180" s="796" t="s">
        <v>251</v>
      </c>
      <c r="I1180" s="796" t="s">
        <v>251</v>
      </c>
      <c r="J1180" s="796" t="s">
        <v>251</v>
      </c>
      <c r="K1180" s="796"/>
      <c r="L1180" s="796" t="s">
        <v>251</v>
      </c>
      <c r="M1180" s="796" t="s">
        <v>251</v>
      </c>
      <c r="N1180" s="796" t="s">
        <v>251</v>
      </c>
      <c r="O1180" s="796" t="s">
        <v>251</v>
      </c>
      <c r="P1180" s="1497">
        <f t="shared" si="99"/>
        <v>0</v>
      </c>
      <c r="Q1180" s="1166">
        <f t="shared" si="98"/>
        <v>0</v>
      </c>
      <c r="R1180" s="795"/>
      <c r="S1180" s="796"/>
      <c r="T1180" s="796"/>
      <c r="U1180" s="796"/>
      <c r="V1180" s="796"/>
      <c r="W1180" s="796"/>
      <c r="X1180" s="796"/>
      <c r="Y1180" s="796"/>
      <c r="Z1180" s="796"/>
      <c r="AA1180" s="796"/>
      <c r="AB1180" s="796"/>
      <c r="AC1180" s="796"/>
      <c r="AD1180" s="1166">
        <f t="shared" si="94"/>
        <v>0</v>
      </c>
      <c r="AE1180" s="963">
        <f t="shared" si="95"/>
        <v>0</v>
      </c>
      <c r="AF1180" s="964">
        <f t="shared" si="96"/>
        <v>983</v>
      </c>
    </row>
    <row r="1181" spans="1:32" x14ac:dyDescent="0.3">
      <c r="A1181" s="343" t="s">
        <v>1392</v>
      </c>
      <c r="B1181" s="962" t="s">
        <v>883</v>
      </c>
      <c r="C1181" s="795"/>
      <c r="D1181" s="796" t="s">
        <v>251</v>
      </c>
      <c r="E1181" s="796"/>
      <c r="F1181" s="796" t="s">
        <v>251</v>
      </c>
      <c r="G1181" s="796" t="s">
        <v>251</v>
      </c>
      <c r="H1181" s="796" t="s">
        <v>251</v>
      </c>
      <c r="I1181" s="796" t="s">
        <v>251</v>
      </c>
      <c r="J1181" s="796" t="s">
        <v>251</v>
      </c>
      <c r="K1181" s="796"/>
      <c r="L1181" s="796" t="s">
        <v>251</v>
      </c>
      <c r="M1181" s="796" t="s">
        <v>251</v>
      </c>
      <c r="N1181" s="796" t="s">
        <v>251</v>
      </c>
      <c r="O1181" s="796" t="s">
        <v>251</v>
      </c>
      <c r="P1181" s="1497">
        <f t="shared" si="99"/>
        <v>0</v>
      </c>
      <c r="Q1181" s="1166">
        <f t="shared" si="98"/>
        <v>0</v>
      </c>
      <c r="R1181" s="795">
        <v>935050</v>
      </c>
      <c r="S1181" s="796">
        <v>27250</v>
      </c>
      <c r="T1181" s="796">
        <v>0</v>
      </c>
      <c r="U1181" s="796"/>
      <c r="V1181" s="796"/>
      <c r="W1181" s="796"/>
      <c r="X1181" s="796"/>
      <c r="Y1181" s="796"/>
      <c r="Z1181" s="796"/>
      <c r="AA1181" s="796"/>
      <c r="AB1181" s="796"/>
      <c r="AC1181" s="796"/>
      <c r="AD1181" s="1166">
        <f t="shared" si="94"/>
        <v>962300</v>
      </c>
      <c r="AE1181" s="963">
        <f t="shared" si="95"/>
        <v>1</v>
      </c>
      <c r="AF1181" s="964">
        <f t="shared" si="96"/>
        <v>326</v>
      </c>
    </row>
    <row r="1182" spans="1:32" x14ac:dyDescent="0.3">
      <c r="A1182" s="343" t="s">
        <v>1392</v>
      </c>
      <c r="B1182" s="962" t="s">
        <v>2171</v>
      </c>
      <c r="C1182" s="795"/>
      <c r="D1182" s="796" t="s">
        <v>251</v>
      </c>
      <c r="E1182" s="796"/>
      <c r="F1182" s="796" t="s">
        <v>251</v>
      </c>
      <c r="G1182" s="796" t="s">
        <v>251</v>
      </c>
      <c r="H1182" s="796" t="s">
        <v>251</v>
      </c>
      <c r="I1182" s="796" t="s">
        <v>251</v>
      </c>
      <c r="J1182" s="796" t="s">
        <v>251</v>
      </c>
      <c r="K1182" s="796"/>
      <c r="L1182" s="796" t="s">
        <v>251</v>
      </c>
      <c r="M1182" s="796" t="s">
        <v>251</v>
      </c>
      <c r="N1182" s="796" t="s">
        <v>251</v>
      </c>
      <c r="O1182" s="796" t="s">
        <v>251</v>
      </c>
      <c r="P1182" s="1497">
        <f t="shared" si="99"/>
        <v>0</v>
      </c>
      <c r="Q1182" s="1166">
        <f t="shared" si="98"/>
        <v>0</v>
      </c>
      <c r="R1182" s="795"/>
      <c r="S1182" s="796"/>
      <c r="T1182" s="796"/>
      <c r="U1182" s="796"/>
      <c r="V1182" s="796"/>
      <c r="W1182" s="796"/>
      <c r="X1182" s="796"/>
      <c r="Y1182" s="796"/>
      <c r="Z1182" s="796"/>
      <c r="AA1182" s="796"/>
      <c r="AB1182" s="796"/>
      <c r="AC1182" s="796"/>
      <c r="AD1182" s="1166">
        <f t="shared" si="94"/>
        <v>0</v>
      </c>
      <c r="AE1182" s="963">
        <f t="shared" si="95"/>
        <v>0</v>
      </c>
      <c r="AF1182" s="964">
        <f t="shared" si="96"/>
        <v>983</v>
      </c>
    </row>
    <row r="1183" spans="1:32" x14ac:dyDescent="0.3">
      <c r="A1183" s="343" t="s">
        <v>1392</v>
      </c>
      <c r="B1183" s="962" t="s">
        <v>1319</v>
      </c>
      <c r="C1183" s="795"/>
      <c r="D1183" s="796">
        <v>0</v>
      </c>
      <c r="E1183" s="796"/>
      <c r="F1183" s="796">
        <v>0</v>
      </c>
      <c r="G1183" s="796">
        <v>0</v>
      </c>
      <c r="H1183" s="796">
        <v>0</v>
      </c>
      <c r="I1183" s="796">
        <v>555400</v>
      </c>
      <c r="J1183" s="796">
        <v>843100</v>
      </c>
      <c r="K1183" s="796">
        <v>277700</v>
      </c>
      <c r="L1183" s="796">
        <v>17250</v>
      </c>
      <c r="M1183" s="796">
        <v>19000</v>
      </c>
      <c r="N1183" s="796">
        <v>0</v>
      </c>
      <c r="O1183" s="796" t="s">
        <v>251</v>
      </c>
      <c r="P1183" s="1497">
        <f t="shared" si="99"/>
        <v>833100</v>
      </c>
      <c r="Q1183" s="1166">
        <f t="shared" si="98"/>
        <v>1434750</v>
      </c>
      <c r="R1183" s="795"/>
      <c r="S1183" s="796"/>
      <c r="T1183" s="796"/>
      <c r="U1183" s="796"/>
      <c r="V1183" s="796"/>
      <c r="W1183" s="796"/>
      <c r="X1183" s="796"/>
      <c r="Y1183" s="796"/>
      <c r="Z1183" s="796"/>
      <c r="AA1183" s="796"/>
      <c r="AB1183" s="796"/>
      <c r="AC1183" s="796"/>
      <c r="AD1183" s="1166">
        <f t="shared" si="94"/>
        <v>0</v>
      </c>
      <c r="AE1183" s="963">
        <f t="shared" si="95"/>
        <v>-1</v>
      </c>
      <c r="AF1183" s="964">
        <f t="shared" si="96"/>
        <v>983</v>
      </c>
    </row>
    <row r="1184" spans="1:32" x14ac:dyDescent="0.3">
      <c r="A1184" s="343" t="s">
        <v>1392</v>
      </c>
      <c r="B1184" s="962" t="s">
        <v>1333</v>
      </c>
      <c r="C1184" s="795"/>
      <c r="D1184" s="796">
        <v>0</v>
      </c>
      <c r="E1184" s="796"/>
      <c r="F1184" s="796">
        <v>0</v>
      </c>
      <c r="G1184" s="796">
        <v>0</v>
      </c>
      <c r="H1184" s="796">
        <v>0</v>
      </c>
      <c r="I1184" s="796">
        <v>0</v>
      </c>
      <c r="J1184" s="796">
        <v>1569900</v>
      </c>
      <c r="K1184" s="796">
        <v>1569900</v>
      </c>
      <c r="L1184" s="796">
        <v>0</v>
      </c>
      <c r="M1184" s="796">
        <v>0</v>
      </c>
      <c r="N1184" s="796">
        <v>1078000</v>
      </c>
      <c r="O1184" s="796">
        <v>463700</v>
      </c>
      <c r="P1184" s="1497">
        <f t="shared" si="99"/>
        <v>1569900</v>
      </c>
      <c r="Q1184" s="1166">
        <f t="shared" si="98"/>
        <v>3111600</v>
      </c>
      <c r="R1184" s="795">
        <v>76000</v>
      </c>
      <c r="S1184" s="796"/>
      <c r="T1184" s="796">
        <v>0</v>
      </c>
      <c r="U1184" s="796"/>
      <c r="V1184" s="796"/>
      <c r="W1184" s="796"/>
      <c r="X1184" s="796"/>
      <c r="Y1184" s="796"/>
      <c r="Z1184" s="796"/>
      <c r="AA1184" s="796"/>
      <c r="AB1184" s="796"/>
      <c r="AC1184" s="796"/>
      <c r="AD1184" s="1166">
        <f t="shared" si="94"/>
        <v>76000</v>
      </c>
      <c r="AE1184" s="963">
        <f t="shared" si="95"/>
        <v>-0.95158927320211484</v>
      </c>
      <c r="AF1184" s="964">
        <f t="shared" si="96"/>
        <v>779</v>
      </c>
    </row>
    <row r="1185" spans="1:32" x14ac:dyDescent="0.3">
      <c r="A1185" s="343" t="s">
        <v>1392</v>
      </c>
      <c r="B1185" s="962" t="s">
        <v>1317</v>
      </c>
      <c r="C1185" s="795"/>
      <c r="D1185" s="796">
        <v>0</v>
      </c>
      <c r="E1185" s="796"/>
      <c r="F1185" s="796">
        <v>0</v>
      </c>
      <c r="G1185" s="796">
        <v>0</v>
      </c>
      <c r="H1185" s="796">
        <v>0</v>
      </c>
      <c r="I1185" s="796">
        <v>0</v>
      </c>
      <c r="J1185" s="796">
        <v>444400</v>
      </c>
      <c r="K1185" s="796">
        <v>444400</v>
      </c>
      <c r="L1185" s="796">
        <v>39850</v>
      </c>
      <c r="M1185" s="796">
        <v>311950</v>
      </c>
      <c r="N1185" s="796">
        <v>0</v>
      </c>
      <c r="O1185" s="796" t="s">
        <v>251</v>
      </c>
      <c r="P1185" s="1497">
        <f t="shared" si="99"/>
        <v>444400</v>
      </c>
      <c r="Q1185" s="1166">
        <f t="shared" si="98"/>
        <v>796200</v>
      </c>
      <c r="R1185" s="795"/>
      <c r="S1185" s="796"/>
      <c r="T1185" s="796"/>
      <c r="U1185" s="796"/>
      <c r="V1185" s="796"/>
      <c r="W1185" s="796"/>
      <c r="X1185" s="796"/>
      <c r="Y1185" s="796"/>
      <c r="Z1185" s="796"/>
      <c r="AA1185" s="796"/>
      <c r="AB1185" s="796"/>
      <c r="AC1185" s="796"/>
      <c r="AD1185" s="1166">
        <f t="shared" si="94"/>
        <v>0</v>
      </c>
      <c r="AE1185" s="963">
        <f t="shared" si="95"/>
        <v>-1</v>
      </c>
      <c r="AF1185" s="964">
        <f t="shared" si="96"/>
        <v>983</v>
      </c>
    </row>
    <row r="1186" spans="1:32" x14ac:dyDescent="0.3">
      <c r="A1186" s="343" t="s">
        <v>1392</v>
      </c>
      <c r="B1186" s="962" t="s">
        <v>2172</v>
      </c>
      <c r="C1186" s="795"/>
      <c r="D1186" s="796">
        <v>0</v>
      </c>
      <c r="E1186" s="796"/>
      <c r="F1186" s="796">
        <v>0</v>
      </c>
      <c r="G1186" s="796">
        <v>0</v>
      </c>
      <c r="H1186" s="796">
        <v>0</v>
      </c>
      <c r="I1186" s="796">
        <v>0</v>
      </c>
      <c r="J1186" s="796">
        <v>0</v>
      </c>
      <c r="K1186" s="796"/>
      <c r="L1186" s="796">
        <v>1479000</v>
      </c>
      <c r="M1186" s="796">
        <v>508000</v>
      </c>
      <c r="N1186" s="796">
        <v>0</v>
      </c>
      <c r="O1186" s="796" t="s">
        <v>251</v>
      </c>
      <c r="P1186" s="1497">
        <f t="shared" si="99"/>
        <v>0</v>
      </c>
      <c r="Q1186" s="1166">
        <f t="shared" si="98"/>
        <v>1987000</v>
      </c>
      <c r="R1186" s="795"/>
      <c r="S1186" s="796"/>
      <c r="T1186" s="796"/>
      <c r="U1186" s="796"/>
      <c r="V1186" s="796"/>
      <c r="W1186" s="796"/>
      <c r="X1186" s="796"/>
      <c r="Y1186" s="796"/>
      <c r="Z1186" s="796"/>
      <c r="AA1186" s="796"/>
      <c r="AB1186" s="796"/>
      <c r="AC1186" s="796"/>
      <c r="AD1186" s="1166">
        <f t="shared" si="94"/>
        <v>0</v>
      </c>
      <c r="AE1186" s="963">
        <f t="shared" si="95"/>
        <v>0</v>
      </c>
      <c r="AF1186" s="964">
        <f t="shared" si="96"/>
        <v>983</v>
      </c>
    </row>
    <row r="1187" spans="1:32" x14ac:dyDescent="0.3">
      <c r="A1187" s="343" t="s">
        <v>1392</v>
      </c>
      <c r="B1187" s="962" t="s">
        <v>2141</v>
      </c>
      <c r="C1187" s="795"/>
      <c r="D1187" s="796">
        <v>0</v>
      </c>
      <c r="E1187" s="796"/>
      <c r="F1187" s="796">
        <v>0</v>
      </c>
      <c r="G1187" s="796">
        <v>0</v>
      </c>
      <c r="H1187" s="796">
        <v>0</v>
      </c>
      <c r="I1187" s="796">
        <v>0</v>
      </c>
      <c r="J1187" s="796">
        <v>0</v>
      </c>
      <c r="K1187" s="796"/>
      <c r="L1187" s="796">
        <v>868200</v>
      </c>
      <c r="M1187" s="796">
        <v>0</v>
      </c>
      <c r="N1187" s="796">
        <v>0</v>
      </c>
      <c r="O1187" s="796" t="s">
        <v>251</v>
      </c>
      <c r="P1187" s="1497">
        <f t="shared" si="99"/>
        <v>0</v>
      </c>
      <c r="Q1187" s="1166">
        <f t="shared" si="98"/>
        <v>868200</v>
      </c>
      <c r="R1187" s="795"/>
      <c r="S1187" s="796"/>
      <c r="T1187" s="796"/>
      <c r="U1187" s="796"/>
      <c r="V1187" s="796"/>
      <c r="W1187" s="796"/>
      <c r="X1187" s="796"/>
      <c r="Y1187" s="796"/>
      <c r="Z1187" s="796"/>
      <c r="AA1187" s="796"/>
      <c r="AB1187" s="796"/>
      <c r="AC1187" s="796"/>
      <c r="AD1187" s="1166">
        <f t="shared" si="94"/>
        <v>0</v>
      </c>
      <c r="AE1187" s="963">
        <f t="shared" si="95"/>
        <v>0</v>
      </c>
      <c r="AF1187" s="964">
        <f t="shared" si="96"/>
        <v>983</v>
      </c>
    </row>
    <row r="1188" spans="1:32" x14ac:dyDescent="0.3">
      <c r="A1188" s="343" t="s">
        <v>1392</v>
      </c>
      <c r="B1188" s="962" t="s">
        <v>878</v>
      </c>
      <c r="C1188" s="795"/>
      <c r="D1188" s="796">
        <v>0</v>
      </c>
      <c r="E1188" s="796"/>
      <c r="F1188" s="796">
        <v>0</v>
      </c>
      <c r="G1188" s="796">
        <v>0</v>
      </c>
      <c r="H1188" s="796">
        <v>0</v>
      </c>
      <c r="I1188" s="796">
        <v>0</v>
      </c>
      <c r="J1188" s="796">
        <v>0</v>
      </c>
      <c r="K1188" s="796"/>
      <c r="L1188" s="796">
        <v>0</v>
      </c>
      <c r="M1188" s="796">
        <v>666200</v>
      </c>
      <c r="N1188" s="796">
        <v>216100</v>
      </c>
      <c r="O1188" s="796">
        <v>44400</v>
      </c>
      <c r="P1188" s="1497">
        <f t="shared" si="99"/>
        <v>0</v>
      </c>
      <c r="Q1188" s="1166">
        <f t="shared" si="98"/>
        <v>926700</v>
      </c>
      <c r="R1188" s="795"/>
      <c r="S1188" s="796"/>
      <c r="T1188" s="796"/>
      <c r="U1188" s="796"/>
      <c r="V1188" s="796"/>
      <c r="W1188" s="796"/>
      <c r="X1188" s="796"/>
      <c r="Y1188" s="796"/>
      <c r="Z1188" s="796"/>
      <c r="AA1188" s="796"/>
      <c r="AB1188" s="796"/>
      <c r="AC1188" s="796"/>
      <c r="AD1188" s="1166">
        <f t="shared" si="94"/>
        <v>0</v>
      </c>
      <c r="AE1188" s="963">
        <f t="shared" si="95"/>
        <v>0</v>
      </c>
      <c r="AF1188" s="964">
        <f t="shared" si="96"/>
        <v>983</v>
      </c>
    </row>
    <row r="1189" spans="1:32" x14ac:dyDescent="0.3">
      <c r="A1189" s="343" t="s">
        <v>1392</v>
      </c>
      <c r="B1189" s="962" t="s">
        <v>975</v>
      </c>
      <c r="C1189" s="795"/>
      <c r="D1189" s="796" t="s">
        <v>251</v>
      </c>
      <c r="E1189" s="796"/>
      <c r="F1189" s="796" t="s">
        <v>251</v>
      </c>
      <c r="G1189" s="796" t="s">
        <v>251</v>
      </c>
      <c r="H1189" s="796" t="s">
        <v>251</v>
      </c>
      <c r="I1189" s="796" t="s">
        <v>251</v>
      </c>
      <c r="J1189" s="796" t="s">
        <v>251</v>
      </c>
      <c r="K1189" s="796"/>
      <c r="L1189" s="796" t="s">
        <v>251</v>
      </c>
      <c r="M1189" s="796" t="s">
        <v>251</v>
      </c>
      <c r="N1189" s="796"/>
      <c r="O1189" s="796">
        <v>1711550</v>
      </c>
      <c r="P1189" s="1497">
        <f t="shared" si="99"/>
        <v>0</v>
      </c>
      <c r="Q1189" s="1166">
        <f t="shared" si="98"/>
        <v>1711550</v>
      </c>
      <c r="R1189" s="795">
        <v>839600</v>
      </c>
      <c r="S1189" s="796">
        <v>1755250</v>
      </c>
      <c r="T1189" s="796">
        <v>5748450</v>
      </c>
      <c r="U1189" s="796"/>
      <c r="V1189" s="796"/>
      <c r="W1189" s="796"/>
      <c r="X1189" s="796"/>
      <c r="Y1189" s="796"/>
      <c r="Z1189" s="796"/>
      <c r="AA1189" s="796"/>
      <c r="AB1189" s="796"/>
      <c r="AC1189" s="796"/>
      <c r="AD1189" s="1166">
        <f t="shared" si="94"/>
        <v>8343300</v>
      </c>
      <c r="AE1189" s="963">
        <f t="shared" si="95"/>
        <v>1</v>
      </c>
      <c r="AF1189" s="964">
        <f t="shared" si="96"/>
        <v>44</v>
      </c>
    </row>
    <row r="1190" spans="1:32" x14ac:dyDescent="0.3">
      <c r="A1190" s="345" t="s">
        <v>1394</v>
      </c>
      <c r="B1190" s="965" t="s">
        <v>1395</v>
      </c>
      <c r="C1190" s="797">
        <v>85000</v>
      </c>
      <c r="D1190" s="798">
        <v>882100</v>
      </c>
      <c r="E1190" s="798"/>
      <c r="F1190" s="798">
        <v>0</v>
      </c>
      <c r="G1190" s="798">
        <v>0</v>
      </c>
      <c r="H1190" s="798">
        <v>0</v>
      </c>
      <c r="I1190" s="798">
        <v>0</v>
      </c>
      <c r="J1190" s="798">
        <v>0</v>
      </c>
      <c r="K1190" s="798">
        <v>0</v>
      </c>
      <c r="L1190" s="798">
        <v>0</v>
      </c>
      <c r="M1190" s="798">
        <v>0</v>
      </c>
      <c r="N1190" s="798">
        <v>0</v>
      </c>
      <c r="O1190" s="798" t="s">
        <v>251</v>
      </c>
      <c r="P1190" s="1497">
        <f t="shared" si="99"/>
        <v>967100</v>
      </c>
      <c r="Q1190" s="1167">
        <f t="shared" si="98"/>
        <v>967100</v>
      </c>
      <c r="R1190" s="797"/>
      <c r="S1190" s="798"/>
      <c r="T1190" s="798"/>
      <c r="U1190" s="798"/>
      <c r="V1190" s="798"/>
      <c r="W1190" s="798"/>
      <c r="X1190" s="798"/>
      <c r="Y1190" s="798"/>
      <c r="Z1190" s="798"/>
      <c r="AA1190" s="798"/>
      <c r="AB1190" s="798"/>
      <c r="AC1190" s="798"/>
      <c r="AD1190" s="1167">
        <f t="shared" si="94"/>
        <v>0</v>
      </c>
      <c r="AE1190" s="966">
        <f t="shared" si="95"/>
        <v>-1</v>
      </c>
      <c r="AF1190" s="967">
        <f t="shared" si="96"/>
        <v>983</v>
      </c>
    </row>
    <row r="1191" spans="1:32" x14ac:dyDescent="0.3">
      <c r="A1191" s="345" t="s">
        <v>1394</v>
      </c>
      <c r="B1191" s="965" t="s">
        <v>1396</v>
      </c>
      <c r="C1191" s="797"/>
      <c r="D1191" s="798">
        <v>12200</v>
      </c>
      <c r="E1191" s="798"/>
      <c r="F1191" s="798">
        <v>0</v>
      </c>
      <c r="G1191" s="798">
        <v>0</v>
      </c>
      <c r="H1191" s="798">
        <v>0</v>
      </c>
      <c r="I1191" s="798">
        <v>0</v>
      </c>
      <c r="J1191" s="798">
        <v>0</v>
      </c>
      <c r="K1191" s="798">
        <v>0</v>
      </c>
      <c r="L1191" s="798">
        <v>0</v>
      </c>
      <c r="M1191" s="798">
        <v>0</v>
      </c>
      <c r="N1191" s="798">
        <v>0</v>
      </c>
      <c r="O1191" s="798" t="s">
        <v>251</v>
      </c>
      <c r="P1191" s="1497">
        <f t="shared" si="99"/>
        <v>12200</v>
      </c>
      <c r="Q1191" s="1167">
        <f t="shared" si="98"/>
        <v>12200</v>
      </c>
      <c r="R1191" s="797"/>
      <c r="S1191" s="798"/>
      <c r="T1191" s="798"/>
      <c r="U1191" s="798"/>
      <c r="V1191" s="798"/>
      <c r="W1191" s="798"/>
      <c r="X1191" s="798"/>
      <c r="Y1191" s="798"/>
      <c r="Z1191" s="798"/>
      <c r="AA1191" s="798"/>
      <c r="AB1191" s="798"/>
      <c r="AC1191" s="798"/>
      <c r="AD1191" s="1167">
        <f t="shared" si="94"/>
        <v>0</v>
      </c>
      <c r="AE1191" s="966">
        <f t="shared" si="95"/>
        <v>-1</v>
      </c>
      <c r="AF1191" s="967">
        <f t="shared" si="96"/>
        <v>983</v>
      </c>
    </row>
    <row r="1192" spans="1:32" x14ac:dyDescent="0.3">
      <c r="A1192" s="345" t="s">
        <v>1394</v>
      </c>
      <c r="B1192" s="965" t="s">
        <v>1547</v>
      </c>
      <c r="C1192" s="797"/>
      <c r="D1192" s="798">
        <v>0</v>
      </c>
      <c r="E1192" s="798"/>
      <c r="F1192" s="798">
        <v>0</v>
      </c>
      <c r="G1192" s="798">
        <v>0</v>
      </c>
      <c r="H1192" s="798">
        <v>0</v>
      </c>
      <c r="I1192" s="798">
        <v>0</v>
      </c>
      <c r="J1192" s="798">
        <v>11000</v>
      </c>
      <c r="K1192" s="798">
        <v>11000</v>
      </c>
      <c r="L1192" s="798">
        <v>0</v>
      </c>
      <c r="M1192" s="798">
        <v>0</v>
      </c>
      <c r="N1192" s="798">
        <v>0</v>
      </c>
      <c r="O1192" s="798" t="s">
        <v>251</v>
      </c>
      <c r="P1192" s="1497">
        <f t="shared" si="99"/>
        <v>11000</v>
      </c>
      <c r="Q1192" s="1167">
        <f t="shared" si="98"/>
        <v>11000</v>
      </c>
      <c r="R1192" s="797"/>
      <c r="S1192" s="798"/>
      <c r="T1192" s="798"/>
      <c r="U1192" s="798"/>
      <c r="V1192" s="798"/>
      <c r="W1192" s="798"/>
      <c r="X1192" s="798"/>
      <c r="Y1192" s="798"/>
      <c r="Z1192" s="798"/>
      <c r="AA1192" s="798"/>
      <c r="AB1192" s="798"/>
      <c r="AC1192" s="798"/>
      <c r="AD1192" s="1167">
        <f t="shared" si="94"/>
        <v>0</v>
      </c>
      <c r="AE1192" s="966">
        <f t="shared" si="95"/>
        <v>-1</v>
      </c>
      <c r="AF1192" s="967">
        <f t="shared" si="96"/>
        <v>983</v>
      </c>
    </row>
    <row r="1193" spans="1:32" x14ac:dyDescent="0.3">
      <c r="A1193" s="347" t="s">
        <v>1397</v>
      </c>
      <c r="B1193" s="838" t="s">
        <v>1398</v>
      </c>
      <c r="C1193" s="791">
        <v>420200</v>
      </c>
      <c r="D1193" s="792">
        <v>0</v>
      </c>
      <c r="E1193" s="792">
        <v>390600</v>
      </c>
      <c r="F1193" s="792">
        <v>0</v>
      </c>
      <c r="G1193" s="792">
        <v>0</v>
      </c>
      <c r="H1193" s="792">
        <v>0</v>
      </c>
      <c r="I1193" s="792">
        <v>0</v>
      </c>
      <c r="J1193" s="792">
        <v>0</v>
      </c>
      <c r="K1193" s="792">
        <v>0</v>
      </c>
      <c r="L1193" s="792">
        <v>0</v>
      </c>
      <c r="M1193" s="792">
        <v>0</v>
      </c>
      <c r="N1193" s="792">
        <v>0</v>
      </c>
      <c r="O1193" s="792" t="s">
        <v>251</v>
      </c>
      <c r="P1193" s="1497">
        <f t="shared" si="99"/>
        <v>810800</v>
      </c>
      <c r="Q1193" s="1161">
        <f t="shared" si="98"/>
        <v>810800</v>
      </c>
      <c r="R1193" s="791"/>
      <c r="S1193" s="792"/>
      <c r="T1193" s="792"/>
      <c r="U1193" s="792"/>
      <c r="V1193" s="792"/>
      <c r="W1193" s="792"/>
      <c r="X1193" s="792"/>
      <c r="Y1193" s="792"/>
      <c r="Z1193" s="792"/>
      <c r="AA1193" s="792"/>
      <c r="AB1193" s="792"/>
      <c r="AC1193" s="792"/>
      <c r="AD1193" s="1161">
        <f t="shared" si="94"/>
        <v>0</v>
      </c>
      <c r="AE1193" s="954">
        <f t="shared" si="95"/>
        <v>-1</v>
      </c>
      <c r="AF1193" s="955">
        <f t="shared" si="96"/>
        <v>983</v>
      </c>
    </row>
    <row r="1194" spans="1:32" x14ac:dyDescent="0.3">
      <c r="A1194" s="347" t="s">
        <v>1397</v>
      </c>
      <c r="B1194" s="838" t="s">
        <v>1330</v>
      </c>
      <c r="C1194" s="791"/>
      <c r="D1194" s="792" t="s">
        <v>251</v>
      </c>
      <c r="E1194" s="792"/>
      <c r="F1194" s="792" t="s">
        <v>251</v>
      </c>
      <c r="G1194" s="792" t="s">
        <v>251</v>
      </c>
      <c r="H1194" s="792" t="s">
        <v>251</v>
      </c>
      <c r="I1194" s="792" t="s">
        <v>251</v>
      </c>
      <c r="J1194" s="792" t="s">
        <v>251</v>
      </c>
      <c r="K1194" s="792"/>
      <c r="L1194" s="792" t="s">
        <v>251</v>
      </c>
      <c r="M1194" s="792" t="s">
        <v>251</v>
      </c>
      <c r="N1194" s="792" t="s">
        <v>251</v>
      </c>
      <c r="O1194" s="792" t="s">
        <v>251</v>
      </c>
      <c r="P1194" s="1497">
        <f t="shared" si="99"/>
        <v>0</v>
      </c>
      <c r="Q1194" s="1161">
        <f t="shared" si="98"/>
        <v>0</v>
      </c>
      <c r="R1194" s="791"/>
      <c r="S1194" s="792"/>
      <c r="T1194" s="792"/>
      <c r="U1194" s="792"/>
      <c r="V1194" s="792"/>
      <c r="W1194" s="792"/>
      <c r="X1194" s="792"/>
      <c r="Y1194" s="792"/>
      <c r="Z1194" s="792"/>
      <c r="AA1194" s="792"/>
      <c r="AB1194" s="792"/>
      <c r="AC1194" s="792"/>
      <c r="AD1194" s="1161">
        <f t="shared" si="94"/>
        <v>0</v>
      </c>
      <c r="AE1194" s="954">
        <f t="shared" si="95"/>
        <v>0</v>
      </c>
      <c r="AF1194" s="955">
        <f t="shared" si="96"/>
        <v>983</v>
      </c>
    </row>
    <row r="1195" spans="1:32" x14ac:dyDescent="0.3">
      <c r="A1195" s="349" t="s">
        <v>1399</v>
      </c>
      <c r="B1195" s="968" t="s">
        <v>1400</v>
      </c>
      <c r="C1195" s="799"/>
      <c r="D1195" s="800">
        <v>0</v>
      </c>
      <c r="E1195" s="800"/>
      <c r="F1195" s="800">
        <v>0</v>
      </c>
      <c r="G1195" s="800">
        <v>374500</v>
      </c>
      <c r="H1195" s="800">
        <v>0</v>
      </c>
      <c r="I1195" s="800">
        <v>126500</v>
      </c>
      <c r="J1195" s="800">
        <v>0</v>
      </c>
      <c r="K1195" s="800">
        <v>0</v>
      </c>
      <c r="L1195" s="800">
        <v>0</v>
      </c>
      <c r="M1195" s="800">
        <v>0</v>
      </c>
      <c r="N1195" s="800">
        <v>0</v>
      </c>
      <c r="O1195" s="800">
        <v>136500</v>
      </c>
      <c r="P1195" s="1497">
        <f t="shared" si="99"/>
        <v>501000</v>
      </c>
      <c r="Q1195" s="1168">
        <f t="shared" si="98"/>
        <v>637500</v>
      </c>
      <c r="R1195" s="799"/>
      <c r="S1195" s="800"/>
      <c r="T1195" s="800"/>
      <c r="U1195" s="800"/>
      <c r="V1195" s="800"/>
      <c r="W1195" s="800"/>
      <c r="X1195" s="800"/>
      <c r="Y1195" s="800"/>
      <c r="Z1195" s="800"/>
      <c r="AA1195" s="800"/>
      <c r="AB1195" s="800"/>
      <c r="AC1195" s="800"/>
      <c r="AD1195" s="1168">
        <f t="shared" si="94"/>
        <v>0</v>
      </c>
      <c r="AE1195" s="969">
        <f t="shared" si="95"/>
        <v>-1</v>
      </c>
      <c r="AF1195" s="970">
        <f t="shared" si="96"/>
        <v>983</v>
      </c>
    </row>
    <row r="1196" spans="1:32" x14ac:dyDescent="0.3">
      <c r="A1196" s="349" t="s">
        <v>1399</v>
      </c>
      <c r="B1196" s="968" t="s">
        <v>1401</v>
      </c>
      <c r="C1196" s="799"/>
      <c r="D1196" s="800">
        <v>0</v>
      </c>
      <c r="E1196" s="800"/>
      <c r="F1196" s="800">
        <v>0</v>
      </c>
      <c r="G1196" s="800">
        <v>118400</v>
      </c>
      <c r="H1196" s="800">
        <v>0</v>
      </c>
      <c r="I1196" s="800">
        <v>0</v>
      </c>
      <c r="J1196" s="800">
        <v>0</v>
      </c>
      <c r="K1196" s="800">
        <v>0</v>
      </c>
      <c r="L1196" s="800">
        <v>0</v>
      </c>
      <c r="M1196" s="800">
        <v>0</v>
      </c>
      <c r="N1196" s="800">
        <v>0</v>
      </c>
      <c r="O1196" s="800" t="s">
        <v>251</v>
      </c>
      <c r="P1196" s="1497">
        <f t="shared" si="99"/>
        <v>118400</v>
      </c>
      <c r="Q1196" s="1168">
        <f t="shared" si="98"/>
        <v>118400</v>
      </c>
      <c r="R1196" s="799"/>
      <c r="S1196" s="800"/>
      <c r="T1196" s="800"/>
      <c r="U1196" s="800"/>
      <c r="V1196" s="800"/>
      <c r="W1196" s="800"/>
      <c r="X1196" s="800"/>
      <c r="Y1196" s="800"/>
      <c r="Z1196" s="800"/>
      <c r="AA1196" s="800"/>
      <c r="AB1196" s="800"/>
      <c r="AC1196" s="800"/>
      <c r="AD1196" s="1168">
        <f t="shared" si="94"/>
        <v>0</v>
      </c>
      <c r="AE1196" s="969">
        <f t="shared" si="95"/>
        <v>-1</v>
      </c>
      <c r="AF1196" s="970">
        <f t="shared" si="96"/>
        <v>983</v>
      </c>
    </row>
    <row r="1197" spans="1:32" x14ac:dyDescent="0.3">
      <c r="A1197" s="349" t="s">
        <v>1399</v>
      </c>
      <c r="B1197" s="968" t="s">
        <v>1402</v>
      </c>
      <c r="C1197" s="799"/>
      <c r="D1197" s="800">
        <v>0</v>
      </c>
      <c r="E1197" s="800"/>
      <c r="F1197" s="800">
        <v>87000</v>
      </c>
      <c r="G1197" s="800">
        <v>0</v>
      </c>
      <c r="H1197" s="800">
        <v>0</v>
      </c>
      <c r="I1197" s="800">
        <v>76000</v>
      </c>
      <c r="J1197" s="800">
        <v>157050</v>
      </c>
      <c r="K1197" s="800">
        <v>94550</v>
      </c>
      <c r="L1197" s="800">
        <v>166200</v>
      </c>
      <c r="M1197" s="800">
        <v>0</v>
      </c>
      <c r="N1197" s="800">
        <v>61700</v>
      </c>
      <c r="O1197" s="800">
        <v>43000</v>
      </c>
      <c r="P1197" s="1497">
        <f t="shared" si="99"/>
        <v>257550</v>
      </c>
      <c r="Q1197" s="1168">
        <f t="shared" si="98"/>
        <v>590950</v>
      </c>
      <c r="R1197" s="799"/>
      <c r="S1197" s="800"/>
      <c r="T1197" s="800"/>
      <c r="U1197" s="800">
        <v>157470</v>
      </c>
      <c r="V1197" s="800">
        <v>74520</v>
      </c>
      <c r="W1197" s="800">
        <v>51350</v>
      </c>
      <c r="X1197" s="800">
        <v>0</v>
      </c>
      <c r="Y1197" s="800">
        <v>72050</v>
      </c>
      <c r="Z1197" s="800"/>
      <c r="AA1197" s="800"/>
      <c r="AB1197" s="800"/>
      <c r="AC1197" s="800"/>
      <c r="AD1197" s="1168">
        <f t="shared" si="94"/>
        <v>355390</v>
      </c>
      <c r="AE1197" s="969">
        <f t="shared" si="95"/>
        <v>0.37988740050475633</v>
      </c>
      <c r="AF1197" s="970">
        <f t="shared" si="96"/>
        <v>501</v>
      </c>
    </row>
    <row r="1198" spans="1:32" x14ac:dyDescent="0.3">
      <c r="A1198" s="349" t="s">
        <v>1399</v>
      </c>
      <c r="B1198" s="968" t="s">
        <v>1537</v>
      </c>
      <c r="C1198" s="799"/>
      <c r="D1198" s="800">
        <v>0</v>
      </c>
      <c r="E1198" s="800"/>
      <c r="F1198" s="800">
        <v>0</v>
      </c>
      <c r="G1198" s="800">
        <v>0</v>
      </c>
      <c r="H1198" s="800">
        <v>0</v>
      </c>
      <c r="I1198" s="800">
        <v>111400</v>
      </c>
      <c r="J1198" s="800">
        <v>0</v>
      </c>
      <c r="K1198" s="800">
        <v>0</v>
      </c>
      <c r="L1198" s="800">
        <v>0</v>
      </c>
      <c r="M1198" s="800">
        <v>0</v>
      </c>
      <c r="N1198" s="800">
        <v>0</v>
      </c>
      <c r="O1198" s="800" t="s">
        <v>251</v>
      </c>
      <c r="P1198" s="1497">
        <f t="shared" si="99"/>
        <v>111400</v>
      </c>
      <c r="Q1198" s="1168">
        <f t="shared" si="98"/>
        <v>111400</v>
      </c>
      <c r="R1198" s="799"/>
      <c r="S1198" s="800"/>
      <c r="T1198" s="800"/>
      <c r="U1198" s="800"/>
      <c r="V1198" s="800"/>
      <c r="W1198" s="800"/>
      <c r="X1198" s="800"/>
      <c r="Y1198" s="800"/>
      <c r="Z1198" s="800"/>
      <c r="AA1198" s="800"/>
      <c r="AB1198" s="800"/>
      <c r="AC1198" s="800"/>
      <c r="AD1198" s="1168">
        <f t="shared" si="94"/>
        <v>0</v>
      </c>
      <c r="AE1198" s="969">
        <f t="shared" si="95"/>
        <v>-1</v>
      </c>
      <c r="AF1198" s="970">
        <f t="shared" si="96"/>
        <v>983</v>
      </c>
    </row>
    <row r="1199" spans="1:32" x14ac:dyDescent="0.3">
      <c r="A1199" s="349" t="s">
        <v>1399</v>
      </c>
      <c r="B1199" s="968" t="s">
        <v>2173</v>
      </c>
      <c r="C1199" s="799"/>
      <c r="D1199" s="800">
        <v>0</v>
      </c>
      <c r="E1199" s="800"/>
      <c r="F1199" s="800">
        <v>0</v>
      </c>
      <c r="G1199" s="800">
        <v>0</v>
      </c>
      <c r="H1199" s="800">
        <v>0</v>
      </c>
      <c r="I1199" s="800">
        <v>0</v>
      </c>
      <c r="J1199" s="800">
        <v>1891700</v>
      </c>
      <c r="K1199" s="800">
        <v>1891700</v>
      </c>
      <c r="L1199" s="800">
        <v>0</v>
      </c>
      <c r="M1199" s="800">
        <v>0</v>
      </c>
      <c r="N1199" s="800">
        <v>0</v>
      </c>
      <c r="O1199" s="800" t="s">
        <v>251</v>
      </c>
      <c r="P1199" s="1497">
        <f t="shared" si="99"/>
        <v>1891700</v>
      </c>
      <c r="Q1199" s="1168">
        <f t="shared" si="98"/>
        <v>1891700</v>
      </c>
      <c r="R1199" s="799"/>
      <c r="S1199" s="800"/>
      <c r="T1199" s="800"/>
      <c r="U1199" s="800"/>
      <c r="V1199" s="800"/>
      <c r="W1199" s="800"/>
      <c r="X1199" s="800"/>
      <c r="Y1199" s="800"/>
      <c r="Z1199" s="800"/>
      <c r="AA1199" s="800"/>
      <c r="AB1199" s="800"/>
      <c r="AC1199" s="800"/>
      <c r="AD1199" s="1168">
        <f t="shared" si="94"/>
        <v>0</v>
      </c>
      <c r="AE1199" s="969">
        <f t="shared" si="95"/>
        <v>-1</v>
      </c>
      <c r="AF1199" s="970">
        <f t="shared" si="96"/>
        <v>983</v>
      </c>
    </row>
    <row r="1200" spans="1:32" x14ac:dyDescent="0.3">
      <c r="A1200" s="349" t="s">
        <v>1399</v>
      </c>
      <c r="B1200" s="968" t="s">
        <v>2904</v>
      </c>
      <c r="C1200" s="799"/>
      <c r="D1200" s="800"/>
      <c r="E1200" s="800"/>
      <c r="F1200" s="800"/>
      <c r="G1200" s="800"/>
      <c r="H1200" s="800"/>
      <c r="I1200" s="800"/>
      <c r="J1200" s="800"/>
      <c r="K1200" s="800"/>
      <c r="L1200" s="800"/>
      <c r="M1200" s="800"/>
      <c r="N1200" s="800"/>
      <c r="O1200" s="800"/>
      <c r="P1200" s="1497">
        <f t="shared" si="99"/>
        <v>0</v>
      </c>
      <c r="Q1200" s="1168">
        <f t="shared" si="98"/>
        <v>0</v>
      </c>
      <c r="R1200" s="799"/>
      <c r="S1200" s="800"/>
      <c r="T1200" s="800"/>
      <c r="U1200" s="800"/>
      <c r="V1200" s="800"/>
      <c r="W1200" s="800">
        <v>55000</v>
      </c>
      <c r="X1200" s="800"/>
      <c r="Y1200" s="800"/>
      <c r="Z1200" s="800"/>
      <c r="AA1200" s="800"/>
      <c r="AB1200" s="800"/>
      <c r="AC1200" s="800"/>
      <c r="AD1200" s="1168">
        <f t="shared" si="94"/>
        <v>55000</v>
      </c>
      <c r="AE1200" s="969">
        <f t="shared" si="95"/>
        <v>1</v>
      </c>
      <c r="AF1200" s="970">
        <f t="shared" si="96"/>
        <v>828</v>
      </c>
    </row>
    <row r="1201" spans="1:32" x14ac:dyDescent="0.3">
      <c r="A1201" s="349" t="s">
        <v>1399</v>
      </c>
      <c r="B1201" s="968" t="s">
        <v>2963</v>
      </c>
      <c r="C1201" s="799"/>
      <c r="D1201" s="800"/>
      <c r="E1201" s="800"/>
      <c r="F1201" s="800"/>
      <c r="G1201" s="800"/>
      <c r="H1201" s="800"/>
      <c r="I1201" s="800"/>
      <c r="J1201" s="800"/>
      <c r="K1201" s="800"/>
      <c r="L1201" s="800"/>
      <c r="M1201" s="800"/>
      <c r="N1201" s="800"/>
      <c r="O1201" s="800"/>
      <c r="P1201" s="1497">
        <f t="shared" si="99"/>
        <v>0</v>
      </c>
      <c r="Q1201" s="1168">
        <f t="shared" si="98"/>
        <v>0</v>
      </c>
      <c r="R1201" s="799"/>
      <c r="S1201" s="800"/>
      <c r="T1201" s="800"/>
      <c r="U1201" s="800"/>
      <c r="V1201" s="800"/>
      <c r="W1201" s="800"/>
      <c r="X1201" s="800">
        <v>75000</v>
      </c>
      <c r="Y1201" s="800">
        <v>47100</v>
      </c>
      <c r="Z1201" s="800"/>
      <c r="AA1201" s="800"/>
      <c r="AB1201" s="800"/>
      <c r="AC1201" s="800"/>
      <c r="AD1201" s="1168">
        <f t="shared" si="94"/>
        <v>122100</v>
      </c>
      <c r="AE1201" s="969">
        <f t="shared" si="95"/>
        <v>1</v>
      </c>
      <c r="AF1201" s="970">
        <f t="shared" si="96"/>
        <v>712</v>
      </c>
    </row>
    <row r="1202" spans="1:32" x14ac:dyDescent="0.3">
      <c r="A1202" s="971" t="s">
        <v>910</v>
      </c>
      <c r="B1202" s="930" t="s">
        <v>692</v>
      </c>
      <c r="C1202" s="775"/>
      <c r="D1202" s="776">
        <v>0</v>
      </c>
      <c r="E1202" s="776"/>
      <c r="F1202" s="776">
        <v>0</v>
      </c>
      <c r="G1202" s="776">
        <v>0</v>
      </c>
      <c r="H1202" s="776">
        <v>0</v>
      </c>
      <c r="I1202" s="776">
        <v>0</v>
      </c>
      <c r="J1202" s="776">
        <v>0</v>
      </c>
      <c r="K1202" s="776"/>
      <c r="L1202" s="776">
        <v>0</v>
      </c>
      <c r="M1202" s="776">
        <v>285000</v>
      </c>
      <c r="N1202" s="776">
        <v>0</v>
      </c>
      <c r="O1202" s="776" t="s">
        <v>251</v>
      </c>
      <c r="P1202" s="1497">
        <f t="shared" si="99"/>
        <v>0</v>
      </c>
      <c r="Q1202" s="1153">
        <f t="shared" si="98"/>
        <v>285000</v>
      </c>
      <c r="R1202" s="775"/>
      <c r="S1202" s="776"/>
      <c r="T1202" s="776"/>
      <c r="U1202" s="776"/>
      <c r="V1202" s="776"/>
      <c r="W1202" s="776"/>
      <c r="X1202" s="776"/>
      <c r="Y1202" s="776"/>
      <c r="Z1202" s="776"/>
      <c r="AA1202" s="776"/>
      <c r="AB1202" s="776"/>
      <c r="AC1202" s="776"/>
      <c r="AD1202" s="1153">
        <f t="shared" si="94"/>
        <v>0</v>
      </c>
      <c r="AE1202" s="931">
        <f t="shared" si="95"/>
        <v>0</v>
      </c>
      <c r="AF1202" s="932">
        <f t="shared" si="96"/>
        <v>983</v>
      </c>
    </row>
    <row r="1203" spans="1:32" x14ac:dyDescent="0.3">
      <c r="A1203" s="972" t="s">
        <v>2174</v>
      </c>
      <c r="B1203" s="973" t="s">
        <v>1494</v>
      </c>
      <c r="C1203" s="801"/>
      <c r="D1203" s="802" t="s">
        <v>251</v>
      </c>
      <c r="E1203" s="802"/>
      <c r="F1203" s="802" t="s">
        <v>251</v>
      </c>
      <c r="G1203" s="802" t="s">
        <v>251</v>
      </c>
      <c r="H1203" s="802" t="s">
        <v>251</v>
      </c>
      <c r="I1203" s="802" t="s">
        <v>251</v>
      </c>
      <c r="J1203" s="802" t="s">
        <v>251</v>
      </c>
      <c r="K1203" s="802"/>
      <c r="L1203" s="802" t="s">
        <v>251</v>
      </c>
      <c r="M1203" s="802" t="s">
        <v>251</v>
      </c>
      <c r="N1203" s="802" t="s">
        <v>251</v>
      </c>
      <c r="O1203" s="802" t="s">
        <v>251</v>
      </c>
      <c r="P1203" s="1497">
        <f t="shared" si="99"/>
        <v>0</v>
      </c>
      <c r="Q1203" s="1169">
        <f t="shared" si="98"/>
        <v>0</v>
      </c>
      <c r="R1203" s="801"/>
      <c r="S1203" s="802"/>
      <c r="T1203" s="802"/>
      <c r="U1203" s="802"/>
      <c r="V1203" s="802"/>
      <c r="W1203" s="802"/>
      <c r="X1203" s="802"/>
      <c r="Y1203" s="802"/>
      <c r="Z1203" s="802"/>
      <c r="AA1203" s="802"/>
      <c r="AB1203" s="802"/>
      <c r="AC1203" s="802"/>
      <c r="AD1203" s="1169">
        <f t="shared" si="94"/>
        <v>0</v>
      </c>
      <c r="AE1203" s="974">
        <f t="shared" si="95"/>
        <v>0</v>
      </c>
      <c r="AF1203" s="975">
        <f t="shared" si="96"/>
        <v>983</v>
      </c>
    </row>
    <row r="1204" spans="1:32" x14ac:dyDescent="0.3">
      <c r="A1204" s="351" t="s">
        <v>1403</v>
      </c>
      <c r="B1204" s="976" t="s">
        <v>648</v>
      </c>
      <c r="C1204" s="803">
        <v>292200</v>
      </c>
      <c r="D1204" s="804">
        <v>24200</v>
      </c>
      <c r="E1204" s="804"/>
      <c r="F1204" s="804">
        <v>0</v>
      </c>
      <c r="G1204" s="804">
        <v>199200</v>
      </c>
      <c r="H1204" s="804">
        <v>843000</v>
      </c>
      <c r="I1204" s="804">
        <v>110600</v>
      </c>
      <c r="J1204" s="804">
        <v>179700</v>
      </c>
      <c r="K1204" s="804">
        <v>57000</v>
      </c>
      <c r="L1204" s="804">
        <v>240400</v>
      </c>
      <c r="M1204" s="804">
        <v>0</v>
      </c>
      <c r="N1204" s="804">
        <v>0</v>
      </c>
      <c r="O1204" s="804">
        <v>135800</v>
      </c>
      <c r="P1204" s="1497">
        <f t="shared" si="99"/>
        <v>1526200</v>
      </c>
      <c r="Q1204" s="1170">
        <f t="shared" si="98"/>
        <v>2025100</v>
      </c>
      <c r="R1204" s="803">
        <v>193000</v>
      </c>
      <c r="S1204" s="804"/>
      <c r="T1204" s="804">
        <v>0</v>
      </c>
      <c r="U1204" s="804">
        <v>0</v>
      </c>
      <c r="V1204" s="804">
        <v>0</v>
      </c>
      <c r="W1204" s="804">
        <v>0</v>
      </c>
      <c r="X1204" s="804">
        <v>0</v>
      </c>
      <c r="Y1204" s="804">
        <v>0</v>
      </c>
      <c r="Z1204" s="804"/>
      <c r="AA1204" s="804"/>
      <c r="AB1204" s="804"/>
      <c r="AC1204" s="804"/>
      <c r="AD1204" s="1170">
        <f t="shared" si="94"/>
        <v>193000</v>
      </c>
      <c r="AE1204" s="977">
        <f t="shared" si="95"/>
        <v>-0.87354213078233522</v>
      </c>
      <c r="AF1204" s="978">
        <f t="shared" si="96"/>
        <v>619</v>
      </c>
    </row>
    <row r="1205" spans="1:32" x14ac:dyDescent="0.3">
      <c r="A1205" s="351" t="s">
        <v>1403</v>
      </c>
      <c r="B1205" s="976" t="s">
        <v>724</v>
      </c>
      <c r="C1205" s="803"/>
      <c r="D1205" s="804">
        <v>0</v>
      </c>
      <c r="E1205" s="804"/>
      <c r="F1205" s="804">
        <v>0</v>
      </c>
      <c r="G1205" s="804">
        <v>0</v>
      </c>
      <c r="H1205" s="804">
        <v>834200</v>
      </c>
      <c r="I1205" s="804">
        <v>303000</v>
      </c>
      <c r="J1205" s="804">
        <v>0</v>
      </c>
      <c r="K1205" s="804">
        <v>0</v>
      </c>
      <c r="L1205" s="804">
        <v>0</v>
      </c>
      <c r="M1205" s="804">
        <v>0</v>
      </c>
      <c r="N1205" s="804">
        <v>0</v>
      </c>
      <c r="O1205" s="804" t="s">
        <v>251</v>
      </c>
      <c r="P1205" s="1497">
        <f t="shared" si="99"/>
        <v>1137200</v>
      </c>
      <c r="Q1205" s="1170">
        <f t="shared" si="98"/>
        <v>1137200</v>
      </c>
      <c r="R1205" s="803"/>
      <c r="S1205" s="804"/>
      <c r="T1205" s="804"/>
      <c r="U1205" s="804"/>
      <c r="V1205" s="804"/>
      <c r="W1205" s="804"/>
      <c r="X1205" s="804"/>
      <c r="Y1205" s="804"/>
      <c r="Z1205" s="804"/>
      <c r="AA1205" s="804"/>
      <c r="AB1205" s="804"/>
      <c r="AC1205" s="804"/>
      <c r="AD1205" s="1170">
        <f t="shared" si="94"/>
        <v>0</v>
      </c>
      <c r="AE1205" s="977">
        <f t="shared" si="95"/>
        <v>-1</v>
      </c>
      <c r="AF1205" s="978">
        <f t="shared" si="96"/>
        <v>983</v>
      </c>
    </row>
    <row r="1206" spans="1:32" x14ac:dyDescent="0.3">
      <c r="A1206" s="351" t="s">
        <v>1403</v>
      </c>
      <c r="B1206" s="976" t="s">
        <v>2175</v>
      </c>
      <c r="C1206" s="803"/>
      <c r="D1206" s="804">
        <v>0</v>
      </c>
      <c r="E1206" s="804"/>
      <c r="F1206" s="804">
        <v>0</v>
      </c>
      <c r="G1206" s="804">
        <v>0</v>
      </c>
      <c r="H1206" s="804">
        <v>369400</v>
      </c>
      <c r="I1206" s="804">
        <v>507600</v>
      </c>
      <c r="J1206" s="804">
        <v>555800</v>
      </c>
      <c r="K1206" s="804">
        <v>555800</v>
      </c>
      <c r="L1206" s="804">
        <v>0</v>
      </c>
      <c r="M1206" s="804">
        <v>197000</v>
      </c>
      <c r="N1206" s="804">
        <v>564800</v>
      </c>
      <c r="O1206" s="804">
        <v>655150</v>
      </c>
      <c r="P1206" s="1497">
        <f t="shared" si="99"/>
        <v>1432800</v>
      </c>
      <c r="Q1206" s="1170">
        <f t="shared" si="98"/>
        <v>2849750</v>
      </c>
      <c r="R1206" s="803"/>
      <c r="S1206" s="804"/>
      <c r="T1206" s="804"/>
      <c r="U1206" s="804"/>
      <c r="V1206" s="804"/>
      <c r="W1206" s="804"/>
      <c r="X1206" s="804"/>
      <c r="Y1206" s="804"/>
      <c r="Z1206" s="804"/>
      <c r="AA1206" s="804"/>
      <c r="AB1206" s="804"/>
      <c r="AC1206" s="804"/>
      <c r="AD1206" s="1170">
        <f t="shared" si="94"/>
        <v>0</v>
      </c>
      <c r="AE1206" s="977">
        <f t="shared" si="95"/>
        <v>-1</v>
      </c>
      <c r="AF1206" s="978">
        <f t="shared" si="96"/>
        <v>983</v>
      </c>
    </row>
    <row r="1207" spans="1:32" x14ac:dyDescent="0.3">
      <c r="A1207" s="351" t="s">
        <v>1403</v>
      </c>
      <c r="B1207" s="976" t="s">
        <v>2176</v>
      </c>
      <c r="C1207" s="803"/>
      <c r="D1207" s="804" t="s">
        <v>251</v>
      </c>
      <c r="E1207" s="804"/>
      <c r="F1207" s="804">
        <v>0</v>
      </c>
      <c r="G1207" s="804" t="s">
        <v>251</v>
      </c>
      <c r="H1207" s="804" t="s">
        <v>251</v>
      </c>
      <c r="I1207" s="804">
        <v>230600</v>
      </c>
      <c r="J1207" s="804">
        <v>242600</v>
      </c>
      <c r="K1207" s="804">
        <v>242600</v>
      </c>
      <c r="L1207" s="804">
        <v>0</v>
      </c>
      <c r="M1207" s="804">
        <v>0</v>
      </c>
      <c r="N1207" s="804">
        <v>0</v>
      </c>
      <c r="O1207" s="804" t="s">
        <v>251</v>
      </c>
      <c r="P1207" s="1497">
        <f t="shared" si="99"/>
        <v>473200</v>
      </c>
      <c r="Q1207" s="1170">
        <f t="shared" si="98"/>
        <v>473200</v>
      </c>
      <c r="R1207" s="803"/>
      <c r="S1207" s="804"/>
      <c r="T1207" s="804"/>
      <c r="U1207" s="804"/>
      <c r="V1207" s="804"/>
      <c r="W1207" s="804"/>
      <c r="X1207" s="804"/>
      <c r="Y1207" s="804"/>
      <c r="Z1207" s="804"/>
      <c r="AA1207" s="804"/>
      <c r="AB1207" s="804"/>
      <c r="AC1207" s="804"/>
      <c r="AD1207" s="1170">
        <f t="shared" si="94"/>
        <v>0</v>
      </c>
      <c r="AE1207" s="977">
        <f t="shared" si="95"/>
        <v>-1</v>
      </c>
      <c r="AF1207" s="978">
        <f t="shared" si="96"/>
        <v>983</v>
      </c>
    </row>
    <row r="1208" spans="1:32" x14ac:dyDescent="0.3">
      <c r="A1208" s="351" t="s">
        <v>1403</v>
      </c>
      <c r="B1208" s="976" t="s">
        <v>2177</v>
      </c>
      <c r="C1208" s="803"/>
      <c r="D1208" s="804">
        <v>0</v>
      </c>
      <c r="E1208" s="804"/>
      <c r="F1208" s="804">
        <v>0</v>
      </c>
      <c r="G1208" s="804">
        <v>0</v>
      </c>
      <c r="H1208" s="804">
        <v>0</v>
      </c>
      <c r="I1208" s="804">
        <v>261300</v>
      </c>
      <c r="J1208" s="804">
        <v>73600</v>
      </c>
      <c r="K1208" s="804">
        <v>73600</v>
      </c>
      <c r="L1208" s="804">
        <v>0</v>
      </c>
      <c r="M1208" s="804">
        <v>0</v>
      </c>
      <c r="N1208" s="804">
        <v>0</v>
      </c>
      <c r="O1208" s="804">
        <v>183000</v>
      </c>
      <c r="P1208" s="1497">
        <f t="shared" si="99"/>
        <v>334900</v>
      </c>
      <c r="Q1208" s="1170">
        <f t="shared" si="98"/>
        <v>517900</v>
      </c>
      <c r="R1208" s="803"/>
      <c r="S1208" s="804"/>
      <c r="T1208" s="804"/>
      <c r="U1208" s="804"/>
      <c r="V1208" s="804"/>
      <c r="W1208" s="804"/>
      <c r="X1208" s="804"/>
      <c r="Y1208" s="804"/>
      <c r="Z1208" s="804"/>
      <c r="AA1208" s="804"/>
      <c r="AB1208" s="804"/>
      <c r="AC1208" s="804"/>
      <c r="AD1208" s="1170">
        <f t="shared" si="94"/>
        <v>0</v>
      </c>
      <c r="AE1208" s="977">
        <f t="shared" si="95"/>
        <v>-1</v>
      </c>
      <c r="AF1208" s="978">
        <f t="shared" si="96"/>
        <v>983</v>
      </c>
    </row>
    <row r="1209" spans="1:32" x14ac:dyDescent="0.3">
      <c r="A1209" s="351" t="s">
        <v>1403</v>
      </c>
      <c r="B1209" s="976" t="s">
        <v>2005</v>
      </c>
      <c r="C1209" s="803"/>
      <c r="D1209" s="804">
        <v>0</v>
      </c>
      <c r="E1209" s="804"/>
      <c r="F1209" s="804">
        <v>0</v>
      </c>
      <c r="G1209" s="804">
        <v>0</v>
      </c>
      <c r="H1209" s="804">
        <v>0</v>
      </c>
      <c r="I1209" s="804">
        <v>196600</v>
      </c>
      <c r="J1209" s="804">
        <v>0</v>
      </c>
      <c r="K1209" s="804">
        <v>0</v>
      </c>
      <c r="L1209" s="804">
        <v>0</v>
      </c>
      <c r="M1209" s="804">
        <v>0</v>
      </c>
      <c r="N1209" s="804">
        <v>0</v>
      </c>
      <c r="O1209" s="804" t="s">
        <v>251</v>
      </c>
      <c r="P1209" s="1497">
        <f t="shared" si="99"/>
        <v>196600</v>
      </c>
      <c r="Q1209" s="1170">
        <f t="shared" si="98"/>
        <v>196600</v>
      </c>
      <c r="R1209" s="803"/>
      <c r="S1209" s="804"/>
      <c r="T1209" s="804"/>
      <c r="U1209" s="804"/>
      <c r="V1209" s="804"/>
      <c r="W1209" s="804"/>
      <c r="X1209" s="804"/>
      <c r="Y1209" s="804"/>
      <c r="Z1209" s="804"/>
      <c r="AA1209" s="804"/>
      <c r="AB1209" s="804"/>
      <c r="AC1209" s="804"/>
      <c r="AD1209" s="1170">
        <f t="shared" si="94"/>
        <v>0</v>
      </c>
      <c r="AE1209" s="977">
        <f t="shared" si="95"/>
        <v>-1</v>
      </c>
      <c r="AF1209" s="978">
        <f t="shared" si="96"/>
        <v>983</v>
      </c>
    </row>
    <row r="1210" spans="1:32" x14ac:dyDescent="0.3">
      <c r="A1210" s="351" t="s">
        <v>1403</v>
      </c>
      <c r="B1210" s="976" t="s">
        <v>2816</v>
      </c>
      <c r="C1210" s="803"/>
      <c r="D1210" s="804"/>
      <c r="E1210" s="804"/>
      <c r="F1210" s="804"/>
      <c r="G1210" s="804"/>
      <c r="H1210" s="804"/>
      <c r="I1210" s="804"/>
      <c r="J1210" s="804"/>
      <c r="K1210" s="804"/>
      <c r="L1210" s="804"/>
      <c r="M1210" s="804"/>
      <c r="N1210" s="804"/>
      <c r="O1210" s="804"/>
      <c r="P1210" s="1497">
        <f t="shared" si="99"/>
        <v>0</v>
      </c>
      <c r="Q1210" s="1170">
        <f t="shared" si="98"/>
        <v>0</v>
      </c>
      <c r="R1210" s="803"/>
      <c r="S1210" s="804"/>
      <c r="T1210" s="804"/>
      <c r="U1210" s="804"/>
      <c r="V1210" s="804">
        <v>618900</v>
      </c>
      <c r="W1210" s="804">
        <v>2939400</v>
      </c>
      <c r="X1210" s="804">
        <v>3112000</v>
      </c>
      <c r="Y1210" s="804">
        <v>804650</v>
      </c>
      <c r="Z1210" s="804"/>
      <c r="AA1210" s="804"/>
      <c r="AB1210" s="804"/>
      <c r="AC1210" s="804"/>
      <c r="AD1210" s="1170">
        <f t="shared" si="94"/>
        <v>7474950</v>
      </c>
      <c r="AE1210" s="977">
        <f t="shared" si="95"/>
        <v>1</v>
      </c>
      <c r="AF1210" s="978">
        <f t="shared" si="96"/>
        <v>54</v>
      </c>
    </row>
    <row r="1211" spans="1:32" x14ac:dyDescent="0.3">
      <c r="A1211" s="353" t="s">
        <v>1404</v>
      </c>
      <c r="B1211" s="979" t="s">
        <v>1405</v>
      </c>
      <c r="C1211" s="805"/>
      <c r="D1211" s="806">
        <v>0</v>
      </c>
      <c r="E1211" s="806"/>
      <c r="F1211" s="806">
        <v>0</v>
      </c>
      <c r="G1211" s="806">
        <v>517400</v>
      </c>
      <c r="H1211" s="806">
        <v>2252900</v>
      </c>
      <c r="I1211" s="806">
        <v>1905400</v>
      </c>
      <c r="J1211" s="806">
        <v>2500300</v>
      </c>
      <c r="K1211" s="806">
        <v>2014100</v>
      </c>
      <c r="L1211" s="806">
        <v>1721200</v>
      </c>
      <c r="M1211" s="806">
        <v>446400</v>
      </c>
      <c r="N1211" s="806">
        <v>992800</v>
      </c>
      <c r="O1211" s="806">
        <v>2561900</v>
      </c>
      <c r="P1211" s="1497">
        <f t="shared" si="99"/>
        <v>6689800</v>
      </c>
      <c r="Q1211" s="1171">
        <f t="shared" si="98"/>
        <v>12898300</v>
      </c>
      <c r="R1211" s="805">
        <v>5912000</v>
      </c>
      <c r="S1211" s="806">
        <v>546650</v>
      </c>
      <c r="T1211" s="806">
        <v>411800</v>
      </c>
      <c r="U1211" s="806">
        <v>48000</v>
      </c>
      <c r="V1211" s="806">
        <v>921200</v>
      </c>
      <c r="W1211" s="806">
        <v>4027000</v>
      </c>
      <c r="X1211" s="806">
        <v>6391400</v>
      </c>
      <c r="Y1211" s="806">
        <v>1895500</v>
      </c>
      <c r="Z1211" s="806"/>
      <c r="AA1211" s="806"/>
      <c r="AB1211" s="806"/>
      <c r="AC1211" s="806"/>
      <c r="AD1211" s="1171">
        <f t="shared" si="94"/>
        <v>20153550</v>
      </c>
      <c r="AE1211" s="980">
        <f t="shared" si="95"/>
        <v>2.0125788513856917</v>
      </c>
      <c r="AF1211" s="981">
        <f t="shared" si="96"/>
        <v>16</v>
      </c>
    </row>
    <row r="1212" spans="1:32" x14ac:dyDescent="0.3">
      <c r="A1212" s="353" t="s">
        <v>1404</v>
      </c>
      <c r="B1212" s="979" t="s">
        <v>701</v>
      </c>
      <c r="C1212" s="805"/>
      <c r="D1212" s="806">
        <v>0</v>
      </c>
      <c r="E1212" s="806"/>
      <c r="F1212" s="806">
        <v>0</v>
      </c>
      <c r="G1212" s="806">
        <v>0</v>
      </c>
      <c r="H1212" s="806">
        <v>0</v>
      </c>
      <c r="I1212" s="806">
        <v>110500</v>
      </c>
      <c r="J1212" s="806">
        <v>973240</v>
      </c>
      <c r="K1212" s="806">
        <v>907240</v>
      </c>
      <c r="L1212" s="806">
        <v>302120</v>
      </c>
      <c r="M1212" s="806">
        <v>0</v>
      </c>
      <c r="N1212" s="806">
        <v>0</v>
      </c>
      <c r="O1212" s="806" t="s">
        <v>251</v>
      </c>
      <c r="P1212" s="1497">
        <f t="shared" si="99"/>
        <v>1017740</v>
      </c>
      <c r="Q1212" s="1171">
        <f t="shared" si="98"/>
        <v>1385860</v>
      </c>
      <c r="R1212" s="805"/>
      <c r="S1212" s="806"/>
      <c r="T1212" s="806"/>
      <c r="U1212" s="806"/>
      <c r="V1212" s="806"/>
      <c r="W1212" s="806"/>
      <c r="X1212" s="806"/>
      <c r="Y1212" s="806"/>
      <c r="Z1212" s="806"/>
      <c r="AA1212" s="806"/>
      <c r="AB1212" s="806"/>
      <c r="AC1212" s="806"/>
      <c r="AD1212" s="1171">
        <f t="shared" si="94"/>
        <v>0</v>
      </c>
      <c r="AE1212" s="980">
        <f t="shared" si="95"/>
        <v>-1</v>
      </c>
      <c r="AF1212" s="981">
        <f t="shared" si="96"/>
        <v>983</v>
      </c>
    </row>
    <row r="1213" spans="1:32" x14ac:dyDescent="0.3">
      <c r="A1213" s="353" t="s">
        <v>1404</v>
      </c>
      <c r="B1213" s="979" t="s">
        <v>2149</v>
      </c>
      <c r="C1213" s="805"/>
      <c r="D1213" s="806">
        <v>0</v>
      </c>
      <c r="E1213" s="806"/>
      <c r="F1213" s="806">
        <v>0</v>
      </c>
      <c r="G1213" s="806">
        <v>0</v>
      </c>
      <c r="H1213" s="806">
        <v>0</v>
      </c>
      <c r="I1213" s="806">
        <v>702000</v>
      </c>
      <c r="J1213" s="806">
        <v>341000</v>
      </c>
      <c r="K1213" s="806">
        <v>341000</v>
      </c>
      <c r="L1213" s="806">
        <v>274200</v>
      </c>
      <c r="M1213" s="806">
        <v>0</v>
      </c>
      <c r="N1213" s="806">
        <v>0</v>
      </c>
      <c r="O1213" s="806" t="s">
        <v>251</v>
      </c>
      <c r="P1213" s="1497">
        <f t="shared" si="99"/>
        <v>1043000</v>
      </c>
      <c r="Q1213" s="1171">
        <f t="shared" si="98"/>
        <v>1317200</v>
      </c>
      <c r="R1213" s="805"/>
      <c r="S1213" s="806"/>
      <c r="T1213" s="806"/>
      <c r="U1213" s="806"/>
      <c r="V1213" s="806"/>
      <c r="W1213" s="806"/>
      <c r="X1213" s="806"/>
      <c r="Y1213" s="806"/>
      <c r="Z1213" s="806"/>
      <c r="AA1213" s="806"/>
      <c r="AB1213" s="806"/>
      <c r="AC1213" s="806"/>
      <c r="AD1213" s="1171">
        <f t="shared" si="94"/>
        <v>0</v>
      </c>
      <c r="AE1213" s="980">
        <f t="shared" si="95"/>
        <v>-1</v>
      </c>
      <c r="AF1213" s="981">
        <f t="shared" si="96"/>
        <v>983</v>
      </c>
    </row>
    <row r="1214" spans="1:32" x14ac:dyDescent="0.3">
      <c r="A1214" s="353" t="s">
        <v>1404</v>
      </c>
      <c r="B1214" s="979" t="s">
        <v>1350</v>
      </c>
      <c r="C1214" s="805"/>
      <c r="D1214" s="806">
        <v>0</v>
      </c>
      <c r="E1214" s="806"/>
      <c r="F1214" s="806">
        <v>0</v>
      </c>
      <c r="G1214" s="806">
        <v>0</v>
      </c>
      <c r="H1214" s="806">
        <v>0</v>
      </c>
      <c r="I1214" s="806">
        <v>0</v>
      </c>
      <c r="J1214" s="806">
        <v>619200</v>
      </c>
      <c r="K1214" s="806">
        <v>589200</v>
      </c>
      <c r="L1214" s="806">
        <v>914400</v>
      </c>
      <c r="M1214" s="806">
        <v>148400</v>
      </c>
      <c r="N1214" s="806">
        <v>24000</v>
      </c>
      <c r="O1214" s="806">
        <v>1520900</v>
      </c>
      <c r="P1214" s="1497">
        <f t="shared" si="99"/>
        <v>589200</v>
      </c>
      <c r="Q1214" s="1171">
        <f t="shared" si="98"/>
        <v>3226900</v>
      </c>
      <c r="R1214" s="805">
        <v>2152600</v>
      </c>
      <c r="S1214" s="806">
        <v>319000</v>
      </c>
      <c r="T1214" s="806">
        <v>136000</v>
      </c>
      <c r="U1214" s="806">
        <v>0</v>
      </c>
      <c r="V1214" s="806">
        <v>404000</v>
      </c>
      <c r="W1214" s="806">
        <v>137800</v>
      </c>
      <c r="X1214" s="806">
        <v>0</v>
      </c>
      <c r="Y1214" s="806">
        <v>352000</v>
      </c>
      <c r="Z1214" s="806"/>
      <c r="AA1214" s="806"/>
      <c r="AB1214" s="806"/>
      <c r="AC1214" s="806"/>
      <c r="AD1214" s="1171">
        <f t="shared" si="94"/>
        <v>3501400</v>
      </c>
      <c r="AE1214" s="980">
        <f t="shared" si="95"/>
        <v>4.9426340801086219</v>
      </c>
      <c r="AF1214" s="981">
        <f t="shared" si="96"/>
        <v>133</v>
      </c>
    </row>
    <row r="1215" spans="1:32" x14ac:dyDescent="0.3">
      <c r="A1215" s="353" t="s">
        <v>1404</v>
      </c>
      <c r="B1215" s="979" t="s">
        <v>1293</v>
      </c>
      <c r="C1215" s="805"/>
      <c r="D1215" s="806">
        <v>0</v>
      </c>
      <c r="E1215" s="806"/>
      <c r="F1215" s="806">
        <v>0</v>
      </c>
      <c r="G1215" s="806">
        <v>0</v>
      </c>
      <c r="H1215" s="806">
        <v>0</v>
      </c>
      <c r="I1215" s="806">
        <v>0</v>
      </c>
      <c r="J1215" s="806">
        <v>141000</v>
      </c>
      <c r="K1215" s="806">
        <v>141000</v>
      </c>
      <c r="L1215" s="806">
        <v>0</v>
      </c>
      <c r="M1215" s="806">
        <v>0</v>
      </c>
      <c r="N1215" s="806">
        <v>0</v>
      </c>
      <c r="O1215" s="806" t="s">
        <v>251</v>
      </c>
      <c r="P1215" s="1497">
        <f t="shared" si="99"/>
        <v>141000</v>
      </c>
      <c r="Q1215" s="1171">
        <f t="shared" si="98"/>
        <v>141000</v>
      </c>
      <c r="R1215" s="805"/>
      <c r="S1215" s="806"/>
      <c r="T1215" s="806"/>
      <c r="U1215" s="806"/>
      <c r="V1215" s="806"/>
      <c r="W1215" s="806"/>
      <c r="X1215" s="806"/>
      <c r="Y1215" s="806"/>
      <c r="Z1215" s="806"/>
      <c r="AA1215" s="806"/>
      <c r="AB1215" s="806"/>
      <c r="AC1215" s="806"/>
      <c r="AD1215" s="1171">
        <f t="shared" si="94"/>
        <v>0</v>
      </c>
      <c r="AE1215" s="980">
        <f t="shared" si="95"/>
        <v>-1</v>
      </c>
      <c r="AF1215" s="981">
        <f t="shared" si="96"/>
        <v>983</v>
      </c>
    </row>
    <row r="1216" spans="1:32" x14ac:dyDescent="0.3">
      <c r="A1216" s="353" t="s">
        <v>1404</v>
      </c>
      <c r="B1216" s="979" t="s">
        <v>2156</v>
      </c>
      <c r="C1216" s="805"/>
      <c r="D1216" s="806">
        <v>0</v>
      </c>
      <c r="E1216" s="806"/>
      <c r="F1216" s="806">
        <v>0</v>
      </c>
      <c r="G1216" s="806">
        <v>0</v>
      </c>
      <c r="H1216" s="806">
        <v>0</v>
      </c>
      <c r="I1216" s="806">
        <v>0</v>
      </c>
      <c r="J1216" s="806">
        <v>0</v>
      </c>
      <c r="K1216" s="806"/>
      <c r="L1216" s="806">
        <v>20070</v>
      </c>
      <c r="M1216" s="806">
        <v>0</v>
      </c>
      <c r="N1216" s="806">
        <v>0</v>
      </c>
      <c r="O1216" s="806" t="s">
        <v>251</v>
      </c>
      <c r="P1216" s="1497">
        <f t="shared" si="99"/>
        <v>0</v>
      </c>
      <c r="Q1216" s="1171">
        <f t="shared" si="98"/>
        <v>20070</v>
      </c>
      <c r="R1216" s="805"/>
      <c r="S1216" s="806"/>
      <c r="T1216" s="806"/>
      <c r="U1216" s="806"/>
      <c r="V1216" s="806"/>
      <c r="W1216" s="806"/>
      <c r="X1216" s="806"/>
      <c r="Y1216" s="806"/>
      <c r="Z1216" s="806"/>
      <c r="AA1216" s="806"/>
      <c r="AB1216" s="806"/>
      <c r="AC1216" s="806"/>
      <c r="AD1216" s="1171">
        <f t="shared" si="94"/>
        <v>0</v>
      </c>
      <c r="AE1216" s="980">
        <f t="shared" si="95"/>
        <v>0</v>
      </c>
      <c r="AF1216" s="981">
        <f t="shared" si="96"/>
        <v>983</v>
      </c>
    </row>
    <row r="1217" spans="1:32" x14ac:dyDescent="0.3">
      <c r="A1217" s="353" t="s">
        <v>1404</v>
      </c>
      <c r="B1217" s="979" t="s">
        <v>2146</v>
      </c>
      <c r="C1217" s="805"/>
      <c r="D1217" s="806">
        <v>0</v>
      </c>
      <c r="E1217" s="806"/>
      <c r="F1217" s="806">
        <v>0</v>
      </c>
      <c r="G1217" s="806">
        <v>0</v>
      </c>
      <c r="H1217" s="806">
        <v>0</v>
      </c>
      <c r="I1217" s="806">
        <v>0</v>
      </c>
      <c r="J1217" s="806">
        <v>0</v>
      </c>
      <c r="K1217" s="806"/>
      <c r="L1217" s="806">
        <v>184200</v>
      </c>
      <c r="M1217" s="806">
        <v>117200</v>
      </c>
      <c r="N1217" s="806">
        <v>0</v>
      </c>
      <c r="O1217" s="806">
        <v>1387100</v>
      </c>
      <c r="P1217" s="1497">
        <f t="shared" si="99"/>
        <v>0</v>
      </c>
      <c r="Q1217" s="1171">
        <f t="shared" si="98"/>
        <v>1688500</v>
      </c>
      <c r="R1217" s="805">
        <v>609800</v>
      </c>
      <c r="S1217" s="806"/>
      <c r="T1217" s="806">
        <v>25000</v>
      </c>
      <c r="U1217" s="806">
        <v>0</v>
      </c>
      <c r="V1217" s="806">
        <v>0</v>
      </c>
      <c r="W1217" s="806">
        <v>0</v>
      </c>
      <c r="X1217" s="806">
        <v>0</v>
      </c>
      <c r="Y1217" s="806">
        <v>0</v>
      </c>
      <c r="Z1217" s="806"/>
      <c r="AA1217" s="806"/>
      <c r="AB1217" s="806"/>
      <c r="AC1217" s="806"/>
      <c r="AD1217" s="1171">
        <f t="shared" si="94"/>
        <v>634800</v>
      </c>
      <c r="AE1217" s="980">
        <f t="shared" si="95"/>
        <v>1</v>
      </c>
      <c r="AF1217" s="981">
        <f t="shared" si="96"/>
        <v>399</v>
      </c>
    </row>
    <row r="1218" spans="1:32" x14ac:dyDescent="0.3">
      <c r="A1218" s="353" t="s">
        <v>1404</v>
      </c>
      <c r="B1218" s="979" t="s">
        <v>2178</v>
      </c>
      <c r="C1218" s="805"/>
      <c r="D1218" s="806">
        <v>0</v>
      </c>
      <c r="E1218" s="806"/>
      <c r="F1218" s="806">
        <v>0</v>
      </c>
      <c r="G1218" s="806">
        <v>0</v>
      </c>
      <c r="H1218" s="806">
        <v>0</v>
      </c>
      <c r="I1218" s="806">
        <v>0</v>
      </c>
      <c r="J1218" s="806">
        <v>0</v>
      </c>
      <c r="K1218" s="806"/>
      <c r="L1218" s="806">
        <v>0</v>
      </c>
      <c r="M1218" s="806">
        <v>764900</v>
      </c>
      <c r="N1218" s="806">
        <v>523600</v>
      </c>
      <c r="O1218" s="806">
        <v>1307000</v>
      </c>
      <c r="P1218" s="1497">
        <f t="shared" si="99"/>
        <v>0</v>
      </c>
      <c r="Q1218" s="1171">
        <f t="shared" si="98"/>
        <v>2595500</v>
      </c>
      <c r="R1218" s="805">
        <v>3933400</v>
      </c>
      <c r="S1218" s="806">
        <v>226800</v>
      </c>
      <c r="T1218" s="806">
        <v>481000</v>
      </c>
      <c r="U1218" s="806">
        <v>182300</v>
      </c>
      <c r="V1218" s="806">
        <v>0</v>
      </c>
      <c r="W1218" s="806">
        <v>787200</v>
      </c>
      <c r="X1218" s="806">
        <v>988200</v>
      </c>
      <c r="Y1218" s="806">
        <v>1294000</v>
      </c>
      <c r="Z1218" s="806"/>
      <c r="AA1218" s="806"/>
      <c r="AB1218" s="806"/>
      <c r="AC1218" s="806"/>
      <c r="AD1218" s="1171">
        <f t="shared" si="94"/>
        <v>7892900</v>
      </c>
      <c r="AE1218" s="980">
        <f t="shared" si="95"/>
        <v>1</v>
      </c>
      <c r="AF1218" s="981">
        <f t="shared" si="96"/>
        <v>50</v>
      </c>
    </row>
    <row r="1219" spans="1:32" x14ac:dyDescent="0.3">
      <c r="A1219" s="353" t="s">
        <v>1404</v>
      </c>
      <c r="B1219" s="979" t="s">
        <v>2398</v>
      </c>
      <c r="C1219" s="805"/>
      <c r="D1219" s="806" t="s">
        <v>251</v>
      </c>
      <c r="E1219" s="806"/>
      <c r="F1219" s="806"/>
      <c r="G1219" s="806" t="s">
        <v>251</v>
      </c>
      <c r="H1219" s="806" t="s">
        <v>251</v>
      </c>
      <c r="I1219" s="806" t="s">
        <v>251</v>
      </c>
      <c r="J1219" s="806"/>
      <c r="K1219" s="806"/>
      <c r="L1219" s="806"/>
      <c r="M1219" s="806"/>
      <c r="N1219" s="806"/>
      <c r="O1219" s="806">
        <v>46000</v>
      </c>
      <c r="P1219" s="1497">
        <f t="shared" si="99"/>
        <v>0</v>
      </c>
      <c r="Q1219" s="1171">
        <f t="shared" si="98"/>
        <v>46000</v>
      </c>
      <c r="R1219" s="805"/>
      <c r="S1219" s="806"/>
      <c r="T1219" s="806"/>
      <c r="U1219" s="806"/>
      <c r="V1219" s="806"/>
      <c r="W1219" s="806"/>
      <c r="X1219" s="806"/>
      <c r="Y1219" s="806"/>
      <c r="Z1219" s="806"/>
      <c r="AA1219" s="806"/>
      <c r="AB1219" s="806"/>
      <c r="AC1219" s="806"/>
      <c r="AD1219" s="1171">
        <f t="shared" si="94"/>
        <v>0</v>
      </c>
      <c r="AE1219" s="980">
        <f t="shared" si="95"/>
        <v>0</v>
      </c>
      <c r="AF1219" s="981">
        <f t="shared" si="96"/>
        <v>983</v>
      </c>
    </row>
    <row r="1220" spans="1:32" x14ac:dyDescent="0.3">
      <c r="A1220" s="353" t="s">
        <v>1404</v>
      </c>
      <c r="B1220" s="979" t="s">
        <v>2502</v>
      </c>
      <c r="C1220" s="805"/>
      <c r="D1220" s="806"/>
      <c r="E1220" s="806"/>
      <c r="F1220" s="806"/>
      <c r="G1220" s="806"/>
      <c r="H1220" s="806"/>
      <c r="I1220" s="806"/>
      <c r="J1220" s="806"/>
      <c r="K1220" s="806"/>
      <c r="L1220" s="806"/>
      <c r="M1220" s="806"/>
      <c r="N1220" s="806"/>
      <c r="O1220" s="806"/>
      <c r="P1220" s="1497">
        <f t="shared" si="99"/>
        <v>0</v>
      </c>
      <c r="Q1220" s="1171">
        <f t="shared" si="98"/>
        <v>0</v>
      </c>
      <c r="R1220" s="805">
        <v>1037800</v>
      </c>
      <c r="S1220" s="806">
        <v>106000</v>
      </c>
      <c r="T1220" s="806">
        <v>0</v>
      </c>
      <c r="U1220" s="806">
        <v>0</v>
      </c>
      <c r="V1220" s="806">
        <v>0</v>
      </c>
      <c r="W1220" s="806">
        <v>15600</v>
      </c>
      <c r="X1220" s="806">
        <v>0</v>
      </c>
      <c r="Y1220" s="806">
        <v>0</v>
      </c>
      <c r="Z1220" s="806"/>
      <c r="AA1220" s="806"/>
      <c r="AB1220" s="806"/>
      <c r="AC1220" s="806"/>
      <c r="AD1220" s="1171">
        <f t="shared" si="94"/>
        <v>1159400</v>
      </c>
      <c r="AE1220" s="980">
        <f t="shared" si="95"/>
        <v>1</v>
      </c>
      <c r="AF1220" s="981">
        <f t="shared" si="96"/>
        <v>292</v>
      </c>
    </row>
    <row r="1221" spans="1:32" x14ac:dyDescent="0.3">
      <c r="A1221" s="353" t="s">
        <v>1404</v>
      </c>
      <c r="B1221" s="979" t="s">
        <v>2503</v>
      </c>
      <c r="C1221" s="805"/>
      <c r="D1221" s="806"/>
      <c r="E1221" s="806"/>
      <c r="F1221" s="806"/>
      <c r="G1221" s="806"/>
      <c r="H1221" s="806"/>
      <c r="I1221" s="806"/>
      <c r="J1221" s="806"/>
      <c r="K1221" s="806"/>
      <c r="L1221" s="806"/>
      <c r="M1221" s="806"/>
      <c r="N1221" s="806"/>
      <c r="O1221" s="806"/>
      <c r="P1221" s="1497">
        <f t="shared" si="99"/>
        <v>0</v>
      </c>
      <c r="Q1221" s="1171">
        <f t="shared" si="98"/>
        <v>0</v>
      </c>
      <c r="R1221" s="805">
        <v>330200</v>
      </c>
      <c r="S1221" s="806">
        <v>33000</v>
      </c>
      <c r="T1221" s="806">
        <v>0</v>
      </c>
      <c r="U1221" s="806">
        <v>0</v>
      </c>
      <c r="V1221" s="806">
        <v>0</v>
      </c>
      <c r="W1221" s="806">
        <v>0</v>
      </c>
      <c r="X1221" s="806">
        <v>0</v>
      </c>
      <c r="Y1221" s="806">
        <v>0</v>
      </c>
      <c r="Z1221" s="806"/>
      <c r="AA1221" s="806"/>
      <c r="AB1221" s="806"/>
      <c r="AC1221" s="806"/>
      <c r="AD1221" s="1171">
        <f t="shared" si="94"/>
        <v>363200</v>
      </c>
      <c r="AE1221" s="980">
        <f t="shared" si="95"/>
        <v>1</v>
      </c>
      <c r="AF1221" s="981">
        <f t="shared" si="96"/>
        <v>497</v>
      </c>
    </row>
    <row r="1222" spans="1:32" x14ac:dyDescent="0.3">
      <c r="A1222" s="353" t="s">
        <v>1404</v>
      </c>
      <c r="B1222" s="979" t="s">
        <v>2504</v>
      </c>
      <c r="C1222" s="805"/>
      <c r="D1222" s="806"/>
      <c r="E1222" s="806"/>
      <c r="F1222" s="806"/>
      <c r="G1222" s="806"/>
      <c r="H1222" s="806"/>
      <c r="I1222" s="806"/>
      <c r="J1222" s="806"/>
      <c r="K1222" s="806"/>
      <c r="L1222" s="806"/>
      <c r="M1222" s="806"/>
      <c r="N1222" s="806"/>
      <c r="O1222" s="806"/>
      <c r="P1222" s="1497">
        <f t="shared" si="99"/>
        <v>0</v>
      </c>
      <c r="Q1222" s="1171">
        <f t="shared" si="98"/>
        <v>0</v>
      </c>
      <c r="R1222" s="805">
        <v>230200</v>
      </c>
      <c r="S1222" s="806">
        <v>33000</v>
      </c>
      <c r="T1222" s="806">
        <v>0</v>
      </c>
      <c r="U1222" s="806">
        <v>0</v>
      </c>
      <c r="V1222" s="806">
        <v>0</v>
      </c>
      <c r="W1222" s="806">
        <v>0</v>
      </c>
      <c r="X1222" s="806">
        <v>0</v>
      </c>
      <c r="Y1222" s="806">
        <v>0</v>
      </c>
      <c r="Z1222" s="806"/>
      <c r="AA1222" s="806"/>
      <c r="AB1222" s="806"/>
      <c r="AC1222" s="806"/>
      <c r="AD1222" s="1171">
        <f t="shared" si="94"/>
        <v>263200</v>
      </c>
      <c r="AE1222" s="980">
        <f t="shared" si="95"/>
        <v>1</v>
      </c>
      <c r="AF1222" s="981">
        <f t="shared" ref="AF1222:AF1285" si="100">IFERROR(_xlfn.RANK.EQ(AD1222, $AD$2:$AD$2064), "")</f>
        <v>554</v>
      </c>
    </row>
    <row r="1223" spans="1:32" x14ac:dyDescent="0.3">
      <c r="A1223" s="353" t="s">
        <v>1404</v>
      </c>
      <c r="B1223" s="979" t="s">
        <v>1298</v>
      </c>
      <c r="C1223" s="805"/>
      <c r="D1223" s="806"/>
      <c r="E1223" s="806"/>
      <c r="F1223" s="806"/>
      <c r="G1223" s="806"/>
      <c r="H1223" s="806"/>
      <c r="I1223" s="806"/>
      <c r="J1223" s="806"/>
      <c r="K1223" s="806"/>
      <c r="L1223" s="806"/>
      <c r="M1223" s="806"/>
      <c r="N1223" s="806"/>
      <c r="O1223" s="806"/>
      <c r="P1223" s="1497">
        <f t="shared" si="99"/>
        <v>0</v>
      </c>
      <c r="Q1223" s="1171">
        <f t="shared" si="98"/>
        <v>0</v>
      </c>
      <c r="R1223" s="805">
        <v>229200</v>
      </c>
      <c r="S1223" s="806">
        <v>175400</v>
      </c>
      <c r="T1223" s="806">
        <v>0</v>
      </c>
      <c r="U1223" s="806">
        <v>0</v>
      </c>
      <c r="V1223" s="806">
        <v>0</v>
      </c>
      <c r="W1223" s="806">
        <v>0</v>
      </c>
      <c r="X1223" s="806">
        <v>0</v>
      </c>
      <c r="Y1223" s="806">
        <v>0</v>
      </c>
      <c r="Z1223" s="806"/>
      <c r="AA1223" s="806"/>
      <c r="AB1223" s="806"/>
      <c r="AC1223" s="806"/>
      <c r="AD1223" s="1171">
        <f t="shared" si="94"/>
        <v>404600</v>
      </c>
      <c r="AE1223" s="980">
        <f t="shared" si="95"/>
        <v>1</v>
      </c>
      <c r="AF1223" s="981">
        <f t="shared" si="100"/>
        <v>479</v>
      </c>
    </row>
    <row r="1224" spans="1:32" x14ac:dyDescent="0.3">
      <c r="A1224" s="355" t="s">
        <v>1406</v>
      </c>
      <c r="B1224" s="982" t="s">
        <v>1407</v>
      </c>
      <c r="C1224" s="807"/>
      <c r="D1224" s="808">
        <v>0</v>
      </c>
      <c r="E1224" s="808">
        <v>79800</v>
      </c>
      <c r="F1224" s="808">
        <v>88800</v>
      </c>
      <c r="G1224" s="808">
        <v>35400</v>
      </c>
      <c r="H1224" s="808">
        <v>14600</v>
      </c>
      <c r="I1224" s="808">
        <v>307800</v>
      </c>
      <c r="J1224" s="808">
        <v>48600</v>
      </c>
      <c r="K1224" s="808">
        <v>48600</v>
      </c>
      <c r="L1224" s="808">
        <v>0</v>
      </c>
      <c r="M1224" s="808">
        <v>0</v>
      </c>
      <c r="N1224" s="808">
        <v>0</v>
      </c>
      <c r="O1224" s="808">
        <v>43800</v>
      </c>
      <c r="P1224" s="1497">
        <f t="shared" si="99"/>
        <v>575000</v>
      </c>
      <c r="Q1224" s="1172">
        <f t="shared" si="98"/>
        <v>618800</v>
      </c>
      <c r="R1224" s="807">
        <v>64000</v>
      </c>
      <c r="S1224" s="808"/>
      <c r="T1224" s="808">
        <v>61600</v>
      </c>
      <c r="U1224" s="808">
        <v>61600</v>
      </c>
      <c r="V1224" s="808">
        <v>0</v>
      </c>
      <c r="W1224" s="808">
        <v>0</v>
      </c>
      <c r="X1224" s="808">
        <v>0</v>
      </c>
      <c r="Y1224" s="808">
        <v>0</v>
      </c>
      <c r="Z1224" s="808"/>
      <c r="AA1224" s="808"/>
      <c r="AB1224" s="808"/>
      <c r="AC1224" s="808"/>
      <c r="AD1224" s="1172">
        <f t="shared" ref="AD1224:AD1290" si="101">SUM(R1224:AC1224)</f>
        <v>187200</v>
      </c>
      <c r="AE1224" s="983">
        <f t="shared" ref="AE1224:AE1290" si="102">IF(OR(AD1224="", P1224=""), 0, IFERROR((AD1224-P1224)/P1224, IF(AD1224&lt;&gt;0, 1, 0)))</f>
        <v>-0.6744347826086956</v>
      </c>
      <c r="AF1224" s="984">
        <f t="shared" si="100"/>
        <v>624</v>
      </c>
    </row>
    <row r="1225" spans="1:32" x14ac:dyDescent="0.3">
      <c r="A1225" s="355" t="s">
        <v>1406</v>
      </c>
      <c r="B1225" s="982" t="s">
        <v>1408</v>
      </c>
      <c r="C1225" s="807"/>
      <c r="D1225" s="808">
        <v>0</v>
      </c>
      <c r="E1225" s="808"/>
      <c r="F1225" s="808">
        <v>0</v>
      </c>
      <c r="G1225" s="808">
        <v>122450</v>
      </c>
      <c r="H1225" s="808">
        <v>429100</v>
      </c>
      <c r="I1225" s="808">
        <v>332600</v>
      </c>
      <c r="J1225" s="808">
        <v>0</v>
      </c>
      <c r="K1225" s="808">
        <v>0</v>
      </c>
      <c r="L1225" s="808">
        <v>0</v>
      </c>
      <c r="M1225" s="808">
        <v>0</v>
      </c>
      <c r="N1225" s="808">
        <v>1046850</v>
      </c>
      <c r="O1225" s="808">
        <v>130250</v>
      </c>
      <c r="P1225" s="1497">
        <f t="shared" si="99"/>
        <v>884150</v>
      </c>
      <c r="Q1225" s="1172">
        <f t="shared" si="98"/>
        <v>2061250</v>
      </c>
      <c r="R1225" s="807">
        <v>86100</v>
      </c>
      <c r="S1225" s="808">
        <v>161800</v>
      </c>
      <c r="T1225" s="808">
        <v>167400</v>
      </c>
      <c r="U1225" s="808">
        <v>0</v>
      </c>
      <c r="V1225" s="808">
        <v>342400</v>
      </c>
      <c r="W1225" s="808">
        <v>546350</v>
      </c>
      <c r="X1225" s="808">
        <v>330750</v>
      </c>
      <c r="Y1225" s="808">
        <v>0</v>
      </c>
      <c r="Z1225" s="808"/>
      <c r="AA1225" s="808"/>
      <c r="AB1225" s="808"/>
      <c r="AC1225" s="808"/>
      <c r="AD1225" s="1172">
        <f t="shared" si="101"/>
        <v>1634800</v>
      </c>
      <c r="AE1225" s="983">
        <f t="shared" si="102"/>
        <v>0.84900752134818758</v>
      </c>
      <c r="AF1225" s="984">
        <f t="shared" si="100"/>
        <v>238</v>
      </c>
    </row>
    <row r="1226" spans="1:32" x14ac:dyDescent="0.3">
      <c r="A1226" s="355" t="s">
        <v>1406</v>
      </c>
      <c r="B1226" s="982" t="s">
        <v>1409</v>
      </c>
      <c r="C1226" s="807"/>
      <c r="D1226" s="808">
        <v>0</v>
      </c>
      <c r="E1226" s="808">
        <v>18800</v>
      </c>
      <c r="F1226" s="808">
        <v>0</v>
      </c>
      <c r="G1226" s="808">
        <v>0</v>
      </c>
      <c r="H1226" s="808">
        <v>0</v>
      </c>
      <c r="I1226" s="808">
        <v>0</v>
      </c>
      <c r="J1226" s="808">
        <v>0</v>
      </c>
      <c r="K1226" s="808">
        <v>0</v>
      </c>
      <c r="L1226" s="808">
        <v>0</v>
      </c>
      <c r="M1226" s="808">
        <v>0</v>
      </c>
      <c r="N1226" s="808">
        <v>0</v>
      </c>
      <c r="O1226" s="808" t="s">
        <v>251</v>
      </c>
      <c r="P1226" s="1497">
        <f t="shared" si="99"/>
        <v>18800</v>
      </c>
      <c r="Q1226" s="1172">
        <f t="shared" si="98"/>
        <v>18800</v>
      </c>
      <c r="R1226" s="807"/>
      <c r="S1226" s="808"/>
      <c r="T1226" s="808"/>
      <c r="U1226" s="808"/>
      <c r="V1226" s="808"/>
      <c r="W1226" s="808"/>
      <c r="X1226" s="808"/>
      <c r="Y1226" s="808"/>
      <c r="Z1226" s="808"/>
      <c r="AA1226" s="808"/>
      <c r="AB1226" s="808"/>
      <c r="AC1226" s="808"/>
      <c r="AD1226" s="1172">
        <f t="shared" si="101"/>
        <v>0</v>
      </c>
      <c r="AE1226" s="983">
        <f t="shared" si="102"/>
        <v>-1</v>
      </c>
      <c r="AF1226" s="984">
        <f t="shared" si="100"/>
        <v>983</v>
      </c>
    </row>
    <row r="1227" spans="1:32" x14ac:dyDescent="0.3">
      <c r="A1227" s="355" t="s">
        <v>1406</v>
      </c>
      <c r="B1227" s="982" t="s">
        <v>1410</v>
      </c>
      <c r="C1227" s="807"/>
      <c r="D1227" s="808">
        <v>11000</v>
      </c>
      <c r="E1227" s="808"/>
      <c r="F1227" s="808">
        <v>0</v>
      </c>
      <c r="G1227" s="808">
        <v>0</v>
      </c>
      <c r="H1227" s="808">
        <v>0</v>
      </c>
      <c r="I1227" s="808">
        <v>0</v>
      </c>
      <c r="J1227" s="808">
        <v>0</v>
      </c>
      <c r="K1227" s="808">
        <v>0</v>
      </c>
      <c r="L1227" s="808">
        <v>0</v>
      </c>
      <c r="M1227" s="808">
        <v>0</v>
      </c>
      <c r="N1227" s="808">
        <v>0</v>
      </c>
      <c r="O1227" s="808" t="s">
        <v>251</v>
      </c>
      <c r="P1227" s="1497">
        <f t="shared" si="99"/>
        <v>11000</v>
      </c>
      <c r="Q1227" s="1172">
        <f t="shared" si="98"/>
        <v>11000</v>
      </c>
      <c r="R1227" s="807"/>
      <c r="S1227" s="808"/>
      <c r="T1227" s="808"/>
      <c r="U1227" s="808"/>
      <c r="V1227" s="808"/>
      <c r="W1227" s="808"/>
      <c r="X1227" s="808"/>
      <c r="Y1227" s="808"/>
      <c r="Z1227" s="808"/>
      <c r="AA1227" s="808"/>
      <c r="AB1227" s="808"/>
      <c r="AC1227" s="808"/>
      <c r="AD1227" s="1172">
        <f t="shared" si="101"/>
        <v>0</v>
      </c>
      <c r="AE1227" s="983">
        <f t="shared" si="102"/>
        <v>-1</v>
      </c>
      <c r="AF1227" s="984">
        <f t="shared" si="100"/>
        <v>983</v>
      </c>
    </row>
    <row r="1228" spans="1:32" x14ac:dyDescent="0.3">
      <c r="A1228" s="355" t="s">
        <v>1406</v>
      </c>
      <c r="B1228" s="982" t="s">
        <v>1541</v>
      </c>
      <c r="C1228" s="807"/>
      <c r="D1228" s="808"/>
      <c r="E1228" s="808"/>
      <c r="F1228" s="808"/>
      <c r="G1228" s="808"/>
      <c r="H1228" s="808"/>
      <c r="I1228" s="808"/>
      <c r="J1228" s="808"/>
      <c r="K1228" s="808"/>
      <c r="L1228" s="808"/>
      <c r="M1228" s="808"/>
      <c r="N1228" s="808"/>
      <c r="O1228" s="808"/>
      <c r="P1228" s="1497">
        <f t="shared" si="99"/>
        <v>0</v>
      </c>
      <c r="Q1228" s="1172">
        <f t="shared" si="98"/>
        <v>0</v>
      </c>
      <c r="R1228" s="807"/>
      <c r="S1228" s="808"/>
      <c r="T1228" s="808"/>
      <c r="U1228" s="808">
        <v>72900</v>
      </c>
      <c r="V1228" s="808">
        <v>0</v>
      </c>
      <c r="W1228" s="808">
        <v>0</v>
      </c>
      <c r="X1228" s="808">
        <v>0</v>
      </c>
      <c r="Y1228" s="808">
        <v>0</v>
      </c>
      <c r="Z1228" s="808"/>
      <c r="AA1228" s="808"/>
      <c r="AB1228" s="808"/>
      <c r="AC1228" s="808"/>
      <c r="AD1228" s="1172">
        <f t="shared" si="101"/>
        <v>72900</v>
      </c>
      <c r="AE1228" s="983">
        <f t="shared" si="102"/>
        <v>1</v>
      </c>
      <c r="AF1228" s="984">
        <f t="shared" si="100"/>
        <v>793</v>
      </c>
    </row>
    <row r="1229" spans="1:32" x14ac:dyDescent="0.3">
      <c r="A1229" s="355" t="s">
        <v>1406</v>
      </c>
      <c r="B1229" s="982" t="s">
        <v>2621</v>
      </c>
      <c r="C1229" s="807"/>
      <c r="D1229" s="808"/>
      <c r="E1229" s="808"/>
      <c r="F1229" s="808"/>
      <c r="G1229" s="808"/>
      <c r="H1229" s="808"/>
      <c r="I1229" s="808"/>
      <c r="J1229" s="808"/>
      <c r="K1229" s="808"/>
      <c r="L1229" s="808"/>
      <c r="M1229" s="808"/>
      <c r="N1229" s="808"/>
      <c r="O1229" s="808"/>
      <c r="P1229" s="1497">
        <f t="shared" si="99"/>
        <v>0</v>
      </c>
      <c r="Q1229" s="1172">
        <f t="shared" si="98"/>
        <v>0</v>
      </c>
      <c r="R1229" s="807"/>
      <c r="S1229" s="808"/>
      <c r="T1229" s="808"/>
      <c r="U1229" s="808"/>
      <c r="V1229" s="808"/>
      <c r="W1229" s="808">
        <v>138600</v>
      </c>
      <c r="X1229" s="808">
        <v>0</v>
      </c>
      <c r="Y1229" s="808">
        <v>0</v>
      </c>
      <c r="Z1229" s="808"/>
      <c r="AA1229" s="808"/>
      <c r="AB1229" s="808"/>
      <c r="AC1229" s="808"/>
      <c r="AD1229" s="1172">
        <f t="shared" si="101"/>
        <v>138600</v>
      </c>
      <c r="AE1229" s="983">
        <f t="shared" si="102"/>
        <v>1</v>
      </c>
      <c r="AF1229" s="984">
        <f t="shared" si="100"/>
        <v>685</v>
      </c>
    </row>
    <row r="1230" spans="1:32" x14ac:dyDescent="0.3">
      <c r="A1230" s="357" t="s">
        <v>954</v>
      </c>
      <c r="B1230" s="985" t="s">
        <v>980</v>
      </c>
      <c r="C1230" s="809">
        <v>60600</v>
      </c>
      <c r="D1230" s="810">
        <v>73200</v>
      </c>
      <c r="E1230" s="810"/>
      <c r="F1230" s="810">
        <v>0</v>
      </c>
      <c r="G1230" s="810">
        <v>233400</v>
      </c>
      <c r="H1230" s="810">
        <v>52200</v>
      </c>
      <c r="I1230" s="810">
        <v>89600</v>
      </c>
      <c r="J1230" s="810">
        <v>182200</v>
      </c>
      <c r="K1230" s="810">
        <v>182200</v>
      </c>
      <c r="L1230" s="810">
        <v>0</v>
      </c>
      <c r="M1230" s="810">
        <v>50400</v>
      </c>
      <c r="N1230" s="810">
        <v>128600</v>
      </c>
      <c r="O1230" s="810">
        <v>171800</v>
      </c>
      <c r="P1230" s="1497">
        <f t="shared" si="99"/>
        <v>691200</v>
      </c>
      <c r="Q1230" s="1173">
        <f t="shared" si="98"/>
        <v>1042000</v>
      </c>
      <c r="R1230" s="809">
        <v>428000</v>
      </c>
      <c r="S1230" s="810">
        <v>83200</v>
      </c>
      <c r="T1230" s="810">
        <v>61800</v>
      </c>
      <c r="U1230" s="810">
        <v>42800</v>
      </c>
      <c r="V1230" s="810">
        <v>163400</v>
      </c>
      <c r="W1230" s="810">
        <v>156400</v>
      </c>
      <c r="X1230" s="810">
        <v>80400</v>
      </c>
      <c r="Y1230" s="810">
        <v>169200</v>
      </c>
      <c r="Z1230" s="810"/>
      <c r="AA1230" s="810"/>
      <c r="AB1230" s="810"/>
      <c r="AC1230" s="810"/>
      <c r="AD1230" s="1173">
        <f t="shared" si="101"/>
        <v>1185200</v>
      </c>
      <c r="AE1230" s="986">
        <f t="shared" si="102"/>
        <v>0.71469907407407407</v>
      </c>
      <c r="AF1230" s="987">
        <f t="shared" si="100"/>
        <v>287</v>
      </c>
    </row>
    <row r="1231" spans="1:32" x14ac:dyDescent="0.3">
      <c r="A1231" s="359" t="s">
        <v>1444</v>
      </c>
      <c r="B1231" s="988" t="s">
        <v>1445</v>
      </c>
      <c r="C1231" s="811">
        <v>172400</v>
      </c>
      <c r="D1231" s="812">
        <v>0</v>
      </c>
      <c r="E1231" s="812"/>
      <c r="F1231" s="812">
        <v>0</v>
      </c>
      <c r="G1231" s="812">
        <v>0</v>
      </c>
      <c r="H1231" s="812">
        <v>0</v>
      </c>
      <c r="I1231" s="812">
        <v>750100</v>
      </c>
      <c r="J1231" s="812">
        <v>0</v>
      </c>
      <c r="K1231" s="812">
        <v>0</v>
      </c>
      <c r="L1231" s="812">
        <v>0</v>
      </c>
      <c r="M1231" s="812">
        <v>0</v>
      </c>
      <c r="N1231" s="812">
        <v>0</v>
      </c>
      <c r="O1231" s="812" t="s">
        <v>251</v>
      </c>
      <c r="P1231" s="1497">
        <f t="shared" si="99"/>
        <v>922500</v>
      </c>
      <c r="Q1231" s="1174">
        <f t="shared" si="98"/>
        <v>922500</v>
      </c>
      <c r="R1231" s="811"/>
      <c r="S1231" s="812"/>
      <c r="T1231" s="812"/>
      <c r="U1231" s="812"/>
      <c r="V1231" s="812"/>
      <c r="W1231" s="812"/>
      <c r="X1231" s="812"/>
      <c r="Y1231" s="812"/>
      <c r="Z1231" s="812"/>
      <c r="AA1231" s="812"/>
      <c r="AB1231" s="812"/>
      <c r="AC1231" s="812"/>
      <c r="AD1231" s="1174">
        <f t="shared" si="101"/>
        <v>0</v>
      </c>
      <c r="AE1231" s="989">
        <f t="shared" si="102"/>
        <v>-1</v>
      </c>
      <c r="AF1231" s="990">
        <f t="shared" si="100"/>
        <v>983</v>
      </c>
    </row>
    <row r="1232" spans="1:32" x14ac:dyDescent="0.3">
      <c r="A1232" s="359" t="s">
        <v>1444</v>
      </c>
      <c r="B1232" s="988" t="s">
        <v>1446</v>
      </c>
      <c r="C1232" s="811">
        <v>151000</v>
      </c>
      <c r="D1232" s="812">
        <v>0</v>
      </c>
      <c r="E1232" s="812"/>
      <c r="F1232" s="812">
        <v>0</v>
      </c>
      <c r="G1232" s="812">
        <v>0</v>
      </c>
      <c r="H1232" s="812">
        <v>0</v>
      </c>
      <c r="I1232" s="812">
        <v>0</v>
      </c>
      <c r="J1232" s="812">
        <v>0</v>
      </c>
      <c r="K1232" s="812">
        <v>0</v>
      </c>
      <c r="L1232" s="812">
        <v>0</v>
      </c>
      <c r="M1232" s="812">
        <v>0</v>
      </c>
      <c r="N1232" s="812">
        <v>0</v>
      </c>
      <c r="O1232" s="812" t="s">
        <v>251</v>
      </c>
      <c r="P1232" s="1497">
        <f t="shared" si="99"/>
        <v>151000</v>
      </c>
      <c r="Q1232" s="1174">
        <f t="shared" si="98"/>
        <v>151000</v>
      </c>
      <c r="R1232" s="811"/>
      <c r="S1232" s="812"/>
      <c r="T1232" s="812"/>
      <c r="U1232" s="812"/>
      <c r="V1232" s="812"/>
      <c r="W1232" s="812"/>
      <c r="X1232" s="812"/>
      <c r="Y1232" s="812"/>
      <c r="Z1232" s="812"/>
      <c r="AA1232" s="812"/>
      <c r="AB1232" s="812"/>
      <c r="AC1232" s="812"/>
      <c r="AD1232" s="1174">
        <f t="shared" si="101"/>
        <v>0</v>
      </c>
      <c r="AE1232" s="989">
        <f t="shared" si="102"/>
        <v>-1</v>
      </c>
      <c r="AF1232" s="990">
        <f t="shared" si="100"/>
        <v>983</v>
      </c>
    </row>
    <row r="1233" spans="1:32" x14ac:dyDescent="0.3">
      <c r="A1233" s="359" t="s">
        <v>1444</v>
      </c>
      <c r="B1233" s="988" t="s">
        <v>883</v>
      </c>
      <c r="C1233" s="811"/>
      <c r="D1233" s="812" t="s">
        <v>251</v>
      </c>
      <c r="E1233" s="812"/>
      <c r="F1233" s="812" t="s">
        <v>251</v>
      </c>
      <c r="G1233" s="812" t="s">
        <v>251</v>
      </c>
      <c r="H1233" s="812" t="s">
        <v>251</v>
      </c>
      <c r="I1233" s="812" t="s">
        <v>251</v>
      </c>
      <c r="J1233" s="812" t="s">
        <v>251</v>
      </c>
      <c r="K1233" s="812"/>
      <c r="L1233" s="812" t="s">
        <v>251</v>
      </c>
      <c r="M1233" s="812" t="s">
        <v>251</v>
      </c>
      <c r="N1233" s="812" t="s">
        <v>251</v>
      </c>
      <c r="O1233" s="812" t="s">
        <v>251</v>
      </c>
      <c r="P1233" s="1497">
        <f t="shared" si="99"/>
        <v>0</v>
      </c>
      <c r="Q1233" s="1174">
        <f t="shared" si="98"/>
        <v>0</v>
      </c>
      <c r="R1233" s="811"/>
      <c r="S1233" s="812"/>
      <c r="T1233" s="812"/>
      <c r="U1233" s="812"/>
      <c r="V1233" s="812"/>
      <c r="W1233" s="812"/>
      <c r="X1233" s="812"/>
      <c r="Y1233" s="812"/>
      <c r="Z1233" s="812"/>
      <c r="AA1233" s="812"/>
      <c r="AB1233" s="812"/>
      <c r="AC1233" s="812"/>
      <c r="AD1233" s="1174">
        <f t="shared" si="101"/>
        <v>0</v>
      </c>
      <c r="AE1233" s="989">
        <f t="shared" si="102"/>
        <v>0</v>
      </c>
      <c r="AF1233" s="990">
        <f t="shared" si="100"/>
        <v>983</v>
      </c>
    </row>
    <row r="1234" spans="1:32" x14ac:dyDescent="0.3">
      <c r="A1234" s="359" t="s">
        <v>1444</v>
      </c>
      <c r="B1234" s="988" t="s">
        <v>1447</v>
      </c>
      <c r="C1234" s="811"/>
      <c r="D1234" s="812" t="s">
        <v>251</v>
      </c>
      <c r="E1234" s="812"/>
      <c r="F1234" s="812" t="s">
        <v>251</v>
      </c>
      <c r="G1234" s="812" t="s">
        <v>251</v>
      </c>
      <c r="H1234" s="812" t="s">
        <v>251</v>
      </c>
      <c r="I1234" s="812" t="s">
        <v>251</v>
      </c>
      <c r="J1234" s="812" t="s">
        <v>251</v>
      </c>
      <c r="K1234" s="812"/>
      <c r="L1234" s="812" t="s">
        <v>251</v>
      </c>
      <c r="M1234" s="812" t="s">
        <v>251</v>
      </c>
      <c r="N1234" s="812" t="s">
        <v>251</v>
      </c>
      <c r="O1234" s="812" t="s">
        <v>251</v>
      </c>
      <c r="P1234" s="1497">
        <f t="shared" si="99"/>
        <v>0</v>
      </c>
      <c r="Q1234" s="1174">
        <f t="shared" si="98"/>
        <v>0</v>
      </c>
      <c r="R1234" s="811"/>
      <c r="S1234" s="812"/>
      <c r="T1234" s="812"/>
      <c r="U1234" s="812"/>
      <c r="V1234" s="812"/>
      <c r="W1234" s="812"/>
      <c r="X1234" s="812"/>
      <c r="Y1234" s="812"/>
      <c r="Z1234" s="812"/>
      <c r="AA1234" s="812"/>
      <c r="AB1234" s="812"/>
      <c r="AC1234" s="812"/>
      <c r="AD1234" s="1174">
        <f t="shared" si="101"/>
        <v>0</v>
      </c>
      <c r="AE1234" s="989">
        <f t="shared" si="102"/>
        <v>0</v>
      </c>
      <c r="AF1234" s="990">
        <f t="shared" si="100"/>
        <v>983</v>
      </c>
    </row>
    <row r="1235" spans="1:32" x14ac:dyDescent="0.3">
      <c r="A1235" s="359" t="s">
        <v>1444</v>
      </c>
      <c r="B1235" s="988" t="s">
        <v>1179</v>
      </c>
      <c r="C1235" s="811"/>
      <c r="D1235" s="812" t="s">
        <v>251</v>
      </c>
      <c r="E1235" s="812"/>
      <c r="F1235" s="812" t="s">
        <v>251</v>
      </c>
      <c r="G1235" s="812" t="s">
        <v>251</v>
      </c>
      <c r="H1235" s="812" t="s">
        <v>251</v>
      </c>
      <c r="I1235" s="812" t="s">
        <v>251</v>
      </c>
      <c r="J1235" s="812" t="s">
        <v>251</v>
      </c>
      <c r="K1235" s="812"/>
      <c r="L1235" s="812" t="s">
        <v>251</v>
      </c>
      <c r="M1235" s="812" t="s">
        <v>251</v>
      </c>
      <c r="N1235" s="812" t="s">
        <v>251</v>
      </c>
      <c r="O1235" s="812" t="s">
        <v>251</v>
      </c>
      <c r="P1235" s="1497">
        <f t="shared" si="99"/>
        <v>0</v>
      </c>
      <c r="Q1235" s="1174">
        <f t="shared" si="98"/>
        <v>0</v>
      </c>
      <c r="R1235" s="811"/>
      <c r="S1235" s="812"/>
      <c r="T1235" s="812"/>
      <c r="U1235" s="812"/>
      <c r="V1235" s="812"/>
      <c r="W1235" s="812"/>
      <c r="X1235" s="812"/>
      <c r="Y1235" s="812"/>
      <c r="Z1235" s="812"/>
      <c r="AA1235" s="812"/>
      <c r="AB1235" s="812"/>
      <c r="AC1235" s="812"/>
      <c r="AD1235" s="1174">
        <f t="shared" si="101"/>
        <v>0</v>
      </c>
      <c r="AE1235" s="989">
        <f t="shared" si="102"/>
        <v>0</v>
      </c>
      <c r="AF1235" s="990">
        <f t="shared" si="100"/>
        <v>983</v>
      </c>
    </row>
    <row r="1236" spans="1:32" x14ac:dyDescent="0.3">
      <c r="A1236" s="359" t="s">
        <v>1444</v>
      </c>
      <c r="B1236" s="988" t="s">
        <v>1323</v>
      </c>
      <c r="C1236" s="811"/>
      <c r="D1236" s="812" t="s">
        <v>251</v>
      </c>
      <c r="E1236" s="812"/>
      <c r="F1236" s="812" t="s">
        <v>251</v>
      </c>
      <c r="G1236" s="812" t="s">
        <v>251</v>
      </c>
      <c r="H1236" s="812" t="s">
        <v>251</v>
      </c>
      <c r="I1236" s="812" t="s">
        <v>251</v>
      </c>
      <c r="J1236" s="812" t="s">
        <v>251</v>
      </c>
      <c r="K1236" s="812"/>
      <c r="L1236" s="812" t="s">
        <v>251</v>
      </c>
      <c r="M1236" s="812" t="s">
        <v>251</v>
      </c>
      <c r="N1236" s="812" t="s">
        <v>251</v>
      </c>
      <c r="O1236" s="812" t="s">
        <v>251</v>
      </c>
      <c r="P1236" s="1497">
        <f t="shared" si="99"/>
        <v>0</v>
      </c>
      <c r="Q1236" s="1174">
        <f t="shared" si="98"/>
        <v>0</v>
      </c>
      <c r="R1236" s="811"/>
      <c r="S1236" s="812"/>
      <c r="T1236" s="812"/>
      <c r="U1236" s="812"/>
      <c r="V1236" s="812"/>
      <c r="W1236" s="812"/>
      <c r="X1236" s="812"/>
      <c r="Y1236" s="812"/>
      <c r="Z1236" s="812"/>
      <c r="AA1236" s="812"/>
      <c r="AB1236" s="812"/>
      <c r="AC1236" s="812"/>
      <c r="AD1236" s="1174">
        <f t="shared" si="101"/>
        <v>0</v>
      </c>
      <c r="AE1236" s="989">
        <f t="shared" si="102"/>
        <v>0</v>
      </c>
      <c r="AF1236" s="990">
        <f t="shared" si="100"/>
        <v>983</v>
      </c>
    </row>
    <row r="1237" spans="1:32" x14ac:dyDescent="0.3">
      <c r="A1237" s="359" t="s">
        <v>1444</v>
      </c>
      <c r="B1237" s="988" t="s">
        <v>2126</v>
      </c>
      <c r="C1237" s="811"/>
      <c r="D1237" s="812" t="s">
        <v>251</v>
      </c>
      <c r="E1237" s="812"/>
      <c r="F1237" s="812" t="s">
        <v>251</v>
      </c>
      <c r="G1237" s="812" t="s">
        <v>251</v>
      </c>
      <c r="H1237" s="812" t="s">
        <v>251</v>
      </c>
      <c r="I1237" s="812" t="s">
        <v>251</v>
      </c>
      <c r="J1237" s="812" t="s">
        <v>251</v>
      </c>
      <c r="K1237" s="812"/>
      <c r="L1237" s="812" t="s">
        <v>251</v>
      </c>
      <c r="M1237" s="812" t="s">
        <v>251</v>
      </c>
      <c r="N1237" s="812" t="s">
        <v>251</v>
      </c>
      <c r="O1237" s="812" t="s">
        <v>251</v>
      </c>
      <c r="P1237" s="1497">
        <f t="shared" si="99"/>
        <v>0</v>
      </c>
      <c r="Q1237" s="1174">
        <f t="shared" si="98"/>
        <v>0</v>
      </c>
      <c r="R1237" s="811"/>
      <c r="S1237" s="812"/>
      <c r="T1237" s="812"/>
      <c r="U1237" s="812"/>
      <c r="V1237" s="812"/>
      <c r="W1237" s="812"/>
      <c r="X1237" s="812"/>
      <c r="Y1237" s="812"/>
      <c r="Z1237" s="812"/>
      <c r="AA1237" s="812"/>
      <c r="AB1237" s="812"/>
      <c r="AC1237" s="812"/>
      <c r="AD1237" s="1174">
        <f t="shared" si="101"/>
        <v>0</v>
      </c>
      <c r="AE1237" s="989">
        <f t="shared" si="102"/>
        <v>0</v>
      </c>
      <c r="AF1237" s="990">
        <f t="shared" si="100"/>
        <v>983</v>
      </c>
    </row>
    <row r="1238" spans="1:32" x14ac:dyDescent="0.3">
      <c r="A1238" s="359" t="s">
        <v>1444</v>
      </c>
      <c r="B1238" s="988" t="s">
        <v>690</v>
      </c>
      <c r="C1238" s="811"/>
      <c r="D1238" s="812" t="s">
        <v>251</v>
      </c>
      <c r="E1238" s="812"/>
      <c r="F1238" s="812" t="s">
        <v>251</v>
      </c>
      <c r="G1238" s="812" t="s">
        <v>251</v>
      </c>
      <c r="H1238" s="812" t="s">
        <v>251</v>
      </c>
      <c r="I1238" s="812" t="s">
        <v>251</v>
      </c>
      <c r="J1238" s="812" t="s">
        <v>251</v>
      </c>
      <c r="K1238" s="812"/>
      <c r="L1238" s="812" t="s">
        <v>251</v>
      </c>
      <c r="M1238" s="812" t="s">
        <v>251</v>
      </c>
      <c r="N1238" s="812" t="s">
        <v>251</v>
      </c>
      <c r="O1238" s="812" t="s">
        <v>251</v>
      </c>
      <c r="P1238" s="1497">
        <f t="shared" ref="P1238:P1301" si="103">SUM(C1238:I1238,K1238)</f>
        <v>0</v>
      </c>
      <c r="Q1238" s="1174">
        <f t="shared" ref="Q1238:Q1300" si="104">SUM(C1238:J1238,L1238:O1238)</f>
        <v>0</v>
      </c>
      <c r="R1238" s="811"/>
      <c r="S1238" s="812"/>
      <c r="T1238" s="812"/>
      <c r="U1238" s="812"/>
      <c r="V1238" s="812"/>
      <c r="W1238" s="812"/>
      <c r="X1238" s="812"/>
      <c r="Y1238" s="812"/>
      <c r="Z1238" s="812"/>
      <c r="AA1238" s="812"/>
      <c r="AB1238" s="812"/>
      <c r="AC1238" s="812"/>
      <c r="AD1238" s="1174">
        <f t="shared" si="101"/>
        <v>0</v>
      </c>
      <c r="AE1238" s="989">
        <f t="shared" si="102"/>
        <v>0</v>
      </c>
      <c r="AF1238" s="990">
        <f t="shared" si="100"/>
        <v>983</v>
      </c>
    </row>
    <row r="1239" spans="1:32" x14ac:dyDescent="0.3">
      <c r="A1239" s="359" t="s">
        <v>1444</v>
      </c>
      <c r="B1239" s="988" t="s">
        <v>1048</v>
      </c>
      <c r="C1239" s="811"/>
      <c r="D1239" s="812">
        <v>0</v>
      </c>
      <c r="E1239" s="812"/>
      <c r="F1239" s="812">
        <v>0</v>
      </c>
      <c r="G1239" s="812">
        <v>0</v>
      </c>
      <c r="H1239" s="812">
        <v>0</v>
      </c>
      <c r="I1239" s="812">
        <v>249200</v>
      </c>
      <c r="J1239" s="812">
        <v>0</v>
      </c>
      <c r="K1239" s="812">
        <v>0</v>
      </c>
      <c r="L1239" s="812">
        <v>0</v>
      </c>
      <c r="M1239" s="812">
        <v>0</v>
      </c>
      <c r="N1239" s="812">
        <v>0</v>
      </c>
      <c r="O1239" s="812" t="s">
        <v>251</v>
      </c>
      <c r="P1239" s="1497">
        <f t="shared" si="103"/>
        <v>249200</v>
      </c>
      <c r="Q1239" s="1174">
        <f t="shared" si="104"/>
        <v>249200</v>
      </c>
      <c r="R1239" s="811"/>
      <c r="S1239" s="812"/>
      <c r="T1239" s="812"/>
      <c r="U1239" s="812"/>
      <c r="V1239" s="812"/>
      <c r="W1239" s="812"/>
      <c r="X1239" s="812"/>
      <c r="Y1239" s="812"/>
      <c r="Z1239" s="812"/>
      <c r="AA1239" s="812"/>
      <c r="AB1239" s="812"/>
      <c r="AC1239" s="812"/>
      <c r="AD1239" s="1174">
        <f t="shared" si="101"/>
        <v>0</v>
      </c>
      <c r="AE1239" s="989">
        <f t="shared" si="102"/>
        <v>-1</v>
      </c>
      <c r="AF1239" s="990">
        <f t="shared" si="100"/>
        <v>983</v>
      </c>
    </row>
    <row r="1240" spans="1:32" x14ac:dyDescent="0.3">
      <c r="A1240" s="359" t="s">
        <v>1444</v>
      </c>
      <c r="B1240" s="988" t="s">
        <v>1189</v>
      </c>
      <c r="C1240" s="811"/>
      <c r="D1240" s="812"/>
      <c r="E1240" s="812"/>
      <c r="F1240" s="812"/>
      <c r="G1240" s="812"/>
      <c r="H1240" s="812"/>
      <c r="I1240" s="812"/>
      <c r="J1240" s="812"/>
      <c r="K1240" s="812"/>
      <c r="L1240" s="812"/>
      <c r="M1240" s="812"/>
      <c r="N1240" s="812"/>
      <c r="O1240" s="812"/>
      <c r="P1240" s="1497">
        <f t="shared" si="103"/>
        <v>0</v>
      </c>
      <c r="Q1240" s="1174">
        <f t="shared" si="104"/>
        <v>0</v>
      </c>
      <c r="R1240" s="811"/>
      <c r="S1240" s="812"/>
      <c r="T1240" s="812"/>
      <c r="U1240" s="812"/>
      <c r="V1240" s="812"/>
      <c r="W1240" s="812"/>
      <c r="X1240" s="812">
        <v>304000</v>
      </c>
      <c r="Y1240" s="812">
        <v>0</v>
      </c>
      <c r="Z1240" s="812"/>
      <c r="AA1240" s="812"/>
      <c r="AB1240" s="812"/>
      <c r="AC1240" s="812"/>
      <c r="AD1240" s="1174">
        <f t="shared" si="101"/>
        <v>304000</v>
      </c>
      <c r="AE1240" s="989">
        <f t="shared" si="102"/>
        <v>1</v>
      </c>
      <c r="AF1240" s="990">
        <f t="shared" si="100"/>
        <v>531</v>
      </c>
    </row>
    <row r="1241" spans="1:32" x14ac:dyDescent="0.3">
      <c r="A1241" s="341" t="s">
        <v>1448</v>
      </c>
      <c r="B1241" s="839" t="s">
        <v>1449</v>
      </c>
      <c r="C1241" s="813"/>
      <c r="D1241" s="814">
        <v>0</v>
      </c>
      <c r="E1241" s="814"/>
      <c r="F1241" s="814">
        <v>0</v>
      </c>
      <c r="G1241" s="814">
        <v>310000</v>
      </c>
      <c r="H1241" s="814">
        <v>1357600</v>
      </c>
      <c r="I1241" s="814">
        <v>519200</v>
      </c>
      <c r="J1241" s="814">
        <v>0</v>
      </c>
      <c r="K1241" s="814">
        <v>0</v>
      </c>
      <c r="L1241" s="814">
        <v>94400</v>
      </c>
      <c r="M1241" s="814">
        <v>305200</v>
      </c>
      <c r="N1241" s="814">
        <v>272400</v>
      </c>
      <c r="O1241" s="814" t="s">
        <v>251</v>
      </c>
      <c r="P1241" s="1497">
        <f t="shared" si="103"/>
        <v>2186800</v>
      </c>
      <c r="Q1241" s="1175">
        <f t="shared" si="104"/>
        <v>2858800</v>
      </c>
      <c r="R1241" s="813">
        <v>181600</v>
      </c>
      <c r="S1241" s="814"/>
      <c r="T1241" s="814">
        <v>0</v>
      </c>
      <c r="U1241" s="814">
        <v>0</v>
      </c>
      <c r="V1241" s="814">
        <v>0</v>
      </c>
      <c r="W1241" s="814">
        <v>586800</v>
      </c>
      <c r="X1241" s="814">
        <v>127200</v>
      </c>
      <c r="Y1241" s="814">
        <v>654200</v>
      </c>
      <c r="Z1241" s="814"/>
      <c r="AA1241" s="814"/>
      <c r="AB1241" s="814"/>
      <c r="AC1241" s="814"/>
      <c r="AD1241" s="1175">
        <f t="shared" si="101"/>
        <v>1549800</v>
      </c>
      <c r="AE1241" s="841">
        <f t="shared" si="102"/>
        <v>-0.2912932138284251</v>
      </c>
      <c r="AF1241" s="842">
        <f t="shared" si="100"/>
        <v>244</v>
      </c>
    </row>
    <row r="1242" spans="1:32" x14ac:dyDescent="0.3">
      <c r="A1242" s="341" t="s">
        <v>1448</v>
      </c>
      <c r="B1242" s="839" t="s">
        <v>1450</v>
      </c>
      <c r="C1242" s="813"/>
      <c r="D1242" s="814">
        <v>0</v>
      </c>
      <c r="E1242" s="814"/>
      <c r="F1242" s="814">
        <v>19400</v>
      </c>
      <c r="G1242" s="814">
        <v>0</v>
      </c>
      <c r="H1242" s="814">
        <v>0</v>
      </c>
      <c r="I1242" s="814">
        <v>24400</v>
      </c>
      <c r="J1242" s="814">
        <v>26600</v>
      </c>
      <c r="K1242" s="814">
        <v>0</v>
      </c>
      <c r="L1242" s="814">
        <v>0</v>
      </c>
      <c r="M1242" s="814">
        <v>33800</v>
      </c>
      <c r="N1242" s="814">
        <v>77600</v>
      </c>
      <c r="O1242" s="814">
        <v>239800</v>
      </c>
      <c r="P1242" s="1497">
        <f t="shared" si="103"/>
        <v>43800</v>
      </c>
      <c r="Q1242" s="1175">
        <f t="shared" si="104"/>
        <v>421600</v>
      </c>
      <c r="R1242" s="813"/>
      <c r="S1242" s="814"/>
      <c r="T1242" s="814"/>
      <c r="U1242" s="814">
        <v>19400</v>
      </c>
      <c r="V1242" s="814">
        <v>0</v>
      </c>
      <c r="W1242" s="814">
        <v>0</v>
      </c>
      <c r="X1242" s="814">
        <v>0</v>
      </c>
      <c r="Y1242" s="814">
        <v>0</v>
      </c>
      <c r="Z1242" s="814"/>
      <c r="AA1242" s="814"/>
      <c r="AB1242" s="814"/>
      <c r="AC1242" s="814"/>
      <c r="AD1242" s="1175">
        <f t="shared" si="101"/>
        <v>19400</v>
      </c>
      <c r="AE1242" s="841">
        <f t="shared" si="102"/>
        <v>-0.55707762557077622</v>
      </c>
      <c r="AF1242" s="842">
        <f t="shared" si="100"/>
        <v>925</v>
      </c>
    </row>
    <row r="1243" spans="1:32" x14ac:dyDescent="0.3">
      <c r="A1243" s="341" t="s">
        <v>1448</v>
      </c>
      <c r="B1243" s="956" t="s">
        <v>1464</v>
      </c>
      <c r="C1243" s="793"/>
      <c r="D1243" s="794" t="s">
        <v>251</v>
      </c>
      <c r="E1243" s="794"/>
      <c r="F1243" s="794" t="s">
        <v>251</v>
      </c>
      <c r="G1243" s="794" t="s">
        <v>251</v>
      </c>
      <c r="H1243" s="794" t="s">
        <v>251</v>
      </c>
      <c r="I1243" s="794" t="s">
        <v>251</v>
      </c>
      <c r="J1243" s="794" t="s">
        <v>251</v>
      </c>
      <c r="K1243" s="794"/>
      <c r="L1243" s="794" t="s">
        <v>251</v>
      </c>
      <c r="M1243" s="794">
        <v>22000</v>
      </c>
      <c r="N1243" s="794">
        <v>0</v>
      </c>
      <c r="O1243" s="794" t="s">
        <v>251</v>
      </c>
      <c r="P1243" s="1497">
        <f t="shared" si="103"/>
        <v>0</v>
      </c>
      <c r="Q1243" s="1162">
        <f t="shared" si="104"/>
        <v>22000</v>
      </c>
      <c r="R1243" s="793"/>
      <c r="S1243" s="794"/>
      <c r="T1243" s="794"/>
      <c r="U1243" s="794"/>
      <c r="V1243" s="794"/>
      <c r="W1243" s="794"/>
      <c r="X1243" s="794"/>
      <c r="Y1243" s="794"/>
      <c r="Z1243" s="794"/>
      <c r="AA1243" s="794"/>
      <c r="AB1243" s="794"/>
      <c r="AC1243" s="794"/>
      <c r="AD1243" s="1175">
        <f t="shared" si="101"/>
        <v>0</v>
      </c>
      <c r="AE1243" s="957">
        <f t="shared" si="102"/>
        <v>0</v>
      </c>
      <c r="AF1243" s="958">
        <f t="shared" si="100"/>
        <v>983</v>
      </c>
    </row>
    <row r="1244" spans="1:32" x14ac:dyDescent="0.3">
      <c r="A1244" s="341" t="s">
        <v>1448</v>
      </c>
      <c r="B1244" s="956" t="s">
        <v>2363</v>
      </c>
      <c r="C1244" s="793"/>
      <c r="D1244" s="794" t="s">
        <v>251</v>
      </c>
      <c r="E1244" s="794"/>
      <c r="F1244" s="794" t="s">
        <v>251</v>
      </c>
      <c r="G1244" s="794" t="s">
        <v>251</v>
      </c>
      <c r="H1244" s="794" t="s">
        <v>251</v>
      </c>
      <c r="I1244" s="794" t="s">
        <v>251</v>
      </c>
      <c r="J1244" s="794" t="s">
        <v>251</v>
      </c>
      <c r="K1244" s="794"/>
      <c r="L1244" s="794" t="s">
        <v>251</v>
      </c>
      <c r="M1244" s="794" t="s">
        <v>251</v>
      </c>
      <c r="N1244" s="794"/>
      <c r="O1244" s="794">
        <v>108500</v>
      </c>
      <c r="P1244" s="1497">
        <f t="shared" si="103"/>
        <v>0</v>
      </c>
      <c r="Q1244" s="1162">
        <f t="shared" si="104"/>
        <v>108500</v>
      </c>
      <c r="R1244" s="793">
        <v>165200</v>
      </c>
      <c r="S1244" s="794">
        <v>213100</v>
      </c>
      <c r="T1244" s="794">
        <v>262800</v>
      </c>
      <c r="U1244" s="794">
        <v>0</v>
      </c>
      <c r="V1244" s="794">
        <v>0</v>
      </c>
      <c r="W1244" s="794">
        <v>0</v>
      </c>
      <c r="X1244" s="794">
        <v>0</v>
      </c>
      <c r="Y1244" s="794">
        <v>0</v>
      </c>
      <c r="Z1244" s="794"/>
      <c r="AA1244" s="794"/>
      <c r="AB1244" s="794"/>
      <c r="AC1244" s="794"/>
      <c r="AD1244" s="1175">
        <f t="shared" si="101"/>
        <v>641100</v>
      </c>
      <c r="AE1244" s="957">
        <f t="shared" si="102"/>
        <v>1</v>
      </c>
      <c r="AF1244" s="958">
        <f t="shared" si="100"/>
        <v>395</v>
      </c>
    </row>
    <row r="1245" spans="1:32" x14ac:dyDescent="0.3">
      <c r="A1245" s="341" t="s">
        <v>1448</v>
      </c>
      <c r="B1245" s="956" t="s">
        <v>2413</v>
      </c>
      <c r="C1245" s="793"/>
      <c r="D1245" s="794"/>
      <c r="E1245" s="794"/>
      <c r="F1245" s="794"/>
      <c r="G1245" s="794">
        <v>0</v>
      </c>
      <c r="H1245" s="794">
        <v>0</v>
      </c>
      <c r="I1245" s="794">
        <v>105800</v>
      </c>
      <c r="J1245" s="794"/>
      <c r="K1245" s="794">
        <v>26600</v>
      </c>
      <c r="L1245" s="794"/>
      <c r="M1245" s="794"/>
      <c r="N1245" s="794"/>
      <c r="O1245" s="794"/>
      <c r="P1245" s="1497">
        <f t="shared" si="103"/>
        <v>132400</v>
      </c>
      <c r="Q1245" s="1162">
        <f t="shared" si="104"/>
        <v>105800</v>
      </c>
      <c r="R1245" s="793"/>
      <c r="S1245" s="794"/>
      <c r="T1245" s="794"/>
      <c r="U1245" s="794"/>
      <c r="V1245" s="794"/>
      <c r="W1245" s="794"/>
      <c r="X1245" s="794"/>
      <c r="Y1245" s="794"/>
      <c r="Z1245" s="794"/>
      <c r="AA1245" s="794"/>
      <c r="AB1245" s="794"/>
      <c r="AC1245" s="794"/>
      <c r="AD1245" s="1175">
        <f t="shared" si="101"/>
        <v>0</v>
      </c>
      <c r="AE1245" s="957">
        <f t="shared" si="102"/>
        <v>-1</v>
      </c>
      <c r="AF1245" s="958">
        <f t="shared" si="100"/>
        <v>983</v>
      </c>
    </row>
    <row r="1246" spans="1:32" x14ac:dyDescent="0.3">
      <c r="A1246" s="341" t="s">
        <v>1448</v>
      </c>
      <c r="B1246" s="956" t="s">
        <v>2575</v>
      </c>
      <c r="C1246" s="793"/>
      <c r="D1246" s="794"/>
      <c r="E1246" s="794"/>
      <c r="F1246" s="794"/>
      <c r="G1246" s="794"/>
      <c r="H1246" s="794"/>
      <c r="I1246" s="794"/>
      <c r="J1246" s="794"/>
      <c r="K1246" s="794"/>
      <c r="L1246" s="794"/>
      <c r="M1246" s="794"/>
      <c r="N1246" s="794"/>
      <c r="O1246" s="794"/>
      <c r="P1246" s="1497">
        <f t="shared" si="103"/>
        <v>0</v>
      </c>
      <c r="Q1246" s="1162">
        <f t="shared" si="104"/>
        <v>0</v>
      </c>
      <c r="R1246" s="793"/>
      <c r="S1246" s="794"/>
      <c r="T1246" s="794">
        <v>14600</v>
      </c>
      <c r="U1246" s="794">
        <v>0</v>
      </c>
      <c r="V1246" s="794">
        <v>0</v>
      </c>
      <c r="W1246" s="794">
        <v>0</v>
      </c>
      <c r="X1246" s="794">
        <v>87800</v>
      </c>
      <c r="Y1246" s="794">
        <v>202800</v>
      </c>
      <c r="Z1246" s="794"/>
      <c r="AA1246" s="794"/>
      <c r="AB1246" s="794"/>
      <c r="AC1246" s="794"/>
      <c r="AD1246" s="1175">
        <f t="shared" si="101"/>
        <v>305200</v>
      </c>
      <c r="AE1246" s="957">
        <f t="shared" si="102"/>
        <v>1</v>
      </c>
      <c r="AF1246" s="958">
        <f t="shared" si="100"/>
        <v>529</v>
      </c>
    </row>
    <row r="1247" spans="1:32" x14ac:dyDescent="0.3">
      <c r="A1247" s="341" t="s">
        <v>1448</v>
      </c>
      <c r="B1247" s="956" t="s">
        <v>2693</v>
      </c>
      <c r="C1247" s="793"/>
      <c r="D1247" s="794"/>
      <c r="E1247" s="794"/>
      <c r="F1247" s="794"/>
      <c r="G1247" s="794"/>
      <c r="H1247" s="794"/>
      <c r="I1247" s="794"/>
      <c r="J1247" s="794"/>
      <c r="K1247" s="794"/>
      <c r="L1247" s="794"/>
      <c r="M1247" s="794"/>
      <c r="N1247" s="794"/>
      <c r="O1247" s="794"/>
      <c r="P1247" s="1497">
        <f t="shared" si="103"/>
        <v>0</v>
      </c>
      <c r="Q1247" s="1162">
        <f t="shared" si="104"/>
        <v>0</v>
      </c>
      <c r="R1247" s="793"/>
      <c r="S1247" s="794"/>
      <c r="T1247" s="794"/>
      <c r="U1247" s="794">
        <v>70000</v>
      </c>
      <c r="V1247" s="794">
        <v>0</v>
      </c>
      <c r="W1247" s="794">
        <v>0</v>
      </c>
      <c r="X1247" s="794">
        <v>0</v>
      </c>
      <c r="Y1247" s="794">
        <v>0</v>
      </c>
      <c r="Z1247" s="794"/>
      <c r="AA1247" s="794"/>
      <c r="AB1247" s="794"/>
      <c r="AC1247" s="794"/>
      <c r="AD1247" s="1175">
        <f t="shared" si="101"/>
        <v>70000</v>
      </c>
      <c r="AE1247" s="957">
        <f t="shared" si="102"/>
        <v>1</v>
      </c>
      <c r="AF1247" s="958">
        <f t="shared" si="100"/>
        <v>798</v>
      </c>
    </row>
    <row r="1248" spans="1:32" x14ac:dyDescent="0.3">
      <c r="A1248" s="362" t="s">
        <v>1457</v>
      </c>
      <c r="B1248" s="991" t="s">
        <v>2179</v>
      </c>
      <c r="C1248" s="815"/>
      <c r="D1248" s="816">
        <v>0</v>
      </c>
      <c r="E1248" s="816"/>
      <c r="F1248" s="816">
        <v>0</v>
      </c>
      <c r="G1248" s="816">
        <v>0</v>
      </c>
      <c r="H1248" s="816">
        <v>0</v>
      </c>
      <c r="I1248" s="816">
        <v>0</v>
      </c>
      <c r="J1248" s="816">
        <v>38400</v>
      </c>
      <c r="K1248" s="816">
        <v>38400</v>
      </c>
      <c r="L1248" s="816">
        <v>0</v>
      </c>
      <c r="M1248" s="816">
        <v>0</v>
      </c>
      <c r="N1248" s="816">
        <v>0</v>
      </c>
      <c r="O1248" s="816" t="s">
        <v>251</v>
      </c>
      <c r="P1248" s="1497">
        <f t="shared" si="103"/>
        <v>38400</v>
      </c>
      <c r="Q1248" s="1176">
        <f t="shared" si="104"/>
        <v>38400</v>
      </c>
      <c r="R1248" s="815"/>
      <c r="S1248" s="816"/>
      <c r="T1248" s="816"/>
      <c r="U1248" s="816"/>
      <c r="V1248" s="816"/>
      <c r="W1248" s="816"/>
      <c r="X1248" s="816"/>
      <c r="Y1248" s="816"/>
      <c r="Z1248" s="816"/>
      <c r="AA1248" s="816"/>
      <c r="AB1248" s="816"/>
      <c r="AC1248" s="816"/>
      <c r="AD1248" s="1176">
        <f t="shared" si="101"/>
        <v>0</v>
      </c>
      <c r="AE1248" s="992">
        <f t="shared" si="102"/>
        <v>-1</v>
      </c>
      <c r="AF1248" s="993">
        <f t="shared" si="100"/>
        <v>983</v>
      </c>
    </row>
    <row r="1249" spans="1:32" x14ac:dyDescent="0.3">
      <c r="A1249" s="362" t="s">
        <v>1457</v>
      </c>
      <c r="B1249" s="991" t="s">
        <v>1458</v>
      </c>
      <c r="C1249" s="815"/>
      <c r="D1249" s="816">
        <v>82800</v>
      </c>
      <c r="E1249" s="816"/>
      <c r="F1249" s="816"/>
      <c r="G1249" s="816">
        <v>91200</v>
      </c>
      <c r="H1249" s="816">
        <v>0</v>
      </c>
      <c r="I1249" s="816">
        <v>0</v>
      </c>
      <c r="J1249" s="816"/>
      <c r="K1249" s="816">
        <v>0</v>
      </c>
      <c r="L1249" s="816"/>
      <c r="M1249" s="816"/>
      <c r="N1249" s="816"/>
      <c r="O1249" s="816"/>
      <c r="P1249" s="1497">
        <f t="shared" si="103"/>
        <v>174000</v>
      </c>
      <c r="Q1249" s="1176">
        <f t="shared" si="104"/>
        <v>174000</v>
      </c>
      <c r="R1249" s="815"/>
      <c r="S1249" s="816"/>
      <c r="T1249" s="816"/>
      <c r="U1249" s="816"/>
      <c r="V1249" s="816"/>
      <c r="W1249" s="816"/>
      <c r="X1249" s="816"/>
      <c r="Y1249" s="816"/>
      <c r="Z1249" s="816"/>
      <c r="AA1249" s="816"/>
      <c r="AB1249" s="816"/>
      <c r="AC1249" s="816"/>
      <c r="AD1249" s="1176">
        <f t="shared" si="101"/>
        <v>0</v>
      </c>
      <c r="AE1249" s="992">
        <f t="shared" si="102"/>
        <v>-1</v>
      </c>
      <c r="AF1249" s="993">
        <f t="shared" si="100"/>
        <v>983</v>
      </c>
    </row>
    <row r="1250" spans="1:32" x14ac:dyDescent="0.3">
      <c r="A1250" s="362" t="s">
        <v>1457</v>
      </c>
      <c r="B1250" s="991" t="s">
        <v>1546</v>
      </c>
      <c r="C1250" s="815"/>
      <c r="D1250" s="816"/>
      <c r="E1250" s="816"/>
      <c r="F1250" s="816"/>
      <c r="G1250" s="816">
        <v>0</v>
      </c>
      <c r="H1250" s="816">
        <v>0</v>
      </c>
      <c r="I1250" s="816">
        <v>46000</v>
      </c>
      <c r="J1250" s="816"/>
      <c r="K1250" s="816">
        <v>0</v>
      </c>
      <c r="L1250" s="816"/>
      <c r="M1250" s="816"/>
      <c r="N1250" s="816"/>
      <c r="O1250" s="816"/>
      <c r="P1250" s="1497">
        <f t="shared" si="103"/>
        <v>46000</v>
      </c>
      <c r="Q1250" s="1176">
        <f t="shared" si="104"/>
        <v>46000</v>
      </c>
      <c r="R1250" s="815"/>
      <c r="S1250" s="816"/>
      <c r="T1250" s="816"/>
      <c r="U1250" s="816"/>
      <c r="V1250" s="816"/>
      <c r="W1250" s="816"/>
      <c r="X1250" s="816"/>
      <c r="Y1250" s="816"/>
      <c r="Z1250" s="816"/>
      <c r="AA1250" s="816"/>
      <c r="AB1250" s="816"/>
      <c r="AC1250" s="816"/>
      <c r="AD1250" s="1176">
        <f t="shared" si="101"/>
        <v>0</v>
      </c>
      <c r="AE1250" s="992">
        <f t="shared" si="102"/>
        <v>-1</v>
      </c>
      <c r="AF1250" s="993">
        <f t="shared" si="100"/>
        <v>983</v>
      </c>
    </row>
    <row r="1251" spans="1:32" x14ac:dyDescent="0.3">
      <c r="A1251" s="364" t="s">
        <v>733</v>
      </c>
      <c r="B1251" s="994" t="s">
        <v>734</v>
      </c>
      <c r="C1251" s="995">
        <v>15000</v>
      </c>
      <c r="D1251" s="996">
        <v>15000</v>
      </c>
      <c r="E1251" s="818" t="s">
        <v>251</v>
      </c>
      <c r="F1251" s="818" t="s">
        <v>251</v>
      </c>
      <c r="G1251" s="818">
        <v>0</v>
      </c>
      <c r="H1251" s="818">
        <v>0</v>
      </c>
      <c r="I1251" s="818">
        <v>0</v>
      </c>
      <c r="J1251" s="818" t="s">
        <v>251</v>
      </c>
      <c r="K1251" s="818"/>
      <c r="L1251" s="818" t="s">
        <v>251</v>
      </c>
      <c r="M1251" s="818" t="s">
        <v>251</v>
      </c>
      <c r="N1251" s="818" t="s">
        <v>251</v>
      </c>
      <c r="O1251" s="818" t="s">
        <v>251</v>
      </c>
      <c r="P1251" s="1497">
        <f t="shared" si="103"/>
        <v>30000</v>
      </c>
      <c r="Q1251" s="1177">
        <f t="shared" si="104"/>
        <v>30000</v>
      </c>
      <c r="R1251" s="817"/>
      <c r="S1251" s="818"/>
      <c r="T1251" s="818"/>
      <c r="U1251" s="818"/>
      <c r="V1251" s="818"/>
      <c r="W1251" s="818"/>
      <c r="X1251" s="818"/>
      <c r="Y1251" s="818"/>
      <c r="Z1251" s="818"/>
      <c r="AA1251" s="818"/>
      <c r="AB1251" s="818"/>
      <c r="AC1251" s="818"/>
      <c r="AD1251" s="1177">
        <f t="shared" si="101"/>
        <v>0</v>
      </c>
      <c r="AE1251" s="997">
        <f t="shared" si="102"/>
        <v>-1</v>
      </c>
      <c r="AF1251" s="998">
        <f t="shared" si="100"/>
        <v>983</v>
      </c>
    </row>
    <row r="1252" spans="1:32" x14ac:dyDescent="0.3">
      <c r="A1252" s="364" t="s">
        <v>733</v>
      </c>
      <c r="B1252" s="994" t="s">
        <v>736</v>
      </c>
      <c r="C1252" s="995">
        <v>10000</v>
      </c>
      <c r="D1252" s="996">
        <v>10000</v>
      </c>
      <c r="E1252" s="818" t="s">
        <v>251</v>
      </c>
      <c r="F1252" s="818" t="s">
        <v>251</v>
      </c>
      <c r="G1252" s="818">
        <v>0</v>
      </c>
      <c r="H1252" s="818">
        <v>0</v>
      </c>
      <c r="I1252" s="818">
        <v>0</v>
      </c>
      <c r="J1252" s="818" t="s">
        <v>251</v>
      </c>
      <c r="K1252" s="818"/>
      <c r="L1252" s="818" t="s">
        <v>251</v>
      </c>
      <c r="M1252" s="818" t="s">
        <v>251</v>
      </c>
      <c r="N1252" s="818" t="s">
        <v>251</v>
      </c>
      <c r="O1252" s="818" t="s">
        <v>251</v>
      </c>
      <c r="P1252" s="1497">
        <f t="shared" si="103"/>
        <v>20000</v>
      </c>
      <c r="Q1252" s="1177">
        <f t="shared" si="104"/>
        <v>20000</v>
      </c>
      <c r="R1252" s="817"/>
      <c r="S1252" s="818"/>
      <c r="T1252" s="818"/>
      <c r="U1252" s="818"/>
      <c r="V1252" s="818"/>
      <c r="W1252" s="818"/>
      <c r="X1252" s="818"/>
      <c r="Y1252" s="818"/>
      <c r="Z1252" s="818"/>
      <c r="AA1252" s="818"/>
      <c r="AB1252" s="818"/>
      <c r="AC1252" s="818"/>
      <c r="AD1252" s="1177">
        <f t="shared" si="101"/>
        <v>0</v>
      </c>
      <c r="AE1252" s="997">
        <f t="shared" si="102"/>
        <v>-1</v>
      </c>
      <c r="AF1252" s="998">
        <f t="shared" si="100"/>
        <v>983</v>
      </c>
    </row>
    <row r="1253" spans="1:32" x14ac:dyDescent="0.3">
      <c r="A1253" s="364" t="s">
        <v>733</v>
      </c>
      <c r="B1253" s="994" t="s">
        <v>735</v>
      </c>
      <c r="C1253" s="995">
        <v>15000</v>
      </c>
      <c r="D1253" s="996" t="s">
        <v>251</v>
      </c>
      <c r="E1253" s="818" t="s">
        <v>251</v>
      </c>
      <c r="F1253" s="818" t="s">
        <v>251</v>
      </c>
      <c r="G1253" s="818">
        <v>0</v>
      </c>
      <c r="H1253" s="818">
        <v>0</v>
      </c>
      <c r="I1253" s="818" t="s">
        <v>251</v>
      </c>
      <c r="J1253" s="818" t="s">
        <v>251</v>
      </c>
      <c r="K1253" s="818"/>
      <c r="L1253" s="818" t="s">
        <v>251</v>
      </c>
      <c r="M1253" s="818" t="s">
        <v>251</v>
      </c>
      <c r="N1253" s="818" t="s">
        <v>251</v>
      </c>
      <c r="O1253" s="818" t="s">
        <v>251</v>
      </c>
      <c r="P1253" s="1497">
        <f t="shared" si="103"/>
        <v>15000</v>
      </c>
      <c r="Q1253" s="1177">
        <f t="shared" si="104"/>
        <v>15000</v>
      </c>
      <c r="R1253" s="817"/>
      <c r="S1253" s="818"/>
      <c r="T1253" s="818"/>
      <c r="U1253" s="818"/>
      <c r="V1253" s="818"/>
      <c r="W1253" s="818"/>
      <c r="X1253" s="818"/>
      <c r="Y1253" s="818"/>
      <c r="Z1253" s="818"/>
      <c r="AA1253" s="818"/>
      <c r="AB1253" s="818"/>
      <c r="AC1253" s="818"/>
      <c r="AD1253" s="1177">
        <f t="shared" si="101"/>
        <v>0</v>
      </c>
      <c r="AE1253" s="997">
        <f t="shared" si="102"/>
        <v>-1</v>
      </c>
      <c r="AF1253" s="998">
        <f t="shared" si="100"/>
        <v>983</v>
      </c>
    </row>
    <row r="1254" spans="1:32" x14ac:dyDescent="0.3">
      <c r="A1254" s="364" t="s">
        <v>733</v>
      </c>
      <c r="B1254" s="994" t="s">
        <v>737</v>
      </c>
      <c r="C1254" s="817" t="s">
        <v>251</v>
      </c>
      <c r="D1254" s="996">
        <v>15000</v>
      </c>
      <c r="E1254" s="818" t="s">
        <v>251</v>
      </c>
      <c r="F1254" s="818" t="s">
        <v>251</v>
      </c>
      <c r="G1254" s="818">
        <v>0</v>
      </c>
      <c r="H1254" s="818">
        <v>0</v>
      </c>
      <c r="I1254" s="818">
        <v>0</v>
      </c>
      <c r="J1254" s="818" t="s">
        <v>251</v>
      </c>
      <c r="K1254" s="818"/>
      <c r="L1254" s="818" t="s">
        <v>251</v>
      </c>
      <c r="M1254" s="818" t="s">
        <v>251</v>
      </c>
      <c r="N1254" s="818" t="s">
        <v>251</v>
      </c>
      <c r="O1254" s="818" t="s">
        <v>251</v>
      </c>
      <c r="P1254" s="1497">
        <f t="shared" si="103"/>
        <v>15000</v>
      </c>
      <c r="Q1254" s="1177">
        <f t="shared" si="104"/>
        <v>15000</v>
      </c>
      <c r="R1254" s="817"/>
      <c r="S1254" s="818"/>
      <c r="T1254" s="818"/>
      <c r="U1254" s="818"/>
      <c r="V1254" s="818"/>
      <c r="W1254" s="818"/>
      <c r="X1254" s="818"/>
      <c r="Y1254" s="818"/>
      <c r="Z1254" s="818"/>
      <c r="AA1254" s="818"/>
      <c r="AB1254" s="818"/>
      <c r="AC1254" s="818"/>
      <c r="AD1254" s="1177">
        <f t="shared" si="101"/>
        <v>0</v>
      </c>
      <c r="AE1254" s="997">
        <f t="shared" si="102"/>
        <v>-1</v>
      </c>
      <c r="AF1254" s="998">
        <f t="shared" si="100"/>
        <v>983</v>
      </c>
    </row>
    <row r="1255" spans="1:32" x14ac:dyDescent="0.3">
      <c r="A1255" s="364" t="s">
        <v>733</v>
      </c>
      <c r="B1255" s="994" t="s">
        <v>738</v>
      </c>
      <c r="C1255" s="995">
        <v>5000</v>
      </c>
      <c r="D1255" s="818" t="s">
        <v>251</v>
      </c>
      <c r="E1255" s="818" t="s">
        <v>251</v>
      </c>
      <c r="F1255" s="818" t="s">
        <v>251</v>
      </c>
      <c r="G1255" s="818">
        <v>0</v>
      </c>
      <c r="H1255" s="818">
        <v>0</v>
      </c>
      <c r="I1255" s="818" t="s">
        <v>251</v>
      </c>
      <c r="J1255" s="818" t="s">
        <v>251</v>
      </c>
      <c r="K1255" s="818"/>
      <c r="L1255" s="818" t="s">
        <v>251</v>
      </c>
      <c r="M1255" s="818" t="s">
        <v>251</v>
      </c>
      <c r="N1255" s="818" t="s">
        <v>251</v>
      </c>
      <c r="O1255" s="818" t="s">
        <v>251</v>
      </c>
      <c r="P1255" s="1497">
        <f t="shared" si="103"/>
        <v>5000</v>
      </c>
      <c r="Q1255" s="1177">
        <f t="shared" si="104"/>
        <v>5000</v>
      </c>
      <c r="R1255" s="817"/>
      <c r="S1255" s="818"/>
      <c r="T1255" s="818"/>
      <c r="U1255" s="818"/>
      <c r="V1255" s="818"/>
      <c r="W1255" s="818"/>
      <c r="X1255" s="818"/>
      <c r="Y1255" s="818"/>
      <c r="Z1255" s="818"/>
      <c r="AA1255" s="818"/>
      <c r="AB1255" s="818"/>
      <c r="AC1255" s="818"/>
      <c r="AD1255" s="1177">
        <f t="shared" si="101"/>
        <v>0</v>
      </c>
      <c r="AE1255" s="997">
        <f t="shared" si="102"/>
        <v>-1</v>
      </c>
      <c r="AF1255" s="998">
        <f t="shared" si="100"/>
        <v>983</v>
      </c>
    </row>
    <row r="1256" spans="1:32" x14ac:dyDescent="0.3">
      <c r="A1256" s="364" t="s">
        <v>733</v>
      </c>
      <c r="B1256" s="994" t="s">
        <v>766</v>
      </c>
      <c r="C1256" s="995"/>
      <c r="D1256" s="818" t="s">
        <v>251</v>
      </c>
      <c r="E1256" s="818"/>
      <c r="F1256" s="818" t="s">
        <v>251</v>
      </c>
      <c r="G1256" s="818" t="s">
        <v>251</v>
      </c>
      <c r="H1256" s="818" t="s">
        <v>251</v>
      </c>
      <c r="I1256" s="818" t="s">
        <v>251</v>
      </c>
      <c r="J1256" s="818" t="s">
        <v>251</v>
      </c>
      <c r="K1256" s="818"/>
      <c r="L1256" s="818" t="s">
        <v>251</v>
      </c>
      <c r="M1256" s="818" t="s">
        <v>251</v>
      </c>
      <c r="N1256" s="818" t="s">
        <v>251</v>
      </c>
      <c r="O1256" s="818" t="s">
        <v>251</v>
      </c>
      <c r="P1256" s="1497">
        <f t="shared" si="103"/>
        <v>0</v>
      </c>
      <c r="Q1256" s="1177">
        <f t="shared" si="104"/>
        <v>0</v>
      </c>
      <c r="R1256" s="817"/>
      <c r="S1256" s="818"/>
      <c r="T1256" s="818"/>
      <c r="U1256" s="818"/>
      <c r="V1256" s="818"/>
      <c r="W1256" s="818"/>
      <c r="X1256" s="818"/>
      <c r="Y1256" s="818"/>
      <c r="Z1256" s="818"/>
      <c r="AA1256" s="818"/>
      <c r="AB1256" s="818"/>
      <c r="AC1256" s="818"/>
      <c r="AD1256" s="1177">
        <f t="shared" si="101"/>
        <v>0</v>
      </c>
      <c r="AE1256" s="997">
        <f t="shared" si="102"/>
        <v>0</v>
      </c>
      <c r="AF1256" s="998">
        <f t="shared" si="100"/>
        <v>983</v>
      </c>
    </row>
    <row r="1257" spans="1:32" x14ac:dyDescent="0.3">
      <c r="A1257" s="364" t="s">
        <v>733</v>
      </c>
      <c r="B1257" s="994" t="s">
        <v>2180</v>
      </c>
      <c r="C1257" s="995"/>
      <c r="D1257" s="818" t="s">
        <v>251</v>
      </c>
      <c r="E1257" s="818"/>
      <c r="F1257" s="818" t="s">
        <v>251</v>
      </c>
      <c r="G1257" s="818" t="s">
        <v>251</v>
      </c>
      <c r="H1257" s="818" t="s">
        <v>251</v>
      </c>
      <c r="I1257" s="818" t="s">
        <v>251</v>
      </c>
      <c r="J1257" s="818" t="s">
        <v>251</v>
      </c>
      <c r="K1257" s="818"/>
      <c r="L1257" s="818" t="s">
        <v>251</v>
      </c>
      <c r="M1257" s="818" t="s">
        <v>251</v>
      </c>
      <c r="N1257" s="818" t="s">
        <v>251</v>
      </c>
      <c r="O1257" s="818" t="s">
        <v>251</v>
      </c>
      <c r="P1257" s="1497">
        <f t="shared" si="103"/>
        <v>0</v>
      </c>
      <c r="Q1257" s="1177">
        <f t="shared" si="104"/>
        <v>0</v>
      </c>
      <c r="R1257" s="817"/>
      <c r="S1257" s="818"/>
      <c r="T1257" s="818"/>
      <c r="U1257" s="818"/>
      <c r="V1257" s="818"/>
      <c r="W1257" s="818"/>
      <c r="X1257" s="818"/>
      <c r="Y1257" s="818"/>
      <c r="Z1257" s="818"/>
      <c r="AA1257" s="818"/>
      <c r="AB1257" s="818"/>
      <c r="AC1257" s="818"/>
      <c r="AD1257" s="1177">
        <f t="shared" si="101"/>
        <v>0</v>
      </c>
      <c r="AE1257" s="997">
        <f t="shared" si="102"/>
        <v>0</v>
      </c>
      <c r="AF1257" s="998">
        <f t="shared" si="100"/>
        <v>983</v>
      </c>
    </row>
    <row r="1258" spans="1:32" x14ac:dyDescent="0.3">
      <c r="A1258" s="366" t="s">
        <v>1459</v>
      </c>
      <c r="B1258" s="999" t="s">
        <v>1280</v>
      </c>
      <c r="C1258" s="819">
        <v>78600</v>
      </c>
      <c r="D1258" s="820">
        <v>0</v>
      </c>
      <c r="E1258" s="820"/>
      <c r="F1258" s="820">
        <v>0</v>
      </c>
      <c r="G1258" s="820">
        <v>0</v>
      </c>
      <c r="H1258" s="820">
        <v>0</v>
      </c>
      <c r="I1258" s="820">
        <v>0</v>
      </c>
      <c r="J1258" s="820">
        <v>0</v>
      </c>
      <c r="K1258" s="820">
        <v>0</v>
      </c>
      <c r="L1258" s="820">
        <v>0</v>
      </c>
      <c r="M1258" s="820">
        <v>0</v>
      </c>
      <c r="N1258" s="820">
        <v>0</v>
      </c>
      <c r="O1258" s="820" t="s">
        <v>251</v>
      </c>
      <c r="P1258" s="1497">
        <f t="shared" si="103"/>
        <v>78600</v>
      </c>
      <c r="Q1258" s="1178">
        <f t="shared" si="104"/>
        <v>78600</v>
      </c>
      <c r="R1258" s="819"/>
      <c r="S1258" s="820"/>
      <c r="T1258" s="820"/>
      <c r="U1258" s="820"/>
      <c r="V1258" s="820"/>
      <c r="W1258" s="820"/>
      <c r="X1258" s="820"/>
      <c r="Y1258" s="820"/>
      <c r="Z1258" s="820"/>
      <c r="AA1258" s="820"/>
      <c r="AB1258" s="820"/>
      <c r="AC1258" s="820"/>
      <c r="AD1258" s="1178">
        <f t="shared" si="101"/>
        <v>0</v>
      </c>
      <c r="AE1258" s="1000">
        <f t="shared" si="102"/>
        <v>-1</v>
      </c>
      <c r="AF1258" s="1001">
        <f t="shared" si="100"/>
        <v>983</v>
      </c>
    </row>
    <row r="1259" spans="1:32" x14ac:dyDescent="0.3">
      <c r="A1259" s="366" t="s">
        <v>1459</v>
      </c>
      <c r="B1259" s="999" t="s">
        <v>1446</v>
      </c>
      <c r="C1259" s="819" t="s">
        <v>251</v>
      </c>
      <c r="D1259" s="820" t="s">
        <v>251</v>
      </c>
      <c r="E1259" s="820" t="s">
        <v>251</v>
      </c>
      <c r="F1259" s="820" t="s">
        <v>251</v>
      </c>
      <c r="G1259" s="820" t="s">
        <v>251</v>
      </c>
      <c r="H1259" s="820" t="s">
        <v>251</v>
      </c>
      <c r="I1259" s="820" t="s">
        <v>251</v>
      </c>
      <c r="J1259" s="820" t="s">
        <v>251</v>
      </c>
      <c r="K1259" s="820"/>
      <c r="L1259" s="820" t="s">
        <v>251</v>
      </c>
      <c r="M1259" s="820" t="s">
        <v>251</v>
      </c>
      <c r="N1259" s="820" t="s">
        <v>251</v>
      </c>
      <c r="O1259" s="820" t="s">
        <v>251</v>
      </c>
      <c r="P1259" s="1497">
        <f t="shared" si="103"/>
        <v>0</v>
      </c>
      <c r="Q1259" s="1178">
        <f t="shared" si="104"/>
        <v>0</v>
      </c>
      <c r="R1259" s="819"/>
      <c r="S1259" s="820"/>
      <c r="T1259" s="820"/>
      <c r="U1259" s="820"/>
      <c r="V1259" s="820"/>
      <c r="W1259" s="820"/>
      <c r="X1259" s="820"/>
      <c r="Y1259" s="820"/>
      <c r="Z1259" s="820"/>
      <c r="AA1259" s="820"/>
      <c r="AB1259" s="820"/>
      <c r="AC1259" s="820"/>
      <c r="AD1259" s="1178">
        <f t="shared" si="101"/>
        <v>0</v>
      </c>
      <c r="AE1259" s="1000">
        <f t="shared" si="102"/>
        <v>0</v>
      </c>
      <c r="AF1259" s="1001">
        <f t="shared" si="100"/>
        <v>983</v>
      </c>
    </row>
    <row r="1260" spans="1:32" x14ac:dyDescent="0.3">
      <c r="A1260" s="366" t="s">
        <v>1459</v>
      </c>
      <c r="B1260" s="999" t="s">
        <v>1279</v>
      </c>
      <c r="C1260" s="819"/>
      <c r="D1260" s="820">
        <v>0</v>
      </c>
      <c r="E1260" s="820"/>
      <c r="F1260" s="820">
        <v>0</v>
      </c>
      <c r="G1260" s="820">
        <v>0</v>
      </c>
      <c r="H1260" s="820">
        <v>222700</v>
      </c>
      <c r="I1260" s="820">
        <v>27600</v>
      </c>
      <c r="J1260" s="820">
        <v>0</v>
      </c>
      <c r="K1260" s="820">
        <v>0</v>
      </c>
      <c r="L1260" s="820">
        <v>0</v>
      </c>
      <c r="M1260" s="820">
        <v>0</v>
      </c>
      <c r="N1260" s="820">
        <v>195500</v>
      </c>
      <c r="O1260" s="820" t="s">
        <v>251</v>
      </c>
      <c r="P1260" s="1497">
        <f t="shared" si="103"/>
        <v>250300</v>
      </c>
      <c r="Q1260" s="1178">
        <f t="shared" si="104"/>
        <v>445800</v>
      </c>
      <c r="R1260" s="819"/>
      <c r="S1260" s="820"/>
      <c r="T1260" s="820"/>
      <c r="U1260" s="820"/>
      <c r="V1260" s="820"/>
      <c r="W1260" s="820"/>
      <c r="X1260" s="820"/>
      <c r="Y1260" s="820"/>
      <c r="Z1260" s="820"/>
      <c r="AA1260" s="820"/>
      <c r="AB1260" s="820"/>
      <c r="AC1260" s="820"/>
      <c r="AD1260" s="1178">
        <f t="shared" si="101"/>
        <v>0</v>
      </c>
      <c r="AE1260" s="1000">
        <f t="shared" si="102"/>
        <v>-1</v>
      </c>
      <c r="AF1260" s="1001">
        <f t="shared" si="100"/>
        <v>983</v>
      </c>
    </row>
    <row r="1261" spans="1:32" x14ac:dyDescent="0.3">
      <c r="A1261" s="366" t="s">
        <v>1459</v>
      </c>
      <c r="B1261" s="999" t="s">
        <v>1556</v>
      </c>
      <c r="C1261" s="819"/>
      <c r="D1261" s="820"/>
      <c r="E1261" s="820"/>
      <c r="F1261" s="820"/>
      <c r="G1261" s="820"/>
      <c r="H1261" s="820"/>
      <c r="I1261" s="820"/>
      <c r="J1261" s="820"/>
      <c r="K1261" s="820"/>
      <c r="L1261" s="820"/>
      <c r="M1261" s="820"/>
      <c r="N1261" s="820"/>
      <c r="O1261" s="820"/>
      <c r="P1261" s="1497">
        <f t="shared" si="103"/>
        <v>0</v>
      </c>
      <c r="Q1261" s="1178">
        <f t="shared" si="104"/>
        <v>0</v>
      </c>
      <c r="R1261" s="819">
        <v>55000</v>
      </c>
      <c r="S1261" s="820"/>
      <c r="T1261" s="820">
        <v>0</v>
      </c>
      <c r="U1261" s="820">
        <v>0</v>
      </c>
      <c r="V1261" s="820">
        <v>0</v>
      </c>
      <c r="W1261" s="820">
        <v>0</v>
      </c>
      <c r="X1261" s="820">
        <v>0</v>
      </c>
      <c r="Y1261" s="820">
        <v>0</v>
      </c>
      <c r="Z1261" s="820"/>
      <c r="AA1261" s="820"/>
      <c r="AB1261" s="820"/>
      <c r="AC1261" s="820"/>
      <c r="AD1261" s="1178">
        <f t="shared" si="101"/>
        <v>55000</v>
      </c>
      <c r="AE1261" s="1000">
        <f t="shared" si="102"/>
        <v>1</v>
      </c>
      <c r="AF1261" s="1001">
        <f t="shared" si="100"/>
        <v>828</v>
      </c>
    </row>
    <row r="1262" spans="1:32" x14ac:dyDescent="0.3">
      <c r="A1262" s="366" t="s">
        <v>1459</v>
      </c>
      <c r="B1262" s="999" t="s">
        <v>2647</v>
      </c>
      <c r="C1262" s="819"/>
      <c r="D1262" s="820"/>
      <c r="E1262" s="820"/>
      <c r="F1262" s="820"/>
      <c r="G1262" s="820"/>
      <c r="H1262" s="820"/>
      <c r="I1262" s="820"/>
      <c r="J1262" s="820"/>
      <c r="K1262" s="820"/>
      <c r="L1262" s="820"/>
      <c r="M1262" s="820"/>
      <c r="N1262" s="820"/>
      <c r="O1262" s="820"/>
      <c r="P1262" s="1497">
        <f t="shared" si="103"/>
        <v>0</v>
      </c>
      <c r="Q1262" s="1178">
        <f t="shared" si="104"/>
        <v>0</v>
      </c>
      <c r="R1262" s="819"/>
      <c r="S1262" s="820"/>
      <c r="T1262" s="820">
        <v>17150</v>
      </c>
      <c r="U1262" s="820">
        <v>0</v>
      </c>
      <c r="V1262" s="820">
        <v>0</v>
      </c>
      <c r="W1262" s="820">
        <v>0</v>
      </c>
      <c r="X1262" s="820">
        <v>0</v>
      </c>
      <c r="Y1262" s="820">
        <v>0</v>
      </c>
      <c r="Z1262" s="820"/>
      <c r="AA1262" s="820"/>
      <c r="AB1262" s="820"/>
      <c r="AC1262" s="820"/>
      <c r="AD1262" s="1178">
        <f t="shared" si="101"/>
        <v>17150</v>
      </c>
      <c r="AE1262" s="1000">
        <f t="shared" si="102"/>
        <v>1</v>
      </c>
      <c r="AF1262" s="1001">
        <f t="shared" si="100"/>
        <v>934</v>
      </c>
    </row>
    <row r="1263" spans="1:32" x14ac:dyDescent="0.3">
      <c r="A1263" s="368" t="s">
        <v>1460</v>
      </c>
      <c r="B1263" s="1002" t="s">
        <v>658</v>
      </c>
      <c r="C1263" s="821"/>
      <c r="D1263" s="822">
        <v>0</v>
      </c>
      <c r="E1263" s="822">
        <v>23500</v>
      </c>
      <c r="F1263" s="822">
        <v>0</v>
      </c>
      <c r="G1263" s="822">
        <v>0</v>
      </c>
      <c r="H1263" s="822">
        <v>0</v>
      </c>
      <c r="I1263" s="822">
        <v>0</v>
      </c>
      <c r="J1263" s="822">
        <v>0</v>
      </c>
      <c r="K1263" s="822">
        <v>0</v>
      </c>
      <c r="L1263" s="822">
        <v>0</v>
      </c>
      <c r="M1263" s="822">
        <v>0</v>
      </c>
      <c r="N1263" s="822">
        <v>0</v>
      </c>
      <c r="O1263" s="822" t="s">
        <v>251</v>
      </c>
      <c r="P1263" s="1497">
        <f t="shared" si="103"/>
        <v>23500</v>
      </c>
      <c r="Q1263" s="1179">
        <f t="shared" si="104"/>
        <v>23500</v>
      </c>
      <c r="R1263" s="821"/>
      <c r="S1263" s="822"/>
      <c r="T1263" s="822"/>
      <c r="U1263" s="822"/>
      <c r="V1263" s="822"/>
      <c r="W1263" s="822"/>
      <c r="X1263" s="822"/>
      <c r="Y1263" s="822"/>
      <c r="Z1263" s="822"/>
      <c r="AA1263" s="822"/>
      <c r="AB1263" s="822"/>
      <c r="AC1263" s="822"/>
      <c r="AD1263" s="1179">
        <f t="shared" si="101"/>
        <v>0</v>
      </c>
      <c r="AE1263" s="1003">
        <f t="shared" si="102"/>
        <v>-1</v>
      </c>
      <c r="AF1263" s="1004">
        <f t="shared" si="100"/>
        <v>983</v>
      </c>
    </row>
    <row r="1264" spans="1:32" x14ac:dyDescent="0.3">
      <c r="A1264" s="368" t="s">
        <v>1460</v>
      </c>
      <c r="B1264" s="1002" t="s">
        <v>2745</v>
      </c>
      <c r="C1264" s="821"/>
      <c r="D1264" s="822"/>
      <c r="E1264" s="822"/>
      <c r="F1264" s="822"/>
      <c r="G1264" s="822"/>
      <c r="H1264" s="822"/>
      <c r="I1264" s="822"/>
      <c r="J1264" s="822"/>
      <c r="K1264" s="822"/>
      <c r="L1264" s="822"/>
      <c r="M1264" s="822"/>
      <c r="N1264" s="822"/>
      <c r="O1264" s="822"/>
      <c r="P1264" s="1497">
        <f t="shared" si="103"/>
        <v>0</v>
      </c>
      <c r="Q1264" s="1179">
        <f t="shared" si="104"/>
        <v>0</v>
      </c>
      <c r="R1264" s="821"/>
      <c r="S1264" s="822"/>
      <c r="T1264" s="822"/>
      <c r="U1264" s="822">
        <v>195000</v>
      </c>
      <c r="V1264" s="822">
        <v>0</v>
      </c>
      <c r="W1264" s="822">
        <v>0</v>
      </c>
      <c r="X1264" s="822">
        <v>0</v>
      </c>
      <c r="Y1264" s="822">
        <v>0</v>
      </c>
      <c r="Z1264" s="822"/>
      <c r="AA1264" s="822"/>
      <c r="AB1264" s="822"/>
      <c r="AC1264" s="822"/>
      <c r="AD1264" s="1179">
        <f t="shared" si="101"/>
        <v>195000</v>
      </c>
      <c r="AE1264" s="1003">
        <f t="shared" si="102"/>
        <v>1</v>
      </c>
      <c r="AF1264" s="1004">
        <f t="shared" si="100"/>
        <v>617</v>
      </c>
    </row>
    <row r="1265" spans="1:32" x14ac:dyDescent="0.3">
      <c r="A1265" s="370" t="s">
        <v>752</v>
      </c>
      <c r="B1265" s="1005" t="s">
        <v>668</v>
      </c>
      <c r="C1265" s="823"/>
      <c r="D1265" s="824">
        <v>0</v>
      </c>
      <c r="E1265" s="824"/>
      <c r="F1265" s="824">
        <v>8500</v>
      </c>
      <c r="G1265" s="824">
        <v>0</v>
      </c>
      <c r="H1265" s="824">
        <v>0</v>
      </c>
      <c r="I1265" s="824">
        <v>0</v>
      </c>
      <c r="J1265" s="824">
        <v>0</v>
      </c>
      <c r="K1265" s="824">
        <v>0</v>
      </c>
      <c r="L1265" s="824">
        <v>0</v>
      </c>
      <c r="M1265" s="824">
        <v>0</v>
      </c>
      <c r="N1265" s="824">
        <v>0</v>
      </c>
      <c r="O1265" s="824" t="s">
        <v>251</v>
      </c>
      <c r="P1265" s="1497">
        <f t="shared" si="103"/>
        <v>8500</v>
      </c>
      <c r="Q1265" s="1180">
        <f t="shared" si="104"/>
        <v>8500</v>
      </c>
      <c r="R1265" s="823"/>
      <c r="S1265" s="824"/>
      <c r="T1265" s="824"/>
      <c r="U1265" s="824"/>
      <c r="V1265" s="824"/>
      <c r="W1265" s="824"/>
      <c r="X1265" s="824"/>
      <c r="Y1265" s="824"/>
      <c r="Z1265" s="824"/>
      <c r="AA1265" s="824"/>
      <c r="AB1265" s="824"/>
      <c r="AC1265" s="824"/>
      <c r="AD1265" s="1180">
        <f t="shared" si="101"/>
        <v>0</v>
      </c>
      <c r="AE1265" s="1006">
        <f t="shared" si="102"/>
        <v>-1</v>
      </c>
      <c r="AF1265" s="1007">
        <f t="shared" si="100"/>
        <v>983</v>
      </c>
    </row>
    <row r="1266" spans="1:32" x14ac:dyDescent="0.3">
      <c r="A1266" s="370" t="s">
        <v>752</v>
      </c>
      <c r="B1266" s="1005" t="s">
        <v>753</v>
      </c>
      <c r="C1266" s="823"/>
      <c r="D1266" s="824" t="s">
        <v>251</v>
      </c>
      <c r="E1266" s="824" t="s">
        <v>251</v>
      </c>
      <c r="F1266" s="824" t="s">
        <v>251</v>
      </c>
      <c r="G1266" s="824" t="s">
        <v>251</v>
      </c>
      <c r="H1266" s="824" t="s">
        <v>251</v>
      </c>
      <c r="I1266" s="824" t="s">
        <v>251</v>
      </c>
      <c r="J1266" s="824" t="s">
        <v>251</v>
      </c>
      <c r="K1266" s="824"/>
      <c r="L1266" s="824" t="s">
        <v>251</v>
      </c>
      <c r="M1266" s="824" t="s">
        <v>251</v>
      </c>
      <c r="N1266" s="824" t="s">
        <v>251</v>
      </c>
      <c r="O1266" s="824" t="s">
        <v>251</v>
      </c>
      <c r="P1266" s="1497">
        <f t="shared" si="103"/>
        <v>0</v>
      </c>
      <c r="Q1266" s="1180">
        <f t="shared" si="104"/>
        <v>0</v>
      </c>
      <c r="R1266" s="823"/>
      <c r="S1266" s="824"/>
      <c r="T1266" s="824"/>
      <c r="U1266" s="824"/>
      <c r="V1266" s="824"/>
      <c r="W1266" s="824"/>
      <c r="X1266" s="824"/>
      <c r="Y1266" s="824"/>
      <c r="Z1266" s="824"/>
      <c r="AA1266" s="824"/>
      <c r="AB1266" s="824"/>
      <c r="AC1266" s="824"/>
      <c r="AD1266" s="1180">
        <f t="shared" si="101"/>
        <v>0</v>
      </c>
      <c r="AE1266" s="1006">
        <f t="shared" si="102"/>
        <v>0</v>
      </c>
      <c r="AF1266" s="1007">
        <f t="shared" si="100"/>
        <v>983</v>
      </c>
    </row>
    <row r="1267" spans="1:32" x14ac:dyDescent="0.3">
      <c r="A1267" s="333" t="s">
        <v>691</v>
      </c>
      <c r="B1267" s="942" t="s">
        <v>739</v>
      </c>
      <c r="C1267" s="783"/>
      <c r="D1267" s="784">
        <v>0</v>
      </c>
      <c r="E1267" s="784">
        <v>5000</v>
      </c>
      <c r="F1267" s="784">
        <v>0</v>
      </c>
      <c r="G1267" s="784">
        <v>0</v>
      </c>
      <c r="H1267" s="784">
        <v>0</v>
      </c>
      <c r="I1267" s="784">
        <v>0</v>
      </c>
      <c r="J1267" s="784">
        <v>0</v>
      </c>
      <c r="K1267" s="784">
        <v>0</v>
      </c>
      <c r="L1267" s="784">
        <v>0</v>
      </c>
      <c r="M1267" s="784">
        <v>0</v>
      </c>
      <c r="N1267" s="784">
        <v>0</v>
      </c>
      <c r="O1267" s="784" t="s">
        <v>251</v>
      </c>
      <c r="P1267" s="1497">
        <f t="shared" si="103"/>
        <v>5000</v>
      </c>
      <c r="Q1267" s="1157">
        <f t="shared" si="104"/>
        <v>5000</v>
      </c>
      <c r="R1267" s="783"/>
      <c r="S1267" s="784"/>
      <c r="T1267" s="784"/>
      <c r="U1267" s="784"/>
      <c r="V1267" s="784"/>
      <c r="W1267" s="784"/>
      <c r="X1267" s="784"/>
      <c r="Y1267" s="784"/>
      <c r="Z1267" s="784"/>
      <c r="AA1267" s="784"/>
      <c r="AB1267" s="784"/>
      <c r="AC1267" s="784"/>
      <c r="AD1267" s="1157">
        <f t="shared" si="101"/>
        <v>0</v>
      </c>
      <c r="AE1267" s="943">
        <f t="shared" si="102"/>
        <v>-1</v>
      </c>
      <c r="AF1267" s="944">
        <f t="shared" si="100"/>
        <v>983</v>
      </c>
    </row>
    <row r="1268" spans="1:32" x14ac:dyDescent="0.3">
      <c r="A1268" s="333" t="s">
        <v>691</v>
      </c>
      <c r="B1268" s="942" t="s">
        <v>636</v>
      </c>
      <c r="C1268" s="783" t="s">
        <v>251</v>
      </c>
      <c r="D1268" s="784" t="s">
        <v>251</v>
      </c>
      <c r="E1268" s="784" t="s">
        <v>251</v>
      </c>
      <c r="F1268" s="784" t="s">
        <v>251</v>
      </c>
      <c r="G1268" s="784" t="s">
        <v>251</v>
      </c>
      <c r="H1268" s="784" t="s">
        <v>251</v>
      </c>
      <c r="I1268" s="784" t="s">
        <v>251</v>
      </c>
      <c r="J1268" s="784" t="s">
        <v>251</v>
      </c>
      <c r="K1268" s="784"/>
      <c r="L1268" s="784" t="s">
        <v>251</v>
      </c>
      <c r="M1268" s="784" t="s">
        <v>251</v>
      </c>
      <c r="N1268" s="784" t="s">
        <v>251</v>
      </c>
      <c r="O1268" s="784" t="s">
        <v>251</v>
      </c>
      <c r="P1268" s="1497">
        <f t="shared" si="103"/>
        <v>0</v>
      </c>
      <c r="Q1268" s="1157">
        <f t="shared" si="104"/>
        <v>0</v>
      </c>
      <c r="R1268" s="783"/>
      <c r="S1268" s="784"/>
      <c r="T1268" s="784"/>
      <c r="U1268" s="784"/>
      <c r="V1268" s="784"/>
      <c r="W1268" s="784"/>
      <c r="X1268" s="784"/>
      <c r="Y1268" s="784"/>
      <c r="Z1268" s="784"/>
      <c r="AA1268" s="784"/>
      <c r="AB1268" s="784"/>
      <c r="AC1268" s="784"/>
      <c r="AD1268" s="1157">
        <f t="shared" si="101"/>
        <v>0</v>
      </c>
      <c r="AE1268" s="943">
        <f t="shared" si="102"/>
        <v>0</v>
      </c>
      <c r="AF1268" s="944">
        <f t="shared" si="100"/>
        <v>983</v>
      </c>
    </row>
    <row r="1269" spans="1:32" x14ac:dyDescent="0.3">
      <c r="A1269" s="333" t="s">
        <v>691</v>
      </c>
      <c r="B1269" s="942" t="s">
        <v>648</v>
      </c>
      <c r="C1269" s="783"/>
      <c r="D1269" s="784">
        <v>0</v>
      </c>
      <c r="E1269" s="784"/>
      <c r="F1269" s="784">
        <v>0</v>
      </c>
      <c r="G1269" s="784">
        <v>0</v>
      </c>
      <c r="H1269" s="784">
        <v>142500</v>
      </c>
      <c r="I1269" s="784">
        <v>0</v>
      </c>
      <c r="J1269" s="784">
        <v>0</v>
      </c>
      <c r="K1269" s="784">
        <v>0</v>
      </c>
      <c r="L1269" s="784">
        <v>0</v>
      </c>
      <c r="M1269" s="784">
        <v>0</v>
      </c>
      <c r="N1269" s="784">
        <v>0</v>
      </c>
      <c r="O1269" s="784" t="s">
        <v>251</v>
      </c>
      <c r="P1269" s="1497">
        <f t="shared" si="103"/>
        <v>142500</v>
      </c>
      <c r="Q1269" s="1157">
        <f t="shared" si="104"/>
        <v>142500</v>
      </c>
      <c r="R1269" s="783"/>
      <c r="S1269" s="784"/>
      <c r="T1269" s="784"/>
      <c r="U1269" s="784"/>
      <c r="V1269" s="784"/>
      <c r="W1269" s="784"/>
      <c r="X1269" s="784"/>
      <c r="Y1269" s="784"/>
      <c r="Z1269" s="784"/>
      <c r="AA1269" s="784"/>
      <c r="AB1269" s="784"/>
      <c r="AC1269" s="784"/>
      <c r="AD1269" s="1157">
        <f t="shared" si="101"/>
        <v>0</v>
      </c>
      <c r="AE1269" s="943">
        <f t="shared" si="102"/>
        <v>-1</v>
      </c>
      <c r="AF1269" s="944">
        <f t="shared" si="100"/>
        <v>983</v>
      </c>
    </row>
    <row r="1270" spans="1:32" x14ac:dyDescent="0.3">
      <c r="A1270" s="333" t="s">
        <v>691</v>
      </c>
      <c r="B1270" s="942" t="s">
        <v>620</v>
      </c>
      <c r="C1270" s="783"/>
      <c r="D1270" s="784">
        <v>0</v>
      </c>
      <c r="E1270" s="784"/>
      <c r="F1270" s="784">
        <v>0</v>
      </c>
      <c r="G1270" s="784">
        <v>0</v>
      </c>
      <c r="H1270" s="784">
        <v>0</v>
      </c>
      <c r="I1270" s="784">
        <v>0</v>
      </c>
      <c r="J1270" s="784">
        <v>0</v>
      </c>
      <c r="K1270" s="784"/>
      <c r="L1270" s="784">
        <v>5000</v>
      </c>
      <c r="M1270" s="784">
        <v>0</v>
      </c>
      <c r="N1270" s="784">
        <v>0</v>
      </c>
      <c r="O1270" s="784" t="s">
        <v>251</v>
      </c>
      <c r="P1270" s="1497">
        <f t="shared" si="103"/>
        <v>0</v>
      </c>
      <c r="Q1270" s="1157">
        <f t="shared" si="104"/>
        <v>5000</v>
      </c>
      <c r="R1270" s="783"/>
      <c r="S1270" s="784"/>
      <c r="T1270" s="784"/>
      <c r="U1270" s="784"/>
      <c r="V1270" s="784"/>
      <c r="W1270" s="784"/>
      <c r="X1270" s="784"/>
      <c r="Y1270" s="784"/>
      <c r="Z1270" s="784"/>
      <c r="AA1270" s="784"/>
      <c r="AB1270" s="784"/>
      <c r="AC1270" s="784"/>
      <c r="AD1270" s="1157">
        <f t="shared" si="101"/>
        <v>0</v>
      </c>
      <c r="AE1270" s="943">
        <f t="shared" si="102"/>
        <v>0</v>
      </c>
      <c r="AF1270" s="944">
        <f t="shared" si="100"/>
        <v>983</v>
      </c>
    </row>
    <row r="1271" spans="1:32" x14ac:dyDescent="0.3">
      <c r="A1271" s="333" t="s">
        <v>691</v>
      </c>
      <c r="B1271" s="942" t="s">
        <v>657</v>
      </c>
      <c r="C1271" s="783"/>
      <c r="D1271" s="784">
        <v>0</v>
      </c>
      <c r="E1271" s="784"/>
      <c r="F1271" s="784">
        <v>0</v>
      </c>
      <c r="G1271" s="784">
        <v>0</v>
      </c>
      <c r="H1271" s="784">
        <v>0</v>
      </c>
      <c r="I1271" s="784">
        <v>0</v>
      </c>
      <c r="J1271" s="784">
        <v>0</v>
      </c>
      <c r="K1271" s="784"/>
      <c r="L1271" s="784">
        <v>60000</v>
      </c>
      <c r="M1271" s="784">
        <v>15000</v>
      </c>
      <c r="N1271" s="784">
        <v>0</v>
      </c>
      <c r="O1271" s="784" t="s">
        <v>251</v>
      </c>
      <c r="P1271" s="1497">
        <f t="shared" si="103"/>
        <v>0</v>
      </c>
      <c r="Q1271" s="1157">
        <f t="shared" si="104"/>
        <v>75000</v>
      </c>
      <c r="R1271" s="783"/>
      <c r="S1271" s="784"/>
      <c r="T1271" s="784">
        <v>15000</v>
      </c>
      <c r="U1271" s="784">
        <v>15000</v>
      </c>
      <c r="V1271" s="784">
        <v>0</v>
      </c>
      <c r="W1271" s="784">
        <v>0</v>
      </c>
      <c r="X1271" s="784">
        <v>0</v>
      </c>
      <c r="Y1271" s="784">
        <v>0</v>
      </c>
      <c r="Z1271" s="784"/>
      <c r="AA1271" s="784"/>
      <c r="AB1271" s="784"/>
      <c r="AC1271" s="784"/>
      <c r="AD1271" s="1157">
        <f t="shared" si="101"/>
        <v>30000</v>
      </c>
      <c r="AE1271" s="943">
        <f t="shared" si="102"/>
        <v>1</v>
      </c>
      <c r="AF1271" s="944">
        <f t="shared" si="100"/>
        <v>894</v>
      </c>
    </row>
    <row r="1272" spans="1:32" x14ac:dyDescent="0.3">
      <c r="A1272" s="333" t="s">
        <v>691</v>
      </c>
      <c r="B1272" s="942" t="s">
        <v>645</v>
      </c>
      <c r="C1272" s="783"/>
      <c r="D1272" s="784" t="s">
        <v>251</v>
      </c>
      <c r="E1272" s="784"/>
      <c r="F1272" s="784" t="s">
        <v>251</v>
      </c>
      <c r="G1272" s="784" t="s">
        <v>251</v>
      </c>
      <c r="H1272" s="784" t="s">
        <v>251</v>
      </c>
      <c r="I1272" s="784" t="s">
        <v>251</v>
      </c>
      <c r="J1272" s="784" t="s">
        <v>251</v>
      </c>
      <c r="K1272" s="784"/>
      <c r="L1272" s="784" t="s">
        <v>251</v>
      </c>
      <c r="M1272" s="784" t="s">
        <v>251</v>
      </c>
      <c r="N1272" s="784" t="s">
        <v>251</v>
      </c>
      <c r="O1272" s="784" t="s">
        <v>251</v>
      </c>
      <c r="P1272" s="1497">
        <f t="shared" si="103"/>
        <v>0</v>
      </c>
      <c r="Q1272" s="1157">
        <f t="shared" si="104"/>
        <v>0</v>
      </c>
      <c r="R1272" s="783"/>
      <c r="S1272" s="784"/>
      <c r="T1272" s="784"/>
      <c r="U1272" s="784"/>
      <c r="V1272" s="784"/>
      <c r="W1272" s="784"/>
      <c r="X1272" s="784"/>
      <c r="Y1272" s="784"/>
      <c r="Z1272" s="784"/>
      <c r="AA1272" s="784"/>
      <c r="AB1272" s="784"/>
      <c r="AC1272" s="784"/>
      <c r="AD1272" s="1157">
        <f t="shared" si="101"/>
        <v>0</v>
      </c>
      <c r="AE1272" s="943">
        <f t="shared" si="102"/>
        <v>0</v>
      </c>
      <c r="AF1272" s="944">
        <f t="shared" si="100"/>
        <v>983</v>
      </c>
    </row>
    <row r="1273" spans="1:32" x14ac:dyDescent="0.3">
      <c r="A1273" s="333" t="s">
        <v>691</v>
      </c>
      <c r="B1273" s="942" t="s">
        <v>1803</v>
      </c>
      <c r="C1273" s="783"/>
      <c r="D1273" s="784" t="s">
        <v>251</v>
      </c>
      <c r="E1273" s="784"/>
      <c r="F1273" s="784" t="s">
        <v>251</v>
      </c>
      <c r="G1273" s="784" t="s">
        <v>251</v>
      </c>
      <c r="H1273" s="784" t="s">
        <v>251</v>
      </c>
      <c r="I1273" s="784" t="s">
        <v>251</v>
      </c>
      <c r="J1273" s="784" t="s">
        <v>251</v>
      </c>
      <c r="K1273" s="784"/>
      <c r="L1273" s="784" t="s">
        <v>251</v>
      </c>
      <c r="M1273" s="784" t="s">
        <v>251</v>
      </c>
      <c r="N1273" s="784">
        <v>1700600</v>
      </c>
      <c r="O1273" s="784">
        <v>572140</v>
      </c>
      <c r="P1273" s="1497">
        <f t="shared" si="103"/>
        <v>0</v>
      </c>
      <c r="Q1273" s="1157">
        <f t="shared" si="104"/>
        <v>2272740</v>
      </c>
      <c r="R1273" s="783"/>
      <c r="S1273" s="784"/>
      <c r="T1273" s="784"/>
      <c r="U1273" s="784"/>
      <c r="V1273" s="784"/>
      <c r="W1273" s="784"/>
      <c r="X1273" s="784"/>
      <c r="Y1273" s="784"/>
      <c r="Z1273" s="784"/>
      <c r="AA1273" s="784"/>
      <c r="AB1273" s="784"/>
      <c r="AC1273" s="784"/>
      <c r="AD1273" s="1157">
        <f t="shared" si="101"/>
        <v>0</v>
      </c>
      <c r="AE1273" s="943">
        <f t="shared" si="102"/>
        <v>0</v>
      </c>
      <c r="AF1273" s="944">
        <f t="shared" si="100"/>
        <v>983</v>
      </c>
    </row>
    <row r="1274" spans="1:32" x14ac:dyDescent="0.3">
      <c r="A1274" s="333" t="s">
        <v>691</v>
      </c>
      <c r="B1274" s="942" t="s">
        <v>650</v>
      </c>
      <c r="C1274" s="783"/>
      <c r="D1274" s="784"/>
      <c r="E1274" s="784"/>
      <c r="F1274" s="784"/>
      <c r="G1274" s="784"/>
      <c r="H1274" s="784"/>
      <c r="I1274" s="784"/>
      <c r="J1274" s="784"/>
      <c r="K1274" s="784"/>
      <c r="L1274" s="784"/>
      <c r="M1274" s="784"/>
      <c r="N1274" s="784"/>
      <c r="O1274" s="784"/>
      <c r="P1274" s="1497">
        <f t="shared" si="103"/>
        <v>0</v>
      </c>
      <c r="Q1274" s="1157">
        <f t="shared" si="104"/>
        <v>0</v>
      </c>
      <c r="R1274" s="783">
        <v>25000</v>
      </c>
      <c r="S1274" s="784"/>
      <c r="T1274" s="784">
        <v>0</v>
      </c>
      <c r="U1274" s="784">
        <v>0</v>
      </c>
      <c r="V1274" s="784">
        <v>0</v>
      </c>
      <c r="W1274" s="784">
        <v>0</v>
      </c>
      <c r="X1274" s="784">
        <v>0</v>
      </c>
      <c r="Y1274" s="784">
        <v>0</v>
      </c>
      <c r="Z1274" s="784"/>
      <c r="AA1274" s="784"/>
      <c r="AB1274" s="784"/>
      <c r="AC1274" s="784"/>
      <c r="AD1274" s="1157">
        <f t="shared" si="101"/>
        <v>25000</v>
      </c>
      <c r="AE1274" s="943">
        <f t="shared" si="102"/>
        <v>1</v>
      </c>
      <c r="AF1274" s="944">
        <f t="shared" si="100"/>
        <v>906</v>
      </c>
    </row>
    <row r="1275" spans="1:32" x14ac:dyDescent="0.3">
      <c r="A1275" s="333" t="s">
        <v>691</v>
      </c>
      <c r="B1275" s="942" t="s">
        <v>643</v>
      </c>
      <c r="C1275" s="783"/>
      <c r="D1275" s="784"/>
      <c r="E1275" s="784"/>
      <c r="F1275" s="784"/>
      <c r="G1275" s="784"/>
      <c r="H1275" s="784"/>
      <c r="I1275" s="784"/>
      <c r="J1275" s="784"/>
      <c r="K1275" s="784"/>
      <c r="L1275" s="784"/>
      <c r="M1275" s="784"/>
      <c r="N1275" s="784"/>
      <c r="O1275" s="784"/>
      <c r="P1275" s="1497">
        <f t="shared" si="103"/>
        <v>0</v>
      </c>
      <c r="Q1275" s="1157">
        <f t="shared" si="104"/>
        <v>0</v>
      </c>
      <c r="R1275" s="783"/>
      <c r="S1275" s="784"/>
      <c r="T1275" s="784"/>
      <c r="U1275" s="784">
        <v>10000</v>
      </c>
      <c r="V1275" s="784">
        <v>0</v>
      </c>
      <c r="W1275" s="784">
        <v>0</v>
      </c>
      <c r="X1275" s="784">
        <v>0</v>
      </c>
      <c r="Y1275" s="784">
        <v>0</v>
      </c>
      <c r="Z1275" s="784"/>
      <c r="AA1275" s="784"/>
      <c r="AB1275" s="784"/>
      <c r="AC1275" s="784"/>
      <c r="AD1275" s="1157">
        <f t="shared" si="101"/>
        <v>10000</v>
      </c>
      <c r="AE1275" s="943">
        <f t="shared" si="102"/>
        <v>1</v>
      </c>
      <c r="AF1275" s="944">
        <f t="shared" si="100"/>
        <v>958</v>
      </c>
    </row>
    <row r="1276" spans="1:32" x14ac:dyDescent="0.3">
      <c r="A1276" s="372" t="s">
        <v>1461</v>
      </c>
      <c r="B1276" s="1008" t="s">
        <v>1462</v>
      </c>
      <c r="C1276" s="825" t="s">
        <v>251</v>
      </c>
      <c r="D1276" s="826" t="s">
        <v>251</v>
      </c>
      <c r="E1276" s="826" t="s">
        <v>251</v>
      </c>
      <c r="F1276" s="826" t="s">
        <v>251</v>
      </c>
      <c r="G1276" s="826" t="s">
        <v>251</v>
      </c>
      <c r="H1276" s="826" t="s">
        <v>251</v>
      </c>
      <c r="I1276" s="826" t="s">
        <v>251</v>
      </c>
      <c r="J1276" s="826" t="s">
        <v>251</v>
      </c>
      <c r="K1276" s="826"/>
      <c r="L1276" s="826" t="s">
        <v>251</v>
      </c>
      <c r="M1276" s="826" t="s">
        <v>251</v>
      </c>
      <c r="N1276" s="826" t="s">
        <v>251</v>
      </c>
      <c r="O1276" s="826" t="s">
        <v>251</v>
      </c>
      <c r="P1276" s="1497">
        <f t="shared" si="103"/>
        <v>0</v>
      </c>
      <c r="Q1276" s="1181">
        <f t="shared" si="104"/>
        <v>0</v>
      </c>
      <c r="R1276" s="825"/>
      <c r="S1276" s="826"/>
      <c r="T1276" s="826"/>
      <c r="U1276" s="826"/>
      <c r="V1276" s="826"/>
      <c r="W1276" s="826"/>
      <c r="X1276" s="826"/>
      <c r="Y1276" s="826"/>
      <c r="Z1276" s="826"/>
      <c r="AA1276" s="826"/>
      <c r="AB1276" s="826"/>
      <c r="AC1276" s="826"/>
      <c r="AD1276" s="1181">
        <f t="shared" si="101"/>
        <v>0</v>
      </c>
      <c r="AE1276" s="592">
        <f t="shared" si="102"/>
        <v>0</v>
      </c>
      <c r="AF1276" s="593">
        <f t="shared" si="100"/>
        <v>983</v>
      </c>
    </row>
    <row r="1277" spans="1:32" x14ac:dyDescent="0.3">
      <c r="A1277" s="373" t="s">
        <v>1463</v>
      </c>
      <c r="B1277" s="1009" t="s">
        <v>624</v>
      </c>
      <c r="C1277" s="827" t="s">
        <v>251</v>
      </c>
      <c r="D1277" s="828" t="s">
        <v>251</v>
      </c>
      <c r="E1277" s="828" t="s">
        <v>251</v>
      </c>
      <c r="F1277" s="828" t="s">
        <v>251</v>
      </c>
      <c r="G1277" s="828" t="s">
        <v>251</v>
      </c>
      <c r="H1277" s="828" t="s">
        <v>251</v>
      </c>
      <c r="I1277" s="828" t="s">
        <v>251</v>
      </c>
      <c r="J1277" s="828" t="s">
        <v>251</v>
      </c>
      <c r="K1277" s="828"/>
      <c r="L1277" s="828" t="s">
        <v>251</v>
      </c>
      <c r="M1277" s="828" t="s">
        <v>251</v>
      </c>
      <c r="N1277" s="828" t="s">
        <v>251</v>
      </c>
      <c r="O1277" s="828" t="s">
        <v>251</v>
      </c>
      <c r="P1277" s="1497">
        <f t="shared" si="103"/>
        <v>0</v>
      </c>
      <c r="Q1277" s="1182">
        <f t="shared" si="104"/>
        <v>0</v>
      </c>
      <c r="R1277" s="827"/>
      <c r="S1277" s="828"/>
      <c r="T1277" s="828"/>
      <c r="U1277" s="828"/>
      <c r="V1277" s="828"/>
      <c r="W1277" s="828"/>
      <c r="X1277" s="828"/>
      <c r="Y1277" s="828"/>
      <c r="Z1277" s="828"/>
      <c r="AA1277" s="828"/>
      <c r="AB1277" s="828"/>
      <c r="AC1277" s="828"/>
      <c r="AD1277" s="1182">
        <f t="shared" si="101"/>
        <v>0</v>
      </c>
      <c r="AE1277" s="1010">
        <f t="shared" si="102"/>
        <v>0</v>
      </c>
      <c r="AF1277" s="1011">
        <f t="shared" si="100"/>
        <v>983</v>
      </c>
    </row>
    <row r="1278" spans="1:32" x14ac:dyDescent="0.3">
      <c r="A1278" s="373" t="s">
        <v>1463</v>
      </c>
      <c r="B1278" s="1009" t="s">
        <v>627</v>
      </c>
      <c r="C1278" s="827" t="s">
        <v>251</v>
      </c>
      <c r="D1278" s="828" t="s">
        <v>251</v>
      </c>
      <c r="E1278" s="828" t="s">
        <v>251</v>
      </c>
      <c r="F1278" s="828" t="s">
        <v>251</v>
      </c>
      <c r="G1278" s="828" t="s">
        <v>251</v>
      </c>
      <c r="H1278" s="828" t="s">
        <v>251</v>
      </c>
      <c r="I1278" s="828" t="s">
        <v>251</v>
      </c>
      <c r="J1278" s="828" t="s">
        <v>251</v>
      </c>
      <c r="K1278" s="828"/>
      <c r="L1278" s="828" t="s">
        <v>251</v>
      </c>
      <c r="M1278" s="828" t="s">
        <v>251</v>
      </c>
      <c r="N1278" s="828" t="s">
        <v>251</v>
      </c>
      <c r="O1278" s="828" t="s">
        <v>251</v>
      </c>
      <c r="P1278" s="1497">
        <f t="shared" si="103"/>
        <v>0</v>
      </c>
      <c r="Q1278" s="1182">
        <f t="shared" si="104"/>
        <v>0</v>
      </c>
      <c r="R1278" s="827"/>
      <c r="S1278" s="828"/>
      <c r="T1278" s="828"/>
      <c r="U1278" s="828"/>
      <c r="V1278" s="828"/>
      <c r="W1278" s="828"/>
      <c r="X1278" s="828"/>
      <c r="Y1278" s="828"/>
      <c r="Z1278" s="828"/>
      <c r="AA1278" s="828"/>
      <c r="AB1278" s="828"/>
      <c r="AC1278" s="828"/>
      <c r="AD1278" s="1182">
        <f t="shared" si="101"/>
        <v>0</v>
      </c>
      <c r="AE1278" s="1010">
        <f t="shared" si="102"/>
        <v>0</v>
      </c>
      <c r="AF1278" s="1011">
        <f t="shared" si="100"/>
        <v>983</v>
      </c>
    </row>
    <row r="1279" spans="1:32" x14ac:dyDescent="0.3">
      <c r="A1279" s="373" t="s">
        <v>1463</v>
      </c>
      <c r="B1279" s="1009" t="s">
        <v>1464</v>
      </c>
      <c r="C1279" s="827" t="s">
        <v>251</v>
      </c>
      <c r="D1279" s="828" t="s">
        <v>251</v>
      </c>
      <c r="E1279" s="828" t="s">
        <v>251</v>
      </c>
      <c r="F1279" s="828" t="s">
        <v>251</v>
      </c>
      <c r="G1279" s="828" t="s">
        <v>251</v>
      </c>
      <c r="H1279" s="828" t="s">
        <v>251</v>
      </c>
      <c r="I1279" s="828" t="s">
        <v>251</v>
      </c>
      <c r="J1279" s="828" t="s">
        <v>251</v>
      </c>
      <c r="K1279" s="828"/>
      <c r="L1279" s="828" t="s">
        <v>251</v>
      </c>
      <c r="M1279" s="828" t="s">
        <v>251</v>
      </c>
      <c r="N1279" s="828" t="s">
        <v>251</v>
      </c>
      <c r="O1279" s="828" t="s">
        <v>251</v>
      </c>
      <c r="P1279" s="1497">
        <f t="shared" si="103"/>
        <v>0</v>
      </c>
      <c r="Q1279" s="1182">
        <f t="shared" si="104"/>
        <v>0</v>
      </c>
      <c r="R1279" s="827"/>
      <c r="S1279" s="828"/>
      <c r="T1279" s="828"/>
      <c r="U1279" s="828"/>
      <c r="V1279" s="828"/>
      <c r="W1279" s="828"/>
      <c r="X1279" s="828"/>
      <c r="Y1279" s="828"/>
      <c r="Z1279" s="828"/>
      <c r="AA1279" s="828"/>
      <c r="AB1279" s="828"/>
      <c r="AC1279" s="828"/>
      <c r="AD1279" s="1182">
        <f t="shared" si="101"/>
        <v>0</v>
      </c>
      <c r="AE1279" s="1010">
        <f t="shared" si="102"/>
        <v>0</v>
      </c>
      <c r="AF1279" s="1011">
        <f t="shared" si="100"/>
        <v>983</v>
      </c>
    </row>
    <row r="1280" spans="1:32" x14ac:dyDescent="0.3">
      <c r="A1280" s="373" t="s">
        <v>1463</v>
      </c>
      <c r="B1280" s="1009" t="s">
        <v>669</v>
      </c>
      <c r="C1280" s="827" t="s">
        <v>251</v>
      </c>
      <c r="D1280" s="828" t="s">
        <v>251</v>
      </c>
      <c r="E1280" s="828" t="s">
        <v>251</v>
      </c>
      <c r="F1280" s="828" t="s">
        <v>251</v>
      </c>
      <c r="G1280" s="828" t="s">
        <v>251</v>
      </c>
      <c r="H1280" s="828" t="s">
        <v>251</v>
      </c>
      <c r="I1280" s="828" t="s">
        <v>251</v>
      </c>
      <c r="J1280" s="828" t="s">
        <v>251</v>
      </c>
      <c r="K1280" s="828"/>
      <c r="L1280" s="828" t="s">
        <v>251</v>
      </c>
      <c r="M1280" s="828" t="s">
        <v>251</v>
      </c>
      <c r="N1280" s="828" t="s">
        <v>251</v>
      </c>
      <c r="O1280" s="828" t="s">
        <v>251</v>
      </c>
      <c r="P1280" s="1497">
        <f t="shared" si="103"/>
        <v>0</v>
      </c>
      <c r="Q1280" s="1182">
        <f t="shared" si="104"/>
        <v>0</v>
      </c>
      <c r="R1280" s="827"/>
      <c r="S1280" s="828"/>
      <c r="T1280" s="828"/>
      <c r="U1280" s="828"/>
      <c r="V1280" s="828"/>
      <c r="W1280" s="828"/>
      <c r="X1280" s="828"/>
      <c r="Y1280" s="828"/>
      <c r="Z1280" s="828"/>
      <c r="AA1280" s="828"/>
      <c r="AB1280" s="828"/>
      <c r="AC1280" s="828"/>
      <c r="AD1280" s="1182">
        <f t="shared" si="101"/>
        <v>0</v>
      </c>
      <c r="AE1280" s="1010">
        <f t="shared" si="102"/>
        <v>0</v>
      </c>
      <c r="AF1280" s="1011">
        <f t="shared" si="100"/>
        <v>983</v>
      </c>
    </row>
    <row r="1281" spans="1:32" x14ac:dyDescent="0.3">
      <c r="A1281" s="373" t="s">
        <v>1463</v>
      </c>
      <c r="B1281" s="1009" t="s">
        <v>1465</v>
      </c>
      <c r="C1281" s="827" t="s">
        <v>251</v>
      </c>
      <c r="D1281" s="828" t="s">
        <v>251</v>
      </c>
      <c r="E1281" s="828" t="s">
        <v>251</v>
      </c>
      <c r="F1281" s="828" t="s">
        <v>251</v>
      </c>
      <c r="G1281" s="828" t="s">
        <v>251</v>
      </c>
      <c r="H1281" s="828" t="s">
        <v>251</v>
      </c>
      <c r="I1281" s="828" t="s">
        <v>251</v>
      </c>
      <c r="J1281" s="828" t="s">
        <v>251</v>
      </c>
      <c r="K1281" s="828"/>
      <c r="L1281" s="828" t="s">
        <v>251</v>
      </c>
      <c r="M1281" s="828" t="s">
        <v>251</v>
      </c>
      <c r="N1281" s="828" t="s">
        <v>251</v>
      </c>
      <c r="O1281" s="828" t="s">
        <v>251</v>
      </c>
      <c r="P1281" s="1497">
        <f t="shared" si="103"/>
        <v>0</v>
      </c>
      <c r="Q1281" s="1182">
        <f t="shared" si="104"/>
        <v>0</v>
      </c>
      <c r="R1281" s="827"/>
      <c r="S1281" s="828"/>
      <c r="T1281" s="828"/>
      <c r="U1281" s="828"/>
      <c r="V1281" s="828"/>
      <c r="W1281" s="828"/>
      <c r="X1281" s="828"/>
      <c r="Y1281" s="828"/>
      <c r="Z1281" s="828"/>
      <c r="AA1281" s="828"/>
      <c r="AB1281" s="828"/>
      <c r="AC1281" s="828"/>
      <c r="AD1281" s="1182">
        <f t="shared" si="101"/>
        <v>0</v>
      </c>
      <c r="AE1281" s="1010">
        <f t="shared" si="102"/>
        <v>0</v>
      </c>
      <c r="AF1281" s="1011">
        <f t="shared" si="100"/>
        <v>983</v>
      </c>
    </row>
    <row r="1282" spans="1:32" x14ac:dyDescent="0.3">
      <c r="A1282" s="373" t="s">
        <v>1463</v>
      </c>
      <c r="B1282" s="1009" t="s">
        <v>1799</v>
      </c>
      <c r="C1282" s="827"/>
      <c r="D1282" s="828" t="s">
        <v>251</v>
      </c>
      <c r="E1282" s="828"/>
      <c r="F1282" s="828" t="s">
        <v>251</v>
      </c>
      <c r="G1282" s="828" t="s">
        <v>251</v>
      </c>
      <c r="H1282" s="828" t="s">
        <v>251</v>
      </c>
      <c r="I1282" s="828" t="s">
        <v>251</v>
      </c>
      <c r="J1282" s="828" t="s">
        <v>251</v>
      </c>
      <c r="K1282" s="828"/>
      <c r="L1282" s="828" t="s">
        <v>251</v>
      </c>
      <c r="M1282" s="828" t="s">
        <v>251</v>
      </c>
      <c r="N1282" s="828" t="s">
        <v>251</v>
      </c>
      <c r="O1282" s="828" t="s">
        <v>251</v>
      </c>
      <c r="P1282" s="1497">
        <f t="shared" si="103"/>
        <v>0</v>
      </c>
      <c r="Q1282" s="1182">
        <f t="shared" si="104"/>
        <v>0</v>
      </c>
      <c r="R1282" s="827"/>
      <c r="S1282" s="828"/>
      <c r="T1282" s="828"/>
      <c r="U1282" s="828"/>
      <c r="V1282" s="828"/>
      <c r="W1282" s="828"/>
      <c r="X1282" s="828"/>
      <c r="Y1282" s="828"/>
      <c r="Z1282" s="828"/>
      <c r="AA1282" s="828"/>
      <c r="AB1282" s="828"/>
      <c r="AC1282" s="828"/>
      <c r="AD1282" s="1182">
        <f t="shared" si="101"/>
        <v>0</v>
      </c>
      <c r="AE1282" s="1010">
        <f t="shared" si="102"/>
        <v>0</v>
      </c>
      <c r="AF1282" s="1011">
        <f t="shared" si="100"/>
        <v>983</v>
      </c>
    </row>
    <row r="1283" spans="1:32" x14ac:dyDescent="0.3">
      <c r="A1283" s="373" t="s">
        <v>1463</v>
      </c>
      <c r="B1283" s="1009" t="s">
        <v>635</v>
      </c>
      <c r="C1283" s="827"/>
      <c r="D1283" s="828" t="s">
        <v>251</v>
      </c>
      <c r="E1283" s="828"/>
      <c r="F1283" s="828" t="s">
        <v>251</v>
      </c>
      <c r="G1283" s="828" t="s">
        <v>251</v>
      </c>
      <c r="H1283" s="828" t="s">
        <v>251</v>
      </c>
      <c r="I1283" s="828" t="s">
        <v>251</v>
      </c>
      <c r="J1283" s="828" t="s">
        <v>251</v>
      </c>
      <c r="K1283" s="828"/>
      <c r="L1283" s="828" t="s">
        <v>251</v>
      </c>
      <c r="M1283" s="828" t="s">
        <v>251</v>
      </c>
      <c r="N1283" s="828" t="s">
        <v>251</v>
      </c>
      <c r="O1283" s="828" t="s">
        <v>251</v>
      </c>
      <c r="P1283" s="1497">
        <f t="shared" si="103"/>
        <v>0</v>
      </c>
      <c r="Q1283" s="1182">
        <f t="shared" si="104"/>
        <v>0</v>
      </c>
      <c r="R1283" s="827"/>
      <c r="S1283" s="828"/>
      <c r="T1283" s="828"/>
      <c r="U1283" s="828"/>
      <c r="V1283" s="828"/>
      <c r="W1283" s="828"/>
      <c r="X1283" s="828"/>
      <c r="Y1283" s="828"/>
      <c r="Z1283" s="828"/>
      <c r="AA1283" s="828"/>
      <c r="AB1283" s="828"/>
      <c r="AC1283" s="828"/>
      <c r="AD1283" s="1182">
        <f t="shared" si="101"/>
        <v>0</v>
      </c>
      <c r="AE1283" s="1010">
        <f t="shared" si="102"/>
        <v>0</v>
      </c>
      <c r="AF1283" s="1011">
        <f t="shared" si="100"/>
        <v>983</v>
      </c>
    </row>
    <row r="1284" spans="1:32" x14ac:dyDescent="0.3">
      <c r="A1284" s="375" t="s">
        <v>1466</v>
      </c>
      <c r="B1284" s="1012" t="s">
        <v>1186</v>
      </c>
      <c r="C1284" s="829" t="s">
        <v>251</v>
      </c>
      <c r="D1284" s="830" t="s">
        <v>251</v>
      </c>
      <c r="E1284" s="830" t="s">
        <v>251</v>
      </c>
      <c r="F1284" s="830" t="s">
        <v>251</v>
      </c>
      <c r="G1284" s="830" t="s">
        <v>251</v>
      </c>
      <c r="H1284" s="830" t="s">
        <v>251</v>
      </c>
      <c r="I1284" s="830" t="s">
        <v>251</v>
      </c>
      <c r="J1284" s="830" t="s">
        <v>251</v>
      </c>
      <c r="K1284" s="830"/>
      <c r="L1284" s="830" t="s">
        <v>251</v>
      </c>
      <c r="M1284" s="830" t="s">
        <v>251</v>
      </c>
      <c r="N1284" s="830" t="s">
        <v>251</v>
      </c>
      <c r="O1284" s="830" t="s">
        <v>251</v>
      </c>
      <c r="P1284" s="1497">
        <f t="shared" si="103"/>
        <v>0</v>
      </c>
      <c r="Q1284" s="1183">
        <f t="shared" si="104"/>
        <v>0</v>
      </c>
      <c r="R1284" s="829"/>
      <c r="S1284" s="830"/>
      <c r="T1284" s="830"/>
      <c r="U1284" s="830"/>
      <c r="V1284" s="830"/>
      <c r="W1284" s="830"/>
      <c r="X1284" s="830"/>
      <c r="Y1284" s="830"/>
      <c r="Z1284" s="830"/>
      <c r="AA1284" s="830"/>
      <c r="AB1284" s="830"/>
      <c r="AC1284" s="830"/>
      <c r="AD1284" s="1183">
        <f t="shared" si="101"/>
        <v>0</v>
      </c>
      <c r="AE1284" s="1013">
        <f t="shared" si="102"/>
        <v>0</v>
      </c>
      <c r="AF1284" s="1014">
        <f t="shared" si="100"/>
        <v>983</v>
      </c>
    </row>
    <row r="1285" spans="1:32" x14ac:dyDescent="0.3">
      <c r="A1285" s="375" t="s">
        <v>1466</v>
      </c>
      <c r="B1285" s="1012" t="s">
        <v>2181</v>
      </c>
      <c r="C1285" s="829"/>
      <c r="D1285" s="830" t="s">
        <v>251</v>
      </c>
      <c r="E1285" s="830"/>
      <c r="F1285" s="830" t="s">
        <v>251</v>
      </c>
      <c r="G1285" s="830" t="s">
        <v>251</v>
      </c>
      <c r="H1285" s="830" t="s">
        <v>251</v>
      </c>
      <c r="I1285" s="830" t="s">
        <v>251</v>
      </c>
      <c r="J1285" s="830" t="s">
        <v>251</v>
      </c>
      <c r="K1285" s="830"/>
      <c r="L1285" s="830" t="s">
        <v>251</v>
      </c>
      <c r="M1285" s="830" t="s">
        <v>251</v>
      </c>
      <c r="N1285" s="830" t="s">
        <v>251</v>
      </c>
      <c r="O1285" s="830" t="s">
        <v>251</v>
      </c>
      <c r="P1285" s="1497">
        <f t="shared" si="103"/>
        <v>0</v>
      </c>
      <c r="Q1285" s="1183">
        <f t="shared" si="104"/>
        <v>0</v>
      </c>
      <c r="R1285" s="829"/>
      <c r="S1285" s="830"/>
      <c r="T1285" s="830"/>
      <c r="U1285" s="830"/>
      <c r="V1285" s="830"/>
      <c r="W1285" s="830"/>
      <c r="X1285" s="830"/>
      <c r="Y1285" s="830"/>
      <c r="Z1285" s="830"/>
      <c r="AA1285" s="830"/>
      <c r="AB1285" s="830"/>
      <c r="AC1285" s="830"/>
      <c r="AD1285" s="1183">
        <f t="shared" si="101"/>
        <v>0</v>
      </c>
      <c r="AE1285" s="1013">
        <f t="shared" si="102"/>
        <v>0</v>
      </c>
      <c r="AF1285" s="1014">
        <f t="shared" si="100"/>
        <v>983</v>
      </c>
    </row>
    <row r="1286" spans="1:32" x14ac:dyDescent="0.3">
      <c r="A1286" s="375" t="s">
        <v>1466</v>
      </c>
      <c r="B1286" s="1012" t="s">
        <v>2621</v>
      </c>
      <c r="C1286" s="829"/>
      <c r="D1286" s="830"/>
      <c r="E1286" s="830"/>
      <c r="F1286" s="830"/>
      <c r="G1286" s="830"/>
      <c r="H1286" s="830"/>
      <c r="I1286" s="830"/>
      <c r="J1286" s="830"/>
      <c r="K1286" s="830"/>
      <c r="L1286" s="830"/>
      <c r="M1286" s="830"/>
      <c r="N1286" s="830"/>
      <c r="O1286" s="830"/>
      <c r="P1286" s="1497">
        <f t="shared" si="103"/>
        <v>0</v>
      </c>
      <c r="Q1286" s="1183">
        <f t="shared" si="104"/>
        <v>0</v>
      </c>
      <c r="R1286" s="829"/>
      <c r="S1286" s="830"/>
      <c r="T1286" s="830">
        <v>398800</v>
      </c>
      <c r="U1286" s="830">
        <v>31000</v>
      </c>
      <c r="V1286" s="830">
        <v>188400</v>
      </c>
      <c r="W1286" s="830">
        <v>314400</v>
      </c>
      <c r="X1286" s="830">
        <v>0</v>
      </c>
      <c r="Y1286" s="830">
        <v>0</v>
      </c>
      <c r="Z1286" s="830"/>
      <c r="AA1286" s="830"/>
      <c r="AB1286" s="830"/>
      <c r="AC1286" s="830"/>
      <c r="AD1286" s="1183">
        <f t="shared" si="101"/>
        <v>932600</v>
      </c>
      <c r="AE1286" s="1013">
        <f t="shared" si="102"/>
        <v>1</v>
      </c>
      <c r="AF1286" s="1014">
        <f>IFERROR(_xlfn.RANK.EQ(AD1286, $AD$2:$AD$2064), "")</f>
        <v>329</v>
      </c>
    </row>
    <row r="1287" spans="1:32" x14ac:dyDescent="0.3">
      <c r="A1287" s="375" t="s">
        <v>1466</v>
      </c>
      <c r="B1287" s="1012" t="s">
        <v>1061</v>
      </c>
      <c r="C1287" s="829"/>
      <c r="D1287" s="830"/>
      <c r="E1287" s="830"/>
      <c r="F1287" s="830"/>
      <c r="G1287" s="830"/>
      <c r="H1287" s="830"/>
      <c r="I1287" s="830"/>
      <c r="J1287" s="830"/>
      <c r="K1287" s="830"/>
      <c r="L1287" s="830"/>
      <c r="M1287" s="830"/>
      <c r="N1287" s="830"/>
      <c r="O1287" s="830"/>
      <c r="P1287" s="1497">
        <f t="shared" si="103"/>
        <v>0</v>
      </c>
      <c r="Q1287" s="1183">
        <f t="shared" si="104"/>
        <v>0</v>
      </c>
      <c r="R1287" s="829"/>
      <c r="S1287" s="830"/>
      <c r="T1287" s="830"/>
      <c r="U1287" s="830">
        <v>134500</v>
      </c>
      <c r="V1287" s="830">
        <v>0</v>
      </c>
      <c r="W1287" s="830">
        <v>610200</v>
      </c>
      <c r="X1287" s="830">
        <v>1353700</v>
      </c>
      <c r="Y1287" s="830">
        <v>1418300</v>
      </c>
      <c r="Z1287" s="830"/>
      <c r="AA1287" s="830"/>
      <c r="AB1287" s="830"/>
      <c r="AC1287" s="830"/>
      <c r="AD1287" s="1183">
        <f t="shared" si="101"/>
        <v>3516700</v>
      </c>
      <c r="AE1287" s="1013">
        <f t="shared" si="102"/>
        <v>1</v>
      </c>
      <c r="AF1287" s="1014">
        <f t="shared" ref="AF1287:AF1350" si="105">IFERROR(_xlfn.RANK.EQ(AD1287, $AD$2:$AD$2064), "")</f>
        <v>132</v>
      </c>
    </row>
    <row r="1288" spans="1:32" x14ac:dyDescent="0.3">
      <c r="A1288" s="375" t="s">
        <v>1466</v>
      </c>
      <c r="B1288" s="1012" t="s">
        <v>2746</v>
      </c>
      <c r="C1288" s="829"/>
      <c r="D1288" s="830"/>
      <c r="E1288" s="830"/>
      <c r="F1288" s="830"/>
      <c r="G1288" s="830"/>
      <c r="H1288" s="830"/>
      <c r="I1288" s="830"/>
      <c r="J1288" s="830"/>
      <c r="K1288" s="830"/>
      <c r="L1288" s="830"/>
      <c r="M1288" s="830"/>
      <c r="N1288" s="830"/>
      <c r="O1288" s="830"/>
      <c r="P1288" s="1497">
        <f t="shared" si="103"/>
        <v>0</v>
      </c>
      <c r="Q1288" s="1183">
        <f t="shared" si="104"/>
        <v>0</v>
      </c>
      <c r="R1288" s="829"/>
      <c r="S1288" s="830"/>
      <c r="T1288" s="830"/>
      <c r="U1288" s="830">
        <v>64800</v>
      </c>
      <c r="V1288" s="830">
        <v>745000</v>
      </c>
      <c r="W1288" s="830">
        <v>0</v>
      </c>
      <c r="X1288" s="830">
        <v>110000</v>
      </c>
      <c r="Y1288" s="830">
        <v>200100</v>
      </c>
      <c r="Z1288" s="830"/>
      <c r="AA1288" s="830"/>
      <c r="AB1288" s="830"/>
      <c r="AC1288" s="830"/>
      <c r="AD1288" s="1183">
        <f t="shared" si="101"/>
        <v>1119900</v>
      </c>
      <c r="AE1288" s="1013">
        <f t="shared" si="102"/>
        <v>1</v>
      </c>
      <c r="AF1288" s="1014">
        <f t="shared" si="105"/>
        <v>298</v>
      </c>
    </row>
    <row r="1289" spans="1:32" x14ac:dyDescent="0.3">
      <c r="A1289" s="375" t="s">
        <v>1466</v>
      </c>
      <c r="B1289" s="1012" t="s">
        <v>2992</v>
      </c>
      <c r="C1289" s="829"/>
      <c r="D1289" s="830"/>
      <c r="E1289" s="830"/>
      <c r="F1289" s="830"/>
      <c r="G1289" s="830"/>
      <c r="H1289" s="830"/>
      <c r="I1289" s="830"/>
      <c r="J1289" s="830"/>
      <c r="K1289" s="830"/>
      <c r="L1289" s="830"/>
      <c r="M1289" s="830"/>
      <c r="N1289" s="830"/>
      <c r="O1289" s="830"/>
      <c r="P1289" s="1497">
        <f t="shared" si="103"/>
        <v>0</v>
      </c>
      <c r="Q1289" s="1183">
        <f t="shared" si="104"/>
        <v>0</v>
      </c>
      <c r="R1289" s="829"/>
      <c r="S1289" s="830"/>
      <c r="T1289" s="830"/>
      <c r="U1289" s="830"/>
      <c r="V1289" s="830"/>
      <c r="W1289" s="830"/>
      <c r="X1289" s="830">
        <v>184400</v>
      </c>
      <c r="Y1289" s="830">
        <v>177400</v>
      </c>
      <c r="Z1289" s="830"/>
      <c r="AA1289" s="830"/>
      <c r="AB1289" s="830"/>
      <c r="AC1289" s="830"/>
      <c r="AD1289" s="1183">
        <f t="shared" si="101"/>
        <v>361800</v>
      </c>
      <c r="AE1289" s="1013">
        <f t="shared" si="102"/>
        <v>1</v>
      </c>
      <c r="AF1289" s="1014">
        <f t="shared" si="105"/>
        <v>499</v>
      </c>
    </row>
    <row r="1290" spans="1:32" x14ac:dyDescent="0.3">
      <c r="A1290" s="377" t="s">
        <v>1467</v>
      </c>
      <c r="B1290" s="1015" t="s">
        <v>1371</v>
      </c>
      <c r="C1290" s="831" t="s">
        <v>251</v>
      </c>
      <c r="D1290" s="832" t="s">
        <v>251</v>
      </c>
      <c r="E1290" s="832" t="s">
        <v>251</v>
      </c>
      <c r="F1290" s="832" t="s">
        <v>251</v>
      </c>
      <c r="G1290" s="832" t="s">
        <v>251</v>
      </c>
      <c r="H1290" s="832" t="s">
        <v>251</v>
      </c>
      <c r="I1290" s="832" t="s">
        <v>251</v>
      </c>
      <c r="J1290" s="832" t="s">
        <v>251</v>
      </c>
      <c r="K1290" s="832"/>
      <c r="L1290" s="832" t="s">
        <v>251</v>
      </c>
      <c r="M1290" s="832" t="s">
        <v>251</v>
      </c>
      <c r="N1290" s="832" t="s">
        <v>251</v>
      </c>
      <c r="O1290" s="832" t="s">
        <v>251</v>
      </c>
      <c r="P1290" s="1497">
        <f t="shared" si="103"/>
        <v>0</v>
      </c>
      <c r="Q1290" s="1184">
        <f t="shared" si="104"/>
        <v>0</v>
      </c>
      <c r="R1290" s="831"/>
      <c r="S1290" s="832"/>
      <c r="T1290" s="832"/>
      <c r="U1290" s="832"/>
      <c r="V1290" s="832"/>
      <c r="W1290" s="832"/>
      <c r="X1290" s="832"/>
      <c r="Y1290" s="832"/>
      <c r="Z1290" s="832"/>
      <c r="AA1290" s="832"/>
      <c r="AB1290" s="832"/>
      <c r="AC1290" s="832"/>
      <c r="AD1290" s="1184">
        <f t="shared" si="101"/>
        <v>0</v>
      </c>
      <c r="AE1290" s="1016">
        <f t="shared" si="102"/>
        <v>0</v>
      </c>
      <c r="AF1290" s="1017">
        <f t="shared" si="105"/>
        <v>983</v>
      </c>
    </row>
    <row r="1291" spans="1:32" x14ac:dyDescent="0.3">
      <c r="A1291" s="377" t="s">
        <v>1467</v>
      </c>
      <c r="B1291" s="1015" t="s">
        <v>2399</v>
      </c>
      <c r="C1291" s="831"/>
      <c r="D1291" s="832" t="s">
        <v>251</v>
      </c>
      <c r="E1291" s="832"/>
      <c r="F1291" s="832"/>
      <c r="G1291" s="832" t="s">
        <v>251</v>
      </c>
      <c r="H1291" s="832" t="s">
        <v>251</v>
      </c>
      <c r="I1291" s="832" t="s">
        <v>251</v>
      </c>
      <c r="J1291" s="832"/>
      <c r="K1291" s="832"/>
      <c r="L1291" s="832"/>
      <c r="M1291" s="832"/>
      <c r="N1291" s="832"/>
      <c r="O1291" s="832">
        <v>34750</v>
      </c>
      <c r="P1291" s="1497">
        <f t="shared" si="103"/>
        <v>0</v>
      </c>
      <c r="Q1291" s="1184">
        <f t="shared" si="104"/>
        <v>34750</v>
      </c>
      <c r="R1291" s="831">
        <v>21000</v>
      </c>
      <c r="S1291" s="832"/>
      <c r="T1291" s="832">
        <v>0</v>
      </c>
      <c r="U1291" s="832">
        <v>0</v>
      </c>
      <c r="V1291" s="832">
        <v>0</v>
      </c>
      <c r="W1291" s="832">
        <v>0</v>
      </c>
      <c r="X1291" s="832">
        <v>0</v>
      </c>
      <c r="Y1291" s="832">
        <v>0</v>
      </c>
      <c r="Z1291" s="832"/>
      <c r="AA1291" s="832"/>
      <c r="AB1291" s="832"/>
      <c r="AC1291" s="832"/>
      <c r="AD1291" s="1184">
        <f t="shared" ref="AD1291:AD1358" si="106">SUM(R1291:AC1291)</f>
        <v>21000</v>
      </c>
      <c r="AE1291" s="1016">
        <f t="shared" ref="AE1291:AE1358" si="107">IF(OR(AD1291="", P1291=""), 0, IFERROR((AD1291-P1291)/P1291, IF(AD1291&lt;&gt;0, 1, 0)))</f>
        <v>1</v>
      </c>
      <c r="AF1291" s="1017">
        <f t="shared" si="105"/>
        <v>919</v>
      </c>
    </row>
    <row r="1292" spans="1:32" x14ac:dyDescent="0.3">
      <c r="A1292" s="379" t="s">
        <v>253</v>
      </c>
      <c r="B1292" s="1018" t="s">
        <v>1279</v>
      </c>
      <c r="C1292" s="833" t="s">
        <v>251</v>
      </c>
      <c r="D1292" s="834" t="s">
        <v>251</v>
      </c>
      <c r="E1292" s="834" t="s">
        <v>251</v>
      </c>
      <c r="F1292" s="834" t="s">
        <v>251</v>
      </c>
      <c r="G1292" s="834" t="s">
        <v>251</v>
      </c>
      <c r="H1292" s="834" t="s">
        <v>251</v>
      </c>
      <c r="I1292" s="834" t="s">
        <v>251</v>
      </c>
      <c r="J1292" s="834" t="s">
        <v>251</v>
      </c>
      <c r="K1292" s="834"/>
      <c r="L1292" s="834" t="s">
        <v>251</v>
      </c>
      <c r="M1292" s="834" t="s">
        <v>251</v>
      </c>
      <c r="N1292" s="834" t="s">
        <v>251</v>
      </c>
      <c r="O1292" s="834" t="s">
        <v>251</v>
      </c>
      <c r="P1292" s="1497">
        <f t="shared" si="103"/>
        <v>0</v>
      </c>
      <c r="Q1292" s="1185">
        <f t="shared" si="104"/>
        <v>0</v>
      </c>
      <c r="R1292" s="833"/>
      <c r="S1292" s="834"/>
      <c r="T1292" s="834"/>
      <c r="U1292" s="834"/>
      <c r="V1292" s="834"/>
      <c r="W1292" s="834"/>
      <c r="X1292" s="834"/>
      <c r="Y1292" s="834"/>
      <c r="Z1292" s="834"/>
      <c r="AA1292" s="834"/>
      <c r="AB1292" s="834"/>
      <c r="AC1292" s="834"/>
      <c r="AD1292" s="1185">
        <f t="shared" si="106"/>
        <v>0</v>
      </c>
      <c r="AE1292" s="1019">
        <f t="shared" si="107"/>
        <v>0</v>
      </c>
      <c r="AF1292" s="1020">
        <f t="shared" si="105"/>
        <v>983</v>
      </c>
    </row>
    <row r="1293" spans="1:32" x14ac:dyDescent="0.3">
      <c r="A1293" s="379" t="s">
        <v>253</v>
      </c>
      <c r="B1293" s="1018" t="s">
        <v>1138</v>
      </c>
      <c r="C1293" s="833"/>
      <c r="D1293" s="834" t="s">
        <v>251</v>
      </c>
      <c r="E1293" s="834"/>
      <c r="F1293" s="834" t="s">
        <v>251</v>
      </c>
      <c r="G1293" s="834" t="s">
        <v>251</v>
      </c>
      <c r="H1293" s="834">
        <v>325500</v>
      </c>
      <c r="I1293" s="834" t="s">
        <v>251</v>
      </c>
      <c r="J1293" s="834" t="s">
        <v>251</v>
      </c>
      <c r="K1293" s="834"/>
      <c r="L1293" s="834" t="s">
        <v>251</v>
      </c>
      <c r="M1293" s="834" t="s">
        <v>251</v>
      </c>
      <c r="N1293" s="834">
        <v>763950</v>
      </c>
      <c r="O1293" s="834">
        <v>737400</v>
      </c>
      <c r="P1293" s="1497">
        <f t="shared" si="103"/>
        <v>325500</v>
      </c>
      <c r="Q1293" s="1185">
        <f t="shared" si="104"/>
        <v>1826850</v>
      </c>
      <c r="R1293" s="833"/>
      <c r="S1293" s="834"/>
      <c r="T1293" s="834"/>
      <c r="U1293" s="834"/>
      <c r="V1293" s="834"/>
      <c r="W1293" s="834"/>
      <c r="X1293" s="834"/>
      <c r="Y1293" s="834"/>
      <c r="Z1293" s="834"/>
      <c r="AA1293" s="834"/>
      <c r="AB1293" s="834"/>
      <c r="AC1293" s="834"/>
      <c r="AD1293" s="1185">
        <f t="shared" si="106"/>
        <v>0</v>
      </c>
      <c r="AE1293" s="1019">
        <f t="shared" si="107"/>
        <v>-1</v>
      </c>
      <c r="AF1293" s="1020">
        <f t="shared" si="105"/>
        <v>983</v>
      </c>
    </row>
    <row r="1294" spans="1:32" x14ac:dyDescent="0.3">
      <c r="A1294" s="642" t="s">
        <v>2182</v>
      </c>
      <c r="B1294" s="692" t="s">
        <v>1611</v>
      </c>
      <c r="C1294" s="732"/>
      <c r="D1294" s="733">
        <v>0</v>
      </c>
      <c r="E1294" s="733"/>
      <c r="F1294" s="733">
        <v>0</v>
      </c>
      <c r="G1294" s="733">
        <v>0</v>
      </c>
      <c r="H1294" s="733">
        <v>0</v>
      </c>
      <c r="I1294" s="733">
        <v>0</v>
      </c>
      <c r="J1294" s="733">
        <v>0</v>
      </c>
      <c r="K1294" s="733"/>
      <c r="L1294" s="733">
        <v>0</v>
      </c>
      <c r="M1294" s="733">
        <v>0</v>
      </c>
      <c r="N1294" s="733">
        <v>1281400</v>
      </c>
      <c r="O1294" s="733">
        <v>746800</v>
      </c>
      <c r="P1294" s="1497">
        <f t="shared" si="103"/>
        <v>0</v>
      </c>
      <c r="Q1294" s="1132">
        <f t="shared" si="104"/>
        <v>2028200</v>
      </c>
      <c r="R1294" s="732">
        <v>445600</v>
      </c>
      <c r="S1294" s="733"/>
      <c r="T1294" s="733">
        <v>0</v>
      </c>
      <c r="U1294" s="733">
        <v>708000</v>
      </c>
      <c r="V1294" s="733">
        <v>209200</v>
      </c>
      <c r="W1294" s="733">
        <v>115000</v>
      </c>
      <c r="X1294" s="733">
        <v>0</v>
      </c>
      <c r="Y1294" s="733">
        <v>518600</v>
      </c>
      <c r="Z1294" s="733"/>
      <c r="AA1294" s="733"/>
      <c r="AB1294" s="733"/>
      <c r="AC1294" s="733"/>
      <c r="AD1294" s="1132">
        <f t="shared" si="106"/>
        <v>1996400</v>
      </c>
      <c r="AE1294" s="645">
        <f t="shared" si="107"/>
        <v>1</v>
      </c>
      <c r="AF1294" s="646">
        <f t="shared" si="105"/>
        <v>212</v>
      </c>
    </row>
    <row r="1295" spans="1:32" x14ac:dyDescent="0.3">
      <c r="A1295" s="642" t="s">
        <v>2182</v>
      </c>
      <c r="B1295" s="692" t="s">
        <v>2183</v>
      </c>
      <c r="C1295" s="732"/>
      <c r="D1295" s="733">
        <v>0</v>
      </c>
      <c r="E1295" s="733"/>
      <c r="F1295" s="733">
        <v>0</v>
      </c>
      <c r="G1295" s="733">
        <v>0</v>
      </c>
      <c r="H1295" s="733">
        <v>0</v>
      </c>
      <c r="I1295" s="733">
        <v>0</v>
      </c>
      <c r="J1295" s="733">
        <v>0</v>
      </c>
      <c r="K1295" s="733"/>
      <c r="L1295" s="733">
        <v>0</v>
      </c>
      <c r="M1295" s="733">
        <v>0</v>
      </c>
      <c r="N1295" s="733">
        <v>134200</v>
      </c>
      <c r="O1295" s="733" t="s">
        <v>251</v>
      </c>
      <c r="P1295" s="1497">
        <f t="shared" si="103"/>
        <v>0</v>
      </c>
      <c r="Q1295" s="1132">
        <f t="shared" si="104"/>
        <v>134200</v>
      </c>
      <c r="R1295" s="732"/>
      <c r="S1295" s="733"/>
      <c r="T1295" s="733"/>
      <c r="U1295" s="733"/>
      <c r="V1295" s="733"/>
      <c r="W1295" s="733"/>
      <c r="X1295" s="733"/>
      <c r="Y1295" s="733"/>
      <c r="Z1295" s="733"/>
      <c r="AA1295" s="733"/>
      <c r="AB1295" s="733"/>
      <c r="AC1295" s="733"/>
      <c r="AD1295" s="1132">
        <f t="shared" si="106"/>
        <v>0</v>
      </c>
      <c r="AE1295" s="645">
        <f t="shared" si="107"/>
        <v>0</v>
      </c>
      <c r="AF1295" s="646">
        <f t="shared" si="105"/>
        <v>983</v>
      </c>
    </row>
    <row r="1296" spans="1:32" x14ac:dyDescent="0.3">
      <c r="A1296" s="642" t="s">
        <v>2182</v>
      </c>
      <c r="B1296" s="692" t="s">
        <v>2182</v>
      </c>
      <c r="C1296" s="732"/>
      <c r="D1296" s="733"/>
      <c r="E1296" s="733"/>
      <c r="F1296" s="733"/>
      <c r="G1296" s="733"/>
      <c r="H1296" s="733"/>
      <c r="I1296" s="733"/>
      <c r="J1296" s="733"/>
      <c r="K1296" s="733"/>
      <c r="L1296" s="733"/>
      <c r="M1296" s="733"/>
      <c r="N1296" s="733"/>
      <c r="O1296" s="733"/>
      <c r="P1296" s="1497">
        <f t="shared" si="103"/>
        <v>0</v>
      </c>
      <c r="Q1296" s="1132">
        <f t="shared" si="104"/>
        <v>0</v>
      </c>
      <c r="R1296" s="732"/>
      <c r="S1296" s="733"/>
      <c r="T1296" s="733"/>
      <c r="U1296" s="733"/>
      <c r="V1296" s="733">
        <v>0</v>
      </c>
      <c r="W1296" s="733">
        <v>0</v>
      </c>
      <c r="X1296" s="733">
        <v>0</v>
      </c>
      <c r="Y1296" s="733">
        <v>0</v>
      </c>
      <c r="Z1296" s="733"/>
      <c r="AA1296" s="733"/>
      <c r="AB1296" s="733"/>
      <c r="AC1296" s="733"/>
      <c r="AD1296" s="1132">
        <f t="shared" si="106"/>
        <v>0</v>
      </c>
      <c r="AE1296" s="645">
        <f t="shared" si="107"/>
        <v>0</v>
      </c>
      <c r="AF1296" s="646">
        <f t="shared" si="105"/>
        <v>983</v>
      </c>
    </row>
    <row r="1297" spans="1:32" x14ac:dyDescent="0.3">
      <c r="A1297" s="368" t="s">
        <v>2511</v>
      </c>
      <c r="B1297" s="883" t="s">
        <v>2512</v>
      </c>
      <c r="C1297" s="742"/>
      <c r="D1297" s="743"/>
      <c r="E1297" s="743"/>
      <c r="F1297" s="743"/>
      <c r="G1297" s="743"/>
      <c r="H1297" s="743"/>
      <c r="I1297" s="743"/>
      <c r="J1297" s="743"/>
      <c r="K1297" s="743"/>
      <c r="L1297" s="743"/>
      <c r="M1297" s="743"/>
      <c r="N1297" s="743"/>
      <c r="O1297" s="743"/>
      <c r="P1297" s="1497">
        <f t="shared" si="103"/>
        <v>0</v>
      </c>
      <c r="Q1297" s="1137">
        <f t="shared" si="104"/>
        <v>0</v>
      </c>
      <c r="R1297" s="742">
        <v>22600</v>
      </c>
      <c r="S1297" s="743"/>
      <c r="T1297" s="743">
        <v>0</v>
      </c>
      <c r="U1297" s="743">
        <v>0</v>
      </c>
      <c r="V1297" s="743">
        <v>0</v>
      </c>
      <c r="W1297" s="743">
        <v>0</v>
      </c>
      <c r="X1297" s="743">
        <v>9200</v>
      </c>
      <c r="Y1297" s="743">
        <v>0</v>
      </c>
      <c r="Z1297" s="743"/>
      <c r="AA1297" s="743"/>
      <c r="AB1297" s="743"/>
      <c r="AC1297" s="743"/>
      <c r="AD1297" s="1137">
        <f t="shared" si="106"/>
        <v>31800</v>
      </c>
      <c r="AE1297" s="884">
        <f t="shared" si="107"/>
        <v>1</v>
      </c>
      <c r="AF1297" s="885">
        <f t="shared" si="105"/>
        <v>889</v>
      </c>
    </row>
    <row r="1298" spans="1:32" x14ac:dyDescent="0.3">
      <c r="A1298" s="971" t="s">
        <v>2553</v>
      </c>
      <c r="B1298" s="930" t="s">
        <v>2554</v>
      </c>
      <c r="C1298" s="775"/>
      <c r="D1298" s="776"/>
      <c r="E1298" s="776"/>
      <c r="F1298" s="776"/>
      <c r="G1298" s="776"/>
      <c r="H1298" s="776"/>
      <c r="I1298" s="776"/>
      <c r="J1298" s="776"/>
      <c r="K1298" s="776"/>
      <c r="L1298" s="776"/>
      <c r="M1298" s="776"/>
      <c r="N1298" s="776"/>
      <c r="O1298" s="776"/>
      <c r="P1298" s="1497">
        <f t="shared" si="103"/>
        <v>0</v>
      </c>
      <c r="Q1298" s="1153">
        <f t="shared" si="104"/>
        <v>0</v>
      </c>
      <c r="R1298" s="775">
        <v>7800</v>
      </c>
      <c r="S1298" s="776">
        <v>7800</v>
      </c>
      <c r="T1298" s="776">
        <v>0</v>
      </c>
      <c r="U1298" s="776">
        <v>0</v>
      </c>
      <c r="V1298" s="776">
        <v>0</v>
      </c>
      <c r="W1298" s="776">
        <v>0</v>
      </c>
      <c r="X1298" s="776">
        <v>0</v>
      </c>
      <c r="Y1298" s="776">
        <v>0</v>
      </c>
      <c r="Z1298" s="776"/>
      <c r="AA1298" s="776"/>
      <c r="AB1298" s="776"/>
      <c r="AC1298" s="776"/>
      <c r="AD1298" s="1153">
        <f t="shared" si="106"/>
        <v>15600</v>
      </c>
      <c r="AE1298" s="931">
        <f t="shared" si="107"/>
        <v>1</v>
      </c>
      <c r="AF1298" s="932">
        <f t="shared" si="105"/>
        <v>939</v>
      </c>
    </row>
    <row r="1299" spans="1:32" x14ac:dyDescent="0.3">
      <c r="A1299" s="971" t="s">
        <v>2553</v>
      </c>
      <c r="B1299" s="930" t="s">
        <v>2993</v>
      </c>
      <c r="C1299" s="775"/>
      <c r="D1299" s="776"/>
      <c r="E1299" s="776"/>
      <c r="F1299" s="776"/>
      <c r="G1299" s="776"/>
      <c r="H1299" s="776"/>
      <c r="I1299" s="776"/>
      <c r="J1299" s="776"/>
      <c r="K1299" s="776"/>
      <c r="L1299" s="776"/>
      <c r="M1299" s="776"/>
      <c r="N1299" s="776"/>
      <c r="O1299" s="776"/>
      <c r="P1299" s="1497">
        <f t="shared" si="103"/>
        <v>0</v>
      </c>
      <c r="Q1299" s="1153">
        <f t="shared" si="104"/>
        <v>0</v>
      </c>
      <c r="R1299" s="775"/>
      <c r="S1299" s="776"/>
      <c r="T1299" s="776"/>
      <c r="U1299" s="776"/>
      <c r="V1299" s="776"/>
      <c r="W1299" s="776"/>
      <c r="X1299" s="776">
        <v>239200</v>
      </c>
      <c r="Y1299" s="776">
        <v>0</v>
      </c>
      <c r="Z1299" s="776"/>
      <c r="AA1299" s="776"/>
      <c r="AB1299" s="776"/>
      <c r="AC1299" s="776"/>
      <c r="AD1299" s="1153">
        <f t="shared" si="106"/>
        <v>239200</v>
      </c>
      <c r="AE1299" s="931">
        <f t="shared" si="107"/>
        <v>1</v>
      </c>
      <c r="AF1299" s="932">
        <f t="shared" si="105"/>
        <v>577</v>
      </c>
    </row>
    <row r="1300" spans="1:32" x14ac:dyDescent="0.3">
      <c r="A1300" s="972" t="s">
        <v>2632</v>
      </c>
      <c r="B1300" s="973" t="s">
        <v>2633</v>
      </c>
      <c r="C1300" s="801"/>
      <c r="D1300" s="802"/>
      <c r="E1300" s="802"/>
      <c r="F1300" s="802"/>
      <c r="G1300" s="802"/>
      <c r="H1300" s="802"/>
      <c r="I1300" s="802"/>
      <c r="J1300" s="802"/>
      <c r="K1300" s="802"/>
      <c r="L1300" s="802"/>
      <c r="M1300" s="802"/>
      <c r="N1300" s="802"/>
      <c r="O1300" s="802"/>
      <c r="P1300" s="1497">
        <f t="shared" si="103"/>
        <v>0</v>
      </c>
      <c r="Q1300" s="1169">
        <f t="shared" si="104"/>
        <v>0</v>
      </c>
      <c r="R1300" s="801"/>
      <c r="S1300" s="802"/>
      <c r="T1300" s="802">
        <v>135150</v>
      </c>
      <c r="U1300" s="802">
        <v>444400</v>
      </c>
      <c r="V1300" s="802">
        <v>76500</v>
      </c>
      <c r="W1300" s="802">
        <v>615300</v>
      </c>
      <c r="X1300" s="802">
        <v>111200</v>
      </c>
      <c r="Y1300" s="802">
        <v>199600</v>
      </c>
      <c r="Z1300" s="802"/>
      <c r="AA1300" s="802"/>
      <c r="AB1300" s="802"/>
      <c r="AC1300" s="802"/>
      <c r="AD1300" s="1169">
        <f t="shared" si="106"/>
        <v>1582150</v>
      </c>
      <c r="AE1300" s="974">
        <f t="shared" si="107"/>
        <v>1</v>
      </c>
      <c r="AF1300" s="975">
        <f t="shared" si="105"/>
        <v>243</v>
      </c>
    </row>
    <row r="1301" spans="1:32" x14ac:dyDescent="0.3">
      <c r="A1301" s="972" t="s">
        <v>2632</v>
      </c>
      <c r="B1301" s="973" t="s">
        <v>2810</v>
      </c>
      <c r="C1301" s="801"/>
      <c r="D1301" s="802"/>
      <c r="E1301" s="802"/>
      <c r="F1301" s="802"/>
      <c r="G1301" s="802"/>
      <c r="H1301" s="802"/>
      <c r="I1301" s="802"/>
      <c r="J1301" s="802"/>
      <c r="K1301" s="802"/>
      <c r="L1301" s="802"/>
      <c r="M1301" s="802"/>
      <c r="N1301" s="802"/>
      <c r="O1301" s="802"/>
      <c r="P1301" s="1497">
        <f t="shared" si="103"/>
        <v>0</v>
      </c>
      <c r="Q1301" s="1169">
        <f>SUM(C1301:J1301,L1301:O1301)</f>
        <v>0</v>
      </c>
      <c r="R1301" s="801"/>
      <c r="S1301" s="802"/>
      <c r="T1301" s="802"/>
      <c r="U1301" s="802"/>
      <c r="V1301" s="802">
        <v>246800</v>
      </c>
      <c r="W1301" s="802">
        <v>0</v>
      </c>
      <c r="X1301" s="802">
        <v>0</v>
      </c>
      <c r="Y1301" s="802">
        <v>0</v>
      </c>
      <c r="Z1301" s="802"/>
      <c r="AA1301" s="802"/>
      <c r="AB1301" s="802"/>
      <c r="AC1301" s="802"/>
      <c r="AD1301" s="1169">
        <f t="shared" si="106"/>
        <v>246800</v>
      </c>
      <c r="AE1301" s="974">
        <f t="shared" si="107"/>
        <v>1</v>
      </c>
      <c r="AF1301" s="975">
        <f t="shared" si="105"/>
        <v>570</v>
      </c>
    </row>
    <row r="1302" spans="1:32" x14ac:dyDescent="0.3">
      <c r="A1302" s="972" t="s">
        <v>2632</v>
      </c>
      <c r="B1302" s="973" t="s">
        <v>2817</v>
      </c>
      <c r="C1302" s="801"/>
      <c r="D1302" s="802"/>
      <c r="E1302" s="802"/>
      <c r="F1302" s="802"/>
      <c r="G1302" s="802"/>
      <c r="H1302" s="802"/>
      <c r="I1302" s="802"/>
      <c r="J1302" s="802"/>
      <c r="K1302" s="802"/>
      <c r="L1302" s="802"/>
      <c r="M1302" s="802"/>
      <c r="N1302" s="802"/>
      <c r="O1302" s="802"/>
      <c r="P1302" s="1497">
        <f t="shared" ref="P1302:P1365" si="108">SUM(C1302:I1302,K1302)</f>
        <v>0</v>
      </c>
      <c r="Q1302" s="1169">
        <f t="shared" ref="Q1302:Q1365" si="109">SUM(C1302:J1302,L1302:O1302)</f>
        <v>0</v>
      </c>
      <c r="R1302" s="801"/>
      <c r="S1302" s="802"/>
      <c r="T1302" s="802"/>
      <c r="U1302" s="802"/>
      <c r="V1302" s="802">
        <v>357100</v>
      </c>
      <c r="W1302" s="802">
        <v>381200</v>
      </c>
      <c r="X1302" s="802">
        <v>0</v>
      </c>
      <c r="Y1302" s="802">
        <v>0</v>
      </c>
      <c r="Z1302" s="802"/>
      <c r="AA1302" s="802"/>
      <c r="AB1302" s="802"/>
      <c r="AC1302" s="802"/>
      <c r="AD1302" s="1169">
        <f t="shared" si="106"/>
        <v>738300</v>
      </c>
      <c r="AE1302" s="974">
        <f t="shared" si="107"/>
        <v>1</v>
      </c>
      <c r="AF1302" s="975">
        <f t="shared" si="105"/>
        <v>368</v>
      </c>
    </row>
    <row r="1303" spans="1:32" x14ac:dyDescent="0.3">
      <c r="A1303" s="972" t="s">
        <v>2632</v>
      </c>
      <c r="B1303" s="973" t="s">
        <v>2905</v>
      </c>
      <c r="C1303" s="801"/>
      <c r="D1303" s="802"/>
      <c r="E1303" s="802"/>
      <c r="F1303" s="802"/>
      <c r="G1303" s="802"/>
      <c r="H1303" s="802"/>
      <c r="I1303" s="802"/>
      <c r="J1303" s="802"/>
      <c r="K1303" s="802"/>
      <c r="L1303" s="802"/>
      <c r="M1303" s="802"/>
      <c r="N1303" s="802"/>
      <c r="O1303" s="802"/>
      <c r="P1303" s="1497">
        <f t="shared" si="108"/>
        <v>0</v>
      </c>
      <c r="Q1303" s="1169">
        <f t="shared" si="109"/>
        <v>0</v>
      </c>
      <c r="R1303" s="801"/>
      <c r="S1303" s="802"/>
      <c r="T1303" s="802"/>
      <c r="U1303" s="802"/>
      <c r="V1303" s="802"/>
      <c r="W1303" s="802">
        <v>620000</v>
      </c>
      <c r="X1303" s="802">
        <v>40000</v>
      </c>
      <c r="Y1303" s="802">
        <v>0</v>
      </c>
      <c r="Z1303" s="802"/>
      <c r="AA1303" s="802"/>
      <c r="AB1303" s="802"/>
      <c r="AC1303" s="802"/>
      <c r="AD1303" s="1169">
        <f t="shared" si="106"/>
        <v>660000</v>
      </c>
      <c r="AE1303" s="974">
        <f t="shared" si="107"/>
        <v>1</v>
      </c>
      <c r="AF1303" s="975">
        <f t="shared" si="105"/>
        <v>391</v>
      </c>
    </row>
    <row r="1304" spans="1:32" x14ac:dyDescent="0.3">
      <c r="A1304" s="972" t="s">
        <v>2632</v>
      </c>
      <c r="B1304" s="973" t="s">
        <v>1266</v>
      </c>
      <c r="C1304" s="801"/>
      <c r="D1304" s="802"/>
      <c r="E1304" s="802"/>
      <c r="F1304" s="802"/>
      <c r="G1304" s="802"/>
      <c r="H1304" s="802"/>
      <c r="I1304" s="802"/>
      <c r="J1304" s="802"/>
      <c r="K1304" s="802"/>
      <c r="L1304" s="802"/>
      <c r="M1304" s="802"/>
      <c r="N1304" s="802"/>
      <c r="O1304" s="802"/>
      <c r="P1304" s="1497">
        <f t="shared" si="108"/>
        <v>0</v>
      </c>
      <c r="Q1304" s="1169">
        <f t="shared" si="109"/>
        <v>0</v>
      </c>
      <c r="R1304" s="801"/>
      <c r="S1304" s="802"/>
      <c r="T1304" s="802"/>
      <c r="U1304" s="802"/>
      <c r="V1304" s="802"/>
      <c r="W1304" s="802">
        <v>201300</v>
      </c>
      <c r="X1304" s="802">
        <v>220200</v>
      </c>
      <c r="Y1304" s="802">
        <v>0</v>
      </c>
      <c r="Z1304" s="802"/>
      <c r="AA1304" s="802"/>
      <c r="AB1304" s="802"/>
      <c r="AC1304" s="802"/>
      <c r="AD1304" s="1169">
        <f t="shared" si="106"/>
        <v>421500</v>
      </c>
      <c r="AE1304" s="974">
        <f t="shared" si="107"/>
        <v>1</v>
      </c>
      <c r="AF1304" s="975">
        <f t="shared" si="105"/>
        <v>473</v>
      </c>
    </row>
    <row r="1305" spans="1:32" x14ac:dyDescent="0.3">
      <c r="A1305" s="368" t="s">
        <v>2655</v>
      </c>
      <c r="B1305" s="883" t="s">
        <v>2656</v>
      </c>
      <c r="C1305" s="742"/>
      <c r="D1305" s="743"/>
      <c r="E1305" s="743"/>
      <c r="F1305" s="743"/>
      <c r="G1305" s="743"/>
      <c r="H1305" s="743"/>
      <c r="I1305" s="743"/>
      <c r="J1305" s="743"/>
      <c r="K1305" s="743"/>
      <c r="L1305" s="743"/>
      <c r="M1305" s="743"/>
      <c r="N1305" s="743"/>
      <c r="O1305" s="743"/>
      <c r="P1305" s="1497">
        <f t="shared" si="108"/>
        <v>0</v>
      </c>
      <c r="Q1305" s="1137">
        <f t="shared" si="109"/>
        <v>0</v>
      </c>
      <c r="R1305" s="742"/>
      <c r="S1305" s="743"/>
      <c r="T1305" s="743">
        <v>87300</v>
      </c>
      <c r="U1305" s="743">
        <v>91500</v>
      </c>
      <c r="V1305" s="743">
        <v>0</v>
      </c>
      <c r="W1305" s="743">
        <v>0</v>
      </c>
      <c r="X1305" s="743">
        <v>0</v>
      </c>
      <c r="Y1305" s="743">
        <v>273200</v>
      </c>
      <c r="Z1305" s="743"/>
      <c r="AA1305" s="743"/>
      <c r="AB1305" s="743"/>
      <c r="AC1305" s="743"/>
      <c r="AD1305" s="1137">
        <f t="shared" si="106"/>
        <v>452000</v>
      </c>
      <c r="AE1305" s="884">
        <f t="shared" si="107"/>
        <v>1</v>
      </c>
      <c r="AF1305" s="885">
        <f t="shared" si="105"/>
        <v>460</v>
      </c>
    </row>
    <row r="1306" spans="1:32" x14ac:dyDescent="0.3">
      <c r="A1306" s="1454" t="s">
        <v>2705</v>
      </c>
      <c r="B1306" s="1455" t="s">
        <v>1110</v>
      </c>
      <c r="C1306" s="1456"/>
      <c r="D1306" s="1457"/>
      <c r="E1306" s="1457"/>
      <c r="F1306" s="1457"/>
      <c r="G1306" s="1457"/>
      <c r="H1306" s="1457"/>
      <c r="I1306" s="1457"/>
      <c r="J1306" s="1457"/>
      <c r="K1306" s="1457"/>
      <c r="L1306" s="1457"/>
      <c r="M1306" s="1457"/>
      <c r="N1306" s="1457"/>
      <c r="O1306" s="1457"/>
      <c r="P1306" s="1497">
        <f t="shared" si="108"/>
        <v>0</v>
      </c>
      <c r="Q1306" s="1458">
        <f t="shared" si="109"/>
        <v>0</v>
      </c>
      <c r="R1306" s="1456"/>
      <c r="S1306" s="1457"/>
      <c r="T1306" s="1457"/>
      <c r="U1306" s="1457">
        <v>748000</v>
      </c>
      <c r="V1306" s="1457">
        <v>0</v>
      </c>
      <c r="W1306" s="1457">
        <v>0</v>
      </c>
      <c r="X1306" s="1457">
        <v>0</v>
      </c>
      <c r="Y1306" s="1457">
        <v>0</v>
      </c>
      <c r="Z1306" s="1457"/>
      <c r="AA1306" s="1457"/>
      <c r="AB1306" s="1457"/>
      <c r="AC1306" s="1457"/>
      <c r="AD1306" s="1458">
        <f t="shared" si="106"/>
        <v>748000</v>
      </c>
      <c r="AE1306" s="1459">
        <f t="shared" si="107"/>
        <v>1</v>
      </c>
      <c r="AF1306" s="1460">
        <f t="shared" si="105"/>
        <v>365</v>
      </c>
    </row>
    <row r="1307" spans="1:32" x14ac:dyDescent="0.3">
      <c r="A1307" s="1454" t="s">
        <v>2705</v>
      </c>
      <c r="B1307" s="1455" t="s">
        <v>2747</v>
      </c>
      <c r="C1307" s="1456"/>
      <c r="D1307" s="1457"/>
      <c r="E1307" s="1457"/>
      <c r="F1307" s="1457"/>
      <c r="G1307" s="1457"/>
      <c r="H1307" s="1457"/>
      <c r="I1307" s="1457"/>
      <c r="J1307" s="1457"/>
      <c r="K1307" s="1457"/>
      <c r="L1307" s="1457"/>
      <c r="M1307" s="1457"/>
      <c r="N1307" s="1457"/>
      <c r="O1307" s="1457"/>
      <c r="P1307" s="1497">
        <f t="shared" si="108"/>
        <v>0</v>
      </c>
      <c r="Q1307" s="1458">
        <f t="shared" si="109"/>
        <v>0</v>
      </c>
      <c r="R1307" s="1456"/>
      <c r="S1307" s="1457"/>
      <c r="T1307" s="1457"/>
      <c r="U1307" s="1457">
        <v>376500</v>
      </c>
      <c r="V1307" s="1457">
        <v>0</v>
      </c>
      <c r="W1307" s="1457">
        <v>0</v>
      </c>
      <c r="X1307" s="1457">
        <v>0</v>
      </c>
      <c r="Y1307" s="1457">
        <v>0</v>
      </c>
      <c r="Z1307" s="1457"/>
      <c r="AA1307" s="1457"/>
      <c r="AB1307" s="1457"/>
      <c r="AC1307" s="1457"/>
      <c r="AD1307" s="1458">
        <f t="shared" si="106"/>
        <v>376500</v>
      </c>
      <c r="AE1307" s="1459">
        <f t="shared" si="107"/>
        <v>1</v>
      </c>
      <c r="AF1307" s="1460">
        <f t="shared" si="105"/>
        <v>490</v>
      </c>
    </row>
    <row r="1308" spans="1:32" x14ac:dyDescent="0.3">
      <c r="A1308" s="1461" t="s">
        <v>2706</v>
      </c>
      <c r="B1308" s="1462" t="s">
        <v>2621</v>
      </c>
      <c r="C1308" s="1329"/>
      <c r="D1308" s="1330"/>
      <c r="E1308" s="1330"/>
      <c r="F1308" s="1330"/>
      <c r="G1308" s="1330"/>
      <c r="H1308" s="1330"/>
      <c r="I1308" s="1330"/>
      <c r="J1308" s="1330"/>
      <c r="K1308" s="1330"/>
      <c r="L1308" s="1330"/>
      <c r="M1308" s="1330"/>
      <c r="N1308" s="1330"/>
      <c r="O1308" s="1330"/>
      <c r="P1308" s="1497">
        <f t="shared" si="108"/>
        <v>0</v>
      </c>
      <c r="Q1308" s="1463">
        <f t="shared" si="109"/>
        <v>0</v>
      </c>
      <c r="R1308" s="1329"/>
      <c r="S1308" s="1330"/>
      <c r="T1308" s="1330"/>
      <c r="U1308" s="1330">
        <v>23000</v>
      </c>
      <c r="V1308" s="1330">
        <v>29000</v>
      </c>
      <c r="W1308" s="1330">
        <v>0</v>
      </c>
      <c r="X1308" s="1330">
        <v>23000</v>
      </c>
      <c r="Y1308" s="1330">
        <v>0</v>
      </c>
      <c r="Z1308" s="1330"/>
      <c r="AA1308" s="1330"/>
      <c r="AB1308" s="1330"/>
      <c r="AC1308" s="1330"/>
      <c r="AD1308" s="1463">
        <f t="shared" si="106"/>
        <v>75000</v>
      </c>
      <c r="AE1308" s="1464">
        <f t="shared" si="107"/>
        <v>1</v>
      </c>
      <c r="AF1308" s="1465">
        <f t="shared" si="105"/>
        <v>783</v>
      </c>
    </row>
    <row r="1309" spans="1:32" x14ac:dyDescent="0.3">
      <c r="A1309" s="1461" t="s">
        <v>2706</v>
      </c>
      <c r="B1309" s="1462" t="s">
        <v>2748</v>
      </c>
      <c r="C1309" s="1329"/>
      <c r="D1309" s="1330"/>
      <c r="E1309" s="1330"/>
      <c r="F1309" s="1330"/>
      <c r="G1309" s="1330"/>
      <c r="H1309" s="1330"/>
      <c r="I1309" s="1330"/>
      <c r="J1309" s="1330"/>
      <c r="K1309" s="1330"/>
      <c r="L1309" s="1330"/>
      <c r="M1309" s="1330"/>
      <c r="N1309" s="1330"/>
      <c r="O1309" s="1330"/>
      <c r="P1309" s="1497">
        <f t="shared" si="108"/>
        <v>0</v>
      </c>
      <c r="Q1309" s="1463">
        <f t="shared" si="109"/>
        <v>0</v>
      </c>
      <c r="R1309" s="1329"/>
      <c r="S1309" s="1330"/>
      <c r="T1309" s="1330"/>
      <c r="U1309" s="1330">
        <v>177800</v>
      </c>
      <c r="V1309" s="1330">
        <v>627000</v>
      </c>
      <c r="W1309" s="1330">
        <v>0</v>
      </c>
      <c r="X1309" s="1330">
        <v>0</v>
      </c>
      <c r="Y1309" s="1330">
        <v>0</v>
      </c>
      <c r="Z1309" s="1330"/>
      <c r="AA1309" s="1330"/>
      <c r="AB1309" s="1330"/>
      <c r="AC1309" s="1330"/>
      <c r="AD1309" s="1463">
        <f t="shared" si="106"/>
        <v>804800</v>
      </c>
      <c r="AE1309" s="1464">
        <f t="shared" si="107"/>
        <v>1</v>
      </c>
      <c r="AF1309" s="1465">
        <f t="shared" si="105"/>
        <v>354</v>
      </c>
    </row>
    <row r="1310" spans="1:32" x14ac:dyDescent="0.3">
      <c r="A1310" s="972" t="s">
        <v>2663</v>
      </c>
      <c r="B1310" s="973" t="s">
        <v>2663</v>
      </c>
      <c r="C1310" s="801"/>
      <c r="D1310" s="802"/>
      <c r="E1310" s="802"/>
      <c r="F1310" s="802"/>
      <c r="G1310" s="802"/>
      <c r="H1310" s="802"/>
      <c r="I1310" s="802"/>
      <c r="J1310" s="802"/>
      <c r="K1310" s="802"/>
      <c r="L1310" s="802"/>
      <c r="M1310" s="802"/>
      <c r="N1310" s="802"/>
      <c r="O1310" s="802"/>
      <c r="P1310" s="1497">
        <f t="shared" si="108"/>
        <v>0</v>
      </c>
      <c r="Q1310" s="1169">
        <f t="shared" si="109"/>
        <v>0</v>
      </c>
      <c r="R1310" s="801"/>
      <c r="S1310" s="802"/>
      <c r="T1310" s="802"/>
      <c r="U1310" s="802">
        <v>107400</v>
      </c>
      <c r="V1310" s="802">
        <v>196400</v>
      </c>
      <c r="W1310" s="802">
        <v>461500</v>
      </c>
      <c r="X1310" s="802">
        <v>157300</v>
      </c>
      <c r="Y1310" s="802">
        <v>0</v>
      </c>
      <c r="Z1310" s="802"/>
      <c r="AA1310" s="802"/>
      <c r="AB1310" s="802"/>
      <c r="AC1310" s="802"/>
      <c r="AD1310" s="1169">
        <f t="shared" si="106"/>
        <v>922600</v>
      </c>
      <c r="AE1310" s="974">
        <f t="shared" si="107"/>
        <v>1</v>
      </c>
      <c r="AF1310" s="975">
        <f t="shared" si="105"/>
        <v>333</v>
      </c>
    </row>
    <row r="1311" spans="1:32" x14ac:dyDescent="0.3">
      <c r="A1311" s="876" t="s">
        <v>2751</v>
      </c>
      <c r="B1311" s="877" t="s">
        <v>975</v>
      </c>
      <c r="C1311" s="736"/>
      <c r="D1311" s="737"/>
      <c r="E1311" s="737"/>
      <c r="F1311" s="737"/>
      <c r="G1311" s="737"/>
      <c r="H1311" s="737"/>
      <c r="I1311" s="737"/>
      <c r="J1311" s="737"/>
      <c r="K1311" s="737"/>
      <c r="L1311" s="737"/>
      <c r="M1311" s="737"/>
      <c r="N1311" s="737"/>
      <c r="O1311" s="737"/>
      <c r="P1311" s="1497">
        <f t="shared" si="108"/>
        <v>0</v>
      </c>
      <c r="Q1311" s="1134">
        <f t="shared" si="109"/>
        <v>0</v>
      </c>
      <c r="R1311" s="736"/>
      <c r="S1311" s="737"/>
      <c r="T1311" s="737"/>
      <c r="U1311" s="737">
        <v>2050250</v>
      </c>
      <c r="V1311" s="737">
        <v>3334600</v>
      </c>
      <c r="W1311" s="737">
        <v>562300</v>
      </c>
      <c r="X1311" s="737">
        <v>0</v>
      </c>
      <c r="Y1311" s="737">
        <v>103800</v>
      </c>
      <c r="Z1311" s="737"/>
      <c r="AA1311" s="737"/>
      <c r="AB1311" s="737"/>
      <c r="AC1311" s="737"/>
      <c r="AD1311" s="1134">
        <f t="shared" si="106"/>
        <v>6050950</v>
      </c>
      <c r="AE1311" s="878">
        <f t="shared" si="107"/>
        <v>1</v>
      </c>
      <c r="AF1311" s="879">
        <f t="shared" si="105"/>
        <v>67</v>
      </c>
    </row>
    <row r="1312" spans="1:32" x14ac:dyDescent="0.3">
      <c r="A1312" s="876" t="s">
        <v>2751</v>
      </c>
      <c r="B1312" s="877" t="s">
        <v>1295</v>
      </c>
      <c r="C1312" s="736"/>
      <c r="D1312" s="737"/>
      <c r="E1312" s="737"/>
      <c r="F1312" s="737"/>
      <c r="G1312" s="737"/>
      <c r="H1312" s="737"/>
      <c r="I1312" s="737"/>
      <c r="J1312" s="737"/>
      <c r="K1312" s="737">
        <v>0</v>
      </c>
      <c r="L1312" s="737"/>
      <c r="M1312" s="737"/>
      <c r="N1312" s="737"/>
      <c r="O1312" s="737"/>
      <c r="P1312" s="1497">
        <f t="shared" si="108"/>
        <v>0</v>
      </c>
      <c r="Q1312" s="1134">
        <f t="shared" si="109"/>
        <v>0</v>
      </c>
      <c r="R1312" s="736"/>
      <c r="S1312" s="737"/>
      <c r="T1312" s="737"/>
      <c r="U1312" s="737"/>
      <c r="V1312" s="737">
        <v>397000</v>
      </c>
      <c r="W1312" s="737">
        <v>1704000</v>
      </c>
      <c r="X1312" s="737">
        <v>1823000</v>
      </c>
      <c r="Y1312" s="737">
        <v>0</v>
      </c>
      <c r="Z1312" s="737"/>
      <c r="AA1312" s="737"/>
      <c r="AB1312" s="737"/>
      <c r="AC1312" s="737"/>
      <c r="AD1312" s="1134">
        <f t="shared" si="106"/>
        <v>3924000</v>
      </c>
      <c r="AE1312" s="878">
        <f t="shared" si="107"/>
        <v>1</v>
      </c>
      <c r="AF1312" s="879">
        <f t="shared" si="105"/>
        <v>116</v>
      </c>
    </row>
    <row r="1313" spans="1:32" x14ac:dyDescent="0.3">
      <c r="A1313" s="876" t="s">
        <v>2751</v>
      </c>
      <c r="B1313" s="877" t="s">
        <v>883</v>
      </c>
      <c r="C1313" s="736"/>
      <c r="D1313" s="737"/>
      <c r="E1313" s="737"/>
      <c r="F1313" s="737"/>
      <c r="G1313" s="737"/>
      <c r="H1313" s="737"/>
      <c r="I1313" s="737"/>
      <c r="J1313" s="737"/>
      <c r="K1313" s="737"/>
      <c r="L1313" s="737"/>
      <c r="M1313" s="737"/>
      <c r="N1313" s="737"/>
      <c r="O1313" s="737"/>
      <c r="P1313" s="1497">
        <f t="shared" si="108"/>
        <v>0</v>
      </c>
      <c r="Q1313" s="1134">
        <f t="shared" si="109"/>
        <v>0</v>
      </c>
      <c r="R1313" s="736"/>
      <c r="S1313" s="737"/>
      <c r="T1313" s="737"/>
      <c r="U1313" s="737"/>
      <c r="V1313" s="737">
        <v>0</v>
      </c>
      <c r="W1313" s="737">
        <v>229800</v>
      </c>
      <c r="X1313" s="737">
        <v>979300</v>
      </c>
      <c r="Y1313" s="737">
        <v>0</v>
      </c>
      <c r="Z1313" s="737"/>
      <c r="AA1313" s="737"/>
      <c r="AB1313" s="737"/>
      <c r="AC1313" s="737"/>
      <c r="AD1313" s="1134">
        <f t="shared" si="106"/>
        <v>1209100</v>
      </c>
      <c r="AE1313" s="878">
        <f t="shared" si="107"/>
        <v>1</v>
      </c>
      <c r="AF1313" s="879">
        <f t="shared" si="105"/>
        <v>280</v>
      </c>
    </row>
    <row r="1314" spans="1:32" x14ac:dyDescent="0.3">
      <c r="A1314" s="876" t="s">
        <v>2751</v>
      </c>
      <c r="B1314" s="877" t="s">
        <v>1298</v>
      </c>
      <c r="C1314" s="736"/>
      <c r="D1314" s="737"/>
      <c r="E1314" s="737"/>
      <c r="F1314" s="737"/>
      <c r="G1314" s="737"/>
      <c r="H1314" s="737"/>
      <c r="I1314" s="737"/>
      <c r="J1314" s="737"/>
      <c r="K1314" s="737"/>
      <c r="L1314" s="737"/>
      <c r="M1314" s="737"/>
      <c r="N1314" s="737"/>
      <c r="O1314" s="737"/>
      <c r="P1314" s="1497">
        <f t="shared" si="108"/>
        <v>0</v>
      </c>
      <c r="Q1314" s="1134">
        <f t="shared" si="109"/>
        <v>0</v>
      </c>
      <c r="R1314" s="736"/>
      <c r="S1314" s="737"/>
      <c r="T1314" s="737"/>
      <c r="U1314" s="737"/>
      <c r="V1314" s="737">
        <v>0</v>
      </c>
      <c r="W1314" s="737">
        <v>0</v>
      </c>
      <c r="X1314" s="737">
        <v>0</v>
      </c>
      <c r="Y1314" s="737">
        <v>0</v>
      </c>
      <c r="Z1314" s="737"/>
      <c r="AA1314" s="737"/>
      <c r="AB1314" s="737"/>
      <c r="AC1314" s="737"/>
      <c r="AD1314" s="1134">
        <f t="shared" si="106"/>
        <v>0</v>
      </c>
      <c r="AE1314" s="878">
        <f t="shared" si="107"/>
        <v>0</v>
      </c>
      <c r="AF1314" s="879">
        <f t="shared" si="105"/>
        <v>983</v>
      </c>
    </row>
    <row r="1315" spans="1:32" x14ac:dyDescent="0.3">
      <c r="A1315" s="876" t="s">
        <v>2751</v>
      </c>
      <c r="B1315" s="877" t="s">
        <v>1333</v>
      </c>
      <c r="C1315" s="736"/>
      <c r="D1315" s="737"/>
      <c r="E1315" s="737"/>
      <c r="F1315" s="737"/>
      <c r="G1315" s="737"/>
      <c r="H1315" s="737"/>
      <c r="I1315" s="737"/>
      <c r="J1315" s="737"/>
      <c r="K1315" s="737"/>
      <c r="L1315" s="737"/>
      <c r="M1315" s="737"/>
      <c r="N1315" s="737"/>
      <c r="O1315" s="737"/>
      <c r="P1315" s="1497">
        <f t="shared" si="108"/>
        <v>0</v>
      </c>
      <c r="Q1315" s="1134">
        <f t="shared" si="109"/>
        <v>0</v>
      </c>
      <c r="R1315" s="736"/>
      <c r="S1315" s="737"/>
      <c r="T1315" s="737"/>
      <c r="U1315" s="737"/>
      <c r="V1315" s="737"/>
      <c r="W1315" s="737"/>
      <c r="X1315" s="737"/>
      <c r="Y1315" s="737">
        <v>0</v>
      </c>
      <c r="Z1315" s="737"/>
      <c r="AA1315" s="737"/>
      <c r="AB1315" s="737"/>
      <c r="AC1315" s="737"/>
      <c r="AD1315" s="1134">
        <f t="shared" si="106"/>
        <v>0</v>
      </c>
      <c r="AE1315" s="878">
        <f t="shared" si="107"/>
        <v>0</v>
      </c>
      <c r="AF1315" s="879">
        <f t="shared" si="105"/>
        <v>983</v>
      </c>
    </row>
    <row r="1316" spans="1:32" x14ac:dyDescent="0.3">
      <c r="A1316" s="876" t="s">
        <v>2751</v>
      </c>
      <c r="B1316" s="877" t="s">
        <v>1331</v>
      </c>
      <c r="C1316" s="736"/>
      <c r="D1316" s="737"/>
      <c r="E1316" s="737"/>
      <c r="F1316" s="737"/>
      <c r="G1316" s="737"/>
      <c r="H1316" s="737"/>
      <c r="I1316" s="737"/>
      <c r="J1316" s="737"/>
      <c r="K1316" s="737"/>
      <c r="L1316" s="737"/>
      <c r="M1316" s="737"/>
      <c r="N1316" s="737"/>
      <c r="O1316" s="737"/>
      <c r="P1316" s="1497">
        <f t="shared" si="108"/>
        <v>0</v>
      </c>
      <c r="Q1316" s="1134">
        <f t="shared" si="109"/>
        <v>0</v>
      </c>
      <c r="R1316" s="736"/>
      <c r="S1316" s="737"/>
      <c r="T1316" s="737"/>
      <c r="U1316" s="737"/>
      <c r="V1316" s="737"/>
      <c r="W1316" s="737"/>
      <c r="X1316" s="737"/>
      <c r="Y1316" s="737">
        <v>101150</v>
      </c>
      <c r="Z1316" s="737"/>
      <c r="AA1316" s="737"/>
      <c r="AB1316" s="737"/>
      <c r="AC1316" s="737"/>
      <c r="AD1316" s="1134">
        <f t="shared" si="106"/>
        <v>101150</v>
      </c>
      <c r="AE1316" s="878">
        <f t="shared" si="107"/>
        <v>1</v>
      </c>
      <c r="AF1316" s="879">
        <f t="shared" si="105"/>
        <v>739</v>
      </c>
    </row>
    <row r="1317" spans="1:32" x14ac:dyDescent="0.3">
      <c r="A1317" s="876" t="s">
        <v>2751</v>
      </c>
      <c r="B1317" s="877" t="s">
        <v>1329</v>
      </c>
      <c r="C1317" s="736"/>
      <c r="D1317" s="737"/>
      <c r="E1317" s="737"/>
      <c r="F1317" s="737"/>
      <c r="G1317" s="737"/>
      <c r="H1317" s="737"/>
      <c r="I1317" s="737"/>
      <c r="J1317" s="737"/>
      <c r="K1317" s="737"/>
      <c r="L1317" s="737"/>
      <c r="M1317" s="737"/>
      <c r="N1317" s="737"/>
      <c r="O1317" s="737"/>
      <c r="P1317" s="1497">
        <f t="shared" si="108"/>
        <v>0</v>
      </c>
      <c r="Q1317" s="1134">
        <f t="shared" si="109"/>
        <v>0</v>
      </c>
      <c r="R1317" s="736"/>
      <c r="S1317" s="737"/>
      <c r="T1317" s="737"/>
      <c r="U1317" s="737"/>
      <c r="V1317" s="737"/>
      <c r="W1317" s="737"/>
      <c r="X1317" s="737">
        <v>514300</v>
      </c>
      <c r="Y1317" s="737">
        <v>0</v>
      </c>
      <c r="Z1317" s="737"/>
      <c r="AA1317" s="737"/>
      <c r="AB1317" s="737"/>
      <c r="AC1317" s="737"/>
      <c r="AD1317" s="1134">
        <f t="shared" si="106"/>
        <v>514300</v>
      </c>
      <c r="AE1317" s="878">
        <f t="shared" si="107"/>
        <v>1</v>
      </c>
      <c r="AF1317" s="879">
        <f t="shared" si="105"/>
        <v>429</v>
      </c>
    </row>
    <row r="1318" spans="1:32" x14ac:dyDescent="0.3">
      <c r="A1318" s="381" t="s">
        <v>759</v>
      </c>
      <c r="B1318" s="1021" t="s">
        <v>1074</v>
      </c>
      <c r="C1318" s="835">
        <v>21708200</v>
      </c>
      <c r="D1318" s="836">
        <v>0</v>
      </c>
      <c r="E1318" s="836">
        <v>12420400</v>
      </c>
      <c r="F1318" s="836">
        <v>0</v>
      </c>
      <c r="G1318" s="836">
        <v>0</v>
      </c>
      <c r="H1318" s="836">
        <v>0</v>
      </c>
      <c r="I1318" s="836">
        <v>5526800</v>
      </c>
      <c r="J1318" s="836">
        <v>0</v>
      </c>
      <c r="K1318" s="836">
        <v>0</v>
      </c>
      <c r="L1318" s="836">
        <v>6673100</v>
      </c>
      <c r="M1318" s="836">
        <v>0</v>
      </c>
      <c r="N1318" s="836">
        <v>0</v>
      </c>
      <c r="O1318" s="836" t="s">
        <v>251</v>
      </c>
      <c r="P1318" s="1497">
        <f t="shared" si="108"/>
        <v>39655400</v>
      </c>
      <c r="Q1318" s="1186">
        <f t="shared" si="109"/>
        <v>46328500</v>
      </c>
      <c r="R1318" s="835">
        <v>18079100</v>
      </c>
      <c r="S1318" s="836"/>
      <c r="T1318" s="836">
        <v>11475300</v>
      </c>
      <c r="U1318" s="836">
        <v>0</v>
      </c>
      <c r="V1318" s="836">
        <v>0</v>
      </c>
      <c r="W1318" s="836">
        <v>0</v>
      </c>
      <c r="X1318" s="836">
        <v>10065500</v>
      </c>
      <c r="Y1318" s="836">
        <v>0</v>
      </c>
      <c r="Z1318" s="836"/>
      <c r="AA1318" s="836"/>
      <c r="AB1318" s="836"/>
      <c r="AC1318" s="836"/>
      <c r="AD1318" s="1186">
        <f t="shared" si="106"/>
        <v>39619900</v>
      </c>
      <c r="AE1318" s="637">
        <f t="shared" si="107"/>
        <v>-8.9521225356445778E-4</v>
      </c>
      <c r="AF1318" s="638">
        <f t="shared" si="105"/>
        <v>5</v>
      </c>
    </row>
    <row r="1319" spans="1:32" x14ac:dyDescent="0.3">
      <c r="A1319" s="381" t="s">
        <v>759</v>
      </c>
      <c r="B1319" s="1021" t="s">
        <v>1468</v>
      </c>
      <c r="C1319" s="835">
        <v>2165000</v>
      </c>
      <c r="D1319" s="836">
        <v>76600</v>
      </c>
      <c r="E1319" s="836">
        <v>6764800</v>
      </c>
      <c r="F1319" s="836">
        <v>1333000</v>
      </c>
      <c r="G1319" s="836">
        <v>283600</v>
      </c>
      <c r="H1319" s="836">
        <v>195000</v>
      </c>
      <c r="I1319" s="836">
        <v>4048200</v>
      </c>
      <c r="J1319" s="836">
        <v>250000</v>
      </c>
      <c r="K1319" s="836">
        <v>202000</v>
      </c>
      <c r="L1319" s="836">
        <v>2430200</v>
      </c>
      <c r="M1319" s="836">
        <v>261600</v>
      </c>
      <c r="N1319" s="836">
        <v>197500</v>
      </c>
      <c r="O1319" s="836">
        <v>330800</v>
      </c>
      <c r="P1319" s="1497">
        <f t="shared" si="108"/>
        <v>15068200</v>
      </c>
      <c r="Q1319" s="1186">
        <f t="shared" si="109"/>
        <v>18336300</v>
      </c>
      <c r="R1319" s="835">
        <v>4752400</v>
      </c>
      <c r="S1319" s="836">
        <v>507200</v>
      </c>
      <c r="T1319" s="836">
        <v>3270300</v>
      </c>
      <c r="U1319" s="836">
        <v>4572400</v>
      </c>
      <c r="V1319" s="836">
        <v>190200</v>
      </c>
      <c r="W1319" s="836">
        <v>0</v>
      </c>
      <c r="X1319" s="836">
        <v>1070800</v>
      </c>
      <c r="Y1319" s="836">
        <v>0</v>
      </c>
      <c r="Z1319" s="836"/>
      <c r="AA1319" s="836"/>
      <c r="AB1319" s="836"/>
      <c r="AC1319" s="836"/>
      <c r="AD1319" s="1186">
        <f t="shared" si="106"/>
        <v>14363300</v>
      </c>
      <c r="AE1319" s="637">
        <f t="shared" si="107"/>
        <v>-4.6780637368763353E-2</v>
      </c>
      <c r="AF1319" s="638">
        <f t="shared" si="105"/>
        <v>24</v>
      </c>
    </row>
    <row r="1320" spans="1:32" x14ac:dyDescent="0.3">
      <c r="A1320" s="381" t="s">
        <v>759</v>
      </c>
      <c r="B1320" s="1021" t="s">
        <v>1469</v>
      </c>
      <c r="C1320" s="835">
        <v>608400</v>
      </c>
      <c r="D1320" s="836">
        <v>334600</v>
      </c>
      <c r="E1320" s="836">
        <v>1462400</v>
      </c>
      <c r="F1320" s="836">
        <v>3317600</v>
      </c>
      <c r="G1320" s="836">
        <v>3550400</v>
      </c>
      <c r="H1320" s="836">
        <v>1855200</v>
      </c>
      <c r="I1320" s="836">
        <v>10327600</v>
      </c>
      <c r="J1320" s="836">
        <v>3983200</v>
      </c>
      <c r="K1320" s="836">
        <v>3749400</v>
      </c>
      <c r="L1320" s="836">
        <v>2256800</v>
      </c>
      <c r="M1320" s="836">
        <v>1257400</v>
      </c>
      <c r="N1320" s="836">
        <v>4699600</v>
      </c>
      <c r="O1320" s="836">
        <v>8856800</v>
      </c>
      <c r="P1320" s="1497">
        <f t="shared" si="108"/>
        <v>25205600</v>
      </c>
      <c r="Q1320" s="1186">
        <f t="shared" si="109"/>
        <v>42510000</v>
      </c>
      <c r="R1320" s="835">
        <v>9259200</v>
      </c>
      <c r="S1320" s="836">
        <v>2963700</v>
      </c>
      <c r="T1320" s="836">
        <v>2304800</v>
      </c>
      <c r="U1320" s="836">
        <v>1972500</v>
      </c>
      <c r="V1320" s="836">
        <v>1390200</v>
      </c>
      <c r="W1320" s="836">
        <v>7494800</v>
      </c>
      <c r="X1320" s="836">
        <v>2688600</v>
      </c>
      <c r="Y1320" s="836">
        <v>888600</v>
      </c>
      <c r="Z1320" s="836"/>
      <c r="AA1320" s="836"/>
      <c r="AB1320" s="836"/>
      <c r="AC1320" s="836"/>
      <c r="AD1320" s="1186">
        <f t="shared" si="106"/>
        <v>28962400</v>
      </c>
      <c r="AE1320" s="637">
        <f t="shared" si="107"/>
        <v>0.14904624369187799</v>
      </c>
      <c r="AF1320" s="638">
        <f t="shared" si="105"/>
        <v>9</v>
      </c>
    </row>
    <row r="1321" spans="1:32" x14ac:dyDescent="0.3">
      <c r="A1321" s="381" t="s">
        <v>759</v>
      </c>
      <c r="B1321" s="1021" t="s">
        <v>1470</v>
      </c>
      <c r="C1321" s="835">
        <v>2139600</v>
      </c>
      <c r="D1321" s="836">
        <v>544800</v>
      </c>
      <c r="E1321" s="836">
        <v>2736820</v>
      </c>
      <c r="F1321" s="836">
        <v>205500</v>
      </c>
      <c r="G1321" s="836">
        <v>100000</v>
      </c>
      <c r="H1321" s="836">
        <v>470900</v>
      </c>
      <c r="I1321" s="836">
        <v>105500</v>
      </c>
      <c r="J1321" s="836">
        <v>0</v>
      </c>
      <c r="K1321" s="836">
        <v>0</v>
      </c>
      <c r="L1321" s="836">
        <v>149400</v>
      </c>
      <c r="M1321" s="836">
        <v>657800</v>
      </c>
      <c r="N1321" s="836">
        <v>1000000</v>
      </c>
      <c r="O1321" s="836">
        <v>2268000</v>
      </c>
      <c r="P1321" s="1497">
        <f t="shared" si="108"/>
        <v>6303120</v>
      </c>
      <c r="Q1321" s="1186">
        <f t="shared" si="109"/>
        <v>10378320</v>
      </c>
      <c r="R1321" s="835">
        <v>853800</v>
      </c>
      <c r="S1321" s="836">
        <v>198500</v>
      </c>
      <c r="T1321" s="836">
        <v>3256200</v>
      </c>
      <c r="U1321" s="836">
        <v>344650</v>
      </c>
      <c r="V1321" s="836">
        <v>123200</v>
      </c>
      <c r="W1321" s="836">
        <v>95100</v>
      </c>
      <c r="X1321" s="836">
        <v>345200</v>
      </c>
      <c r="Y1321" s="836">
        <v>163400</v>
      </c>
      <c r="Z1321" s="836"/>
      <c r="AA1321" s="836"/>
      <c r="AB1321" s="836"/>
      <c r="AC1321" s="836"/>
      <c r="AD1321" s="1186">
        <f t="shared" si="106"/>
        <v>5380050</v>
      </c>
      <c r="AE1321" s="637">
        <f t="shared" si="107"/>
        <v>-0.1464465217225755</v>
      </c>
      <c r="AF1321" s="638">
        <f t="shared" si="105"/>
        <v>79</v>
      </c>
    </row>
    <row r="1322" spans="1:32" x14ac:dyDescent="0.3">
      <c r="A1322" s="381" t="s">
        <v>759</v>
      </c>
      <c r="B1322" s="1021" t="s">
        <v>1471</v>
      </c>
      <c r="C1322" s="835">
        <v>925500</v>
      </c>
      <c r="D1322" s="836">
        <v>1547800</v>
      </c>
      <c r="E1322" s="836">
        <v>1334000</v>
      </c>
      <c r="F1322" s="836">
        <v>804600</v>
      </c>
      <c r="G1322" s="836">
        <v>338000</v>
      </c>
      <c r="H1322" s="836">
        <v>1034800</v>
      </c>
      <c r="I1322" s="836">
        <v>1010600</v>
      </c>
      <c r="J1322" s="836">
        <v>0</v>
      </c>
      <c r="K1322" s="836">
        <v>0</v>
      </c>
      <c r="L1322" s="836">
        <v>86200</v>
      </c>
      <c r="M1322" s="836">
        <v>89800</v>
      </c>
      <c r="N1322" s="836">
        <v>292400</v>
      </c>
      <c r="O1322" s="836">
        <v>715200</v>
      </c>
      <c r="P1322" s="1497">
        <f t="shared" si="108"/>
        <v>6995300</v>
      </c>
      <c r="Q1322" s="1186">
        <f t="shared" si="109"/>
        <v>8178900</v>
      </c>
      <c r="R1322" s="835">
        <v>89800</v>
      </c>
      <c r="S1322" s="836">
        <v>395000</v>
      </c>
      <c r="T1322" s="836">
        <v>184600</v>
      </c>
      <c r="U1322" s="836">
        <v>273000</v>
      </c>
      <c r="V1322" s="836">
        <v>478600</v>
      </c>
      <c r="W1322" s="836">
        <v>634400</v>
      </c>
      <c r="X1322" s="836">
        <v>325000</v>
      </c>
      <c r="Y1322" s="836">
        <v>123000</v>
      </c>
      <c r="Z1322" s="836"/>
      <c r="AA1322" s="836"/>
      <c r="AB1322" s="836"/>
      <c r="AC1322" s="836"/>
      <c r="AD1322" s="1186">
        <f t="shared" si="106"/>
        <v>2503400</v>
      </c>
      <c r="AE1322" s="637">
        <f t="shared" si="107"/>
        <v>-0.64213114519748971</v>
      </c>
      <c r="AF1322" s="638">
        <f t="shared" si="105"/>
        <v>172</v>
      </c>
    </row>
    <row r="1323" spans="1:32" x14ac:dyDescent="0.3">
      <c r="A1323" s="381" t="s">
        <v>759</v>
      </c>
      <c r="B1323" s="1021" t="s">
        <v>1193</v>
      </c>
      <c r="C1323" s="835">
        <v>1215000</v>
      </c>
      <c r="D1323" s="836">
        <v>1644200</v>
      </c>
      <c r="E1323" s="836">
        <v>40000</v>
      </c>
      <c r="F1323" s="836">
        <v>0</v>
      </c>
      <c r="G1323" s="836">
        <v>0</v>
      </c>
      <c r="H1323" s="836">
        <v>0</v>
      </c>
      <c r="I1323" s="836">
        <v>0</v>
      </c>
      <c r="J1323" s="836">
        <v>0</v>
      </c>
      <c r="K1323" s="836">
        <v>0</v>
      </c>
      <c r="L1323" s="836">
        <v>0</v>
      </c>
      <c r="M1323" s="836">
        <v>0</v>
      </c>
      <c r="N1323" s="836">
        <v>0</v>
      </c>
      <c r="O1323" s="836" t="s">
        <v>251</v>
      </c>
      <c r="P1323" s="1497">
        <f t="shared" si="108"/>
        <v>2899200</v>
      </c>
      <c r="Q1323" s="1186">
        <f t="shared" si="109"/>
        <v>2899200</v>
      </c>
      <c r="R1323" s="835"/>
      <c r="S1323" s="836"/>
      <c r="T1323" s="836"/>
      <c r="U1323" s="836"/>
      <c r="V1323" s="836"/>
      <c r="W1323" s="836"/>
      <c r="X1323" s="836">
        <v>5237000</v>
      </c>
      <c r="Y1323" s="836">
        <v>779000</v>
      </c>
      <c r="Z1323" s="836"/>
      <c r="AA1323" s="836"/>
      <c r="AB1323" s="836"/>
      <c r="AC1323" s="836"/>
      <c r="AD1323" s="1186">
        <f t="shared" si="106"/>
        <v>6016000</v>
      </c>
      <c r="AE1323" s="637">
        <f t="shared" si="107"/>
        <v>1.075055187637969</v>
      </c>
      <c r="AF1323" s="638">
        <f t="shared" si="105"/>
        <v>68</v>
      </c>
    </row>
    <row r="1324" spans="1:32" x14ac:dyDescent="0.3">
      <c r="A1324" s="381" t="s">
        <v>759</v>
      </c>
      <c r="B1324" s="1021" t="s">
        <v>1427</v>
      </c>
      <c r="C1324" s="835">
        <v>905000</v>
      </c>
      <c r="D1324" s="836">
        <v>36000</v>
      </c>
      <c r="E1324" s="836">
        <v>1624000</v>
      </c>
      <c r="F1324" s="836">
        <v>188000</v>
      </c>
      <c r="G1324" s="836">
        <v>37000</v>
      </c>
      <c r="H1324" s="836">
        <v>777500</v>
      </c>
      <c r="I1324" s="836">
        <v>65000</v>
      </c>
      <c r="J1324" s="836">
        <v>200000</v>
      </c>
      <c r="K1324" s="836">
        <v>200000</v>
      </c>
      <c r="L1324" s="836">
        <v>173000</v>
      </c>
      <c r="M1324" s="836">
        <v>118000</v>
      </c>
      <c r="N1324" s="836">
        <v>938000</v>
      </c>
      <c r="O1324" s="836">
        <v>268000</v>
      </c>
      <c r="P1324" s="1497">
        <f t="shared" si="108"/>
        <v>3832500</v>
      </c>
      <c r="Q1324" s="1186">
        <f t="shared" si="109"/>
        <v>5329500</v>
      </c>
      <c r="R1324" s="835">
        <v>99000</v>
      </c>
      <c r="S1324" s="836">
        <v>23000</v>
      </c>
      <c r="T1324" s="836">
        <v>0</v>
      </c>
      <c r="U1324" s="836">
        <v>0</v>
      </c>
      <c r="V1324" s="836">
        <v>0</v>
      </c>
      <c r="W1324" s="836">
        <v>0</v>
      </c>
      <c r="X1324" s="836">
        <v>0</v>
      </c>
      <c r="Y1324" s="836">
        <v>0</v>
      </c>
      <c r="Z1324" s="836"/>
      <c r="AA1324" s="836"/>
      <c r="AB1324" s="836"/>
      <c r="AC1324" s="836"/>
      <c r="AD1324" s="1186">
        <f t="shared" si="106"/>
        <v>122000</v>
      </c>
      <c r="AE1324" s="637">
        <f t="shared" si="107"/>
        <v>-0.96816699282452712</v>
      </c>
      <c r="AF1324" s="638">
        <f t="shared" si="105"/>
        <v>713</v>
      </c>
    </row>
    <row r="1325" spans="1:32" x14ac:dyDescent="0.3">
      <c r="A1325" s="381" t="s">
        <v>759</v>
      </c>
      <c r="B1325" s="1021" t="s">
        <v>1472</v>
      </c>
      <c r="C1325" s="835">
        <v>1286000</v>
      </c>
      <c r="D1325" s="836">
        <v>1142500</v>
      </c>
      <c r="E1325" s="836">
        <v>305000</v>
      </c>
      <c r="F1325" s="836">
        <v>0</v>
      </c>
      <c r="G1325" s="836">
        <v>0</v>
      </c>
      <c r="H1325" s="836">
        <v>0</v>
      </c>
      <c r="I1325" s="836">
        <v>0</v>
      </c>
      <c r="J1325" s="836">
        <v>0</v>
      </c>
      <c r="K1325" s="836">
        <v>0</v>
      </c>
      <c r="L1325" s="836">
        <v>0</v>
      </c>
      <c r="M1325" s="836">
        <v>0</v>
      </c>
      <c r="N1325" s="836">
        <v>0</v>
      </c>
      <c r="O1325" s="836" t="s">
        <v>251</v>
      </c>
      <c r="P1325" s="1497">
        <f t="shared" si="108"/>
        <v>2733500</v>
      </c>
      <c r="Q1325" s="1186">
        <f t="shared" si="109"/>
        <v>2733500</v>
      </c>
      <c r="R1325" s="835"/>
      <c r="S1325" s="836"/>
      <c r="T1325" s="836"/>
      <c r="U1325" s="836"/>
      <c r="V1325" s="836"/>
      <c r="W1325" s="836"/>
      <c r="X1325" s="836"/>
      <c r="Y1325" s="836"/>
      <c r="Z1325" s="836"/>
      <c r="AA1325" s="836"/>
      <c r="AB1325" s="836"/>
      <c r="AC1325" s="836"/>
      <c r="AD1325" s="1186">
        <f t="shared" si="106"/>
        <v>0</v>
      </c>
      <c r="AE1325" s="637">
        <f t="shared" si="107"/>
        <v>-1</v>
      </c>
      <c r="AF1325" s="638">
        <f t="shared" si="105"/>
        <v>983</v>
      </c>
    </row>
    <row r="1326" spans="1:32" x14ac:dyDescent="0.3">
      <c r="A1326" s="381" t="s">
        <v>759</v>
      </c>
      <c r="B1326" s="1021" t="s">
        <v>1153</v>
      </c>
      <c r="C1326" s="835">
        <v>490000</v>
      </c>
      <c r="D1326" s="836">
        <v>1111000</v>
      </c>
      <c r="E1326" s="836">
        <v>495300</v>
      </c>
      <c r="F1326" s="836">
        <v>220400</v>
      </c>
      <c r="G1326" s="836">
        <v>389000</v>
      </c>
      <c r="H1326" s="836">
        <v>345000</v>
      </c>
      <c r="I1326" s="836">
        <v>0</v>
      </c>
      <c r="J1326" s="836">
        <v>0</v>
      </c>
      <c r="K1326" s="836">
        <v>0</v>
      </c>
      <c r="L1326" s="836">
        <v>0</v>
      </c>
      <c r="M1326" s="836">
        <v>0</v>
      </c>
      <c r="N1326" s="836">
        <v>0</v>
      </c>
      <c r="O1326" s="836" t="s">
        <v>251</v>
      </c>
      <c r="P1326" s="1497">
        <f t="shared" si="108"/>
        <v>3050700</v>
      </c>
      <c r="Q1326" s="1186">
        <f t="shared" si="109"/>
        <v>3050700</v>
      </c>
      <c r="R1326" s="835"/>
      <c r="S1326" s="836"/>
      <c r="T1326" s="836">
        <v>200000</v>
      </c>
      <c r="U1326" s="836">
        <v>0</v>
      </c>
      <c r="V1326" s="836">
        <v>10400</v>
      </c>
      <c r="W1326" s="836">
        <v>0</v>
      </c>
      <c r="X1326" s="836">
        <v>0</v>
      </c>
      <c r="Y1326" s="836">
        <v>0</v>
      </c>
      <c r="Z1326" s="836"/>
      <c r="AA1326" s="836"/>
      <c r="AB1326" s="836"/>
      <c r="AC1326" s="836"/>
      <c r="AD1326" s="1186">
        <f t="shared" si="106"/>
        <v>210400</v>
      </c>
      <c r="AE1326" s="637">
        <f t="shared" si="107"/>
        <v>-0.93103222211295766</v>
      </c>
      <c r="AF1326" s="638">
        <f t="shared" si="105"/>
        <v>603</v>
      </c>
    </row>
    <row r="1327" spans="1:32" x14ac:dyDescent="0.3">
      <c r="A1327" s="381" t="s">
        <v>759</v>
      </c>
      <c r="B1327" s="1021" t="s">
        <v>1473</v>
      </c>
      <c r="C1327" s="835">
        <v>300000</v>
      </c>
      <c r="D1327" s="836">
        <v>855400</v>
      </c>
      <c r="E1327" s="836">
        <v>1425000</v>
      </c>
      <c r="F1327" s="836">
        <v>89000</v>
      </c>
      <c r="G1327" s="836">
        <v>0</v>
      </c>
      <c r="H1327" s="836">
        <v>150000</v>
      </c>
      <c r="I1327" s="836">
        <v>1275000</v>
      </c>
      <c r="J1327" s="836">
        <v>150000</v>
      </c>
      <c r="K1327" s="836">
        <v>150000</v>
      </c>
      <c r="L1327" s="836">
        <v>225000</v>
      </c>
      <c r="M1327" s="836">
        <v>0</v>
      </c>
      <c r="N1327" s="836">
        <v>150000</v>
      </c>
      <c r="O1327" s="836">
        <v>701800</v>
      </c>
      <c r="P1327" s="1497">
        <f t="shared" si="108"/>
        <v>4244400</v>
      </c>
      <c r="Q1327" s="1186">
        <f t="shared" si="109"/>
        <v>5321200</v>
      </c>
      <c r="R1327" s="835">
        <v>1937000</v>
      </c>
      <c r="S1327" s="836"/>
      <c r="T1327" s="836">
        <v>0</v>
      </c>
      <c r="U1327" s="836">
        <v>0</v>
      </c>
      <c r="V1327" s="836">
        <v>0</v>
      </c>
      <c r="W1327" s="836">
        <v>0</v>
      </c>
      <c r="X1327" s="836">
        <v>0</v>
      </c>
      <c r="Y1327" s="836">
        <v>0</v>
      </c>
      <c r="Z1327" s="836"/>
      <c r="AA1327" s="836"/>
      <c r="AB1327" s="836"/>
      <c r="AC1327" s="836"/>
      <c r="AD1327" s="1186">
        <f t="shared" si="106"/>
        <v>1937000</v>
      </c>
      <c r="AE1327" s="637">
        <f t="shared" si="107"/>
        <v>-0.54363396475355763</v>
      </c>
      <c r="AF1327" s="638">
        <f t="shared" si="105"/>
        <v>217</v>
      </c>
    </row>
    <row r="1328" spans="1:32" x14ac:dyDescent="0.3">
      <c r="A1328" s="381" t="s">
        <v>759</v>
      </c>
      <c r="B1328" s="1021" t="s">
        <v>1474</v>
      </c>
      <c r="C1328" s="835">
        <v>567300</v>
      </c>
      <c r="D1328" s="836">
        <v>677400</v>
      </c>
      <c r="E1328" s="836">
        <v>744100</v>
      </c>
      <c r="F1328" s="836">
        <v>76000</v>
      </c>
      <c r="G1328" s="836">
        <v>608000</v>
      </c>
      <c r="H1328" s="836">
        <v>1388500</v>
      </c>
      <c r="I1328" s="836">
        <v>1254800</v>
      </c>
      <c r="J1328" s="836">
        <v>1660800</v>
      </c>
      <c r="K1328" s="836">
        <v>1408400</v>
      </c>
      <c r="L1328" s="836">
        <v>967600</v>
      </c>
      <c r="M1328" s="836">
        <v>0</v>
      </c>
      <c r="N1328" s="836">
        <v>749200</v>
      </c>
      <c r="O1328" s="836">
        <v>673900</v>
      </c>
      <c r="P1328" s="1497">
        <f t="shared" si="108"/>
        <v>6724500</v>
      </c>
      <c r="Q1328" s="1186">
        <f t="shared" si="109"/>
        <v>9367600</v>
      </c>
      <c r="R1328" s="835">
        <v>1608300</v>
      </c>
      <c r="S1328" s="836">
        <v>267400</v>
      </c>
      <c r="T1328" s="836">
        <v>610800</v>
      </c>
      <c r="U1328" s="836">
        <v>754800</v>
      </c>
      <c r="V1328" s="836">
        <v>622000</v>
      </c>
      <c r="W1328" s="836">
        <v>804400</v>
      </c>
      <c r="X1328" s="836">
        <v>878200</v>
      </c>
      <c r="Y1328" s="836">
        <v>4693200</v>
      </c>
      <c r="Z1328" s="836"/>
      <c r="AA1328" s="836"/>
      <c r="AB1328" s="836"/>
      <c r="AC1328" s="836"/>
      <c r="AD1328" s="1186">
        <f t="shared" si="106"/>
        <v>10239100</v>
      </c>
      <c r="AE1328" s="637">
        <f t="shared" si="107"/>
        <v>0.52265595955089594</v>
      </c>
      <c r="AF1328" s="638">
        <f t="shared" si="105"/>
        <v>31</v>
      </c>
    </row>
    <row r="1329" spans="1:32" x14ac:dyDescent="0.3">
      <c r="A1329" s="381" t="s">
        <v>759</v>
      </c>
      <c r="B1329" s="1021" t="s">
        <v>1475</v>
      </c>
      <c r="C1329" s="835"/>
      <c r="D1329" s="836">
        <v>0</v>
      </c>
      <c r="E1329" s="836">
        <v>1015000</v>
      </c>
      <c r="F1329" s="836">
        <v>1155000</v>
      </c>
      <c r="G1329" s="836">
        <v>485000</v>
      </c>
      <c r="H1329" s="836">
        <v>625000</v>
      </c>
      <c r="I1329" s="836">
        <v>0</v>
      </c>
      <c r="J1329" s="836">
        <v>0</v>
      </c>
      <c r="K1329" s="836">
        <v>0</v>
      </c>
      <c r="L1329" s="836">
        <v>330000</v>
      </c>
      <c r="M1329" s="836">
        <v>350000</v>
      </c>
      <c r="N1329" s="836">
        <v>225000</v>
      </c>
      <c r="O1329" s="836" t="s">
        <v>251</v>
      </c>
      <c r="P1329" s="1497">
        <f t="shared" si="108"/>
        <v>3280000</v>
      </c>
      <c r="Q1329" s="1186">
        <f t="shared" si="109"/>
        <v>4185000</v>
      </c>
      <c r="R1329" s="835"/>
      <c r="S1329" s="836"/>
      <c r="T1329" s="836"/>
      <c r="U1329" s="836"/>
      <c r="V1329" s="836"/>
      <c r="W1329" s="836"/>
      <c r="X1329" s="836"/>
      <c r="Y1329" s="836"/>
      <c r="Z1329" s="836"/>
      <c r="AA1329" s="836"/>
      <c r="AB1329" s="836"/>
      <c r="AC1329" s="836"/>
      <c r="AD1329" s="1186">
        <f t="shared" si="106"/>
        <v>0</v>
      </c>
      <c r="AE1329" s="637">
        <f t="shared" si="107"/>
        <v>-1</v>
      </c>
      <c r="AF1329" s="638">
        <f t="shared" si="105"/>
        <v>983</v>
      </c>
    </row>
    <row r="1330" spans="1:32" x14ac:dyDescent="0.3">
      <c r="A1330" s="381" t="s">
        <v>759</v>
      </c>
      <c r="B1330" s="1021" t="s">
        <v>1476</v>
      </c>
      <c r="C1330" s="835">
        <v>436200</v>
      </c>
      <c r="D1330" s="836">
        <v>440000</v>
      </c>
      <c r="E1330" s="836">
        <v>990000</v>
      </c>
      <c r="F1330" s="836">
        <v>440000</v>
      </c>
      <c r="G1330" s="836">
        <v>220000</v>
      </c>
      <c r="H1330" s="836">
        <v>0</v>
      </c>
      <c r="I1330" s="836">
        <v>633800</v>
      </c>
      <c r="J1330" s="836">
        <v>571600</v>
      </c>
      <c r="K1330" s="836">
        <v>571600</v>
      </c>
      <c r="L1330" s="836">
        <v>113600</v>
      </c>
      <c r="M1330" s="836">
        <v>0</v>
      </c>
      <c r="N1330" s="836">
        <v>0</v>
      </c>
      <c r="O1330" s="836" t="s">
        <v>251</v>
      </c>
      <c r="P1330" s="1497">
        <f t="shared" si="108"/>
        <v>3731600</v>
      </c>
      <c r="Q1330" s="1186">
        <f t="shared" si="109"/>
        <v>3845200</v>
      </c>
      <c r="R1330" s="835"/>
      <c r="S1330" s="836">
        <v>268000</v>
      </c>
      <c r="T1330" s="836">
        <v>65200</v>
      </c>
      <c r="U1330" s="836">
        <v>206400</v>
      </c>
      <c r="V1330" s="836">
        <v>0</v>
      </c>
      <c r="W1330" s="836">
        <v>0</v>
      </c>
      <c r="X1330" s="836">
        <v>0</v>
      </c>
      <c r="Y1330" s="836">
        <v>0</v>
      </c>
      <c r="Z1330" s="836"/>
      <c r="AA1330" s="836"/>
      <c r="AB1330" s="836"/>
      <c r="AC1330" s="836"/>
      <c r="AD1330" s="1186">
        <f t="shared" si="106"/>
        <v>539600</v>
      </c>
      <c r="AE1330" s="637">
        <f t="shared" si="107"/>
        <v>-0.85539714867617112</v>
      </c>
      <c r="AF1330" s="638">
        <f t="shared" si="105"/>
        <v>423</v>
      </c>
    </row>
    <row r="1331" spans="1:32" x14ac:dyDescent="0.3">
      <c r="A1331" s="381" t="s">
        <v>759</v>
      </c>
      <c r="B1331" s="1021" t="s">
        <v>1477</v>
      </c>
      <c r="C1331" s="835"/>
      <c r="D1331" s="836">
        <v>594000</v>
      </c>
      <c r="E1331" s="836">
        <v>672000</v>
      </c>
      <c r="F1331" s="836">
        <v>485000</v>
      </c>
      <c r="G1331" s="836">
        <v>709000</v>
      </c>
      <c r="H1331" s="836">
        <v>406000</v>
      </c>
      <c r="I1331" s="836">
        <v>406000</v>
      </c>
      <c r="J1331" s="836">
        <v>291000</v>
      </c>
      <c r="K1331" s="836">
        <v>194000</v>
      </c>
      <c r="L1331" s="836">
        <v>103000</v>
      </c>
      <c r="M1331" s="836">
        <v>1037000</v>
      </c>
      <c r="N1331" s="836">
        <v>394000</v>
      </c>
      <c r="O1331" s="836" t="s">
        <v>251</v>
      </c>
      <c r="P1331" s="1497">
        <f t="shared" si="108"/>
        <v>3466000</v>
      </c>
      <c r="Q1331" s="1186">
        <f t="shared" si="109"/>
        <v>5097000</v>
      </c>
      <c r="R1331" s="835">
        <v>297000</v>
      </c>
      <c r="S1331" s="836"/>
      <c r="T1331" s="836">
        <v>491000</v>
      </c>
      <c r="U1331" s="836">
        <v>655000</v>
      </c>
      <c r="V1331" s="836">
        <v>994000</v>
      </c>
      <c r="W1331" s="836">
        <v>121000</v>
      </c>
      <c r="X1331" s="836">
        <v>591000</v>
      </c>
      <c r="Y1331" s="836">
        <v>491000</v>
      </c>
      <c r="Z1331" s="836"/>
      <c r="AA1331" s="836"/>
      <c r="AB1331" s="836"/>
      <c r="AC1331" s="836"/>
      <c r="AD1331" s="1186">
        <f t="shared" si="106"/>
        <v>3640000</v>
      </c>
      <c r="AE1331" s="637">
        <f t="shared" si="107"/>
        <v>5.0201961915753032E-2</v>
      </c>
      <c r="AF1331" s="638">
        <f t="shared" si="105"/>
        <v>127</v>
      </c>
    </row>
    <row r="1332" spans="1:32" x14ac:dyDescent="0.3">
      <c r="A1332" s="381" t="s">
        <v>759</v>
      </c>
      <c r="B1332" s="1021" t="s">
        <v>1478</v>
      </c>
      <c r="C1332" s="835">
        <v>691000</v>
      </c>
      <c r="D1332" s="836">
        <v>0</v>
      </c>
      <c r="E1332" s="836">
        <v>110000</v>
      </c>
      <c r="F1332" s="836">
        <v>1093600</v>
      </c>
      <c r="G1332" s="836">
        <v>275400</v>
      </c>
      <c r="H1332" s="836">
        <v>288800</v>
      </c>
      <c r="I1332" s="836">
        <v>308000</v>
      </c>
      <c r="J1332" s="836">
        <v>1373600</v>
      </c>
      <c r="K1332" s="836">
        <v>1351600</v>
      </c>
      <c r="L1332" s="836">
        <v>0</v>
      </c>
      <c r="M1332" s="836">
        <v>231200</v>
      </c>
      <c r="N1332" s="836">
        <v>0</v>
      </c>
      <c r="O1332" s="836">
        <v>1006100</v>
      </c>
      <c r="P1332" s="1497">
        <f t="shared" si="108"/>
        <v>4118400</v>
      </c>
      <c r="Q1332" s="1186">
        <f t="shared" si="109"/>
        <v>5377700</v>
      </c>
      <c r="R1332" s="835">
        <v>457600</v>
      </c>
      <c r="S1332" s="836">
        <v>305500</v>
      </c>
      <c r="T1332" s="836">
        <v>1141500</v>
      </c>
      <c r="U1332" s="836">
        <v>0</v>
      </c>
      <c r="V1332" s="836">
        <v>0</v>
      </c>
      <c r="W1332" s="836">
        <v>0</v>
      </c>
      <c r="X1332" s="836">
        <v>0</v>
      </c>
      <c r="Y1332" s="836">
        <v>312000</v>
      </c>
      <c r="Z1332" s="836"/>
      <c r="AA1332" s="836"/>
      <c r="AB1332" s="836"/>
      <c r="AC1332" s="836"/>
      <c r="AD1332" s="1186">
        <f t="shared" si="106"/>
        <v>2216600</v>
      </c>
      <c r="AE1332" s="637">
        <f t="shared" si="107"/>
        <v>-0.4617812742812743</v>
      </c>
      <c r="AF1332" s="638">
        <f t="shared" si="105"/>
        <v>197</v>
      </c>
    </row>
    <row r="1333" spans="1:32" x14ac:dyDescent="0.3">
      <c r="A1333" s="381" t="s">
        <v>759</v>
      </c>
      <c r="B1333" s="1021" t="s">
        <v>1332</v>
      </c>
      <c r="C1333" s="835">
        <v>1737950</v>
      </c>
      <c r="D1333" s="836">
        <v>0</v>
      </c>
      <c r="E1333" s="836"/>
      <c r="F1333" s="836">
        <v>7600</v>
      </c>
      <c r="G1333" s="836">
        <v>0</v>
      </c>
      <c r="H1333" s="836">
        <v>591800</v>
      </c>
      <c r="I1333" s="836">
        <v>215100</v>
      </c>
      <c r="J1333" s="836">
        <v>0</v>
      </c>
      <c r="K1333" s="836">
        <v>0</v>
      </c>
      <c r="L1333" s="836">
        <v>0</v>
      </c>
      <c r="M1333" s="836">
        <v>0</v>
      </c>
      <c r="N1333" s="836">
        <v>0</v>
      </c>
      <c r="O1333" s="836" t="s">
        <v>251</v>
      </c>
      <c r="P1333" s="1497">
        <f t="shared" si="108"/>
        <v>2552450</v>
      </c>
      <c r="Q1333" s="1186">
        <f t="shared" si="109"/>
        <v>2552450</v>
      </c>
      <c r="R1333" s="835"/>
      <c r="S1333" s="836"/>
      <c r="T1333" s="836"/>
      <c r="U1333" s="836"/>
      <c r="V1333" s="836"/>
      <c r="W1333" s="836"/>
      <c r="X1333" s="836"/>
      <c r="Y1333" s="836"/>
      <c r="Z1333" s="836"/>
      <c r="AA1333" s="836"/>
      <c r="AB1333" s="836"/>
      <c r="AC1333" s="836"/>
      <c r="AD1333" s="1186">
        <f t="shared" si="106"/>
        <v>0</v>
      </c>
      <c r="AE1333" s="637">
        <f t="shared" si="107"/>
        <v>-1</v>
      </c>
      <c r="AF1333" s="638">
        <f t="shared" si="105"/>
        <v>983</v>
      </c>
    </row>
    <row r="1334" spans="1:32" x14ac:dyDescent="0.3">
      <c r="A1334" s="381" t="s">
        <v>759</v>
      </c>
      <c r="B1334" s="1021" t="s">
        <v>1479</v>
      </c>
      <c r="C1334" s="835"/>
      <c r="D1334" s="836">
        <v>1680000</v>
      </c>
      <c r="E1334" s="836"/>
      <c r="F1334" s="836">
        <v>0</v>
      </c>
      <c r="G1334" s="836">
        <v>0</v>
      </c>
      <c r="H1334" s="836">
        <v>0</v>
      </c>
      <c r="I1334" s="836">
        <v>0</v>
      </c>
      <c r="J1334" s="836">
        <v>0</v>
      </c>
      <c r="K1334" s="836">
        <v>0</v>
      </c>
      <c r="L1334" s="836">
        <v>0</v>
      </c>
      <c r="M1334" s="836">
        <v>0</v>
      </c>
      <c r="N1334" s="836">
        <v>0</v>
      </c>
      <c r="O1334" s="836" t="s">
        <v>251</v>
      </c>
      <c r="P1334" s="1497">
        <f t="shared" si="108"/>
        <v>1680000</v>
      </c>
      <c r="Q1334" s="1186">
        <f t="shared" si="109"/>
        <v>1680000</v>
      </c>
      <c r="R1334" s="835"/>
      <c r="S1334" s="836"/>
      <c r="T1334" s="836">
        <v>1720000</v>
      </c>
      <c r="U1334" s="836">
        <v>690000</v>
      </c>
      <c r="V1334" s="836">
        <v>0</v>
      </c>
      <c r="W1334" s="836">
        <v>0</v>
      </c>
      <c r="X1334" s="836">
        <v>0</v>
      </c>
      <c r="Y1334" s="836">
        <v>0</v>
      </c>
      <c r="Z1334" s="836"/>
      <c r="AA1334" s="836"/>
      <c r="AB1334" s="836"/>
      <c r="AC1334" s="836"/>
      <c r="AD1334" s="1186">
        <f t="shared" si="106"/>
        <v>2410000</v>
      </c>
      <c r="AE1334" s="637">
        <f t="shared" si="107"/>
        <v>0.43452380952380953</v>
      </c>
      <c r="AF1334" s="638">
        <f t="shared" si="105"/>
        <v>181</v>
      </c>
    </row>
    <row r="1335" spans="1:32" x14ac:dyDescent="0.3">
      <c r="A1335" s="381" t="s">
        <v>759</v>
      </c>
      <c r="B1335" s="1021" t="s">
        <v>1480</v>
      </c>
      <c r="C1335" s="835">
        <v>622000</v>
      </c>
      <c r="D1335" s="836">
        <v>449800</v>
      </c>
      <c r="E1335" s="836">
        <v>378000</v>
      </c>
      <c r="F1335" s="836">
        <v>154600</v>
      </c>
      <c r="G1335" s="836">
        <v>0</v>
      </c>
      <c r="H1335" s="836">
        <v>217400</v>
      </c>
      <c r="I1335" s="836">
        <v>761000</v>
      </c>
      <c r="J1335" s="836">
        <v>212400</v>
      </c>
      <c r="K1335" s="836">
        <v>157400</v>
      </c>
      <c r="L1335" s="836">
        <v>45800</v>
      </c>
      <c r="M1335" s="836">
        <v>29600</v>
      </c>
      <c r="N1335" s="836">
        <v>428600</v>
      </c>
      <c r="O1335" s="836">
        <v>317200</v>
      </c>
      <c r="P1335" s="1497">
        <f t="shared" si="108"/>
        <v>2740200</v>
      </c>
      <c r="Q1335" s="1186">
        <f t="shared" si="109"/>
        <v>3616400</v>
      </c>
      <c r="R1335" s="835">
        <v>217400</v>
      </c>
      <c r="S1335" s="836">
        <v>55000</v>
      </c>
      <c r="T1335" s="836">
        <v>624800</v>
      </c>
      <c r="U1335" s="836">
        <v>288000</v>
      </c>
      <c r="V1335" s="836">
        <v>568700</v>
      </c>
      <c r="W1335" s="836">
        <v>589400</v>
      </c>
      <c r="X1335" s="836">
        <v>286000</v>
      </c>
      <c r="Y1335" s="836">
        <v>191800</v>
      </c>
      <c r="Z1335" s="836"/>
      <c r="AA1335" s="836"/>
      <c r="AB1335" s="836"/>
      <c r="AC1335" s="836"/>
      <c r="AD1335" s="1186">
        <f t="shared" si="106"/>
        <v>2821100</v>
      </c>
      <c r="AE1335" s="637">
        <f t="shared" si="107"/>
        <v>2.9523392453105611E-2</v>
      </c>
      <c r="AF1335" s="638">
        <f t="shared" si="105"/>
        <v>159</v>
      </c>
    </row>
    <row r="1336" spans="1:32" x14ac:dyDescent="0.3">
      <c r="A1336" s="381" t="s">
        <v>759</v>
      </c>
      <c r="B1336" s="1021" t="s">
        <v>405</v>
      </c>
      <c r="C1336" s="835"/>
      <c r="D1336" s="836">
        <v>23000</v>
      </c>
      <c r="E1336" s="836">
        <v>150000</v>
      </c>
      <c r="F1336" s="836">
        <v>161000</v>
      </c>
      <c r="G1336" s="836">
        <v>1214000</v>
      </c>
      <c r="H1336" s="836">
        <v>65000</v>
      </c>
      <c r="I1336" s="836">
        <v>47000</v>
      </c>
      <c r="J1336" s="836">
        <v>372000</v>
      </c>
      <c r="K1336" s="836">
        <v>372000</v>
      </c>
      <c r="L1336" s="836">
        <v>286000</v>
      </c>
      <c r="M1336" s="836">
        <v>160000</v>
      </c>
      <c r="N1336" s="836">
        <v>78000</v>
      </c>
      <c r="O1336" s="836">
        <v>160000</v>
      </c>
      <c r="P1336" s="1497">
        <f t="shared" si="108"/>
        <v>2032000</v>
      </c>
      <c r="Q1336" s="1186">
        <f t="shared" si="109"/>
        <v>2716000</v>
      </c>
      <c r="R1336" s="835">
        <v>25000</v>
      </c>
      <c r="S1336" s="836"/>
      <c r="T1336" s="836">
        <v>76000</v>
      </c>
      <c r="U1336" s="836">
        <v>41000</v>
      </c>
      <c r="V1336" s="836">
        <v>41000</v>
      </c>
      <c r="W1336" s="836">
        <v>22500</v>
      </c>
      <c r="X1336" s="836">
        <v>46500</v>
      </c>
      <c r="Y1336" s="836">
        <v>0</v>
      </c>
      <c r="Z1336" s="836"/>
      <c r="AA1336" s="836"/>
      <c r="AB1336" s="836"/>
      <c r="AC1336" s="836"/>
      <c r="AD1336" s="1186">
        <f t="shared" si="106"/>
        <v>252000</v>
      </c>
      <c r="AE1336" s="637">
        <f t="shared" si="107"/>
        <v>-0.87598425196850394</v>
      </c>
      <c r="AF1336" s="638">
        <f t="shared" si="105"/>
        <v>567</v>
      </c>
    </row>
    <row r="1337" spans="1:32" x14ac:dyDescent="0.3">
      <c r="A1337" s="381" t="s">
        <v>759</v>
      </c>
      <c r="B1337" s="1021" t="s">
        <v>1481</v>
      </c>
      <c r="C1337" s="835"/>
      <c r="D1337" s="836">
        <v>1380000</v>
      </c>
      <c r="E1337" s="836"/>
      <c r="F1337" s="836">
        <v>0</v>
      </c>
      <c r="G1337" s="836">
        <v>0</v>
      </c>
      <c r="H1337" s="836">
        <v>0</v>
      </c>
      <c r="I1337" s="836">
        <v>0</v>
      </c>
      <c r="J1337" s="836">
        <v>0</v>
      </c>
      <c r="K1337" s="836">
        <v>0</v>
      </c>
      <c r="L1337" s="836">
        <v>0</v>
      </c>
      <c r="M1337" s="836">
        <v>0</v>
      </c>
      <c r="N1337" s="836">
        <v>0</v>
      </c>
      <c r="O1337" s="836" t="s">
        <v>251</v>
      </c>
      <c r="P1337" s="1497">
        <f t="shared" si="108"/>
        <v>1380000</v>
      </c>
      <c r="Q1337" s="1186">
        <f t="shared" si="109"/>
        <v>1380000</v>
      </c>
      <c r="R1337" s="835"/>
      <c r="S1337" s="836"/>
      <c r="T1337" s="836"/>
      <c r="U1337" s="836"/>
      <c r="V1337" s="836"/>
      <c r="W1337" s="836"/>
      <c r="X1337" s="836"/>
      <c r="Y1337" s="836"/>
      <c r="Z1337" s="836"/>
      <c r="AA1337" s="836"/>
      <c r="AB1337" s="836"/>
      <c r="AC1337" s="836"/>
      <c r="AD1337" s="1186">
        <f t="shared" si="106"/>
        <v>0</v>
      </c>
      <c r="AE1337" s="637">
        <f t="shared" si="107"/>
        <v>-1</v>
      </c>
      <c r="AF1337" s="638">
        <f t="shared" si="105"/>
        <v>983</v>
      </c>
    </row>
    <row r="1338" spans="1:32" x14ac:dyDescent="0.3">
      <c r="A1338" s="381" t="s">
        <v>759</v>
      </c>
      <c r="B1338" s="1021" t="s">
        <v>1287</v>
      </c>
      <c r="C1338" s="835"/>
      <c r="D1338" s="836">
        <v>0</v>
      </c>
      <c r="E1338" s="836">
        <v>1133000</v>
      </c>
      <c r="F1338" s="836">
        <v>171300</v>
      </c>
      <c r="G1338" s="836">
        <v>12400</v>
      </c>
      <c r="H1338" s="836">
        <v>8200</v>
      </c>
      <c r="I1338" s="836">
        <v>0</v>
      </c>
      <c r="J1338" s="836">
        <v>0</v>
      </c>
      <c r="K1338" s="836">
        <v>0</v>
      </c>
      <c r="L1338" s="836">
        <v>0</v>
      </c>
      <c r="M1338" s="836">
        <v>0</v>
      </c>
      <c r="N1338" s="836">
        <v>0</v>
      </c>
      <c r="O1338" s="836" t="s">
        <v>251</v>
      </c>
      <c r="P1338" s="1497">
        <f t="shared" si="108"/>
        <v>1324900</v>
      </c>
      <c r="Q1338" s="1186">
        <f t="shared" si="109"/>
        <v>1324900</v>
      </c>
      <c r="R1338" s="835"/>
      <c r="S1338" s="836"/>
      <c r="T1338" s="836"/>
      <c r="U1338" s="836"/>
      <c r="V1338" s="836"/>
      <c r="W1338" s="836"/>
      <c r="X1338" s="836"/>
      <c r="Y1338" s="836"/>
      <c r="Z1338" s="836"/>
      <c r="AA1338" s="836"/>
      <c r="AB1338" s="836"/>
      <c r="AC1338" s="836"/>
      <c r="AD1338" s="1186">
        <f t="shared" si="106"/>
        <v>0</v>
      </c>
      <c r="AE1338" s="637">
        <f t="shared" si="107"/>
        <v>-1</v>
      </c>
      <c r="AF1338" s="638">
        <f t="shared" si="105"/>
        <v>983</v>
      </c>
    </row>
    <row r="1339" spans="1:32" x14ac:dyDescent="0.3">
      <c r="A1339" s="381" t="s">
        <v>759</v>
      </c>
      <c r="B1339" s="1021" t="s">
        <v>1482</v>
      </c>
      <c r="C1339" s="835"/>
      <c r="D1339" s="836">
        <v>961100</v>
      </c>
      <c r="E1339" s="836"/>
      <c r="F1339" s="836">
        <v>0</v>
      </c>
      <c r="G1339" s="836">
        <v>345200</v>
      </c>
      <c r="H1339" s="836">
        <v>225000</v>
      </c>
      <c r="I1339" s="836">
        <v>626400</v>
      </c>
      <c r="J1339" s="836">
        <v>177600</v>
      </c>
      <c r="K1339" s="836">
        <v>193300</v>
      </c>
      <c r="L1339" s="836">
        <v>189200</v>
      </c>
      <c r="M1339" s="836">
        <v>0</v>
      </c>
      <c r="N1339" s="836">
        <v>0</v>
      </c>
      <c r="O1339" s="836">
        <v>235000</v>
      </c>
      <c r="P1339" s="1497">
        <f t="shared" si="108"/>
        <v>2351000</v>
      </c>
      <c r="Q1339" s="1186">
        <f t="shared" si="109"/>
        <v>2759500</v>
      </c>
      <c r="R1339" s="835">
        <v>89200</v>
      </c>
      <c r="S1339" s="836">
        <v>641400</v>
      </c>
      <c r="T1339" s="836">
        <v>0</v>
      </c>
      <c r="U1339" s="836">
        <v>0</v>
      </c>
      <c r="V1339" s="836">
        <v>0</v>
      </c>
      <c r="W1339" s="836">
        <v>0</v>
      </c>
      <c r="X1339" s="836">
        <v>383600</v>
      </c>
      <c r="Y1339" s="836">
        <v>292100</v>
      </c>
      <c r="Z1339" s="836"/>
      <c r="AA1339" s="836"/>
      <c r="AB1339" s="836"/>
      <c r="AC1339" s="836"/>
      <c r="AD1339" s="1186">
        <f t="shared" si="106"/>
        <v>1406300</v>
      </c>
      <c r="AE1339" s="637">
        <f t="shared" si="107"/>
        <v>-0.40182900893236922</v>
      </c>
      <c r="AF1339" s="638">
        <f t="shared" si="105"/>
        <v>254</v>
      </c>
    </row>
    <row r="1340" spans="1:32" x14ac:dyDescent="0.3">
      <c r="A1340" s="381" t="s">
        <v>759</v>
      </c>
      <c r="B1340" s="1021" t="s">
        <v>1483</v>
      </c>
      <c r="C1340" s="835">
        <v>851500</v>
      </c>
      <c r="D1340" s="836">
        <v>190000</v>
      </c>
      <c r="E1340" s="836">
        <v>102000</v>
      </c>
      <c r="F1340" s="836">
        <v>28000</v>
      </c>
      <c r="G1340" s="836">
        <v>129000</v>
      </c>
      <c r="H1340" s="836">
        <v>0</v>
      </c>
      <c r="I1340" s="836">
        <v>2070500</v>
      </c>
      <c r="J1340" s="836">
        <v>613000</v>
      </c>
      <c r="K1340" s="836">
        <v>200500</v>
      </c>
      <c r="L1340" s="836">
        <v>177000</v>
      </c>
      <c r="M1340" s="836">
        <v>434000</v>
      </c>
      <c r="N1340" s="836">
        <v>1030500</v>
      </c>
      <c r="O1340" s="836">
        <v>507000</v>
      </c>
      <c r="P1340" s="1497">
        <f t="shared" si="108"/>
        <v>3571500</v>
      </c>
      <c r="Q1340" s="1186">
        <f t="shared" si="109"/>
        <v>6132500</v>
      </c>
      <c r="R1340" s="835"/>
      <c r="S1340" s="836"/>
      <c r="T1340" s="836"/>
      <c r="U1340" s="836"/>
      <c r="V1340" s="836"/>
      <c r="W1340" s="836"/>
      <c r="X1340" s="836">
        <v>35000</v>
      </c>
      <c r="Y1340" s="836">
        <v>0</v>
      </c>
      <c r="Z1340" s="836"/>
      <c r="AA1340" s="836"/>
      <c r="AB1340" s="836"/>
      <c r="AC1340" s="836"/>
      <c r="AD1340" s="1186">
        <f t="shared" si="106"/>
        <v>35000</v>
      </c>
      <c r="AE1340" s="637">
        <f t="shared" si="107"/>
        <v>-0.99020019599608011</v>
      </c>
      <c r="AF1340" s="638">
        <f t="shared" si="105"/>
        <v>880</v>
      </c>
    </row>
    <row r="1341" spans="1:32" x14ac:dyDescent="0.3">
      <c r="A1341" s="381" t="s">
        <v>759</v>
      </c>
      <c r="B1341" s="1021" t="s">
        <v>1484</v>
      </c>
      <c r="C1341" s="835"/>
      <c r="D1341" s="836">
        <v>180000</v>
      </c>
      <c r="E1341" s="836">
        <v>180000</v>
      </c>
      <c r="F1341" s="836">
        <v>540000</v>
      </c>
      <c r="G1341" s="836">
        <v>360000</v>
      </c>
      <c r="H1341" s="836">
        <v>0</v>
      </c>
      <c r="I1341" s="836">
        <v>175000</v>
      </c>
      <c r="J1341" s="836">
        <v>0</v>
      </c>
      <c r="K1341" s="836">
        <v>0</v>
      </c>
      <c r="L1341" s="836">
        <v>0</v>
      </c>
      <c r="M1341" s="836">
        <v>180000</v>
      </c>
      <c r="N1341" s="836">
        <v>0</v>
      </c>
      <c r="O1341" s="836" t="s">
        <v>251</v>
      </c>
      <c r="P1341" s="1497">
        <f t="shared" si="108"/>
        <v>1435000</v>
      </c>
      <c r="Q1341" s="1186">
        <f t="shared" si="109"/>
        <v>1615000</v>
      </c>
      <c r="R1341" s="835"/>
      <c r="S1341" s="836"/>
      <c r="T1341" s="836"/>
      <c r="U1341" s="836"/>
      <c r="V1341" s="836"/>
      <c r="W1341" s="836"/>
      <c r="X1341" s="836"/>
      <c r="Y1341" s="836"/>
      <c r="Z1341" s="836"/>
      <c r="AA1341" s="836"/>
      <c r="AB1341" s="836"/>
      <c r="AC1341" s="836"/>
      <c r="AD1341" s="1186">
        <f t="shared" si="106"/>
        <v>0</v>
      </c>
      <c r="AE1341" s="637">
        <f t="shared" si="107"/>
        <v>-1</v>
      </c>
      <c r="AF1341" s="638">
        <f t="shared" si="105"/>
        <v>983</v>
      </c>
    </row>
    <row r="1342" spans="1:32" x14ac:dyDescent="0.3">
      <c r="A1342" s="381" t="s">
        <v>759</v>
      </c>
      <c r="B1342" s="1021" t="s">
        <v>1346</v>
      </c>
      <c r="C1342" s="835">
        <v>778000</v>
      </c>
      <c r="D1342" s="836">
        <v>431000</v>
      </c>
      <c r="E1342" s="836"/>
      <c r="F1342" s="836">
        <v>0</v>
      </c>
      <c r="G1342" s="836">
        <v>0</v>
      </c>
      <c r="H1342" s="836">
        <v>0</v>
      </c>
      <c r="I1342" s="836">
        <v>0</v>
      </c>
      <c r="J1342" s="836">
        <v>660000</v>
      </c>
      <c r="K1342" s="836">
        <v>660000</v>
      </c>
      <c r="L1342" s="836">
        <v>0</v>
      </c>
      <c r="M1342" s="836">
        <v>0</v>
      </c>
      <c r="N1342" s="836">
        <v>0</v>
      </c>
      <c r="O1342" s="836">
        <v>162000</v>
      </c>
      <c r="P1342" s="1497">
        <f t="shared" si="108"/>
        <v>1869000</v>
      </c>
      <c r="Q1342" s="1186">
        <f t="shared" si="109"/>
        <v>2031000</v>
      </c>
      <c r="R1342" s="835"/>
      <c r="S1342" s="836"/>
      <c r="T1342" s="836"/>
      <c r="U1342" s="836"/>
      <c r="V1342" s="836"/>
      <c r="W1342" s="836"/>
      <c r="X1342" s="836"/>
      <c r="Y1342" s="836"/>
      <c r="Z1342" s="836"/>
      <c r="AA1342" s="836"/>
      <c r="AB1342" s="836"/>
      <c r="AC1342" s="836"/>
      <c r="AD1342" s="1186">
        <f t="shared" si="106"/>
        <v>0</v>
      </c>
      <c r="AE1342" s="637">
        <f t="shared" si="107"/>
        <v>-1</v>
      </c>
      <c r="AF1342" s="638">
        <f t="shared" si="105"/>
        <v>983</v>
      </c>
    </row>
    <row r="1343" spans="1:32" x14ac:dyDescent="0.3">
      <c r="A1343" s="381" t="s">
        <v>759</v>
      </c>
      <c r="B1343" s="1021" t="s">
        <v>1485</v>
      </c>
      <c r="C1343" s="835"/>
      <c r="D1343" s="836">
        <v>694000</v>
      </c>
      <c r="E1343" s="836">
        <v>453000</v>
      </c>
      <c r="F1343" s="836">
        <v>0</v>
      </c>
      <c r="G1343" s="836">
        <v>0</v>
      </c>
      <c r="H1343" s="836">
        <v>0</v>
      </c>
      <c r="I1343" s="836">
        <v>0</v>
      </c>
      <c r="J1343" s="836">
        <v>0</v>
      </c>
      <c r="K1343" s="836">
        <v>0</v>
      </c>
      <c r="L1343" s="836">
        <v>0</v>
      </c>
      <c r="M1343" s="836">
        <v>0</v>
      </c>
      <c r="N1343" s="836">
        <v>0</v>
      </c>
      <c r="O1343" s="836" t="s">
        <v>251</v>
      </c>
      <c r="P1343" s="1497">
        <f t="shared" si="108"/>
        <v>1147000</v>
      </c>
      <c r="Q1343" s="1186">
        <f t="shared" si="109"/>
        <v>1147000</v>
      </c>
      <c r="R1343" s="835"/>
      <c r="S1343" s="836"/>
      <c r="T1343" s="836"/>
      <c r="U1343" s="836"/>
      <c r="V1343" s="836"/>
      <c r="W1343" s="836"/>
      <c r="X1343" s="836"/>
      <c r="Y1343" s="836"/>
      <c r="Z1343" s="836"/>
      <c r="AA1343" s="836"/>
      <c r="AB1343" s="836"/>
      <c r="AC1343" s="836"/>
      <c r="AD1343" s="1186">
        <f t="shared" si="106"/>
        <v>0</v>
      </c>
      <c r="AE1343" s="637">
        <f t="shared" si="107"/>
        <v>-1</v>
      </c>
      <c r="AF1343" s="638">
        <f t="shared" si="105"/>
        <v>983</v>
      </c>
    </row>
    <row r="1344" spans="1:32" x14ac:dyDescent="0.3">
      <c r="A1344" s="381" t="s">
        <v>759</v>
      </c>
      <c r="B1344" s="1021" t="s">
        <v>1486</v>
      </c>
      <c r="C1344" s="835">
        <v>1127500</v>
      </c>
      <c r="D1344" s="836">
        <v>0</v>
      </c>
      <c r="E1344" s="836"/>
      <c r="F1344" s="836">
        <v>0</v>
      </c>
      <c r="G1344" s="836">
        <v>0</v>
      </c>
      <c r="H1344" s="836">
        <v>0</v>
      </c>
      <c r="I1344" s="836">
        <v>0</v>
      </c>
      <c r="J1344" s="836">
        <v>0</v>
      </c>
      <c r="K1344" s="836">
        <v>0</v>
      </c>
      <c r="L1344" s="836">
        <v>0</v>
      </c>
      <c r="M1344" s="836">
        <v>0</v>
      </c>
      <c r="N1344" s="836">
        <v>0</v>
      </c>
      <c r="O1344" s="836" t="s">
        <v>251</v>
      </c>
      <c r="P1344" s="1497">
        <f t="shared" si="108"/>
        <v>1127500</v>
      </c>
      <c r="Q1344" s="1186">
        <f t="shared" si="109"/>
        <v>1127500</v>
      </c>
      <c r="R1344" s="835"/>
      <c r="S1344" s="836"/>
      <c r="T1344" s="836"/>
      <c r="U1344" s="836"/>
      <c r="V1344" s="836">
        <v>23000</v>
      </c>
      <c r="W1344" s="836">
        <v>0</v>
      </c>
      <c r="X1344" s="836">
        <v>28000</v>
      </c>
      <c r="Y1344" s="836">
        <v>0</v>
      </c>
      <c r="Z1344" s="836"/>
      <c r="AA1344" s="836"/>
      <c r="AB1344" s="836"/>
      <c r="AC1344" s="836"/>
      <c r="AD1344" s="1186">
        <f t="shared" si="106"/>
        <v>51000</v>
      </c>
      <c r="AE1344" s="637">
        <f t="shared" si="107"/>
        <v>-0.95476718403547667</v>
      </c>
      <c r="AF1344" s="638">
        <f t="shared" si="105"/>
        <v>844</v>
      </c>
    </row>
    <row r="1345" spans="1:32" x14ac:dyDescent="0.3">
      <c r="A1345" s="381" t="s">
        <v>759</v>
      </c>
      <c r="B1345" s="1021" t="s">
        <v>1266</v>
      </c>
      <c r="C1345" s="835"/>
      <c r="D1345" s="836">
        <v>230000</v>
      </c>
      <c r="E1345" s="836">
        <v>55000</v>
      </c>
      <c r="F1345" s="836">
        <v>40000</v>
      </c>
      <c r="G1345" s="836">
        <v>743900</v>
      </c>
      <c r="H1345" s="836">
        <v>70000</v>
      </c>
      <c r="I1345" s="836">
        <v>70000</v>
      </c>
      <c r="J1345" s="836">
        <v>882000</v>
      </c>
      <c r="K1345" s="836">
        <v>561000</v>
      </c>
      <c r="L1345" s="836">
        <v>1416000</v>
      </c>
      <c r="M1345" s="836">
        <v>66000</v>
      </c>
      <c r="N1345" s="836">
        <v>1735000</v>
      </c>
      <c r="O1345" s="836" t="s">
        <v>251</v>
      </c>
      <c r="P1345" s="1497">
        <f t="shared" si="108"/>
        <v>1769900</v>
      </c>
      <c r="Q1345" s="1186">
        <f t="shared" si="109"/>
        <v>5307900</v>
      </c>
      <c r="R1345" s="835"/>
      <c r="S1345" s="836">
        <v>224000</v>
      </c>
      <c r="T1345" s="836">
        <v>56000</v>
      </c>
      <c r="U1345" s="836">
        <v>0</v>
      </c>
      <c r="V1345" s="836">
        <v>23000</v>
      </c>
      <c r="W1345" s="836">
        <v>0</v>
      </c>
      <c r="X1345" s="836">
        <v>297000</v>
      </c>
      <c r="Y1345" s="836">
        <v>0</v>
      </c>
      <c r="Z1345" s="836"/>
      <c r="AA1345" s="836"/>
      <c r="AB1345" s="836"/>
      <c r="AC1345" s="836"/>
      <c r="AD1345" s="1186">
        <f t="shared" si="106"/>
        <v>600000</v>
      </c>
      <c r="AE1345" s="637">
        <f t="shared" si="107"/>
        <v>-0.66099779648567714</v>
      </c>
      <c r="AF1345" s="638">
        <f t="shared" si="105"/>
        <v>405</v>
      </c>
    </row>
    <row r="1346" spans="1:32" x14ac:dyDescent="0.3">
      <c r="A1346" s="381" t="s">
        <v>759</v>
      </c>
      <c r="B1346" s="1021" t="s">
        <v>1487</v>
      </c>
      <c r="C1346" s="835"/>
      <c r="D1346" s="836">
        <v>0</v>
      </c>
      <c r="E1346" s="836"/>
      <c r="F1346" s="836">
        <v>1064000</v>
      </c>
      <c r="G1346" s="836">
        <v>0</v>
      </c>
      <c r="H1346" s="836">
        <v>554000</v>
      </c>
      <c r="I1346" s="836">
        <v>0</v>
      </c>
      <c r="J1346" s="836">
        <v>0</v>
      </c>
      <c r="K1346" s="836">
        <v>0</v>
      </c>
      <c r="L1346" s="836">
        <v>0</v>
      </c>
      <c r="M1346" s="836">
        <v>0</v>
      </c>
      <c r="N1346" s="836">
        <v>0</v>
      </c>
      <c r="O1346" s="836" t="s">
        <v>251</v>
      </c>
      <c r="P1346" s="1497">
        <f t="shared" si="108"/>
        <v>1618000</v>
      </c>
      <c r="Q1346" s="1186">
        <f t="shared" si="109"/>
        <v>1618000</v>
      </c>
      <c r="R1346" s="835"/>
      <c r="S1346" s="836"/>
      <c r="T1346" s="836"/>
      <c r="U1346" s="836"/>
      <c r="V1346" s="836"/>
      <c r="W1346" s="836"/>
      <c r="X1346" s="836"/>
      <c r="Y1346" s="836"/>
      <c r="Z1346" s="836"/>
      <c r="AA1346" s="836"/>
      <c r="AB1346" s="836"/>
      <c r="AC1346" s="836"/>
      <c r="AD1346" s="1186">
        <f t="shared" si="106"/>
        <v>0</v>
      </c>
      <c r="AE1346" s="637">
        <f t="shared" si="107"/>
        <v>-1</v>
      </c>
      <c r="AF1346" s="638">
        <f t="shared" si="105"/>
        <v>983</v>
      </c>
    </row>
    <row r="1347" spans="1:32" x14ac:dyDescent="0.3">
      <c r="A1347" s="381" t="s">
        <v>759</v>
      </c>
      <c r="B1347" s="1021" t="s">
        <v>1488</v>
      </c>
      <c r="C1347" s="835"/>
      <c r="D1347" s="836">
        <v>0</v>
      </c>
      <c r="E1347" s="836"/>
      <c r="F1347" s="836">
        <v>0</v>
      </c>
      <c r="G1347" s="836">
        <v>1050000</v>
      </c>
      <c r="H1347" s="836">
        <v>700000</v>
      </c>
      <c r="I1347" s="836">
        <v>1225000</v>
      </c>
      <c r="J1347" s="836">
        <v>1750000</v>
      </c>
      <c r="K1347" s="836">
        <v>1750000</v>
      </c>
      <c r="L1347" s="836">
        <v>350000</v>
      </c>
      <c r="M1347" s="836">
        <v>0</v>
      </c>
      <c r="N1347" s="836">
        <v>0</v>
      </c>
      <c r="O1347" s="836" t="s">
        <v>251</v>
      </c>
      <c r="P1347" s="1497">
        <f t="shared" si="108"/>
        <v>4725000</v>
      </c>
      <c r="Q1347" s="1186">
        <f t="shared" si="109"/>
        <v>5075000</v>
      </c>
      <c r="R1347" s="835">
        <v>1750000</v>
      </c>
      <c r="S1347" s="836">
        <v>210000</v>
      </c>
      <c r="T1347" s="836">
        <v>0</v>
      </c>
      <c r="U1347" s="836">
        <v>175000</v>
      </c>
      <c r="V1347" s="836">
        <v>525000</v>
      </c>
      <c r="W1347" s="836">
        <v>0</v>
      </c>
      <c r="X1347" s="836">
        <v>0</v>
      </c>
      <c r="Y1347" s="836">
        <v>0</v>
      </c>
      <c r="Z1347" s="836"/>
      <c r="AA1347" s="836"/>
      <c r="AB1347" s="836"/>
      <c r="AC1347" s="836"/>
      <c r="AD1347" s="1186">
        <f t="shared" si="106"/>
        <v>2660000</v>
      </c>
      <c r="AE1347" s="637">
        <f t="shared" si="107"/>
        <v>-0.43703703703703706</v>
      </c>
      <c r="AF1347" s="638">
        <f t="shared" si="105"/>
        <v>168</v>
      </c>
    </row>
    <row r="1348" spans="1:32" x14ac:dyDescent="0.3">
      <c r="A1348" s="381" t="s">
        <v>759</v>
      </c>
      <c r="B1348" s="1021" t="s">
        <v>1489</v>
      </c>
      <c r="C1348" s="835">
        <v>1006000</v>
      </c>
      <c r="D1348" s="836">
        <v>0</v>
      </c>
      <c r="E1348" s="836"/>
      <c r="F1348" s="836">
        <v>0</v>
      </c>
      <c r="G1348" s="836">
        <v>0</v>
      </c>
      <c r="H1348" s="836">
        <v>350000</v>
      </c>
      <c r="I1348" s="836">
        <v>0</v>
      </c>
      <c r="J1348" s="836">
        <v>0</v>
      </c>
      <c r="K1348" s="836">
        <v>0</v>
      </c>
      <c r="L1348" s="836">
        <v>0</v>
      </c>
      <c r="M1348" s="836">
        <v>0</v>
      </c>
      <c r="N1348" s="836">
        <v>0</v>
      </c>
      <c r="O1348" s="836">
        <v>2047000</v>
      </c>
      <c r="P1348" s="1497">
        <f t="shared" si="108"/>
        <v>1356000</v>
      </c>
      <c r="Q1348" s="1186">
        <f t="shared" si="109"/>
        <v>3403000</v>
      </c>
      <c r="R1348" s="835"/>
      <c r="S1348" s="836"/>
      <c r="T1348" s="836"/>
      <c r="U1348" s="836"/>
      <c r="V1348" s="836"/>
      <c r="W1348" s="836"/>
      <c r="X1348" s="836"/>
      <c r="Y1348" s="836"/>
      <c r="Z1348" s="836"/>
      <c r="AA1348" s="836"/>
      <c r="AB1348" s="836"/>
      <c r="AC1348" s="836"/>
      <c r="AD1348" s="1186">
        <f t="shared" si="106"/>
        <v>0</v>
      </c>
      <c r="AE1348" s="637">
        <f t="shared" si="107"/>
        <v>-1</v>
      </c>
      <c r="AF1348" s="638">
        <f t="shared" si="105"/>
        <v>983</v>
      </c>
    </row>
    <row r="1349" spans="1:32" x14ac:dyDescent="0.3">
      <c r="A1349" s="381" t="s">
        <v>759</v>
      </c>
      <c r="B1349" s="1021" t="s">
        <v>1490</v>
      </c>
      <c r="C1349" s="835"/>
      <c r="D1349" s="836">
        <v>960000</v>
      </c>
      <c r="E1349" s="836"/>
      <c r="F1349" s="836">
        <v>0</v>
      </c>
      <c r="G1349" s="836">
        <v>0</v>
      </c>
      <c r="H1349" s="836">
        <v>0</v>
      </c>
      <c r="I1349" s="836">
        <v>1280000</v>
      </c>
      <c r="J1349" s="836">
        <v>0</v>
      </c>
      <c r="K1349" s="836">
        <v>0</v>
      </c>
      <c r="L1349" s="836">
        <v>1600000</v>
      </c>
      <c r="M1349" s="836">
        <v>326000</v>
      </c>
      <c r="N1349" s="836">
        <v>0</v>
      </c>
      <c r="O1349" s="836">
        <v>320000</v>
      </c>
      <c r="P1349" s="1497">
        <f t="shared" si="108"/>
        <v>2240000</v>
      </c>
      <c r="Q1349" s="1186">
        <f t="shared" si="109"/>
        <v>4486000</v>
      </c>
      <c r="R1349" s="835">
        <v>960000</v>
      </c>
      <c r="S1349" s="836"/>
      <c r="T1349" s="836">
        <v>1566000</v>
      </c>
      <c r="U1349" s="836">
        <v>0</v>
      </c>
      <c r="V1349" s="836">
        <v>0</v>
      </c>
      <c r="W1349" s="836">
        <v>535000</v>
      </c>
      <c r="X1349" s="836">
        <v>0</v>
      </c>
      <c r="Y1349" s="836">
        <v>0</v>
      </c>
      <c r="Z1349" s="836"/>
      <c r="AA1349" s="836"/>
      <c r="AB1349" s="836"/>
      <c r="AC1349" s="836"/>
      <c r="AD1349" s="1186">
        <f t="shared" si="106"/>
        <v>3061000</v>
      </c>
      <c r="AE1349" s="637">
        <f t="shared" si="107"/>
        <v>0.36651785714285712</v>
      </c>
      <c r="AF1349" s="638">
        <f t="shared" si="105"/>
        <v>151</v>
      </c>
    </row>
    <row r="1350" spans="1:32" x14ac:dyDescent="0.3">
      <c r="A1350" s="381" t="s">
        <v>759</v>
      </c>
      <c r="B1350" s="1021" t="s">
        <v>1491</v>
      </c>
      <c r="C1350" s="835">
        <v>67000</v>
      </c>
      <c r="D1350" s="836">
        <v>155000</v>
      </c>
      <c r="E1350" s="836">
        <v>45000</v>
      </c>
      <c r="F1350" s="836">
        <v>0</v>
      </c>
      <c r="G1350" s="836">
        <v>674000</v>
      </c>
      <c r="H1350" s="836">
        <v>105000</v>
      </c>
      <c r="I1350" s="836">
        <v>155000</v>
      </c>
      <c r="J1350" s="836">
        <v>0</v>
      </c>
      <c r="K1350" s="836">
        <v>0</v>
      </c>
      <c r="L1350" s="836">
        <v>248000</v>
      </c>
      <c r="M1350" s="836">
        <v>91000</v>
      </c>
      <c r="N1350" s="836">
        <v>202000</v>
      </c>
      <c r="O1350" s="836">
        <v>1626000</v>
      </c>
      <c r="P1350" s="1497">
        <f t="shared" si="108"/>
        <v>1201000</v>
      </c>
      <c r="Q1350" s="1186">
        <f t="shared" si="109"/>
        <v>3368000</v>
      </c>
      <c r="R1350" s="835">
        <v>1721500</v>
      </c>
      <c r="S1350" s="836"/>
      <c r="T1350" s="836">
        <v>667000</v>
      </c>
      <c r="U1350" s="836">
        <v>0</v>
      </c>
      <c r="V1350" s="836">
        <v>0</v>
      </c>
      <c r="W1350" s="836">
        <v>0</v>
      </c>
      <c r="X1350" s="836">
        <v>0</v>
      </c>
      <c r="Y1350" s="836">
        <v>0</v>
      </c>
      <c r="Z1350" s="836"/>
      <c r="AA1350" s="836"/>
      <c r="AB1350" s="836"/>
      <c r="AC1350" s="836"/>
      <c r="AD1350" s="1186">
        <f t="shared" si="106"/>
        <v>2388500</v>
      </c>
      <c r="AE1350" s="637">
        <f t="shared" si="107"/>
        <v>0.98875936719400503</v>
      </c>
      <c r="AF1350" s="638">
        <f t="shared" si="105"/>
        <v>183</v>
      </c>
    </row>
    <row r="1351" spans="1:32" x14ac:dyDescent="0.3">
      <c r="A1351" s="381" t="s">
        <v>759</v>
      </c>
      <c r="B1351" s="1021" t="s">
        <v>1464</v>
      </c>
      <c r="C1351" s="835">
        <v>882000</v>
      </c>
      <c r="D1351" s="836">
        <v>0</v>
      </c>
      <c r="E1351" s="836">
        <v>28000</v>
      </c>
      <c r="F1351" s="836">
        <v>0</v>
      </c>
      <c r="G1351" s="836">
        <v>0</v>
      </c>
      <c r="H1351" s="836">
        <v>0</v>
      </c>
      <c r="I1351" s="836">
        <v>0</v>
      </c>
      <c r="J1351" s="836">
        <v>0</v>
      </c>
      <c r="K1351" s="836">
        <v>0</v>
      </c>
      <c r="L1351" s="836">
        <v>0</v>
      </c>
      <c r="M1351" s="836">
        <v>102000</v>
      </c>
      <c r="N1351" s="836">
        <v>42000</v>
      </c>
      <c r="O1351" s="836">
        <v>245000</v>
      </c>
      <c r="P1351" s="1497">
        <f t="shared" si="108"/>
        <v>910000</v>
      </c>
      <c r="Q1351" s="1186">
        <f t="shared" si="109"/>
        <v>1299000</v>
      </c>
      <c r="R1351" s="835">
        <v>60000</v>
      </c>
      <c r="S1351" s="836"/>
      <c r="T1351" s="836">
        <v>0</v>
      </c>
      <c r="U1351" s="836">
        <v>0</v>
      </c>
      <c r="V1351" s="836">
        <v>50000</v>
      </c>
      <c r="W1351" s="836">
        <v>135000</v>
      </c>
      <c r="X1351" s="836">
        <v>115000</v>
      </c>
      <c r="Y1351" s="836">
        <v>120000</v>
      </c>
      <c r="Z1351" s="836"/>
      <c r="AA1351" s="836"/>
      <c r="AB1351" s="836"/>
      <c r="AC1351" s="836"/>
      <c r="AD1351" s="1186">
        <f t="shared" si="106"/>
        <v>480000</v>
      </c>
      <c r="AE1351" s="637">
        <f t="shared" si="107"/>
        <v>-0.47252747252747251</v>
      </c>
      <c r="AF1351" s="638">
        <f t="shared" ref="AF1351:AF1414" si="110">IFERROR(_xlfn.RANK.EQ(AD1351, $AD$2:$AD$2064), "")</f>
        <v>450</v>
      </c>
    </row>
    <row r="1352" spans="1:32" x14ac:dyDescent="0.3">
      <c r="A1352" s="381" t="s">
        <v>759</v>
      </c>
      <c r="B1352" s="1021" t="s">
        <v>1492</v>
      </c>
      <c r="C1352" s="835"/>
      <c r="D1352" s="836">
        <v>0</v>
      </c>
      <c r="E1352" s="836">
        <v>809650</v>
      </c>
      <c r="F1352" s="836">
        <v>0</v>
      </c>
      <c r="G1352" s="836">
        <v>0</v>
      </c>
      <c r="H1352" s="836">
        <v>0</v>
      </c>
      <c r="I1352" s="836">
        <v>0</v>
      </c>
      <c r="J1352" s="836">
        <v>0</v>
      </c>
      <c r="K1352" s="836">
        <v>0</v>
      </c>
      <c r="L1352" s="836">
        <v>0</v>
      </c>
      <c r="M1352" s="836">
        <v>0</v>
      </c>
      <c r="N1352" s="836">
        <v>0</v>
      </c>
      <c r="O1352" s="836" t="s">
        <v>251</v>
      </c>
      <c r="P1352" s="1497">
        <f t="shared" si="108"/>
        <v>809650</v>
      </c>
      <c r="Q1352" s="1186">
        <f t="shared" si="109"/>
        <v>809650</v>
      </c>
      <c r="R1352" s="835"/>
      <c r="S1352" s="836"/>
      <c r="T1352" s="836"/>
      <c r="U1352" s="836"/>
      <c r="V1352" s="836"/>
      <c r="W1352" s="836"/>
      <c r="X1352" s="836"/>
      <c r="Y1352" s="836"/>
      <c r="Z1352" s="836"/>
      <c r="AA1352" s="836"/>
      <c r="AB1352" s="836"/>
      <c r="AC1352" s="836"/>
      <c r="AD1352" s="1186">
        <f t="shared" si="106"/>
        <v>0</v>
      </c>
      <c r="AE1352" s="637">
        <f t="shared" si="107"/>
        <v>-1</v>
      </c>
      <c r="AF1352" s="638">
        <f t="shared" si="110"/>
        <v>983</v>
      </c>
    </row>
    <row r="1353" spans="1:32" x14ac:dyDescent="0.3">
      <c r="A1353" s="381" t="s">
        <v>759</v>
      </c>
      <c r="B1353" s="1021" t="s">
        <v>1298</v>
      </c>
      <c r="C1353" s="835"/>
      <c r="D1353" s="836">
        <v>0</v>
      </c>
      <c r="E1353" s="836">
        <v>730900</v>
      </c>
      <c r="F1353" s="836">
        <v>68000</v>
      </c>
      <c r="G1353" s="836">
        <v>0</v>
      </c>
      <c r="H1353" s="836">
        <v>0</v>
      </c>
      <c r="I1353" s="836">
        <v>0</v>
      </c>
      <c r="J1353" s="836">
        <v>0</v>
      </c>
      <c r="K1353" s="836">
        <v>0</v>
      </c>
      <c r="L1353" s="836">
        <v>0</v>
      </c>
      <c r="M1353" s="836">
        <v>0</v>
      </c>
      <c r="N1353" s="836">
        <v>0</v>
      </c>
      <c r="O1353" s="836" t="s">
        <v>251</v>
      </c>
      <c r="P1353" s="1497">
        <f t="shared" si="108"/>
        <v>798900</v>
      </c>
      <c r="Q1353" s="1186">
        <f t="shared" si="109"/>
        <v>798900</v>
      </c>
      <c r="R1353" s="835"/>
      <c r="S1353" s="836"/>
      <c r="T1353" s="836"/>
      <c r="U1353" s="836"/>
      <c r="V1353" s="836"/>
      <c r="W1353" s="836"/>
      <c r="X1353" s="836"/>
      <c r="Y1353" s="836"/>
      <c r="Z1353" s="836"/>
      <c r="AA1353" s="836"/>
      <c r="AB1353" s="836"/>
      <c r="AC1353" s="836"/>
      <c r="AD1353" s="1186">
        <f t="shared" si="106"/>
        <v>0</v>
      </c>
      <c r="AE1353" s="637">
        <f t="shared" si="107"/>
        <v>-1</v>
      </c>
      <c r="AF1353" s="638">
        <f t="shared" si="110"/>
        <v>983</v>
      </c>
    </row>
    <row r="1354" spans="1:32" x14ac:dyDescent="0.3">
      <c r="A1354" s="381" t="s">
        <v>759</v>
      </c>
      <c r="B1354" s="1021" t="s">
        <v>1493</v>
      </c>
      <c r="C1354" s="835"/>
      <c r="D1354" s="836">
        <v>0</v>
      </c>
      <c r="E1354" s="836">
        <v>105000</v>
      </c>
      <c r="F1354" s="836">
        <v>675000</v>
      </c>
      <c r="G1354" s="836">
        <v>0</v>
      </c>
      <c r="H1354" s="836">
        <v>0</v>
      </c>
      <c r="I1354" s="836">
        <v>105000</v>
      </c>
      <c r="J1354" s="836">
        <v>0</v>
      </c>
      <c r="K1354" s="836">
        <v>0</v>
      </c>
      <c r="L1354" s="836">
        <v>0</v>
      </c>
      <c r="M1354" s="836">
        <v>0</v>
      </c>
      <c r="N1354" s="836">
        <v>0</v>
      </c>
      <c r="O1354" s="836" t="s">
        <v>251</v>
      </c>
      <c r="P1354" s="1497">
        <f t="shared" si="108"/>
        <v>885000</v>
      </c>
      <c r="Q1354" s="1186">
        <f t="shared" si="109"/>
        <v>885000</v>
      </c>
      <c r="R1354" s="835"/>
      <c r="S1354" s="836"/>
      <c r="T1354" s="836"/>
      <c r="U1354" s="836"/>
      <c r="V1354" s="836"/>
      <c r="W1354" s="836"/>
      <c r="X1354" s="836"/>
      <c r="Y1354" s="836"/>
      <c r="Z1354" s="836"/>
      <c r="AA1354" s="836"/>
      <c r="AB1354" s="836"/>
      <c r="AC1354" s="836"/>
      <c r="AD1354" s="1186">
        <f t="shared" si="106"/>
        <v>0</v>
      </c>
      <c r="AE1354" s="637">
        <f t="shared" si="107"/>
        <v>-1</v>
      </c>
      <c r="AF1354" s="638">
        <f t="shared" si="110"/>
        <v>983</v>
      </c>
    </row>
    <row r="1355" spans="1:32" x14ac:dyDescent="0.3">
      <c r="A1355" s="381" t="s">
        <v>759</v>
      </c>
      <c r="B1355" s="1021" t="s">
        <v>1494</v>
      </c>
      <c r="C1355" s="835"/>
      <c r="D1355" s="836">
        <v>401500</v>
      </c>
      <c r="E1355" s="836">
        <v>80500</v>
      </c>
      <c r="F1355" s="836">
        <v>247500</v>
      </c>
      <c r="G1355" s="836">
        <v>22500</v>
      </c>
      <c r="H1355" s="836">
        <v>390750</v>
      </c>
      <c r="I1355" s="836">
        <v>533500</v>
      </c>
      <c r="J1355" s="836">
        <v>0</v>
      </c>
      <c r="K1355" s="836">
        <v>0</v>
      </c>
      <c r="L1355" s="836">
        <v>0</v>
      </c>
      <c r="M1355" s="836">
        <v>0</v>
      </c>
      <c r="N1355" s="836">
        <v>0</v>
      </c>
      <c r="O1355" s="836" t="s">
        <v>251</v>
      </c>
      <c r="P1355" s="1497">
        <f t="shared" si="108"/>
        <v>1676250</v>
      </c>
      <c r="Q1355" s="1186">
        <f t="shared" si="109"/>
        <v>1676250</v>
      </c>
      <c r="R1355" s="835"/>
      <c r="S1355" s="836"/>
      <c r="T1355" s="836"/>
      <c r="U1355" s="836"/>
      <c r="V1355" s="836"/>
      <c r="W1355" s="836"/>
      <c r="X1355" s="836"/>
      <c r="Y1355" s="836"/>
      <c r="Z1355" s="836"/>
      <c r="AA1355" s="836"/>
      <c r="AB1355" s="836"/>
      <c r="AC1355" s="836"/>
      <c r="AD1355" s="1186">
        <f t="shared" si="106"/>
        <v>0</v>
      </c>
      <c r="AE1355" s="637">
        <f t="shared" si="107"/>
        <v>-1</v>
      </c>
      <c r="AF1355" s="638">
        <f t="shared" si="110"/>
        <v>983</v>
      </c>
    </row>
    <row r="1356" spans="1:32" x14ac:dyDescent="0.3">
      <c r="A1356" s="381" t="s">
        <v>759</v>
      </c>
      <c r="B1356" s="1021" t="s">
        <v>1063</v>
      </c>
      <c r="C1356" s="835">
        <v>550000</v>
      </c>
      <c r="D1356" s="836">
        <v>71000</v>
      </c>
      <c r="E1356" s="836"/>
      <c r="F1356" s="836">
        <v>0</v>
      </c>
      <c r="G1356" s="836">
        <v>133000</v>
      </c>
      <c r="H1356" s="836">
        <v>0</v>
      </c>
      <c r="I1356" s="836">
        <v>0</v>
      </c>
      <c r="J1356" s="836">
        <v>377000</v>
      </c>
      <c r="K1356" s="836">
        <v>177000</v>
      </c>
      <c r="L1356" s="836">
        <v>241000</v>
      </c>
      <c r="M1356" s="836">
        <v>0</v>
      </c>
      <c r="N1356" s="836">
        <v>108000</v>
      </c>
      <c r="O1356" s="836" t="s">
        <v>251</v>
      </c>
      <c r="P1356" s="1497">
        <f t="shared" si="108"/>
        <v>931000</v>
      </c>
      <c r="Q1356" s="1186">
        <f t="shared" si="109"/>
        <v>1480000</v>
      </c>
      <c r="R1356" s="835"/>
      <c r="S1356" s="836"/>
      <c r="T1356" s="836"/>
      <c r="U1356" s="836"/>
      <c r="V1356" s="836"/>
      <c r="W1356" s="836"/>
      <c r="X1356" s="836"/>
      <c r="Y1356" s="836"/>
      <c r="Z1356" s="836"/>
      <c r="AA1356" s="836"/>
      <c r="AB1356" s="836"/>
      <c r="AC1356" s="836"/>
      <c r="AD1356" s="1186">
        <f t="shared" si="106"/>
        <v>0</v>
      </c>
      <c r="AE1356" s="637">
        <f t="shared" si="107"/>
        <v>-1</v>
      </c>
      <c r="AF1356" s="638">
        <f t="shared" si="110"/>
        <v>983</v>
      </c>
    </row>
    <row r="1357" spans="1:32" x14ac:dyDescent="0.3">
      <c r="A1357" s="381" t="s">
        <v>759</v>
      </c>
      <c r="B1357" s="1021" t="s">
        <v>1495</v>
      </c>
      <c r="C1357" s="835"/>
      <c r="D1357" s="836" t="s">
        <v>251</v>
      </c>
      <c r="E1357" s="836">
        <v>675000</v>
      </c>
      <c r="F1357" s="836">
        <v>0</v>
      </c>
      <c r="G1357" s="836" t="s">
        <v>251</v>
      </c>
      <c r="H1357" s="836" t="s">
        <v>251</v>
      </c>
      <c r="I1357" s="836" t="s">
        <v>251</v>
      </c>
      <c r="J1357" s="836">
        <v>0</v>
      </c>
      <c r="K1357" s="836">
        <v>0</v>
      </c>
      <c r="L1357" s="836">
        <v>0</v>
      </c>
      <c r="M1357" s="836">
        <v>0</v>
      </c>
      <c r="N1357" s="836">
        <v>0</v>
      </c>
      <c r="O1357" s="836" t="s">
        <v>251</v>
      </c>
      <c r="P1357" s="1497">
        <f t="shared" si="108"/>
        <v>675000</v>
      </c>
      <c r="Q1357" s="1186">
        <f t="shared" si="109"/>
        <v>675000</v>
      </c>
      <c r="R1357" s="835"/>
      <c r="S1357" s="836"/>
      <c r="T1357" s="836"/>
      <c r="U1357" s="836"/>
      <c r="V1357" s="836"/>
      <c r="W1357" s="836"/>
      <c r="X1357" s="836"/>
      <c r="Y1357" s="836"/>
      <c r="Z1357" s="836"/>
      <c r="AA1357" s="836"/>
      <c r="AB1357" s="836"/>
      <c r="AC1357" s="836"/>
      <c r="AD1357" s="1186">
        <f t="shared" si="106"/>
        <v>0</v>
      </c>
      <c r="AE1357" s="637">
        <f t="shared" si="107"/>
        <v>-1</v>
      </c>
      <c r="AF1357" s="638">
        <f t="shared" si="110"/>
        <v>983</v>
      </c>
    </row>
    <row r="1358" spans="1:32" x14ac:dyDescent="0.3">
      <c r="A1358" s="381" t="s">
        <v>759</v>
      </c>
      <c r="B1358" s="1021" t="s">
        <v>1496</v>
      </c>
      <c r="C1358" s="835"/>
      <c r="D1358" s="836">
        <v>0</v>
      </c>
      <c r="E1358" s="836"/>
      <c r="F1358" s="836">
        <v>660000</v>
      </c>
      <c r="G1358" s="836">
        <v>0</v>
      </c>
      <c r="H1358" s="836">
        <v>0</v>
      </c>
      <c r="I1358" s="836">
        <v>0</v>
      </c>
      <c r="J1358" s="836">
        <v>0</v>
      </c>
      <c r="K1358" s="836">
        <v>0</v>
      </c>
      <c r="L1358" s="836">
        <v>0</v>
      </c>
      <c r="M1358" s="836">
        <v>0</v>
      </c>
      <c r="N1358" s="836">
        <v>0</v>
      </c>
      <c r="O1358" s="836" t="s">
        <v>251</v>
      </c>
      <c r="P1358" s="1497">
        <f t="shared" si="108"/>
        <v>660000</v>
      </c>
      <c r="Q1358" s="1186">
        <f t="shared" si="109"/>
        <v>660000</v>
      </c>
      <c r="R1358" s="835"/>
      <c r="S1358" s="836"/>
      <c r="T1358" s="836"/>
      <c r="U1358" s="836"/>
      <c r="V1358" s="836"/>
      <c r="W1358" s="836"/>
      <c r="X1358" s="836"/>
      <c r="Y1358" s="836"/>
      <c r="Z1358" s="836"/>
      <c r="AA1358" s="836"/>
      <c r="AB1358" s="836"/>
      <c r="AC1358" s="836"/>
      <c r="AD1358" s="1186">
        <f t="shared" si="106"/>
        <v>0</v>
      </c>
      <c r="AE1358" s="637">
        <f t="shared" si="107"/>
        <v>-1</v>
      </c>
      <c r="AF1358" s="638">
        <f t="shared" si="110"/>
        <v>983</v>
      </c>
    </row>
    <row r="1359" spans="1:32" x14ac:dyDescent="0.3">
      <c r="A1359" s="381" t="s">
        <v>759</v>
      </c>
      <c r="B1359" s="1021" t="s">
        <v>1497</v>
      </c>
      <c r="C1359" s="835">
        <v>369320</v>
      </c>
      <c r="D1359" s="836">
        <v>0</v>
      </c>
      <c r="E1359" s="836"/>
      <c r="F1359" s="836">
        <v>0</v>
      </c>
      <c r="G1359" s="836">
        <v>185050</v>
      </c>
      <c r="H1359" s="836">
        <v>20000</v>
      </c>
      <c r="I1359" s="836">
        <v>0</v>
      </c>
      <c r="J1359" s="836">
        <v>0</v>
      </c>
      <c r="K1359" s="836">
        <v>0</v>
      </c>
      <c r="L1359" s="836">
        <v>0</v>
      </c>
      <c r="M1359" s="836">
        <v>0</v>
      </c>
      <c r="N1359" s="836">
        <v>0</v>
      </c>
      <c r="O1359" s="836" t="s">
        <v>251</v>
      </c>
      <c r="P1359" s="1497">
        <f t="shared" si="108"/>
        <v>574370</v>
      </c>
      <c r="Q1359" s="1186">
        <f t="shared" si="109"/>
        <v>574370</v>
      </c>
      <c r="R1359" s="835"/>
      <c r="S1359" s="836"/>
      <c r="T1359" s="836">
        <v>185050</v>
      </c>
      <c r="U1359" s="836">
        <v>17000</v>
      </c>
      <c r="V1359" s="836">
        <v>0</v>
      </c>
      <c r="W1359" s="836">
        <v>0</v>
      </c>
      <c r="X1359" s="836">
        <v>394000</v>
      </c>
      <c r="Y1359" s="836">
        <v>0</v>
      </c>
      <c r="Z1359" s="836"/>
      <c r="AA1359" s="836"/>
      <c r="AB1359" s="836"/>
      <c r="AC1359" s="836"/>
      <c r="AD1359" s="1186">
        <f t="shared" ref="AD1359:AD1422" si="111">SUM(R1359:AC1359)</f>
        <v>596050</v>
      </c>
      <c r="AE1359" s="637">
        <f t="shared" ref="AE1359:AE1422" si="112">IF(OR(AD1359="", P1359=""), 0, IFERROR((AD1359-P1359)/P1359, IF(AD1359&lt;&gt;0, 1, 0)))</f>
        <v>3.7745703988718071E-2</v>
      </c>
      <c r="AF1359" s="638">
        <f t="shared" si="110"/>
        <v>407</v>
      </c>
    </row>
    <row r="1360" spans="1:32" x14ac:dyDescent="0.3">
      <c r="A1360" s="381" t="s">
        <v>759</v>
      </c>
      <c r="B1360" s="1021" t="s">
        <v>655</v>
      </c>
      <c r="C1360" s="835"/>
      <c r="D1360" s="836">
        <v>316000</v>
      </c>
      <c r="E1360" s="836">
        <v>309000</v>
      </c>
      <c r="F1360" s="836">
        <v>0</v>
      </c>
      <c r="G1360" s="836">
        <v>0</v>
      </c>
      <c r="H1360" s="836">
        <v>0</v>
      </c>
      <c r="I1360" s="836">
        <v>0</v>
      </c>
      <c r="J1360" s="836">
        <v>0</v>
      </c>
      <c r="K1360" s="836">
        <v>0</v>
      </c>
      <c r="L1360" s="836">
        <v>0</v>
      </c>
      <c r="M1360" s="836">
        <v>0</v>
      </c>
      <c r="N1360" s="836">
        <v>0</v>
      </c>
      <c r="O1360" s="836" t="s">
        <v>251</v>
      </c>
      <c r="P1360" s="1497">
        <f t="shared" si="108"/>
        <v>625000</v>
      </c>
      <c r="Q1360" s="1186">
        <f t="shared" si="109"/>
        <v>625000</v>
      </c>
      <c r="R1360" s="835"/>
      <c r="S1360" s="836"/>
      <c r="T1360" s="836"/>
      <c r="U1360" s="836"/>
      <c r="V1360" s="836"/>
      <c r="W1360" s="836">
        <v>0</v>
      </c>
      <c r="X1360" s="836">
        <v>0</v>
      </c>
      <c r="Y1360" s="836">
        <v>0</v>
      </c>
      <c r="Z1360" s="836"/>
      <c r="AA1360" s="836"/>
      <c r="AB1360" s="836"/>
      <c r="AC1360" s="836"/>
      <c r="AD1360" s="1186">
        <f t="shared" si="111"/>
        <v>0</v>
      </c>
      <c r="AE1360" s="637">
        <f t="shared" si="112"/>
        <v>-1</v>
      </c>
      <c r="AF1360" s="638">
        <f t="shared" si="110"/>
        <v>983</v>
      </c>
    </row>
    <row r="1361" spans="1:32" x14ac:dyDescent="0.3">
      <c r="A1361" s="381" t="s">
        <v>759</v>
      </c>
      <c r="B1361" s="1021" t="s">
        <v>1498</v>
      </c>
      <c r="C1361" s="835"/>
      <c r="D1361" s="836">
        <v>0</v>
      </c>
      <c r="E1361" s="836"/>
      <c r="F1361" s="836">
        <v>0</v>
      </c>
      <c r="G1361" s="836">
        <v>620000</v>
      </c>
      <c r="H1361" s="836">
        <v>0</v>
      </c>
      <c r="I1361" s="836">
        <v>0</v>
      </c>
      <c r="J1361" s="836">
        <v>0</v>
      </c>
      <c r="K1361" s="836">
        <v>0</v>
      </c>
      <c r="L1361" s="836">
        <v>0</v>
      </c>
      <c r="M1361" s="836">
        <v>0</v>
      </c>
      <c r="N1361" s="836">
        <v>0</v>
      </c>
      <c r="O1361" s="836" t="s">
        <v>251</v>
      </c>
      <c r="P1361" s="1497">
        <f t="shared" si="108"/>
        <v>620000</v>
      </c>
      <c r="Q1361" s="1186">
        <f t="shared" si="109"/>
        <v>620000</v>
      </c>
      <c r="R1361" s="835"/>
      <c r="S1361" s="836"/>
      <c r="T1361" s="836"/>
      <c r="U1361" s="836"/>
      <c r="V1361" s="836"/>
      <c r="W1361" s="836"/>
      <c r="X1361" s="836"/>
      <c r="Y1361" s="836"/>
      <c r="Z1361" s="836"/>
      <c r="AA1361" s="836"/>
      <c r="AB1361" s="836"/>
      <c r="AC1361" s="836"/>
      <c r="AD1361" s="1186">
        <f t="shared" si="111"/>
        <v>0</v>
      </c>
      <c r="AE1361" s="637">
        <f t="shared" si="112"/>
        <v>-1</v>
      </c>
      <c r="AF1361" s="638">
        <f t="shared" si="110"/>
        <v>983</v>
      </c>
    </row>
    <row r="1362" spans="1:32" x14ac:dyDescent="0.3">
      <c r="A1362" s="381" t="s">
        <v>759</v>
      </c>
      <c r="B1362" s="1021" t="s">
        <v>1499</v>
      </c>
      <c r="C1362" s="835">
        <v>142550</v>
      </c>
      <c r="D1362" s="836">
        <v>0</v>
      </c>
      <c r="E1362" s="836"/>
      <c r="F1362" s="836">
        <v>443750</v>
      </c>
      <c r="G1362" s="836">
        <v>0</v>
      </c>
      <c r="H1362" s="836">
        <v>0</v>
      </c>
      <c r="I1362" s="836">
        <v>0</v>
      </c>
      <c r="J1362" s="836">
        <v>0</v>
      </c>
      <c r="K1362" s="836">
        <v>0</v>
      </c>
      <c r="L1362" s="836">
        <v>0</v>
      </c>
      <c r="M1362" s="836">
        <v>0</v>
      </c>
      <c r="N1362" s="836">
        <v>0</v>
      </c>
      <c r="O1362" s="836" t="s">
        <v>251</v>
      </c>
      <c r="P1362" s="1497">
        <f t="shared" si="108"/>
        <v>586300</v>
      </c>
      <c r="Q1362" s="1186">
        <f t="shared" si="109"/>
        <v>586300</v>
      </c>
      <c r="R1362" s="835"/>
      <c r="S1362" s="836"/>
      <c r="T1362" s="836"/>
      <c r="U1362" s="836"/>
      <c r="V1362" s="836"/>
      <c r="W1362" s="836"/>
      <c r="X1362" s="836"/>
      <c r="Y1362" s="836"/>
      <c r="Z1362" s="836"/>
      <c r="AA1362" s="836"/>
      <c r="AB1362" s="836"/>
      <c r="AC1362" s="836"/>
      <c r="AD1362" s="1186">
        <f t="shared" si="111"/>
        <v>0</v>
      </c>
      <c r="AE1362" s="637">
        <f t="shared" si="112"/>
        <v>-1</v>
      </c>
      <c r="AF1362" s="638">
        <f t="shared" si="110"/>
        <v>983</v>
      </c>
    </row>
    <row r="1363" spans="1:32" x14ac:dyDescent="0.3">
      <c r="A1363" s="381" t="s">
        <v>759</v>
      </c>
      <c r="B1363" s="1021" t="s">
        <v>1500</v>
      </c>
      <c r="C1363" s="835"/>
      <c r="D1363" s="836">
        <v>288500</v>
      </c>
      <c r="E1363" s="836"/>
      <c r="F1363" s="836">
        <v>0</v>
      </c>
      <c r="G1363" s="836" t="s">
        <v>251</v>
      </c>
      <c r="H1363" s="836" t="s">
        <v>251</v>
      </c>
      <c r="I1363" s="836" t="s">
        <v>251</v>
      </c>
      <c r="J1363" s="836">
        <v>0</v>
      </c>
      <c r="K1363" s="836">
        <v>0</v>
      </c>
      <c r="L1363" s="836">
        <v>0</v>
      </c>
      <c r="M1363" s="836">
        <v>0</v>
      </c>
      <c r="N1363" s="836">
        <v>0</v>
      </c>
      <c r="O1363" s="836" t="s">
        <v>251</v>
      </c>
      <c r="P1363" s="1497">
        <f t="shared" si="108"/>
        <v>288500</v>
      </c>
      <c r="Q1363" s="1186">
        <f t="shared" si="109"/>
        <v>288500</v>
      </c>
      <c r="R1363" s="835"/>
      <c r="S1363" s="836"/>
      <c r="T1363" s="836"/>
      <c r="U1363" s="836"/>
      <c r="V1363" s="836"/>
      <c r="W1363" s="836"/>
      <c r="X1363" s="836"/>
      <c r="Y1363" s="836"/>
      <c r="Z1363" s="836"/>
      <c r="AA1363" s="836"/>
      <c r="AB1363" s="836"/>
      <c r="AC1363" s="836"/>
      <c r="AD1363" s="1186">
        <f t="shared" si="111"/>
        <v>0</v>
      </c>
      <c r="AE1363" s="637">
        <f t="shared" si="112"/>
        <v>-1</v>
      </c>
      <c r="AF1363" s="638">
        <f t="shared" si="110"/>
        <v>983</v>
      </c>
    </row>
    <row r="1364" spans="1:32" x14ac:dyDescent="0.3">
      <c r="A1364" s="381" t="s">
        <v>759</v>
      </c>
      <c r="B1364" s="1021" t="s">
        <v>1501</v>
      </c>
      <c r="C1364" s="835"/>
      <c r="D1364" s="836">
        <v>0</v>
      </c>
      <c r="E1364" s="836">
        <v>311000</v>
      </c>
      <c r="F1364" s="836">
        <v>167000</v>
      </c>
      <c r="G1364" s="836">
        <v>169000</v>
      </c>
      <c r="H1364" s="836">
        <v>0</v>
      </c>
      <c r="I1364" s="836">
        <v>207000</v>
      </c>
      <c r="J1364" s="836">
        <v>645000</v>
      </c>
      <c r="K1364" s="836">
        <v>645000</v>
      </c>
      <c r="L1364" s="836">
        <v>835000</v>
      </c>
      <c r="M1364" s="836">
        <v>0</v>
      </c>
      <c r="N1364" s="836">
        <v>0</v>
      </c>
      <c r="O1364" s="836" t="s">
        <v>251</v>
      </c>
      <c r="P1364" s="1497">
        <f t="shared" si="108"/>
        <v>1499000</v>
      </c>
      <c r="Q1364" s="1186">
        <f t="shared" si="109"/>
        <v>2334000</v>
      </c>
      <c r="R1364" s="835">
        <v>414000</v>
      </c>
      <c r="S1364" s="836">
        <v>74000</v>
      </c>
      <c r="T1364" s="836">
        <v>91000</v>
      </c>
      <c r="U1364" s="836">
        <v>378000</v>
      </c>
      <c r="V1364" s="836">
        <v>602000</v>
      </c>
      <c r="W1364" s="836">
        <v>2125000</v>
      </c>
      <c r="X1364" s="836">
        <v>1665000</v>
      </c>
      <c r="Y1364" s="836">
        <v>1430000</v>
      </c>
      <c r="Z1364" s="836"/>
      <c r="AA1364" s="836"/>
      <c r="AB1364" s="836"/>
      <c r="AC1364" s="836"/>
      <c r="AD1364" s="1186">
        <f t="shared" si="111"/>
        <v>6779000</v>
      </c>
      <c r="AE1364" s="637">
        <f t="shared" si="112"/>
        <v>3.5223482321547697</v>
      </c>
      <c r="AF1364" s="638">
        <f t="shared" si="110"/>
        <v>62</v>
      </c>
    </row>
    <row r="1365" spans="1:32" x14ac:dyDescent="0.3">
      <c r="A1365" s="381" t="s">
        <v>759</v>
      </c>
      <c r="B1365" s="1021" t="s">
        <v>1279</v>
      </c>
      <c r="C1365" s="835"/>
      <c r="D1365" s="836">
        <v>0</v>
      </c>
      <c r="E1365" s="836">
        <v>262000</v>
      </c>
      <c r="F1365" s="836">
        <v>280000</v>
      </c>
      <c r="G1365" s="836">
        <v>0</v>
      </c>
      <c r="H1365" s="836">
        <v>0</v>
      </c>
      <c r="I1365" s="836">
        <v>58000</v>
      </c>
      <c r="J1365" s="836">
        <v>0</v>
      </c>
      <c r="K1365" s="836">
        <v>0</v>
      </c>
      <c r="L1365" s="836">
        <v>0</v>
      </c>
      <c r="M1365" s="836">
        <v>0</v>
      </c>
      <c r="N1365" s="836">
        <v>0</v>
      </c>
      <c r="O1365" s="836" t="s">
        <v>251</v>
      </c>
      <c r="P1365" s="1497">
        <f t="shared" si="108"/>
        <v>600000</v>
      </c>
      <c r="Q1365" s="1186">
        <f t="shared" si="109"/>
        <v>600000</v>
      </c>
      <c r="R1365" s="835"/>
      <c r="S1365" s="836"/>
      <c r="T1365" s="836"/>
      <c r="U1365" s="836"/>
      <c r="V1365" s="836"/>
      <c r="W1365" s="836"/>
      <c r="X1365" s="836"/>
      <c r="Y1365" s="836">
        <v>11000</v>
      </c>
      <c r="Z1365" s="836"/>
      <c r="AA1365" s="836"/>
      <c r="AB1365" s="836"/>
      <c r="AC1365" s="836"/>
      <c r="AD1365" s="1186">
        <f t="shared" si="111"/>
        <v>11000</v>
      </c>
      <c r="AE1365" s="637">
        <f t="shared" si="112"/>
        <v>-0.98166666666666669</v>
      </c>
      <c r="AF1365" s="638">
        <f t="shared" si="110"/>
        <v>950</v>
      </c>
    </row>
    <row r="1366" spans="1:32" x14ac:dyDescent="0.3">
      <c r="A1366" s="381" t="s">
        <v>759</v>
      </c>
      <c r="B1366" s="1021" t="s">
        <v>1502</v>
      </c>
      <c r="C1366" s="835"/>
      <c r="D1366" s="836">
        <v>0</v>
      </c>
      <c r="E1366" s="836">
        <v>510000</v>
      </c>
      <c r="F1366" s="836">
        <v>0</v>
      </c>
      <c r="G1366" s="836">
        <v>0</v>
      </c>
      <c r="H1366" s="836">
        <v>0</v>
      </c>
      <c r="I1366" s="836">
        <v>0</v>
      </c>
      <c r="J1366" s="836">
        <v>0</v>
      </c>
      <c r="K1366" s="836">
        <v>0</v>
      </c>
      <c r="L1366" s="836">
        <v>0</v>
      </c>
      <c r="M1366" s="836">
        <v>0</v>
      </c>
      <c r="N1366" s="836">
        <v>0</v>
      </c>
      <c r="O1366" s="836" t="s">
        <v>251</v>
      </c>
      <c r="P1366" s="1497">
        <f t="shared" ref="P1366:P1429" si="113">SUM(C1366:I1366,K1366)</f>
        <v>510000</v>
      </c>
      <c r="Q1366" s="1186">
        <f t="shared" ref="Q1366:Q1429" si="114">SUM(C1366:J1366,L1366:O1366)</f>
        <v>510000</v>
      </c>
      <c r="R1366" s="835"/>
      <c r="S1366" s="836"/>
      <c r="T1366" s="836"/>
      <c r="U1366" s="836"/>
      <c r="V1366" s="836"/>
      <c r="W1366" s="836"/>
      <c r="X1366" s="836"/>
      <c r="Y1366" s="836"/>
      <c r="Z1366" s="836"/>
      <c r="AA1366" s="836"/>
      <c r="AB1366" s="836"/>
      <c r="AC1366" s="836"/>
      <c r="AD1366" s="1186">
        <f t="shared" si="111"/>
        <v>0</v>
      </c>
      <c r="AE1366" s="637">
        <f t="shared" si="112"/>
        <v>-1</v>
      </c>
      <c r="AF1366" s="638">
        <f t="shared" si="110"/>
        <v>983</v>
      </c>
    </row>
    <row r="1367" spans="1:32" x14ac:dyDescent="0.3">
      <c r="A1367" s="381" t="s">
        <v>759</v>
      </c>
      <c r="B1367" s="1021" t="s">
        <v>1503</v>
      </c>
      <c r="C1367" s="835"/>
      <c r="D1367" s="836">
        <v>0</v>
      </c>
      <c r="E1367" s="836"/>
      <c r="F1367" s="836">
        <v>0</v>
      </c>
      <c r="G1367" s="836">
        <v>484150</v>
      </c>
      <c r="H1367" s="836">
        <v>0</v>
      </c>
      <c r="I1367" s="836">
        <v>311750</v>
      </c>
      <c r="J1367" s="836">
        <v>0</v>
      </c>
      <c r="K1367" s="836">
        <v>0</v>
      </c>
      <c r="L1367" s="836">
        <v>0</v>
      </c>
      <c r="M1367" s="836">
        <v>0</v>
      </c>
      <c r="N1367" s="836">
        <v>199100</v>
      </c>
      <c r="O1367" s="836" t="s">
        <v>251</v>
      </c>
      <c r="P1367" s="1497">
        <f t="shared" si="113"/>
        <v>795900</v>
      </c>
      <c r="Q1367" s="1186">
        <f t="shared" si="114"/>
        <v>995000</v>
      </c>
      <c r="R1367" s="835"/>
      <c r="S1367" s="836"/>
      <c r="T1367" s="836"/>
      <c r="U1367" s="836"/>
      <c r="V1367" s="836">
        <v>490700</v>
      </c>
      <c r="W1367" s="836">
        <v>340750</v>
      </c>
      <c r="X1367" s="836">
        <v>410800</v>
      </c>
      <c r="Y1367" s="836">
        <v>0</v>
      </c>
      <c r="Z1367" s="836"/>
      <c r="AA1367" s="836"/>
      <c r="AB1367" s="836"/>
      <c r="AC1367" s="836"/>
      <c r="AD1367" s="1186">
        <f t="shared" si="111"/>
        <v>1242250</v>
      </c>
      <c r="AE1367" s="637">
        <f t="shared" si="112"/>
        <v>0.5608116597562508</v>
      </c>
      <c r="AF1367" s="638">
        <f t="shared" si="110"/>
        <v>275</v>
      </c>
    </row>
    <row r="1368" spans="1:32" x14ac:dyDescent="0.3">
      <c r="A1368" s="381" t="s">
        <v>759</v>
      </c>
      <c r="B1368" s="1021" t="s">
        <v>1286</v>
      </c>
      <c r="C1368" s="835">
        <v>80000</v>
      </c>
      <c r="D1368" s="836">
        <v>212500</v>
      </c>
      <c r="E1368" s="836"/>
      <c r="F1368" s="836">
        <v>163000</v>
      </c>
      <c r="G1368" s="836">
        <v>0</v>
      </c>
      <c r="H1368" s="836">
        <v>0</v>
      </c>
      <c r="I1368" s="836">
        <v>0</v>
      </c>
      <c r="J1368" s="836">
        <v>0</v>
      </c>
      <c r="K1368" s="836">
        <v>0</v>
      </c>
      <c r="L1368" s="836">
        <v>40000</v>
      </c>
      <c r="M1368" s="836">
        <v>0</v>
      </c>
      <c r="N1368" s="836">
        <v>0</v>
      </c>
      <c r="O1368" s="836" t="s">
        <v>251</v>
      </c>
      <c r="P1368" s="1497">
        <f t="shared" si="113"/>
        <v>455500</v>
      </c>
      <c r="Q1368" s="1186">
        <f t="shared" si="114"/>
        <v>495500</v>
      </c>
      <c r="R1368" s="835"/>
      <c r="S1368" s="836"/>
      <c r="T1368" s="836"/>
      <c r="U1368" s="836"/>
      <c r="V1368" s="836"/>
      <c r="W1368" s="836"/>
      <c r="X1368" s="836"/>
      <c r="Y1368" s="836"/>
      <c r="Z1368" s="836"/>
      <c r="AA1368" s="836"/>
      <c r="AB1368" s="836"/>
      <c r="AC1368" s="836"/>
      <c r="AD1368" s="1186">
        <f t="shared" si="111"/>
        <v>0</v>
      </c>
      <c r="AE1368" s="637">
        <f t="shared" si="112"/>
        <v>-1</v>
      </c>
      <c r="AF1368" s="638">
        <f t="shared" si="110"/>
        <v>983</v>
      </c>
    </row>
    <row r="1369" spans="1:32" x14ac:dyDescent="0.3">
      <c r="A1369" s="381" t="s">
        <v>759</v>
      </c>
      <c r="B1369" s="1021" t="s">
        <v>1504</v>
      </c>
      <c r="C1369" s="835"/>
      <c r="D1369" s="836">
        <v>0</v>
      </c>
      <c r="E1369" s="836">
        <v>455000</v>
      </c>
      <c r="F1369" s="836">
        <v>0</v>
      </c>
      <c r="G1369" s="836">
        <v>0</v>
      </c>
      <c r="H1369" s="836">
        <v>55000</v>
      </c>
      <c r="I1369" s="836">
        <v>0</v>
      </c>
      <c r="J1369" s="836">
        <v>0</v>
      </c>
      <c r="K1369" s="836">
        <v>0</v>
      </c>
      <c r="L1369" s="836">
        <v>0</v>
      </c>
      <c r="M1369" s="836">
        <v>0</v>
      </c>
      <c r="N1369" s="836">
        <v>0</v>
      </c>
      <c r="O1369" s="836" t="s">
        <v>251</v>
      </c>
      <c r="P1369" s="1497">
        <f t="shared" si="113"/>
        <v>510000</v>
      </c>
      <c r="Q1369" s="1186">
        <f t="shared" si="114"/>
        <v>510000</v>
      </c>
      <c r="R1369" s="835">
        <v>165000</v>
      </c>
      <c r="S1369" s="836"/>
      <c r="T1369" s="836">
        <v>0</v>
      </c>
      <c r="U1369" s="836">
        <v>0</v>
      </c>
      <c r="V1369" s="836">
        <v>0</v>
      </c>
      <c r="W1369" s="836">
        <v>0</v>
      </c>
      <c r="X1369" s="836">
        <v>0</v>
      </c>
      <c r="Y1369" s="836">
        <v>0</v>
      </c>
      <c r="Z1369" s="836"/>
      <c r="AA1369" s="836"/>
      <c r="AB1369" s="836"/>
      <c r="AC1369" s="836"/>
      <c r="AD1369" s="1186">
        <f t="shared" si="111"/>
        <v>165000</v>
      </c>
      <c r="AE1369" s="637">
        <f t="shared" si="112"/>
        <v>-0.67647058823529416</v>
      </c>
      <c r="AF1369" s="638">
        <f t="shared" si="110"/>
        <v>655</v>
      </c>
    </row>
    <row r="1370" spans="1:32" x14ac:dyDescent="0.3">
      <c r="A1370" s="381" t="s">
        <v>759</v>
      </c>
      <c r="B1370" s="1021" t="s">
        <v>1505</v>
      </c>
      <c r="C1370" s="835"/>
      <c r="D1370" s="836">
        <v>450000</v>
      </c>
      <c r="E1370" s="836"/>
      <c r="F1370" s="836">
        <v>0</v>
      </c>
      <c r="G1370" s="836">
        <v>0</v>
      </c>
      <c r="H1370" s="836">
        <v>0</v>
      </c>
      <c r="I1370" s="836">
        <v>0</v>
      </c>
      <c r="J1370" s="836">
        <v>0</v>
      </c>
      <c r="K1370" s="836">
        <v>0</v>
      </c>
      <c r="L1370" s="836">
        <v>0</v>
      </c>
      <c r="M1370" s="836">
        <v>0</v>
      </c>
      <c r="N1370" s="836">
        <v>0</v>
      </c>
      <c r="O1370" s="836" t="s">
        <v>251</v>
      </c>
      <c r="P1370" s="1497">
        <f t="shared" si="113"/>
        <v>450000</v>
      </c>
      <c r="Q1370" s="1186">
        <f t="shared" si="114"/>
        <v>450000</v>
      </c>
      <c r="R1370" s="835"/>
      <c r="S1370" s="836"/>
      <c r="T1370" s="836"/>
      <c r="U1370" s="836"/>
      <c r="V1370" s="836"/>
      <c r="W1370" s="836"/>
      <c r="X1370" s="836"/>
      <c r="Y1370" s="836"/>
      <c r="Z1370" s="836"/>
      <c r="AA1370" s="836"/>
      <c r="AB1370" s="836"/>
      <c r="AC1370" s="836"/>
      <c r="AD1370" s="1186">
        <f t="shared" si="111"/>
        <v>0</v>
      </c>
      <c r="AE1370" s="637">
        <f t="shared" si="112"/>
        <v>-1</v>
      </c>
      <c r="AF1370" s="638">
        <f t="shared" si="110"/>
        <v>983</v>
      </c>
    </row>
    <row r="1371" spans="1:32" x14ac:dyDescent="0.3">
      <c r="A1371" s="381" t="s">
        <v>759</v>
      </c>
      <c r="B1371" s="1021" t="s">
        <v>1506</v>
      </c>
      <c r="C1371" s="835"/>
      <c r="D1371" s="836">
        <v>445000</v>
      </c>
      <c r="E1371" s="836"/>
      <c r="F1371" s="836">
        <v>0</v>
      </c>
      <c r="G1371" s="836">
        <v>0</v>
      </c>
      <c r="H1371" s="836">
        <v>0</v>
      </c>
      <c r="I1371" s="836">
        <v>0</v>
      </c>
      <c r="J1371" s="836">
        <v>0</v>
      </c>
      <c r="K1371" s="836">
        <v>0</v>
      </c>
      <c r="L1371" s="836">
        <v>0</v>
      </c>
      <c r="M1371" s="836">
        <v>0</v>
      </c>
      <c r="N1371" s="836">
        <v>0</v>
      </c>
      <c r="O1371" s="836" t="s">
        <v>251</v>
      </c>
      <c r="P1371" s="1497">
        <f t="shared" si="113"/>
        <v>445000</v>
      </c>
      <c r="Q1371" s="1186">
        <f t="shared" si="114"/>
        <v>445000</v>
      </c>
      <c r="R1371" s="835"/>
      <c r="S1371" s="836"/>
      <c r="T1371" s="836"/>
      <c r="U1371" s="836"/>
      <c r="V1371" s="836"/>
      <c r="W1371" s="836"/>
      <c r="X1371" s="836"/>
      <c r="Y1371" s="836"/>
      <c r="Z1371" s="836"/>
      <c r="AA1371" s="836"/>
      <c r="AB1371" s="836"/>
      <c r="AC1371" s="836"/>
      <c r="AD1371" s="1186">
        <f t="shared" si="111"/>
        <v>0</v>
      </c>
      <c r="AE1371" s="637">
        <f t="shared" si="112"/>
        <v>-1</v>
      </c>
      <c r="AF1371" s="638">
        <f t="shared" si="110"/>
        <v>983</v>
      </c>
    </row>
    <row r="1372" spans="1:32" x14ac:dyDescent="0.3">
      <c r="A1372" s="381" t="s">
        <v>759</v>
      </c>
      <c r="B1372" s="1021" t="s">
        <v>1507</v>
      </c>
      <c r="C1372" s="835">
        <v>408000</v>
      </c>
      <c r="D1372" s="836">
        <v>0</v>
      </c>
      <c r="E1372" s="836"/>
      <c r="F1372" s="836">
        <v>0</v>
      </c>
      <c r="G1372" s="836">
        <v>0</v>
      </c>
      <c r="H1372" s="836">
        <v>0</v>
      </c>
      <c r="I1372" s="836">
        <v>0</v>
      </c>
      <c r="J1372" s="836">
        <v>0</v>
      </c>
      <c r="K1372" s="836">
        <v>0</v>
      </c>
      <c r="L1372" s="836">
        <v>0</v>
      </c>
      <c r="M1372" s="836">
        <v>0</v>
      </c>
      <c r="N1372" s="836">
        <v>0</v>
      </c>
      <c r="O1372" s="836" t="s">
        <v>251</v>
      </c>
      <c r="P1372" s="1497">
        <f t="shared" si="113"/>
        <v>408000</v>
      </c>
      <c r="Q1372" s="1186">
        <f t="shared" si="114"/>
        <v>408000</v>
      </c>
      <c r="R1372" s="835"/>
      <c r="S1372" s="836"/>
      <c r="T1372" s="836"/>
      <c r="U1372" s="836"/>
      <c r="V1372" s="836"/>
      <c r="W1372" s="836"/>
      <c r="X1372" s="836"/>
      <c r="Y1372" s="836"/>
      <c r="Z1372" s="836"/>
      <c r="AA1372" s="836"/>
      <c r="AB1372" s="836"/>
      <c r="AC1372" s="836"/>
      <c r="AD1372" s="1186">
        <f t="shared" si="111"/>
        <v>0</v>
      </c>
      <c r="AE1372" s="637">
        <f t="shared" si="112"/>
        <v>-1</v>
      </c>
      <c r="AF1372" s="638">
        <f t="shared" si="110"/>
        <v>983</v>
      </c>
    </row>
    <row r="1373" spans="1:32" x14ac:dyDescent="0.3">
      <c r="A1373" s="381" t="s">
        <v>759</v>
      </c>
      <c r="B1373" s="1021" t="s">
        <v>1508</v>
      </c>
      <c r="C1373" s="835"/>
      <c r="D1373" s="836">
        <v>0</v>
      </c>
      <c r="E1373" s="836"/>
      <c r="F1373" s="836">
        <v>396700</v>
      </c>
      <c r="G1373" s="836">
        <v>0</v>
      </c>
      <c r="H1373" s="836">
        <v>0</v>
      </c>
      <c r="I1373" s="836">
        <v>0</v>
      </c>
      <c r="J1373" s="836">
        <v>186000</v>
      </c>
      <c r="K1373" s="836">
        <v>186000</v>
      </c>
      <c r="L1373" s="836">
        <v>52500</v>
      </c>
      <c r="M1373" s="836">
        <v>0</v>
      </c>
      <c r="N1373" s="836">
        <v>0</v>
      </c>
      <c r="O1373" s="836">
        <v>14000</v>
      </c>
      <c r="P1373" s="1497">
        <f t="shared" si="113"/>
        <v>582700</v>
      </c>
      <c r="Q1373" s="1186">
        <f t="shared" si="114"/>
        <v>649200</v>
      </c>
      <c r="R1373" s="835">
        <v>35000</v>
      </c>
      <c r="S1373" s="836"/>
      <c r="T1373" s="836">
        <v>65500</v>
      </c>
      <c r="U1373" s="836">
        <v>0</v>
      </c>
      <c r="V1373" s="836">
        <v>329600</v>
      </c>
      <c r="W1373" s="836">
        <v>130000</v>
      </c>
      <c r="X1373" s="836">
        <v>412000</v>
      </c>
      <c r="Y1373" s="836">
        <v>82500</v>
      </c>
      <c r="Z1373" s="836"/>
      <c r="AA1373" s="836"/>
      <c r="AB1373" s="836"/>
      <c r="AC1373" s="836"/>
      <c r="AD1373" s="1186">
        <f t="shared" si="111"/>
        <v>1054600</v>
      </c>
      <c r="AE1373" s="637">
        <f t="shared" si="112"/>
        <v>0.80985069504032947</v>
      </c>
      <c r="AF1373" s="638">
        <f t="shared" si="110"/>
        <v>309</v>
      </c>
    </row>
    <row r="1374" spans="1:32" x14ac:dyDescent="0.3">
      <c r="A1374" s="381" t="s">
        <v>759</v>
      </c>
      <c r="B1374" s="1021" t="s">
        <v>1351</v>
      </c>
      <c r="C1374" s="835">
        <v>23000</v>
      </c>
      <c r="D1374" s="836">
        <v>0</v>
      </c>
      <c r="E1374" s="836">
        <v>176000</v>
      </c>
      <c r="F1374" s="836">
        <v>130000</v>
      </c>
      <c r="G1374" s="836">
        <v>65000</v>
      </c>
      <c r="H1374" s="836">
        <v>295000</v>
      </c>
      <c r="I1374" s="836">
        <v>70000</v>
      </c>
      <c r="J1374" s="836">
        <v>65000</v>
      </c>
      <c r="K1374" s="836">
        <v>65000</v>
      </c>
      <c r="L1374" s="836">
        <v>0</v>
      </c>
      <c r="M1374" s="836">
        <v>65000</v>
      </c>
      <c r="N1374" s="836">
        <v>0</v>
      </c>
      <c r="O1374" s="836">
        <v>65000</v>
      </c>
      <c r="P1374" s="1497">
        <f t="shared" si="113"/>
        <v>824000</v>
      </c>
      <c r="Q1374" s="1186">
        <f t="shared" si="114"/>
        <v>954000</v>
      </c>
      <c r="R1374" s="835"/>
      <c r="S1374" s="836"/>
      <c r="T1374" s="836"/>
      <c r="U1374" s="836">
        <v>65000</v>
      </c>
      <c r="V1374" s="836">
        <v>0</v>
      </c>
      <c r="W1374" s="836">
        <v>0</v>
      </c>
      <c r="X1374" s="836">
        <v>85000</v>
      </c>
      <c r="Y1374" s="836">
        <v>65000</v>
      </c>
      <c r="Z1374" s="836"/>
      <c r="AA1374" s="836"/>
      <c r="AB1374" s="836"/>
      <c r="AC1374" s="836"/>
      <c r="AD1374" s="1186">
        <f t="shared" si="111"/>
        <v>215000</v>
      </c>
      <c r="AE1374" s="637">
        <f t="shared" si="112"/>
        <v>-0.73907766990291257</v>
      </c>
      <c r="AF1374" s="638">
        <f t="shared" si="110"/>
        <v>599</v>
      </c>
    </row>
    <row r="1375" spans="1:32" x14ac:dyDescent="0.3">
      <c r="A1375" s="381" t="s">
        <v>759</v>
      </c>
      <c r="B1375" s="1021" t="s">
        <v>886</v>
      </c>
      <c r="C1375" s="835"/>
      <c r="D1375" s="836">
        <v>0</v>
      </c>
      <c r="E1375" s="836"/>
      <c r="F1375" s="836">
        <v>390000</v>
      </c>
      <c r="G1375" s="836">
        <v>0</v>
      </c>
      <c r="H1375" s="836">
        <v>0</v>
      </c>
      <c r="I1375" s="836">
        <v>5000</v>
      </c>
      <c r="J1375" s="836">
        <v>0</v>
      </c>
      <c r="K1375" s="836">
        <v>0</v>
      </c>
      <c r="L1375" s="836">
        <v>0</v>
      </c>
      <c r="M1375" s="836">
        <v>0</v>
      </c>
      <c r="N1375" s="836">
        <v>0</v>
      </c>
      <c r="O1375" s="836" t="s">
        <v>251</v>
      </c>
      <c r="P1375" s="1497">
        <f t="shared" si="113"/>
        <v>395000</v>
      </c>
      <c r="Q1375" s="1186">
        <f t="shared" si="114"/>
        <v>395000</v>
      </c>
      <c r="R1375" s="835"/>
      <c r="S1375" s="836"/>
      <c r="T1375" s="836"/>
      <c r="U1375" s="836"/>
      <c r="V1375" s="836"/>
      <c r="W1375" s="836"/>
      <c r="X1375" s="836"/>
      <c r="Y1375" s="836"/>
      <c r="Z1375" s="836"/>
      <c r="AA1375" s="836"/>
      <c r="AB1375" s="836"/>
      <c r="AC1375" s="836"/>
      <c r="AD1375" s="1186">
        <f t="shared" si="111"/>
        <v>0</v>
      </c>
      <c r="AE1375" s="637">
        <f t="shared" si="112"/>
        <v>-1</v>
      </c>
      <c r="AF1375" s="638">
        <f t="shared" si="110"/>
        <v>983</v>
      </c>
    </row>
    <row r="1376" spans="1:32" x14ac:dyDescent="0.3">
      <c r="A1376" s="381" t="s">
        <v>759</v>
      </c>
      <c r="B1376" s="1021" t="s">
        <v>1509</v>
      </c>
      <c r="C1376" s="835">
        <v>385000</v>
      </c>
      <c r="D1376" s="836">
        <v>0</v>
      </c>
      <c r="E1376" s="836"/>
      <c r="F1376" s="836">
        <v>0</v>
      </c>
      <c r="G1376" s="836">
        <v>0</v>
      </c>
      <c r="H1376" s="836">
        <v>0</v>
      </c>
      <c r="I1376" s="836">
        <v>0</v>
      </c>
      <c r="J1376" s="836">
        <v>0</v>
      </c>
      <c r="K1376" s="836">
        <v>0</v>
      </c>
      <c r="L1376" s="836">
        <v>0</v>
      </c>
      <c r="M1376" s="836">
        <v>0</v>
      </c>
      <c r="N1376" s="836">
        <v>195000</v>
      </c>
      <c r="O1376" s="836" t="s">
        <v>251</v>
      </c>
      <c r="P1376" s="1497">
        <f t="shared" si="113"/>
        <v>385000</v>
      </c>
      <c r="Q1376" s="1186">
        <f t="shared" si="114"/>
        <v>580000</v>
      </c>
      <c r="R1376" s="835"/>
      <c r="S1376" s="836"/>
      <c r="T1376" s="836"/>
      <c r="U1376" s="836"/>
      <c r="V1376" s="836"/>
      <c r="W1376" s="836"/>
      <c r="X1376" s="836"/>
      <c r="Y1376" s="836"/>
      <c r="Z1376" s="836"/>
      <c r="AA1376" s="836"/>
      <c r="AB1376" s="836"/>
      <c r="AC1376" s="836"/>
      <c r="AD1376" s="1186">
        <f t="shared" si="111"/>
        <v>0</v>
      </c>
      <c r="AE1376" s="637">
        <f t="shared" si="112"/>
        <v>-1</v>
      </c>
      <c r="AF1376" s="638">
        <f t="shared" si="110"/>
        <v>983</v>
      </c>
    </row>
    <row r="1377" spans="1:32" x14ac:dyDescent="0.3">
      <c r="A1377" s="381" t="s">
        <v>759</v>
      </c>
      <c r="B1377" s="1021" t="s">
        <v>1510</v>
      </c>
      <c r="C1377" s="835"/>
      <c r="D1377" s="836">
        <v>210000</v>
      </c>
      <c r="E1377" s="836">
        <v>165000</v>
      </c>
      <c r="F1377" s="836">
        <v>0</v>
      </c>
      <c r="G1377" s="836">
        <v>0</v>
      </c>
      <c r="H1377" s="836">
        <v>0</v>
      </c>
      <c r="I1377" s="836">
        <v>55000</v>
      </c>
      <c r="J1377" s="836">
        <v>408000</v>
      </c>
      <c r="K1377" s="836">
        <v>0</v>
      </c>
      <c r="L1377" s="836">
        <v>192000</v>
      </c>
      <c r="M1377" s="836">
        <v>0</v>
      </c>
      <c r="N1377" s="836">
        <v>105000</v>
      </c>
      <c r="O1377" s="836" t="s">
        <v>251</v>
      </c>
      <c r="P1377" s="1497">
        <f t="shared" si="113"/>
        <v>430000</v>
      </c>
      <c r="Q1377" s="1186">
        <f t="shared" si="114"/>
        <v>1135000</v>
      </c>
      <c r="R1377" s="835">
        <v>55000</v>
      </c>
      <c r="S1377" s="836"/>
      <c r="T1377" s="836">
        <v>0</v>
      </c>
      <c r="U1377" s="836">
        <v>20000</v>
      </c>
      <c r="V1377" s="836">
        <v>35000</v>
      </c>
      <c r="W1377" s="836">
        <v>0</v>
      </c>
      <c r="X1377" s="836">
        <v>0</v>
      </c>
      <c r="Y1377" s="836">
        <v>105000</v>
      </c>
      <c r="Z1377" s="836"/>
      <c r="AA1377" s="836"/>
      <c r="AB1377" s="836"/>
      <c r="AC1377" s="836"/>
      <c r="AD1377" s="1186">
        <f t="shared" si="111"/>
        <v>215000</v>
      </c>
      <c r="AE1377" s="637">
        <f t="shared" si="112"/>
        <v>-0.5</v>
      </c>
      <c r="AF1377" s="638">
        <f t="shared" si="110"/>
        <v>599</v>
      </c>
    </row>
    <row r="1378" spans="1:32" x14ac:dyDescent="0.3">
      <c r="A1378" s="381" t="s">
        <v>759</v>
      </c>
      <c r="B1378" s="1021" t="s">
        <v>1511</v>
      </c>
      <c r="C1378" s="835"/>
      <c r="D1378" s="836">
        <v>0</v>
      </c>
      <c r="E1378" s="836">
        <v>124000</v>
      </c>
      <c r="F1378" s="836">
        <v>243000</v>
      </c>
      <c r="G1378" s="836">
        <v>0</v>
      </c>
      <c r="H1378" s="836">
        <v>0</v>
      </c>
      <c r="I1378" s="836">
        <v>0</v>
      </c>
      <c r="J1378" s="836">
        <v>0</v>
      </c>
      <c r="K1378" s="836">
        <v>0</v>
      </c>
      <c r="L1378" s="836">
        <v>0</v>
      </c>
      <c r="M1378" s="836">
        <v>0</v>
      </c>
      <c r="N1378" s="836">
        <v>0</v>
      </c>
      <c r="O1378" s="836" t="s">
        <v>251</v>
      </c>
      <c r="P1378" s="1497">
        <f t="shared" si="113"/>
        <v>367000</v>
      </c>
      <c r="Q1378" s="1186">
        <f t="shared" si="114"/>
        <v>367000</v>
      </c>
      <c r="R1378" s="835"/>
      <c r="S1378" s="836"/>
      <c r="T1378" s="836"/>
      <c r="U1378" s="836"/>
      <c r="V1378" s="836"/>
      <c r="W1378" s="836"/>
      <c r="X1378" s="836"/>
      <c r="Y1378" s="836"/>
      <c r="Z1378" s="836"/>
      <c r="AA1378" s="836"/>
      <c r="AB1378" s="836"/>
      <c r="AC1378" s="836"/>
      <c r="AD1378" s="1186">
        <f t="shared" si="111"/>
        <v>0</v>
      </c>
      <c r="AE1378" s="637">
        <f t="shared" si="112"/>
        <v>-1</v>
      </c>
      <c r="AF1378" s="638">
        <f t="shared" si="110"/>
        <v>983</v>
      </c>
    </row>
    <row r="1379" spans="1:32" x14ac:dyDescent="0.3">
      <c r="A1379" s="381" t="s">
        <v>759</v>
      </c>
      <c r="B1379" s="1021" t="s">
        <v>701</v>
      </c>
      <c r="C1379" s="835">
        <v>365000</v>
      </c>
      <c r="D1379" s="836">
        <v>0</v>
      </c>
      <c r="E1379" s="836"/>
      <c r="F1379" s="836">
        <v>0</v>
      </c>
      <c r="G1379" s="836">
        <v>0</v>
      </c>
      <c r="H1379" s="836">
        <v>0</v>
      </c>
      <c r="I1379" s="836">
        <v>29000</v>
      </c>
      <c r="J1379" s="836">
        <v>0</v>
      </c>
      <c r="K1379" s="836">
        <v>0</v>
      </c>
      <c r="L1379" s="836">
        <v>0</v>
      </c>
      <c r="M1379" s="836">
        <v>0</v>
      </c>
      <c r="N1379" s="836">
        <v>0</v>
      </c>
      <c r="O1379" s="836" t="s">
        <v>251</v>
      </c>
      <c r="P1379" s="1497">
        <f t="shared" si="113"/>
        <v>394000</v>
      </c>
      <c r="Q1379" s="1186">
        <f t="shared" si="114"/>
        <v>394000</v>
      </c>
      <c r="R1379" s="835"/>
      <c r="S1379" s="836"/>
      <c r="T1379" s="836"/>
      <c r="U1379" s="836"/>
      <c r="V1379" s="836"/>
      <c r="W1379" s="836"/>
      <c r="X1379" s="836"/>
      <c r="Y1379" s="836"/>
      <c r="Z1379" s="836"/>
      <c r="AA1379" s="836"/>
      <c r="AB1379" s="836"/>
      <c r="AC1379" s="836"/>
      <c r="AD1379" s="1186">
        <f t="shared" si="111"/>
        <v>0</v>
      </c>
      <c r="AE1379" s="637">
        <f t="shared" si="112"/>
        <v>-1</v>
      </c>
      <c r="AF1379" s="638">
        <f t="shared" si="110"/>
        <v>983</v>
      </c>
    </row>
    <row r="1380" spans="1:32" x14ac:dyDescent="0.3">
      <c r="A1380" s="381" t="s">
        <v>759</v>
      </c>
      <c r="B1380" s="1021" t="s">
        <v>1512</v>
      </c>
      <c r="C1380" s="835"/>
      <c r="D1380" s="836">
        <v>0</v>
      </c>
      <c r="E1380" s="836"/>
      <c r="F1380" s="836">
        <v>0</v>
      </c>
      <c r="G1380" s="836">
        <v>358300</v>
      </c>
      <c r="H1380" s="836">
        <v>0</v>
      </c>
      <c r="I1380" s="836">
        <v>0</v>
      </c>
      <c r="J1380" s="836">
        <v>0</v>
      </c>
      <c r="K1380" s="836">
        <v>0</v>
      </c>
      <c r="L1380" s="836">
        <v>500900</v>
      </c>
      <c r="M1380" s="836">
        <v>726000</v>
      </c>
      <c r="N1380" s="836">
        <v>130600</v>
      </c>
      <c r="O1380" s="836">
        <v>69000</v>
      </c>
      <c r="P1380" s="1497">
        <f t="shared" si="113"/>
        <v>358300</v>
      </c>
      <c r="Q1380" s="1186">
        <f t="shared" si="114"/>
        <v>1784800</v>
      </c>
      <c r="R1380" s="835"/>
      <c r="S1380" s="836">
        <v>94000</v>
      </c>
      <c r="T1380" s="836">
        <v>467100</v>
      </c>
      <c r="U1380" s="836">
        <v>293000</v>
      </c>
      <c r="V1380" s="836">
        <v>0</v>
      </c>
      <c r="W1380" s="836">
        <v>0</v>
      </c>
      <c r="X1380" s="836">
        <v>0</v>
      </c>
      <c r="Y1380" s="836">
        <v>0</v>
      </c>
      <c r="Z1380" s="836"/>
      <c r="AA1380" s="836"/>
      <c r="AB1380" s="836"/>
      <c r="AC1380" s="836"/>
      <c r="AD1380" s="1186">
        <f t="shared" si="111"/>
        <v>854100</v>
      </c>
      <c r="AE1380" s="637">
        <f t="shared" si="112"/>
        <v>1.3837566285235836</v>
      </c>
      <c r="AF1380" s="638">
        <f t="shared" si="110"/>
        <v>346</v>
      </c>
    </row>
    <row r="1381" spans="1:32" x14ac:dyDescent="0.3">
      <c r="A1381" s="381" t="s">
        <v>759</v>
      </c>
      <c r="B1381" s="1021" t="s">
        <v>1513</v>
      </c>
      <c r="C1381" s="835"/>
      <c r="D1381" s="836">
        <v>0</v>
      </c>
      <c r="E1381" s="836"/>
      <c r="F1381" s="836">
        <v>350000</v>
      </c>
      <c r="G1381" s="836">
        <v>0</v>
      </c>
      <c r="H1381" s="836">
        <v>0</v>
      </c>
      <c r="I1381" s="836">
        <v>0</v>
      </c>
      <c r="J1381" s="836">
        <v>0</v>
      </c>
      <c r="K1381" s="836">
        <v>0</v>
      </c>
      <c r="L1381" s="836">
        <v>0</v>
      </c>
      <c r="M1381" s="836">
        <v>0</v>
      </c>
      <c r="N1381" s="836">
        <v>0</v>
      </c>
      <c r="O1381" s="836" t="s">
        <v>251</v>
      </c>
      <c r="P1381" s="1497">
        <f t="shared" si="113"/>
        <v>350000</v>
      </c>
      <c r="Q1381" s="1186">
        <f t="shared" si="114"/>
        <v>350000</v>
      </c>
      <c r="R1381" s="835"/>
      <c r="S1381" s="836"/>
      <c r="T1381" s="836"/>
      <c r="U1381" s="836">
        <v>105000</v>
      </c>
      <c r="V1381" s="836">
        <v>0</v>
      </c>
      <c r="W1381" s="836">
        <v>0</v>
      </c>
      <c r="X1381" s="836">
        <v>0</v>
      </c>
      <c r="Y1381" s="836">
        <v>0</v>
      </c>
      <c r="Z1381" s="836"/>
      <c r="AA1381" s="836"/>
      <c r="AB1381" s="836"/>
      <c r="AC1381" s="836"/>
      <c r="AD1381" s="1186">
        <f t="shared" si="111"/>
        <v>105000</v>
      </c>
      <c r="AE1381" s="637">
        <f t="shared" si="112"/>
        <v>-0.7</v>
      </c>
      <c r="AF1381" s="638">
        <f t="shared" si="110"/>
        <v>732</v>
      </c>
    </row>
    <row r="1382" spans="1:32" x14ac:dyDescent="0.3">
      <c r="A1382" s="381" t="s">
        <v>759</v>
      </c>
      <c r="B1382" s="1021" t="s">
        <v>1514</v>
      </c>
      <c r="C1382" s="835"/>
      <c r="D1382" s="836">
        <v>0</v>
      </c>
      <c r="E1382" s="836">
        <v>340000</v>
      </c>
      <c r="F1382" s="836">
        <v>0</v>
      </c>
      <c r="G1382" s="836">
        <v>0</v>
      </c>
      <c r="H1382" s="836">
        <v>0</v>
      </c>
      <c r="I1382" s="836">
        <v>0</v>
      </c>
      <c r="J1382" s="836">
        <v>0</v>
      </c>
      <c r="K1382" s="836">
        <v>0</v>
      </c>
      <c r="L1382" s="836">
        <v>0</v>
      </c>
      <c r="M1382" s="836">
        <v>0</v>
      </c>
      <c r="N1382" s="836">
        <v>0</v>
      </c>
      <c r="O1382" s="836" t="s">
        <v>251</v>
      </c>
      <c r="P1382" s="1497">
        <f t="shared" si="113"/>
        <v>340000</v>
      </c>
      <c r="Q1382" s="1186">
        <f t="shared" si="114"/>
        <v>340000</v>
      </c>
      <c r="R1382" s="835"/>
      <c r="S1382" s="836"/>
      <c r="T1382" s="836"/>
      <c r="U1382" s="836"/>
      <c r="V1382" s="836"/>
      <c r="W1382" s="836"/>
      <c r="X1382" s="836"/>
      <c r="Y1382" s="836"/>
      <c r="Z1382" s="836"/>
      <c r="AA1382" s="836"/>
      <c r="AB1382" s="836"/>
      <c r="AC1382" s="836"/>
      <c r="AD1382" s="1186">
        <f t="shared" si="111"/>
        <v>0</v>
      </c>
      <c r="AE1382" s="637">
        <f t="shared" si="112"/>
        <v>-1</v>
      </c>
      <c r="AF1382" s="638">
        <f t="shared" si="110"/>
        <v>983</v>
      </c>
    </row>
    <row r="1383" spans="1:32" x14ac:dyDescent="0.3">
      <c r="A1383" s="381" t="s">
        <v>759</v>
      </c>
      <c r="B1383" s="1021" t="s">
        <v>1515</v>
      </c>
      <c r="C1383" s="835"/>
      <c r="D1383" s="836">
        <v>0</v>
      </c>
      <c r="E1383" s="836">
        <v>337200</v>
      </c>
      <c r="F1383" s="836">
        <v>0</v>
      </c>
      <c r="G1383" s="836">
        <v>0</v>
      </c>
      <c r="H1383" s="836">
        <v>0</v>
      </c>
      <c r="I1383" s="836">
        <v>0</v>
      </c>
      <c r="J1383" s="836">
        <v>0</v>
      </c>
      <c r="K1383" s="836">
        <v>0</v>
      </c>
      <c r="L1383" s="836">
        <v>0</v>
      </c>
      <c r="M1383" s="836">
        <v>0</v>
      </c>
      <c r="N1383" s="836">
        <v>0</v>
      </c>
      <c r="O1383" s="836" t="s">
        <v>251</v>
      </c>
      <c r="P1383" s="1497">
        <f t="shared" si="113"/>
        <v>337200</v>
      </c>
      <c r="Q1383" s="1186">
        <f t="shared" si="114"/>
        <v>337200</v>
      </c>
      <c r="R1383" s="835"/>
      <c r="S1383" s="836"/>
      <c r="T1383" s="836"/>
      <c r="U1383" s="836"/>
      <c r="V1383" s="836"/>
      <c r="W1383" s="836"/>
      <c r="X1383" s="836"/>
      <c r="Y1383" s="836"/>
      <c r="Z1383" s="836"/>
      <c r="AA1383" s="836"/>
      <c r="AB1383" s="836"/>
      <c r="AC1383" s="836"/>
      <c r="AD1383" s="1186">
        <f t="shared" si="111"/>
        <v>0</v>
      </c>
      <c r="AE1383" s="637">
        <f t="shared" si="112"/>
        <v>-1</v>
      </c>
      <c r="AF1383" s="638">
        <f t="shared" si="110"/>
        <v>983</v>
      </c>
    </row>
    <row r="1384" spans="1:32" x14ac:dyDescent="0.3">
      <c r="A1384" s="381" t="s">
        <v>759</v>
      </c>
      <c r="B1384" s="1021" t="s">
        <v>1516</v>
      </c>
      <c r="C1384" s="835"/>
      <c r="D1384" s="836">
        <v>0</v>
      </c>
      <c r="E1384" s="836">
        <v>22000</v>
      </c>
      <c r="F1384" s="836">
        <v>122000</v>
      </c>
      <c r="G1384" s="836">
        <v>182000</v>
      </c>
      <c r="H1384" s="836">
        <v>0</v>
      </c>
      <c r="I1384" s="836">
        <v>40000</v>
      </c>
      <c r="J1384" s="836">
        <v>241000</v>
      </c>
      <c r="K1384" s="836">
        <v>213000</v>
      </c>
      <c r="L1384" s="836">
        <v>0</v>
      </c>
      <c r="M1384" s="836">
        <v>12500</v>
      </c>
      <c r="N1384" s="836">
        <v>505000</v>
      </c>
      <c r="O1384" s="836">
        <v>51000</v>
      </c>
      <c r="P1384" s="1497">
        <f t="shared" si="113"/>
        <v>579000</v>
      </c>
      <c r="Q1384" s="1186">
        <f t="shared" si="114"/>
        <v>1175500</v>
      </c>
      <c r="R1384" s="835">
        <v>40000</v>
      </c>
      <c r="S1384" s="836"/>
      <c r="T1384" s="836">
        <v>0</v>
      </c>
      <c r="U1384" s="836">
        <v>0</v>
      </c>
      <c r="V1384" s="836">
        <v>75000</v>
      </c>
      <c r="W1384" s="836">
        <v>0</v>
      </c>
      <c r="X1384" s="836">
        <v>0</v>
      </c>
      <c r="Y1384" s="836">
        <v>0</v>
      </c>
      <c r="Z1384" s="836"/>
      <c r="AA1384" s="836"/>
      <c r="AB1384" s="836"/>
      <c r="AC1384" s="836"/>
      <c r="AD1384" s="1186">
        <f t="shared" si="111"/>
        <v>115000</v>
      </c>
      <c r="AE1384" s="637">
        <f t="shared" si="112"/>
        <v>-0.80138169257340242</v>
      </c>
      <c r="AF1384" s="638">
        <f t="shared" si="110"/>
        <v>724</v>
      </c>
    </row>
    <row r="1385" spans="1:32" x14ac:dyDescent="0.3">
      <c r="A1385" s="381" t="s">
        <v>759</v>
      </c>
      <c r="B1385" s="1021" t="s">
        <v>1517</v>
      </c>
      <c r="C1385" s="835"/>
      <c r="D1385" s="836">
        <v>320800</v>
      </c>
      <c r="E1385" s="836"/>
      <c r="F1385" s="836">
        <v>0</v>
      </c>
      <c r="G1385" s="836">
        <v>0</v>
      </c>
      <c r="H1385" s="836">
        <v>103400</v>
      </c>
      <c r="I1385" s="836">
        <v>195200</v>
      </c>
      <c r="J1385" s="836">
        <v>177600</v>
      </c>
      <c r="K1385" s="836">
        <v>177600</v>
      </c>
      <c r="L1385" s="836">
        <v>0</v>
      </c>
      <c r="M1385" s="836">
        <v>0</v>
      </c>
      <c r="N1385" s="836">
        <v>0</v>
      </c>
      <c r="O1385" s="836" t="s">
        <v>251</v>
      </c>
      <c r="P1385" s="1497">
        <f t="shared" si="113"/>
        <v>797000</v>
      </c>
      <c r="Q1385" s="1186">
        <f t="shared" si="114"/>
        <v>797000</v>
      </c>
      <c r="R1385" s="835">
        <v>227100</v>
      </c>
      <c r="S1385" s="836"/>
      <c r="T1385" s="836">
        <v>162900</v>
      </c>
      <c r="U1385" s="836">
        <v>0</v>
      </c>
      <c r="V1385" s="836">
        <v>0</v>
      </c>
      <c r="W1385" s="836">
        <v>0</v>
      </c>
      <c r="X1385" s="836">
        <v>0</v>
      </c>
      <c r="Y1385" s="836">
        <v>0</v>
      </c>
      <c r="Z1385" s="836"/>
      <c r="AA1385" s="836"/>
      <c r="AB1385" s="836"/>
      <c r="AC1385" s="836"/>
      <c r="AD1385" s="1186">
        <f t="shared" si="111"/>
        <v>390000</v>
      </c>
      <c r="AE1385" s="637">
        <f t="shared" si="112"/>
        <v>-0.51066499372647423</v>
      </c>
      <c r="AF1385" s="638">
        <f t="shared" si="110"/>
        <v>486</v>
      </c>
    </row>
    <row r="1386" spans="1:32" x14ac:dyDescent="0.3">
      <c r="A1386" s="381" t="s">
        <v>759</v>
      </c>
      <c r="B1386" s="1021" t="s">
        <v>1311</v>
      </c>
      <c r="C1386" s="835">
        <v>308640</v>
      </c>
      <c r="D1386" s="836">
        <v>0</v>
      </c>
      <c r="E1386" s="836"/>
      <c r="F1386" s="836">
        <v>0</v>
      </c>
      <c r="G1386" s="836">
        <v>0</v>
      </c>
      <c r="H1386" s="836">
        <v>0</v>
      </c>
      <c r="I1386" s="836">
        <v>0</v>
      </c>
      <c r="J1386" s="836">
        <v>0</v>
      </c>
      <c r="K1386" s="836">
        <v>0</v>
      </c>
      <c r="L1386" s="836">
        <v>0</v>
      </c>
      <c r="M1386" s="836">
        <v>0</v>
      </c>
      <c r="N1386" s="836">
        <v>0</v>
      </c>
      <c r="O1386" s="836" t="s">
        <v>251</v>
      </c>
      <c r="P1386" s="1497">
        <f t="shared" si="113"/>
        <v>308640</v>
      </c>
      <c r="Q1386" s="1186">
        <f t="shared" si="114"/>
        <v>308640</v>
      </c>
      <c r="R1386" s="835"/>
      <c r="S1386" s="836"/>
      <c r="T1386" s="836"/>
      <c r="U1386" s="836"/>
      <c r="V1386" s="836"/>
      <c r="W1386" s="836"/>
      <c r="X1386" s="836"/>
      <c r="Y1386" s="836"/>
      <c r="Z1386" s="836"/>
      <c r="AA1386" s="836"/>
      <c r="AB1386" s="836"/>
      <c r="AC1386" s="836"/>
      <c r="AD1386" s="1186">
        <f t="shared" si="111"/>
        <v>0</v>
      </c>
      <c r="AE1386" s="637">
        <f t="shared" si="112"/>
        <v>-1</v>
      </c>
      <c r="AF1386" s="638">
        <f t="shared" si="110"/>
        <v>983</v>
      </c>
    </row>
    <row r="1387" spans="1:32" x14ac:dyDescent="0.3">
      <c r="A1387" s="381" t="s">
        <v>759</v>
      </c>
      <c r="B1387" s="1021" t="s">
        <v>1110</v>
      </c>
      <c r="C1387" s="835">
        <v>221250</v>
      </c>
      <c r="D1387" s="836">
        <v>0</v>
      </c>
      <c r="E1387" s="836">
        <v>86200</v>
      </c>
      <c r="F1387" s="836">
        <v>0</v>
      </c>
      <c r="G1387" s="836">
        <v>0</v>
      </c>
      <c r="H1387" s="836">
        <v>0</v>
      </c>
      <c r="I1387" s="836">
        <v>0</v>
      </c>
      <c r="J1387" s="836">
        <v>0</v>
      </c>
      <c r="K1387" s="836">
        <v>0</v>
      </c>
      <c r="L1387" s="836">
        <v>0</v>
      </c>
      <c r="M1387" s="836">
        <v>0</v>
      </c>
      <c r="N1387" s="836">
        <v>0</v>
      </c>
      <c r="O1387" s="836" t="s">
        <v>251</v>
      </c>
      <c r="P1387" s="1497">
        <f t="shared" si="113"/>
        <v>307450</v>
      </c>
      <c r="Q1387" s="1186">
        <f t="shared" si="114"/>
        <v>307450</v>
      </c>
      <c r="R1387" s="835"/>
      <c r="S1387" s="836"/>
      <c r="T1387" s="836"/>
      <c r="U1387" s="836"/>
      <c r="V1387" s="836"/>
      <c r="W1387" s="836"/>
      <c r="X1387" s="836"/>
      <c r="Y1387" s="836">
        <v>0</v>
      </c>
      <c r="Z1387" s="836"/>
      <c r="AA1387" s="836"/>
      <c r="AB1387" s="836"/>
      <c r="AC1387" s="836"/>
      <c r="AD1387" s="1186">
        <f t="shared" si="111"/>
        <v>0</v>
      </c>
      <c r="AE1387" s="637">
        <f t="shared" si="112"/>
        <v>-1</v>
      </c>
      <c r="AF1387" s="638">
        <f t="shared" si="110"/>
        <v>983</v>
      </c>
    </row>
    <row r="1388" spans="1:32" x14ac:dyDescent="0.3">
      <c r="A1388" s="381" t="s">
        <v>759</v>
      </c>
      <c r="B1388" s="1021" t="s">
        <v>1518</v>
      </c>
      <c r="C1388" s="835"/>
      <c r="D1388" s="836">
        <v>0</v>
      </c>
      <c r="E1388" s="836"/>
      <c r="F1388" s="836">
        <v>282400</v>
      </c>
      <c r="G1388" s="836">
        <v>23000</v>
      </c>
      <c r="H1388" s="836">
        <v>0</v>
      </c>
      <c r="I1388" s="836">
        <v>0</v>
      </c>
      <c r="J1388" s="836">
        <v>0</v>
      </c>
      <c r="K1388" s="836">
        <v>0</v>
      </c>
      <c r="L1388" s="836">
        <v>0</v>
      </c>
      <c r="M1388" s="836">
        <v>0</v>
      </c>
      <c r="N1388" s="836">
        <v>0</v>
      </c>
      <c r="O1388" s="836" t="s">
        <v>251</v>
      </c>
      <c r="P1388" s="1497">
        <f t="shared" si="113"/>
        <v>305400</v>
      </c>
      <c r="Q1388" s="1186">
        <f t="shared" si="114"/>
        <v>305400</v>
      </c>
      <c r="R1388" s="835"/>
      <c r="S1388" s="836"/>
      <c r="T1388" s="836"/>
      <c r="U1388" s="836"/>
      <c r="V1388" s="836"/>
      <c r="W1388" s="836"/>
      <c r="X1388" s="836"/>
      <c r="Y1388" s="836"/>
      <c r="Z1388" s="836"/>
      <c r="AA1388" s="836"/>
      <c r="AB1388" s="836"/>
      <c r="AC1388" s="836"/>
      <c r="AD1388" s="1186">
        <f t="shared" si="111"/>
        <v>0</v>
      </c>
      <c r="AE1388" s="637">
        <f t="shared" si="112"/>
        <v>-1</v>
      </c>
      <c r="AF1388" s="638">
        <f t="shared" si="110"/>
        <v>983</v>
      </c>
    </row>
    <row r="1389" spans="1:32" x14ac:dyDescent="0.3">
      <c r="A1389" s="381" t="s">
        <v>759</v>
      </c>
      <c r="B1389" s="1021" t="s">
        <v>820</v>
      </c>
      <c r="C1389" s="835">
        <v>31000</v>
      </c>
      <c r="D1389" s="836">
        <v>0</v>
      </c>
      <c r="E1389" s="836">
        <v>47000</v>
      </c>
      <c r="F1389" s="836">
        <v>191000</v>
      </c>
      <c r="G1389" s="836">
        <v>33000</v>
      </c>
      <c r="H1389" s="836">
        <v>0</v>
      </c>
      <c r="I1389" s="836">
        <v>0</v>
      </c>
      <c r="J1389" s="836">
        <v>0</v>
      </c>
      <c r="K1389" s="836">
        <v>0</v>
      </c>
      <c r="L1389" s="836">
        <v>0</v>
      </c>
      <c r="M1389" s="836">
        <v>0</v>
      </c>
      <c r="N1389" s="836">
        <v>0</v>
      </c>
      <c r="O1389" s="836" t="s">
        <v>251</v>
      </c>
      <c r="P1389" s="1497">
        <f t="shared" si="113"/>
        <v>302000</v>
      </c>
      <c r="Q1389" s="1186">
        <f t="shared" si="114"/>
        <v>302000</v>
      </c>
      <c r="R1389" s="835">
        <v>108000</v>
      </c>
      <c r="S1389" s="836"/>
      <c r="T1389" s="836">
        <v>17000</v>
      </c>
      <c r="U1389" s="836">
        <v>430000</v>
      </c>
      <c r="V1389" s="836">
        <v>0</v>
      </c>
      <c r="W1389" s="836">
        <v>162000</v>
      </c>
      <c r="X1389" s="836">
        <v>142000</v>
      </c>
      <c r="Y1389" s="836">
        <v>0</v>
      </c>
      <c r="Z1389" s="836"/>
      <c r="AA1389" s="836"/>
      <c r="AB1389" s="836"/>
      <c r="AC1389" s="836"/>
      <c r="AD1389" s="1186">
        <f t="shared" si="111"/>
        <v>859000</v>
      </c>
      <c r="AE1389" s="637">
        <f t="shared" si="112"/>
        <v>1.8443708609271523</v>
      </c>
      <c r="AF1389" s="638">
        <f t="shared" si="110"/>
        <v>345</v>
      </c>
    </row>
    <row r="1390" spans="1:32" x14ac:dyDescent="0.3">
      <c r="A1390" s="381" t="s">
        <v>759</v>
      </c>
      <c r="B1390" s="1021" t="s">
        <v>444</v>
      </c>
      <c r="C1390" s="835"/>
      <c r="D1390" s="836">
        <v>0</v>
      </c>
      <c r="E1390" s="836">
        <v>280000</v>
      </c>
      <c r="F1390" s="836">
        <v>0</v>
      </c>
      <c r="G1390" s="836">
        <v>0</v>
      </c>
      <c r="H1390" s="836">
        <v>0</v>
      </c>
      <c r="I1390" s="836">
        <v>0</v>
      </c>
      <c r="J1390" s="836">
        <v>0</v>
      </c>
      <c r="K1390" s="836">
        <v>0</v>
      </c>
      <c r="L1390" s="836">
        <v>0</v>
      </c>
      <c r="M1390" s="836">
        <v>0</v>
      </c>
      <c r="N1390" s="836">
        <v>0</v>
      </c>
      <c r="O1390" s="836" t="s">
        <v>251</v>
      </c>
      <c r="P1390" s="1497">
        <f t="shared" si="113"/>
        <v>280000</v>
      </c>
      <c r="Q1390" s="1186">
        <f t="shared" si="114"/>
        <v>280000</v>
      </c>
      <c r="R1390" s="835"/>
      <c r="S1390" s="836"/>
      <c r="T1390" s="836"/>
      <c r="U1390" s="836"/>
      <c r="V1390" s="836"/>
      <c r="W1390" s="836"/>
      <c r="X1390" s="836"/>
      <c r="Y1390" s="836"/>
      <c r="Z1390" s="836"/>
      <c r="AA1390" s="836"/>
      <c r="AB1390" s="836"/>
      <c r="AC1390" s="836"/>
      <c r="AD1390" s="1186">
        <f t="shared" si="111"/>
        <v>0</v>
      </c>
      <c r="AE1390" s="637">
        <f t="shared" si="112"/>
        <v>-1</v>
      </c>
      <c r="AF1390" s="638">
        <f t="shared" si="110"/>
        <v>983</v>
      </c>
    </row>
    <row r="1391" spans="1:32" x14ac:dyDescent="0.3">
      <c r="A1391" s="381" t="s">
        <v>759</v>
      </c>
      <c r="B1391" s="1021" t="s">
        <v>1086</v>
      </c>
      <c r="C1391" s="835"/>
      <c r="D1391" s="836">
        <v>0</v>
      </c>
      <c r="E1391" s="836"/>
      <c r="F1391" s="836">
        <v>0</v>
      </c>
      <c r="G1391" s="836">
        <v>274000</v>
      </c>
      <c r="H1391" s="836">
        <v>135000</v>
      </c>
      <c r="I1391" s="836">
        <v>0</v>
      </c>
      <c r="J1391" s="836">
        <v>0</v>
      </c>
      <c r="K1391" s="836">
        <v>0</v>
      </c>
      <c r="L1391" s="836">
        <v>0</v>
      </c>
      <c r="M1391" s="836">
        <v>0</v>
      </c>
      <c r="N1391" s="836">
        <v>0</v>
      </c>
      <c r="O1391" s="836" t="s">
        <v>251</v>
      </c>
      <c r="P1391" s="1497">
        <f t="shared" si="113"/>
        <v>409000</v>
      </c>
      <c r="Q1391" s="1186">
        <f t="shared" si="114"/>
        <v>409000</v>
      </c>
      <c r="R1391" s="835"/>
      <c r="S1391" s="836"/>
      <c r="T1391" s="836"/>
      <c r="U1391" s="836"/>
      <c r="V1391" s="836"/>
      <c r="W1391" s="836"/>
      <c r="X1391" s="836"/>
      <c r="Y1391" s="836">
        <v>370000</v>
      </c>
      <c r="Z1391" s="836"/>
      <c r="AA1391" s="836"/>
      <c r="AB1391" s="836"/>
      <c r="AC1391" s="836"/>
      <c r="AD1391" s="1186">
        <f t="shared" si="111"/>
        <v>370000</v>
      </c>
      <c r="AE1391" s="637">
        <f t="shared" si="112"/>
        <v>-9.5354523227383858E-2</v>
      </c>
      <c r="AF1391" s="638">
        <f t="shared" si="110"/>
        <v>495</v>
      </c>
    </row>
    <row r="1392" spans="1:32" x14ac:dyDescent="0.3">
      <c r="A1392" s="381" t="s">
        <v>759</v>
      </c>
      <c r="B1392" s="1021" t="s">
        <v>1328</v>
      </c>
      <c r="C1392" s="835"/>
      <c r="D1392" s="836">
        <v>0</v>
      </c>
      <c r="E1392" s="836">
        <v>273700</v>
      </c>
      <c r="F1392" s="836">
        <v>0</v>
      </c>
      <c r="G1392" s="836">
        <v>0</v>
      </c>
      <c r="H1392" s="836">
        <v>164400</v>
      </c>
      <c r="I1392" s="836">
        <v>323500</v>
      </c>
      <c r="J1392" s="836">
        <v>0</v>
      </c>
      <c r="K1392" s="836">
        <v>0</v>
      </c>
      <c r="L1392" s="836">
        <v>0</v>
      </c>
      <c r="M1392" s="836">
        <v>0</v>
      </c>
      <c r="N1392" s="836">
        <v>108000</v>
      </c>
      <c r="O1392" s="836">
        <v>882200</v>
      </c>
      <c r="P1392" s="1497">
        <f t="shared" si="113"/>
        <v>761600</v>
      </c>
      <c r="Q1392" s="1186">
        <f t="shared" si="114"/>
        <v>1751800</v>
      </c>
      <c r="R1392" s="835">
        <v>776300</v>
      </c>
      <c r="S1392" s="836">
        <v>119000</v>
      </c>
      <c r="T1392" s="836">
        <v>0</v>
      </c>
      <c r="U1392" s="836">
        <v>0</v>
      </c>
      <c r="V1392" s="836">
        <v>0</v>
      </c>
      <c r="W1392" s="836">
        <v>0</v>
      </c>
      <c r="X1392" s="836">
        <v>0</v>
      </c>
      <c r="Y1392" s="836">
        <v>0</v>
      </c>
      <c r="Z1392" s="836"/>
      <c r="AA1392" s="836"/>
      <c r="AB1392" s="836"/>
      <c r="AC1392" s="836"/>
      <c r="AD1392" s="1186">
        <f t="shared" si="111"/>
        <v>895300</v>
      </c>
      <c r="AE1392" s="637">
        <f t="shared" si="112"/>
        <v>0.17555147058823528</v>
      </c>
      <c r="AF1392" s="638">
        <f t="shared" si="110"/>
        <v>336</v>
      </c>
    </row>
    <row r="1393" spans="1:32" x14ac:dyDescent="0.3">
      <c r="A1393" s="381" t="s">
        <v>759</v>
      </c>
      <c r="B1393" s="1021" t="s">
        <v>1519</v>
      </c>
      <c r="C1393" s="835"/>
      <c r="D1393" s="836">
        <v>0</v>
      </c>
      <c r="E1393" s="836"/>
      <c r="F1393" s="836">
        <v>268000</v>
      </c>
      <c r="G1393" s="836">
        <v>0</v>
      </c>
      <c r="H1393" s="836">
        <v>0</v>
      </c>
      <c r="I1393" s="836">
        <v>0</v>
      </c>
      <c r="J1393" s="836">
        <v>0</v>
      </c>
      <c r="K1393" s="836">
        <v>0</v>
      </c>
      <c r="L1393" s="836">
        <v>0</v>
      </c>
      <c r="M1393" s="836">
        <v>0</v>
      </c>
      <c r="N1393" s="836">
        <v>0</v>
      </c>
      <c r="O1393" s="836" t="s">
        <v>251</v>
      </c>
      <c r="P1393" s="1497">
        <f t="shared" si="113"/>
        <v>268000</v>
      </c>
      <c r="Q1393" s="1186">
        <f t="shared" si="114"/>
        <v>268000</v>
      </c>
      <c r="R1393" s="835"/>
      <c r="S1393" s="836"/>
      <c r="T1393" s="836"/>
      <c r="U1393" s="836"/>
      <c r="V1393" s="836"/>
      <c r="W1393" s="836"/>
      <c r="X1393" s="836"/>
      <c r="Y1393" s="836"/>
      <c r="Z1393" s="836"/>
      <c r="AA1393" s="836"/>
      <c r="AB1393" s="836"/>
      <c r="AC1393" s="836"/>
      <c r="AD1393" s="1186">
        <f t="shared" si="111"/>
        <v>0</v>
      </c>
      <c r="AE1393" s="637">
        <f t="shared" si="112"/>
        <v>-1</v>
      </c>
      <c r="AF1393" s="638">
        <f t="shared" si="110"/>
        <v>983</v>
      </c>
    </row>
    <row r="1394" spans="1:32" x14ac:dyDescent="0.3">
      <c r="A1394" s="381" t="s">
        <v>759</v>
      </c>
      <c r="B1394" s="1021" t="s">
        <v>1520</v>
      </c>
      <c r="C1394" s="835"/>
      <c r="D1394" s="836">
        <v>0</v>
      </c>
      <c r="E1394" s="836">
        <v>262500</v>
      </c>
      <c r="F1394" s="836">
        <v>0</v>
      </c>
      <c r="G1394" s="836">
        <v>0</v>
      </c>
      <c r="H1394" s="836">
        <v>0</v>
      </c>
      <c r="I1394" s="836">
        <v>0</v>
      </c>
      <c r="J1394" s="836">
        <v>0</v>
      </c>
      <c r="K1394" s="836">
        <v>0</v>
      </c>
      <c r="L1394" s="836">
        <v>0</v>
      </c>
      <c r="M1394" s="836">
        <v>0</v>
      </c>
      <c r="N1394" s="836">
        <v>0</v>
      </c>
      <c r="O1394" s="836" t="s">
        <v>251</v>
      </c>
      <c r="P1394" s="1497">
        <f t="shared" si="113"/>
        <v>262500</v>
      </c>
      <c r="Q1394" s="1186">
        <f t="shared" si="114"/>
        <v>262500</v>
      </c>
      <c r="R1394" s="835"/>
      <c r="S1394" s="836"/>
      <c r="T1394" s="836"/>
      <c r="U1394" s="836"/>
      <c r="V1394" s="836"/>
      <c r="W1394" s="836"/>
      <c r="X1394" s="836"/>
      <c r="Y1394" s="836"/>
      <c r="Z1394" s="836"/>
      <c r="AA1394" s="836"/>
      <c r="AB1394" s="836"/>
      <c r="AC1394" s="836"/>
      <c r="AD1394" s="1186">
        <f t="shared" si="111"/>
        <v>0</v>
      </c>
      <c r="AE1394" s="637">
        <f t="shared" si="112"/>
        <v>-1</v>
      </c>
      <c r="AF1394" s="638">
        <f t="shared" si="110"/>
        <v>983</v>
      </c>
    </row>
    <row r="1395" spans="1:32" x14ac:dyDescent="0.3">
      <c r="A1395" s="381" t="s">
        <v>759</v>
      </c>
      <c r="B1395" s="1021" t="s">
        <v>693</v>
      </c>
      <c r="C1395" s="835"/>
      <c r="D1395" s="836">
        <v>0</v>
      </c>
      <c r="E1395" s="836">
        <v>261100</v>
      </c>
      <c r="F1395" s="836">
        <v>0</v>
      </c>
      <c r="G1395" s="836">
        <v>0</v>
      </c>
      <c r="H1395" s="836">
        <v>162500</v>
      </c>
      <c r="I1395" s="836">
        <v>855900</v>
      </c>
      <c r="J1395" s="836">
        <v>183650</v>
      </c>
      <c r="K1395" s="836">
        <v>183650</v>
      </c>
      <c r="L1395" s="836">
        <v>261100</v>
      </c>
      <c r="M1395" s="836">
        <v>0</v>
      </c>
      <c r="N1395" s="836">
        <v>0</v>
      </c>
      <c r="O1395" s="836" t="s">
        <v>251</v>
      </c>
      <c r="P1395" s="1497">
        <f t="shared" si="113"/>
        <v>1463150</v>
      </c>
      <c r="Q1395" s="1186">
        <f t="shared" si="114"/>
        <v>1724250</v>
      </c>
      <c r="R1395" s="835">
        <v>318870</v>
      </c>
      <c r="S1395" s="836">
        <v>524900</v>
      </c>
      <c r="T1395" s="836">
        <v>158550</v>
      </c>
      <c r="U1395" s="836">
        <v>317100</v>
      </c>
      <c r="V1395" s="836">
        <v>531100</v>
      </c>
      <c r="W1395" s="836">
        <v>952850</v>
      </c>
      <c r="X1395" s="836">
        <v>0</v>
      </c>
      <c r="Y1395" s="836">
        <v>0</v>
      </c>
      <c r="Z1395" s="836"/>
      <c r="AA1395" s="836"/>
      <c r="AB1395" s="836"/>
      <c r="AC1395" s="836"/>
      <c r="AD1395" s="1186">
        <f t="shared" si="111"/>
        <v>2803370</v>
      </c>
      <c r="AE1395" s="637">
        <f t="shared" si="112"/>
        <v>0.9159826401941018</v>
      </c>
      <c r="AF1395" s="638">
        <f t="shared" si="110"/>
        <v>160</v>
      </c>
    </row>
    <row r="1396" spans="1:32" x14ac:dyDescent="0.3">
      <c r="A1396" s="381" t="s">
        <v>759</v>
      </c>
      <c r="B1396" s="1021" t="s">
        <v>1521</v>
      </c>
      <c r="C1396" s="835"/>
      <c r="D1396" s="836">
        <v>0</v>
      </c>
      <c r="E1396" s="836"/>
      <c r="F1396" s="836">
        <v>260000</v>
      </c>
      <c r="G1396" s="836">
        <v>0</v>
      </c>
      <c r="H1396" s="836">
        <v>0</v>
      </c>
      <c r="I1396" s="836">
        <v>0</v>
      </c>
      <c r="J1396" s="836">
        <v>0</v>
      </c>
      <c r="K1396" s="836">
        <v>0</v>
      </c>
      <c r="L1396" s="836">
        <v>0</v>
      </c>
      <c r="M1396" s="836">
        <v>0</v>
      </c>
      <c r="N1396" s="836">
        <v>0</v>
      </c>
      <c r="O1396" s="836" t="s">
        <v>251</v>
      </c>
      <c r="P1396" s="1497">
        <f t="shared" si="113"/>
        <v>260000</v>
      </c>
      <c r="Q1396" s="1186">
        <f t="shared" si="114"/>
        <v>260000</v>
      </c>
      <c r="R1396" s="835"/>
      <c r="S1396" s="836"/>
      <c r="T1396" s="836"/>
      <c r="U1396" s="836"/>
      <c r="V1396" s="836"/>
      <c r="W1396" s="836"/>
      <c r="X1396" s="836"/>
      <c r="Y1396" s="836"/>
      <c r="Z1396" s="836"/>
      <c r="AA1396" s="836"/>
      <c r="AB1396" s="836"/>
      <c r="AC1396" s="836"/>
      <c r="AD1396" s="1186">
        <f t="shared" si="111"/>
        <v>0</v>
      </c>
      <c r="AE1396" s="637">
        <f t="shared" si="112"/>
        <v>-1</v>
      </c>
      <c r="AF1396" s="638">
        <f t="shared" si="110"/>
        <v>983</v>
      </c>
    </row>
    <row r="1397" spans="1:32" x14ac:dyDescent="0.3">
      <c r="A1397" s="381" t="s">
        <v>759</v>
      </c>
      <c r="B1397" s="1021" t="s">
        <v>1522</v>
      </c>
      <c r="C1397" s="835"/>
      <c r="D1397" s="836">
        <v>258000</v>
      </c>
      <c r="E1397" s="836"/>
      <c r="F1397" s="836">
        <v>0</v>
      </c>
      <c r="G1397" s="836">
        <v>0</v>
      </c>
      <c r="H1397" s="836">
        <v>0</v>
      </c>
      <c r="I1397" s="836">
        <v>0</v>
      </c>
      <c r="J1397" s="836">
        <v>0</v>
      </c>
      <c r="K1397" s="836">
        <v>0</v>
      </c>
      <c r="L1397" s="836">
        <v>0</v>
      </c>
      <c r="M1397" s="836">
        <v>0</v>
      </c>
      <c r="N1397" s="836">
        <v>0</v>
      </c>
      <c r="O1397" s="836" t="s">
        <v>251</v>
      </c>
      <c r="P1397" s="1497">
        <f t="shared" si="113"/>
        <v>258000</v>
      </c>
      <c r="Q1397" s="1186">
        <f t="shared" si="114"/>
        <v>258000</v>
      </c>
      <c r="R1397" s="835"/>
      <c r="S1397" s="836"/>
      <c r="T1397" s="836"/>
      <c r="U1397" s="836"/>
      <c r="V1397" s="836"/>
      <c r="W1397" s="836"/>
      <c r="X1397" s="836"/>
      <c r="Y1397" s="836"/>
      <c r="Z1397" s="836"/>
      <c r="AA1397" s="836"/>
      <c r="AB1397" s="836"/>
      <c r="AC1397" s="836"/>
      <c r="AD1397" s="1186">
        <f t="shared" si="111"/>
        <v>0</v>
      </c>
      <c r="AE1397" s="637">
        <f t="shared" si="112"/>
        <v>-1</v>
      </c>
      <c r="AF1397" s="638">
        <f t="shared" si="110"/>
        <v>983</v>
      </c>
    </row>
    <row r="1398" spans="1:32" x14ac:dyDescent="0.3">
      <c r="A1398" s="381" t="s">
        <v>759</v>
      </c>
      <c r="B1398" s="1021" t="s">
        <v>1381</v>
      </c>
      <c r="C1398" s="835"/>
      <c r="D1398" s="836">
        <v>0</v>
      </c>
      <c r="E1398" s="836"/>
      <c r="F1398" s="836">
        <v>0</v>
      </c>
      <c r="G1398" s="836">
        <v>250000</v>
      </c>
      <c r="H1398" s="836">
        <v>0</v>
      </c>
      <c r="I1398" s="836">
        <v>0</v>
      </c>
      <c r="J1398" s="836">
        <v>0</v>
      </c>
      <c r="K1398" s="836">
        <v>0</v>
      </c>
      <c r="L1398" s="836">
        <v>0</v>
      </c>
      <c r="M1398" s="836">
        <v>0</v>
      </c>
      <c r="N1398" s="836">
        <v>0</v>
      </c>
      <c r="O1398" s="836" t="s">
        <v>251</v>
      </c>
      <c r="P1398" s="1497">
        <f t="shared" si="113"/>
        <v>250000</v>
      </c>
      <c r="Q1398" s="1186">
        <f t="shared" si="114"/>
        <v>250000</v>
      </c>
      <c r="R1398" s="835"/>
      <c r="S1398" s="836"/>
      <c r="T1398" s="836"/>
      <c r="U1398" s="836"/>
      <c r="V1398" s="836"/>
      <c r="W1398" s="836"/>
      <c r="X1398" s="836"/>
      <c r="Y1398" s="836"/>
      <c r="Z1398" s="836"/>
      <c r="AA1398" s="836"/>
      <c r="AB1398" s="836"/>
      <c r="AC1398" s="836"/>
      <c r="AD1398" s="1186">
        <f t="shared" si="111"/>
        <v>0</v>
      </c>
      <c r="AE1398" s="637">
        <f t="shared" si="112"/>
        <v>-1</v>
      </c>
      <c r="AF1398" s="638">
        <f t="shared" si="110"/>
        <v>983</v>
      </c>
    </row>
    <row r="1399" spans="1:32" x14ac:dyDescent="0.3">
      <c r="A1399" s="381" t="s">
        <v>759</v>
      </c>
      <c r="B1399" s="1021" t="s">
        <v>1523</v>
      </c>
      <c r="C1399" s="835">
        <v>69000</v>
      </c>
      <c r="D1399" s="836">
        <v>0</v>
      </c>
      <c r="E1399" s="836">
        <v>12000</v>
      </c>
      <c r="F1399" s="836">
        <v>168000</v>
      </c>
      <c r="G1399" s="836">
        <v>0</v>
      </c>
      <c r="H1399" s="836">
        <v>0</v>
      </c>
      <c r="I1399" s="836">
        <v>0</v>
      </c>
      <c r="J1399" s="836">
        <v>0</v>
      </c>
      <c r="K1399" s="836">
        <v>0</v>
      </c>
      <c r="L1399" s="836">
        <v>0</v>
      </c>
      <c r="M1399" s="836">
        <v>0</v>
      </c>
      <c r="N1399" s="836">
        <v>40000</v>
      </c>
      <c r="O1399" s="836" t="s">
        <v>251</v>
      </c>
      <c r="P1399" s="1497">
        <f t="shared" si="113"/>
        <v>249000</v>
      </c>
      <c r="Q1399" s="1186">
        <f t="shared" si="114"/>
        <v>289000</v>
      </c>
      <c r="R1399" s="835"/>
      <c r="S1399" s="836"/>
      <c r="T1399" s="836"/>
      <c r="U1399" s="836"/>
      <c r="V1399" s="836"/>
      <c r="W1399" s="836"/>
      <c r="X1399" s="836"/>
      <c r="Y1399" s="836"/>
      <c r="Z1399" s="836"/>
      <c r="AA1399" s="836"/>
      <c r="AB1399" s="836"/>
      <c r="AC1399" s="836"/>
      <c r="AD1399" s="1186">
        <f t="shared" si="111"/>
        <v>0</v>
      </c>
      <c r="AE1399" s="637">
        <f t="shared" si="112"/>
        <v>-1</v>
      </c>
      <c r="AF1399" s="638">
        <f t="shared" si="110"/>
        <v>983</v>
      </c>
    </row>
    <row r="1400" spans="1:32" x14ac:dyDescent="0.3">
      <c r="A1400" s="381" t="s">
        <v>759</v>
      </c>
      <c r="B1400" s="1021" t="s">
        <v>660</v>
      </c>
      <c r="C1400" s="835"/>
      <c r="D1400" s="836">
        <v>0</v>
      </c>
      <c r="E1400" s="836"/>
      <c r="F1400" s="836">
        <v>245000</v>
      </c>
      <c r="G1400" s="836">
        <v>0</v>
      </c>
      <c r="H1400" s="836">
        <v>0</v>
      </c>
      <c r="I1400" s="836">
        <v>0</v>
      </c>
      <c r="J1400" s="836">
        <v>0</v>
      </c>
      <c r="K1400" s="836">
        <v>0</v>
      </c>
      <c r="L1400" s="836">
        <v>0</v>
      </c>
      <c r="M1400" s="836">
        <v>0</v>
      </c>
      <c r="N1400" s="836">
        <v>618000</v>
      </c>
      <c r="O1400" s="836" t="s">
        <v>251</v>
      </c>
      <c r="P1400" s="1497">
        <f t="shared" si="113"/>
        <v>245000</v>
      </c>
      <c r="Q1400" s="1186">
        <f t="shared" si="114"/>
        <v>863000</v>
      </c>
      <c r="R1400" s="835">
        <v>874000</v>
      </c>
      <c r="S1400" s="836"/>
      <c r="T1400" s="836">
        <v>469000</v>
      </c>
      <c r="U1400" s="836">
        <v>24000</v>
      </c>
      <c r="V1400" s="836">
        <v>0</v>
      </c>
      <c r="W1400" s="836">
        <v>0</v>
      </c>
      <c r="X1400" s="836">
        <v>0</v>
      </c>
      <c r="Y1400" s="836">
        <v>0</v>
      </c>
      <c r="Z1400" s="836"/>
      <c r="AA1400" s="836"/>
      <c r="AB1400" s="836"/>
      <c r="AC1400" s="836"/>
      <c r="AD1400" s="1186">
        <f t="shared" si="111"/>
        <v>1367000</v>
      </c>
      <c r="AE1400" s="637">
        <f t="shared" si="112"/>
        <v>4.5795918367346937</v>
      </c>
      <c r="AF1400" s="638">
        <f t="shared" si="110"/>
        <v>260</v>
      </c>
    </row>
    <row r="1401" spans="1:32" x14ac:dyDescent="0.3">
      <c r="A1401" s="381" t="s">
        <v>759</v>
      </c>
      <c r="B1401" s="1021" t="s">
        <v>620</v>
      </c>
      <c r="C1401" s="835"/>
      <c r="D1401" s="836">
        <v>0</v>
      </c>
      <c r="E1401" s="836">
        <v>206000</v>
      </c>
      <c r="F1401" s="836">
        <v>0</v>
      </c>
      <c r="G1401" s="836">
        <v>45000</v>
      </c>
      <c r="H1401" s="836">
        <v>0</v>
      </c>
      <c r="I1401" s="836">
        <v>44000</v>
      </c>
      <c r="J1401" s="836">
        <v>12000</v>
      </c>
      <c r="K1401" s="836">
        <v>1257000</v>
      </c>
      <c r="L1401" s="836">
        <v>0</v>
      </c>
      <c r="M1401" s="836">
        <v>25000</v>
      </c>
      <c r="N1401" s="836">
        <v>0</v>
      </c>
      <c r="O1401" s="836" t="s">
        <v>251</v>
      </c>
      <c r="P1401" s="1497">
        <f t="shared" si="113"/>
        <v>1552000</v>
      </c>
      <c r="Q1401" s="1186">
        <f t="shared" si="114"/>
        <v>332000</v>
      </c>
      <c r="R1401" s="835"/>
      <c r="S1401" s="836"/>
      <c r="T1401" s="836">
        <v>249500</v>
      </c>
      <c r="U1401" s="836">
        <v>177500</v>
      </c>
      <c r="V1401" s="836">
        <v>5000</v>
      </c>
      <c r="W1401" s="836">
        <v>13500</v>
      </c>
      <c r="X1401" s="836">
        <v>10000</v>
      </c>
      <c r="Y1401" s="836">
        <v>52500</v>
      </c>
      <c r="Z1401" s="836"/>
      <c r="AA1401" s="836"/>
      <c r="AB1401" s="836"/>
      <c r="AC1401" s="836"/>
      <c r="AD1401" s="1186">
        <f t="shared" si="111"/>
        <v>508000</v>
      </c>
      <c r="AE1401" s="637">
        <f t="shared" si="112"/>
        <v>-0.67268041237113407</v>
      </c>
      <c r="AF1401" s="638">
        <f t="shared" si="110"/>
        <v>433</v>
      </c>
    </row>
    <row r="1402" spans="1:32" x14ac:dyDescent="0.3">
      <c r="A1402" s="381" t="s">
        <v>759</v>
      </c>
      <c r="B1402" s="1021" t="s">
        <v>1524</v>
      </c>
      <c r="C1402" s="835"/>
      <c r="D1402" s="836">
        <v>0</v>
      </c>
      <c r="E1402" s="836"/>
      <c r="F1402" s="836">
        <v>225000</v>
      </c>
      <c r="G1402" s="836">
        <v>0</v>
      </c>
      <c r="H1402" s="836">
        <v>0</v>
      </c>
      <c r="I1402" s="836">
        <v>0</v>
      </c>
      <c r="J1402" s="836">
        <v>0</v>
      </c>
      <c r="K1402" s="836">
        <v>0</v>
      </c>
      <c r="L1402" s="836">
        <v>0</v>
      </c>
      <c r="M1402" s="836">
        <v>0</v>
      </c>
      <c r="N1402" s="836">
        <v>0</v>
      </c>
      <c r="O1402" s="836" t="s">
        <v>251</v>
      </c>
      <c r="P1402" s="1497">
        <f t="shared" si="113"/>
        <v>225000</v>
      </c>
      <c r="Q1402" s="1186">
        <f t="shared" si="114"/>
        <v>225000</v>
      </c>
      <c r="R1402" s="835"/>
      <c r="S1402" s="836"/>
      <c r="T1402" s="836"/>
      <c r="U1402" s="836"/>
      <c r="V1402" s="836"/>
      <c r="W1402" s="836"/>
      <c r="X1402" s="836"/>
      <c r="Y1402" s="836"/>
      <c r="Z1402" s="836"/>
      <c r="AA1402" s="836"/>
      <c r="AB1402" s="836"/>
      <c r="AC1402" s="836"/>
      <c r="AD1402" s="1186">
        <f t="shared" si="111"/>
        <v>0</v>
      </c>
      <c r="AE1402" s="637">
        <f t="shared" si="112"/>
        <v>-1</v>
      </c>
      <c r="AF1402" s="638">
        <f t="shared" si="110"/>
        <v>983</v>
      </c>
    </row>
    <row r="1403" spans="1:32" x14ac:dyDescent="0.3">
      <c r="A1403" s="381" t="s">
        <v>759</v>
      </c>
      <c r="B1403" s="1021" t="s">
        <v>1525</v>
      </c>
      <c r="C1403" s="835"/>
      <c r="D1403" s="836">
        <v>0</v>
      </c>
      <c r="E1403" s="836">
        <v>225000</v>
      </c>
      <c r="F1403" s="836">
        <v>0</v>
      </c>
      <c r="G1403" s="836">
        <v>0</v>
      </c>
      <c r="H1403" s="836">
        <v>0</v>
      </c>
      <c r="I1403" s="836">
        <v>0</v>
      </c>
      <c r="J1403" s="836">
        <v>0</v>
      </c>
      <c r="K1403" s="836">
        <v>0</v>
      </c>
      <c r="L1403" s="836">
        <v>0</v>
      </c>
      <c r="M1403" s="836">
        <v>0</v>
      </c>
      <c r="N1403" s="836">
        <v>0</v>
      </c>
      <c r="O1403" s="836" t="s">
        <v>251</v>
      </c>
      <c r="P1403" s="1497">
        <f t="shared" si="113"/>
        <v>225000</v>
      </c>
      <c r="Q1403" s="1186">
        <f t="shared" si="114"/>
        <v>225000</v>
      </c>
      <c r="R1403" s="835"/>
      <c r="S1403" s="836"/>
      <c r="T1403" s="836"/>
      <c r="U1403" s="836"/>
      <c r="V1403" s="836"/>
      <c r="W1403" s="836"/>
      <c r="X1403" s="836"/>
      <c r="Y1403" s="836"/>
      <c r="Z1403" s="836"/>
      <c r="AA1403" s="836"/>
      <c r="AB1403" s="836"/>
      <c r="AC1403" s="836"/>
      <c r="AD1403" s="1186">
        <f t="shared" si="111"/>
        <v>0</v>
      </c>
      <c r="AE1403" s="637">
        <f t="shared" si="112"/>
        <v>-1</v>
      </c>
      <c r="AF1403" s="638">
        <f t="shared" si="110"/>
        <v>983</v>
      </c>
    </row>
    <row r="1404" spans="1:32" x14ac:dyDescent="0.3">
      <c r="A1404" s="381" t="s">
        <v>759</v>
      </c>
      <c r="B1404" s="1021" t="s">
        <v>1526</v>
      </c>
      <c r="C1404" s="835"/>
      <c r="D1404" s="836">
        <v>0</v>
      </c>
      <c r="E1404" s="836"/>
      <c r="F1404" s="836">
        <v>219000</v>
      </c>
      <c r="G1404" s="836">
        <v>0</v>
      </c>
      <c r="H1404" s="836">
        <v>0</v>
      </c>
      <c r="I1404" s="836">
        <v>0</v>
      </c>
      <c r="J1404" s="836">
        <v>0</v>
      </c>
      <c r="K1404" s="836">
        <v>0</v>
      </c>
      <c r="L1404" s="836">
        <v>0</v>
      </c>
      <c r="M1404" s="836">
        <v>0</v>
      </c>
      <c r="N1404" s="836">
        <v>0</v>
      </c>
      <c r="O1404" s="836" t="s">
        <v>251</v>
      </c>
      <c r="P1404" s="1497">
        <f t="shared" si="113"/>
        <v>219000</v>
      </c>
      <c r="Q1404" s="1186">
        <f t="shared" si="114"/>
        <v>219000</v>
      </c>
      <c r="R1404" s="835"/>
      <c r="S1404" s="836"/>
      <c r="T1404" s="836"/>
      <c r="U1404" s="836"/>
      <c r="V1404" s="836"/>
      <c r="W1404" s="836"/>
      <c r="X1404" s="836"/>
      <c r="Y1404" s="836"/>
      <c r="Z1404" s="836"/>
      <c r="AA1404" s="836"/>
      <c r="AB1404" s="836"/>
      <c r="AC1404" s="836"/>
      <c r="AD1404" s="1186">
        <f t="shared" si="111"/>
        <v>0</v>
      </c>
      <c r="AE1404" s="637">
        <f t="shared" si="112"/>
        <v>-1</v>
      </c>
      <c r="AF1404" s="638">
        <f t="shared" si="110"/>
        <v>983</v>
      </c>
    </row>
    <row r="1405" spans="1:32" x14ac:dyDescent="0.3">
      <c r="A1405" s="381" t="s">
        <v>759</v>
      </c>
      <c r="B1405" s="1021" t="s">
        <v>1527</v>
      </c>
      <c r="C1405" s="835"/>
      <c r="D1405" s="836">
        <v>0</v>
      </c>
      <c r="E1405" s="836"/>
      <c r="F1405" s="836">
        <v>0</v>
      </c>
      <c r="G1405" s="836">
        <v>209500</v>
      </c>
      <c r="H1405" s="836">
        <v>0</v>
      </c>
      <c r="I1405" s="836">
        <v>0</v>
      </c>
      <c r="J1405" s="836">
        <v>0</v>
      </c>
      <c r="K1405" s="836">
        <v>0</v>
      </c>
      <c r="L1405" s="836">
        <v>0</v>
      </c>
      <c r="M1405" s="836">
        <v>0</v>
      </c>
      <c r="N1405" s="836">
        <v>0</v>
      </c>
      <c r="O1405" s="836" t="s">
        <v>251</v>
      </c>
      <c r="P1405" s="1497">
        <f t="shared" si="113"/>
        <v>209500</v>
      </c>
      <c r="Q1405" s="1186">
        <f t="shared" si="114"/>
        <v>209500</v>
      </c>
      <c r="R1405" s="835"/>
      <c r="S1405" s="836"/>
      <c r="T1405" s="836">
        <v>120000</v>
      </c>
      <c r="U1405" s="836">
        <v>0</v>
      </c>
      <c r="V1405" s="836">
        <v>0</v>
      </c>
      <c r="W1405" s="836">
        <v>282000</v>
      </c>
      <c r="X1405" s="836">
        <v>41000</v>
      </c>
      <c r="Y1405" s="836">
        <v>0</v>
      </c>
      <c r="Z1405" s="836"/>
      <c r="AA1405" s="836"/>
      <c r="AB1405" s="836"/>
      <c r="AC1405" s="836"/>
      <c r="AD1405" s="1186">
        <f t="shared" si="111"/>
        <v>443000</v>
      </c>
      <c r="AE1405" s="637">
        <f t="shared" si="112"/>
        <v>1.1145584725536992</v>
      </c>
      <c r="AF1405" s="638">
        <f t="shared" si="110"/>
        <v>465</v>
      </c>
    </row>
    <row r="1406" spans="1:32" x14ac:dyDescent="0.3">
      <c r="A1406" s="381" t="s">
        <v>759</v>
      </c>
      <c r="B1406" s="1021" t="s">
        <v>1297</v>
      </c>
      <c r="C1406" s="835"/>
      <c r="D1406" s="836">
        <v>0</v>
      </c>
      <c r="E1406" s="836">
        <v>209000</v>
      </c>
      <c r="F1406" s="836">
        <v>0</v>
      </c>
      <c r="G1406" s="836">
        <v>0</v>
      </c>
      <c r="H1406" s="836">
        <v>0</v>
      </c>
      <c r="I1406" s="836">
        <v>0</v>
      </c>
      <c r="J1406" s="836">
        <v>0</v>
      </c>
      <c r="K1406" s="836">
        <v>0</v>
      </c>
      <c r="L1406" s="836">
        <v>0</v>
      </c>
      <c r="M1406" s="836">
        <v>0</v>
      </c>
      <c r="N1406" s="836">
        <v>0</v>
      </c>
      <c r="O1406" s="836" t="s">
        <v>251</v>
      </c>
      <c r="P1406" s="1497">
        <f t="shared" si="113"/>
        <v>209000</v>
      </c>
      <c r="Q1406" s="1186">
        <f t="shared" si="114"/>
        <v>209000</v>
      </c>
      <c r="R1406" s="835"/>
      <c r="S1406" s="836"/>
      <c r="T1406" s="836"/>
      <c r="U1406" s="836"/>
      <c r="V1406" s="836"/>
      <c r="W1406" s="836"/>
      <c r="X1406" s="836">
        <v>550000</v>
      </c>
      <c r="Y1406" s="836">
        <v>0</v>
      </c>
      <c r="Z1406" s="836"/>
      <c r="AA1406" s="836"/>
      <c r="AB1406" s="836"/>
      <c r="AC1406" s="836"/>
      <c r="AD1406" s="1186">
        <f t="shared" si="111"/>
        <v>550000</v>
      </c>
      <c r="AE1406" s="637">
        <f t="shared" si="112"/>
        <v>1.631578947368421</v>
      </c>
      <c r="AF1406" s="638">
        <f t="shared" si="110"/>
        <v>419</v>
      </c>
    </row>
    <row r="1407" spans="1:32" x14ac:dyDescent="0.3">
      <c r="A1407" s="381" t="s">
        <v>759</v>
      </c>
      <c r="B1407" s="1021" t="s">
        <v>1528</v>
      </c>
      <c r="C1407" s="835"/>
      <c r="D1407" s="836">
        <v>0</v>
      </c>
      <c r="E1407" s="836">
        <v>27500</v>
      </c>
      <c r="F1407" s="836">
        <v>0</v>
      </c>
      <c r="G1407" s="836">
        <v>168000</v>
      </c>
      <c r="H1407" s="836">
        <v>0</v>
      </c>
      <c r="I1407" s="836">
        <v>0</v>
      </c>
      <c r="J1407" s="836">
        <v>0</v>
      </c>
      <c r="K1407" s="836">
        <v>0</v>
      </c>
      <c r="L1407" s="836">
        <v>0</v>
      </c>
      <c r="M1407" s="836">
        <v>0</v>
      </c>
      <c r="N1407" s="836">
        <v>0</v>
      </c>
      <c r="O1407" s="836" t="s">
        <v>251</v>
      </c>
      <c r="P1407" s="1497">
        <f t="shared" si="113"/>
        <v>195500</v>
      </c>
      <c r="Q1407" s="1186">
        <f t="shared" si="114"/>
        <v>195500</v>
      </c>
      <c r="R1407" s="835"/>
      <c r="S1407" s="836"/>
      <c r="T1407" s="836"/>
      <c r="U1407" s="836"/>
      <c r="V1407" s="836"/>
      <c r="W1407" s="836"/>
      <c r="X1407" s="836"/>
      <c r="Y1407" s="836"/>
      <c r="Z1407" s="836"/>
      <c r="AA1407" s="836"/>
      <c r="AB1407" s="836"/>
      <c r="AC1407" s="836"/>
      <c r="AD1407" s="1186">
        <f t="shared" si="111"/>
        <v>0</v>
      </c>
      <c r="AE1407" s="637">
        <f t="shared" si="112"/>
        <v>-1</v>
      </c>
      <c r="AF1407" s="638">
        <f t="shared" si="110"/>
        <v>983</v>
      </c>
    </row>
    <row r="1408" spans="1:32" x14ac:dyDescent="0.3">
      <c r="A1408" s="381" t="s">
        <v>759</v>
      </c>
      <c r="B1408" s="1021" t="s">
        <v>1294</v>
      </c>
      <c r="C1408" s="835">
        <v>23000</v>
      </c>
      <c r="D1408" s="836">
        <v>0</v>
      </c>
      <c r="E1408" s="836"/>
      <c r="F1408" s="836">
        <v>103000</v>
      </c>
      <c r="G1408" s="836">
        <v>69000</v>
      </c>
      <c r="H1408" s="836">
        <v>69000</v>
      </c>
      <c r="I1408" s="836">
        <v>0</v>
      </c>
      <c r="J1408" s="836">
        <v>0</v>
      </c>
      <c r="K1408" s="836">
        <v>0</v>
      </c>
      <c r="L1408" s="836">
        <v>0</v>
      </c>
      <c r="M1408" s="836">
        <v>0</v>
      </c>
      <c r="N1408" s="836">
        <v>0</v>
      </c>
      <c r="O1408" s="836" t="s">
        <v>251</v>
      </c>
      <c r="P1408" s="1497">
        <f t="shared" si="113"/>
        <v>264000</v>
      </c>
      <c r="Q1408" s="1186">
        <f t="shared" si="114"/>
        <v>264000</v>
      </c>
      <c r="R1408" s="835"/>
      <c r="S1408" s="836"/>
      <c r="T1408" s="836"/>
      <c r="U1408" s="836"/>
      <c r="V1408" s="836"/>
      <c r="W1408" s="836"/>
      <c r="X1408" s="836"/>
      <c r="Y1408" s="836"/>
      <c r="Z1408" s="836"/>
      <c r="AA1408" s="836"/>
      <c r="AB1408" s="836"/>
      <c r="AC1408" s="836"/>
      <c r="AD1408" s="1186">
        <f t="shared" si="111"/>
        <v>0</v>
      </c>
      <c r="AE1408" s="637">
        <f t="shared" si="112"/>
        <v>-1</v>
      </c>
      <c r="AF1408" s="638">
        <f t="shared" si="110"/>
        <v>983</v>
      </c>
    </row>
    <row r="1409" spans="1:32" x14ac:dyDescent="0.3">
      <c r="A1409" s="381" t="s">
        <v>759</v>
      </c>
      <c r="B1409" s="1021" t="s">
        <v>1416</v>
      </c>
      <c r="C1409" s="835"/>
      <c r="D1409" s="836">
        <v>0</v>
      </c>
      <c r="E1409" s="836">
        <v>179000</v>
      </c>
      <c r="F1409" s="836">
        <v>16000</v>
      </c>
      <c r="G1409" s="836">
        <v>0</v>
      </c>
      <c r="H1409" s="836">
        <v>0</v>
      </c>
      <c r="I1409" s="836">
        <v>0</v>
      </c>
      <c r="J1409" s="836">
        <v>0</v>
      </c>
      <c r="K1409" s="836">
        <v>0</v>
      </c>
      <c r="L1409" s="836">
        <v>0</v>
      </c>
      <c r="M1409" s="836">
        <v>0</v>
      </c>
      <c r="N1409" s="836">
        <v>0</v>
      </c>
      <c r="O1409" s="836" t="s">
        <v>251</v>
      </c>
      <c r="P1409" s="1497">
        <f t="shared" si="113"/>
        <v>195000</v>
      </c>
      <c r="Q1409" s="1186">
        <f t="shared" si="114"/>
        <v>195000</v>
      </c>
      <c r="R1409" s="835">
        <v>10000</v>
      </c>
      <c r="S1409" s="836"/>
      <c r="T1409" s="836">
        <v>0</v>
      </c>
      <c r="U1409" s="836">
        <v>0</v>
      </c>
      <c r="V1409" s="836">
        <v>0</v>
      </c>
      <c r="W1409" s="836">
        <v>9000</v>
      </c>
      <c r="X1409" s="836">
        <v>0</v>
      </c>
      <c r="Y1409" s="836">
        <v>21000</v>
      </c>
      <c r="Z1409" s="836"/>
      <c r="AA1409" s="836"/>
      <c r="AB1409" s="836"/>
      <c r="AC1409" s="836"/>
      <c r="AD1409" s="1186">
        <f t="shared" si="111"/>
        <v>40000</v>
      </c>
      <c r="AE1409" s="637">
        <f t="shared" si="112"/>
        <v>-0.79487179487179482</v>
      </c>
      <c r="AF1409" s="638">
        <f t="shared" si="110"/>
        <v>866</v>
      </c>
    </row>
    <row r="1410" spans="1:32" x14ac:dyDescent="0.3">
      <c r="A1410" s="381" t="s">
        <v>759</v>
      </c>
      <c r="B1410" s="1021" t="s">
        <v>1529</v>
      </c>
      <c r="C1410" s="835">
        <v>55000</v>
      </c>
      <c r="D1410" s="836">
        <v>80000</v>
      </c>
      <c r="E1410" s="836">
        <v>60000</v>
      </c>
      <c r="F1410" s="836">
        <v>0</v>
      </c>
      <c r="G1410" s="836">
        <v>0</v>
      </c>
      <c r="H1410" s="836">
        <v>16000</v>
      </c>
      <c r="I1410" s="836">
        <v>0</v>
      </c>
      <c r="J1410" s="836">
        <v>25000</v>
      </c>
      <c r="K1410" s="836">
        <v>25000</v>
      </c>
      <c r="L1410" s="836">
        <v>0</v>
      </c>
      <c r="M1410" s="836">
        <v>25000</v>
      </c>
      <c r="N1410" s="836">
        <v>65000</v>
      </c>
      <c r="O1410" s="836" t="s">
        <v>251</v>
      </c>
      <c r="P1410" s="1497">
        <f t="shared" si="113"/>
        <v>236000</v>
      </c>
      <c r="Q1410" s="1186">
        <f t="shared" si="114"/>
        <v>326000</v>
      </c>
      <c r="R1410" s="835"/>
      <c r="S1410" s="836"/>
      <c r="T1410" s="836"/>
      <c r="U1410" s="836"/>
      <c r="V1410" s="836"/>
      <c r="W1410" s="836"/>
      <c r="X1410" s="836"/>
      <c r="Y1410" s="836"/>
      <c r="Z1410" s="836"/>
      <c r="AA1410" s="836"/>
      <c r="AB1410" s="836"/>
      <c r="AC1410" s="836"/>
      <c r="AD1410" s="1186">
        <f t="shared" si="111"/>
        <v>0</v>
      </c>
      <c r="AE1410" s="637">
        <f t="shared" si="112"/>
        <v>-1</v>
      </c>
      <c r="AF1410" s="638">
        <f t="shared" si="110"/>
        <v>983</v>
      </c>
    </row>
    <row r="1411" spans="1:32" x14ac:dyDescent="0.3">
      <c r="A1411" s="381" t="s">
        <v>759</v>
      </c>
      <c r="B1411" s="1021" t="s">
        <v>1530</v>
      </c>
      <c r="C1411" s="835"/>
      <c r="D1411" s="836">
        <v>0</v>
      </c>
      <c r="E1411" s="836">
        <v>183000</v>
      </c>
      <c r="F1411" s="836">
        <v>0</v>
      </c>
      <c r="G1411" s="836">
        <v>0</v>
      </c>
      <c r="H1411" s="836">
        <v>0</v>
      </c>
      <c r="I1411" s="836">
        <v>0</v>
      </c>
      <c r="J1411" s="836">
        <v>0</v>
      </c>
      <c r="K1411" s="836">
        <v>0</v>
      </c>
      <c r="L1411" s="836">
        <v>0</v>
      </c>
      <c r="M1411" s="836">
        <v>0</v>
      </c>
      <c r="N1411" s="836">
        <v>0</v>
      </c>
      <c r="O1411" s="836" t="s">
        <v>251</v>
      </c>
      <c r="P1411" s="1497">
        <f t="shared" si="113"/>
        <v>183000</v>
      </c>
      <c r="Q1411" s="1186">
        <f t="shared" si="114"/>
        <v>183000</v>
      </c>
      <c r="R1411" s="835"/>
      <c r="S1411" s="836"/>
      <c r="T1411" s="836"/>
      <c r="U1411" s="836"/>
      <c r="V1411" s="836"/>
      <c r="W1411" s="836"/>
      <c r="X1411" s="836"/>
      <c r="Y1411" s="836"/>
      <c r="Z1411" s="836"/>
      <c r="AA1411" s="836"/>
      <c r="AB1411" s="836"/>
      <c r="AC1411" s="836"/>
      <c r="AD1411" s="1186">
        <f t="shared" si="111"/>
        <v>0</v>
      </c>
      <c r="AE1411" s="637">
        <f t="shared" si="112"/>
        <v>-1</v>
      </c>
      <c r="AF1411" s="638">
        <f t="shared" si="110"/>
        <v>983</v>
      </c>
    </row>
    <row r="1412" spans="1:32" x14ac:dyDescent="0.3">
      <c r="A1412" s="381" t="s">
        <v>759</v>
      </c>
      <c r="B1412" s="1021" t="s">
        <v>623</v>
      </c>
      <c r="C1412" s="835">
        <v>162500</v>
      </c>
      <c r="D1412" s="836">
        <v>5000</v>
      </c>
      <c r="E1412" s="836"/>
      <c r="F1412" s="836">
        <v>10000</v>
      </c>
      <c r="G1412" s="836">
        <v>5000</v>
      </c>
      <c r="H1412" s="836">
        <v>70000</v>
      </c>
      <c r="I1412" s="836">
        <v>55000</v>
      </c>
      <c r="J1412" s="836">
        <v>0</v>
      </c>
      <c r="K1412" s="836">
        <v>0</v>
      </c>
      <c r="L1412" s="836">
        <v>0</v>
      </c>
      <c r="M1412" s="836">
        <v>0</v>
      </c>
      <c r="N1412" s="836">
        <v>0</v>
      </c>
      <c r="O1412" s="836" t="s">
        <v>251</v>
      </c>
      <c r="P1412" s="1497">
        <f t="shared" si="113"/>
        <v>307500</v>
      </c>
      <c r="Q1412" s="1186">
        <f t="shared" si="114"/>
        <v>307500</v>
      </c>
      <c r="R1412" s="835">
        <v>35000</v>
      </c>
      <c r="S1412" s="836"/>
      <c r="T1412" s="836">
        <v>10000</v>
      </c>
      <c r="U1412" s="836">
        <v>0</v>
      </c>
      <c r="V1412" s="836">
        <v>5000</v>
      </c>
      <c r="W1412" s="836">
        <v>0</v>
      </c>
      <c r="X1412" s="836">
        <v>15000</v>
      </c>
      <c r="Y1412" s="836">
        <v>0</v>
      </c>
      <c r="Z1412" s="836"/>
      <c r="AA1412" s="836"/>
      <c r="AB1412" s="836"/>
      <c r="AC1412" s="836"/>
      <c r="AD1412" s="1186">
        <f t="shared" si="111"/>
        <v>65000</v>
      </c>
      <c r="AE1412" s="637">
        <f t="shared" si="112"/>
        <v>-0.78861788617886175</v>
      </c>
      <c r="AF1412" s="638">
        <f t="shared" si="110"/>
        <v>808</v>
      </c>
    </row>
    <row r="1413" spans="1:32" x14ac:dyDescent="0.3">
      <c r="A1413" s="381" t="s">
        <v>759</v>
      </c>
      <c r="B1413" s="1021" t="s">
        <v>1531</v>
      </c>
      <c r="C1413" s="835"/>
      <c r="D1413" s="836">
        <v>0</v>
      </c>
      <c r="E1413" s="836"/>
      <c r="F1413" s="836">
        <v>230000</v>
      </c>
      <c r="G1413" s="836">
        <v>240000</v>
      </c>
      <c r="H1413" s="836">
        <v>0</v>
      </c>
      <c r="I1413" s="836">
        <v>0</v>
      </c>
      <c r="J1413" s="836">
        <v>0</v>
      </c>
      <c r="K1413" s="836">
        <v>0</v>
      </c>
      <c r="L1413" s="836">
        <v>0</v>
      </c>
      <c r="M1413" s="836">
        <v>0</v>
      </c>
      <c r="N1413" s="836">
        <v>0</v>
      </c>
      <c r="O1413" s="836" t="s">
        <v>251</v>
      </c>
      <c r="P1413" s="1497">
        <f t="shared" si="113"/>
        <v>470000</v>
      </c>
      <c r="Q1413" s="1186">
        <f t="shared" si="114"/>
        <v>470000</v>
      </c>
      <c r="R1413" s="835"/>
      <c r="S1413" s="836"/>
      <c r="T1413" s="836"/>
      <c r="U1413" s="836"/>
      <c r="V1413" s="836"/>
      <c r="W1413" s="836"/>
      <c r="X1413" s="836"/>
      <c r="Y1413" s="836"/>
      <c r="Z1413" s="836"/>
      <c r="AA1413" s="836"/>
      <c r="AB1413" s="836"/>
      <c r="AC1413" s="836"/>
      <c r="AD1413" s="1186">
        <f t="shared" si="111"/>
        <v>0</v>
      </c>
      <c r="AE1413" s="637">
        <f t="shared" si="112"/>
        <v>-1</v>
      </c>
      <c r="AF1413" s="638">
        <f t="shared" si="110"/>
        <v>983</v>
      </c>
    </row>
    <row r="1414" spans="1:32" x14ac:dyDescent="0.3">
      <c r="A1414" s="381" t="s">
        <v>759</v>
      </c>
      <c r="B1414" s="1021" t="s">
        <v>1072</v>
      </c>
      <c r="C1414" s="835">
        <v>177000</v>
      </c>
      <c r="D1414" s="836">
        <v>0</v>
      </c>
      <c r="E1414" s="836"/>
      <c r="F1414" s="836">
        <v>0</v>
      </c>
      <c r="G1414" s="836">
        <v>0</v>
      </c>
      <c r="H1414" s="836">
        <v>0</v>
      </c>
      <c r="I1414" s="836">
        <v>0</v>
      </c>
      <c r="J1414" s="836">
        <v>0</v>
      </c>
      <c r="K1414" s="836">
        <v>0</v>
      </c>
      <c r="L1414" s="836">
        <v>0</v>
      </c>
      <c r="M1414" s="836">
        <v>0</v>
      </c>
      <c r="N1414" s="836">
        <v>0</v>
      </c>
      <c r="O1414" s="836" t="s">
        <v>251</v>
      </c>
      <c r="P1414" s="1497">
        <f t="shared" si="113"/>
        <v>177000</v>
      </c>
      <c r="Q1414" s="1186">
        <f t="shared" si="114"/>
        <v>177000</v>
      </c>
      <c r="R1414" s="835"/>
      <c r="S1414" s="836"/>
      <c r="T1414" s="836"/>
      <c r="U1414" s="836"/>
      <c r="V1414" s="836"/>
      <c r="W1414" s="836"/>
      <c r="X1414" s="836"/>
      <c r="Y1414" s="836"/>
      <c r="Z1414" s="836"/>
      <c r="AA1414" s="836"/>
      <c r="AB1414" s="836"/>
      <c r="AC1414" s="836"/>
      <c r="AD1414" s="1186">
        <f t="shared" si="111"/>
        <v>0</v>
      </c>
      <c r="AE1414" s="637">
        <f t="shared" si="112"/>
        <v>-1</v>
      </c>
      <c r="AF1414" s="638">
        <f t="shared" si="110"/>
        <v>983</v>
      </c>
    </row>
    <row r="1415" spans="1:32" x14ac:dyDescent="0.3">
      <c r="A1415" s="381" t="s">
        <v>759</v>
      </c>
      <c r="B1415" s="1021" t="s">
        <v>1532</v>
      </c>
      <c r="C1415" s="835"/>
      <c r="D1415" s="836">
        <v>0</v>
      </c>
      <c r="E1415" s="836">
        <v>172000</v>
      </c>
      <c r="F1415" s="836">
        <v>0</v>
      </c>
      <c r="G1415" s="836">
        <v>0</v>
      </c>
      <c r="H1415" s="836">
        <v>0</v>
      </c>
      <c r="I1415" s="836">
        <v>0</v>
      </c>
      <c r="J1415" s="836">
        <v>0</v>
      </c>
      <c r="K1415" s="836">
        <v>0</v>
      </c>
      <c r="L1415" s="836">
        <v>0</v>
      </c>
      <c r="M1415" s="836">
        <v>0</v>
      </c>
      <c r="N1415" s="836">
        <v>0</v>
      </c>
      <c r="O1415" s="836" t="s">
        <v>251</v>
      </c>
      <c r="P1415" s="1497">
        <f t="shared" si="113"/>
        <v>172000</v>
      </c>
      <c r="Q1415" s="1186">
        <f t="shared" si="114"/>
        <v>172000</v>
      </c>
      <c r="R1415" s="835"/>
      <c r="S1415" s="836"/>
      <c r="T1415" s="836"/>
      <c r="U1415" s="836"/>
      <c r="V1415" s="836"/>
      <c r="W1415" s="836"/>
      <c r="X1415" s="836"/>
      <c r="Y1415" s="836"/>
      <c r="Z1415" s="836"/>
      <c r="AA1415" s="836"/>
      <c r="AB1415" s="836"/>
      <c r="AC1415" s="836"/>
      <c r="AD1415" s="1186">
        <f t="shared" si="111"/>
        <v>0</v>
      </c>
      <c r="AE1415" s="637">
        <f t="shared" si="112"/>
        <v>-1</v>
      </c>
      <c r="AF1415" s="638">
        <f t="shared" ref="AF1415:AF1478" si="115">IFERROR(_xlfn.RANK.EQ(AD1415, $AD$2:$AD$2064), "")</f>
        <v>983</v>
      </c>
    </row>
    <row r="1416" spans="1:32" x14ac:dyDescent="0.3">
      <c r="A1416" s="381" t="s">
        <v>759</v>
      </c>
      <c r="B1416" s="1021" t="s">
        <v>1533</v>
      </c>
      <c r="C1416" s="835"/>
      <c r="D1416" s="836">
        <v>0</v>
      </c>
      <c r="E1416" s="836">
        <v>61500</v>
      </c>
      <c r="F1416" s="836">
        <v>0</v>
      </c>
      <c r="G1416" s="836">
        <v>105000</v>
      </c>
      <c r="H1416" s="836">
        <v>175000</v>
      </c>
      <c r="I1416" s="836">
        <v>62000</v>
      </c>
      <c r="J1416" s="836">
        <v>0</v>
      </c>
      <c r="K1416" s="836">
        <v>0</v>
      </c>
      <c r="L1416" s="836">
        <v>0</v>
      </c>
      <c r="M1416" s="836">
        <v>30000</v>
      </c>
      <c r="N1416" s="836">
        <v>24500</v>
      </c>
      <c r="O1416" s="836">
        <v>58000</v>
      </c>
      <c r="P1416" s="1497">
        <f t="shared" si="113"/>
        <v>403500</v>
      </c>
      <c r="Q1416" s="1186">
        <f t="shared" si="114"/>
        <v>516000</v>
      </c>
      <c r="R1416" s="835"/>
      <c r="S1416" s="836"/>
      <c r="T1416" s="836"/>
      <c r="U1416" s="836"/>
      <c r="V1416" s="836"/>
      <c r="W1416" s="836">
        <v>116000</v>
      </c>
      <c r="X1416" s="836">
        <v>188000</v>
      </c>
      <c r="Y1416" s="836">
        <v>167000</v>
      </c>
      <c r="Z1416" s="836"/>
      <c r="AA1416" s="836"/>
      <c r="AB1416" s="836"/>
      <c r="AC1416" s="836"/>
      <c r="AD1416" s="1186">
        <f t="shared" si="111"/>
        <v>471000</v>
      </c>
      <c r="AE1416" s="637">
        <f t="shared" si="112"/>
        <v>0.16728624535315986</v>
      </c>
      <c r="AF1416" s="638">
        <f t="shared" si="115"/>
        <v>456</v>
      </c>
    </row>
    <row r="1417" spans="1:32" x14ac:dyDescent="0.3">
      <c r="A1417" s="381" t="s">
        <v>759</v>
      </c>
      <c r="B1417" s="1021" t="s">
        <v>1534</v>
      </c>
      <c r="C1417" s="835"/>
      <c r="D1417" s="836">
        <v>0</v>
      </c>
      <c r="E1417" s="836">
        <v>45000</v>
      </c>
      <c r="F1417" s="836">
        <v>90000</v>
      </c>
      <c r="G1417" s="836">
        <v>30000</v>
      </c>
      <c r="H1417" s="836">
        <v>16000</v>
      </c>
      <c r="I1417" s="836">
        <v>0</v>
      </c>
      <c r="J1417" s="836">
        <v>0</v>
      </c>
      <c r="K1417" s="836">
        <v>0</v>
      </c>
      <c r="L1417" s="836">
        <v>0</v>
      </c>
      <c r="M1417" s="836">
        <v>0</v>
      </c>
      <c r="N1417" s="836">
        <v>0</v>
      </c>
      <c r="O1417" s="836" t="s">
        <v>251</v>
      </c>
      <c r="P1417" s="1497">
        <f t="shared" si="113"/>
        <v>181000</v>
      </c>
      <c r="Q1417" s="1186">
        <f t="shared" si="114"/>
        <v>181000</v>
      </c>
      <c r="R1417" s="835">
        <v>80000</v>
      </c>
      <c r="S1417" s="836"/>
      <c r="T1417" s="836">
        <v>0</v>
      </c>
      <c r="U1417" s="836">
        <v>0</v>
      </c>
      <c r="V1417" s="836">
        <v>0</v>
      </c>
      <c r="W1417" s="836">
        <v>0</v>
      </c>
      <c r="X1417" s="836">
        <v>51000</v>
      </c>
      <c r="Y1417" s="836">
        <v>55000</v>
      </c>
      <c r="Z1417" s="836"/>
      <c r="AA1417" s="836"/>
      <c r="AB1417" s="836"/>
      <c r="AC1417" s="836"/>
      <c r="AD1417" s="1186">
        <f t="shared" si="111"/>
        <v>186000</v>
      </c>
      <c r="AE1417" s="637">
        <f t="shared" si="112"/>
        <v>2.7624309392265192E-2</v>
      </c>
      <c r="AF1417" s="638">
        <f t="shared" si="115"/>
        <v>625</v>
      </c>
    </row>
    <row r="1418" spans="1:32" x14ac:dyDescent="0.3">
      <c r="A1418" s="381" t="s">
        <v>759</v>
      </c>
      <c r="B1418" s="1021" t="s">
        <v>1535</v>
      </c>
      <c r="C1418" s="835"/>
      <c r="D1418" s="836">
        <v>160000</v>
      </c>
      <c r="E1418" s="836"/>
      <c r="F1418" s="836">
        <v>0</v>
      </c>
      <c r="G1418" s="836">
        <v>0</v>
      </c>
      <c r="H1418" s="836">
        <v>0</v>
      </c>
      <c r="I1418" s="836">
        <v>0</v>
      </c>
      <c r="J1418" s="836">
        <v>0</v>
      </c>
      <c r="K1418" s="836">
        <v>0</v>
      </c>
      <c r="L1418" s="836">
        <v>0</v>
      </c>
      <c r="M1418" s="836">
        <v>0</v>
      </c>
      <c r="N1418" s="836">
        <v>70000</v>
      </c>
      <c r="O1418" s="836">
        <v>55000</v>
      </c>
      <c r="P1418" s="1497">
        <f t="shared" si="113"/>
        <v>160000</v>
      </c>
      <c r="Q1418" s="1186">
        <f t="shared" si="114"/>
        <v>285000</v>
      </c>
      <c r="R1418" s="835"/>
      <c r="S1418" s="836"/>
      <c r="T1418" s="836"/>
      <c r="U1418" s="836"/>
      <c r="V1418" s="836"/>
      <c r="W1418" s="836"/>
      <c r="X1418" s="836"/>
      <c r="Y1418" s="836"/>
      <c r="Z1418" s="836"/>
      <c r="AA1418" s="836"/>
      <c r="AB1418" s="836"/>
      <c r="AC1418" s="836"/>
      <c r="AD1418" s="1186">
        <f t="shared" si="111"/>
        <v>0</v>
      </c>
      <c r="AE1418" s="637">
        <f t="shared" si="112"/>
        <v>-1</v>
      </c>
      <c r="AF1418" s="638">
        <f t="shared" si="115"/>
        <v>983</v>
      </c>
    </row>
    <row r="1419" spans="1:32" x14ac:dyDescent="0.3">
      <c r="A1419" s="381" t="s">
        <v>759</v>
      </c>
      <c r="B1419" s="1021" t="s">
        <v>1410</v>
      </c>
      <c r="C1419" s="835">
        <v>155000</v>
      </c>
      <c r="D1419" s="836">
        <v>0</v>
      </c>
      <c r="E1419" s="836"/>
      <c r="F1419" s="836">
        <v>0</v>
      </c>
      <c r="G1419" s="836">
        <v>0</v>
      </c>
      <c r="H1419" s="836">
        <v>0</v>
      </c>
      <c r="I1419" s="836">
        <v>135000</v>
      </c>
      <c r="J1419" s="836">
        <v>155000</v>
      </c>
      <c r="K1419" s="836">
        <v>155000</v>
      </c>
      <c r="L1419" s="836">
        <v>0</v>
      </c>
      <c r="M1419" s="836">
        <v>0</v>
      </c>
      <c r="N1419" s="836">
        <v>0</v>
      </c>
      <c r="O1419" s="836" t="s">
        <v>251</v>
      </c>
      <c r="P1419" s="1497">
        <f t="shared" si="113"/>
        <v>445000</v>
      </c>
      <c r="Q1419" s="1186">
        <f t="shared" si="114"/>
        <v>445000</v>
      </c>
      <c r="R1419" s="835"/>
      <c r="S1419" s="836"/>
      <c r="T1419" s="836"/>
      <c r="U1419" s="836"/>
      <c r="V1419" s="836"/>
      <c r="W1419" s="836"/>
      <c r="X1419" s="836"/>
      <c r="Y1419" s="836"/>
      <c r="Z1419" s="836"/>
      <c r="AA1419" s="836"/>
      <c r="AB1419" s="836"/>
      <c r="AC1419" s="836"/>
      <c r="AD1419" s="1186">
        <f t="shared" si="111"/>
        <v>0</v>
      </c>
      <c r="AE1419" s="637">
        <f t="shared" si="112"/>
        <v>-1</v>
      </c>
      <c r="AF1419" s="638">
        <f t="shared" si="115"/>
        <v>983</v>
      </c>
    </row>
    <row r="1420" spans="1:32" x14ac:dyDescent="0.3">
      <c r="A1420" s="381" t="s">
        <v>759</v>
      </c>
      <c r="B1420" s="1021" t="s">
        <v>1536</v>
      </c>
      <c r="C1420" s="835"/>
      <c r="D1420" s="836">
        <v>0</v>
      </c>
      <c r="E1420" s="836"/>
      <c r="F1420" s="836">
        <v>155000</v>
      </c>
      <c r="G1420" s="836">
        <v>0</v>
      </c>
      <c r="H1420" s="836">
        <v>0</v>
      </c>
      <c r="I1420" s="836">
        <v>0</v>
      </c>
      <c r="J1420" s="836">
        <v>0</v>
      </c>
      <c r="K1420" s="836">
        <v>0</v>
      </c>
      <c r="L1420" s="836">
        <v>0</v>
      </c>
      <c r="M1420" s="836">
        <v>0</v>
      </c>
      <c r="N1420" s="836">
        <v>0</v>
      </c>
      <c r="O1420" s="836" t="s">
        <v>251</v>
      </c>
      <c r="P1420" s="1497">
        <f t="shared" si="113"/>
        <v>155000</v>
      </c>
      <c r="Q1420" s="1186">
        <f t="shared" si="114"/>
        <v>155000</v>
      </c>
      <c r="R1420" s="835"/>
      <c r="S1420" s="836"/>
      <c r="T1420" s="836"/>
      <c r="U1420" s="836"/>
      <c r="V1420" s="836"/>
      <c r="W1420" s="836"/>
      <c r="X1420" s="836"/>
      <c r="Y1420" s="836"/>
      <c r="Z1420" s="836"/>
      <c r="AA1420" s="836"/>
      <c r="AB1420" s="836"/>
      <c r="AC1420" s="836"/>
      <c r="AD1420" s="1186">
        <f t="shared" si="111"/>
        <v>0</v>
      </c>
      <c r="AE1420" s="637">
        <f t="shared" si="112"/>
        <v>-1</v>
      </c>
      <c r="AF1420" s="638">
        <f t="shared" si="115"/>
        <v>983</v>
      </c>
    </row>
    <row r="1421" spans="1:32" x14ac:dyDescent="0.3">
      <c r="A1421" s="381" t="s">
        <v>759</v>
      </c>
      <c r="B1421" s="1021" t="s">
        <v>1537</v>
      </c>
      <c r="C1421" s="835">
        <v>88000</v>
      </c>
      <c r="D1421" s="836">
        <v>65000</v>
      </c>
      <c r="E1421" s="836"/>
      <c r="F1421" s="836">
        <v>0</v>
      </c>
      <c r="G1421" s="836">
        <v>0</v>
      </c>
      <c r="H1421" s="836">
        <v>0</v>
      </c>
      <c r="I1421" s="836">
        <v>0</v>
      </c>
      <c r="J1421" s="836">
        <v>0</v>
      </c>
      <c r="K1421" s="836">
        <v>0</v>
      </c>
      <c r="L1421" s="836">
        <v>0</v>
      </c>
      <c r="M1421" s="836">
        <v>0</v>
      </c>
      <c r="N1421" s="836">
        <v>0</v>
      </c>
      <c r="O1421" s="836">
        <v>225000</v>
      </c>
      <c r="P1421" s="1497">
        <f t="shared" si="113"/>
        <v>153000</v>
      </c>
      <c r="Q1421" s="1186">
        <f t="shared" si="114"/>
        <v>378000</v>
      </c>
      <c r="R1421" s="835"/>
      <c r="S1421" s="836"/>
      <c r="T1421" s="836"/>
      <c r="U1421" s="836"/>
      <c r="V1421" s="836"/>
      <c r="W1421" s="836"/>
      <c r="X1421" s="836"/>
      <c r="Y1421" s="836"/>
      <c r="Z1421" s="836"/>
      <c r="AA1421" s="836"/>
      <c r="AB1421" s="836"/>
      <c r="AC1421" s="836"/>
      <c r="AD1421" s="1186">
        <f t="shared" si="111"/>
        <v>0</v>
      </c>
      <c r="AE1421" s="637">
        <f t="shared" si="112"/>
        <v>-1</v>
      </c>
      <c r="AF1421" s="638">
        <f t="shared" si="115"/>
        <v>983</v>
      </c>
    </row>
    <row r="1422" spans="1:32" x14ac:dyDescent="0.3">
      <c r="A1422" s="381" t="s">
        <v>759</v>
      </c>
      <c r="B1422" s="1021" t="s">
        <v>1103</v>
      </c>
      <c r="C1422" s="835"/>
      <c r="D1422" s="836">
        <v>0</v>
      </c>
      <c r="E1422" s="836">
        <v>115000</v>
      </c>
      <c r="F1422" s="836">
        <v>25000</v>
      </c>
      <c r="G1422" s="836">
        <v>129000</v>
      </c>
      <c r="H1422" s="836">
        <v>0</v>
      </c>
      <c r="I1422" s="836">
        <v>0</v>
      </c>
      <c r="J1422" s="836">
        <v>0</v>
      </c>
      <c r="K1422" s="836">
        <v>0</v>
      </c>
      <c r="L1422" s="836">
        <v>0</v>
      </c>
      <c r="M1422" s="836">
        <v>69000</v>
      </c>
      <c r="N1422" s="836">
        <v>0</v>
      </c>
      <c r="O1422" s="836" t="s">
        <v>251</v>
      </c>
      <c r="P1422" s="1497">
        <f t="shared" si="113"/>
        <v>269000</v>
      </c>
      <c r="Q1422" s="1186">
        <f t="shared" si="114"/>
        <v>338000</v>
      </c>
      <c r="R1422" s="835"/>
      <c r="S1422" s="836"/>
      <c r="T1422" s="836"/>
      <c r="U1422" s="836"/>
      <c r="V1422" s="836"/>
      <c r="W1422" s="836"/>
      <c r="X1422" s="836"/>
      <c r="Y1422" s="836"/>
      <c r="Z1422" s="836"/>
      <c r="AA1422" s="836"/>
      <c r="AB1422" s="836"/>
      <c r="AC1422" s="836"/>
      <c r="AD1422" s="1186">
        <f t="shared" si="111"/>
        <v>0</v>
      </c>
      <c r="AE1422" s="637">
        <f t="shared" si="112"/>
        <v>-1</v>
      </c>
      <c r="AF1422" s="638">
        <f t="shared" si="115"/>
        <v>983</v>
      </c>
    </row>
    <row r="1423" spans="1:32" x14ac:dyDescent="0.3">
      <c r="A1423" s="381" t="s">
        <v>759</v>
      </c>
      <c r="B1423" s="1021" t="s">
        <v>1538</v>
      </c>
      <c r="C1423" s="835"/>
      <c r="D1423" s="836">
        <v>0</v>
      </c>
      <c r="E1423" s="836"/>
      <c r="F1423" s="836">
        <v>84000</v>
      </c>
      <c r="G1423" s="836">
        <v>57500</v>
      </c>
      <c r="H1423" s="836">
        <v>59000</v>
      </c>
      <c r="I1423" s="836">
        <v>0</v>
      </c>
      <c r="J1423" s="836">
        <v>0</v>
      </c>
      <c r="K1423" s="836">
        <v>0</v>
      </c>
      <c r="L1423" s="836">
        <v>0</v>
      </c>
      <c r="M1423" s="836">
        <v>0</v>
      </c>
      <c r="N1423" s="836">
        <v>35000</v>
      </c>
      <c r="O1423" s="836" t="s">
        <v>251</v>
      </c>
      <c r="P1423" s="1497">
        <f t="shared" si="113"/>
        <v>200500</v>
      </c>
      <c r="Q1423" s="1186">
        <f t="shared" si="114"/>
        <v>235500</v>
      </c>
      <c r="R1423" s="835"/>
      <c r="S1423" s="836">
        <v>9000</v>
      </c>
      <c r="T1423" s="836">
        <v>0</v>
      </c>
      <c r="U1423" s="836">
        <v>0</v>
      </c>
      <c r="V1423" s="836">
        <v>79000</v>
      </c>
      <c r="W1423" s="836">
        <v>25000</v>
      </c>
      <c r="X1423" s="836">
        <v>0</v>
      </c>
      <c r="Y1423" s="836">
        <v>71350</v>
      </c>
      <c r="Z1423" s="836"/>
      <c r="AA1423" s="836"/>
      <c r="AB1423" s="836"/>
      <c r="AC1423" s="836"/>
      <c r="AD1423" s="1186">
        <f t="shared" ref="AD1423:AD1486" si="116">SUM(R1423:AC1423)</f>
        <v>184350</v>
      </c>
      <c r="AE1423" s="637">
        <f t="shared" ref="AE1423:AE1486" si="117">IF(OR(AD1423="", P1423=""), 0, IFERROR((AD1423-P1423)/P1423, IF(AD1423&lt;&gt;0, 1, 0)))</f>
        <v>-8.0548628428927682E-2</v>
      </c>
      <c r="AF1423" s="638">
        <f t="shared" si="115"/>
        <v>628</v>
      </c>
    </row>
    <row r="1424" spans="1:32" x14ac:dyDescent="0.3">
      <c r="A1424" s="381" t="s">
        <v>759</v>
      </c>
      <c r="B1424" s="1021" t="s">
        <v>1329</v>
      </c>
      <c r="C1424" s="835"/>
      <c r="D1424" s="836">
        <v>0</v>
      </c>
      <c r="E1424" s="836">
        <v>140000</v>
      </c>
      <c r="F1424" s="836">
        <v>0</v>
      </c>
      <c r="G1424" s="836">
        <v>0</v>
      </c>
      <c r="H1424" s="836">
        <v>0</v>
      </c>
      <c r="I1424" s="836">
        <v>0</v>
      </c>
      <c r="J1424" s="836">
        <v>0</v>
      </c>
      <c r="K1424" s="836">
        <v>0</v>
      </c>
      <c r="L1424" s="836">
        <v>55000</v>
      </c>
      <c r="M1424" s="836">
        <v>0</v>
      </c>
      <c r="N1424" s="836">
        <v>0</v>
      </c>
      <c r="O1424" s="836" t="s">
        <v>251</v>
      </c>
      <c r="P1424" s="1497">
        <f t="shared" si="113"/>
        <v>140000</v>
      </c>
      <c r="Q1424" s="1186">
        <f t="shared" si="114"/>
        <v>195000</v>
      </c>
      <c r="R1424" s="835"/>
      <c r="S1424" s="836"/>
      <c r="T1424" s="836"/>
      <c r="U1424" s="836"/>
      <c r="V1424" s="836"/>
      <c r="W1424" s="836"/>
      <c r="X1424" s="836"/>
      <c r="Y1424" s="836"/>
      <c r="Z1424" s="836"/>
      <c r="AA1424" s="836"/>
      <c r="AB1424" s="836"/>
      <c r="AC1424" s="836"/>
      <c r="AD1424" s="1186">
        <f t="shared" si="116"/>
        <v>0</v>
      </c>
      <c r="AE1424" s="637">
        <f t="shared" si="117"/>
        <v>-1</v>
      </c>
      <c r="AF1424" s="638">
        <f t="shared" si="115"/>
        <v>983</v>
      </c>
    </row>
    <row r="1425" spans="1:32" x14ac:dyDescent="0.3">
      <c r="A1425" s="381" t="s">
        <v>759</v>
      </c>
      <c r="B1425" s="1021" t="s">
        <v>1539</v>
      </c>
      <c r="C1425" s="835">
        <v>139500</v>
      </c>
      <c r="D1425" s="836">
        <v>0</v>
      </c>
      <c r="E1425" s="836"/>
      <c r="F1425" s="836">
        <v>0</v>
      </c>
      <c r="G1425" s="836">
        <v>0</v>
      </c>
      <c r="H1425" s="836">
        <v>0</v>
      </c>
      <c r="I1425" s="836">
        <v>0</v>
      </c>
      <c r="J1425" s="836">
        <v>0</v>
      </c>
      <c r="K1425" s="836">
        <v>0</v>
      </c>
      <c r="L1425" s="836">
        <v>0</v>
      </c>
      <c r="M1425" s="836">
        <v>0</v>
      </c>
      <c r="N1425" s="836">
        <v>0</v>
      </c>
      <c r="O1425" s="836" t="s">
        <v>251</v>
      </c>
      <c r="P1425" s="1497">
        <f t="shared" si="113"/>
        <v>139500</v>
      </c>
      <c r="Q1425" s="1186">
        <f t="shared" si="114"/>
        <v>139500</v>
      </c>
      <c r="R1425" s="835"/>
      <c r="S1425" s="836"/>
      <c r="T1425" s="836"/>
      <c r="U1425" s="836"/>
      <c r="V1425" s="836"/>
      <c r="W1425" s="836"/>
      <c r="X1425" s="836"/>
      <c r="Y1425" s="836"/>
      <c r="Z1425" s="836"/>
      <c r="AA1425" s="836"/>
      <c r="AB1425" s="836"/>
      <c r="AC1425" s="836"/>
      <c r="AD1425" s="1186">
        <f t="shared" si="116"/>
        <v>0</v>
      </c>
      <c r="AE1425" s="637">
        <f t="shared" si="117"/>
        <v>-1</v>
      </c>
      <c r="AF1425" s="638">
        <f t="shared" si="115"/>
        <v>983</v>
      </c>
    </row>
    <row r="1426" spans="1:32" x14ac:dyDescent="0.3">
      <c r="A1426" s="381" t="s">
        <v>759</v>
      </c>
      <c r="B1426" s="1021" t="s">
        <v>1075</v>
      </c>
      <c r="C1426" s="835">
        <v>139500</v>
      </c>
      <c r="D1426" s="836">
        <v>0</v>
      </c>
      <c r="E1426" s="836"/>
      <c r="F1426" s="836">
        <v>0</v>
      </c>
      <c r="G1426" s="836">
        <v>0</v>
      </c>
      <c r="H1426" s="836">
        <v>0</v>
      </c>
      <c r="I1426" s="836">
        <v>0</v>
      </c>
      <c r="J1426" s="836">
        <v>0</v>
      </c>
      <c r="K1426" s="836">
        <v>0</v>
      </c>
      <c r="L1426" s="836">
        <v>0</v>
      </c>
      <c r="M1426" s="836">
        <v>0</v>
      </c>
      <c r="N1426" s="836">
        <v>0</v>
      </c>
      <c r="O1426" s="836">
        <v>300890</v>
      </c>
      <c r="P1426" s="1497">
        <f t="shared" si="113"/>
        <v>139500</v>
      </c>
      <c r="Q1426" s="1186">
        <f t="shared" si="114"/>
        <v>440390</v>
      </c>
      <c r="R1426" s="835"/>
      <c r="S1426" s="836"/>
      <c r="T1426" s="836"/>
      <c r="U1426" s="836"/>
      <c r="V1426" s="836"/>
      <c r="W1426" s="836"/>
      <c r="X1426" s="836"/>
      <c r="Y1426" s="836"/>
      <c r="Z1426" s="836"/>
      <c r="AA1426" s="836"/>
      <c r="AB1426" s="836"/>
      <c r="AC1426" s="836"/>
      <c r="AD1426" s="1186">
        <f t="shared" si="116"/>
        <v>0</v>
      </c>
      <c r="AE1426" s="637">
        <f t="shared" si="117"/>
        <v>-1</v>
      </c>
      <c r="AF1426" s="638">
        <f t="shared" si="115"/>
        <v>983</v>
      </c>
    </row>
    <row r="1427" spans="1:32" x14ac:dyDescent="0.3">
      <c r="A1427" s="381" t="s">
        <v>759</v>
      </c>
      <c r="B1427" s="1021" t="s">
        <v>1448</v>
      </c>
      <c r="C1427" s="835"/>
      <c r="D1427" s="836">
        <v>0</v>
      </c>
      <c r="E1427" s="836"/>
      <c r="F1427" s="836">
        <v>0</v>
      </c>
      <c r="G1427" s="836">
        <v>222800</v>
      </c>
      <c r="H1427" s="836">
        <v>0</v>
      </c>
      <c r="I1427" s="836">
        <v>0</v>
      </c>
      <c r="J1427" s="836">
        <v>0</v>
      </c>
      <c r="K1427" s="836">
        <v>0</v>
      </c>
      <c r="L1427" s="836">
        <v>0</v>
      </c>
      <c r="M1427" s="836">
        <v>0</v>
      </c>
      <c r="N1427" s="836">
        <v>0</v>
      </c>
      <c r="O1427" s="836" t="s">
        <v>251</v>
      </c>
      <c r="P1427" s="1497">
        <f t="shared" si="113"/>
        <v>222800</v>
      </c>
      <c r="Q1427" s="1186">
        <f t="shared" si="114"/>
        <v>222800</v>
      </c>
      <c r="R1427" s="835"/>
      <c r="S1427" s="836"/>
      <c r="T1427" s="836"/>
      <c r="U1427" s="836"/>
      <c r="V1427" s="836"/>
      <c r="W1427" s="836"/>
      <c r="X1427" s="836"/>
      <c r="Y1427" s="836"/>
      <c r="Z1427" s="836"/>
      <c r="AA1427" s="836"/>
      <c r="AB1427" s="836"/>
      <c r="AC1427" s="836"/>
      <c r="AD1427" s="1186">
        <f t="shared" si="116"/>
        <v>0</v>
      </c>
      <c r="AE1427" s="637">
        <f t="shared" si="117"/>
        <v>-1</v>
      </c>
      <c r="AF1427" s="638">
        <f t="shared" si="115"/>
        <v>983</v>
      </c>
    </row>
    <row r="1428" spans="1:32" x14ac:dyDescent="0.3">
      <c r="A1428" s="381" t="s">
        <v>759</v>
      </c>
      <c r="B1428" s="1021" t="s">
        <v>459</v>
      </c>
      <c r="C1428" s="835"/>
      <c r="D1428" s="836">
        <v>0</v>
      </c>
      <c r="E1428" s="836"/>
      <c r="F1428" s="836">
        <v>0</v>
      </c>
      <c r="G1428" s="836">
        <v>132500</v>
      </c>
      <c r="H1428" s="836">
        <v>0</v>
      </c>
      <c r="I1428" s="836">
        <v>151000</v>
      </c>
      <c r="J1428" s="836">
        <v>129000</v>
      </c>
      <c r="K1428" s="836">
        <v>129000</v>
      </c>
      <c r="L1428" s="836">
        <v>82000</v>
      </c>
      <c r="M1428" s="836">
        <v>164000</v>
      </c>
      <c r="N1428" s="836">
        <v>0</v>
      </c>
      <c r="O1428" s="836" t="s">
        <v>251</v>
      </c>
      <c r="P1428" s="1497">
        <f t="shared" si="113"/>
        <v>412500</v>
      </c>
      <c r="Q1428" s="1186">
        <f t="shared" si="114"/>
        <v>658500</v>
      </c>
      <c r="R1428" s="835">
        <v>164000</v>
      </c>
      <c r="S1428" s="836">
        <v>102000</v>
      </c>
      <c r="T1428" s="836">
        <v>102000</v>
      </c>
      <c r="U1428" s="836">
        <v>0</v>
      </c>
      <c r="V1428" s="836">
        <v>0</v>
      </c>
      <c r="W1428" s="836">
        <v>0</v>
      </c>
      <c r="X1428" s="836">
        <v>0</v>
      </c>
      <c r="Y1428" s="836">
        <v>0</v>
      </c>
      <c r="Z1428" s="836"/>
      <c r="AA1428" s="836"/>
      <c r="AB1428" s="836"/>
      <c r="AC1428" s="836"/>
      <c r="AD1428" s="1186">
        <f t="shared" si="116"/>
        <v>368000</v>
      </c>
      <c r="AE1428" s="637">
        <f t="shared" si="117"/>
        <v>-0.10787878787878788</v>
      </c>
      <c r="AF1428" s="638">
        <f t="shared" si="115"/>
        <v>496</v>
      </c>
    </row>
    <row r="1429" spans="1:32" x14ac:dyDescent="0.3">
      <c r="A1429" s="381" t="s">
        <v>759</v>
      </c>
      <c r="B1429" s="1021" t="s">
        <v>1458</v>
      </c>
      <c r="C1429" s="835"/>
      <c r="D1429" s="836">
        <v>0</v>
      </c>
      <c r="E1429" s="836"/>
      <c r="F1429" s="836">
        <v>0</v>
      </c>
      <c r="G1429" s="836">
        <v>150000</v>
      </c>
      <c r="H1429" s="836">
        <v>0</v>
      </c>
      <c r="I1429" s="836">
        <v>0</v>
      </c>
      <c r="J1429" s="836">
        <v>0</v>
      </c>
      <c r="K1429" s="836">
        <v>0</v>
      </c>
      <c r="L1429" s="836">
        <v>0</v>
      </c>
      <c r="M1429" s="836">
        <v>0</v>
      </c>
      <c r="N1429" s="836">
        <v>0</v>
      </c>
      <c r="O1429" s="836" t="s">
        <v>251</v>
      </c>
      <c r="P1429" s="1497">
        <f t="shared" si="113"/>
        <v>150000</v>
      </c>
      <c r="Q1429" s="1186">
        <f t="shared" si="114"/>
        <v>150000</v>
      </c>
      <c r="R1429" s="835"/>
      <c r="S1429" s="836"/>
      <c r="T1429" s="836"/>
      <c r="U1429" s="836"/>
      <c r="V1429" s="836"/>
      <c r="W1429" s="836"/>
      <c r="X1429" s="836"/>
      <c r="Y1429" s="836"/>
      <c r="Z1429" s="836"/>
      <c r="AA1429" s="836"/>
      <c r="AB1429" s="836"/>
      <c r="AC1429" s="836"/>
      <c r="AD1429" s="1186">
        <f t="shared" si="116"/>
        <v>0</v>
      </c>
      <c r="AE1429" s="637">
        <f t="shared" si="117"/>
        <v>-1</v>
      </c>
      <c r="AF1429" s="638">
        <f t="shared" si="115"/>
        <v>983</v>
      </c>
    </row>
    <row r="1430" spans="1:32" x14ac:dyDescent="0.3">
      <c r="A1430" s="381" t="s">
        <v>759</v>
      </c>
      <c r="B1430" s="1021" t="s">
        <v>1540</v>
      </c>
      <c r="C1430" s="835">
        <v>28000</v>
      </c>
      <c r="D1430" s="836">
        <v>51000</v>
      </c>
      <c r="E1430" s="836"/>
      <c r="F1430" s="836">
        <v>46000</v>
      </c>
      <c r="G1430" s="836">
        <v>0</v>
      </c>
      <c r="H1430" s="836">
        <v>0</v>
      </c>
      <c r="I1430" s="836">
        <v>15000</v>
      </c>
      <c r="J1430" s="836">
        <v>0</v>
      </c>
      <c r="K1430" s="836">
        <v>0</v>
      </c>
      <c r="L1430" s="836">
        <v>0</v>
      </c>
      <c r="M1430" s="836">
        <v>0</v>
      </c>
      <c r="N1430" s="836">
        <v>0</v>
      </c>
      <c r="O1430" s="836" t="s">
        <v>251</v>
      </c>
      <c r="P1430" s="1497">
        <f t="shared" ref="P1430:P1493" si="118">SUM(C1430:I1430,K1430)</f>
        <v>140000</v>
      </c>
      <c r="Q1430" s="1186">
        <f t="shared" ref="Q1430:Q1493" si="119">SUM(C1430:J1430,L1430:O1430)</f>
        <v>140000</v>
      </c>
      <c r="R1430" s="835"/>
      <c r="S1430" s="836"/>
      <c r="T1430" s="836"/>
      <c r="U1430" s="836"/>
      <c r="V1430" s="836"/>
      <c r="W1430" s="836">
        <v>35000</v>
      </c>
      <c r="X1430" s="836">
        <v>40000</v>
      </c>
      <c r="Y1430" s="836">
        <v>0</v>
      </c>
      <c r="Z1430" s="836"/>
      <c r="AA1430" s="836"/>
      <c r="AB1430" s="836"/>
      <c r="AC1430" s="836"/>
      <c r="AD1430" s="1186">
        <f t="shared" si="116"/>
        <v>75000</v>
      </c>
      <c r="AE1430" s="637">
        <f t="shared" si="117"/>
        <v>-0.4642857142857143</v>
      </c>
      <c r="AF1430" s="638">
        <f t="shared" si="115"/>
        <v>783</v>
      </c>
    </row>
    <row r="1431" spans="1:32" x14ac:dyDescent="0.3">
      <c r="A1431" s="381" t="s">
        <v>759</v>
      </c>
      <c r="B1431" s="1021" t="s">
        <v>1541</v>
      </c>
      <c r="C1431" s="835"/>
      <c r="D1431" s="836">
        <v>0</v>
      </c>
      <c r="E1431" s="836">
        <v>94000</v>
      </c>
      <c r="F1431" s="836">
        <v>0</v>
      </c>
      <c r="G1431" s="836">
        <v>30000</v>
      </c>
      <c r="H1431" s="836">
        <v>54000</v>
      </c>
      <c r="I1431" s="836">
        <v>1973200</v>
      </c>
      <c r="J1431" s="836">
        <v>442700</v>
      </c>
      <c r="K1431" s="836">
        <v>442700</v>
      </c>
      <c r="L1431" s="836">
        <v>0</v>
      </c>
      <c r="M1431" s="836">
        <v>0</v>
      </c>
      <c r="N1431" s="836">
        <v>835200</v>
      </c>
      <c r="O1431" s="836">
        <v>1345600</v>
      </c>
      <c r="P1431" s="1497">
        <f t="shared" si="118"/>
        <v>2593900</v>
      </c>
      <c r="Q1431" s="1186">
        <f t="shared" si="119"/>
        <v>4774700</v>
      </c>
      <c r="R1431" s="835">
        <v>87800</v>
      </c>
      <c r="S1431" s="836"/>
      <c r="T1431" s="836">
        <v>204200</v>
      </c>
      <c r="U1431" s="836">
        <v>259000</v>
      </c>
      <c r="V1431" s="836">
        <v>77600</v>
      </c>
      <c r="W1431" s="836">
        <v>1187000</v>
      </c>
      <c r="X1431" s="836">
        <v>1498000</v>
      </c>
      <c r="Y1431" s="836">
        <v>261000</v>
      </c>
      <c r="Z1431" s="836"/>
      <c r="AA1431" s="836"/>
      <c r="AB1431" s="836"/>
      <c r="AC1431" s="836"/>
      <c r="AD1431" s="1186">
        <f t="shared" si="116"/>
        <v>3574600</v>
      </c>
      <c r="AE1431" s="637">
        <f t="shared" si="117"/>
        <v>0.3780793399899765</v>
      </c>
      <c r="AF1431" s="638">
        <f t="shared" si="115"/>
        <v>128</v>
      </c>
    </row>
    <row r="1432" spans="1:32" x14ac:dyDescent="0.3">
      <c r="A1432" s="381" t="s">
        <v>759</v>
      </c>
      <c r="B1432" s="1021" t="s">
        <v>767</v>
      </c>
      <c r="C1432" s="835">
        <v>122600</v>
      </c>
      <c r="D1432" s="836">
        <v>0</v>
      </c>
      <c r="E1432" s="836"/>
      <c r="F1432" s="836">
        <v>0</v>
      </c>
      <c r="G1432" s="836">
        <v>0</v>
      </c>
      <c r="H1432" s="836">
        <v>0</v>
      </c>
      <c r="I1432" s="836">
        <v>0</v>
      </c>
      <c r="J1432" s="836">
        <v>0</v>
      </c>
      <c r="K1432" s="836">
        <v>0</v>
      </c>
      <c r="L1432" s="836">
        <v>0</v>
      </c>
      <c r="M1432" s="836">
        <v>0</v>
      </c>
      <c r="N1432" s="836">
        <v>0</v>
      </c>
      <c r="O1432" s="836" t="s">
        <v>251</v>
      </c>
      <c r="P1432" s="1497">
        <f t="shared" si="118"/>
        <v>122600</v>
      </c>
      <c r="Q1432" s="1186">
        <f t="shared" si="119"/>
        <v>122600</v>
      </c>
      <c r="R1432" s="835"/>
      <c r="S1432" s="836"/>
      <c r="T1432" s="836"/>
      <c r="U1432" s="836"/>
      <c r="V1432" s="836"/>
      <c r="W1432" s="836"/>
      <c r="X1432" s="836"/>
      <c r="Y1432" s="836"/>
      <c r="Z1432" s="836"/>
      <c r="AA1432" s="836"/>
      <c r="AB1432" s="836"/>
      <c r="AC1432" s="836"/>
      <c r="AD1432" s="1186">
        <f t="shared" si="116"/>
        <v>0</v>
      </c>
      <c r="AE1432" s="637">
        <f t="shared" si="117"/>
        <v>-1</v>
      </c>
      <c r="AF1432" s="638">
        <f t="shared" si="115"/>
        <v>983</v>
      </c>
    </row>
    <row r="1433" spans="1:32" x14ac:dyDescent="0.3">
      <c r="A1433" s="381" t="s">
        <v>759</v>
      </c>
      <c r="B1433" s="1021" t="s">
        <v>1542</v>
      </c>
      <c r="C1433" s="835"/>
      <c r="D1433" s="836">
        <v>0</v>
      </c>
      <c r="E1433" s="836">
        <v>75000</v>
      </c>
      <c r="F1433" s="836">
        <v>36500</v>
      </c>
      <c r="G1433" s="836">
        <v>0</v>
      </c>
      <c r="H1433" s="836">
        <v>0</v>
      </c>
      <c r="I1433" s="836">
        <v>0</v>
      </c>
      <c r="J1433" s="836">
        <v>0</v>
      </c>
      <c r="K1433" s="836">
        <v>0</v>
      </c>
      <c r="L1433" s="836">
        <v>0</v>
      </c>
      <c r="M1433" s="836">
        <v>0</v>
      </c>
      <c r="N1433" s="836" t="s">
        <v>251</v>
      </c>
      <c r="O1433" s="836" t="s">
        <v>251</v>
      </c>
      <c r="P1433" s="1497">
        <f t="shared" si="118"/>
        <v>111500</v>
      </c>
      <c r="Q1433" s="1186">
        <f t="shared" si="119"/>
        <v>111500</v>
      </c>
      <c r="R1433" s="835"/>
      <c r="S1433" s="836"/>
      <c r="T1433" s="836"/>
      <c r="U1433" s="836"/>
      <c r="V1433" s="836">
        <v>1201000</v>
      </c>
      <c r="W1433" s="836">
        <v>0</v>
      </c>
      <c r="X1433" s="836">
        <v>0</v>
      </c>
      <c r="Y1433" s="836">
        <v>0</v>
      </c>
      <c r="Z1433" s="836"/>
      <c r="AA1433" s="836"/>
      <c r="AB1433" s="836"/>
      <c r="AC1433" s="836"/>
      <c r="AD1433" s="1186">
        <f t="shared" si="116"/>
        <v>1201000</v>
      </c>
      <c r="AE1433" s="637">
        <f t="shared" si="117"/>
        <v>9.7713004484304928</v>
      </c>
      <c r="AF1433" s="638">
        <f t="shared" si="115"/>
        <v>282</v>
      </c>
    </row>
    <row r="1434" spans="1:32" x14ac:dyDescent="0.3">
      <c r="A1434" s="381" t="s">
        <v>759</v>
      </c>
      <c r="B1434" s="1021" t="s">
        <v>887</v>
      </c>
      <c r="C1434" s="835"/>
      <c r="D1434" s="836">
        <v>0</v>
      </c>
      <c r="E1434" s="836"/>
      <c r="F1434" s="836">
        <v>0</v>
      </c>
      <c r="G1434" s="836">
        <v>111000</v>
      </c>
      <c r="H1434" s="836">
        <v>178000</v>
      </c>
      <c r="I1434" s="836">
        <v>11600</v>
      </c>
      <c r="J1434" s="836">
        <v>0</v>
      </c>
      <c r="K1434" s="836">
        <v>0</v>
      </c>
      <c r="L1434" s="836">
        <v>159800</v>
      </c>
      <c r="M1434" s="836">
        <v>410000</v>
      </c>
      <c r="N1434" s="836">
        <v>0</v>
      </c>
      <c r="O1434" s="836" t="s">
        <v>251</v>
      </c>
      <c r="P1434" s="1497">
        <f t="shared" si="118"/>
        <v>300600</v>
      </c>
      <c r="Q1434" s="1186">
        <f t="shared" si="119"/>
        <v>870400</v>
      </c>
      <c r="R1434" s="835"/>
      <c r="S1434" s="836"/>
      <c r="T1434" s="836"/>
      <c r="U1434" s="836"/>
      <c r="V1434" s="836"/>
      <c r="W1434" s="836"/>
      <c r="X1434" s="836"/>
      <c r="Y1434" s="836"/>
      <c r="Z1434" s="836"/>
      <c r="AA1434" s="836"/>
      <c r="AB1434" s="836"/>
      <c r="AC1434" s="836"/>
      <c r="AD1434" s="1186">
        <f t="shared" si="116"/>
        <v>0</v>
      </c>
      <c r="AE1434" s="637">
        <f t="shared" si="117"/>
        <v>-1</v>
      </c>
      <c r="AF1434" s="638">
        <f t="shared" si="115"/>
        <v>983</v>
      </c>
    </row>
    <row r="1435" spans="1:32" x14ac:dyDescent="0.3">
      <c r="A1435" s="381" t="s">
        <v>759</v>
      </c>
      <c r="B1435" s="1021" t="s">
        <v>774</v>
      </c>
      <c r="C1435" s="835"/>
      <c r="D1435" s="836">
        <v>0</v>
      </c>
      <c r="E1435" s="836"/>
      <c r="F1435" s="836">
        <v>53000</v>
      </c>
      <c r="G1435" s="836">
        <v>52000</v>
      </c>
      <c r="H1435" s="836">
        <v>0</v>
      </c>
      <c r="I1435" s="836">
        <v>23000</v>
      </c>
      <c r="J1435" s="836">
        <v>0</v>
      </c>
      <c r="K1435" s="836">
        <v>0</v>
      </c>
      <c r="L1435" s="836">
        <v>0</v>
      </c>
      <c r="M1435" s="836">
        <v>0</v>
      </c>
      <c r="N1435" s="836">
        <v>0</v>
      </c>
      <c r="O1435" s="836" t="s">
        <v>251</v>
      </c>
      <c r="P1435" s="1497">
        <f t="shared" si="118"/>
        <v>128000</v>
      </c>
      <c r="Q1435" s="1186">
        <f t="shared" si="119"/>
        <v>128000</v>
      </c>
      <c r="R1435" s="835"/>
      <c r="S1435" s="836">
        <v>23000</v>
      </c>
      <c r="T1435" s="836">
        <v>0</v>
      </c>
      <c r="U1435" s="836">
        <v>0</v>
      </c>
      <c r="V1435" s="836">
        <v>111000</v>
      </c>
      <c r="W1435" s="836">
        <v>26500</v>
      </c>
      <c r="X1435" s="836">
        <v>0</v>
      </c>
      <c r="Y1435" s="836">
        <v>0</v>
      </c>
      <c r="Z1435" s="836"/>
      <c r="AA1435" s="836"/>
      <c r="AB1435" s="836"/>
      <c r="AC1435" s="836"/>
      <c r="AD1435" s="1186">
        <f t="shared" si="116"/>
        <v>160500</v>
      </c>
      <c r="AE1435" s="637">
        <f t="shared" si="117"/>
        <v>0.25390625</v>
      </c>
      <c r="AF1435" s="638">
        <f t="shared" si="115"/>
        <v>659</v>
      </c>
    </row>
    <row r="1436" spans="1:32" x14ac:dyDescent="0.3">
      <c r="A1436" s="381" t="s">
        <v>759</v>
      </c>
      <c r="B1436" s="1021" t="s">
        <v>1543</v>
      </c>
      <c r="C1436" s="835"/>
      <c r="D1436" s="836">
        <v>105000</v>
      </c>
      <c r="E1436" s="836"/>
      <c r="F1436" s="836" t="s">
        <v>251</v>
      </c>
      <c r="G1436" s="836">
        <v>0</v>
      </c>
      <c r="H1436" s="836">
        <v>0</v>
      </c>
      <c r="I1436" s="836">
        <v>0</v>
      </c>
      <c r="J1436" s="836" t="s">
        <v>251</v>
      </c>
      <c r="K1436" s="836">
        <v>0</v>
      </c>
      <c r="L1436" s="836" t="s">
        <v>251</v>
      </c>
      <c r="M1436" s="836" t="s">
        <v>251</v>
      </c>
      <c r="N1436" s="836">
        <v>0</v>
      </c>
      <c r="O1436" s="836" t="s">
        <v>251</v>
      </c>
      <c r="P1436" s="1497">
        <f t="shared" si="118"/>
        <v>105000</v>
      </c>
      <c r="Q1436" s="1186">
        <f t="shared" si="119"/>
        <v>105000</v>
      </c>
      <c r="R1436" s="835"/>
      <c r="S1436" s="836"/>
      <c r="T1436" s="836"/>
      <c r="U1436" s="836"/>
      <c r="V1436" s="836"/>
      <c r="W1436" s="836"/>
      <c r="X1436" s="836"/>
      <c r="Y1436" s="836"/>
      <c r="Z1436" s="836"/>
      <c r="AA1436" s="836"/>
      <c r="AB1436" s="836"/>
      <c r="AC1436" s="836"/>
      <c r="AD1436" s="1186">
        <f t="shared" si="116"/>
        <v>0</v>
      </c>
      <c r="AE1436" s="637">
        <f t="shared" si="117"/>
        <v>-1</v>
      </c>
      <c r="AF1436" s="638">
        <f t="shared" si="115"/>
        <v>983</v>
      </c>
    </row>
    <row r="1437" spans="1:32" x14ac:dyDescent="0.3">
      <c r="A1437" s="381" t="s">
        <v>759</v>
      </c>
      <c r="B1437" s="1021" t="s">
        <v>1544</v>
      </c>
      <c r="C1437" s="835"/>
      <c r="D1437" s="836">
        <v>105000</v>
      </c>
      <c r="E1437" s="836"/>
      <c r="F1437" s="836" t="s">
        <v>251</v>
      </c>
      <c r="G1437" s="836">
        <v>0</v>
      </c>
      <c r="H1437" s="836">
        <v>0</v>
      </c>
      <c r="I1437" s="836">
        <v>0</v>
      </c>
      <c r="J1437" s="836" t="s">
        <v>251</v>
      </c>
      <c r="K1437" s="836">
        <v>0</v>
      </c>
      <c r="L1437" s="836" t="s">
        <v>251</v>
      </c>
      <c r="M1437" s="836" t="s">
        <v>251</v>
      </c>
      <c r="N1437" s="836">
        <v>0</v>
      </c>
      <c r="O1437" s="836" t="s">
        <v>251</v>
      </c>
      <c r="P1437" s="1497">
        <f t="shared" si="118"/>
        <v>105000</v>
      </c>
      <c r="Q1437" s="1186">
        <f t="shared" si="119"/>
        <v>105000</v>
      </c>
      <c r="R1437" s="835"/>
      <c r="S1437" s="836"/>
      <c r="T1437" s="836"/>
      <c r="U1437" s="836"/>
      <c r="V1437" s="836"/>
      <c r="W1437" s="836"/>
      <c r="X1437" s="836"/>
      <c r="Y1437" s="836"/>
      <c r="Z1437" s="836"/>
      <c r="AA1437" s="836"/>
      <c r="AB1437" s="836"/>
      <c r="AC1437" s="836"/>
      <c r="AD1437" s="1186">
        <f t="shared" si="116"/>
        <v>0</v>
      </c>
      <c r="AE1437" s="637">
        <f t="shared" si="117"/>
        <v>-1</v>
      </c>
      <c r="AF1437" s="638">
        <f t="shared" si="115"/>
        <v>983</v>
      </c>
    </row>
    <row r="1438" spans="1:32" x14ac:dyDescent="0.3">
      <c r="A1438" s="381" t="s">
        <v>759</v>
      </c>
      <c r="B1438" s="1021" t="s">
        <v>1545</v>
      </c>
      <c r="C1438" s="835"/>
      <c r="D1438" s="836">
        <v>104850</v>
      </c>
      <c r="E1438" s="836"/>
      <c r="F1438" s="836" t="s">
        <v>251</v>
      </c>
      <c r="G1438" s="836">
        <v>0</v>
      </c>
      <c r="H1438" s="836">
        <v>0</v>
      </c>
      <c r="I1438" s="836">
        <v>0</v>
      </c>
      <c r="J1438" s="836" t="s">
        <v>251</v>
      </c>
      <c r="K1438" s="836">
        <v>0</v>
      </c>
      <c r="L1438" s="836" t="s">
        <v>251</v>
      </c>
      <c r="M1438" s="836" t="s">
        <v>251</v>
      </c>
      <c r="N1438" s="836">
        <v>0</v>
      </c>
      <c r="O1438" s="836" t="s">
        <v>251</v>
      </c>
      <c r="P1438" s="1497">
        <f t="shared" si="118"/>
        <v>104850</v>
      </c>
      <c r="Q1438" s="1186">
        <f t="shared" si="119"/>
        <v>104850</v>
      </c>
      <c r="R1438" s="835"/>
      <c r="S1438" s="836"/>
      <c r="T1438" s="836"/>
      <c r="U1438" s="836"/>
      <c r="V1438" s="836"/>
      <c r="W1438" s="836"/>
      <c r="X1438" s="836"/>
      <c r="Y1438" s="836"/>
      <c r="Z1438" s="836"/>
      <c r="AA1438" s="836"/>
      <c r="AB1438" s="836"/>
      <c r="AC1438" s="836"/>
      <c r="AD1438" s="1186">
        <f t="shared" si="116"/>
        <v>0</v>
      </c>
      <c r="AE1438" s="637">
        <f t="shared" si="117"/>
        <v>-1</v>
      </c>
      <c r="AF1438" s="638">
        <f t="shared" si="115"/>
        <v>983</v>
      </c>
    </row>
    <row r="1439" spans="1:32" x14ac:dyDescent="0.3">
      <c r="A1439" s="381" t="s">
        <v>759</v>
      </c>
      <c r="B1439" s="1021" t="s">
        <v>1546</v>
      </c>
      <c r="C1439" s="835">
        <v>104000</v>
      </c>
      <c r="D1439" s="836">
        <v>0</v>
      </c>
      <c r="E1439" s="836"/>
      <c r="F1439" s="836">
        <v>0</v>
      </c>
      <c r="G1439" s="836">
        <v>0</v>
      </c>
      <c r="H1439" s="836">
        <v>234000</v>
      </c>
      <c r="I1439" s="836">
        <v>123000</v>
      </c>
      <c r="J1439" s="836">
        <v>0</v>
      </c>
      <c r="K1439" s="836">
        <v>0</v>
      </c>
      <c r="L1439" s="836">
        <v>63000</v>
      </c>
      <c r="M1439" s="836">
        <v>0</v>
      </c>
      <c r="N1439" s="836">
        <v>0</v>
      </c>
      <c r="O1439" s="836">
        <v>60000</v>
      </c>
      <c r="P1439" s="1497">
        <f t="shared" si="118"/>
        <v>461000</v>
      </c>
      <c r="Q1439" s="1186">
        <f t="shared" si="119"/>
        <v>584000</v>
      </c>
      <c r="R1439" s="835"/>
      <c r="S1439" s="836"/>
      <c r="T1439" s="836">
        <v>156000</v>
      </c>
      <c r="U1439" s="836">
        <v>0</v>
      </c>
      <c r="V1439" s="836">
        <v>0</v>
      </c>
      <c r="W1439" s="836">
        <v>0</v>
      </c>
      <c r="X1439" s="836">
        <v>408000</v>
      </c>
      <c r="Y1439" s="836">
        <v>0</v>
      </c>
      <c r="Z1439" s="836"/>
      <c r="AA1439" s="836"/>
      <c r="AB1439" s="836"/>
      <c r="AC1439" s="836"/>
      <c r="AD1439" s="1186">
        <f t="shared" si="116"/>
        <v>564000</v>
      </c>
      <c r="AE1439" s="637">
        <f t="shared" si="117"/>
        <v>0.22342733188720174</v>
      </c>
      <c r="AF1439" s="638">
        <f t="shared" si="115"/>
        <v>416</v>
      </c>
    </row>
    <row r="1440" spans="1:32" x14ac:dyDescent="0.3">
      <c r="A1440" s="381" t="s">
        <v>759</v>
      </c>
      <c r="B1440" s="1021" t="s">
        <v>1547</v>
      </c>
      <c r="C1440" s="835"/>
      <c r="D1440" s="836">
        <v>0</v>
      </c>
      <c r="E1440" s="836">
        <v>103400</v>
      </c>
      <c r="F1440" s="836">
        <v>0</v>
      </c>
      <c r="G1440" s="836">
        <v>0</v>
      </c>
      <c r="H1440" s="836">
        <v>0</v>
      </c>
      <c r="I1440" s="836">
        <v>0</v>
      </c>
      <c r="J1440" s="836">
        <v>0</v>
      </c>
      <c r="K1440" s="836">
        <v>0</v>
      </c>
      <c r="L1440" s="836">
        <v>0</v>
      </c>
      <c r="M1440" s="836">
        <v>222950</v>
      </c>
      <c r="N1440" s="836">
        <v>0</v>
      </c>
      <c r="O1440" s="836" t="s">
        <v>251</v>
      </c>
      <c r="P1440" s="1497">
        <f t="shared" si="118"/>
        <v>103400</v>
      </c>
      <c r="Q1440" s="1186">
        <f t="shared" si="119"/>
        <v>326350</v>
      </c>
      <c r="R1440" s="835">
        <v>297600</v>
      </c>
      <c r="S1440" s="836"/>
      <c r="T1440" s="836">
        <v>40000</v>
      </c>
      <c r="U1440" s="836">
        <v>0</v>
      </c>
      <c r="V1440" s="836">
        <v>0</v>
      </c>
      <c r="W1440" s="836">
        <v>0</v>
      </c>
      <c r="X1440" s="836">
        <v>99200</v>
      </c>
      <c r="Y1440" s="836">
        <v>0</v>
      </c>
      <c r="Z1440" s="836"/>
      <c r="AA1440" s="836"/>
      <c r="AB1440" s="836"/>
      <c r="AC1440" s="836"/>
      <c r="AD1440" s="1186">
        <f t="shared" si="116"/>
        <v>436800</v>
      </c>
      <c r="AE1440" s="637">
        <f t="shared" si="117"/>
        <v>3.2243713733075436</v>
      </c>
      <c r="AF1440" s="638">
        <f t="shared" si="115"/>
        <v>467</v>
      </c>
    </row>
    <row r="1441" spans="1:32" x14ac:dyDescent="0.3">
      <c r="A1441" s="381" t="s">
        <v>759</v>
      </c>
      <c r="B1441" s="1021" t="s">
        <v>1384</v>
      </c>
      <c r="C1441" s="835"/>
      <c r="D1441" s="836">
        <v>0</v>
      </c>
      <c r="E1441" s="836">
        <v>97000</v>
      </c>
      <c r="F1441" s="836">
        <v>0</v>
      </c>
      <c r="G1441" s="836">
        <v>0</v>
      </c>
      <c r="H1441" s="836">
        <v>365000</v>
      </c>
      <c r="I1441" s="836">
        <v>0</v>
      </c>
      <c r="J1441" s="836">
        <v>0</v>
      </c>
      <c r="K1441" s="836">
        <v>0</v>
      </c>
      <c r="L1441" s="836">
        <v>0</v>
      </c>
      <c r="M1441" s="836">
        <v>0</v>
      </c>
      <c r="N1441" s="836">
        <v>421000</v>
      </c>
      <c r="O1441" s="836">
        <v>11000</v>
      </c>
      <c r="P1441" s="1497">
        <f t="shared" si="118"/>
        <v>462000</v>
      </c>
      <c r="Q1441" s="1186">
        <f t="shared" si="119"/>
        <v>894000</v>
      </c>
      <c r="R1441" s="835"/>
      <c r="S1441" s="836"/>
      <c r="T1441" s="836"/>
      <c r="U1441" s="836"/>
      <c r="V1441" s="836"/>
      <c r="W1441" s="836"/>
      <c r="X1441" s="836"/>
      <c r="Y1441" s="836"/>
      <c r="Z1441" s="836"/>
      <c r="AA1441" s="836"/>
      <c r="AB1441" s="836"/>
      <c r="AC1441" s="836"/>
      <c r="AD1441" s="1186">
        <f t="shared" si="116"/>
        <v>0</v>
      </c>
      <c r="AE1441" s="637">
        <f t="shared" si="117"/>
        <v>-1</v>
      </c>
      <c r="AF1441" s="638">
        <f t="shared" si="115"/>
        <v>983</v>
      </c>
    </row>
    <row r="1442" spans="1:32" x14ac:dyDescent="0.3">
      <c r="A1442" s="381" t="s">
        <v>759</v>
      </c>
      <c r="B1442" s="1021" t="s">
        <v>1548</v>
      </c>
      <c r="C1442" s="835"/>
      <c r="D1442" s="836">
        <v>0</v>
      </c>
      <c r="E1442" s="836"/>
      <c r="F1442" s="836">
        <v>46000</v>
      </c>
      <c r="G1442" s="836">
        <v>71800</v>
      </c>
      <c r="H1442" s="836">
        <v>150000</v>
      </c>
      <c r="I1442" s="836">
        <v>196450</v>
      </c>
      <c r="J1442" s="836">
        <v>351940</v>
      </c>
      <c r="K1442" s="836">
        <v>351940</v>
      </c>
      <c r="L1442" s="836">
        <v>0</v>
      </c>
      <c r="M1442" s="836">
        <v>0</v>
      </c>
      <c r="N1442" s="836">
        <v>0</v>
      </c>
      <c r="O1442" s="836" t="s">
        <v>251</v>
      </c>
      <c r="P1442" s="1497">
        <f t="shared" si="118"/>
        <v>816190</v>
      </c>
      <c r="Q1442" s="1186">
        <f t="shared" si="119"/>
        <v>816190</v>
      </c>
      <c r="R1442" s="835">
        <v>22000</v>
      </c>
      <c r="S1442" s="836"/>
      <c r="T1442" s="836">
        <v>0</v>
      </c>
      <c r="U1442" s="836">
        <v>0</v>
      </c>
      <c r="V1442" s="836">
        <v>0</v>
      </c>
      <c r="W1442" s="836">
        <v>0</v>
      </c>
      <c r="X1442" s="836">
        <v>0</v>
      </c>
      <c r="Y1442" s="836">
        <v>0</v>
      </c>
      <c r="Z1442" s="836"/>
      <c r="AA1442" s="836"/>
      <c r="AB1442" s="836"/>
      <c r="AC1442" s="836"/>
      <c r="AD1442" s="1186">
        <f t="shared" si="116"/>
        <v>22000</v>
      </c>
      <c r="AE1442" s="637">
        <f t="shared" si="117"/>
        <v>-0.9730454918585133</v>
      </c>
      <c r="AF1442" s="638">
        <f t="shared" si="115"/>
        <v>916</v>
      </c>
    </row>
    <row r="1443" spans="1:32" x14ac:dyDescent="0.3">
      <c r="A1443" s="381" t="s">
        <v>759</v>
      </c>
      <c r="B1443" s="1021" t="s">
        <v>1549</v>
      </c>
      <c r="C1443" s="835">
        <v>65000</v>
      </c>
      <c r="D1443" s="836">
        <v>15000</v>
      </c>
      <c r="E1443" s="836">
        <v>15000</v>
      </c>
      <c r="F1443" s="836">
        <v>0</v>
      </c>
      <c r="G1443" s="836">
        <v>0</v>
      </c>
      <c r="H1443" s="836">
        <v>0</v>
      </c>
      <c r="I1443" s="836">
        <v>9000</v>
      </c>
      <c r="J1443" s="836">
        <v>0</v>
      </c>
      <c r="K1443" s="836">
        <v>0</v>
      </c>
      <c r="L1443" s="836">
        <v>0</v>
      </c>
      <c r="M1443" s="836">
        <v>0</v>
      </c>
      <c r="N1443" s="836">
        <v>0</v>
      </c>
      <c r="O1443" s="836" t="s">
        <v>251</v>
      </c>
      <c r="P1443" s="1497">
        <f t="shared" si="118"/>
        <v>104000</v>
      </c>
      <c r="Q1443" s="1186">
        <f t="shared" si="119"/>
        <v>104000</v>
      </c>
      <c r="R1443" s="835">
        <v>33000</v>
      </c>
      <c r="S1443" s="836">
        <v>22000</v>
      </c>
      <c r="T1443" s="836">
        <v>0</v>
      </c>
      <c r="U1443" s="836">
        <v>0</v>
      </c>
      <c r="V1443" s="836">
        <v>0</v>
      </c>
      <c r="W1443" s="836">
        <v>0</v>
      </c>
      <c r="X1443" s="836">
        <v>0</v>
      </c>
      <c r="Y1443" s="836">
        <v>0</v>
      </c>
      <c r="Z1443" s="836"/>
      <c r="AA1443" s="836"/>
      <c r="AB1443" s="836"/>
      <c r="AC1443" s="836"/>
      <c r="AD1443" s="1186">
        <f t="shared" si="116"/>
        <v>55000</v>
      </c>
      <c r="AE1443" s="637">
        <f t="shared" si="117"/>
        <v>-0.47115384615384615</v>
      </c>
      <c r="AF1443" s="638">
        <f t="shared" si="115"/>
        <v>828</v>
      </c>
    </row>
    <row r="1444" spans="1:32" x14ac:dyDescent="0.3">
      <c r="A1444" s="381" t="s">
        <v>759</v>
      </c>
      <c r="B1444" s="1021" t="s">
        <v>1550</v>
      </c>
      <c r="C1444" s="835"/>
      <c r="D1444" s="836">
        <v>0</v>
      </c>
      <c r="E1444" s="836"/>
      <c r="F1444" s="836">
        <v>0</v>
      </c>
      <c r="G1444" s="836">
        <v>95000</v>
      </c>
      <c r="H1444" s="836">
        <v>0</v>
      </c>
      <c r="I1444" s="836">
        <v>0</v>
      </c>
      <c r="J1444" s="836">
        <v>0</v>
      </c>
      <c r="K1444" s="836">
        <v>0</v>
      </c>
      <c r="L1444" s="836">
        <v>0</v>
      </c>
      <c r="M1444" s="836">
        <v>0</v>
      </c>
      <c r="N1444" s="836">
        <v>0</v>
      </c>
      <c r="O1444" s="836">
        <v>40000</v>
      </c>
      <c r="P1444" s="1497">
        <f t="shared" si="118"/>
        <v>95000</v>
      </c>
      <c r="Q1444" s="1186">
        <f t="shared" si="119"/>
        <v>135000</v>
      </c>
      <c r="R1444" s="835"/>
      <c r="S1444" s="836"/>
      <c r="T1444" s="836"/>
      <c r="U1444" s="836"/>
      <c r="V1444" s="836"/>
      <c r="W1444" s="836"/>
      <c r="X1444" s="836"/>
      <c r="Y1444" s="836"/>
      <c r="Z1444" s="836"/>
      <c r="AA1444" s="836"/>
      <c r="AB1444" s="836"/>
      <c r="AC1444" s="836"/>
      <c r="AD1444" s="1186">
        <f t="shared" si="116"/>
        <v>0</v>
      </c>
      <c r="AE1444" s="637">
        <f t="shared" si="117"/>
        <v>-1</v>
      </c>
      <c r="AF1444" s="638">
        <f t="shared" si="115"/>
        <v>983</v>
      </c>
    </row>
    <row r="1445" spans="1:32" x14ac:dyDescent="0.3">
      <c r="A1445" s="381" t="s">
        <v>759</v>
      </c>
      <c r="B1445" s="1021" t="s">
        <v>1551</v>
      </c>
      <c r="C1445" s="835"/>
      <c r="D1445" s="836">
        <v>35000</v>
      </c>
      <c r="E1445" s="836">
        <v>55000</v>
      </c>
      <c r="F1445" s="836">
        <v>0</v>
      </c>
      <c r="G1445" s="836">
        <v>0</v>
      </c>
      <c r="H1445" s="836">
        <v>0</v>
      </c>
      <c r="I1445" s="836">
        <v>0</v>
      </c>
      <c r="J1445" s="836">
        <v>0</v>
      </c>
      <c r="K1445" s="836">
        <v>0</v>
      </c>
      <c r="L1445" s="836">
        <v>0</v>
      </c>
      <c r="M1445" s="836">
        <v>0</v>
      </c>
      <c r="N1445" s="836">
        <v>0</v>
      </c>
      <c r="O1445" s="836" t="s">
        <v>251</v>
      </c>
      <c r="P1445" s="1497">
        <f t="shared" si="118"/>
        <v>90000</v>
      </c>
      <c r="Q1445" s="1186">
        <f t="shared" si="119"/>
        <v>90000</v>
      </c>
      <c r="R1445" s="835"/>
      <c r="S1445" s="836"/>
      <c r="T1445" s="836"/>
      <c r="U1445" s="836"/>
      <c r="V1445" s="836"/>
      <c r="W1445" s="836"/>
      <c r="X1445" s="836"/>
      <c r="Y1445" s="836"/>
      <c r="Z1445" s="836"/>
      <c r="AA1445" s="836"/>
      <c r="AB1445" s="836"/>
      <c r="AC1445" s="836"/>
      <c r="AD1445" s="1186">
        <f t="shared" si="116"/>
        <v>0</v>
      </c>
      <c r="AE1445" s="637">
        <f t="shared" si="117"/>
        <v>-1</v>
      </c>
      <c r="AF1445" s="638">
        <f t="shared" si="115"/>
        <v>983</v>
      </c>
    </row>
    <row r="1446" spans="1:32" x14ac:dyDescent="0.3">
      <c r="A1446" s="381" t="s">
        <v>759</v>
      </c>
      <c r="B1446" s="1021" t="s">
        <v>1552</v>
      </c>
      <c r="C1446" s="835">
        <v>60000</v>
      </c>
      <c r="D1446" s="836">
        <v>30000</v>
      </c>
      <c r="E1446" s="836"/>
      <c r="F1446" s="836">
        <v>0</v>
      </c>
      <c r="G1446" s="836">
        <v>0</v>
      </c>
      <c r="H1446" s="836">
        <v>0</v>
      </c>
      <c r="I1446" s="836">
        <v>0</v>
      </c>
      <c r="J1446" s="836">
        <v>0</v>
      </c>
      <c r="K1446" s="836">
        <v>0</v>
      </c>
      <c r="L1446" s="836">
        <v>0</v>
      </c>
      <c r="M1446" s="836">
        <v>0</v>
      </c>
      <c r="N1446" s="836">
        <v>0</v>
      </c>
      <c r="O1446" s="836" t="s">
        <v>251</v>
      </c>
      <c r="P1446" s="1497">
        <f t="shared" si="118"/>
        <v>90000</v>
      </c>
      <c r="Q1446" s="1186">
        <f t="shared" si="119"/>
        <v>90000</v>
      </c>
      <c r="R1446" s="835"/>
      <c r="S1446" s="836"/>
      <c r="T1446" s="836"/>
      <c r="U1446" s="836"/>
      <c r="V1446" s="836"/>
      <c r="W1446" s="836"/>
      <c r="X1446" s="836"/>
      <c r="Y1446" s="836"/>
      <c r="Z1446" s="836"/>
      <c r="AA1446" s="836"/>
      <c r="AB1446" s="836"/>
      <c r="AC1446" s="836"/>
      <c r="AD1446" s="1186">
        <f t="shared" si="116"/>
        <v>0</v>
      </c>
      <c r="AE1446" s="637">
        <f t="shared" si="117"/>
        <v>-1</v>
      </c>
      <c r="AF1446" s="638">
        <f t="shared" si="115"/>
        <v>983</v>
      </c>
    </row>
    <row r="1447" spans="1:32" x14ac:dyDescent="0.3">
      <c r="A1447" s="381" t="s">
        <v>759</v>
      </c>
      <c r="B1447" s="1021" t="s">
        <v>2494</v>
      </c>
      <c r="C1447" s="835"/>
      <c r="D1447" s="836">
        <v>0</v>
      </c>
      <c r="E1447" s="836">
        <v>85000</v>
      </c>
      <c r="F1447" s="836">
        <v>0</v>
      </c>
      <c r="G1447" s="836">
        <v>0</v>
      </c>
      <c r="H1447" s="836">
        <v>0</v>
      </c>
      <c r="I1447" s="836">
        <v>0</v>
      </c>
      <c r="J1447" s="836">
        <v>0</v>
      </c>
      <c r="K1447" s="836">
        <v>0</v>
      </c>
      <c r="L1447" s="836">
        <v>0</v>
      </c>
      <c r="M1447" s="836">
        <v>0</v>
      </c>
      <c r="N1447" s="836">
        <v>0</v>
      </c>
      <c r="O1447" s="836" t="s">
        <v>251</v>
      </c>
      <c r="P1447" s="1497">
        <f t="shared" si="118"/>
        <v>85000</v>
      </c>
      <c r="Q1447" s="1186">
        <f t="shared" si="119"/>
        <v>85000</v>
      </c>
      <c r="R1447" s="835"/>
      <c r="S1447" s="836"/>
      <c r="T1447" s="836"/>
      <c r="U1447" s="836"/>
      <c r="V1447" s="836"/>
      <c r="W1447" s="836"/>
      <c r="X1447" s="836"/>
      <c r="Y1447" s="836"/>
      <c r="Z1447" s="836"/>
      <c r="AA1447" s="836"/>
      <c r="AB1447" s="836"/>
      <c r="AC1447" s="836"/>
      <c r="AD1447" s="1186">
        <f t="shared" si="116"/>
        <v>0</v>
      </c>
      <c r="AE1447" s="637">
        <f t="shared" si="117"/>
        <v>-1</v>
      </c>
      <c r="AF1447" s="638">
        <f t="shared" si="115"/>
        <v>983</v>
      </c>
    </row>
    <row r="1448" spans="1:32" x14ac:dyDescent="0.3">
      <c r="A1448" s="381" t="s">
        <v>759</v>
      </c>
      <c r="B1448" s="1021" t="s">
        <v>1554</v>
      </c>
      <c r="C1448" s="835"/>
      <c r="D1448" s="836">
        <v>0</v>
      </c>
      <c r="E1448" s="836">
        <v>83000</v>
      </c>
      <c r="F1448" s="836">
        <v>0</v>
      </c>
      <c r="G1448" s="836">
        <v>0</v>
      </c>
      <c r="H1448" s="836">
        <v>0</v>
      </c>
      <c r="I1448" s="836">
        <v>0</v>
      </c>
      <c r="J1448" s="836">
        <v>0</v>
      </c>
      <c r="K1448" s="836">
        <v>0</v>
      </c>
      <c r="L1448" s="836">
        <v>0</v>
      </c>
      <c r="M1448" s="836">
        <v>0</v>
      </c>
      <c r="N1448" s="836">
        <v>0</v>
      </c>
      <c r="O1448" s="836" t="s">
        <v>251</v>
      </c>
      <c r="P1448" s="1497">
        <f t="shared" si="118"/>
        <v>83000</v>
      </c>
      <c r="Q1448" s="1186">
        <f t="shared" si="119"/>
        <v>83000</v>
      </c>
      <c r="R1448" s="835"/>
      <c r="S1448" s="836"/>
      <c r="T1448" s="836"/>
      <c r="U1448" s="836"/>
      <c r="V1448" s="836"/>
      <c r="W1448" s="836"/>
      <c r="X1448" s="836"/>
      <c r="Y1448" s="836"/>
      <c r="Z1448" s="836"/>
      <c r="AA1448" s="836"/>
      <c r="AB1448" s="836"/>
      <c r="AC1448" s="836"/>
      <c r="AD1448" s="1186">
        <f t="shared" si="116"/>
        <v>0</v>
      </c>
      <c r="AE1448" s="637">
        <f t="shared" si="117"/>
        <v>-1</v>
      </c>
      <c r="AF1448" s="638">
        <f t="shared" si="115"/>
        <v>983</v>
      </c>
    </row>
    <row r="1449" spans="1:32" x14ac:dyDescent="0.3">
      <c r="A1449" s="381" t="s">
        <v>759</v>
      </c>
      <c r="B1449" s="1021" t="s">
        <v>1555</v>
      </c>
      <c r="C1449" s="835"/>
      <c r="D1449" s="836">
        <v>0</v>
      </c>
      <c r="E1449" s="836"/>
      <c r="F1449" s="836">
        <v>70000</v>
      </c>
      <c r="G1449" s="836">
        <v>10000</v>
      </c>
      <c r="H1449" s="836">
        <v>0</v>
      </c>
      <c r="I1449" s="836">
        <v>0</v>
      </c>
      <c r="J1449" s="836">
        <v>0</v>
      </c>
      <c r="K1449" s="836">
        <v>0</v>
      </c>
      <c r="L1449" s="836">
        <v>0</v>
      </c>
      <c r="M1449" s="836">
        <v>0</v>
      </c>
      <c r="N1449" s="836">
        <v>0</v>
      </c>
      <c r="O1449" s="836" t="s">
        <v>251</v>
      </c>
      <c r="P1449" s="1497">
        <f t="shared" si="118"/>
        <v>80000</v>
      </c>
      <c r="Q1449" s="1186">
        <f t="shared" si="119"/>
        <v>80000</v>
      </c>
      <c r="R1449" s="835"/>
      <c r="S1449" s="836"/>
      <c r="T1449" s="836"/>
      <c r="U1449" s="836"/>
      <c r="V1449" s="836"/>
      <c r="W1449" s="836"/>
      <c r="X1449" s="836"/>
      <c r="Y1449" s="836"/>
      <c r="Z1449" s="836"/>
      <c r="AA1449" s="836"/>
      <c r="AB1449" s="836"/>
      <c r="AC1449" s="836"/>
      <c r="AD1449" s="1186">
        <f t="shared" si="116"/>
        <v>0</v>
      </c>
      <c r="AE1449" s="637">
        <f t="shared" si="117"/>
        <v>-1</v>
      </c>
      <c r="AF1449" s="638">
        <f t="shared" si="115"/>
        <v>983</v>
      </c>
    </row>
    <row r="1450" spans="1:32" x14ac:dyDescent="0.3">
      <c r="A1450" s="381" t="s">
        <v>759</v>
      </c>
      <c r="B1450" s="1021" t="s">
        <v>1391</v>
      </c>
      <c r="C1450" s="835">
        <v>24000</v>
      </c>
      <c r="D1450" s="836">
        <v>16000</v>
      </c>
      <c r="E1450" s="836">
        <v>20000</v>
      </c>
      <c r="F1450" s="836">
        <v>14000</v>
      </c>
      <c r="G1450" s="836">
        <v>0</v>
      </c>
      <c r="H1450" s="836">
        <v>14000</v>
      </c>
      <c r="I1450" s="836">
        <v>11000</v>
      </c>
      <c r="J1450" s="836">
        <v>0</v>
      </c>
      <c r="K1450" s="836">
        <v>0</v>
      </c>
      <c r="L1450" s="836">
        <v>0</v>
      </c>
      <c r="M1450" s="836">
        <v>0</v>
      </c>
      <c r="N1450" s="836">
        <v>0</v>
      </c>
      <c r="O1450" s="836">
        <v>122500</v>
      </c>
      <c r="P1450" s="1497">
        <f t="shared" si="118"/>
        <v>99000</v>
      </c>
      <c r="Q1450" s="1186">
        <f t="shared" si="119"/>
        <v>221500</v>
      </c>
      <c r="R1450" s="835"/>
      <c r="S1450" s="836"/>
      <c r="T1450" s="836"/>
      <c r="U1450" s="836"/>
      <c r="V1450" s="836"/>
      <c r="W1450" s="836">
        <v>11000</v>
      </c>
      <c r="X1450" s="836">
        <v>0</v>
      </c>
      <c r="Y1450" s="836">
        <v>0</v>
      </c>
      <c r="Z1450" s="836"/>
      <c r="AA1450" s="836"/>
      <c r="AB1450" s="836"/>
      <c r="AC1450" s="836"/>
      <c r="AD1450" s="1186">
        <f t="shared" si="116"/>
        <v>11000</v>
      </c>
      <c r="AE1450" s="637">
        <f t="shared" si="117"/>
        <v>-0.88888888888888884</v>
      </c>
      <c r="AF1450" s="638">
        <f t="shared" si="115"/>
        <v>950</v>
      </c>
    </row>
    <row r="1451" spans="1:32" x14ac:dyDescent="0.3">
      <c r="A1451" s="381" t="s">
        <v>759</v>
      </c>
      <c r="B1451" s="1021" t="s">
        <v>1556</v>
      </c>
      <c r="C1451" s="835"/>
      <c r="D1451" s="836">
        <v>20000</v>
      </c>
      <c r="E1451" s="836">
        <v>51500</v>
      </c>
      <c r="F1451" s="836">
        <v>0</v>
      </c>
      <c r="G1451" s="836">
        <v>0</v>
      </c>
      <c r="H1451" s="836">
        <v>417000</v>
      </c>
      <c r="I1451" s="836">
        <v>0</v>
      </c>
      <c r="J1451" s="836">
        <v>0</v>
      </c>
      <c r="K1451" s="836">
        <v>0</v>
      </c>
      <c r="L1451" s="836">
        <v>0</v>
      </c>
      <c r="M1451" s="836">
        <v>0</v>
      </c>
      <c r="N1451" s="836">
        <v>0</v>
      </c>
      <c r="O1451" s="836">
        <v>104000</v>
      </c>
      <c r="P1451" s="1497">
        <f t="shared" si="118"/>
        <v>488500</v>
      </c>
      <c r="Q1451" s="1186">
        <f t="shared" si="119"/>
        <v>592500</v>
      </c>
      <c r="R1451" s="835">
        <v>355000</v>
      </c>
      <c r="S1451" s="836">
        <v>55000</v>
      </c>
      <c r="T1451" s="836">
        <v>0</v>
      </c>
      <c r="U1451" s="836">
        <v>0</v>
      </c>
      <c r="V1451" s="836">
        <v>0</v>
      </c>
      <c r="W1451" s="836">
        <v>0</v>
      </c>
      <c r="X1451" s="836">
        <v>0</v>
      </c>
      <c r="Y1451" s="836">
        <v>0</v>
      </c>
      <c r="Z1451" s="836"/>
      <c r="AA1451" s="836"/>
      <c r="AB1451" s="836"/>
      <c r="AC1451" s="836"/>
      <c r="AD1451" s="1186">
        <f t="shared" si="116"/>
        <v>410000</v>
      </c>
      <c r="AE1451" s="637">
        <f t="shared" si="117"/>
        <v>-0.16069600818833163</v>
      </c>
      <c r="AF1451" s="638">
        <f t="shared" si="115"/>
        <v>476</v>
      </c>
    </row>
    <row r="1452" spans="1:32" x14ac:dyDescent="0.3">
      <c r="A1452" s="381" t="s">
        <v>759</v>
      </c>
      <c r="B1452" s="1021" t="s">
        <v>1335</v>
      </c>
      <c r="C1452" s="835"/>
      <c r="D1452" s="836">
        <v>71000</v>
      </c>
      <c r="E1452" s="836"/>
      <c r="F1452" s="836">
        <v>0</v>
      </c>
      <c r="G1452" s="836">
        <v>0</v>
      </c>
      <c r="H1452" s="836">
        <v>0</v>
      </c>
      <c r="I1452" s="836">
        <v>0</v>
      </c>
      <c r="J1452" s="836">
        <v>0</v>
      </c>
      <c r="K1452" s="836">
        <v>0</v>
      </c>
      <c r="L1452" s="836">
        <v>0</v>
      </c>
      <c r="M1452" s="836">
        <v>0</v>
      </c>
      <c r="N1452" s="836">
        <v>0</v>
      </c>
      <c r="O1452" s="836" t="s">
        <v>251</v>
      </c>
      <c r="P1452" s="1497">
        <f t="shared" si="118"/>
        <v>71000</v>
      </c>
      <c r="Q1452" s="1186">
        <f t="shared" si="119"/>
        <v>71000</v>
      </c>
      <c r="R1452" s="835"/>
      <c r="S1452" s="836"/>
      <c r="T1452" s="836"/>
      <c r="U1452" s="836"/>
      <c r="V1452" s="836"/>
      <c r="W1452" s="836"/>
      <c r="X1452" s="836"/>
      <c r="Y1452" s="836"/>
      <c r="Z1452" s="836"/>
      <c r="AA1452" s="836"/>
      <c r="AB1452" s="836"/>
      <c r="AC1452" s="836"/>
      <c r="AD1452" s="1186">
        <f t="shared" si="116"/>
        <v>0</v>
      </c>
      <c r="AE1452" s="637">
        <f t="shared" si="117"/>
        <v>-1</v>
      </c>
      <c r="AF1452" s="638">
        <f t="shared" si="115"/>
        <v>983</v>
      </c>
    </row>
    <row r="1453" spans="1:32" x14ac:dyDescent="0.3">
      <c r="A1453" s="381" t="s">
        <v>759</v>
      </c>
      <c r="B1453" s="1021" t="s">
        <v>1557</v>
      </c>
      <c r="C1453" s="835">
        <v>46000</v>
      </c>
      <c r="D1453" s="836">
        <v>0</v>
      </c>
      <c r="E1453" s="836">
        <v>23000</v>
      </c>
      <c r="F1453" s="836">
        <v>0</v>
      </c>
      <c r="G1453" s="836">
        <v>0</v>
      </c>
      <c r="H1453" s="836">
        <v>0</v>
      </c>
      <c r="I1453" s="836">
        <v>0</v>
      </c>
      <c r="J1453" s="836">
        <v>0</v>
      </c>
      <c r="K1453" s="836">
        <v>0</v>
      </c>
      <c r="L1453" s="836">
        <v>27500</v>
      </c>
      <c r="M1453" s="836">
        <v>0</v>
      </c>
      <c r="N1453" s="836">
        <v>0</v>
      </c>
      <c r="O1453" s="836" t="s">
        <v>251</v>
      </c>
      <c r="P1453" s="1497">
        <f t="shared" si="118"/>
        <v>69000</v>
      </c>
      <c r="Q1453" s="1186">
        <f t="shared" si="119"/>
        <v>96500</v>
      </c>
      <c r="R1453" s="835"/>
      <c r="S1453" s="836"/>
      <c r="T1453" s="836"/>
      <c r="U1453" s="836"/>
      <c r="V1453" s="836"/>
      <c r="W1453" s="836">
        <v>46000</v>
      </c>
      <c r="X1453" s="836">
        <v>0</v>
      </c>
      <c r="Y1453" s="836">
        <v>0</v>
      </c>
      <c r="Z1453" s="836"/>
      <c r="AA1453" s="836"/>
      <c r="AB1453" s="836"/>
      <c r="AC1453" s="836"/>
      <c r="AD1453" s="1186">
        <f t="shared" si="116"/>
        <v>46000</v>
      </c>
      <c r="AE1453" s="637">
        <f t="shared" si="117"/>
        <v>-0.33333333333333331</v>
      </c>
      <c r="AF1453" s="638">
        <f t="shared" si="115"/>
        <v>855</v>
      </c>
    </row>
    <row r="1454" spans="1:32" x14ac:dyDescent="0.3">
      <c r="A1454" s="381" t="s">
        <v>759</v>
      </c>
      <c r="B1454" s="1021" t="s">
        <v>888</v>
      </c>
      <c r="C1454" s="835"/>
      <c r="D1454" s="836">
        <v>0</v>
      </c>
      <c r="E1454" s="836">
        <v>68000</v>
      </c>
      <c r="F1454" s="836">
        <v>0</v>
      </c>
      <c r="G1454" s="836">
        <v>0</v>
      </c>
      <c r="H1454" s="836">
        <v>0</v>
      </c>
      <c r="I1454" s="836">
        <v>22000</v>
      </c>
      <c r="J1454" s="836">
        <v>0</v>
      </c>
      <c r="K1454" s="836">
        <v>0</v>
      </c>
      <c r="L1454" s="836">
        <v>0</v>
      </c>
      <c r="M1454" s="836">
        <v>0</v>
      </c>
      <c r="N1454" s="836">
        <v>5000</v>
      </c>
      <c r="O1454" s="836" t="s">
        <v>251</v>
      </c>
      <c r="P1454" s="1497">
        <f t="shared" si="118"/>
        <v>90000</v>
      </c>
      <c r="Q1454" s="1186">
        <f t="shared" si="119"/>
        <v>95000</v>
      </c>
      <c r="R1454" s="835"/>
      <c r="S1454" s="836"/>
      <c r="T1454" s="836">
        <v>150000</v>
      </c>
      <c r="U1454" s="836">
        <v>0</v>
      </c>
      <c r="V1454" s="836">
        <v>0</v>
      </c>
      <c r="W1454" s="836">
        <v>0</v>
      </c>
      <c r="X1454" s="836">
        <v>0</v>
      </c>
      <c r="Y1454" s="836">
        <v>0</v>
      </c>
      <c r="Z1454" s="836"/>
      <c r="AA1454" s="836"/>
      <c r="AB1454" s="836"/>
      <c r="AC1454" s="836"/>
      <c r="AD1454" s="1186">
        <f t="shared" si="116"/>
        <v>150000</v>
      </c>
      <c r="AE1454" s="637">
        <f t="shared" si="117"/>
        <v>0.66666666666666663</v>
      </c>
      <c r="AF1454" s="638">
        <f t="shared" si="115"/>
        <v>675</v>
      </c>
    </row>
    <row r="1455" spans="1:32" x14ac:dyDescent="0.3">
      <c r="A1455" s="381" t="s">
        <v>759</v>
      </c>
      <c r="B1455" s="1021" t="s">
        <v>1558</v>
      </c>
      <c r="C1455" s="835"/>
      <c r="D1455" s="836">
        <v>0</v>
      </c>
      <c r="E1455" s="836">
        <v>50000</v>
      </c>
      <c r="F1455" s="836">
        <v>0</v>
      </c>
      <c r="G1455" s="836">
        <v>17000</v>
      </c>
      <c r="H1455" s="836">
        <v>481700</v>
      </c>
      <c r="I1455" s="836">
        <v>0</v>
      </c>
      <c r="J1455" s="836">
        <v>173400</v>
      </c>
      <c r="K1455" s="836">
        <v>173400</v>
      </c>
      <c r="L1455" s="836">
        <v>17000</v>
      </c>
      <c r="M1455" s="836">
        <v>0</v>
      </c>
      <c r="N1455" s="836">
        <v>61400</v>
      </c>
      <c r="O1455" s="836">
        <v>557300</v>
      </c>
      <c r="P1455" s="1497">
        <f t="shared" si="118"/>
        <v>722100</v>
      </c>
      <c r="Q1455" s="1186">
        <f t="shared" si="119"/>
        <v>1357800</v>
      </c>
      <c r="R1455" s="835">
        <v>404100</v>
      </c>
      <c r="S1455" s="836"/>
      <c r="T1455" s="836">
        <v>292800</v>
      </c>
      <c r="U1455" s="836">
        <v>23000</v>
      </c>
      <c r="V1455" s="836">
        <v>0</v>
      </c>
      <c r="W1455" s="836">
        <v>0</v>
      </c>
      <c r="X1455" s="836">
        <v>0</v>
      </c>
      <c r="Y1455" s="836">
        <v>0</v>
      </c>
      <c r="Z1455" s="836"/>
      <c r="AA1455" s="836"/>
      <c r="AB1455" s="836"/>
      <c r="AC1455" s="836"/>
      <c r="AD1455" s="1186">
        <f t="shared" si="116"/>
        <v>719900</v>
      </c>
      <c r="AE1455" s="637">
        <f t="shared" si="117"/>
        <v>-3.0466694363661543E-3</v>
      </c>
      <c r="AF1455" s="638">
        <f t="shared" si="115"/>
        <v>374</v>
      </c>
    </row>
    <row r="1456" spans="1:32" x14ac:dyDescent="0.3">
      <c r="A1456" s="381" t="s">
        <v>759</v>
      </c>
      <c r="B1456" s="1021" t="s">
        <v>1559</v>
      </c>
      <c r="C1456" s="835"/>
      <c r="D1456" s="836">
        <v>0</v>
      </c>
      <c r="E1456" s="836">
        <v>65000</v>
      </c>
      <c r="F1456" s="836">
        <v>0</v>
      </c>
      <c r="G1456" s="836">
        <v>0</v>
      </c>
      <c r="H1456" s="836">
        <v>0</v>
      </c>
      <c r="I1456" s="836">
        <v>0</v>
      </c>
      <c r="J1456" s="836">
        <v>0</v>
      </c>
      <c r="K1456" s="836">
        <v>0</v>
      </c>
      <c r="L1456" s="836">
        <v>0</v>
      </c>
      <c r="M1456" s="836">
        <v>0</v>
      </c>
      <c r="N1456" s="836">
        <v>0</v>
      </c>
      <c r="O1456" s="836" t="s">
        <v>251</v>
      </c>
      <c r="P1456" s="1497">
        <f t="shared" si="118"/>
        <v>65000</v>
      </c>
      <c r="Q1456" s="1186">
        <f t="shared" si="119"/>
        <v>65000</v>
      </c>
      <c r="R1456" s="835"/>
      <c r="S1456" s="836"/>
      <c r="T1456" s="836"/>
      <c r="U1456" s="836"/>
      <c r="V1456" s="836"/>
      <c r="W1456" s="836"/>
      <c r="X1456" s="836"/>
      <c r="Y1456" s="836"/>
      <c r="Z1456" s="836"/>
      <c r="AA1456" s="836"/>
      <c r="AB1456" s="836"/>
      <c r="AC1456" s="836"/>
      <c r="AD1456" s="1186">
        <f t="shared" si="116"/>
        <v>0</v>
      </c>
      <c r="AE1456" s="637">
        <f t="shared" si="117"/>
        <v>-1</v>
      </c>
      <c r="AF1456" s="638">
        <f t="shared" si="115"/>
        <v>983</v>
      </c>
    </row>
    <row r="1457" spans="1:32" x14ac:dyDescent="0.3">
      <c r="A1457" s="381" t="s">
        <v>759</v>
      </c>
      <c r="B1457" s="1021" t="s">
        <v>1560</v>
      </c>
      <c r="C1457" s="835">
        <v>65000</v>
      </c>
      <c r="D1457" s="836">
        <v>0</v>
      </c>
      <c r="E1457" s="836"/>
      <c r="F1457" s="836">
        <v>0</v>
      </c>
      <c r="G1457" s="836">
        <v>0</v>
      </c>
      <c r="H1457" s="836">
        <v>0</v>
      </c>
      <c r="I1457" s="836">
        <v>0</v>
      </c>
      <c r="J1457" s="836">
        <v>0</v>
      </c>
      <c r="K1457" s="836">
        <v>0</v>
      </c>
      <c r="L1457" s="836">
        <v>0</v>
      </c>
      <c r="M1457" s="836">
        <v>0</v>
      </c>
      <c r="N1457" s="836">
        <v>0</v>
      </c>
      <c r="O1457" s="836" t="s">
        <v>251</v>
      </c>
      <c r="P1457" s="1497">
        <f t="shared" si="118"/>
        <v>65000</v>
      </c>
      <c r="Q1457" s="1186">
        <f t="shared" si="119"/>
        <v>65000</v>
      </c>
      <c r="R1457" s="835"/>
      <c r="S1457" s="836"/>
      <c r="T1457" s="836"/>
      <c r="U1457" s="836"/>
      <c r="V1457" s="836"/>
      <c r="W1457" s="836"/>
      <c r="X1457" s="836"/>
      <c r="Y1457" s="836"/>
      <c r="Z1457" s="836"/>
      <c r="AA1457" s="836"/>
      <c r="AB1457" s="836"/>
      <c r="AC1457" s="836"/>
      <c r="AD1457" s="1186">
        <f t="shared" si="116"/>
        <v>0</v>
      </c>
      <c r="AE1457" s="637">
        <f t="shared" si="117"/>
        <v>-1</v>
      </c>
      <c r="AF1457" s="638">
        <f t="shared" si="115"/>
        <v>983</v>
      </c>
    </row>
    <row r="1458" spans="1:32" x14ac:dyDescent="0.3">
      <c r="A1458" s="381" t="s">
        <v>759</v>
      </c>
      <c r="B1458" s="1021" t="s">
        <v>1561</v>
      </c>
      <c r="C1458" s="835"/>
      <c r="D1458" s="836">
        <v>0</v>
      </c>
      <c r="E1458" s="836"/>
      <c r="F1458" s="836">
        <v>0</v>
      </c>
      <c r="G1458" s="836">
        <v>64000</v>
      </c>
      <c r="H1458" s="836">
        <v>0</v>
      </c>
      <c r="I1458" s="836">
        <v>0</v>
      </c>
      <c r="J1458" s="836">
        <v>0</v>
      </c>
      <c r="K1458" s="836">
        <v>0</v>
      </c>
      <c r="L1458" s="836">
        <v>0</v>
      </c>
      <c r="M1458" s="836">
        <v>0</v>
      </c>
      <c r="N1458" s="836">
        <v>0</v>
      </c>
      <c r="O1458" s="836" t="s">
        <v>251</v>
      </c>
      <c r="P1458" s="1497">
        <f t="shared" si="118"/>
        <v>64000</v>
      </c>
      <c r="Q1458" s="1186">
        <f t="shared" si="119"/>
        <v>64000</v>
      </c>
      <c r="R1458" s="835"/>
      <c r="S1458" s="836"/>
      <c r="T1458" s="836"/>
      <c r="U1458" s="836"/>
      <c r="V1458" s="836"/>
      <c r="W1458" s="836"/>
      <c r="X1458" s="836"/>
      <c r="Y1458" s="836"/>
      <c r="Z1458" s="836"/>
      <c r="AA1458" s="836"/>
      <c r="AB1458" s="836"/>
      <c r="AC1458" s="836"/>
      <c r="AD1458" s="1186">
        <f t="shared" si="116"/>
        <v>0</v>
      </c>
      <c r="AE1458" s="637">
        <f t="shared" si="117"/>
        <v>-1</v>
      </c>
      <c r="AF1458" s="638">
        <f t="shared" si="115"/>
        <v>983</v>
      </c>
    </row>
    <row r="1459" spans="1:32" x14ac:dyDescent="0.3">
      <c r="A1459" s="381" t="s">
        <v>759</v>
      </c>
      <c r="B1459" s="1021" t="s">
        <v>394</v>
      </c>
      <c r="C1459" s="835"/>
      <c r="D1459" s="836">
        <v>0</v>
      </c>
      <c r="E1459" s="836"/>
      <c r="F1459" s="836">
        <v>62000</v>
      </c>
      <c r="G1459" s="836">
        <v>0</v>
      </c>
      <c r="H1459" s="836">
        <v>0</v>
      </c>
      <c r="I1459" s="836">
        <v>0</v>
      </c>
      <c r="J1459" s="836">
        <v>135000</v>
      </c>
      <c r="K1459" s="836">
        <v>0</v>
      </c>
      <c r="L1459" s="836">
        <v>929000</v>
      </c>
      <c r="M1459" s="836">
        <v>605000</v>
      </c>
      <c r="N1459" s="836">
        <v>417000</v>
      </c>
      <c r="O1459" s="836">
        <v>624000</v>
      </c>
      <c r="P1459" s="1497">
        <f t="shared" si="118"/>
        <v>62000</v>
      </c>
      <c r="Q1459" s="1186">
        <f t="shared" si="119"/>
        <v>2772000</v>
      </c>
      <c r="R1459" s="835">
        <v>982000</v>
      </c>
      <c r="S1459" s="836"/>
      <c r="T1459" s="836">
        <v>524350</v>
      </c>
      <c r="U1459" s="836">
        <v>437350</v>
      </c>
      <c r="V1459" s="836">
        <v>134000</v>
      </c>
      <c r="W1459" s="836">
        <v>513000</v>
      </c>
      <c r="X1459" s="836">
        <v>1617000</v>
      </c>
      <c r="Y1459" s="836">
        <v>174000</v>
      </c>
      <c r="Z1459" s="836"/>
      <c r="AA1459" s="836"/>
      <c r="AB1459" s="836"/>
      <c r="AC1459" s="836"/>
      <c r="AD1459" s="1186">
        <f t="shared" si="116"/>
        <v>4381700</v>
      </c>
      <c r="AE1459" s="637">
        <f t="shared" si="117"/>
        <v>69.67258064516129</v>
      </c>
      <c r="AF1459" s="638">
        <f t="shared" si="115"/>
        <v>101</v>
      </c>
    </row>
    <row r="1460" spans="1:32" x14ac:dyDescent="0.3">
      <c r="A1460" s="381" t="s">
        <v>759</v>
      </c>
      <c r="B1460" s="1021" t="s">
        <v>1562</v>
      </c>
      <c r="C1460" s="835"/>
      <c r="D1460" s="836">
        <v>0</v>
      </c>
      <c r="E1460" s="836"/>
      <c r="F1460" s="836">
        <v>60000</v>
      </c>
      <c r="G1460" s="836">
        <v>0</v>
      </c>
      <c r="H1460" s="836">
        <v>0</v>
      </c>
      <c r="I1460" s="836">
        <v>0</v>
      </c>
      <c r="J1460" s="836">
        <v>0</v>
      </c>
      <c r="K1460" s="836">
        <v>0</v>
      </c>
      <c r="L1460" s="836">
        <v>0</v>
      </c>
      <c r="M1460" s="836">
        <v>0</v>
      </c>
      <c r="N1460" s="836">
        <v>0</v>
      </c>
      <c r="O1460" s="836" t="s">
        <v>251</v>
      </c>
      <c r="P1460" s="1497">
        <f t="shared" si="118"/>
        <v>60000</v>
      </c>
      <c r="Q1460" s="1186">
        <f t="shared" si="119"/>
        <v>60000</v>
      </c>
      <c r="R1460" s="835"/>
      <c r="S1460" s="836"/>
      <c r="T1460" s="836"/>
      <c r="U1460" s="836"/>
      <c r="V1460" s="836"/>
      <c r="W1460" s="836"/>
      <c r="X1460" s="836"/>
      <c r="Y1460" s="836"/>
      <c r="Z1460" s="836"/>
      <c r="AA1460" s="836"/>
      <c r="AB1460" s="836"/>
      <c r="AC1460" s="836"/>
      <c r="AD1460" s="1186">
        <f t="shared" si="116"/>
        <v>0</v>
      </c>
      <c r="AE1460" s="637">
        <f t="shared" si="117"/>
        <v>-1</v>
      </c>
      <c r="AF1460" s="638">
        <f t="shared" si="115"/>
        <v>983</v>
      </c>
    </row>
    <row r="1461" spans="1:32" x14ac:dyDescent="0.3">
      <c r="A1461" s="381" t="s">
        <v>759</v>
      </c>
      <c r="B1461" s="1021" t="s">
        <v>1563</v>
      </c>
      <c r="C1461" s="835"/>
      <c r="D1461" s="836">
        <v>0</v>
      </c>
      <c r="E1461" s="836"/>
      <c r="F1461" s="836">
        <v>0</v>
      </c>
      <c r="G1461" s="836">
        <v>60000</v>
      </c>
      <c r="H1461" s="836">
        <v>0</v>
      </c>
      <c r="I1461" s="836">
        <v>0</v>
      </c>
      <c r="J1461" s="836">
        <v>0</v>
      </c>
      <c r="K1461" s="836">
        <v>0</v>
      </c>
      <c r="L1461" s="836">
        <v>0</v>
      </c>
      <c r="M1461" s="836">
        <v>0</v>
      </c>
      <c r="N1461" s="836">
        <v>0</v>
      </c>
      <c r="O1461" s="836" t="s">
        <v>251</v>
      </c>
      <c r="P1461" s="1497">
        <f t="shared" si="118"/>
        <v>60000</v>
      </c>
      <c r="Q1461" s="1186">
        <f t="shared" si="119"/>
        <v>60000</v>
      </c>
      <c r="R1461" s="835"/>
      <c r="S1461" s="836"/>
      <c r="T1461" s="836"/>
      <c r="U1461" s="836"/>
      <c r="V1461" s="836"/>
      <c r="W1461" s="836"/>
      <c r="X1461" s="836"/>
      <c r="Y1461" s="836"/>
      <c r="Z1461" s="836"/>
      <c r="AA1461" s="836"/>
      <c r="AB1461" s="836"/>
      <c r="AC1461" s="836"/>
      <c r="AD1461" s="1186">
        <f t="shared" si="116"/>
        <v>0</v>
      </c>
      <c r="AE1461" s="637">
        <f t="shared" si="117"/>
        <v>-1</v>
      </c>
      <c r="AF1461" s="638">
        <f t="shared" si="115"/>
        <v>983</v>
      </c>
    </row>
    <row r="1462" spans="1:32" x14ac:dyDescent="0.3">
      <c r="A1462" s="381" t="s">
        <v>759</v>
      </c>
      <c r="B1462" s="1021" t="s">
        <v>1564</v>
      </c>
      <c r="C1462" s="835"/>
      <c r="D1462" s="836" t="s">
        <v>251</v>
      </c>
      <c r="E1462" s="836"/>
      <c r="F1462" s="836" t="s">
        <v>251</v>
      </c>
      <c r="G1462" s="836" t="s">
        <v>251</v>
      </c>
      <c r="H1462" s="836" t="s">
        <v>251</v>
      </c>
      <c r="I1462" s="836" t="s">
        <v>251</v>
      </c>
      <c r="J1462" s="836" t="s">
        <v>251</v>
      </c>
      <c r="K1462" s="836"/>
      <c r="L1462" s="836" t="s">
        <v>251</v>
      </c>
      <c r="M1462" s="836" t="s">
        <v>251</v>
      </c>
      <c r="N1462" s="836" t="s">
        <v>251</v>
      </c>
      <c r="O1462" s="836" t="s">
        <v>251</v>
      </c>
      <c r="P1462" s="1497">
        <f t="shared" si="118"/>
        <v>0</v>
      </c>
      <c r="Q1462" s="1186">
        <f t="shared" si="119"/>
        <v>0</v>
      </c>
      <c r="R1462" s="835"/>
      <c r="S1462" s="836"/>
      <c r="T1462" s="836"/>
      <c r="U1462" s="836"/>
      <c r="V1462" s="836"/>
      <c r="W1462" s="836"/>
      <c r="X1462" s="836"/>
      <c r="Y1462" s="836"/>
      <c r="Z1462" s="836"/>
      <c r="AA1462" s="836"/>
      <c r="AB1462" s="836"/>
      <c r="AC1462" s="836"/>
      <c r="AD1462" s="1186">
        <f t="shared" si="116"/>
        <v>0</v>
      </c>
      <c r="AE1462" s="637">
        <f t="shared" si="117"/>
        <v>0</v>
      </c>
      <c r="AF1462" s="638">
        <f t="shared" si="115"/>
        <v>983</v>
      </c>
    </row>
    <row r="1463" spans="1:32" x14ac:dyDescent="0.3">
      <c r="A1463" s="381" t="s">
        <v>759</v>
      </c>
      <c r="B1463" s="1021" t="s">
        <v>1101</v>
      </c>
      <c r="C1463" s="835"/>
      <c r="D1463" s="836">
        <v>58000</v>
      </c>
      <c r="E1463" s="836"/>
      <c r="F1463" s="836">
        <v>0</v>
      </c>
      <c r="G1463" s="836">
        <v>0</v>
      </c>
      <c r="H1463" s="836">
        <v>0</v>
      </c>
      <c r="I1463" s="836">
        <v>0</v>
      </c>
      <c r="J1463" s="836">
        <v>0</v>
      </c>
      <c r="K1463" s="836">
        <v>0</v>
      </c>
      <c r="L1463" s="836">
        <v>0</v>
      </c>
      <c r="M1463" s="836">
        <v>0</v>
      </c>
      <c r="N1463" s="836">
        <v>0</v>
      </c>
      <c r="O1463" s="836" t="s">
        <v>251</v>
      </c>
      <c r="P1463" s="1497">
        <f t="shared" si="118"/>
        <v>58000</v>
      </c>
      <c r="Q1463" s="1186">
        <f t="shared" si="119"/>
        <v>58000</v>
      </c>
      <c r="R1463" s="835"/>
      <c r="S1463" s="836"/>
      <c r="T1463" s="836"/>
      <c r="U1463" s="836">
        <v>40000</v>
      </c>
      <c r="V1463" s="836">
        <v>0</v>
      </c>
      <c r="W1463" s="836">
        <v>0</v>
      </c>
      <c r="X1463" s="836">
        <v>0</v>
      </c>
      <c r="Y1463" s="836">
        <v>0</v>
      </c>
      <c r="Z1463" s="836"/>
      <c r="AA1463" s="836"/>
      <c r="AB1463" s="836"/>
      <c r="AC1463" s="836"/>
      <c r="AD1463" s="1186">
        <f t="shared" si="116"/>
        <v>40000</v>
      </c>
      <c r="AE1463" s="637">
        <f t="shared" si="117"/>
        <v>-0.31034482758620691</v>
      </c>
      <c r="AF1463" s="638">
        <f t="shared" si="115"/>
        <v>866</v>
      </c>
    </row>
    <row r="1464" spans="1:32" x14ac:dyDescent="0.3">
      <c r="A1464" s="381" t="s">
        <v>759</v>
      </c>
      <c r="B1464" s="1021" t="s">
        <v>1565</v>
      </c>
      <c r="C1464" s="835"/>
      <c r="D1464" s="836">
        <v>0</v>
      </c>
      <c r="E1464" s="836">
        <v>58000</v>
      </c>
      <c r="F1464" s="836">
        <v>0</v>
      </c>
      <c r="G1464" s="836">
        <v>0</v>
      </c>
      <c r="H1464" s="836">
        <v>0</v>
      </c>
      <c r="I1464" s="836">
        <v>0</v>
      </c>
      <c r="J1464" s="836">
        <v>0</v>
      </c>
      <c r="K1464" s="836">
        <v>0</v>
      </c>
      <c r="L1464" s="836">
        <v>0</v>
      </c>
      <c r="M1464" s="836">
        <v>0</v>
      </c>
      <c r="N1464" s="836">
        <v>0</v>
      </c>
      <c r="O1464" s="836" t="s">
        <v>251</v>
      </c>
      <c r="P1464" s="1497">
        <f t="shared" si="118"/>
        <v>58000</v>
      </c>
      <c r="Q1464" s="1186">
        <f t="shared" si="119"/>
        <v>58000</v>
      </c>
      <c r="R1464" s="835"/>
      <c r="S1464" s="836"/>
      <c r="T1464" s="836"/>
      <c r="U1464" s="836"/>
      <c r="V1464" s="836"/>
      <c r="W1464" s="836"/>
      <c r="X1464" s="836"/>
      <c r="Y1464" s="836"/>
      <c r="Z1464" s="836"/>
      <c r="AA1464" s="836"/>
      <c r="AB1464" s="836"/>
      <c r="AC1464" s="836"/>
      <c r="AD1464" s="1186">
        <f t="shared" si="116"/>
        <v>0</v>
      </c>
      <c r="AE1464" s="637">
        <f t="shared" si="117"/>
        <v>-1</v>
      </c>
      <c r="AF1464" s="638">
        <f t="shared" si="115"/>
        <v>983</v>
      </c>
    </row>
    <row r="1465" spans="1:32" x14ac:dyDescent="0.3">
      <c r="A1465" s="381" t="s">
        <v>759</v>
      </c>
      <c r="B1465" s="1021" t="s">
        <v>1232</v>
      </c>
      <c r="C1465" s="835"/>
      <c r="D1465" s="836">
        <v>0</v>
      </c>
      <c r="E1465" s="836"/>
      <c r="F1465" s="836">
        <v>0</v>
      </c>
      <c r="G1465" s="836">
        <v>55000</v>
      </c>
      <c r="H1465" s="836">
        <v>0</v>
      </c>
      <c r="I1465" s="836">
        <v>0</v>
      </c>
      <c r="J1465" s="836">
        <v>0</v>
      </c>
      <c r="K1465" s="836">
        <v>0</v>
      </c>
      <c r="L1465" s="836">
        <v>0</v>
      </c>
      <c r="M1465" s="836">
        <v>0</v>
      </c>
      <c r="N1465" s="836">
        <v>0</v>
      </c>
      <c r="O1465" s="836" t="s">
        <v>251</v>
      </c>
      <c r="P1465" s="1497">
        <f t="shared" si="118"/>
        <v>55000</v>
      </c>
      <c r="Q1465" s="1186">
        <f t="shared" si="119"/>
        <v>55000</v>
      </c>
      <c r="R1465" s="835"/>
      <c r="S1465" s="836"/>
      <c r="T1465" s="836"/>
      <c r="U1465" s="836"/>
      <c r="V1465" s="836">
        <v>272000</v>
      </c>
      <c r="W1465" s="836">
        <v>0</v>
      </c>
      <c r="X1465" s="836">
        <v>12000</v>
      </c>
      <c r="Y1465" s="836">
        <v>0</v>
      </c>
      <c r="Z1465" s="836"/>
      <c r="AA1465" s="836"/>
      <c r="AB1465" s="836"/>
      <c r="AC1465" s="836"/>
      <c r="AD1465" s="1186">
        <f t="shared" si="116"/>
        <v>284000</v>
      </c>
      <c r="AE1465" s="637">
        <f t="shared" si="117"/>
        <v>4.163636363636364</v>
      </c>
      <c r="AF1465" s="638">
        <f t="shared" si="115"/>
        <v>542</v>
      </c>
    </row>
    <row r="1466" spans="1:32" x14ac:dyDescent="0.3">
      <c r="A1466" s="381" t="s">
        <v>759</v>
      </c>
      <c r="B1466" s="1021" t="s">
        <v>719</v>
      </c>
      <c r="C1466" s="835"/>
      <c r="D1466" s="836">
        <v>19000</v>
      </c>
      <c r="E1466" s="836"/>
      <c r="F1466" s="836">
        <v>35000</v>
      </c>
      <c r="G1466" s="836">
        <v>0</v>
      </c>
      <c r="H1466" s="836">
        <v>0</v>
      </c>
      <c r="I1466" s="836">
        <v>55000</v>
      </c>
      <c r="J1466" s="836">
        <v>0</v>
      </c>
      <c r="K1466" s="836">
        <v>0</v>
      </c>
      <c r="L1466" s="836">
        <v>0</v>
      </c>
      <c r="M1466" s="836">
        <v>0</v>
      </c>
      <c r="N1466" s="836">
        <v>87350</v>
      </c>
      <c r="O1466" s="836" t="s">
        <v>251</v>
      </c>
      <c r="P1466" s="1497">
        <f t="shared" si="118"/>
        <v>109000</v>
      </c>
      <c r="Q1466" s="1186">
        <f t="shared" si="119"/>
        <v>196350</v>
      </c>
      <c r="R1466" s="835"/>
      <c r="S1466" s="836"/>
      <c r="T1466" s="836"/>
      <c r="U1466" s="836"/>
      <c r="V1466" s="836"/>
      <c r="W1466" s="836"/>
      <c r="X1466" s="836"/>
      <c r="Y1466" s="836"/>
      <c r="Z1466" s="836"/>
      <c r="AA1466" s="836"/>
      <c r="AB1466" s="836"/>
      <c r="AC1466" s="836"/>
      <c r="AD1466" s="1186">
        <f t="shared" si="116"/>
        <v>0</v>
      </c>
      <c r="AE1466" s="637">
        <f t="shared" si="117"/>
        <v>-1</v>
      </c>
      <c r="AF1466" s="638">
        <f t="shared" si="115"/>
        <v>983</v>
      </c>
    </row>
    <row r="1467" spans="1:32" x14ac:dyDescent="0.3">
      <c r="A1467" s="381" t="s">
        <v>759</v>
      </c>
      <c r="B1467" s="1021" t="s">
        <v>1566</v>
      </c>
      <c r="C1467" s="835"/>
      <c r="D1467" s="836">
        <v>0</v>
      </c>
      <c r="E1467" s="836"/>
      <c r="F1467" s="836">
        <v>53000</v>
      </c>
      <c r="G1467" s="836">
        <v>0</v>
      </c>
      <c r="H1467" s="836">
        <v>0</v>
      </c>
      <c r="I1467" s="836">
        <v>0</v>
      </c>
      <c r="J1467" s="836">
        <v>0</v>
      </c>
      <c r="K1467" s="836">
        <v>0</v>
      </c>
      <c r="L1467" s="836">
        <v>0</v>
      </c>
      <c r="M1467" s="836">
        <v>12000</v>
      </c>
      <c r="N1467" s="836">
        <v>0</v>
      </c>
      <c r="O1467" s="836" t="s">
        <v>251</v>
      </c>
      <c r="P1467" s="1497">
        <f t="shared" si="118"/>
        <v>53000</v>
      </c>
      <c r="Q1467" s="1186">
        <f t="shared" si="119"/>
        <v>65000</v>
      </c>
      <c r="R1467" s="835"/>
      <c r="S1467" s="836"/>
      <c r="T1467" s="836"/>
      <c r="U1467" s="836"/>
      <c r="V1467" s="836"/>
      <c r="W1467" s="836">
        <v>45000</v>
      </c>
      <c r="X1467" s="836">
        <v>0</v>
      </c>
      <c r="Y1467" s="836">
        <v>0</v>
      </c>
      <c r="Z1467" s="836"/>
      <c r="AA1467" s="836"/>
      <c r="AB1467" s="836"/>
      <c r="AC1467" s="836"/>
      <c r="AD1467" s="1186">
        <f t="shared" si="116"/>
        <v>45000</v>
      </c>
      <c r="AE1467" s="637">
        <f t="shared" si="117"/>
        <v>-0.15094339622641509</v>
      </c>
      <c r="AF1467" s="638">
        <f t="shared" si="115"/>
        <v>857</v>
      </c>
    </row>
    <row r="1468" spans="1:32" x14ac:dyDescent="0.3">
      <c r="A1468" s="381" t="s">
        <v>759</v>
      </c>
      <c r="B1468" s="1021" t="s">
        <v>648</v>
      </c>
      <c r="C1468" s="835"/>
      <c r="D1468" s="836">
        <v>47000</v>
      </c>
      <c r="E1468" s="836">
        <v>5000</v>
      </c>
      <c r="F1468" s="836">
        <v>0</v>
      </c>
      <c r="G1468" s="836">
        <v>0</v>
      </c>
      <c r="H1468" s="836">
        <v>0</v>
      </c>
      <c r="I1468" s="836">
        <v>0</v>
      </c>
      <c r="J1468" s="836">
        <v>0</v>
      </c>
      <c r="K1468" s="836">
        <v>180000</v>
      </c>
      <c r="L1468" s="836">
        <v>0</v>
      </c>
      <c r="M1468" s="836">
        <v>0</v>
      </c>
      <c r="N1468" s="836">
        <v>0</v>
      </c>
      <c r="O1468" s="836" t="s">
        <v>251</v>
      </c>
      <c r="P1468" s="1497">
        <f t="shared" si="118"/>
        <v>232000</v>
      </c>
      <c r="Q1468" s="1186">
        <f t="shared" si="119"/>
        <v>52000</v>
      </c>
      <c r="R1468" s="835"/>
      <c r="S1468" s="836"/>
      <c r="T1468" s="836"/>
      <c r="U1468" s="836"/>
      <c r="V1468" s="836">
        <v>15000</v>
      </c>
      <c r="W1468" s="836"/>
      <c r="X1468" s="836">
        <v>0</v>
      </c>
      <c r="Y1468" s="836">
        <v>0</v>
      </c>
      <c r="Z1468" s="836"/>
      <c r="AA1468" s="836"/>
      <c r="AB1468" s="836"/>
      <c r="AC1468" s="836"/>
      <c r="AD1468" s="1186">
        <f t="shared" si="116"/>
        <v>15000</v>
      </c>
      <c r="AE1468" s="637">
        <f t="shared" si="117"/>
        <v>-0.93534482758620685</v>
      </c>
      <c r="AF1468" s="638">
        <f t="shared" si="115"/>
        <v>941</v>
      </c>
    </row>
    <row r="1469" spans="1:32" x14ac:dyDescent="0.3">
      <c r="A1469" s="381" t="s">
        <v>759</v>
      </c>
      <c r="B1469" s="1021" t="s">
        <v>1567</v>
      </c>
      <c r="C1469" s="835"/>
      <c r="D1469" s="836">
        <v>0</v>
      </c>
      <c r="E1469" s="836">
        <v>24500</v>
      </c>
      <c r="F1469" s="836">
        <v>24500</v>
      </c>
      <c r="G1469" s="836">
        <v>0</v>
      </c>
      <c r="H1469" s="836">
        <v>0</v>
      </c>
      <c r="I1469" s="836">
        <v>155000</v>
      </c>
      <c r="J1469" s="836">
        <v>0</v>
      </c>
      <c r="K1469" s="836">
        <v>0</v>
      </c>
      <c r="L1469" s="836">
        <v>0</v>
      </c>
      <c r="M1469" s="836">
        <v>0</v>
      </c>
      <c r="N1469" s="836">
        <v>0</v>
      </c>
      <c r="O1469" s="836" t="s">
        <v>251</v>
      </c>
      <c r="P1469" s="1497">
        <f t="shared" si="118"/>
        <v>204000</v>
      </c>
      <c r="Q1469" s="1186">
        <f t="shared" si="119"/>
        <v>204000</v>
      </c>
      <c r="R1469" s="835"/>
      <c r="S1469" s="836"/>
      <c r="T1469" s="836"/>
      <c r="U1469" s="836"/>
      <c r="V1469" s="836"/>
      <c r="W1469" s="836">
        <v>305000</v>
      </c>
      <c r="X1469" s="836">
        <v>0</v>
      </c>
      <c r="Y1469" s="836">
        <v>0</v>
      </c>
      <c r="Z1469" s="836"/>
      <c r="AA1469" s="836"/>
      <c r="AB1469" s="836"/>
      <c r="AC1469" s="836"/>
      <c r="AD1469" s="1186">
        <f t="shared" si="116"/>
        <v>305000</v>
      </c>
      <c r="AE1469" s="637">
        <f t="shared" si="117"/>
        <v>0.49509803921568629</v>
      </c>
      <c r="AF1469" s="638">
        <f t="shared" si="115"/>
        <v>530</v>
      </c>
    </row>
    <row r="1470" spans="1:32" x14ac:dyDescent="0.3">
      <c r="A1470" s="381" t="s">
        <v>759</v>
      </c>
      <c r="B1470" s="1021" t="s">
        <v>645</v>
      </c>
      <c r="C1470" s="835"/>
      <c r="D1470" s="836">
        <v>45000</v>
      </c>
      <c r="E1470" s="836"/>
      <c r="F1470" s="836">
        <v>0</v>
      </c>
      <c r="G1470" s="836">
        <v>0</v>
      </c>
      <c r="H1470" s="836">
        <v>0</v>
      </c>
      <c r="I1470" s="836">
        <v>0</v>
      </c>
      <c r="J1470" s="836">
        <v>0</v>
      </c>
      <c r="K1470" s="836">
        <v>0</v>
      </c>
      <c r="L1470" s="836">
        <v>0</v>
      </c>
      <c r="M1470" s="836">
        <v>0</v>
      </c>
      <c r="N1470" s="836">
        <v>310000</v>
      </c>
      <c r="O1470" s="836" t="s">
        <v>251</v>
      </c>
      <c r="P1470" s="1497">
        <f t="shared" si="118"/>
        <v>45000</v>
      </c>
      <c r="Q1470" s="1186">
        <f t="shared" si="119"/>
        <v>355000</v>
      </c>
      <c r="R1470" s="835"/>
      <c r="S1470" s="836"/>
      <c r="T1470" s="836"/>
      <c r="U1470" s="836"/>
      <c r="V1470" s="836"/>
      <c r="W1470" s="836">
        <v>0</v>
      </c>
      <c r="X1470" s="836">
        <v>0</v>
      </c>
      <c r="Y1470" s="836">
        <v>0</v>
      </c>
      <c r="Z1470" s="836"/>
      <c r="AA1470" s="836"/>
      <c r="AB1470" s="836"/>
      <c r="AC1470" s="836"/>
      <c r="AD1470" s="1186">
        <f t="shared" si="116"/>
        <v>0</v>
      </c>
      <c r="AE1470" s="637">
        <f t="shared" si="117"/>
        <v>-1</v>
      </c>
      <c r="AF1470" s="638">
        <f t="shared" si="115"/>
        <v>983</v>
      </c>
    </row>
    <row r="1471" spans="1:32" x14ac:dyDescent="0.3">
      <c r="A1471" s="381" t="s">
        <v>759</v>
      </c>
      <c r="B1471" s="1021" t="s">
        <v>1568</v>
      </c>
      <c r="C1471" s="835">
        <v>22500</v>
      </c>
      <c r="D1471" s="836">
        <v>0</v>
      </c>
      <c r="E1471" s="836">
        <v>22500</v>
      </c>
      <c r="F1471" s="836">
        <v>0</v>
      </c>
      <c r="G1471" s="836">
        <v>0</v>
      </c>
      <c r="H1471" s="836">
        <v>0</v>
      </c>
      <c r="I1471" s="836">
        <v>0</v>
      </c>
      <c r="J1471" s="836">
        <v>0</v>
      </c>
      <c r="K1471" s="836">
        <v>0</v>
      </c>
      <c r="L1471" s="836">
        <v>0</v>
      </c>
      <c r="M1471" s="836">
        <v>0</v>
      </c>
      <c r="N1471" s="836">
        <v>0</v>
      </c>
      <c r="O1471" s="836" t="s">
        <v>251</v>
      </c>
      <c r="P1471" s="1497">
        <f t="shared" si="118"/>
        <v>45000</v>
      </c>
      <c r="Q1471" s="1186">
        <f t="shared" si="119"/>
        <v>45000</v>
      </c>
      <c r="R1471" s="835"/>
      <c r="S1471" s="836"/>
      <c r="T1471" s="836"/>
      <c r="U1471" s="836"/>
      <c r="V1471" s="836"/>
      <c r="W1471" s="836"/>
      <c r="X1471" s="836"/>
      <c r="Y1471" s="836"/>
      <c r="Z1471" s="836"/>
      <c r="AA1471" s="836"/>
      <c r="AB1471" s="836"/>
      <c r="AC1471" s="836"/>
      <c r="AD1471" s="1186">
        <f t="shared" si="116"/>
        <v>0</v>
      </c>
      <c r="AE1471" s="637">
        <f t="shared" si="117"/>
        <v>-1</v>
      </c>
      <c r="AF1471" s="638">
        <f t="shared" si="115"/>
        <v>983</v>
      </c>
    </row>
    <row r="1472" spans="1:32" x14ac:dyDescent="0.3">
      <c r="A1472" s="381" t="s">
        <v>759</v>
      </c>
      <c r="B1472" s="1021" t="s">
        <v>1569</v>
      </c>
      <c r="C1472" s="835"/>
      <c r="D1472" s="836">
        <v>45000</v>
      </c>
      <c r="E1472" s="836"/>
      <c r="F1472" s="836">
        <v>0</v>
      </c>
      <c r="G1472" s="836">
        <v>0</v>
      </c>
      <c r="H1472" s="836">
        <v>0</v>
      </c>
      <c r="I1472" s="836">
        <v>0</v>
      </c>
      <c r="J1472" s="836">
        <v>0</v>
      </c>
      <c r="K1472" s="836">
        <v>0</v>
      </c>
      <c r="L1472" s="836">
        <v>0</v>
      </c>
      <c r="M1472" s="836">
        <v>0</v>
      </c>
      <c r="N1472" s="836">
        <v>0</v>
      </c>
      <c r="O1472" s="836" t="s">
        <v>251</v>
      </c>
      <c r="P1472" s="1497">
        <f t="shared" si="118"/>
        <v>45000</v>
      </c>
      <c r="Q1472" s="1186">
        <f t="shared" si="119"/>
        <v>45000</v>
      </c>
      <c r="R1472" s="835"/>
      <c r="S1472" s="836"/>
      <c r="T1472" s="836"/>
      <c r="U1472" s="836"/>
      <c r="V1472" s="836"/>
      <c r="W1472" s="836"/>
      <c r="X1472" s="836"/>
      <c r="Y1472" s="836"/>
      <c r="Z1472" s="836"/>
      <c r="AA1472" s="836"/>
      <c r="AB1472" s="836"/>
      <c r="AC1472" s="836"/>
      <c r="AD1472" s="1186">
        <f t="shared" si="116"/>
        <v>0</v>
      </c>
      <c r="AE1472" s="637">
        <f t="shared" si="117"/>
        <v>-1</v>
      </c>
      <c r="AF1472" s="638">
        <f t="shared" si="115"/>
        <v>983</v>
      </c>
    </row>
    <row r="1473" spans="1:32" x14ac:dyDescent="0.3">
      <c r="A1473" s="381" t="s">
        <v>759</v>
      </c>
      <c r="B1473" s="1021" t="s">
        <v>1570</v>
      </c>
      <c r="C1473" s="835">
        <v>42000</v>
      </c>
      <c r="D1473" s="836">
        <v>0</v>
      </c>
      <c r="E1473" s="836"/>
      <c r="F1473" s="836">
        <v>0</v>
      </c>
      <c r="G1473" s="836">
        <v>0</v>
      </c>
      <c r="H1473" s="836">
        <v>0</v>
      </c>
      <c r="I1473" s="836">
        <v>0</v>
      </c>
      <c r="J1473" s="836">
        <v>0</v>
      </c>
      <c r="K1473" s="836">
        <v>0</v>
      </c>
      <c r="L1473" s="836">
        <v>0</v>
      </c>
      <c r="M1473" s="836">
        <v>0</v>
      </c>
      <c r="N1473" s="836">
        <v>0</v>
      </c>
      <c r="O1473" s="836" t="s">
        <v>251</v>
      </c>
      <c r="P1473" s="1497">
        <f t="shared" si="118"/>
        <v>42000</v>
      </c>
      <c r="Q1473" s="1186">
        <f t="shared" si="119"/>
        <v>42000</v>
      </c>
      <c r="R1473" s="835"/>
      <c r="S1473" s="836"/>
      <c r="T1473" s="836"/>
      <c r="U1473" s="836"/>
      <c r="V1473" s="836"/>
      <c r="W1473" s="836"/>
      <c r="X1473" s="836"/>
      <c r="Y1473" s="836"/>
      <c r="Z1473" s="836"/>
      <c r="AA1473" s="836"/>
      <c r="AB1473" s="836"/>
      <c r="AC1473" s="836"/>
      <c r="AD1473" s="1186">
        <f t="shared" si="116"/>
        <v>0</v>
      </c>
      <c r="AE1473" s="637">
        <f t="shared" si="117"/>
        <v>-1</v>
      </c>
      <c r="AF1473" s="638">
        <f t="shared" si="115"/>
        <v>983</v>
      </c>
    </row>
    <row r="1474" spans="1:32" x14ac:dyDescent="0.3">
      <c r="A1474" s="381" t="s">
        <v>759</v>
      </c>
      <c r="B1474" s="1021" t="s">
        <v>1571</v>
      </c>
      <c r="C1474" s="835"/>
      <c r="D1474" s="836">
        <v>0</v>
      </c>
      <c r="E1474" s="836"/>
      <c r="F1474" s="836">
        <v>0</v>
      </c>
      <c r="G1474" s="836">
        <v>42000</v>
      </c>
      <c r="H1474" s="836">
        <v>0</v>
      </c>
      <c r="I1474" s="836">
        <v>0</v>
      </c>
      <c r="J1474" s="836">
        <v>0</v>
      </c>
      <c r="K1474" s="836">
        <v>0</v>
      </c>
      <c r="L1474" s="836">
        <v>0</v>
      </c>
      <c r="M1474" s="836">
        <v>0</v>
      </c>
      <c r="N1474" s="836">
        <v>0</v>
      </c>
      <c r="O1474" s="836" t="s">
        <v>251</v>
      </c>
      <c r="P1474" s="1497">
        <f t="shared" si="118"/>
        <v>42000</v>
      </c>
      <c r="Q1474" s="1186">
        <f t="shared" si="119"/>
        <v>42000</v>
      </c>
      <c r="R1474" s="835"/>
      <c r="S1474" s="836"/>
      <c r="T1474" s="836"/>
      <c r="U1474" s="836"/>
      <c r="V1474" s="836"/>
      <c r="W1474" s="836"/>
      <c r="X1474" s="836"/>
      <c r="Y1474" s="836"/>
      <c r="Z1474" s="836"/>
      <c r="AA1474" s="836"/>
      <c r="AB1474" s="836"/>
      <c r="AC1474" s="836"/>
      <c r="AD1474" s="1186">
        <f t="shared" si="116"/>
        <v>0</v>
      </c>
      <c r="AE1474" s="637">
        <f t="shared" si="117"/>
        <v>-1</v>
      </c>
      <c r="AF1474" s="638">
        <f t="shared" si="115"/>
        <v>983</v>
      </c>
    </row>
    <row r="1475" spans="1:32" x14ac:dyDescent="0.3">
      <c r="A1475" s="381" t="s">
        <v>759</v>
      </c>
      <c r="B1475" s="1021" t="s">
        <v>1572</v>
      </c>
      <c r="C1475" s="835"/>
      <c r="D1475" s="836">
        <v>0</v>
      </c>
      <c r="E1475" s="836">
        <v>41000</v>
      </c>
      <c r="F1475" s="836">
        <v>0</v>
      </c>
      <c r="G1475" s="836">
        <v>0</v>
      </c>
      <c r="H1475" s="836">
        <v>0</v>
      </c>
      <c r="I1475" s="836">
        <v>0</v>
      </c>
      <c r="J1475" s="836">
        <v>0</v>
      </c>
      <c r="K1475" s="836">
        <v>0</v>
      </c>
      <c r="L1475" s="836">
        <v>0</v>
      </c>
      <c r="M1475" s="836">
        <v>0</v>
      </c>
      <c r="N1475" s="836">
        <v>0</v>
      </c>
      <c r="O1475" s="836" t="s">
        <v>251</v>
      </c>
      <c r="P1475" s="1497">
        <f t="shared" si="118"/>
        <v>41000</v>
      </c>
      <c r="Q1475" s="1186">
        <f t="shared" si="119"/>
        <v>41000</v>
      </c>
      <c r="R1475" s="835"/>
      <c r="S1475" s="836"/>
      <c r="T1475" s="836"/>
      <c r="U1475" s="836"/>
      <c r="V1475" s="836"/>
      <c r="W1475" s="836"/>
      <c r="X1475" s="836"/>
      <c r="Y1475" s="836"/>
      <c r="Z1475" s="836"/>
      <c r="AA1475" s="836"/>
      <c r="AB1475" s="836"/>
      <c r="AC1475" s="836"/>
      <c r="AD1475" s="1186">
        <f t="shared" si="116"/>
        <v>0</v>
      </c>
      <c r="AE1475" s="637">
        <f t="shared" si="117"/>
        <v>-1</v>
      </c>
      <c r="AF1475" s="638">
        <f t="shared" si="115"/>
        <v>983</v>
      </c>
    </row>
    <row r="1476" spans="1:32" x14ac:dyDescent="0.3">
      <c r="A1476" s="381" t="s">
        <v>759</v>
      </c>
      <c r="B1476" s="1021" t="s">
        <v>1198</v>
      </c>
      <c r="C1476" s="835"/>
      <c r="D1476" s="836">
        <v>0</v>
      </c>
      <c r="E1476" s="836"/>
      <c r="F1476" s="836">
        <v>0</v>
      </c>
      <c r="G1476" s="836">
        <v>40000</v>
      </c>
      <c r="H1476" s="836">
        <v>0</v>
      </c>
      <c r="I1476" s="836">
        <v>0</v>
      </c>
      <c r="J1476" s="836">
        <v>0</v>
      </c>
      <c r="K1476" s="836">
        <v>0</v>
      </c>
      <c r="L1476" s="836">
        <v>0</v>
      </c>
      <c r="M1476" s="836">
        <v>0</v>
      </c>
      <c r="N1476" s="836">
        <v>0</v>
      </c>
      <c r="O1476" s="836" t="s">
        <v>251</v>
      </c>
      <c r="P1476" s="1497">
        <f t="shared" si="118"/>
        <v>40000</v>
      </c>
      <c r="Q1476" s="1186">
        <f t="shared" si="119"/>
        <v>40000</v>
      </c>
      <c r="R1476" s="835"/>
      <c r="S1476" s="836"/>
      <c r="T1476" s="836"/>
      <c r="U1476" s="836"/>
      <c r="V1476" s="836"/>
      <c r="W1476" s="836"/>
      <c r="X1476" s="836"/>
      <c r="Y1476" s="836"/>
      <c r="Z1476" s="836"/>
      <c r="AA1476" s="836"/>
      <c r="AB1476" s="836"/>
      <c r="AC1476" s="836"/>
      <c r="AD1476" s="1186">
        <f t="shared" si="116"/>
        <v>0</v>
      </c>
      <c r="AE1476" s="637">
        <f t="shared" si="117"/>
        <v>-1</v>
      </c>
      <c r="AF1476" s="638">
        <f t="shared" si="115"/>
        <v>983</v>
      </c>
    </row>
    <row r="1477" spans="1:32" x14ac:dyDescent="0.3">
      <c r="A1477" s="381" t="s">
        <v>759</v>
      </c>
      <c r="B1477" s="1021" t="s">
        <v>1573</v>
      </c>
      <c r="C1477" s="835">
        <v>15000</v>
      </c>
      <c r="D1477" s="836">
        <v>0</v>
      </c>
      <c r="E1477" s="836">
        <v>25000</v>
      </c>
      <c r="F1477" s="836">
        <v>0</v>
      </c>
      <c r="G1477" s="836">
        <v>0</v>
      </c>
      <c r="H1477" s="836">
        <v>0</v>
      </c>
      <c r="I1477" s="836">
        <v>0</v>
      </c>
      <c r="J1477" s="836">
        <v>0</v>
      </c>
      <c r="K1477" s="836">
        <v>0</v>
      </c>
      <c r="L1477" s="836">
        <v>0</v>
      </c>
      <c r="M1477" s="836">
        <v>0</v>
      </c>
      <c r="N1477" s="836">
        <v>0</v>
      </c>
      <c r="O1477" s="836" t="s">
        <v>251</v>
      </c>
      <c r="P1477" s="1497">
        <f t="shared" si="118"/>
        <v>40000</v>
      </c>
      <c r="Q1477" s="1186">
        <f t="shared" si="119"/>
        <v>40000</v>
      </c>
      <c r="R1477" s="835"/>
      <c r="S1477" s="836"/>
      <c r="T1477" s="836"/>
      <c r="U1477" s="836"/>
      <c r="V1477" s="836"/>
      <c r="W1477" s="836"/>
      <c r="X1477" s="836"/>
      <c r="Y1477" s="836"/>
      <c r="Z1477" s="836"/>
      <c r="AA1477" s="836"/>
      <c r="AB1477" s="836"/>
      <c r="AC1477" s="836"/>
      <c r="AD1477" s="1186">
        <f t="shared" si="116"/>
        <v>0</v>
      </c>
      <c r="AE1477" s="637">
        <f t="shared" si="117"/>
        <v>-1</v>
      </c>
      <c r="AF1477" s="638">
        <f t="shared" si="115"/>
        <v>983</v>
      </c>
    </row>
    <row r="1478" spans="1:32" x14ac:dyDescent="0.3">
      <c r="A1478" s="381" t="s">
        <v>759</v>
      </c>
      <c r="B1478" s="1021" t="s">
        <v>1574</v>
      </c>
      <c r="C1478" s="835"/>
      <c r="D1478" s="836">
        <v>0</v>
      </c>
      <c r="E1478" s="836"/>
      <c r="F1478" s="836">
        <v>0</v>
      </c>
      <c r="G1478" s="836">
        <v>40000</v>
      </c>
      <c r="H1478" s="836">
        <v>17000</v>
      </c>
      <c r="I1478" s="836">
        <v>0</v>
      </c>
      <c r="J1478" s="836">
        <v>0</v>
      </c>
      <c r="K1478" s="836">
        <v>0</v>
      </c>
      <c r="L1478" s="836">
        <v>0</v>
      </c>
      <c r="M1478" s="836">
        <v>0</v>
      </c>
      <c r="N1478" s="836">
        <v>0</v>
      </c>
      <c r="O1478" s="836" t="s">
        <v>251</v>
      </c>
      <c r="P1478" s="1497">
        <f t="shared" si="118"/>
        <v>57000</v>
      </c>
      <c r="Q1478" s="1186">
        <f t="shared" si="119"/>
        <v>57000</v>
      </c>
      <c r="R1478" s="835"/>
      <c r="S1478" s="836"/>
      <c r="T1478" s="836"/>
      <c r="U1478" s="836"/>
      <c r="V1478" s="836"/>
      <c r="W1478" s="836"/>
      <c r="X1478" s="836"/>
      <c r="Y1478" s="836"/>
      <c r="Z1478" s="836"/>
      <c r="AA1478" s="836"/>
      <c r="AB1478" s="836"/>
      <c r="AC1478" s="836"/>
      <c r="AD1478" s="1186">
        <f t="shared" si="116"/>
        <v>0</v>
      </c>
      <c r="AE1478" s="637">
        <f t="shared" si="117"/>
        <v>-1</v>
      </c>
      <c r="AF1478" s="638">
        <f t="shared" si="115"/>
        <v>983</v>
      </c>
    </row>
    <row r="1479" spans="1:32" x14ac:dyDescent="0.3">
      <c r="A1479" s="381" t="s">
        <v>759</v>
      </c>
      <c r="B1479" s="1021" t="s">
        <v>1349</v>
      </c>
      <c r="C1479" s="835"/>
      <c r="D1479" s="836">
        <v>38000</v>
      </c>
      <c r="E1479" s="836"/>
      <c r="F1479" s="836">
        <v>0</v>
      </c>
      <c r="G1479" s="836">
        <v>0</v>
      </c>
      <c r="H1479" s="836">
        <v>0</v>
      </c>
      <c r="I1479" s="836">
        <v>0</v>
      </c>
      <c r="J1479" s="836">
        <v>0</v>
      </c>
      <c r="K1479" s="836">
        <v>0</v>
      </c>
      <c r="L1479" s="836">
        <v>0</v>
      </c>
      <c r="M1479" s="836">
        <v>0</v>
      </c>
      <c r="N1479" s="836">
        <v>52000</v>
      </c>
      <c r="O1479" s="836" t="s">
        <v>251</v>
      </c>
      <c r="P1479" s="1497">
        <f t="shared" si="118"/>
        <v>38000</v>
      </c>
      <c r="Q1479" s="1186">
        <f t="shared" si="119"/>
        <v>90000</v>
      </c>
      <c r="R1479" s="835"/>
      <c r="S1479" s="836">
        <v>23000</v>
      </c>
      <c r="T1479" s="836">
        <v>0</v>
      </c>
      <c r="U1479" s="836">
        <v>0</v>
      </c>
      <c r="V1479" s="836">
        <v>0</v>
      </c>
      <c r="W1479" s="836">
        <v>0</v>
      </c>
      <c r="X1479" s="836">
        <v>0</v>
      </c>
      <c r="Y1479" s="836">
        <v>0</v>
      </c>
      <c r="Z1479" s="836"/>
      <c r="AA1479" s="836"/>
      <c r="AB1479" s="836"/>
      <c r="AC1479" s="836"/>
      <c r="AD1479" s="1186">
        <f t="shared" si="116"/>
        <v>23000</v>
      </c>
      <c r="AE1479" s="637">
        <f t="shared" si="117"/>
        <v>-0.39473684210526316</v>
      </c>
      <c r="AF1479" s="638">
        <f t="shared" ref="AF1479:AF1542" si="120">IFERROR(_xlfn.RANK.EQ(AD1479, $AD$2:$AD$2064), "")</f>
        <v>913</v>
      </c>
    </row>
    <row r="1480" spans="1:32" x14ac:dyDescent="0.3">
      <c r="A1480" s="381" t="s">
        <v>759</v>
      </c>
      <c r="B1480" s="1021" t="s">
        <v>1575</v>
      </c>
      <c r="C1480" s="835">
        <v>37000</v>
      </c>
      <c r="D1480" s="836">
        <v>0</v>
      </c>
      <c r="E1480" s="836"/>
      <c r="F1480" s="836">
        <v>0</v>
      </c>
      <c r="G1480" s="836">
        <v>0</v>
      </c>
      <c r="H1480" s="836">
        <v>0</v>
      </c>
      <c r="I1480" s="836">
        <v>17000</v>
      </c>
      <c r="J1480" s="836">
        <v>0</v>
      </c>
      <c r="K1480" s="836">
        <v>0</v>
      </c>
      <c r="L1480" s="836">
        <v>0</v>
      </c>
      <c r="M1480" s="836">
        <v>0</v>
      </c>
      <c r="N1480" s="836">
        <v>0</v>
      </c>
      <c r="O1480" s="836" t="s">
        <v>251</v>
      </c>
      <c r="P1480" s="1497">
        <f t="shared" si="118"/>
        <v>54000</v>
      </c>
      <c r="Q1480" s="1186">
        <f t="shared" si="119"/>
        <v>54000</v>
      </c>
      <c r="R1480" s="835"/>
      <c r="S1480" s="836"/>
      <c r="T1480" s="836"/>
      <c r="U1480" s="836"/>
      <c r="V1480" s="836"/>
      <c r="W1480" s="836"/>
      <c r="X1480" s="836"/>
      <c r="Y1480" s="836"/>
      <c r="Z1480" s="836"/>
      <c r="AA1480" s="836"/>
      <c r="AB1480" s="836"/>
      <c r="AC1480" s="836"/>
      <c r="AD1480" s="1186">
        <f t="shared" si="116"/>
        <v>0</v>
      </c>
      <c r="AE1480" s="637">
        <f t="shared" si="117"/>
        <v>-1</v>
      </c>
      <c r="AF1480" s="638">
        <f t="shared" si="120"/>
        <v>983</v>
      </c>
    </row>
    <row r="1481" spans="1:32" x14ac:dyDescent="0.3">
      <c r="A1481" s="381" t="s">
        <v>759</v>
      </c>
      <c r="B1481" s="1021" t="s">
        <v>1576</v>
      </c>
      <c r="C1481" s="835"/>
      <c r="D1481" s="836">
        <v>11000</v>
      </c>
      <c r="E1481" s="836">
        <v>26000</v>
      </c>
      <c r="F1481" s="836">
        <v>0</v>
      </c>
      <c r="G1481" s="836">
        <v>0</v>
      </c>
      <c r="H1481" s="836">
        <v>28000</v>
      </c>
      <c r="I1481" s="836">
        <v>60000</v>
      </c>
      <c r="J1481" s="836">
        <v>26000</v>
      </c>
      <c r="K1481" s="836">
        <v>26000</v>
      </c>
      <c r="L1481" s="836">
        <v>13000</v>
      </c>
      <c r="M1481" s="836">
        <v>0</v>
      </c>
      <c r="N1481" s="836">
        <v>0</v>
      </c>
      <c r="O1481" s="836" t="s">
        <v>251</v>
      </c>
      <c r="P1481" s="1497">
        <f t="shared" si="118"/>
        <v>151000</v>
      </c>
      <c r="Q1481" s="1186">
        <f t="shared" si="119"/>
        <v>164000</v>
      </c>
      <c r="R1481" s="835">
        <v>22500</v>
      </c>
      <c r="S1481" s="836"/>
      <c r="T1481" s="836">
        <v>0</v>
      </c>
      <c r="U1481" s="836">
        <v>0</v>
      </c>
      <c r="V1481" s="836">
        <v>0</v>
      </c>
      <c r="W1481" s="836">
        <v>0</v>
      </c>
      <c r="X1481" s="836">
        <v>0</v>
      </c>
      <c r="Y1481" s="836">
        <v>40000</v>
      </c>
      <c r="Z1481" s="836"/>
      <c r="AA1481" s="836"/>
      <c r="AB1481" s="836"/>
      <c r="AC1481" s="836"/>
      <c r="AD1481" s="1186">
        <f t="shared" si="116"/>
        <v>62500</v>
      </c>
      <c r="AE1481" s="637">
        <f t="shared" si="117"/>
        <v>-0.58609271523178808</v>
      </c>
      <c r="AF1481" s="638">
        <f t="shared" si="120"/>
        <v>811</v>
      </c>
    </row>
    <row r="1482" spans="1:32" x14ac:dyDescent="0.3">
      <c r="A1482" s="381" t="s">
        <v>759</v>
      </c>
      <c r="B1482" s="1021" t="s">
        <v>1577</v>
      </c>
      <c r="C1482" s="835"/>
      <c r="D1482" s="836">
        <v>0</v>
      </c>
      <c r="E1482" s="836">
        <v>35000</v>
      </c>
      <c r="F1482" s="836">
        <v>0</v>
      </c>
      <c r="G1482" s="836">
        <v>0</v>
      </c>
      <c r="H1482" s="836">
        <v>0</v>
      </c>
      <c r="I1482" s="836">
        <v>0</v>
      </c>
      <c r="J1482" s="836">
        <v>0</v>
      </c>
      <c r="K1482" s="836">
        <v>0</v>
      </c>
      <c r="L1482" s="836">
        <v>318000</v>
      </c>
      <c r="M1482" s="836">
        <v>0</v>
      </c>
      <c r="N1482" s="836">
        <v>0</v>
      </c>
      <c r="O1482" s="836" t="s">
        <v>251</v>
      </c>
      <c r="P1482" s="1497">
        <f t="shared" si="118"/>
        <v>35000</v>
      </c>
      <c r="Q1482" s="1186">
        <f t="shared" si="119"/>
        <v>353000</v>
      </c>
      <c r="R1482" s="835"/>
      <c r="S1482" s="836"/>
      <c r="T1482" s="836"/>
      <c r="U1482" s="836"/>
      <c r="V1482" s="836"/>
      <c r="W1482" s="836"/>
      <c r="X1482" s="836"/>
      <c r="Y1482" s="836"/>
      <c r="Z1482" s="836"/>
      <c r="AA1482" s="836"/>
      <c r="AB1482" s="836"/>
      <c r="AC1482" s="836"/>
      <c r="AD1482" s="1186">
        <f t="shared" si="116"/>
        <v>0</v>
      </c>
      <c r="AE1482" s="637">
        <f t="shared" si="117"/>
        <v>-1</v>
      </c>
      <c r="AF1482" s="638">
        <f t="shared" si="120"/>
        <v>983</v>
      </c>
    </row>
    <row r="1483" spans="1:32" x14ac:dyDescent="0.3">
      <c r="A1483" s="381" t="s">
        <v>759</v>
      </c>
      <c r="B1483" s="1021" t="s">
        <v>1289</v>
      </c>
      <c r="C1483" s="835">
        <v>35000</v>
      </c>
      <c r="D1483" s="836">
        <v>0</v>
      </c>
      <c r="E1483" s="836"/>
      <c r="F1483" s="836">
        <v>0</v>
      </c>
      <c r="G1483" s="836">
        <v>0</v>
      </c>
      <c r="H1483" s="836">
        <v>0</v>
      </c>
      <c r="I1483" s="836">
        <v>0</v>
      </c>
      <c r="J1483" s="836">
        <v>0</v>
      </c>
      <c r="K1483" s="836">
        <v>0</v>
      </c>
      <c r="L1483" s="836">
        <v>0</v>
      </c>
      <c r="M1483" s="836">
        <v>0</v>
      </c>
      <c r="N1483" s="836">
        <v>0</v>
      </c>
      <c r="O1483" s="836" t="s">
        <v>251</v>
      </c>
      <c r="P1483" s="1497">
        <f t="shared" si="118"/>
        <v>35000</v>
      </c>
      <c r="Q1483" s="1186">
        <f t="shared" si="119"/>
        <v>35000</v>
      </c>
      <c r="R1483" s="835"/>
      <c r="S1483" s="836"/>
      <c r="T1483" s="836"/>
      <c r="U1483" s="836"/>
      <c r="V1483" s="836"/>
      <c r="W1483" s="836"/>
      <c r="X1483" s="836"/>
      <c r="Y1483" s="836"/>
      <c r="Z1483" s="836"/>
      <c r="AA1483" s="836"/>
      <c r="AB1483" s="836"/>
      <c r="AC1483" s="836"/>
      <c r="AD1483" s="1186">
        <f t="shared" si="116"/>
        <v>0</v>
      </c>
      <c r="AE1483" s="637">
        <f t="shared" si="117"/>
        <v>-1</v>
      </c>
      <c r="AF1483" s="638">
        <f t="shared" si="120"/>
        <v>983</v>
      </c>
    </row>
    <row r="1484" spans="1:32" x14ac:dyDescent="0.3">
      <c r="A1484" s="381" t="s">
        <v>759</v>
      </c>
      <c r="B1484" s="1021" t="s">
        <v>1578</v>
      </c>
      <c r="C1484" s="835"/>
      <c r="D1484" s="836">
        <v>0</v>
      </c>
      <c r="E1484" s="836"/>
      <c r="F1484" s="836">
        <v>0</v>
      </c>
      <c r="G1484" s="836">
        <v>32000</v>
      </c>
      <c r="H1484" s="836">
        <v>0</v>
      </c>
      <c r="I1484" s="836">
        <v>0</v>
      </c>
      <c r="J1484" s="836">
        <v>0</v>
      </c>
      <c r="K1484" s="836">
        <v>0</v>
      </c>
      <c r="L1484" s="836">
        <v>0</v>
      </c>
      <c r="M1484" s="836">
        <v>0</v>
      </c>
      <c r="N1484" s="836">
        <v>0</v>
      </c>
      <c r="O1484" s="836" t="s">
        <v>251</v>
      </c>
      <c r="P1484" s="1497">
        <f t="shared" si="118"/>
        <v>32000</v>
      </c>
      <c r="Q1484" s="1186">
        <f t="shared" si="119"/>
        <v>32000</v>
      </c>
      <c r="R1484" s="835"/>
      <c r="S1484" s="836"/>
      <c r="T1484" s="836"/>
      <c r="U1484" s="836"/>
      <c r="V1484" s="836"/>
      <c r="W1484" s="836"/>
      <c r="X1484" s="836"/>
      <c r="Y1484" s="836"/>
      <c r="Z1484" s="836"/>
      <c r="AA1484" s="836"/>
      <c r="AB1484" s="836"/>
      <c r="AC1484" s="836"/>
      <c r="AD1484" s="1186">
        <f t="shared" si="116"/>
        <v>0</v>
      </c>
      <c r="AE1484" s="637">
        <f t="shared" si="117"/>
        <v>-1</v>
      </c>
      <c r="AF1484" s="638">
        <f t="shared" si="120"/>
        <v>983</v>
      </c>
    </row>
    <row r="1485" spans="1:32" x14ac:dyDescent="0.3">
      <c r="A1485" s="381" t="s">
        <v>759</v>
      </c>
      <c r="B1485" s="1021" t="s">
        <v>1579</v>
      </c>
      <c r="C1485" s="835"/>
      <c r="D1485" s="836">
        <v>0</v>
      </c>
      <c r="E1485" s="836"/>
      <c r="F1485" s="836">
        <v>31000</v>
      </c>
      <c r="G1485" s="836">
        <v>0</v>
      </c>
      <c r="H1485" s="836">
        <v>0</v>
      </c>
      <c r="I1485" s="836">
        <v>0</v>
      </c>
      <c r="J1485" s="836">
        <v>0</v>
      </c>
      <c r="K1485" s="836">
        <v>0</v>
      </c>
      <c r="L1485" s="836">
        <v>0</v>
      </c>
      <c r="M1485" s="836">
        <v>0</v>
      </c>
      <c r="N1485" s="836">
        <v>0</v>
      </c>
      <c r="O1485" s="836" t="s">
        <v>251</v>
      </c>
      <c r="P1485" s="1497">
        <f t="shared" si="118"/>
        <v>31000</v>
      </c>
      <c r="Q1485" s="1186">
        <f t="shared" si="119"/>
        <v>31000</v>
      </c>
      <c r="R1485" s="835"/>
      <c r="S1485" s="836"/>
      <c r="T1485" s="836"/>
      <c r="U1485" s="836"/>
      <c r="V1485" s="836"/>
      <c r="W1485" s="836"/>
      <c r="X1485" s="836"/>
      <c r="Y1485" s="836"/>
      <c r="Z1485" s="836"/>
      <c r="AA1485" s="836"/>
      <c r="AB1485" s="836"/>
      <c r="AC1485" s="836"/>
      <c r="AD1485" s="1186">
        <f t="shared" si="116"/>
        <v>0</v>
      </c>
      <c r="AE1485" s="637">
        <f t="shared" si="117"/>
        <v>-1</v>
      </c>
      <c r="AF1485" s="638">
        <f t="shared" si="120"/>
        <v>983</v>
      </c>
    </row>
    <row r="1486" spans="1:32" x14ac:dyDescent="0.3">
      <c r="A1486" s="381" t="s">
        <v>759</v>
      </c>
      <c r="B1486" s="1021" t="s">
        <v>624</v>
      </c>
      <c r="C1486" s="835"/>
      <c r="D1486" s="836">
        <v>0</v>
      </c>
      <c r="E1486" s="836">
        <v>30000</v>
      </c>
      <c r="F1486" s="836">
        <v>0</v>
      </c>
      <c r="G1486" s="836">
        <v>0</v>
      </c>
      <c r="H1486" s="836">
        <v>0</v>
      </c>
      <c r="I1486" s="836">
        <v>0</v>
      </c>
      <c r="J1486" s="836">
        <v>0</v>
      </c>
      <c r="K1486" s="836">
        <v>0</v>
      </c>
      <c r="L1486" s="836">
        <v>0</v>
      </c>
      <c r="M1486" s="836">
        <v>0</v>
      </c>
      <c r="N1486" s="836">
        <v>0</v>
      </c>
      <c r="O1486" s="836" t="s">
        <v>251</v>
      </c>
      <c r="P1486" s="1497">
        <f t="shared" si="118"/>
        <v>30000</v>
      </c>
      <c r="Q1486" s="1186">
        <f t="shared" si="119"/>
        <v>30000</v>
      </c>
      <c r="R1486" s="835"/>
      <c r="S1486" s="836"/>
      <c r="T1486" s="836"/>
      <c r="U1486" s="836"/>
      <c r="V1486" s="836"/>
      <c r="W1486" s="836"/>
      <c r="X1486" s="836">
        <v>45000</v>
      </c>
      <c r="Y1486" s="836">
        <v>35000</v>
      </c>
      <c r="Z1486" s="836"/>
      <c r="AA1486" s="836"/>
      <c r="AB1486" s="836"/>
      <c r="AC1486" s="836"/>
      <c r="AD1486" s="1186">
        <f t="shared" si="116"/>
        <v>80000</v>
      </c>
      <c r="AE1486" s="637">
        <f t="shared" si="117"/>
        <v>1.6666666666666667</v>
      </c>
      <c r="AF1486" s="638">
        <f t="shared" si="120"/>
        <v>773</v>
      </c>
    </row>
    <row r="1487" spans="1:32" x14ac:dyDescent="0.3">
      <c r="A1487" s="381" t="s">
        <v>759</v>
      </c>
      <c r="B1487" s="1021" t="s">
        <v>1580</v>
      </c>
      <c r="C1487" s="835"/>
      <c r="D1487" s="836">
        <v>0</v>
      </c>
      <c r="E1487" s="836"/>
      <c r="F1487" s="836">
        <v>0</v>
      </c>
      <c r="G1487" s="836">
        <v>30000</v>
      </c>
      <c r="H1487" s="836">
        <v>0</v>
      </c>
      <c r="I1487" s="836">
        <v>0</v>
      </c>
      <c r="J1487" s="836">
        <v>0</v>
      </c>
      <c r="K1487" s="836">
        <v>0</v>
      </c>
      <c r="L1487" s="836">
        <v>0</v>
      </c>
      <c r="M1487" s="836">
        <v>0</v>
      </c>
      <c r="N1487" s="836">
        <v>0</v>
      </c>
      <c r="O1487" s="836" t="s">
        <v>251</v>
      </c>
      <c r="P1487" s="1497">
        <f t="shared" si="118"/>
        <v>30000</v>
      </c>
      <c r="Q1487" s="1186">
        <f t="shared" si="119"/>
        <v>30000</v>
      </c>
      <c r="R1487" s="835"/>
      <c r="S1487" s="836"/>
      <c r="T1487" s="836"/>
      <c r="U1487" s="836"/>
      <c r="V1487" s="836"/>
      <c r="W1487" s="836"/>
      <c r="X1487" s="836"/>
      <c r="Y1487" s="836"/>
      <c r="Z1487" s="836"/>
      <c r="AA1487" s="836"/>
      <c r="AB1487" s="836"/>
      <c r="AC1487" s="836"/>
      <c r="AD1487" s="1186">
        <f t="shared" ref="AD1487:AD1550" si="121">SUM(R1487:AC1487)</f>
        <v>0</v>
      </c>
      <c r="AE1487" s="637">
        <f t="shared" ref="AE1487:AE1550" si="122">IF(OR(AD1487="", P1487=""), 0, IFERROR((AD1487-P1487)/P1487, IF(AD1487&lt;&gt;0, 1, 0)))</f>
        <v>-1</v>
      </c>
      <c r="AF1487" s="638">
        <f t="shared" si="120"/>
        <v>983</v>
      </c>
    </row>
    <row r="1488" spans="1:32" x14ac:dyDescent="0.3">
      <c r="A1488" s="381" t="s">
        <v>759</v>
      </c>
      <c r="B1488" s="1021" t="s">
        <v>1581</v>
      </c>
      <c r="C1488" s="835"/>
      <c r="D1488" s="836">
        <v>0</v>
      </c>
      <c r="E1488" s="836"/>
      <c r="F1488" s="836">
        <v>30000</v>
      </c>
      <c r="G1488" s="836">
        <v>0</v>
      </c>
      <c r="H1488" s="836">
        <v>0</v>
      </c>
      <c r="I1488" s="836">
        <v>155000</v>
      </c>
      <c r="J1488" s="836">
        <v>0</v>
      </c>
      <c r="K1488" s="836">
        <v>0</v>
      </c>
      <c r="L1488" s="836">
        <v>128000</v>
      </c>
      <c r="M1488" s="836">
        <v>67000</v>
      </c>
      <c r="N1488" s="836">
        <v>0</v>
      </c>
      <c r="O1488" s="836" t="s">
        <v>251</v>
      </c>
      <c r="P1488" s="1497">
        <f t="shared" si="118"/>
        <v>185000</v>
      </c>
      <c r="Q1488" s="1186">
        <f t="shared" si="119"/>
        <v>380000</v>
      </c>
      <c r="R1488" s="835"/>
      <c r="S1488" s="836"/>
      <c r="T1488" s="836">
        <v>39000</v>
      </c>
      <c r="U1488" s="836">
        <v>0</v>
      </c>
      <c r="V1488" s="836">
        <v>0</v>
      </c>
      <c r="W1488" s="836">
        <v>0</v>
      </c>
      <c r="X1488" s="836">
        <v>0</v>
      </c>
      <c r="Y1488" s="836">
        <v>0</v>
      </c>
      <c r="Z1488" s="836"/>
      <c r="AA1488" s="836"/>
      <c r="AB1488" s="836"/>
      <c r="AC1488" s="836"/>
      <c r="AD1488" s="1186">
        <f t="shared" si="121"/>
        <v>39000</v>
      </c>
      <c r="AE1488" s="637">
        <f t="shared" si="122"/>
        <v>-0.78918918918918923</v>
      </c>
      <c r="AF1488" s="638">
        <f t="shared" si="120"/>
        <v>871</v>
      </c>
    </row>
    <row r="1489" spans="1:32" x14ac:dyDescent="0.3">
      <c r="A1489" s="381" t="s">
        <v>759</v>
      </c>
      <c r="B1489" s="1021" t="s">
        <v>1582</v>
      </c>
      <c r="C1489" s="835">
        <v>29000</v>
      </c>
      <c r="D1489" s="836">
        <v>0</v>
      </c>
      <c r="E1489" s="836"/>
      <c r="F1489" s="836">
        <v>0</v>
      </c>
      <c r="G1489" s="836" t="s">
        <v>251</v>
      </c>
      <c r="H1489" s="836" t="s">
        <v>251</v>
      </c>
      <c r="I1489" s="836">
        <v>59000</v>
      </c>
      <c r="J1489" s="836">
        <v>0</v>
      </c>
      <c r="K1489" s="836">
        <v>0</v>
      </c>
      <c r="L1489" s="836">
        <v>0</v>
      </c>
      <c r="M1489" s="836">
        <v>0</v>
      </c>
      <c r="N1489" s="836">
        <v>0</v>
      </c>
      <c r="O1489" s="836" t="s">
        <v>251</v>
      </c>
      <c r="P1489" s="1497">
        <f t="shared" si="118"/>
        <v>88000</v>
      </c>
      <c r="Q1489" s="1186">
        <f t="shared" si="119"/>
        <v>88000</v>
      </c>
      <c r="R1489" s="835"/>
      <c r="S1489" s="836"/>
      <c r="T1489" s="836"/>
      <c r="U1489" s="836">
        <v>59000</v>
      </c>
      <c r="V1489" s="836">
        <v>0</v>
      </c>
      <c r="W1489" s="836">
        <v>75000</v>
      </c>
      <c r="X1489" s="836">
        <v>0</v>
      </c>
      <c r="Y1489" s="836">
        <v>175000</v>
      </c>
      <c r="Z1489" s="836"/>
      <c r="AA1489" s="836"/>
      <c r="AB1489" s="836"/>
      <c r="AC1489" s="836"/>
      <c r="AD1489" s="1186">
        <f t="shared" si="121"/>
        <v>309000</v>
      </c>
      <c r="AE1489" s="637">
        <f t="shared" si="122"/>
        <v>2.5113636363636362</v>
      </c>
      <c r="AF1489" s="638">
        <f t="shared" si="120"/>
        <v>526</v>
      </c>
    </row>
    <row r="1490" spans="1:32" x14ac:dyDescent="0.3">
      <c r="A1490" s="381" t="s">
        <v>759</v>
      </c>
      <c r="B1490" s="1021" t="s">
        <v>1583</v>
      </c>
      <c r="C1490" s="835"/>
      <c r="D1490" s="836">
        <v>0</v>
      </c>
      <c r="E1490" s="836"/>
      <c r="F1490" s="836">
        <v>29000</v>
      </c>
      <c r="G1490" s="836" t="s">
        <v>251</v>
      </c>
      <c r="H1490" s="836" t="s">
        <v>251</v>
      </c>
      <c r="I1490" s="836">
        <v>0</v>
      </c>
      <c r="J1490" s="836">
        <v>0</v>
      </c>
      <c r="K1490" s="836">
        <v>0</v>
      </c>
      <c r="L1490" s="836">
        <v>0</v>
      </c>
      <c r="M1490" s="836">
        <v>0</v>
      </c>
      <c r="N1490" s="836">
        <v>0</v>
      </c>
      <c r="O1490" s="836" t="s">
        <v>251</v>
      </c>
      <c r="P1490" s="1497">
        <f t="shared" si="118"/>
        <v>29000</v>
      </c>
      <c r="Q1490" s="1186">
        <f t="shared" si="119"/>
        <v>29000</v>
      </c>
      <c r="R1490" s="835"/>
      <c r="S1490" s="836"/>
      <c r="T1490" s="836"/>
      <c r="U1490" s="836"/>
      <c r="V1490" s="836"/>
      <c r="W1490" s="836"/>
      <c r="X1490" s="836"/>
      <c r="Y1490" s="836"/>
      <c r="Z1490" s="836"/>
      <c r="AA1490" s="836"/>
      <c r="AB1490" s="836"/>
      <c r="AC1490" s="836"/>
      <c r="AD1490" s="1186">
        <f t="shared" si="121"/>
        <v>0</v>
      </c>
      <c r="AE1490" s="637">
        <f t="shared" si="122"/>
        <v>-1</v>
      </c>
      <c r="AF1490" s="638">
        <f t="shared" si="120"/>
        <v>983</v>
      </c>
    </row>
    <row r="1491" spans="1:32" x14ac:dyDescent="0.3">
      <c r="A1491" s="381" t="s">
        <v>759</v>
      </c>
      <c r="B1491" s="1021" t="s">
        <v>1584</v>
      </c>
      <c r="C1491" s="835"/>
      <c r="D1491" s="836">
        <v>0</v>
      </c>
      <c r="E1491" s="836">
        <v>28000</v>
      </c>
      <c r="F1491" s="836">
        <v>0</v>
      </c>
      <c r="G1491" s="836">
        <v>0</v>
      </c>
      <c r="H1491" s="836">
        <v>133000</v>
      </c>
      <c r="I1491" s="836">
        <v>0</v>
      </c>
      <c r="J1491" s="836">
        <v>0</v>
      </c>
      <c r="K1491" s="836">
        <v>0</v>
      </c>
      <c r="L1491" s="836">
        <v>0</v>
      </c>
      <c r="M1491" s="836">
        <v>0</v>
      </c>
      <c r="N1491" s="836">
        <v>0</v>
      </c>
      <c r="O1491" s="836" t="s">
        <v>251</v>
      </c>
      <c r="P1491" s="1497">
        <f t="shared" si="118"/>
        <v>161000</v>
      </c>
      <c r="Q1491" s="1186">
        <f t="shared" si="119"/>
        <v>161000</v>
      </c>
      <c r="R1491" s="835"/>
      <c r="S1491" s="836"/>
      <c r="T1491" s="836"/>
      <c r="U1491" s="836"/>
      <c r="V1491" s="836"/>
      <c r="W1491" s="836"/>
      <c r="X1491" s="836"/>
      <c r="Y1491" s="836">
        <v>29000</v>
      </c>
      <c r="Z1491" s="836"/>
      <c r="AA1491" s="836"/>
      <c r="AB1491" s="836"/>
      <c r="AC1491" s="836"/>
      <c r="AD1491" s="1186">
        <f t="shared" si="121"/>
        <v>29000</v>
      </c>
      <c r="AE1491" s="637">
        <f t="shared" si="122"/>
        <v>-0.81987577639751552</v>
      </c>
      <c r="AF1491" s="638">
        <f t="shared" si="120"/>
        <v>898</v>
      </c>
    </row>
    <row r="1492" spans="1:32" x14ac:dyDescent="0.3">
      <c r="A1492" s="381" t="s">
        <v>759</v>
      </c>
      <c r="B1492" s="1021" t="s">
        <v>1585</v>
      </c>
      <c r="C1492" s="835"/>
      <c r="D1492" s="836">
        <v>0</v>
      </c>
      <c r="E1492" s="836"/>
      <c r="F1492" s="836">
        <v>28000</v>
      </c>
      <c r="G1492" s="836">
        <v>0</v>
      </c>
      <c r="H1492" s="836">
        <v>0</v>
      </c>
      <c r="I1492" s="836">
        <v>0</v>
      </c>
      <c r="J1492" s="836">
        <v>0</v>
      </c>
      <c r="K1492" s="836">
        <v>0</v>
      </c>
      <c r="L1492" s="836">
        <v>0</v>
      </c>
      <c r="M1492" s="836">
        <v>0</v>
      </c>
      <c r="N1492" s="836" t="s">
        <v>251</v>
      </c>
      <c r="O1492" s="836" t="s">
        <v>251</v>
      </c>
      <c r="P1492" s="1497">
        <f t="shared" si="118"/>
        <v>28000</v>
      </c>
      <c r="Q1492" s="1186">
        <f t="shared" si="119"/>
        <v>28000</v>
      </c>
      <c r="R1492" s="835"/>
      <c r="S1492" s="836"/>
      <c r="T1492" s="836"/>
      <c r="U1492" s="836"/>
      <c r="V1492" s="836"/>
      <c r="W1492" s="836"/>
      <c r="X1492" s="836"/>
      <c r="Y1492" s="836"/>
      <c r="Z1492" s="836"/>
      <c r="AA1492" s="836"/>
      <c r="AB1492" s="836"/>
      <c r="AC1492" s="836"/>
      <c r="AD1492" s="1186">
        <f t="shared" si="121"/>
        <v>0</v>
      </c>
      <c r="AE1492" s="637">
        <f t="shared" si="122"/>
        <v>-1</v>
      </c>
      <c r="AF1492" s="638">
        <f t="shared" si="120"/>
        <v>983</v>
      </c>
    </row>
    <row r="1493" spans="1:32" x14ac:dyDescent="0.3">
      <c r="A1493" s="381" t="s">
        <v>759</v>
      </c>
      <c r="B1493" s="1021" t="s">
        <v>870</v>
      </c>
      <c r="C1493" s="835"/>
      <c r="D1493" s="836">
        <v>0</v>
      </c>
      <c r="E1493" s="836"/>
      <c r="F1493" s="836">
        <v>0</v>
      </c>
      <c r="G1493" s="836">
        <v>28000</v>
      </c>
      <c r="H1493" s="836">
        <v>0</v>
      </c>
      <c r="I1493" s="836">
        <v>0</v>
      </c>
      <c r="J1493" s="836">
        <v>0</v>
      </c>
      <c r="K1493" s="836">
        <v>0</v>
      </c>
      <c r="L1493" s="836">
        <v>0</v>
      </c>
      <c r="M1493" s="836">
        <v>54000</v>
      </c>
      <c r="N1493" s="836">
        <v>0</v>
      </c>
      <c r="O1493" s="836" t="s">
        <v>251</v>
      </c>
      <c r="P1493" s="1497">
        <f t="shared" si="118"/>
        <v>28000</v>
      </c>
      <c r="Q1493" s="1186">
        <f t="shared" si="119"/>
        <v>82000</v>
      </c>
      <c r="R1493" s="835"/>
      <c r="S1493" s="836"/>
      <c r="T1493" s="836"/>
      <c r="U1493" s="836"/>
      <c r="V1493" s="836"/>
      <c r="W1493" s="836"/>
      <c r="X1493" s="836"/>
      <c r="Y1493" s="836"/>
      <c r="Z1493" s="836"/>
      <c r="AA1493" s="836"/>
      <c r="AB1493" s="836"/>
      <c r="AC1493" s="836"/>
      <c r="AD1493" s="1186">
        <f t="shared" si="121"/>
        <v>0</v>
      </c>
      <c r="AE1493" s="637">
        <f t="shared" si="122"/>
        <v>-1</v>
      </c>
      <c r="AF1493" s="638">
        <f t="shared" si="120"/>
        <v>983</v>
      </c>
    </row>
    <row r="1494" spans="1:32" x14ac:dyDescent="0.3">
      <c r="A1494" s="381" t="s">
        <v>759</v>
      </c>
      <c r="B1494" s="1021" t="s">
        <v>1586</v>
      </c>
      <c r="C1494" s="835"/>
      <c r="D1494" s="836">
        <v>26000</v>
      </c>
      <c r="E1494" s="836"/>
      <c r="F1494" s="836">
        <v>0</v>
      </c>
      <c r="G1494" s="836">
        <v>0</v>
      </c>
      <c r="H1494" s="836">
        <v>0</v>
      </c>
      <c r="I1494" s="836">
        <v>0</v>
      </c>
      <c r="J1494" s="836">
        <v>0</v>
      </c>
      <c r="K1494" s="836">
        <v>0</v>
      </c>
      <c r="L1494" s="836">
        <v>14000</v>
      </c>
      <c r="M1494" s="836">
        <v>0</v>
      </c>
      <c r="N1494" s="836">
        <v>0</v>
      </c>
      <c r="O1494" s="836">
        <v>12000</v>
      </c>
      <c r="P1494" s="1497">
        <f t="shared" ref="P1494:P1557" si="123">SUM(C1494:I1494,K1494)</f>
        <v>26000</v>
      </c>
      <c r="Q1494" s="1186">
        <f t="shared" ref="Q1494:Q1557" si="124">SUM(C1494:J1494,L1494:O1494)</f>
        <v>52000</v>
      </c>
      <c r="R1494" s="835">
        <v>19000</v>
      </c>
      <c r="S1494" s="836"/>
      <c r="T1494" s="836">
        <v>0</v>
      </c>
      <c r="U1494" s="836">
        <v>0</v>
      </c>
      <c r="V1494" s="836">
        <v>0</v>
      </c>
      <c r="W1494" s="836">
        <v>0</v>
      </c>
      <c r="X1494" s="836">
        <v>255000</v>
      </c>
      <c r="Y1494" s="836">
        <v>0</v>
      </c>
      <c r="Z1494" s="836"/>
      <c r="AA1494" s="836"/>
      <c r="AB1494" s="836"/>
      <c r="AC1494" s="836"/>
      <c r="AD1494" s="1186">
        <f t="shared" si="121"/>
        <v>274000</v>
      </c>
      <c r="AE1494" s="637">
        <f t="shared" si="122"/>
        <v>9.5384615384615383</v>
      </c>
      <c r="AF1494" s="638">
        <f t="shared" si="120"/>
        <v>548</v>
      </c>
    </row>
    <row r="1495" spans="1:32" x14ac:dyDescent="0.3">
      <c r="A1495" s="381" t="s">
        <v>759</v>
      </c>
      <c r="B1495" s="1021" t="s">
        <v>1587</v>
      </c>
      <c r="C1495" s="835">
        <v>25000</v>
      </c>
      <c r="D1495" s="836">
        <v>0</v>
      </c>
      <c r="E1495" s="836"/>
      <c r="F1495" s="836">
        <v>0</v>
      </c>
      <c r="G1495" s="836">
        <v>0</v>
      </c>
      <c r="H1495" s="836">
        <v>0</v>
      </c>
      <c r="I1495" s="836">
        <v>0</v>
      </c>
      <c r="J1495" s="836">
        <v>0</v>
      </c>
      <c r="K1495" s="836">
        <v>0</v>
      </c>
      <c r="L1495" s="836">
        <v>0</v>
      </c>
      <c r="M1495" s="836">
        <v>0</v>
      </c>
      <c r="N1495" s="836">
        <v>0</v>
      </c>
      <c r="O1495" s="836" t="s">
        <v>251</v>
      </c>
      <c r="P1495" s="1497">
        <f t="shared" si="123"/>
        <v>25000</v>
      </c>
      <c r="Q1495" s="1186">
        <f t="shared" si="124"/>
        <v>25000</v>
      </c>
      <c r="R1495" s="835"/>
      <c r="S1495" s="836"/>
      <c r="T1495" s="836"/>
      <c r="U1495" s="836"/>
      <c r="V1495" s="836"/>
      <c r="W1495" s="836"/>
      <c r="X1495" s="836"/>
      <c r="Y1495" s="836"/>
      <c r="Z1495" s="836"/>
      <c r="AA1495" s="836"/>
      <c r="AB1495" s="836"/>
      <c r="AC1495" s="836"/>
      <c r="AD1495" s="1186">
        <f t="shared" si="121"/>
        <v>0</v>
      </c>
      <c r="AE1495" s="637">
        <f t="shared" si="122"/>
        <v>-1</v>
      </c>
      <c r="AF1495" s="638">
        <f t="shared" si="120"/>
        <v>983</v>
      </c>
    </row>
    <row r="1496" spans="1:32" x14ac:dyDescent="0.3">
      <c r="A1496" s="381" t="s">
        <v>759</v>
      </c>
      <c r="B1496" s="1021" t="s">
        <v>1588</v>
      </c>
      <c r="C1496" s="835"/>
      <c r="D1496" s="836">
        <v>0</v>
      </c>
      <c r="E1496" s="836"/>
      <c r="F1496" s="836">
        <v>0</v>
      </c>
      <c r="G1496" s="836">
        <v>25000</v>
      </c>
      <c r="H1496" s="836">
        <v>0</v>
      </c>
      <c r="I1496" s="836">
        <v>0</v>
      </c>
      <c r="J1496" s="836">
        <v>33000</v>
      </c>
      <c r="K1496" s="836">
        <v>33000</v>
      </c>
      <c r="L1496" s="836">
        <v>90000</v>
      </c>
      <c r="M1496" s="836">
        <v>0</v>
      </c>
      <c r="N1496" s="836">
        <v>0</v>
      </c>
      <c r="O1496" s="836" t="s">
        <v>251</v>
      </c>
      <c r="P1496" s="1497">
        <f t="shared" si="123"/>
        <v>58000</v>
      </c>
      <c r="Q1496" s="1186">
        <f t="shared" si="124"/>
        <v>148000</v>
      </c>
      <c r="R1496" s="835">
        <v>27500</v>
      </c>
      <c r="S1496" s="836"/>
      <c r="T1496" s="836">
        <v>0</v>
      </c>
      <c r="U1496" s="836">
        <v>0</v>
      </c>
      <c r="V1496" s="836">
        <v>0</v>
      </c>
      <c r="W1496" s="836">
        <v>0</v>
      </c>
      <c r="X1496" s="836">
        <v>0</v>
      </c>
      <c r="Y1496" s="836">
        <v>0</v>
      </c>
      <c r="Z1496" s="836"/>
      <c r="AA1496" s="836"/>
      <c r="AB1496" s="836"/>
      <c r="AC1496" s="836"/>
      <c r="AD1496" s="1186">
        <f t="shared" si="121"/>
        <v>27500</v>
      </c>
      <c r="AE1496" s="637">
        <f t="shared" si="122"/>
        <v>-0.52586206896551724</v>
      </c>
      <c r="AF1496" s="638">
        <f t="shared" si="120"/>
        <v>903</v>
      </c>
    </row>
    <row r="1497" spans="1:32" x14ac:dyDescent="0.3">
      <c r="A1497" s="381" t="s">
        <v>759</v>
      </c>
      <c r="B1497" s="1021" t="s">
        <v>1589</v>
      </c>
      <c r="C1497" s="835"/>
      <c r="D1497" s="836">
        <v>0</v>
      </c>
      <c r="E1497" s="836">
        <v>25000</v>
      </c>
      <c r="F1497" s="836">
        <v>0</v>
      </c>
      <c r="G1497" s="836">
        <v>0</v>
      </c>
      <c r="H1497" s="836">
        <v>0</v>
      </c>
      <c r="I1497" s="836">
        <v>0</v>
      </c>
      <c r="J1497" s="836">
        <v>23000</v>
      </c>
      <c r="K1497" s="836">
        <v>23000</v>
      </c>
      <c r="L1497" s="836">
        <v>0</v>
      </c>
      <c r="M1497" s="836">
        <v>0</v>
      </c>
      <c r="N1497" s="836">
        <v>25000</v>
      </c>
      <c r="O1497" s="836" t="s">
        <v>251</v>
      </c>
      <c r="P1497" s="1497">
        <f t="shared" si="123"/>
        <v>48000</v>
      </c>
      <c r="Q1497" s="1186">
        <f t="shared" si="124"/>
        <v>73000</v>
      </c>
      <c r="R1497" s="835"/>
      <c r="S1497" s="836"/>
      <c r="T1497" s="836"/>
      <c r="U1497" s="836">
        <v>11000</v>
      </c>
      <c r="V1497" s="836">
        <v>25000</v>
      </c>
      <c r="W1497" s="836">
        <v>75000</v>
      </c>
      <c r="X1497" s="836">
        <v>25000</v>
      </c>
      <c r="Y1497" s="836">
        <v>0</v>
      </c>
      <c r="Z1497" s="836"/>
      <c r="AA1497" s="836"/>
      <c r="AB1497" s="836"/>
      <c r="AC1497" s="836"/>
      <c r="AD1497" s="1186">
        <f t="shared" si="121"/>
        <v>136000</v>
      </c>
      <c r="AE1497" s="637">
        <f t="shared" si="122"/>
        <v>1.8333333333333333</v>
      </c>
      <c r="AF1497" s="638">
        <f t="shared" si="120"/>
        <v>689</v>
      </c>
    </row>
    <row r="1498" spans="1:32" x14ac:dyDescent="0.3">
      <c r="A1498" s="381" t="s">
        <v>759</v>
      </c>
      <c r="B1498" s="1021" t="s">
        <v>1590</v>
      </c>
      <c r="C1498" s="835"/>
      <c r="D1498" s="836">
        <v>0</v>
      </c>
      <c r="E1498" s="836"/>
      <c r="F1498" s="836">
        <v>25000</v>
      </c>
      <c r="G1498" s="836">
        <v>0</v>
      </c>
      <c r="H1498" s="836">
        <v>0</v>
      </c>
      <c r="I1498" s="836">
        <v>0</v>
      </c>
      <c r="J1498" s="836">
        <v>0</v>
      </c>
      <c r="K1498" s="836">
        <v>0</v>
      </c>
      <c r="L1498" s="836">
        <v>0</v>
      </c>
      <c r="M1498" s="836">
        <v>0</v>
      </c>
      <c r="N1498" s="836">
        <v>25000</v>
      </c>
      <c r="O1498" s="836" t="s">
        <v>251</v>
      </c>
      <c r="P1498" s="1497">
        <f t="shared" si="123"/>
        <v>25000</v>
      </c>
      <c r="Q1498" s="1186">
        <f t="shared" si="124"/>
        <v>50000</v>
      </c>
      <c r="R1498" s="835"/>
      <c r="S1498" s="836"/>
      <c r="T1498" s="836"/>
      <c r="U1498" s="836"/>
      <c r="V1498" s="836"/>
      <c r="W1498" s="836"/>
      <c r="X1498" s="836"/>
      <c r="Y1498" s="836"/>
      <c r="Z1498" s="836"/>
      <c r="AA1498" s="836"/>
      <c r="AB1498" s="836"/>
      <c r="AC1498" s="836"/>
      <c r="AD1498" s="1186">
        <f t="shared" si="121"/>
        <v>0</v>
      </c>
      <c r="AE1498" s="637">
        <f t="shared" si="122"/>
        <v>-1</v>
      </c>
      <c r="AF1498" s="638">
        <f t="shared" si="120"/>
        <v>983</v>
      </c>
    </row>
    <row r="1499" spans="1:32" x14ac:dyDescent="0.3">
      <c r="A1499" s="381" t="s">
        <v>759</v>
      </c>
      <c r="B1499" s="1021" t="s">
        <v>1591</v>
      </c>
      <c r="C1499" s="835"/>
      <c r="D1499" s="836">
        <v>0</v>
      </c>
      <c r="E1499" s="836">
        <v>25000</v>
      </c>
      <c r="F1499" s="836">
        <v>0</v>
      </c>
      <c r="G1499" s="836">
        <v>0</v>
      </c>
      <c r="H1499" s="836">
        <v>0</v>
      </c>
      <c r="I1499" s="836">
        <v>0</v>
      </c>
      <c r="J1499" s="836">
        <v>0</v>
      </c>
      <c r="K1499" s="836">
        <v>0</v>
      </c>
      <c r="L1499" s="836">
        <v>0</v>
      </c>
      <c r="M1499" s="836">
        <v>0</v>
      </c>
      <c r="N1499" s="836">
        <v>0</v>
      </c>
      <c r="O1499" s="836" t="s">
        <v>251</v>
      </c>
      <c r="P1499" s="1497">
        <f t="shared" si="123"/>
        <v>25000</v>
      </c>
      <c r="Q1499" s="1186">
        <f t="shared" si="124"/>
        <v>25000</v>
      </c>
      <c r="R1499" s="835"/>
      <c r="S1499" s="836"/>
      <c r="T1499" s="836">
        <v>23969000</v>
      </c>
      <c r="U1499" s="836">
        <v>2766000</v>
      </c>
      <c r="V1499" s="836">
        <v>3510500</v>
      </c>
      <c r="W1499" s="836">
        <v>2484500</v>
      </c>
      <c r="X1499" s="836">
        <v>837000</v>
      </c>
      <c r="Y1499" s="836">
        <v>689700</v>
      </c>
      <c r="Z1499" s="836"/>
      <c r="AA1499" s="836"/>
      <c r="AB1499" s="836"/>
      <c r="AC1499" s="836"/>
      <c r="AD1499" s="1186">
        <f t="shared" si="121"/>
        <v>34256700</v>
      </c>
      <c r="AE1499" s="637">
        <f t="shared" si="122"/>
        <v>1369.268</v>
      </c>
      <c r="AF1499" s="638">
        <f t="shared" si="120"/>
        <v>7</v>
      </c>
    </row>
    <row r="1500" spans="1:32" x14ac:dyDescent="0.3">
      <c r="A1500" s="381" t="s">
        <v>759</v>
      </c>
      <c r="B1500" s="1021" t="s">
        <v>1592</v>
      </c>
      <c r="C1500" s="835"/>
      <c r="D1500" s="836">
        <v>0</v>
      </c>
      <c r="E1500" s="836"/>
      <c r="F1500" s="836">
        <v>0</v>
      </c>
      <c r="G1500" s="836">
        <v>25000</v>
      </c>
      <c r="H1500" s="836">
        <v>0</v>
      </c>
      <c r="I1500" s="836">
        <v>0</v>
      </c>
      <c r="J1500" s="836">
        <v>0</v>
      </c>
      <c r="K1500" s="836">
        <v>0</v>
      </c>
      <c r="L1500" s="836">
        <v>0</v>
      </c>
      <c r="M1500" s="836">
        <v>0</v>
      </c>
      <c r="N1500" s="836">
        <v>0</v>
      </c>
      <c r="O1500" s="836" t="s">
        <v>251</v>
      </c>
      <c r="P1500" s="1497">
        <f t="shared" si="123"/>
        <v>25000</v>
      </c>
      <c r="Q1500" s="1186">
        <f t="shared" si="124"/>
        <v>25000</v>
      </c>
      <c r="R1500" s="835"/>
      <c r="S1500" s="836"/>
      <c r="T1500" s="836"/>
      <c r="U1500" s="836"/>
      <c r="V1500" s="836"/>
      <c r="W1500" s="836"/>
      <c r="X1500" s="836"/>
      <c r="Y1500" s="836"/>
      <c r="Z1500" s="836"/>
      <c r="AA1500" s="836"/>
      <c r="AB1500" s="836"/>
      <c r="AC1500" s="836"/>
      <c r="AD1500" s="1186">
        <f t="shared" si="121"/>
        <v>0</v>
      </c>
      <c r="AE1500" s="637">
        <f t="shared" si="122"/>
        <v>-1</v>
      </c>
      <c r="AF1500" s="638">
        <f t="shared" si="120"/>
        <v>983</v>
      </c>
    </row>
    <row r="1501" spans="1:32" x14ac:dyDescent="0.3">
      <c r="A1501" s="381" t="s">
        <v>759</v>
      </c>
      <c r="B1501" s="1021" t="s">
        <v>1593</v>
      </c>
      <c r="C1501" s="835">
        <v>24200</v>
      </c>
      <c r="D1501" s="836">
        <v>0</v>
      </c>
      <c r="E1501" s="836"/>
      <c r="F1501" s="836">
        <v>0</v>
      </c>
      <c r="G1501" s="836">
        <v>0</v>
      </c>
      <c r="H1501" s="836">
        <v>0</v>
      </c>
      <c r="I1501" s="836">
        <v>31000</v>
      </c>
      <c r="J1501" s="836">
        <v>0</v>
      </c>
      <c r="K1501" s="836">
        <v>0</v>
      </c>
      <c r="L1501" s="836">
        <v>0</v>
      </c>
      <c r="M1501" s="836">
        <v>0</v>
      </c>
      <c r="N1501" s="836">
        <v>0</v>
      </c>
      <c r="O1501" s="836" t="s">
        <v>251</v>
      </c>
      <c r="P1501" s="1497">
        <f t="shared" si="123"/>
        <v>55200</v>
      </c>
      <c r="Q1501" s="1186">
        <f t="shared" si="124"/>
        <v>55200</v>
      </c>
      <c r="R1501" s="835"/>
      <c r="S1501" s="836"/>
      <c r="T1501" s="836"/>
      <c r="U1501" s="836"/>
      <c r="V1501" s="836"/>
      <c r="W1501" s="836"/>
      <c r="X1501" s="836"/>
      <c r="Y1501" s="836"/>
      <c r="Z1501" s="836"/>
      <c r="AA1501" s="836"/>
      <c r="AB1501" s="836"/>
      <c r="AC1501" s="836"/>
      <c r="AD1501" s="1186">
        <f t="shared" si="121"/>
        <v>0</v>
      </c>
      <c r="AE1501" s="637">
        <f t="shared" si="122"/>
        <v>-1</v>
      </c>
      <c r="AF1501" s="638">
        <f t="shared" si="120"/>
        <v>983</v>
      </c>
    </row>
    <row r="1502" spans="1:32" x14ac:dyDescent="0.3">
      <c r="A1502" s="381" t="s">
        <v>759</v>
      </c>
      <c r="B1502" s="1021" t="s">
        <v>1371</v>
      </c>
      <c r="C1502" s="835">
        <v>23000</v>
      </c>
      <c r="D1502" s="836">
        <v>0</v>
      </c>
      <c r="E1502" s="836"/>
      <c r="F1502" s="836">
        <v>0</v>
      </c>
      <c r="G1502" s="836">
        <v>0</v>
      </c>
      <c r="H1502" s="836">
        <v>0</v>
      </c>
      <c r="I1502" s="836">
        <v>0</v>
      </c>
      <c r="J1502" s="836">
        <v>0</v>
      </c>
      <c r="K1502" s="836">
        <v>0</v>
      </c>
      <c r="L1502" s="836">
        <v>0</v>
      </c>
      <c r="M1502" s="836">
        <v>0</v>
      </c>
      <c r="N1502" s="836">
        <v>44000</v>
      </c>
      <c r="O1502" s="836">
        <v>265000</v>
      </c>
      <c r="P1502" s="1497">
        <f t="shared" si="123"/>
        <v>23000</v>
      </c>
      <c r="Q1502" s="1186">
        <f t="shared" si="124"/>
        <v>332000</v>
      </c>
      <c r="R1502" s="835">
        <v>322000</v>
      </c>
      <c r="S1502" s="836"/>
      <c r="T1502" s="836">
        <v>101000</v>
      </c>
      <c r="U1502" s="836">
        <v>0</v>
      </c>
      <c r="V1502" s="836">
        <v>0</v>
      </c>
      <c r="W1502" s="836">
        <v>0</v>
      </c>
      <c r="X1502" s="836">
        <v>0</v>
      </c>
      <c r="Y1502" s="836">
        <v>0</v>
      </c>
      <c r="Z1502" s="836"/>
      <c r="AA1502" s="836"/>
      <c r="AB1502" s="836"/>
      <c r="AC1502" s="836"/>
      <c r="AD1502" s="1186">
        <f t="shared" si="121"/>
        <v>423000</v>
      </c>
      <c r="AE1502" s="637">
        <f t="shared" si="122"/>
        <v>17.391304347826086</v>
      </c>
      <c r="AF1502" s="638">
        <f t="shared" si="120"/>
        <v>472</v>
      </c>
    </row>
    <row r="1503" spans="1:32" x14ac:dyDescent="0.3">
      <c r="A1503" s="381" t="s">
        <v>759</v>
      </c>
      <c r="B1503" s="1021" t="s">
        <v>1594</v>
      </c>
      <c r="C1503" s="835"/>
      <c r="D1503" s="836">
        <v>0</v>
      </c>
      <c r="E1503" s="836"/>
      <c r="F1503" s="836">
        <v>0</v>
      </c>
      <c r="G1503" s="836">
        <v>23000</v>
      </c>
      <c r="H1503" s="836">
        <v>0</v>
      </c>
      <c r="I1503" s="836">
        <v>0</v>
      </c>
      <c r="J1503" s="836">
        <v>0</v>
      </c>
      <c r="K1503" s="836">
        <v>0</v>
      </c>
      <c r="L1503" s="836">
        <v>0</v>
      </c>
      <c r="M1503" s="836">
        <v>0</v>
      </c>
      <c r="N1503" s="836">
        <v>0</v>
      </c>
      <c r="O1503" s="836" t="s">
        <v>251</v>
      </c>
      <c r="P1503" s="1497">
        <f t="shared" si="123"/>
        <v>23000</v>
      </c>
      <c r="Q1503" s="1186">
        <f t="shared" si="124"/>
        <v>23000</v>
      </c>
      <c r="R1503" s="835"/>
      <c r="S1503" s="836"/>
      <c r="T1503" s="836"/>
      <c r="U1503" s="836"/>
      <c r="V1503" s="836"/>
      <c r="W1503" s="836"/>
      <c r="X1503" s="836"/>
      <c r="Y1503" s="836"/>
      <c r="Z1503" s="836"/>
      <c r="AA1503" s="836"/>
      <c r="AB1503" s="836"/>
      <c r="AC1503" s="836"/>
      <c r="AD1503" s="1186">
        <f t="shared" si="121"/>
        <v>0</v>
      </c>
      <c r="AE1503" s="637">
        <f t="shared" si="122"/>
        <v>-1</v>
      </c>
      <c r="AF1503" s="638">
        <f t="shared" si="120"/>
        <v>983</v>
      </c>
    </row>
    <row r="1504" spans="1:32" x14ac:dyDescent="0.3">
      <c r="A1504" s="381" t="s">
        <v>759</v>
      </c>
      <c r="B1504" s="1021" t="s">
        <v>720</v>
      </c>
      <c r="C1504" s="835"/>
      <c r="D1504" s="836">
        <v>0</v>
      </c>
      <c r="E1504" s="836">
        <v>23000</v>
      </c>
      <c r="F1504" s="836">
        <v>0</v>
      </c>
      <c r="G1504" s="836">
        <v>0</v>
      </c>
      <c r="H1504" s="836">
        <v>0</v>
      </c>
      <c r="I1504" s="836">
        <v>0</v>
      </c>
      <c r="J1504" s="836">
        <v>0</v>
      </c>
      <c r="K1504" s="836">
        <v>0</v>
      </c>
      <c r="L1504" s="836">
        <v>0</v>
      </c>
      <c r="M1504" s="836">
        <v>0</v>
      </c>
      <c r="N1504" s="836">
        <v>0</v>
      </c>
      <c r="O1504" s="836" t="s">
        <v>251</v>
      </c>
      <c r="P1504" s="1497">
        <f t="shared" si="123"/>
        <v>23000</v>
      </c>
      <c r="Q1504" s="1186">
        <f t="shared" si="124"/>
        <v>23000</v>
      </c>
      <c r="R1504" s="835"/>
      <c r="S1504" s="836"/>
      <c r="T1504" s="836"/>
      <c r="U1504" s="836"/>
      <c r="V1504" s="836"/>
      <c r="W1504" s="836"/>
      <c r="X1504" s="836"/>
      <c r="Y1504" s="836"/>
      <c r="Z1504" s="836"/>
      <c r="AA1504" s="836"/>
      <c r="AB1504" s="836"/>
      <c r="AC1504" s="836"/>
      <c r="AD1504" s="1186">
        <f t="shared" si="121"/>
        <v>0</v>
      </c>
      <c r="AE1504" s="637">
        <f t="shared" si="122"/>
        <v>-1</v>
      </c>
      <c r="AF1504" s="638">
        <f t="shared" si="120"/>
        <v>983</v>
      </c>
    </row>
    <row r="1505" spans="1:32" x14ac:dyDescent="0.3">
      <c r="A1505" s="381" t="s">
        <v>759</v>
      </c>
      <c r="B1505" s="1021" t="s">
        <v>1330</v>
      </c>
      <c r="C1505" s="835"/>
      <c r="D1505" s="836">
        <v>0</v>
      </c>
      <c r="E1505" s="836"/>
      <c r="F1505" s="836">
        <v>0</v>
      </c>
      <c r="G1505" s="836">
        <v>23000</v>
      </c>
      <c r="H1505" s="836">
        <v>0</v>
      </c>
      <c r="I1505" s="836">
        <v>0</v>
      </c>
      <c r="J1505" s="836">
        <v>0</v>
      </c>
      <c r="K1505" s="836">
        <v>0</v>
      </c>
      <c r="L1505" s="836">
        <v>0</v>
      </c>
      <c r="M1505" s="836">
        <v>0</v>
      </c>
      <c r="N1505" s="836">
        <v>0</v>
      </c>
      <c r="O1505" s="836" t="s">
        <v>251</v>
      </c>
      <c r="P1505" s="1497">
        <f t="shared" si="123"/>
        <v>23000</v>
      </c>
      <c r="Q1505" s="1186">
        <f t="shared" si="124"/>
        <v>23000</v>
      </c>
      <c r="R1505" s="835"/>
      <c r="S1505" s="836"/>
      <c r="T1505" s="836"/>
      <c r="U1505" s="836"/>
      <c r="V1505" s="836"/>
      <c r="W1505" s="836"/>
      <c r="X1505" s="836"/>
      <c r="Y1505" s="836"/>
      <c r="Z1505" s="836"/>
      <c r="AA1505" s="836"/>
      <c r="AB1505" s="836"/>
      <c r="AC1505" s="836"/>
      <c r="AD1505" s="1186">
        <f t="shared" si="121"/>
        <v>0</v>
      </c>
      <c r="AE1505" s="637">
        <f t="shared" si="122"/>
        <v>-1</v>
      </c>
      <c r="AF1505" s="638">
        <f t="shared" si="120"/>
        <v>983</v>
      </c>
    </row>
    <row r="1506" spans="1:32" x14ac:dyDescent="0.3">
      <c r="A1506" s="381" t="s">
        <v>759</v>
      </c>
      <c r="B1506" s="1021" t="s">
        <v>1595</v>
      </c>
      <c r="C1506" s="835"/>
      <c r="D1506" s="836">
        <v>0</v>
      </c>
      <c r="E1506" s="836">
        <v>23000</v>
      </c>
      <c r="F1506" s="836">
        <v>0</v>
      </c>
      <c r="G1506" s="836">
        <v>0</v>
      </c>
      <c r="H1506" s="836">
        <v>0</v>
      </c>
      <c r="I1506" s="836">
        <v>0</v>
      </c>
      <c r="J1506" s="836">
        <v>0</v>
      </c>
      <c r="K1506" s="836">
        <v>0</v>
      </c>
      <c r="L1506" s="836">
        <v>0</v>
      </c>
      <c r="M1506" s="836">
        <v>0</v>
      </c>
      <c r="N1506" s="836">
        <v>0</v>
      </c>
      <c r="O1506" s="836" t="s">
        <v>251</v>
      </c>
      <c r="P1506" s="1497">
        <f t="shared" si="123"/>
        <v>23000</v>
      </c>
      <c r="Q1506" s="1186">
        <f t="shared" si="124"/>
        <v>23000</v>
      </c>
      <c r="R1506" s="835"/>
      <c r="S1506" s="836"/>
      <c r="T1506" s="836"/>
      <c r="U1506" s="836"/>
      <c r="V1506" s="836"/>
      <c r="W1506" s="836"/>
      <c r="X1506" s="836"/>
      <c r="Y1506" s="836"/>
      <c r="Z1506" s="836"/>
      <c r="AA1506" s="836"/>
      <c r="AB1506" s="836"/>
      <c r="AC1506" s="836"/>
      <c r="AD1506" s="1186">
        <f t="shared" si="121"/>
        <v>0</v>
      </c>
      <c r="AE1506" s="637">
        <f t="shared" si="122"/>
        <v>-1</v>
      </c>
      <c r="AF1506" s="638">
        <f t="shared" si="120"/>
        <v>983</v>
      </c>
    </row>
    <row r="1507" spans="1:32" x14ac:dyDescent="0.3">
      <c r="A1507" s="381" t="s">
        <v>759</v>
      </c>
      <c r="B1507" s="1021" t="s">
        <v>628</v>
      </c>
      <c r="C1507" s="835"/>
      <c r="D1507" s="836">
        <v>0</v>
      </c>
      <c r="E1507" s="836">
        <v>22500</v>
      </c>
      <c r="F1507" s="836">
        <v>0</v>
      </c>
      <c r="G1507" s="836">
        <v>0</v>
      </c>
      <c r="H1507" s="836">
        <v>0</v>
      </c>
      <c r="I1507" s="836">
        <v>0</v>
      </c>
      <c r="J1507" s="836">
        <v>13500</v>
      </c>
      <c r="K1507" s="836">
        <v>3621000</v>
      </c>
      <c r="L1507" s="836">
        <v>0</v>
      </c>
      <c r="M1507" s="836">
        <v>0</v>
      </c>
      <c r="N1507" s="836">
        <v>0</v>
      </c>
      <c r="O1507" s="836" t="s">
        <v>251</v>
      </c>
      <c r="P1507" s="1497">
        <f t="shared" si="123"/>
        <v>3643500</v>
      </c>
      <c r="Q1507" s="1186">
        <f t="shared" si="124"/>
        <v>36000</v>
      </c>
      <c r="R1507" s="835"/>
      <c r="S1507" s="836"/>
      <c r="T1507" s="836"/>
      <c r="U1507" s="836"/>
      <c r="V1507" s="836"/>
      <c r="W1507" s="836">
        <v>5000</v>
      </c>
      <c r="X1507" s="836">
        <v>0</v>
      </c>
      <c r="Y1507" s="836">
        <v>0</v>
      </c>
      <c r="Z1507" s="836"/>
      <c r="AA1507" s="836"/>
      <c r="AB1507" s="836"/>
      <c r="AC1507" s="836"/>
      <c r="AD1507" s="1186">
        <f t="shared" si="121"/>
        <v>5000</v>
      </c>
      <c r="AE1507" s="637">
        <f t="shared" si="122"/>
        <v>-0.9986276931521888</v>
      </c>
      <c r="AF1507" s="638">
        <f t="shared" si="120"/>
        <v>972</v>
      </c>
    </row>
    <row r="1508" spans="1:32" x14ac:dyDescent="0.3">
      <c r="A1508" s="381" t="s">
        <v>759</v>
      </c>
      <c r="B1508" s="1021" t="s">
        <v>1596</v>
      </c>
      <c r="C1508" s="835"/>
      <c r="D1508" s="836">
        <v>0</v>
      </c>
      <c r="E1508" s="836"/>
      <c r="F1508" s="836">
        <v>0</v>
      </c>
      <c r="G1508" s="836">
        <v>22000</v>
      </c>
      <c r="H1508" s="836">
        <v>0</v>
      </c>
      <c r="I1508" s="836">
        <v>0</v>
      </c>
      <c r="J1508" s="836">
        <v>0</v>
      </c>
      <c r="K1508" s="836">
        <v>0</v>
      </c>
      <c r="L1508" s="836">
        <v>0</v>
      </c>
      <c r="M1508" s="836">
        <v>0</v>
      </c>
      <c r="N1508" s="836">
        <v>0</v>
      </c>
      <c r="O1508" s="836" t="s">
        <v>251</v>
      </c>
      <c r="P1508" s="1497">
        <f t="shared" si="123"/>
        <v>22000</v>
      </c>
      <c r="Q1508" s="1186">
        <f t="shared" si="124"/>
        <v>22000</v>
      </c>
      <c r="R1508" s="835"/>
      <c r="S1508" s="836"/>
      <c r="T1508" s="836"/>
      <c r="U1508" s="836"/>
      <c r="V1508" s="836"/>
      <c r="W1508" s="836"/>
      <c r="X1508" s="836"/>
      <c r="Y1508" s="836"/>
      <c r="Z1508" s="836"/>
      <c r="AA1508" s="836"/>
      <c r="AB1508" s="836"/>
      <c r="AC1508" s="836"/>
      <c r="AD1508" s="1186">
        <f t="shared" si="121"/>
        <v>0</v>
      </c>
      <c r="AE1508" s="637">
        <f t="shared" si="122"/>
        <v>-1</v>
      </c>
      <c r="AF1508" s="638">
        <f t="shared" si="120"/>
        <v>983</v>
      </c>
    </row>
    <row r="1509" spans="1:32" x14ac:dyDescent="0.3">
      <c r="A1509" s="381" t="s">
        <v>759</v>
      </c>
      <c r="B1509" s="1021" t="s">
        <v>1597</v>
      </c>
      <c r="C1509" s="835">
        <v>20000</v>
      </c>
      <c r="D1509" s="836">
        <v>0</v>
      </c>
      <c r="E1509" s="836"/>
      <c r="F1509" s="836">
        <v>0</v>
      </c>
      <c r="G1509" s="836">
        <v>0</v>
      </c>
      <c r="H1509" s="836">
        <v>0</v>
      </c>
      <c r="I1509" s="836">
        <v>0</v>
      </c>
      <c r="J1509" s="836">
        <v>0</v>
      </c>
      <c r="K1509" s="836">
        <v>0</v>
      </c>
      <c r="L1509" s="836">
        <v>0</v>
      </c>
      <c r="M1509" s="836">
        <v>0</v>
      </c>
      <c r="N1509" s="836">
        <v>0</v>
      </c>
      <c r="O1509" s="836" t="s">
        <v>251</v>
      </c>
      <c r="P1509" s="1497">
        <f t="shared" si="123"/>
        <v>20000</v>
      </c>
      <c r="Q1509" s="1186">
        <f t="shared" si="124"/>
        <v>20000</v>
      </c>
      <c r="R1509" s="835"/>
      <c r="S1509" s="836"/>
      <c r="T1509" s="836"/>
      <c r="U1509" s="836"/>
      <c r="V1509" s="836"/>
      <c r="W1509" s="836"/>
      <c r="X1509" s="836"/>
      <c r="Y1509" s="836"/>
      <c r="Z1509" s="836"/>
      <c r="AA1509" s="836"/>
      <c r="AB1509" s="836"/>
      <c r="AC1509" s="836"/>
      <c r="AD1509" s="1186">
        <f t="shared" si="121"/>
        <v>0</v>
      </c>
      <c r="AE1509" s="637">
        <f t="shared" si="122"/>
        <v>-1</v>
      </c>
      <c r="AF1509" s="638">
        <f t="shared" si="120"/>
        <v>983</v>
      </c>
    </row>
    <row r="1510" spans="1:32" x14ac:dyDescent="0.3">
      <c r="A1510" s="381" t="s">
        <v>759</v>
      </c>
      <c r="B1510" s="1021" t="s">
        <v>1598</v>
      </c>
      <c r="C1510" s="835"/>
      <c r="D1510" s="836">
        <v>19400</v>
      </c>
      <c r="E1510" s="836"/>
      <c r="F1510" s="836">
        <v>0</v>
      </c>
      <c r="G1510" s="836">
        <v>0</v>
      </c>
      <c r="H1510" s="836">
        <v>0</v>
      </c>
      <c r="I1510" s="836">
        <v>0</v>
      </c>
      <c r="J1510" s="836">
        <v>0</v>
      </c>
      <c r="K1510" s="836"/>
      <c r="L1510" s="836">
        <v>0</v>
      </c>
      <c r="M1510" s="836">
        <v>0</v>
      </c>
      <c r="N1510" s="836">
        <v>0</v>
      </c>
      <c r="O1510" s="836" t="s">
        <v>251</v>
      </c>
      <c r="P1510" s="1497">
        <f t="shared" si="123"/>
        <v>19400</v>
      </c>
      <c r="Q1510" s="1186">
        <f t="shared" si="124"/>
        <v>19400</v>
      </c>
      <c r="R1510" s="835"/>
      <c r="S1510" s="836"/>
      <c r="T1510" s="836"/>
      <c r="U1510" s="836"/>
      <c r="V1510" s="836"/>
      <c r="W1510" s="836"/>
      <c r="X1510" s="836"/>
      <c r="Y1510" s="836"/>
      <c r="Z1510" s="836"/>
      <c r="AA1510" s="836"/>
      <c r="AB1510" s="836"/>
      <c r="AC1510" s="836"/>
      <c r="AD1510" s="1186">
        <f t="shared" si="121"/>
        <v>0</v>
      </c>
      <c r="AE1510" s="637">
        <f t="shared" si="122"/>
        <v>-1</v>
      </c>
      <c r="AF1510" s="638">
        <f t="shared" si="120"/>
        <v>983</v>
      </c>
    </row>
    <row r="1511" spans="1:32" x14ac:dyDescent="0.3">
      <c r="A1511" s="381" t="s">
        <v>759</v>
      </c>
      <c r="B1511" s="1021" t="s">
        <v>446</v>
      </c>
      <c r="C1511" s="835"/>
      <c r="D1511" s="836">
        <v>0</v>
      </c>
      <c r="E1511" s="836"/>
      <c r="F1511" s="836">
        <v>17000</v>
      </c>
      <c r="G1511" s="836">
        <v>0</v>
      </c>
      <c r="H1511" s="836">
        <v>0</v>
      </c>
      <c r="I1511" s="836">
        <v>0</v>
      </c>
      <c r="J1511" s="836">
        <v>0</v>
      </c>
      <c r="K1511" s="836">
        <v>0</v>
      </c>
      <c r="L1511" s="836">
        <v>0</v>
      </c>
      <c r="M1511" s="836">
        <v>0</v>
      </c>
      <c r="N1511" s="836">
        <v>0</v>
      </c>
      <c r="O1511" s="836" t="s">
        <v>251</v>
      </c>
      <c r="P1511" s="1497">
        <f t="shared" si="123"/>
        <v>17000</v>
      </c>
      <c r="Q1511" s="1186">
        <f t="shared" si="124"/>
        <v>17000</v>
      </c>
      <c r="R1511" s="835"/>
      <c r="S1511" s="836"/>
      <c r="T1511" s="836"/>
      <c r="U1511" s="836"/>
      <c r="V1511" s="836"/>
      <c r="W1511" s="836"/>
      <c r="X1511" s="836"/>
      <c r="Y1511" s="836"/>
      <c r="Z1511" s="836"/>
      <c r="AA1511" s="836"/>
      <c r="AB1511" s="836"/>
      <c r="AC1511" s="836"/>
      <c r="AD1511" s="1186">
        <f t="shared" si="121"/>
        <v>0</v>
      </c>
      <c r="AE1511" s="637">
        <f t="shared" si="122"/>
        <v>-1</v>
      </c>
      <c r="AF1511" s="638">
        <f t="shared" si="120"/>
        <v>983</v>
      </c>
    </row>
    <row r="1512" spans="1:32" x14ac:dyDescent="0.3">
      <c r="A1512" s="381" t="s">
        <v>759</v>
      </c>
      <c r="B1512" s="1021" t="s">
        <v>1599</v>
      </c>
      <c r="C1512" s="835">
        <v>15500</v>
      </c>
      <c r="D1512" s="836">
        <v>0</v>
      </c>
      <c r="E1512" s="836"/>
      <c r="F1512" s="836">
        <v>0</v>
      </c>
      <c r="G1512" s="836">
        <v>0</v>
      </c>
      <c r="H1512" s="836">
        <v>0</v>
      </c>
      <c r="I1512" s="836">
        <v>100000</v>
      </c>
      <c r="J1512" s="836">
        <v>0</v>
      </c>
      <c r="K1512" s="836">
        <v>0</v>
      </c>
      <c r="L1512" s="836">
        <v>0</v>
      </c>
      <c r="M1512" s="836">
        <v>0</v>
      </c>
      <c r="N1512" s="836">
        <v>0</v>
      </c>
      <c r="O1512" s="836" t="s">
        <v>251</v>
      </c>
      <c r="P1512" s="1497">
        <f t="shared" si="123"/>
        <v>115500</v>
      </c>
      <c r="Q1512" s="1186">
        <f t="shared" si="124"/>
        <v>115500</v>
      </c>
      <c r="R1512" s="835"/>
      <c r="S1512" s="836"/>
      <c r="T1512" s="836"/>
      <c r="U1512" s="836"/>
      <c r="V1512" s="836"/>
      <c r="W1512" s="836"/>
      <c r="X1512" s="836"/>
      <c r="Y1512" s="836"/>
      <c r="Z1512" s="836"/>
      <c r="AA1512" s="836"/>
      <c r="AB1512" s="836"/>
      <c r="AC1512" s="836"/>
      <c r="AD1512" s="1186">
        <f t="shared" si="121"/>
        <v>0</v>
      </c>
      <c r="AE1512" s="637">
        <f t="shared" si="122"/>
        <v>-1</v>
      </c>
      <c r="AF1512" s="638">
        <f t="shared" si="120"/>
        <v>983</v>
      </c>
    </row>
    <row r="1513" spans="1:32" x14ac:dyDescent="0.3">
      <c r="A1513" s="381" t="s">
        <v>759</v>
      </c>
      <c r="B1513" s="1021" t="s">
        <v>1387</v>
      </c>
      <c r="C1513" s="835"/>
      <c r="D1513" s="836">
        <v>15500</v>
      </c>
      <c r="E1513" s="836"/>
      <c r="F1513" s="836">
        <v>0</v>
      </c>
      <c r="G1513" s="836">
        <v>0</v>
      </c>
      <c r="H1513" s="836">
        <v>0</v>
      </c>
      <c r="I1513" s="836">
        <v>0</v>
      </c>
      <c r="J1513" s="836">
        <v>0</v>
      </c>
      <c r="K1513" s="836">
        <v>0</v>
      </c>
      <c r="L1513" s="836">
        <v>0</v>
      </c>
      <c r="M1513" s="836">
        <v>0</v>
      </c>
      <c r="N1513" s="836">
        <v>0</v>
      </c>
      <c r="O1513" s="836" t="s">
        <v>251</v>
      </c>
      <c r="P1513" s="1497">
        <f t="shared" si="123"/>
        <v>15500</v>
      </c>
      <c r="Q1513" s="1186">
        <f t="shared" si="124"/>
        <v>15500</v>
      </c>
      <c r="R1513" s="835"/>
      <c r="S1513" s="836"/>
      <c r="T1513" s="836"/>
      <c r="U1513" s="836"/>
      <c r="V1513" s="836"/>
      <c r="W1513" s="836"/>
      <c r="X1513" s="836"/>
      <c r="Y1513" s="836"/>
      <c r="Z1513" s="836"/>
      <c r="AA1513" s="836"/>
      <c r="AB1513" s="836"/>
      <c r="AC1513" s="836"/>
      <c r="AD1513" s="1186">
        <f t="shared" si="121"/>
        <v>0</v>
      </c>
      <c r="AE1513" s="637">
        <f t="shared" si="122"/>
        <v>-1</v>
      </c>
      <c r="AF1513" s="638">
        <f t="shared" si="120"/>
        <v>983</v>
      </c>
    </row>
    <row r="1514" spans="1:32" x14ac:dyDescent="0.3">
      <c r="A1514" s="381" t="s">
        <v>759</v>
      </c>
      <c r="B1514" s="1021" t="s">
        <v>883</v>
      </c>
      <c r="C1514" s="835"/>
      <c r="D1514" s="836">
        <v>0</v>
      </c>
      <c r="E1514" s="836"/>
      <c r="F1514" s="836">
        <v>0</v>
      </c>
      <c r="G1514" s="836">
        <v>15000</v>
      </c>
      <c r="H1514" s="836">
        <v>0</v>
      </c>
      <c r="I1514" s="836">
        <v>0</v>
      </c>
      <c r="J1514" s="836">
        <v>0</v>
      </c>
      <c r="K1514" s="836">
        <v>0</v>
      </c>
      <c r="L1514" s="836">
        <v>0</v>
      </c>
      <c r="M1514" s="836">
        <v>0</v>
      </c>
      <c r="N1514" s="836">
        <v>0</v>
      </c>
      <c r="O1514" s="836">
        <v>110000</v>
      </c>
      <c r="P1514" s="1497">
        <f t="shared" si="123"/>
        <v>15000</v>
      </c>
      <c r="Q1514" s="1186">
        <f t="shared" si="124"/>
        <v>125000</v>
      </c>
      <c r="R1514" s="835"/>
      <c r="S1514" s="836"/>
      <c r="T1514" s="836"/>
      <c r="U1514" s="836"/>
      <c r="V1514" s="836"/>
      <c r="W1514" s="836"/>
      <c r="X1514" s="836"/>
      <c r="Y1514" s="836">
        <v>31000</v>
      </c>
      <c r="Z1514" s="836"/>
      <c r="AA1514" s="836"/>
      <c r="AB1514" s="836"/>
      <c r="AC1514" s="836"/>
      <c r="AD1514" s="1186">
        <f t="shared" si="121"/>
        <v>31000</v>
      </c>
      <c r="AE1514" s="637">
        <f t="shared" si="122"/>
        <v>1.0666666666666667</v>
      </c>
      <c r="AF1514" s="638">
        <f t="shared" si="120"/>
        <v>891</v>
      </c>
    </row>
    <row r="1515" spans="1:32" x14ac:dyDescent="0.3">
      <c r="A1515" s="381" t="s">
        <v>759</v>
      </c>
      <c r="B1515" s="1021" t="s">
        <v>374</v>
      </c>
      <c r="C1515" s="835"/>
      <c r="D1515" s="836">
        <v>0</v>
      </c>
      <c r="E1515" s="836"/>
      <c r="F1515" s="836">
        <v>12000</v>
      </c>
      <c r="G1515" s="836">
        <v>0</v>
      </c>
      <c r="H1515" s="836">
        <v>0</v>
      </c>
      <c r="I1515" s="836">
        <v>0</v>
      </c>
      <c r="J1515" s="836">
        <v>0</v>
      </c>
      <c r="K1515" s="836">
        <v>0</v>
      </c>
      <c r="L1515" s="836">
        <v>0</v>
      </c>
      <c r="M1515" s="836">
        <v>0</v>
      </c>
      <c r="N1515" s="836">
        <v>0</v>
      </c>
      <c r="O1515" s="836" t="s">
        <v>251</v>
      </c>
      <c r="P1515" s="1497">
        <f t="shared" si="123"/>
        <v>12000</v>
      </c>
      <c r="Q1515" s="1186">
        <f t="shared" si="124"/>
        <v>12000</v>
      </c>
      <c r="R1515" s="835">
        <v>12000</v>
      </c>
      <c r="S1515" s="836">
        <v>5000</v>
      </c>
      <c r="T1515" s="836">
        <v>0</v>
      </c>
      <c r="U1515" s="836">
        <v>17000</v>
      </c>
      <c r="V1515" s="836">
        <v>35000</v>
      </c>
      <c r="W1515" s="836">
        <v>0</v>
      </c>
      <c r="X1515" s="836">
        <v>0</v>
      </c>
      <c r="Y1515" s="836">
        <v>0</v>
      </c>
      <c r="Z1515" s="836"/>
      <c r="AA1515" s="836"/>
      <c r="AB1515" s="836"/>
      <c r="AC1515" s="836"/>
      <c r="AD1515" s="1186">
        <f t="shared" si="121"/>
        <v>69000</v>
      </c>
      <c r="AE1515" s="637">
        <f t="shared" si="122"/>
        <v>4.75</v>
      </c>
      <c r="AF1515" s="638">
        <f t="shared" si="120"/>
        <v>800</v>
      </c>
    </row>
    <row r="1516" spans="1:32" x14ac:dyDescent="0.3">
      <c r="A1516" s="381" t="s">
        <v>759</v>
      </c>
      <c r="B1516" s="1021" t="s">
        <v>1600</v>
      </c>
      <c r="C1516" s="835"/>
      <c r="D1516" s="836">
        <v>0</v>
      </c>
      <c r="E1516" s="836"/>
      <c r="F1516" s="836">
        <v>11000</v>
      </c>
      <c r="G1516" s="836">
        <v>0</v>
      </c>
      <c r="H1516" s="836">
        <v>0</v>
      </c>
      <c r="I1516" s="836">
        <v>0</v>
      </c>
      <c r="J1516" s="836">
        <v>0</v>
      </c>
      <c r="K1516" s="836">
        <v>0</v>
      </c>
      <c r="L1516" s="836">
        <v>0</v>
      </c>
      <c r="M1516" s="836">
        <v>0</v>
      </c>
      <c r="N1516" s="836">
        <v>0</v>
      </c>
      <c r="O1516" s="836">
        <v>44000</v>
      </c>
      <c r="P1516" s="1497">
        <f t="shared" si="123"/>
        <v>11000</v>
      </c>
      <c r="Q1516" s="1186">
        <f t="shared" si="124"/>
        <v>55000</v>
      </c>
      <c r="R1516" s="835"/>
      <c r="S1516" s="836"/>
      <c r="T1516" s="836"/>
      <c r="U1516" s="836">
        <v>31000</v>
      </c>
      <c r="V1516" s="836">
        <v>268000</v>
      </c>
      <c r="W1516" s="836">
        <v>12000</v>
      </c>
      <c r="X1516" s="836">
        <v>15130</v>
      </c>
      <c r="Y1516" s="836">
        <v>0</v>
      </c>
      <c r="Z1516" s="836"/>
      <c r="AA1516" s="836"/>
      <c r="AB1516" s="836"/>
      <c r="AC1516" s="836"/>
      <c r="AD1516" s="1186">
        <f t="shared" si="121"/>
        <v>326130</v>
      </c>
      <c r="AE1516" s="637">
        <f t="shared" si="122"/>
        <v>28.648181818181818</v>
      </c>
      <c r="AF1516" s="638">
        <f t="shared" si="120"/>
        <v>516</v>
      </c>
    </row>
    <row r="1517" spans="1:32" x14ac:dyDescent="0.3">
      <c r="A1517" s="381" t="s">
        <v>759</v>
      </c>
      <c r="B1517" s="1021" t="s">
        <v>1601</v>
      </c>
      <c r="C1517" s="835"/>
      <c r="D1517" s="836">
        <v>0</v>
      </c>
      <c r="E1517" s="836"/>
      <c r="F1517" s="836">
        <v>11000</v>
      </c>
      <c r="G1517" s="836">
        <v>0</v>
      </c>
      <c r="H1517" s="836">
        <v>0</v>
      </c>
      <c r="I1517" s="836">
        <v>0</v>
      </c>
      <c r="J1517" s="836">
        <v>0</v>
      </c>
      <c r="K1517" s="836">
        <v>0</v>
      </c>
      <c r="L1517" s="836">
        <v>0</v>
      </c>
      <c r="M1517" s="836">
        <v>0</v>
      </c>
      <c r="N1517" s="836">
        <v>0</v>
      </c>
      <c r="O1517" s="836" t="s">
        <v>251</v>
      </c>
      <c r="P1517" s="1497">
        <f t="shared" si="123"/>
        <v>11000</v>
      </c>
      <c r="Q1517" s="1186">
        <f t="shared" si="124"/>
        <v>11000</v>
      </c>
      <c r="R1517" s="835"/>
      <c r="S1517" s="836"/>
      <c r="T1517" s="836"/>
      <c r="U1517" s="836"/>
      <c r="V1517" s="836"/>
      <c r="W1517" s="836"/>
      <c r="X1517" s="836"/>
      <c r="Y1517" s="836"/>
      <c r="Z1517" s="836"/>
      <c r="AA1517" s="836"/>
      <c r="AB1517" s="836"/>
      <c r="AC1517" s="836"/>
      <c r="AD1517" s="1186">
        <f t="shared" si="121"/>
        <v>0</v>
      </c>
      <c r="AE1517" s="637">
        <f t="shared" si="122"/>
        <v>-1</v>
      </c>
      <c r="AF1517" s="638">
        <f t="shared" si="120"/>
        <v>983</v>
      </c>
    </row>
    <row r="1518" spans="1:32" x14ac:dyDescent="0.3">
      <c r="A1518" s="381" t="s">
        <v>759</v>
      </c>
      <c r="B1518" s="1021" t="s">
        <v>1602</v>
      </c>
      <c r="C1518" s="835"/>
      <c r="D1518" s="836">
        <v>0</v>
      </c>
      <c r="E1518" s="836"/>
      <c r="F1518" s="836">
        <v>0</v>
      </c>
      <c r="G1518" s="836">
        <v>17000</v>
      </c>
      <c r="H1518" s="836">
        <v>22000</v>
      </c>
      <c r="I1518" s="836">
        <v>0</v>
      </c>
      <c r="J1518" s="836">
        <v>0</v>
      </c>
      <c r="K1518" s="836">
        <v>0</v>
      </c>
      <c r="L1518" s="836">
        <v>0</v>
      </c>
      <c r="M1518" s="836">
        <v>0</v>
      </c>
      <c r="N1518" s="836">
        <v>0</v>
      </c>
      <c r="O1518" s="836" t="s">
        <v>251</v>
      </c>
      <c r="P1518" s="1497">
        <f t="shared" si="123"/>
        <v>39000</v>
      </c>
      <c r="Q1518" s="1186">
        <f t="shared" si="124"/>
        <v>39000</v>
      </c>
      <c r="R1518" s="835"/>
      <c r="S1518" s="836"/>
      <c r="T1518" s="836"/>
      <c r="U1518" s="836"/>
      <c r="V1518" s="836"/>
      <c r="W1518" s="836"/>
      <c r="X1518" s="836"/>
      <c r="Y1518" s="836"/>
      <c r="Z1518" s="836"/>
      <c r="AA1518" s="836"/>
      <c r="AB1518" s="836"/>
      <c r="AC1518" s="836"/>
      <c r="AD1518" s="1186">
        <f t="shared" si="121"/>
        <v>0</v>
      </c>
      <c r="AE1518" s="637">
        <f t="shared" si="122"/>
        <v>-1</v>
      </c>
      <c r="AF1518" s="638">
        <f t="shared" si="120"/>
        <v>983</v>
      </c>
    </row>
    <row r="1519" spans="1:32" x14ac:dyDescent="0.3">
      <c r="A1519" s="381" t="s">
        <v>759</v>
      </c>
      <c r="B1519" s="1021" t="s">
        <v>619</v>
      </c>
      <c r="C1519" s="835"/>
      <c r="D1519" s="836">
        <v>0</v>
      </c>
      <c r="E1519" s="836">
        <v>10000</v>
      </c>
      <c r="F1519" s="836">
        <v>0</v>
      </c>
      <c r="G1519" s="836">
        <v>0</v>
      </c>
      <c r="H1519" s="836">
        <v>0</v>
      </c>
      <c r="I1519" s="836">
        <v>10000</v>
      </c>
      <c r="J1519" s="836">
        <v>0</v>
      </c>
      <c r="K1519" s="836">
        <v>0</v>
      </c>
      <c r="L1519" s="836">
        <v>0</v>
      </c>
      <c r="M1519" s="836">
        <v>0</v>
      </c>
      <c r="N1519" s="836">
        <v>0</v>
      </c>
      <c r="O1519" s="836" t="s">
        <v>251</v>
      </c>
      <c r="P1519" s="1497">
        <f t="shared" si="123"/>
        <v>20000</v>
      </c>
      <c r="Q1519" s="1186">
        <f t="shared" si="124"/>
        <v>20000</v>
      </c>
      <c r="R1519" s="835"/>
      <c r="S1519" s="836"/>
      <c r="T1519" s="836"/>
      <c r="U1519" s="836"/>
      <c r="V1519" s="836"/>
      <c r="W1519" s="836">
        <v>0</v>
      </c>
      <c r="X1519" s="836">
        <v>20500</v>
      </c>
      <c r="Y1519" s="836">
        <v>0</v>
      </c>
      <c r="Z1519" s="836"/>
      <c r="AA1519" s="836"/>
      <c r="AB1519" s="836"/>
      <c r="AC1519" s="836"/>
      <c r="AD1519" s="1186">
        <f t="shared" si="121"/>
        <v>20500</v>
      </c>
      <c r="AE1519" s="637">
        <f t="shared" si="122"/>
        <v>2.5000000000000001E-2</v>
      </c>
      <c r="AF1519" s="638">
        <f t="shared" si="120"/>
        <v>920</v>
      </c>
    </row>
    <row r="1520" spans="1:32" x14ac:dyDescent="0.3">
      <c r="A1520" s="381" t="s">
        <v>759</v>
      </c>
      <c r="B1520" s="1021" t="s">
        <v>1603</v>
      </c>
      <c r="C1520" s="835"/>
      <c r="D1520" s="836">
        <v>0</v>
      </c>
      <c r="E1520" s="836">
        <v>9000</v>
      </c>
      <c r="F1520" s="836">
        <v>0</v>
      </c>
      <c r="G1520" s="836">
        <v>0</v>
      </c>
      <c r="H1520" s="836">
        <v>0</v>
      </c>
      <c r="I1520" s="836">
        <v>0</v>
      </c>
      <c r="J1520" s="836">
        <v>0</v>
      </c>
      <c r="K1520" s="836">
        <v>0</v>
      </c>
      <c r="L1520" s="836">
        <v>0</v>
      </c>
      <c r="M1520" s="836">
        <v>0</v>
      </c>
      <c r="N1520" s="836">
        <v>0</v>
      </c>
      <c r="O1520" s="836" t="s">
        <v>251</v>
      </c>
      <c r="P1520" s="1497">
        <f t="shared" si="123"/>
        <v>9000</v>
      </c>
      <c r="Q1520" s="1186">
        <f t="shared" si="124"/>
        <v>9000</v>
      </c>
      <c r="R1520" s="835"/>
      <c r="S1520" s="836"/>
      <c r="T1520" s="836"/>
      <c r="U1520" s="836"/>
      <c r="V1520" s="836"/>
      <c r="W1520" s="836"/>
      <c r="X1520" s="836"/>
      <c r="Y1520" s="836"/>
      <c r="Z1520" s="836"/>
      <c r="AA1520" s="836"/>
      <c r="AB1520" s="836"/>
      <c r="AC1520" s="836"/>
      <c r="AD1520" s="1186">
        <f t="shared" si="121"/>
        <v>0</v>
      </c>
      <c r="AE1520" s="637">
        <f t="shared" si="122"/>
        <v>-1</v>
      </c>
      <c r="AF1520" s="638">
        <f t="shared" si="120"/>
        <v>983</v>
      </c>
    </row>
    <row r="1521" spans="1:32" x14ac:dyDescent="0.3">
      <c r="A1521" s="381" t="s">
        <v>759</v>
      </c>
      <c r="B1521" s="1021" t="s">
        <v>621</v>
      </c>
      <c r="C1521" s="835"/>
      <c r="D1521" s="836">
        <v>5000</v>
      </c>
      <c r="E1521" s="836"/>
      <c r="F1521" s="836">
        <v>0</v>
      </c>
      <c r="G1521" s="836">
        <v>0</v>
      </c>
      <c r="H1521" s="836">
        <v>5000</v>
      </c>
      <c r="I1521" s="836">
        <v>0</v>
      </c>
      <c r="J1521" s="836">
        <v>0</v>
      </c>
      <c r="K1521" s="836">
        <v>0</v>
      </c>
      <c r="L1521" s="836">
        <v>10500</v>
      </c>
      <c r="M1521" s="836">
        <v>20000</v>
      </c>
      <c r="N1521" s="836">
        <v>0</v>
      </c>
      <c r="O1521" s="836" t="s">
        <v>251</v>
      </c>
      <c r="P1521" s="1497">
        <f t="shared" si="123"/>
        <v>10000</v>
      </c>
      <c r="Q1521" s="1186">
        <f t="shared" si="124"/>
        <v>40500</v>
      </c>
      <c r="R1521" s="835"/>
      <c r="S1521" s="836">
        <v>8500</v>
      </c>
      <c r="T1521" s="836">
        <v>0</v>
      </c>
      <c r="U1521" s="836">
        <v>5000</v>
      </c>
      <c r="V1521" s="836">
        <v>0</v>
      </c>
      <c r="W1521" s="836">
        <v>67500</v>
      </c>
      <c r="X1521" s="836">
        <v>17000</v>
      </c>
      <c r="Y1521" s="836">
        <v>8500</v>
      </c>
      <c r="Z1521" s="836"/>
      <c r="AA1521" s="836"/>
      <c r="AB1521" s="836"/>
      <c r="AC1521" s="836"/>
      <c r="AD1521" s="1186">
        <f t="shared" si="121"/>
        <v>106500</v>
      </c>
      <c r="AE1521" s="637">
        <f t="shared" si="122"/>
        <v>9.65</v>
      </c>
      <c r="AF1521" s="638">
        <f t="shared" si="120"/>
        <v>731</v>
      </c>
    </row>
    <row r="1522" spans="1:32" x14ac:dyDescent="0.3">
      <c r="A1522" s="381" t="s">
        <v>759</v>
      </c>
      <c r="B1522" s="1021" t="s">
        <v>622</v>
      </c>
      <c r="C1522" s="835"/>
      <c r="D1522" s="836">
        <v>0</v>
      </c>
      <c r="E1522" s="836"/>
      <c r="F1522" s="836">
        <v>0</v>
      </c>
      <c r="G1522" s="836">
        <v>5000</v>
      </c>
      <c r="H1522" s="836">
        <v>0</v>
      </c>
      <c r="I1522" s="836">
        <v>0</v>
      </c>
      <c r="J1522" s="836">
        <v>0</v>
      </c>
      <c r="K1522" s="836"/>
      <c r="L1522" s="836">
        <v>0</v>
      </c>
      <c r="M1522" s="836">
        <v>0</v>
      </c>
      <c r="N1522" s="836">
        <v>20000</v>
      </c>
      <c r="O1522" s="836" t="s">
        <v>251</v>
      </c>
      <c r="P1522" s="1497">
        <f t="shared" si="123"/>
        <v>5000</v>
      </c>
      <c r="Q1522" s="1186">
        <f t="shared" si="124"/>
        <v>25000</v>
      </c>
      <c r="R1522" s="835"/>
      <c r="S1522" s="836"/>
      <c r="T1522" s="836"/>
      <c r="U1522" s="836"/>
      <c r="V1522" s="836"/>
      <c r="W1522" s="836"/>
      <c r="X1522" s="836"/>
      <c r="Y1522" s="836"/>
      <c r="Z1522" s="836"/>
      <c r="AA1522" s="836"/>
      <c r="AB1522" s="836"/>
      <c r="AC1522" s="836"/>
      <c r="AD1522" s="1186">
        <f t="shared" si="121"/>
        <v>0</v>
      </c>
      <c r="AE1522" s="637">
        <f t="shared" si="122"/>
        <v>-1</v>
      </c>
      <c r="AF1522" s="638">
        <f t="shared" si="120"/>
        <v>983</v>
      </c>
    </row>
    <row r="1523" spans="1:32" x14ac:dyDescent="0.3">
      <c r="A1523" s="381" t="s">
        <v>759</v>
      </c>
      <c r="B1523" s="1021" t="s">
        <v>658</v>
      </c>
      <c r="C1523" s="835"/>
      <c r="D1523" s="836">
        <v>0</v>
      </c>
      <c r="E1523" s="836"/>
      <c r="F1523" s="836">
        <v>5000</v>
      </c>
      <c r="G1523" s="836">
        <v>0</v>
      </c>
      <c r="H1523" s="836">
        <v>0</v>
      </c>
      <c r="I1523" s="836">
        <v>14000</v>
      </c>
      <c r="J1523" s="836">
        <v>20000</v>
      </c>
      <c r="K1523" s="836">
        <v>20000</v>
      </c>
      <c r="L1523" s="836">
        <v>0</v>
      </c>
      <c r="M1523" s="836">
        <v>0</v>
      </c>
      <c r="N1523" s="836">
        <v>0</v>
      </c>
      <c r="O1523" s="836" t="s">
        <v>251</v>
      </c>
      <c r="P1523" s="1497">
        <f t="shared" si="123"/>
        <v>39000</v>
      </c>
      <c r="Q1523" s="1186">
        <f t="shared" si="124"/>
        <v>39000</v>
      </c>
      <c r="R1523" s="835"/>
      <c r="S1523" s="836"/>
      <c r="T1523" s="836"/>
      <c r="U1523" s="836"/>
      <c r="V1523" s="836">
        <v>65000</v>
      </c>
      <c r="W1523" s="836">
        <v>0</v>
      </c>
      <c r="X1523" s="836">
        <v>17000</v>
      </c>
      <c r="Y1523" s="836">
        <v>0</v>
      </c>
      <c r="Z1523" s="836"/>
      <c r="AA1523" s="836"/>
      <c r="AB1523" s="836"/>
      <c r="AC1523" s="836"/>
      <c r="AD1523" s="1186">
        <f t="shared" si="121"/>
        <v>82000</v>
      </c>
      <c r="AE1523" s="637">
        <f t="shared" si="122"/>
        <v>1.1025641025641026</v>
      </c>
      <c r="AF1523" s="638">
        <f t="shared" si="120"/>
        <v>770</v>
      </c>
    </row>
    <row r="1524" spans="1:32" x14ac:dyDescent="0.3">
      <c r="A1524" s="381" t="s">
        <v>759</v>
      </c>
      <c r="B1524" s="1021" t="s">
        <v>1604</v>
      </c>
      <c r="C1524" s="835"/>
      <c r="D1524" s="836" t="s">
        <v>251</v>
      </c>
      <c r="E1524" s="836"/>
      <c r="F1524" s="836" t="s">
        <v>251</v>
      </c>
      <c r="G1524" s="836" t="s">
        <v>251</v>
      </c>
      <c r="H1524" s="836" t="s">
        <v>251</v>
      </c>
      <c r="I1524" s="836" t="s">
        <v>251</v>
      </c>
      <c r="J1524" s="836" t="s">
        <v>251</v>
      </c>
      <c r="K1524" s="836"/>
      <c r="L1524" s="836" t="s">
        <v>251</v>
      </c>
      <c r="M1524" s="836" t="s">
        <v>251</v>
      </c>
      <c r="N1524" s="836" t="s">
        <v>251</v>
      </c>
      <c r="O1524" s="836" t="s">
        <v>251</v>
      </c>
      <c r="P1524" s="1497">
        <f t="shared" si="123"/>
        <v>0</v>
      </c>
      <c r="Q1524" s="1186">
        <f t="shared" si="124"/>
        <v>0</v>
      </c>
      <c r="R1524" s="835"/>
      <c r="S1524" s="836"/>
      <c r="T1524" s="836"/>
      <c r="U1524" s="836"/>
      <c r="V1524" s="836"/>
      <c r="W1524" s="836"/>
      <c r="X1524" s="836"/>
      <c r="Y1524" s="836"/>
      <c r="Z1524" s="836"/>
      <c r="AA1524" s="836"/>
      <c r="AB1524" s="836"/>
      <c r="AC1524" s="836"/>
      <c r="AD1524" s="1186">
        <f t="shared" si="121"/>
        <v>0</v>
      </c>
      <c r="AE1524" s="637">
        <f t="shared" si="122"/>
        <v>0</v>
      </c>
      <c r="AF1524" s="638">
        <f t="shared" si="120"/>
        <v>983</v>
      </c>
    </row>
    <row r="1525" spans="1:32" x14ac:dyDescent="0.3">
      <c r="A1525" s="381" t="s">
        <v>759</v>
      </c>
      <c r="B1525" s="1021" t="s">
        <v>1178</v>
      </c>
      <c r="C1525" s="835"/>
      <c r="D1525" s="836" t="s">
        <v>251</v>
      </c>
      <c r="E1525" s="836"/>
      <c r="F1525" s="836" t="s">
        <v>251</v>
      </c>
      <c r="G1525" s="836" t="s">
        <v>251</v>
      </c>
      <c r="H1525" s="836" t="s">
        <v>251</v>
      </c>
      <c r="I1525" s="836" t="s">
        <v>251</v>
      </c>
      <c r="J1525" s="836" t="s">
        <v>251</v>
      </c>
      <c r="K1525" s="836"/>
      <c r="L1525" s="836" t="s">
        <v>251</v>
      </c>
      <c r="M1525" s="836" t="s">
        <v>251</v>
      </c>
      <c r="N1525" s="836" t="s">
        <v>251</v>
      </c>
      <c r="O1525" s="836" t="s">
        <v>251</v>
      </c>
      <c r="P1525" s="1497">
        <f t="shared" si="123"/>
        <v>0</v>
      </c>
      <c r="Q1525" s="1186">
        <f t="shared" si="124"/>
        <v>0</v>
      </c>
      <c r="R1525" s="835"/>
      <c r="S1525" s="836"/>
      <c r="T1525" s="836"/>
      <c r="U1525" s="836"/>
      <c r="V1525" s="836"/>
      <c r="W1525" s="836"/>
      <c r="X1525" s="836"/>
      <c r="Y1525" s="836"/>
      <c r="Z1525" s="836"/>
      <c r="AA1525" s="836"/>
      <c r="AB1525" s="836"/>
      <c r="AC1525" s="836"/>
      <c r="AD1525" s="1186">
        <f t="shared" si="121"/>
        <v>0</v>
      </c>
      <c r="AE1525" s="637">
        <f t="shared" si="122"/>
        <v>0</v>
      </c>
      <c r="AF1525" s="638">
        <f t="shared" si="120"/>
        <v>983</v>
      </c>
    </row>
    <row r="1526" spans="1:32" x14ac:dyDescent="0.3">
      <c r="A1526" s="381" t="s">
        <v>759</v>
      </c>
      <c r="B1526" s="1021" t="s">
        <v>1605</v>
      </c>
      <c r="C1526" s="835"/>
      <c r="D1526" s="836" t="s">
        <v>251</v>
      </c>
      <c r="E1526" s="836"/>
      <c r="F1526" s="836" t="s">
        <v>251</v>
      </c>
      <c r="G1526" s="836" t="s">
        <v>251</v>
      </c>
      <c r="H1526" s="836" t="s">
        <v>251</v>
      </c>
      <c r="I1526" s="836" t="s">
        <v>251</v>
      </c>
      <c r="J1526" s="836" t="s">
        <v>251</v>
      </c>
      <c r="K1526" s="836"/>
      <c r="L1526" s="836" t="s">
        <v>251</v>
      </c>
      <c r="M1526" s="836" t="s">
        <v>251</v>
      </c>
      <c r="N1526" s="836" t="s">
        <v>251</v>
      </c>
      <c r="O1526" s="836" t="s">
        <v>251</v>
      </c>
      <c r="P1526" s="1497">
        <f t="shared" si="123"/>
        <v>0</v>
      </c>
      <c r="Q1526" s="1186">
        <f t="shared" si="124"/>
        <v>0</v>
      </c>
      <c r="R1526" s="835"/>
      <c r="S1526" s="836"/>
      <c r="T1526" s="836"/>
      <c r="U1526" s="836"/>
      <c r="V1526" s="836"/>
      <c r="W1526" s="836"/>
      <c r="X1526" s="836"/>
      <c r="Y1526" s="836"/>
      <c r="Z1526" s="836"/>
      <c r="AA1526" s="836"/>
      <c r="AB1526" s="836"/>
      <c r="AC1526" s="836"/>
      <c r="AD1526" s="1186">
        <f t="shared" si="121"/>
        <v>0</v>
      </c>
      <c r="AE1526" s="637">
        <f t="shared" si="122"/>
        <v>0</v>
      </c>
      <c r="AF1526" s="638">
        <f t="shared" si="120"/>
        <v>983</v>
      </c>
    </row>
    <row r="1527" spans="1:32" x14ac:dyDescent="0.3">
      <c r="A1527" s="381" t="s">
        <v>759</v>
      </c>
      <c r="B1527" s="1021" t="s">
        <v>1071</v>
      </c>
      <c r="C1527" s="835"/>
      <c r="D1527" s="836" t="s">
        <v>251</v>
      </c>
      <c r="E1527" s="836"/>
      <c r="F1527" s="836" t="s">
        <v>251</v>
      </c>
      <c r="G1527" s="836" t="s">
        <v>251</v>
      </c>
      <c r="H1527" s="836" t="s">
        <v>251</v>
      </c>
      <c r="I1527" s="836" t="s">
        <v>251</v>
      </c>
      <c r="J1527" s="836" t="s">
        <v>251</v>
      </c>
      <c r="K1527" s="836"/>
      <c r="L1527" s="836" t="s">
        <v>251</v>
      </c>
      <c r="M1527" s="836" t="s">
        <v>251</v>
      </c>
      <c r="N1527" s="836" t="s">
        <v>251</v>
      </c>
      <c r="O1527" s="836" t="s">
        <v>251</v>
      </c>
      <c r="P1527" s="1497">
        <f t="shared" si="123"/>
        <v>0</v>
      </c>
      <c r="Q1527" s="1186">
        <f t="shared" si="124"/>
        <v>0</v>
      </c>
      <c r="R1527" s="835"/>
      <c r="S1527" s="836"/>
      <c r="T1527" s="836"/>
      <c r="U1527" s="836"/>
      <c r="V1527" s="836"/>
      <c r="W1527" s="836"/>
      <c r="X1527" s="836"/>
      <c r="Y1527" s="836"/>
      <c r="Z1527" s="836"/>
      <c r="AA1527" s="836"/>
      <c r="AB1527" s="836"/>
      <c r="AC1527" s="836"/>
      <c r="AD1527" s="1186">
        <f t="shared" si="121"/>
        <v>0</v>
      </c>
      <c r="AE1527" s="637">
        <f t="shared" si="122"/>
        <v>0</v>
      </c>
      <c r="AF1527" s="638">
        <f t="shared" si="120"/>
        <v>983</v>
      </c>
    </row>
    <row r="1528" spans="1:32" x14ac:dyDescent="0.3">
      <c r="A1528" s="381" t="s">
        <v>759</v>
      </c>
      <c r="B1528" s="1021" t="s">
        <v>1099</v>
      </c>
      <c r="C1528" s="835"/>
      <c r="D1528" s="836" t="s">
        <v>251</v>
      </c>
      <c r="E1528" s="836"/>
      <c r="F1528" s="836" t="s">
        <v>251</v>
      </c>
      <c r="G1528" s="836" t="s">
        <v>251</v>
      </c>
      <c r="H1528" s="836" t="s">
        <v>251</v>
      </c>
      <c r="I1528" s="836" t="s">
        <v>251</v>
      </c>
      <c r="J1528" s="836" t="s">
        <v>251</v>
      </c>
      <c r="K1528" s="836"/>
      <c r="L1528" s="836" t="s">
        <v>251</v>
      </c>
      <c r="M1528" s="836" t="s">
        <v>251</v>
      </c>
      <c r="N1528" s="836" t="s">
        <v>251</v>
      </c>
      <c r="O1528" s="836" t="s">
        <v>251</v>
      </c>
      <c r="P1528" s="1497">
        <f t="shared" si="123"/>
        <v>0</v>
      </c>
      <c r="Q1528" s="1186">
        <f t="shared" si="124"/>
        <v>0</v>
      </c>
      <c r="R1528" s="835"/>
      <c r="S1528" s="836"/>
      <c r="T1528" s="836"/>
      <c r="U1528" s="836"/>
      <c r="V1528" s="836"/>
      <c r="W1528" s="836"/>
      <c r="X1528" s="836"/>
      <c r="Y1528" s="836"/>
      <c r="Z1528" s="836"/>
      <c r="AA1528" s="836"/>
      <c r="AB1528" s="836"/>
      <c r="AC1528" s="836"/>
      <c r="AD1528" s="1186">
        <f t="shared" si="121"/>
        <v>0</v>
      </c>
      <c r="AE1528" s="637">
        <f t="shared" si="122"/>
        <v>0</v>
      </c>
      <c r="AF1528" s="638">
        <f t="shared" si="120"/>
        <v>983</v>
      </c>
    </row>
    <row r="1529" spans="1:32" x14ac:dyDescent="0.3">
      <c r="A1529" s="381" t="s">
        <v>759</v>
      </c>
      <c r="B1529" s="1021" t="s">
        <v>1606</v>
      </c>
      <c r="C1529" s="835"/>
      <c r="D1529" s="836" t="s">
        <v>251</v>
      </c>
      <c r="E1529" s="836"/>
      <c r="F1529" s="836" t="s">
        <v>251</v>
      </c>
      <c r="G1529" s="836" t="s">
        <v>251</v>
      </c>
      <c r="H1529" s="836" t="s">
        <v>251</v>
      </c>
      <c r="I1529" s="836" t="s">
        <v>251</v>
      </c>
      <c r="J1529" s="836" t="s">
        <v>251</v>
      </c>
      <c r="K1529" s="836"/>
      <c r="L1529" s="836" t="s">
        <v>251</v>
      </c>
      <c r="M1529" s="836" t="s">
        <v>251</v>
      </c>
      <c r="N1529" s="836" t="s">
        <v>251</v>
      </c>
      <c r="O1529" s="836" t="s">
        <v>251</v>
      </c>
      <c r="P1529" s="1497">
        <f t="shared" si="123"/>
        <v>0</v>
      </c>
      <c r="Q1529" s="1186">
        <f t="shared" si="124"/>
        <v>0</v>
      </c>
      <c r="R1529" s="835"/>
      <c r="S1529" s="836"/>
      <c r="T1529" s="836"/>
      <c r="U1529" s="836"/>
      <c r="V1529" s="836"/>
      <c r="W1529" s="836"/>
      <c r="X1529" s="836"/>
      <c r="Y1529" s="836"/>
      <c r="Z1529" s="836"/>
      <c r="AA1529" s="836"/>
      <c r="AB1529" s="836"/>
      <c r="AC1529" s="836"/>
      <c r="AD1529" s="1186">
        <f t="shared" si="121"/>
        <v>0</v>
      </c>
      <c r="AE1529" s="637">
        <f t="shared" si="122"/>
        <v>0</v>
      </c>
      <c r="AF1529" s="638">
        <f t="shared" si="120"/>
        <v>983</v>
      </c>
    </row>
    <row r="1530" spans="1:32" x14ac:dyDescent="0.3">
      <c r="A1530" s="381" t="s">
        <v>759</v>
      </c>
      <c r="B1530" s="1021" t="s">
        <v>1388</v>
      </c>
      <c r="C1530" s="835"/>
      <c r="D1530" s="836" t="s">
        <v>251</v>
      </c>
      <c r="E1530" s="836"/>
      <c r="F1530" s="836" t="s">
        <v>251</v>
      </c>
      <c r="G1530" s="836" t="s">
        <v>251</v>
      </c>
      <c r="H1530" s="836" t="s">
        <v>251</v>
      </c>
      <c r="I1530" s="836" t="s">
        <v>251</v>
      </c>
      <c r="J1530" s="836" t="s">
        <v>251</v>
      </c>
      <c r="K1530" s="836"/>
      <c r="L1530" s="836" t="s">
        <v>251</v>
      </c>
      <c r="M1530" s="836" t="s">
        <v>251</v>
      </c>
      <c r="N1530" s="836" t="s">
        <v>251</v>
      </c>
      <c r="O1530" s="836" t="s">
        <v>251</v>
      </c>
      <c r="P1530" s="1497">
        <f t="shared" si="123"/>
        <v>0</v>
      </c>
      <c r="Q1530" s="1186">
        <f t="shared" si="124"/>
        <v>0</v>
      </c>
      <c r="R1530" s="835"/>
      <c r="S1530" s="836"/>
      <c r="T1530" s="836"/>
      <c r="U1530" s="836"/>
      <c r="V1530" s="836"/>
      <c r="W1530" s="836"/>
      <c r="X1530" s="836"/>
      <c r="Y1530" s="836"/>
      <c r="Z1530" s="836"/>
      <c r="AA1530" s="836"/>
      <c r="AB1530" s="836"/>
      <c r="AC1530" s="836"/>
      <c r="AD1530" s="1186">
        <f t="shared" si="121"/>
        <v>0</v>
      </c>
      <c r="AE1530" s="637">
        <f t="shared" si="122"/>
        <v>0</v>
      </c>
      <c r="AF1530" s="638">
        <f t="shared" si="120"/>
        <v>983</v>
      </c>
    </row>
    <row r="1531" spans="1:32" x14ac:dyDescent="0.3">
      <c r="A1531" s="381" t="s">
        <v>759</v>
      </c>
      <c r="B1531" s="1021" t="s">
        <v>1076</v>
      </c>
      <c r="C1531" s="835"/>
      <c r="D1531" s="836">
        <v>0</v>
      </c>
      <c r="E1531" s="836"/>
      <c r="F1531" s="836">
        <v>0</v>
      </c>
      <c r="G1531" s="836">
        <v>0</v>
      </c>
      <c r="H1531" s="836">
        <v>80000</v>
      </c>
      <c r="I1531" s="836">
        <v>0</v>
      </c>
      <c r="J1531" s="836">
        <v>70000</v>
      </c>
      <c r="K1531" s="836">
        <v>70000</v>
      </c>
      <c r="L1531" s="836">
        <v>0</v>
      </c>
      <c r="M1531" s="836">
        <v>0</v>
      </c>
      <c r="N1531" s="836">
        <v>0</v>
      </c>
      <c r="O1531" s="836" t="s">
        <v>251</v>
      </c>
      <c r="P1531" s="1497">
        <f t="shared" si="123"/>
        <v>150000</v>
      </c>
      <c r="Q1531" s="1186">
        <f t="shared" si="124"/>
        <v>150000</v>
      </c>
      <c r="R1531" s="835"/>
      <c r="S1531" s="836"/>
      <c r="T1531" s="836"/>
      <c r="U1531" s="836"/>
      <c r="V1531" s="836"/>
      <c r="W1531" s="836"/>
      <c r="X1531" s="836"/>
      <c r="Y1531" s="836"/>
      <c r="Z1531" s="836"/>
      <c r="AA1531" s="836"/>
      <c r="AB1531" s="836"/>
      <c r="AC1531" s="836"/>
      <c r="AD1531" s="1186">
        <f t="shared" si="121"/>
        <v>0</v>
      </c>
      <c r="AE1531" s="637">
        <f t="shared" si="122"/>
        <v>-1</v>
      </c>
      <c r="AF1531" s="638">
        <f t="shared" si="120"/>
        <v>983</v>
      </c>
    </row>
    <row r="1532" spans="1:32" x14ac:dyDescent="0.3">
      <c r="A1532" s="381" t="s">
        <v>759</v>
      </c>
      <c r="B1532" s="1021" t="s">
        <v>1299</v>
      </c>
      <c r="C1532" s="835"/>
      <c r="D1532" s="836" t="s">
        <v>251</v>
      </c>
      <c r="E1532" s="836"/>
      <c r="F1532" s="836" t="s">
        <v>251</v>
      </c>
      <c r="G1532" s="836" t="s">
        <v>251</v>
      </c>
      <c r="H1532" s="836" t="s">
        <v>251</v>
      </c>
      <c r="I1532" s="836" t="s">
        <v>251</v>
      </c>
      <c r="J1532" s="836" t="s">
        <v>251</v>
      </c>
      <c r="K1532" s="836"/>
      <c r="L1532" s="836" t="s">
        <v>251</v>
      </c>
      <c r="M1532" s="836" t="s">
        <v>251</v>
      </c>
      <c r="N1532" s="836" t="s">
        <v>251</v>
      </c>
      <c r="O1532" s="836">
        <v>446200</v>
      </c>
      <c r="P1532" s="1497">
        <f t="shared" si="123"/>
        <v>0</v>
      </c>
      <c r="Q1532" s="1186">
        <f t="shared" si="124"/>
        <v>446200</v>
      </c>
      <c r="R1532" s="835"/>
      <c r="S1532" s="836"/>
      <c r="T1532" s="836"/>
      <c r="U1532" s="836"/>
      <c r="V1532" s="836"/>
      <c r="W1532" s="836"/>
      <c r="X1532" s="836">
        <v>34700</v>
      </c>
      <c r="Y1532" s="836">
        <v>0</v>
      </c>
      <c r="Z1532" s="836"/>
      <c r="AA1532" s="836"/>
      <c r="AB1532" s="836"/>
      <c r="AC1532" s="836"/>
      <c r="AD1532" s="1186">
        <f t="shared" si="121"/>
        <v>34700</v>
      </c>
      <c r="AE1532" s="637">
        <f t="shared" si="122"/>
        <v>1</v>
      </c>
      <c r="AF1532" s="638">
        <f t="shared" si="120"/>
        <v>883</v>
      </c>
    </row>
    <row r="1533" spans="1:32" x14ac:dyDescent="0.3">
      <c r="A1533" s="381" t="s">
        <v>759</v>
      </c>
      <c r="B1533" s="1021" t="s">
        <v>1295</v>
      </c>
      <c r="C1533" s="835"/>
      <c r="D1533" s="836" t="s">
        <v>251</v>
      </c>
      <c r="E1533" s="836"/>
      <c r="F1533" s="836" t="s">
        <v>251</v>
      </c>
      <c r="G1533" s="836" t="s">
        <v>251</v>
      </c>
      <c r="H1533" s="836" t="s">
        <v>251</v>
      </c>
      <c r="I1533" s="836" t="s">
        <v>251</v>
      </c>
      <c r="J1533" s="836" t="s">
        <v>251</v>
      </c>
      <c r="K1533" s="836"/>
      <c r="L1533" s="836" t="s">
        <v>251</v>
      </c>
      <c r="M1533" s="836" t="s">
        <v>251</v>
      </c>
      <c r="N1533" s="836" t="s">
        <v>251</v>
      </c>
      <c r="O1533" s="836" t="s">
        <v>251</v>
      </c>
      <c r="P1533" s="1497">
        <f t="shared" si="123"/>
        <v>0</v>
      </c>
      <c r="Q1533" s="1186">
        <f t="shared" si="124"/>
        <v>0</v>
      </c>
      <c r="R1533" s="835"/>
      <c r="S1533" s="836"/>
      <c r="T1533" s="836"/>
      <c r="U1533" s="836"/>
      <c r="V1533" s="836"/>
      <c r="W1533" s="836"/>
      <c r="X1533" s="836"/>
      <c r="Y1533" s="836"/>
      <c r="Z1533" s="836"/>
      <c r="AA1533" s="836"/>
      <c r="AB1533" s="836"/>
      <c r="AC1533" s="836"/>
      <c r="AD1533" s="1186">
        <f t="shared" si="121"/>
        <v>0</v>
      </c>
      <c r="AE1533" s="637">
        <f t="shared" si="122"/>
        <v>0</v>
      </c>
      <c r="AF1533" s="638">
        <f t="shared" si="120"/>
        <v>983</v>
      </c>
    </row>
    <row r="1534" spans="1:32" x14ac:dyDescent="0.3">
      <c r="A1534" s="381" t="s">
        <v>759</v>
      </c>
      <c r="B1534" s="1021" t="s">
        <v>1363</v>
      </c>
      <c r="C1534" s="835"/>
      <c r="D1534" s="836" t="s">
        <v>251</v>
      </c>
      <c r="E1534" s="836"/>
      <c r="F1534" s="836" t="s">
        <v>251</v>
      </c>
      <c r="G1534" s="836" t="s">
        <v>251</v>
      </c>
      <c r="H1534" s="836" t="s">
        <v>251</v>
      </c>
      <c r="I1534" s="836" t="s">
        <v>251</v>
      </c>
      <c r="J1534" s="836" t="s">
        <v>251</v>
      </c>
      <c r="K1534" s="836"/>
      <c r="L1534" s="836" t="s">
        <v>251</v>
      </c>
      <c r="M1534" s="836" t="s">
        <v>251</v>
      </c>
      <c r="N1534" s="836" t="s">
        <v>251</v>
      </c>
      <c r="O1534" s="836" t="s">
        <v>251</v>
      </c>
      <c r="P1534" s="1497">
        <f t="shared" si="123"/>
        <v>0</v>
      </c>
      <c r="Q1534" s="1186">
        <f t="shared" si="124"/>
        <v>0</v>
      </c>
      <c r="R1534" s="835"/>
      <c r="S1534" s="836"/>
      <c r="T1534" s="836"/>
      <c r="U1534" s="836"/>
      <c r="V1534" s="836"/>
      <c r="W1534" s="836"/>
      <c r="X1534" s="836"/>
      <c r="Y1534" s="836"/>
      <c r="Z1534" s="836"/>
      <c r="AA1534" s="836"/>
      <c r="AB1534" s="836"/>
      <c r="AC1534" s="836"/>
      <c r="AD1534" s="1186">
        <f t="shared" si="121"/>
        <v>0</v>
      </c>
      <c r="AE1534" s="637">
        <f t="shared" si="122"/>
        <v>0</v>
      </c>
      <c r="AF1534" s="638">
        <f t="shared" si="120"/>
        <v>983</v>
      </c>
    </row>
    <row r="1535" spans="1:32" x14ac:dyDescent="0.3">
      <c r="A1535" s="381" t="s">
        <v>759</v>
      </c>
      <c r="B1535" s="1021" t="s">
        <v>1607</v>
      </c>
      <c r="C1535" s="835"/>
      <c r="D1535" s="836" t="s">
        <v>251</v>
      </c>
      <c r="E1535" s="836"/>
      <c r="F1535" s="836" t="s">
        <v>251</v>
      </c>
      <c r="G1535" s="836" t="s">
        <v>251</v>
      </c>
      <c r="H1535" s="836" t="s">
        <v>251</v>
      </c>
      <c r="I1535" s="836" t="s">
        <v>251</v>
      </c>
      <c r="J1535" s="836" t="s">
        <v>251</v>
      </c>
      <c r="K1535" s="836"/>
      <c r="L1535" s="836" t="s">
        <v>251</v>
      </c>
      <c r="M1535" s="836" t="s">
        <v>251</v>
      </c>
      <c r="N1535" s="836" t="s">
        <v>251</v>
      </c>
      <c r="O1535" s="836" t="s">
        <v>251</v>
      </c>
      <c r="P1535" s="1497">
        <f t="shared" si="123"/>
        <v>0</v>
      </c>
      <c r="Q1535" s="1186">
        <f t="shared" si="124"/>
        <v>0</v>
      </c>
      <c r="R1535" s="835"/>
      <c r="S1535" s="836"/>
      <c r="T1535" s="836"/>
      <c r="U1535" s="836"/>
      <c r="V1535" s="836"/>
      <c r="W1535" s="836"/>
      <c r="X1535" s="836"/>
      <c r="Y1535" s="836"/>
      <c r="Z1535" s="836"/>
      <c r="AA1535" s="836"/>
      <c r="AB1535" s="836"/>
      <c r="AC1535" s="836"/>
      <c r="AD1535" s="1186">
        <f t="shared" si="121"/>
        <v>0</v>
      </c>
      <c r="AE1535" s="637">
        <f t="shared" si="122"/>
        <v>0</v>
      </c>
      <c r="AF1535" s="638">
        <f t="shared" si="120"/>
        <v>983</v>
      </c>
    </row>
    <row r="1536" spans="1:32" x14ac:dyDescent="0.3">
      <c r="A1536" s="381" t="s">
        <v>759</v>
      </c>
      <c r="B1536" s="1021" t="s">
        <v>1382</v>
      </c>
      <c r="C1536" s="835"/>
      <c r="D1536" s="836">
        <v>0</v>
      </c>
      <c r="E1536" s="836"/>
      <c r="F1536" s="836">
        <v>0</v>
      </c>
      <c r="G1536" s="836">
        <v>0</v>
      </c>
      <c r="H1536" s="836">
        <v>0</v>
      </c>
      <c r="I1536" s="836">
        <v>0</v>
      </c>
      <c r="J1536" s="836">
        <v>0</v>
      </c>
      <c r="K1536" s="836"/>
      <c r="L1536" s="836">
        <v>0</v>
      </c>
      <c r="M1536" s="836">
        <v>348000</v>
      </c>
      <c r="N1536" s="836">
        <v>0</v>
      </c>
      <c r="O1536" s="836" t="s">
        <v>251</v>
      </c>
      <c r="P1536" s="1497">
        <f t="shared" si="123"/>
        <v>0</v>
      </c>
      <c r="Q1536" s="1186">
        <f t="shared" si="124"/>
        <v>348000</v>
      </c>
      <c r="R1536" s="835"/>
      <c r="S1536" s="836"/>
      <c r="T1536" s="836"/>
      <c r="U1536" s="836"/>
      <c r="V1536" s="836"/>
      <c r="W1536" s="836"/>
      <c r="X1536" s="836"/>
      <c r="Y1536" s="836"/>
      <c r="Z1536" s="836"/>
      <c r="AA1536" s="836"/>
      <c r="AB1536" s="836"/>
      <c r="AC1536" s="836"/>
      <c r="AD1536" s="1186">
        <f t="shared" si="121"/>
        <v>0</v>
      </c>
      <c r="AE1536" s="637">
        <f t="shared" si="122"/>
        <v>0</v>
      </c>
      <c r="AF1536" s="638">
        <f t="shared" si="120"/>
        <v>983</v>
      </c>
    </row>
    <row r="1537" spans="1:32" x14ac:dyDescent="0.3">
      <c r="A1537" s="381" t="s">
        <v>759</v>
      </c>
      <c r="B1537" s="1021" t="s">
        <v>828</v>
      </c>
      <c r="C1537" s="835"/>
      <c r="D1537" s="836" t="s">
        <v>251</v>
      </c>
      <c r="E1537" s="836"/>
      <c r="F1537" s="836" t="s">
        <v>251</v>
      </c>
      <c r="G1537" s="836" t="s">
        <v>251</v>
      </c>
      <c r="H1537" s="836" t="s">
        <v>251</v>
      </c>
      <c r="I1537" s="836" t="s">
        <v>251</v>
      </c>
      <c r="J1537" s="836" t="s">
        <v>251</v>
      </c>
      <c r="K1537" s="836"/>
      <c r="L1537" s="836" t="s">
        <v>251</v>
      </c>
      <c r="M1537" s="836" t="s">
        <v>251</v>
      </c>
      <c r="N1537" s="836" t="s">
        <v>251</v>
      </c>
      <c r="O1537" s="836" t="s">
        <v>251</v>
      </c>
      <c r="P1537" s="1497">
        <f t="shared" si="123"/>
        <v>0</v>
      </c>
      <c r="Q1537" s="1186">
        <f t="shared" si="124"/>
        <v>0</v>
      </c>
      <c r="R1537" s="835"/>
      <c r="S1537" s="836"/>
      <c r="T1537" s="836"/>
      <c r="U1537" s="836"/>
      <c r="V1537" s="836"/>
      <c r="W1537" s="836"/>
      <c r="X1537" s="836"/>
      <c r="Y1537" s="836"/>
      <c r="Z1537" s="836"/>
      <c r="AA1537" s="836"/>
      <c r="AB1537" s="836"/>
      <c r="AC1537" s="836"/>
      <c r="AD1537" s="1186">
        <f t="shared" si="121"/>
        <v>0</v>
      </c>
      <c r="AE1537" s="637">
        <f t="shared" si="122"/>
        <v>0</v>
      </c>
      <c r="AF1537" s="638">
        <f t="shared" si="120"/>
        <v>983</v>
      </c>
    </row>
    <row r="1538" spans="1:32" x14ac:dyDescent="0.3">
      <c r="A1538" s="381" t="s">
        <v>759</v>
      </c>
      <c r="B1538" s="1021" t="s">
        <v>1322</v>
      </c>
      <c r="C1538" s="835"/>
      <c r="D1538" s="836" t="s">
        <v>251</v>
      </c>
      <c r="E1538" s="836"/>
      <c r="F1538" s="836" t="s">
        <v>251</v>
      </c>
      <c r="G1538" s="836" t="s">
        <v>251</v>
      </c>
      <c r="H1538" s="836" t="s">
        <v>251</v>
      </c>
      <c r="I1538" s="836" t="s">
        <v>251</v>
      </c>
      <c r="J1538" s="836" t="s">
        <v>251</v>
      </c>
      <c r="K1538" s="836"/>
      <c r="L1538" s="836" t="s">
        <v>251</v>
      </c>
      <c r="M1538" s="836" t="s">
        <v>251</v>
      </c>
      <c r="N1538" s="836" t="s">
        <v>251</v>
      </c>
      <c r="O1538" s="836" t="s">
        <v>251</v>
      </c>
      <c r="P1538" s="1497">
        <f t="shared" si="123"/>
        <v>0</v>
      </c>
      <c r="Q1538" s="1186">
        <f t="shared" si="124"/>
        <v>0</v>
      </c>
      <c r="R1538" s="835"/>
      <c r="S1538" s="836"/>
      <c r="T1538" s="836"/>
      <c r="U1538" s="836"/>
      <c r="V1538" s="836"/>
      <c r="W1538" s="836"/>
      <c r="X1538" s="836"/>
      <c r="Y1538" s="836"/>
      <c r="Z1538" s="836"/>
      <c r="AA1538" s="836"/>
      <c r="AB1538" s="836"/>
      <c r="AC1538" s="836"/>
      <c r="AD1538" s="1186">
        <f t="shared" si="121"/>
        <v>0</v>
      </c>
      <c r="AE1538" s="637">
        <f t="shared" si="122"/>
        <v>0</v>
      </c>
      <c r="AF1538" s="638">
        <f t="shared" si="120"/>
        <v>983</v>
      </c>
    </row>
    <row r="1539" spans="1:32" x14ac:dyDescent="0.3">
      <c r="A1539" s="381" t="s">
        <v>759</v>
      </c>
      <c r="B1539" s="1021" t="s">
        <v>1033</v>
      </c>
      <c r="C1539" s="835"/>
      <c r="D1539" s="836" t="s">
        <v>251</v>
      </c>
      <c r="E1539" s="836"/>
      <c r="F1539" s="836" t="s">
        <v>251</v>
      </c>
      <c r="G1539" s="836" t="s">
        <v>251</v>
      </c>
      <c r="H1539" s="836" t="s">
        <v>251</v>
      </c>
      <c r="I1539" s="836" t="s">
        <v>251</v>
      </c>
      <c r="J1539" s="836" t="s">
        <v>251</v>
      </c>
      <c r="K1539" s="836"/>
      <c r="L1539" s="836" t="s">
        <v>251</v>
      </c>
      <c r="M1539" s="836" t="s">
        <v>251</v>
      </c>
      <c r="N1539" s="836" t="s">
        <v>251</v>
      </c>
      <c r="O1539" s="836" t="s">
        <v>251</v>
      </c>
      <c r="P1539" s="1497">
        <f t="shared" si="123"/>
        <v>0</v>
      </c>
      <c r="Q1539" s="1186">
        <f t="shared" si="124"/>
        <v>0</v>
      </c>
      <c r="R1539" s="835"/>
      <c r="S1539" s="836"/>
      <c r="T1539" s="836"/>
      <c r="U1539" s="836"/>
      <c r="V1539" s="836"/>
      <c r="W1539" s="836"/>
      <c r="X1539" s="836"/>
      <c r="Y1539" s="836"/>
      <c r="Z1539" s="836"/>
      <c r="AA1539" s="836"/>
      <c r="AB1539" s="836"/>
      <c r="AC1539" s="836"/>
      <c r="AD1539" s="1186">
        <f t="shared" si="121"/>
        <v>0</v>
      </c>
      <c r="AE1539" s="637">
        <f t="shared" si="122"/>
        <v>0</v>
      </c>
      <c r="AF1539" s="638">
        <f t="shared" si="120"/>
        <v>983</v>
      </c>
    </row>
    <row r="1540" spans="1:32" x14ac:dyDescent="0.3">
      <c r="A1540" s="381" t="s">
        <v>759</v>
      </c>
      <c r="B1540" s="1021" t="s">
        <v>1241</v>
      </c>
      <c r="C1540" s="835"/>
      <c r="D1540" s="836" t="s">
        <v>251</v>
      </c>
      <c r="E1540" s="836"/>
      <c r="F1540" s="836" t="s">
        <v>251</v>
      </c>
      <c r="G1540" s="836" t="s">
        <v>251</v>
      </c>
      <c r="H1540" s="836" t="s">
        <v>251</v>
      </c>
      <c r="I1540" s="836" t="s">
        <v>251</v>
      </c>
      <c r="J1540" s="836" t="s">
        <v>251</v>
      </c>
      <c r="K1540" s="836"/>
      <c r="L1540" s="836" t="s">
        <v>251</v>
      </c>
      <c r="M1540" s="836" t="s">
        <v>251</v>
      </c>
      <c r="N1540" s="836" t="s">
        <v>251</v>
      </c>
      <c r="O1540" s="836" t="s">
        <v>251</v>
      </c>
      <c r="P1540" s="1497">
        <f t="shared" si="123"/>
        <v>0</v>
      </c>
      <c r="Q1540" s="1186">
        <f t="shared" si="124"/>
        <v>0</v>
      </c>
      <c r="R1540" s="835"/>
      <c r="S1540" s="836"/>
      <c r="T1540" s="836"/>
      <c r="U1540" s="836"/>
      <c r="V1540" s="836"/>
      <c r="W1540" s="836"/>
      <c r="X1540" s="836"/>
      <c r="Y1540" s="836"/>
      <c r="Z1540" s="836"/>
      <c r="AA1540" s="836"/>
      <c r="AB1540" s="836"/>
      <c r="AC1540" s="836"/>
      <c r="AD1540" s="1186">
        <f t="shared" si="121"/>
        <v>0</v>
      </c>
      <c r="AE1540" s="637">
        <f t="shared" si="122"/>
        <v>0</v>
      </c>
      <c r="AF1540" s="638">
        <f t="shared" si="120"/>
        <v>983</v>
      </c>
    </row>
    <row r="1541" spans="1:32" x14ac:dyDescent="0.3">
      <c r="A1541" s="381" t="s">
        <v>759</v>
      </c>
      <c r="B1541" s="1021" t="s">
        <v>1132</v>
      </c>
      <c r="C1541" s="835"/>
      <c r="D1541" s="836" t="s">
        <v>251</v>
      </c>
      <c r="E1541" s="836"/>
      <c r="F1541" s="836" t="s">
        <v>251</v>
      </c>
      <c r="G1541" s="836" t="s">
        <v>251</v>
      </c>
      <c r="H1541" s="836" t="s">
        <v>251</v>
      </c>
      <c r="I1541" s="836" t="s">
        <v>251</v>
      </c>
      <c r="J1541" s="836" t="s">
        <v>251</v>
      </c>
      <c r="K1541" s="836"/>
      <c r="L1541" s="836" t="s">
        <v>251</v>
      </c>
      <c r="M1541" s="836" t="s">
        <v>251</v>
      </c>
      <c r="N1541" s="836" t="s">
        <v>251</v>
      </c>
      <c r="O1541" s="836" t="s">
        <v>251</v>
      </c>
      <c r="P1541" s="1497">
        <f t="shared" si="123"/>
        <v>0</v>
      </c>
      <c r="Q1541" s="1186">
        <f t="shared" si="124"/>
        <v>0</v>
      </c>
      <c r="R1541" s="835"/>
      <c r="S1541" s="836"/>
      <c r="T1541" s="836"/>
      <c r="U1541" s="836"/>
      <c r="V1541" s="836"/>
      <c r="W1541" s="836"/>
      <c r="X1541" s="836"/>
      <c r="Y1541" s="836"/>
      <c r="Z1541" s="836"/>
      <c r="AA1541" s="836"/>
      <c r="AB1541" s="836"/>
      <c r="AC1541" s="836"/>
      <c r="AD1541" s="1186">
        <f t="shared" si="121"/>
        <v>0</v>
      </c>
      <c r="AE1541" s="637">
        <f t="shared" si="122"/>
        <v>0</v>
      </c>
      <c r="AF1541" s="638">
        <f t="shared" si="120"/>
        <v>983</v>
      </c>
    </row>
    <row r="1542" spans="1:32" x14ac:dyDescent="0.3">
      <c r="A1542" s="381" t="s">
        <v>759</v>
      </c>
      <c r="B1542" s="1021" t="s">
        <v>1608</v>
      </c>
      <c r="C1542" s="835"/>
      <c r="D1542" s="836" t="s">
        <v>251</v>
      </c>
      <c r="E1542" s="836"/>
      <c r="F1542" s="836" t="s">
        <v>251</v>
      </c>
      <c r="G1542" s="836" t="s">
        <v>251</v>
      </c>
      <c r="H1542" s="836" t="s">
        <v>251</v>
      </c>
      <c r="I1542" s="836" t="s">
        <v>251</v>
      </c>
      <c r="J1542" s="836" t="s">
        <v>251</v>
      </c>
      <c r="K1542" s="836"/>
      <c r="L1542" s="836" t="s">
        <v>251</v>
      </c>
      <c r="M1542" s="836" t="s">
        <v>251</v>
      </c>
      <c r="N1542" s="836" t="s">
        <v>251</v>
      </c>
      <c r="O1542" s="836" t="s">
        <v>251</v>
      </c>
      <c r="P1542" s="1497">
        <f t="shared" si="123"/>
        <v>0</v>
      </c>
      <c r="Q1542" s="1186">
        <f t="shared" si="124"/>
        <v>0</v>
      </c>
      <c r="R1542" s="835"/>
      <c r="S1542" s="836"/>
      <c r="T1542" s="836"/>
      <c r="U1542" s="836"/>
      <c r="V1542" s="836"/>
      <c r="W1542" s="836"/>
      <c r="X1542" s="836"/>
      <c r="Y1542" s="836"/>
      <c r="Z1542" s="836"/>
      <c r="AA1542" s="836"/>
      <c r="AB1542" s="836"/>
      <c r="AC1542" s="836"/>
      <c r="AD1542" s="1186">
        <f t="shared" si="121"/>
        <v>0</v>
      </c>
      <c r="AE1542" s="637">
        <f t="shared" si="122"/>
        <v>0</v>
      </c>
      <c r="AF1542" s="638">
        <f t="shared" si="120"/>
        <v>983</v>
      </c>
    </row>
    <row r="1543" spans="1:32" x14ac:dyDescent="0.3">
      <c r="A1543" s="381" t="s">
        <v>759</v>
      </c>
      <c r="B1543" s="1021" t="s">
        <v>1609</v>
      </c>
      <c r="C1543" s="835"/>
      <c r="D1543" s="836" t="s">
        <v>251</v>
      </c>
      <c r="E1543" s="836"/>
      <c r="F1543" s="836" t="s">
        <v>251</v>
      </c>
      <c r="G1543" s="836" t="s">
        <v>251</v>
      </c>
      <c r="H1543" s="836" t="s">
        <v>251</v>
      </c>
      <c r="I1543" s="836" t="s">
        <v>251</v>
      </c>
      <c r="J1543" s="836" t="s">
        <v>251</v>
      </c>
      <c r="K1543" s="836"/>
      <c r="L1543" s="836" t="s">
        <v>251</v>
      </c>
      <c r="M1543" s="836" t="s">
        <v>251</v>
      </c>
      <c r="N1543" s="836" t="s">
        <v>251</v>
      </c>
      <c r="O1543" s="836" t="s">
        <v>251</v>
      </c>
      <c r="P1543" s="1497">
        <f t="shared" si="123"/>
        <v>0</v>
      </c>
      <c r="Q1543" s="1186">
        <f t="shared" si="124"/>
        <v>0</v>
      </c>
      <c r="R1543" s="835"/>
      <c r="S1543" s="836"/>
      <c r="T1543" s="836">
        <v>46000</v>
      </c>
      <c r="U1543" s="836">
        <v>0</v>
      </c>
      <c r="V1543" s="836">
        <v>105000</v>
      </c>
      <c r="W1543" s="836">
        <v>0</v>
      </c>
      <c r="X1543" s="836">
        <v>50000</v>
      </c>
      <c r="Y1543" s="836">
        <v>105000</v>
      </c>
      <c r="Z1543" s="836"/>
      <c r="AA1543" s="836"/>
      <c r="AB1543" s="836"/>
      <c r="AC1543" s="836"/>
      <c r="AD1543" s="1186">
        <f t="shared" si="121"/>
        <v>306000</v>
      </c>
      <c r="AE1543" s="637">
        <f t="shared" si="122"/>
        <v>1</v>
      </c>
      <c r="AF1543" s="638">
        <f t="shared" ref="AF1543:AF1606" si="125">IFERROR(_xlfn.RANK.EQ(AD1543, $AD$2:$AD$2064), "")</f>
        <v>528</v>
      </c>
    </row>
    <row r="1544" spans="1:32" x14ac:dyDescent="0.3">
      <c r="A1544" s="381" t="s">
        <v>759</v>
      </c>
      <c r="B1544" s="1021" t="s">
        <v>972</v>
      </c>
      <c r="C1544" s="835"/>
      <c r="D1544" s="836" t="s">
        <v>251</v>
      </c>
      <c r="E1544" s="836"/>
      <c r="F1544" s="836" t="s">
        <v>251</v>
      </c>
      <c r="G1544" s="836" t="s">
        <v>251</v>
      </c>
      <c r="H1544" s="836" t="s">
        <v>251</v>
      </c>
      <c r="I1544" s="836" t="s">
        <v>251</v>
      </c>
      <c r="J1544" s="836" t="s">
        <v>251</v>
      </c>
      <c r="K1544" s="836"/>
      <c r="L1544" s="836" t="s">
        <v>251</v>
      </c>
      <c r="M1544" s="836" t="s">
        <v>251</v>
      </c>
      <c r="N1544" s="836" t="s">
        <v>251</v>
      </c>
      <c r="O1544" s="836" t="s">
        <v>251</v>
      </c>
      <c r="P1544" s="1497">
        <f t="shared" si="123"/>
        <v>0</v>
      </c>
      <c r="Q1544" s="1186">
        <f t="shared" si="124"/>
        <v>0</v>
      </c>
      <c r="R1544" s="835"/>
      <c r="S1544" s="836"/>
      <c r="T1544" s="836"/>
      <c r="U1544" s="836"/>
      <c r="V1544" s="836"/>
      <c r="W1544" s="836"/>
      <c r="X1544" s="836"/>
      <c r="Y1544" s="836"/>
      <c r="Z1544" s="836"/>
      <c r="AA1544" s="836"/>
      <c r="AB1544" s="836"/>
      <c r="AC1544" s="836"/>
      <c r="AD1544" s="1186">
        <f t="shared" si="121"/>
        <v>0</v>
      </c>
      <c r="AE1544" s="637">
        <f t="shared" si="122"/>
        <v>0</v>
      </c>
      <c r="AF1544" s="638">
        <f t="shared" si="125"/>
        <v>983</v>
      </c>
    </row>
    <row r="1545" spans="1:32" x14ac:dyDescent="0.3">
      <c r="A1545" s="381" t="s">
        <v>759</v>
      </c>
      <c r="B1545" s="1021" t="s">
        <v>1136</v>
      </c>
      <c r="C1545" s="835"/>
      <c r="D1545" s="836" t="s">
        <v>251</v>
      </c>
      <c r="E1545" s="836"/>
      <c r="F1545" s="836" t="s">
        <v>251</v>
      </c>
      <c r="G1545" s="836" t="s">
        <v>251</v>
      </c>
      <c r="H1545" s="836" t="s">
        <v>251</v>
      </c>
      <c r="I1545" s="836" t="s">
        <v>251</v>
      </c>
      <c r="J1545" s="836" t="s">
        <v>251</v>
      </c>
      <c r="K1545" s="836"/>
      <c r="L1545" s="836" t="s">
        <v>251</v>
      </c>
      <c r="M1545" s="836" t="s">
        <v>251</v>
      </c>
      <c r="N1545" s="836" t="s">
        <v>251</v>
      </c>
      <c r="O1545" s="836" t="s">
        <v>251</v>
      </c>
      <c r="P1545" s="1497">
        <f t="shared" si="123"/>
        <v>0</v>
      </c>
      <c r="Q1545" s="1186">
        <f t="shared" si="124"/>
        <v>0</v>
      </c>
      <c r="R1545" s="835"/>
      <c r="S1545" s="836"/>
      <c r="T1545" s="836"/>
      <c r="U1545" s="836"/>
      <c r="V1545" s="836"/>
      <c r="W1545" s="836"/>
      <c r="X1545" s="836"/>
      <c r="Y1545" s="836"/>
      <c r="Z1545" s="836"/>
      <c r="AA1545" s="836"/>
      <c r="AB1545" s="836"/>
      <c r="AC1545" s="836"/>
      <c r="AD1545" s="1186">
        <f t="shared" si="121"/>
        <v>0</v>
      </c>
      <c r="AE1545" s="637">
        <f t="shared" si="122"/>
        <v>0</v>
      </c>
      <c r="AF1545" s="638">
        <f t="shared" si="125"/>
        <v>983</v>
      </c>
    </row>
    <row r="1546" spans="1:32" x14ac:dyDescent="0.3">
      <c r="A1546" s="381" t="s">
        <v>759</v>
      </c>
      <c r="B1546" s="1021" t="s">
        <v>1610</v>
      </c>
      <c r="C1546" s="835"/>
      <c r="D1546" s="836" t="s">
        <v>251</v>
      </c>
      <c r="E1546" s="836"/>
      <c r="F1546" s="836" t="s">
        <v>251</v>
      </c>
      <c r="G1546" s="836" t="s">
        <v>251</v>
      </c>
      <c r="H1546" s="836" t="s">
        <v>251</v>
      </c>
      <c r="I1546" s="836" t="s">
        <v>251</v>
      </c>
      <c r="J1546" s="836" t="s">
        <v>251</v>
      </c>
      <c r="K1546" s="836"/>
      <c r="L1546" s="836" t="s">
        <v>251</v>
      </c>
      <c r="M1546" s="836" t="s">
        <v>251</v>
      </c>
      <c r="N1546" s="836" t="s">
        <v>251</v>
      </c>
      <c r="O1546" s="836" t="s">
        <v>251</v>
      </c>
      <c r="P1546" s="1497">
        <f t="shared" si="123"/>
        <v>0</v>
      </c>
      <c r="Q1546" s="1186">
        <f t="shared" si="124"/>
        <v>0</v>
      </c>
      <c r="R1546" s="835"/>
      <c r="S1546" s="836"/>
      <c r="T1546" s="836"/>
      <c r="U1546" s="836"/>
      <c r="V1546" s="836"/>
      <c r="W1546" s="836"/>
      <c r="X1546" s="836"/>
      <c r="Y1546" s="836"/>
      <c r="Z1546" s="836"/>
      <c r="AA1546" s="836"/>
      <c r="AB1546" s="836"/>
      <c r="AC1546" s="836"/>
      <c r="AD1546" s="1186">
        <f t="shared" si="121"/>
        <v>0</v>
      </c>
      <c r="AE1546" s="637">
        <f t="shared" si="122"/>
        <v>0</v>
      </c>
      <c r="AF1546" s="638">
        <f t="shared" si="125"/>
        <v>983</v>
      </c>
    </row>
    <row r="1547" spans="1:32" x14ac:dyDescent="0.3">
      <c r="A1547" s="381" t="s">
        <v>759</v>
      </c>
      <c r="B1547" s="1021" t="s">
        <v>772</v>
      </c>
      <c r="C1547" s="835"/>
      <c r="D1547" s="836" t="s">
        <v>251</v>
      </c>
      <c r="E1547" s="836"/>
      <c r="F1547" s="836" t="s">
        <v>251</v>
      </c>
      <c r="G1547" s="836" t="s">
        <v>251</v>
      </c>
      <c r="H1547" s="836" t="s">
        <v>251</v>
      </c>
      <c r="I1547" s="836" t="s">
        <v>251</v>
      </c>
      <c r="J1547" s="836" t="s">
        <v>251</v>
      </c>
      <c r="K1547" s="836"/>
      <c r="L1547" s="836" t="s">
        <v>251</v>
      </c>
      <c r="M1547" s="836" t="s">
        <v>251</v>
      </c>
      <c r="N1547" s="836" t="s">
        <v>251</v>
      </c>
      <c r="O1547" s="836" t="s">
        <v>251</v>
      </c>
      <c r="P1547" s="1497">
        <f t="shared" si="123"/>
        <v>0</v>
      </c>
      <c r="Q1547" s="1186">
        <f t="shared" si="124"/>
        <v>0</v>
      </c>
      <c r="R1547" s="835"/>
      <c r="S1547" s="836"/>
      <c r="T1547" s="836"/>
      <c r="U1547" s="836"/>
      <c r="V1547" s="836"/>
      <c r="W1547" s="836"/>
      <c r="X1547" s="836"/>
      <c r="Y1547" s="836"/>
      <c r="Z1547" s="836"/>
      <c r="AA1547" s="836"/>
      <c r="AB1547" s="836"/>
      <c r="AC1547" s="836"/>
      <c r="AD1547" s="1186">
        <f t="shared" si="121"/>
        <v>0</v>
      </c>
      <c r="AE1547" s="637">
        <f t="shared" si="122"/>
        <v>0</v>
      </c>
      <c r="AF1547" s="638">
        <f t="shared" si="125"/>
        <v>983</v>
      </c>
    </row>
    <row r="1548" spans="1:32" x14ac:dyDescent="0.3">
      <c r="A1548" s="381" t="s">
        <v>759</v>
      </c>
      <c r="B1548" s="1021" t="s">
        <v>1369</v>
      </c>
      <c r="C1548" s="835"/>
      <c r="D1548" s="836" t="s">
        <v>251</v>
      </c>
      <c r="E1548" s="836"/>
      <c r="F1548" s="836" t="s">
        <v>251</v>
      </c>
      <c r="G1548" s="836" t="s">
        <v>251</v>
      </c>
      <c r="H1548" s="836" t="s">
        <v>251</v>
      </c>
      <c r="I1548" s="836" t="s">
        <v>251</v>
      </c>
      <c r="J1548" s="836" t="s">
        <v>251</v>
      </c>
      <c r="K1548" s="836"/>
      <c r="L1548" s="836" t="s">
        <v>251</v>
      </c>
      <c r="M1548" s="836" t="s">
        <v>251</v>
      </c>
      <c r="N1548" s="836" t="s">
        <v>251</v>
      </c>
      <c r="O1548" s="836" t="s">
        <v>251</v>
      </c>
      <c r="P1548" s="1497">
        <f t="shared" si="123"/>
        <v>0</v>
      </c>
      <c r="Q1548" s="1186">
        <f t="shared" si="124"/>
        <v>0</v>
      </c>
      <c r="R1548" s="835"/>
      <c r="S1548" s="836"/>
      <c r="T1548" s="836"/>
      <c r="U1548" s="836"/>
      <c r="V1548" s="836"/>
      <c r="W1548" s="836"/>
      <c r="X1548" s="836"/>
      <c r="Y1548" s="836"/>
      <c r="Z1548" s="836"/>
      <c r="AA1548" s="836"/>
      <c r="AB1548" s="836"/>
      <c r="AC1548" s="836"/>
      <c r="AD1548" s="1186">
        <f t="shared" si="121"/>
        <v>0</v>
      </c>
      <c r="AE1548" s="637">
        <f t="shared" si="122"/>
        <v>0</v>
      </c>
      <c r="AF1548" s="638">
        <f t="shared" si="125"/>
        <v>983</v>
      </c>
    </row>
    <row r="1549" spans="1:32" x14ac:dyDescent="0.3">
      <c r="A1549" s="381" t="s">
        <v>759</v>
      </c>
      <c r="B1549" s="1021" t="s">
        <v>1611</v>
      </c>
      <c r="C1549" s="835"/>
      <c r="D1549" s="836" t="s">
        <v>251</v>
      </c>
      <c r="E1549" s="836"/>
      <c r="F1549" s="836" t="s">
        <v>251</v>
      </c>
      <c r="G1549" s="836" t="s">
        <v>251</v>
      </c>
      <c r="H1549" s="836" t="s">
        <v>251</v>
      </c>
      <c r="I1549" s="836" t="s">
        <v>251</v>
      </c>
      <c r="J1549" s="836" t="s">
        <v>251</v>
      </c>
      <c r="K1549" s="836"/>
      <c r="L1549" s="836" t="s">
        <v>251</v>
      </c>
      <c r="M1549" s="836" t="s">
        <v>251</v>
      </c>
      <c r="N1549" s="836" t="s">
        <v>251</v>
      </c>
      <c r="O1549" s="836" t="s">
        <v>251</v>
      </c>
      <c r="P1549" s="1497">
        <f t="shared" si="123"/>
        <v>0</v>
      </c>
      <c r="Q1549" s="1186">
        <f t="shared" si="124"/>
        <v>0</v>
      </c>
      <c r="R1549" s="835"/>
      <c r="S1549" s="836"/>
      <c r="T1549" s="836"/>
      <c r="U1549" s="836"/>
      <c r="V1549" s="836"/>
      <c r="W1549" s="836"/>
      <c r="X1549" s="836"/>
      <c r="Y1549" s="836"/>
      <c r="Z1549" s="836"/>
      <c r="AA1549" s="836"/>
      <c r="AB1549" s="836"/>
      <c r="AC1549" s="836"/>
      <c r="AD1549" s="1186">
        <f t="shared" si="121"/>
        <v>0</v>
      </c>
      <c r="AE1549" s="637">
        <f t="shared" si="122"/>
        <v>0</v>
      </c>
      <c r="AF1549" s="638">
        <f t="shared" si="125"/>
        <v>983</v>
      </c>
    </row>
    <row r="1550" spans="1:32" x14ac:dyDescent="0.3">
      <c r="A1550" s="381" t="s">
        <v>759</v>
      </c>
      <c r="B1550" s="1021" t="s">
        <v>1612</v>
      </c>
      <c r="C1550" s="835"/>
      <c r="D1550" s="836" t="s">
        <v>251</v>
      </c>
      <c r="E1550" s="836"/>
      <c r="F1550" s="836" t="s">
        <v>251</v>
      </c>
      <c r="G1550" s="836" t="s">
        <v>251</v>
      </c>
      <c r="H1550" s="836" t="s">
        <v>251</v>
      </c>
      <c r="I1550" s="836" t="s">
        <v>251</v>
      </c>
      <c r="J1550" s="836" t="s">
        <v>251</v>
      </c>
      <c r="K1550" s="836"/>
      <c r="L1550" s="836" t="s">
        <v>251</v>
      </c>
      <c r="M1550" s="836" t="s">
        <v>251</v>
      </c>
      <c r="N1550" s="836" t="s">
        <v>251</v>
      </c>
      <c r="O1550" s="836" t="s">
        <v>251</v>
      </c>
      <c r="P1550" s="1497">
        <f t="shared" si="123"/>
        <v>0</v>
      </c>
      <c r="Q1550" s="1186">
        <f t="shared" si="124"/>
        <v>0</v>
      </c>
      <c r="R1550" s="835"/>
      <c r="S1550" s="836"/>
      <c r="T1550" s="836"/>
      <c r="U1550" s="836"/>
      <c r="V1550" s="836"/>
      <c r="W1550" s="836"/>
      <c r="X1550" s="836"/>
      <c r="Y1550" s="836"/>
      <c r="Z1550" s="836"/>
      <c r="AA1550" s="836"/>
      <c r="AB1550" s="836"/>
      <c r="AC1550" s="836"/>
      <c r="AD1550" s="1186">
        <f t="shared" si="121"/>
        <v>0</v>
      </c>
      <c r="AE1550" s="637">
        <f t="shared" si="122"/>
        <v>0</v>
      </c>
      <c r="AF1550" s="638">
        <f t="shared" si="125"/>
        <v>983</v>
      </c>
    </row>
    <row r="1551" spans="1:32" x14ac:dyDescent="0.3">
      <c r="A1551" s="381" t="s">
        <v>759</v>
      </c>
      <c r="B1551" s="1021" t="s">
        <v>1613</v>
      </c>
      <c r="C1551" s="835"/>
      <c r="D1551" s="836" t="s">
        <v>251</v>
      </c>
      <c r="E1551" s="836"/>
      <c r="F1551" s="836" t="s">
        <v>251</v>
      </c>
      <c r="G1551" s="836" t="s">
        <v>251</v>
      </c>
      <c r="H1551" s="836" t="s">
        <v>251</v>
      </c>
      <c r="I1551" s="836" t="s">
        <v>251</v>
      </c>
      <c r="J1551" s="836" t="s">
        <v>251</v>
      </c>
      <c r="K1551" s="836"/>
      <c r="L1551" s="836" t="s">
        <v>251</v>
      </c>
      <c r="M1551" s="836" t="s">
        <v>251</v>
      </c>
      <c r="N1551" s="836" t="s">
        <v>251</v>
      </c>
      <c r="O1551" s="836" t="s">
        <v>251</v>
      </c>
      <c r="P1551" s="1497">
        <f t="shared" si="123"/>
        <v>0</v>
      </c>
      <c r="Q1551" s="1186">
        <f t="shared" si="124"/>
        <v>0</v>
      </c>
      <c r="R1551" s="835"/>
      <c r="S1551" s="836"/>
      <c r="T1551" s="836"/>
      <c r="U1551" s="836"/>
      <c r="V1551" s="836"/>
      <c r="W1551" s="836"/>
      <c r="X1551" s="836"/>
      <c r="Y1551" s="836"/>
      <c r="Z1551" s="836"/>
      <c r="AA1551" s="836"/>
      <c r="AB1551" s="836"/>
      <c r="AC1551" s="836"/>
      <c r="AD1551" s="1186">
        <f t="shared" ref="AD1551:AD1614" si="126">SUM(R1551:AC1551)</f>
        <v>0</v>
      </c>
      <c r="AE1551" s="637">
        <f t="shared" ref="AE1551:AE1614" si="127">IF(OR(AD1551="", P1551=""), 0, IFERROR((AD1551-P1551)/P1551, IF(AD1551&lt;&gt;0, 1, 0)))</f>
        <v>0</v>
      </c>
      <c r="AF1551" s="638">
        <f t="shared" si="125"/>
        <v>983</v>
      </c>
    </row>
    <row r="1552" spans="1:32" x14ac:dyDescent="0.3">
      <c r="A1552" s="381" t="s">
        <v>759</v>
      </c>
      <c r="B1552" s="1021" t="s">
        <v>1317</v>
      </c>
      <c r="C1552" s="835"/>
      <c r="D1552" s="836" t="s">
        <v>251</v>
      </c>
      <c r="E1552" s="836"/>
      <c r="F1552" s="836" t="s">
        <v>251</v>
      </c>
      <c r="G1552" s="836" t="s">
        <v>251</v>
      </c>
      <c r="H1552" s="836" t="s">
        <v>251</v>
      </c>
      <c r="I1552" s="836" t="s">
        <v>251</v>
      </c>
      <c r="J1552" s="836" t="s">
        <v>251</v>
      </c>
      <c r="K1552" s="836"/>
      <c r="L1552" s="836" t="s">
        <v>251</v>
      </c>
      <c r="M1552" s="836" t="s">
        <v>251</v>
      </c>
      <c r="N1552" s="836" t="s">
        <v>251</v>
      </c>
      <c r="O1552" s="836" t="s">
        <v>251</v>
      </c>
      <c r="P1552" s="1497">
        <f t="shared" si="123"/>
        <v>0</v>
      </c>
      <c r="Q1552" s="1186">
        <f t="shared" si="124"/>
        <v>0</v>
      </c>
      <c r="R1552" s="835"/>
      <c r="S1552" s="836"/>
      <c r="T1552" s="836"/>
      <c r="U1552" s="836"/>
      <c r="V1552" s="836"/>
      <c r="W1552" s="836"/>
      <c r="X1552" s="836"/>
      <c r="Y1552" s="836"/>
      <c r="Z1552" s="836"/>
      <c r="AA1552" s="836"/>
      <c r="AB1552" s="836"/>
      <c r="AC1552" s="836"/>
      <c r="AD1552" s="1186">
        <f t="shared" si="126"/>
        <v>0</v>
      </c>
      <c r="AE1552" s="637">
        <f t="shared" si="127"/>
        <v>0</v>
      </c>
      <c r="AF1552" s="638">
        <f t="shared" si="125"/>
        <v>983</v>
      </c>
    </row>
    <row r="1553" spans="1:32" x14ac:dyDescent="0.3">
      <c r="A1553" s="381" t="s">
        <v>759</v>
      </c>
      <c r="B1553" s="1021" t="s">
        <v>1324</v>
      </c>
      <c r="C1553" s="835"/>
      <c r="D1553" s="836" t="s">
        <v>251</v>
      </c>
      <c r="E1553" s="836"/>
      <c r="F1553" s="836" t="s">
        <v>251</v>
      </c>
      <c r="G1553" s="836" t="s">
        <v>251</v>
      </c>
      <c r="H1553" s="836" t="s">
        <v>251</v>
      </c>
      <c r="I1553" s="836" t="s">
        <v>251</v>
      </c>
      <c r="J1553" s="836" t="s">
        <v>251</v>
      </c>
      <c r="K1553" s="836"/>
      <c r="L1553" s="836" t="s">
        <v>251</v>
      </c>
      <c r="M1553" s="836" t="s">
        <v>251</v>
      </c>
      <c r="N1553" s="836" t="s">
        <v>251</v>
      </c>
      <c r="O1553" s="836" t="s">
        <v>251</v>
      </c>
      <c r="P1553" s="1497">
        <f t="shared" si="123"/>
        <v>0</v>
      </c>
      <c r="Q1553" s="1186">
        <f t="shared" si="124"/>
        <v>0</v>
      </c>
      <c r="R1553" s="835"/>
      <c r="S1553" s="836"/>
      <c r="T1553" s="836"/>
      <c r="U1553" s="836"/>
      <c r="V1553" s="836"/>
      <c r="W1553" s="836"/>
      <c r="X1553" s="836"/>
      <c r="Y1553" s="836"/>
      <c r="Z1553" s="836"/>
      <c r="AA1553" s="836"/>
      <c r="AB1553" s="836"/>
      <c r="AC1553" s="836"/>
      <c r="AD1553" s="1186">
        <f t="shared" si="126"/>
        <v>0</v>
      </c>
      <c r="AE1553" s="637">
        <f t="shared" si="127"/>
        <v>0</v>
      </c>
      <c r="AF1553" s="638">
        <f t="shared" si="125"/>
        <v>983</v>
      </c>
    </row>
    <row r="1554" spans="1:32" x14ac:dyDescent="0.3">
      <c r="A1554" s="381" t="s">
        <v>759</v>
      </c>
      <c r="B1554" s="1021" t="s">
        <v>1614</v>
      </c>
      <c r="C1554" s="835"/>
      <c r="D1554" s="836" t="s">
        <v>251</v>
      </c>
      <c r="E1554" s="836"/>
      <c r="F1554" s="836" t="s">
        <v>251</v>
      </c>
      <c r="G1554" s="836" t="s">
        <v>251</v>
      </c>
      <c r="H1554" s="836" t="s">
        <v>251</v>
      </c>
      <c r="I1554" s="836" t="s">
        <v>251</v>
      </c>
      <c r="J1554" s="836" t="s">
        <v>251</v>
      </c>
      <c r="K1554" s="836"/>
      <c r="L1554" s="836" t="s">
        <v>251</v>
      </c>
      <c r="M1554" s="836" t="s">
        <v>251</v>
      </c>
      <c r="N1554" s="836" t="s">
        <v>251</v>
      </c>
      <c r="O1554" s="836" t="s">
        <v>251</v>
      </c>
      <c r="P1554" s="1497">
        <f t="shared" si="123"/>
        <v>0</v>
      </c>
      <c r="Q1554" s="1186">
        <f t="shared" si="124"/>
        <v>0</v>
      </c>
      <c r="R1554" s="835"/>
      <c r="S1554" s="836"/>
      <c r="T1554" s="836"/>
      <c r="U1554" s="836"/>
      <c r="V1554" s="836"/>
      <c r="W1554" s="836"/>
      <c r="X1554" s="836"/>
      <c r="Y1554" s="836"/>
      <c r="Z1554" s="836"/>
      <c r="AA1554" s="836"/>
      <c r="AB1554" s="836"/>
      <c r="AC1554" s="836"/>
      <c r="AD1554" s="1186">
        <f t="shared" si="126"/>
        <v>0</v>
      </c>
      <c r="AE1554" s="637">
        <f t="shared" si="127"/>
        <v>0</v>
      </c>
      <c r="AF1554" s="638">
        <f t="shared" si="125"/>
        <v>983</v>
      </c>
    </row>
    <row r="1555" spans="1:32" x14ac:dyDescent="0.3">
      <c r="A1555" s="381" t="s">
        <v>759</v>
      </c>
      <c r="B1555" s="1021" t="s">
        <v>779</v>
      </c>
      <c r="C1555" s="835"/>
      <c r="D1555" s="836" t="s">
        <v>251</v>
      </c>
      <c r="E1555" s="836"/>
      <c r="F1555" s="836" t="s">
        <v>251</v>
      </c>
      <c r="G1555" s="836" t="s">
        <v>251</v>
      </c>
      <c r="H1555" s="836" t="s">
        <v>251</v>
      </c>
      <c r="I1555" s="836" t="s">
        <v>251</v>
      </c>
      <c r="J1555" s="836" t="s">
        <v>251</v>
      </c>
      <c r="K1555" s="836"/>
      <c r="L1555" s="836" t="s">
        <v>251</v>
      </c>
      <c r="M1555" s="836" t="s">
        <v>251</v>
      </c>
      <c r="N1555" s="836" t="s">
        <v>251</v>
      </c>
      <c r="O1555" s="836" t="s">
        <v>251</v>
      </c>
      <c r="P1555" s="1497">
        <f t="shared" si="123"/>
        <v>0</v>
      </c>
      <c r="Q1555" s="1186">
        <f t="shared" si="124"/>
        <v>0</v>
      </c>
      <c r="R1555" s="835"/>
      <c r="S1555" s="836"/>
      <c r="T1555" s="836"/>
      <c r="U1555" s="836"/>
      <c r="V1555" s="836"/>
      <c r="W1555" s="836"/>
      <c r="X1555" s="836"/>
      <c r="Y1555" s="836"/>
      <c r="Z1555" s="836"/>
      <c r="AA1555" s="836"/>
      <c r="AB1555" s="836"/>
      <c r="AC1555" s="836"/>
      <c r="AD1555" s="1186">
        <f t="shared" si="126"/>
        <v>0</v>
      </c>
      <c r="AE1555" s="637">
        <f t="shared" si="127"/>
        <v>0</v>
      </c>
      <c r="AF1555" s="638">
        <f t="shared" si="125"/>
        <v>983</v>
      </c>
    </row>
    <row r="1556" spans="1:32" x14ac:dyDescent="0.3">
      <c r="A1556" s="381" t="s">
        <v>759</v>
      </c>
      <c r="B1556" s="1021" t="s">
        <v>1615</v>
      </c>
      <c r="C1556" s="835"/>
      <c r="D1556" s="836" t="s">
        <v>251</v>
      </c>
      <c r="E1556" s="836"/>
      <c r="F1556" s="836" t="s">
        <v>251</v>
      </c>
      <c r="G1556" s="836" t="s">
        <v>251</v>
      </c>
      <c r="H1556" s="836" t="s">
        <v>251</v>
      </c>
      <c r="I1556" s="836" t="s">
        <v>251</v>
      </c>
      <c r="J1556" s="836" t="s">
        <v>251</v>
      </c>
      <c r="K1556" s="836"/>
      <c r="L1556" s="836" t="s">
        <v>251</v>
      </c>
      <c r="M1556" s="836" t="s">
        <v>251</v>
      </c>
      <c r="N1556" s="836" t="s">
        <v>251</v>
      </c>
      <c r="O1556" s="836" t="s">
        <v>251</v>
      </c>
      <c r="P1556" s="1497">
        <f t="shared" si="123"/>
        <v>0</v>
      </c>
      <c r="Q1556" s="1186">
        <f t="shared" si="124"/>
        <v>0</v>
      </c>
      <c r="R1556" s="835"/>
      <c r="S1556" s="836"/>
      <c r="T1556" s="836"/>
      <c r="U1556" s="836"/>
      <c r="V1556" s="836"/>
      <c r="W1556" s="836"/>
      <c r="X1556" s="836"/>
      <c r="Y1556" s="836"/>
      <c r="Z1556" s="836"/>
      <c r="AA1556" s="836"/>
      <c r="AB1556" s="836"/>
      <c r="AC1556" s="836"/>
      <c r="AD1556" s="1186">
        <f t="shared" si="126"/>
        <v>0</v>
      </c>
      <c r="AE1556" s="637">
        <f t="shared" si="127"/>
        <v>0</v>
      </c>
      <c r="AF1556" s="638">
        <f t="shared" si="125"/>
        <v>983</v>
      </c>
    </row>
    <row r="1557" spans="1:32" x14ac:dyDescent="0.3">
      <c r="A1557" s="381" t="s">
        <v>759</v>
      </c>
      <c r="B1557" s="1021" t="s">
        <v>1060</v>
      </c>
      <c r="C1557" s="835"/>
      <c r="D1557" s="836" t="s">
        <v>251</v>
      </c>
      <c r="E1557" s="836"/>
      <c r="F1557" s="836" t="s">
        <v>251</v>
      </c>
      <c r="G1557" s="836" t="s">
        <v>251</v>
      </c>
      <c r="H1557" s="836" t="s">
        <v>251</v>
      </c>
      <c r="I1557" s="836" t="s">
        <v>251</v>
      </c>
      <c r="J1557" s="836" t="s">
        <v>251</v>
      </c>
      <c r="K1557" s="836"/>
      <c r="L1557" s="836" t="s">
        <v>251</v>
      </c>
      <c r="M1557" s="836" t="s">
        <v>251</v>
      </c>
      <c r="N1557" s="836" t="s">
        <v>251</v>
      </c>
      <c r="O1557" s="836" t="s">
        <v>251</v>
      </c>
      <c r="P1557" s="1497">
        <f t="shared" si="123"/>
        <v>0</v>
      </c>
      <c r="Q1557" s="1186">
        <f t="shared" si="124"/>
        <v>0</v>
      </c>
      <c r="R1557" s="835"/>
      <c r="S1557" s="836"/>
      <c r="T1557" s="836"/>
      <c r="U1557" s="836"/>
      <c r="V1557" s="836"/>
      <c r="W1557" s="836"/>
      <c r="X1557" s="836"/>
      <c r="Y1557" s="836"/>
      <c r="Z1557" s="836"/>
      <c r="AA1557" s="836"/>
      <c r="AB1557" s="836"/>
      <c r="AC1557" s="836"/>
      <c r="AD1557" s="1186">
        <f t="shared" si="126"/>
        <v>0</v>
      </c>
      <c r="AE1557" s="637">
        <f t="shared" si="127"/>
        <v>0</v>
      </c>
      <c r="AF1557" s="638">
        <f t="shared" si="125"/>
        <v>983</v>
      </c>
    </row>
    <row r="1558" spans="1:32" x14ac:dyDescent="0.3">
      <c r="A1558" s="381" t="s">
        <v>759</v>
      </c>
      <c r="B1558" s="1021" t="s">
        <v>1616</v>
      </c>
      <c r="C1558" s="835"/>
      <c r="D1558" s="836">
        <v>0</v>
      </c>
      <c r="E1558" s="836"/>
      <c r="F1558" s="836">
        <v>0</v>
      </c>
      <c r="G1558" s="836">
        <v>0</v>
      </c>
      <c r="H1558" s="836">
        <v>0</v>
      </c>
      <c r="I1558" s="836">
        <v>0</v>
      </c>
      <c r="J1558" s="836">
        <v>0</v>
      </c>
      <c r="K1558" s="836"/>
      <c r="L1558" s="836">
        <v>0</v>
      </c>
      <c r="M1558" s="836">
        <v>0</v>
      </c>
      <c r="N1558" s="836">
        <v>1530000</v>
      </c>
      <c r="O1558" s="836" t="s">
        <v>251</v>
      </c>
      <c r="P1558" s="1497">
        <f t="shared" ref="P1558:P1621" si="128">SUM(C1558:I1558,K1558)</f>
        <v>0</v>
      </c>
      <c r="Q1558" s="1186">
        <f t="shared" ref="Q1558:Q1621" si="129">SUM(C1558:J1558,L1558:O1558)</f>
        <v>1530000</v>
      </c>
      <c r="R1558" s="835"/>
      <c r="S1558" s="836"/>
      <c r="T1558" s="836"/>
      <c r="U1558" s="836"/>
      <c r="V1558" s="836"/>
      <c r="W1558" s="836"/>
      <c r="X1558" s="836"/>
      <c r="Y1558" s="836"/>
      <c r="Z1558" s="836"/>
      <c r="AA1558" s="836"/>
      <c r="AB1558" s="836"/>
      <c r="AC1558" s="836"/>
      <c r="AD1558" s="1186">
        <f t="shared" si="126"/>
        <v>0</v>
      </c>
      <c r="AE1558" s="637">
        <f t="shared" si="127"/>
        <v>0</v>
      </c>
      <c r="AF1558" s="638">
        <f t="shared" si="125"/>
        <v>983</v>
      </c>
    </row>
    <row r="1559" spans="1:32" x14ac:dyDescent="0.3">
      <c r="A1559" s="381" t="s">
        <v>759</v>
      </c>
      <c r="B1559" s="1021" t="s">
        <v>1617</v>
      </c>
      <c r="C1559" s="835"/>
      <c r="D1559" s="836" t="s">
        <v>251</v>
      </c>
      <c r="E1559" s="836"/>
      <c r="F1559" s="836" t="s">
        <v>251</v>
      </c>
      <c r="G1559" s="836" t="s">
        <v>251</v>
      </c>
      <c r="H1559" s="836" t="s">
        <v>251</v>
      </c>
      <c r="I1559" s="836" t="s">
        <v>251</v>
      </c>
      <c r="J1559" s="836" t="s">
        <v>251</v>
      </c>
      <c r="K1559" s="836"/>
      <c r="L1559" s="836" t="s">
        <v>251</v>
      </c>
      <c r="M1559" s="836" t="s">
        <v>251</v>
      </c>
      <c r="N1559" s="836" t="s">
        <v>251</v>
      </c>
      <c r="O1559" s="836" t="s">
        <v>251</v>
      </c>
      <c r="P1559" s="1497">
        <f t="shared" si="128"/>
        <v>0</v>
      </c>
      <c r="Q1559" s="1186">
        <f t="shared" si="129"/>
        <v>0</v>
      </c>
      <c r="R1559" s="835"/>
      <c r="S1559" s="836"/>
      <c r="T1559" s="836"/>
      <c r="U1559" s="836"/>
      <c r="V1559" s="836"/>
      <c r="W1559" s="836"/>
      <c r="X1559" s="836"/>
      <c r="Y1559" s="836"/>
      <c r="Z1559" s="836"/>
      <c r="AA1559" s="836"/>
      <c r="AB1559" s="836"/>
      <c r="AC1559" s="836"/>
      <c r="AD1559" s="1186">
        <f t="shared" si="126"/>
        <v>0</v>
      </c>
      <c r="AE1559" s="637">
        <f t="shared" si="127"/>
        <v>0</v>
      </c>
      <c r="AF1559" s="638">
        <f t="shared" si="125"/>
        <v>983</v>
      </c>
    </row>
    <row r="1560" spans="1:32" x14ac:dyDescent="0.3">
      <c r="A1560" s="381" t="s">
        <v>759</v>
      </c>
      <c r="B1560" s="1021" t="s">
        <v>1618</v>
      </c>
      <c r="C1560" s="835"/>
      <c r="D1560" s="836" t="s">
        <v>251</v>
      </c>
      <c r="E1560" s="836"/>
      <c r="F1560" s="836" t="s">
        <v>251</v>
      </c>
      <c r="G1560" s="836" t="s">
        <v>251</v>
      </c>
      <c r="H1560" s="836" t="s">
        <v>251</v>
      </c>
      <c r="I1560" s="836" t="s">
        <v>251</v>
      </c>
      <c r="J1560" s="836" t="s">
        <v>251</v>
      </c>
      <c r="K1560" s="836"/>
      <c r="L1560" s="836" t="s">
        <v>251</v>
      </c>
      <c r="M1560" s="836" t="s">
        <v>251</v>
      </c>
      <c r="N1560" s="836" t="s">
        <v>251</v>
      </c>
      <c r="O1560" s="836" t="s">
        <v>251</v>
      </c>
      <c r="P1560" s="1497">
        <f t="shared" si="128"/>
        <v>0</v>
      </c>
      <c r="Q1560" s="1186">
        <f t="shared" si="129"/>
        <v>0</v>
      </c>
      <c r="R1560" s="835"/>
      <c r="S1560" s="836"/>
      <c r="T1560" s="836"/>
      <c r="U1560" s="836"/>
      <c r="V1560" s="836"/>
      <c r="W1560" s="836"/>
      <c r="X1560" s="836"/>
      <c r="Y1560" s="836"/>
      <c r="Z1560" s="836"/>
      <c r="AA1560" s="836"/>
      <c r="AB1560" s="836"/>
      <c r="AC1560" s="836"/>
      <c r="AD1560" s="1186">
        <f t="shared" si="126"/>
        <v>0</v>
      </c>
      <c r="AE1560" s="637">
        <f t="shared" si="127"/>
        <v>0</v>
      </c>
      <c r="AF1560" s="638">
        <f t="shared" si="125"/>
        <v>983</v>
      </c>
    </row>
    <row r="1561" spans="1:32" x14ac:dyDescent="0.3">
      <c r="A1561" s="381" t="s">
        <v>759</v>
      </c>
      <c r="B1561" s="1021" t="s">
        <v>773</v>
      </c>
      <c r="C1561" s="835"/>
      <c r="D1561" s="836" t="s">
        <v>251</v>
      </c>
      <c r="E1561" s="836"/>
      <c r="F1561" s="836" t="s">
        <v>251</v>
      </c>
      <c r="G1561" s="836" t="s">
        <v>251</v>
      </c>
      <c r="H1561" s="836" t="s">
        <v>251</v>
      </c>
      <c r="I1561" s="836" t="s">
        <v>251</v>
      </c>
      <c r="J1561" s="836" t="s">
        <v>251</v>
      </c>
      <c r="K1561" s="836"/>
      <c r="L1561" s="836" t="s">
        <v>251</v>
      </c>
      <c r="M1561" s="836" t="s">
        <v>251</v>
      </c>
      <c r="N1561" s="836" t="s">
        <v>251</v>
      </c>
      <c r="O1561" s="836" t="s">
        <v>251</v>
      </c>
      <c r="P1561" s="1497">
        <f t="shared" si="128"/>
        <v>0</v>
      </c>
      <c r="Q1561" s="1186">
        <f t="shared" si="129"/>
        <v>0</v>
      </c>
      <c r="R1561" s="835"/>
      <c r="S1561" s="836"/>
      <c r="T1561" s="836"/>
      <c r="U1561" s="836"/>
      <c r="V1561" s="836"/>
      <c r="W1561" s="836"/>
      <c r="X1561" s="836"/>
      <c r="Y1561" s="836"/>
      <c r="Z1561" s="836"/>
      <c r="AA1561" s="836"/>
      <c r="AB1561" s="836"/>
      <c r="AC1561" s="836"/>
      <c r="AD1561" s="1186">
        <f t="shared" si="126"/>
        <v>0</v>
      </c>
      <c r="AE1561" s="637">
        <f t="shared" si="127"/>
        <v>0</v>
      </c>
      <c r="AF1561" s="638">
        <f t="shared" si="125"/>
        <v>983</v>
      </c>
    </row>
    <row r="1562" spans="1:32" x14ac:dyDescent="0.3">
      <c r="A1562" s="381" t="s">
        <v>759</v>
      </c>
      <c r="B1562" s="1021" t="s">
        <v>1149</v>
      </c>
      <c r="C1562" s="835"/>
      <c r="D1562" s="836" t="s">
        <v>251</v>
      </c>
      <c r="E1562" s="836"/>
      <c r="F1562" s="836" t="s">
        <v>251</v>
      </c>
      <c r="G1562" s="836" t="s">
        <v>251</v>
      </c>
      <c r="H1562" s="836" t="s">
        <v>251</v>
      </c>
      <c r="I1562" s="836" t="s">
        <v>251</v>
      </c>
      <c r="J1562" s="836" t="s">
        <v>251</v>
      </c>
      <c r="K1562" s="836"/>
      <c r="L1562" s="836" t="s">
        <v>251</v>
      </c>
      <c r="M1562" s="836" t="s">
        <v>251</v>
      </c>
      <c r="N1562" s="836" t="s">
        <v>251</v>
      </c>
      <c r="O1562" s="836" t="s">
        <v>251</v>
      </c>
      <c r="P1562" s="1497">
        <f t="shared" si="128"/>
        <v>0</v>
      </c>
      <c r="Q1562" s="1186">
        <f t="shared" si="129"/>
        <v>0</v>
      </c>
      <c r="R1562" s="835"/>
      <c r="S1562" s="836"/>
      <c r="T1562" s="836"/>
      <c r="U1562" s="836"/>
      <c r="V1562" s="836"/>
      <c r="W1562" s="836"/>
      <c r="X1562" s="836"/>
      <c r="Y1562" s="836"/>
      <c r="Z1562" s="836"/>
      <c r="AA1562" s="836"/>
      <c r="AB1562" s="836"/>
      <c r="AC1562" s="836"/>
      <c r="AD1562" s="1186">
        <f t="shared" si="126"/>
        <v>0</v>
      </c>
      <c r="AE1562" s="637">
        <f t="shared" si="127"/>
        <v>0</v>
      </c>
      <c r="AF1562" s="638">
        <f t="shared" si="125"/>
        <v>983</v>
      </c>
    </row>
    <row r="1563" spans="1:32" x14ac:dyDescent="0.3">
      <c r="A1563" s="381" t="s">
        <v>759</v>
      </c>
      <c r="B1563" s="1021" t="s">
        <v>1292</v>
      </c>
      <c r="C1563" s="835"/>
      <c r="D1563" s="836">
        <v>0</v>
      </c>
      <c r="E1563" s="836"/>
      <c r="F1563" s="836">
        <v>0</v>
      </c>
      <c r="G1563" s="836">
        <v>0</v>
      </c>
      <c r="H1563" s="836">
        <v>0</v>
      </c>
      <c r="I1563" s="836">
        <v>308800</v>
      </c>
      <c r="J1563" s="836">
        <v>686400</v>
      </c>
      <c r="K1563" s="836">
        <v>649600</v>
      </c>
      <c r="L1563" s="836">
        <v>458400</v>
      </c>
      <c r="M1563" s="836">
        <v>0</v>
      </c>
      <c r="N1563" s="836">
        <v>0</v>
      </c>
      <c r="O1563" s="836" t="s">
        <v>251</v>
      </c>
      <c r="P1563" s="1497">
        <f t="shared" si="128"/>
        <v>958400</v>
      </c>
      <c r="Q1563" s="1186">
        <f t="shared" si="129"/>
        <v>1453600</v>
      </c>
      <c r="R1563" s="835"/>
      <c r="S1563" s="836"/>
      <c r="T1563" s="836"/>
      <c r="U1563" s="836"/>
      <c r="V1563" s="836"/>
      <c r="W1563" s="836"/>
      <c r="X1563" s="836"/>
      <c r="Y1563" s="836"/>
      <c r="Z1563" s="836"/>
      <c r="AA1563" s="836"/>
      <c r="AB1563" s="836"/>
      <c r="AC1563" s="836"/>
      <c r="AD1563" s="1186">
        <f t="shared" si="126"/>
        <v>0</v>
      </c>
      <c r="AE1563" s="637">
        <f t="shared" si="127"/>
        <v>-1</v>
      </c>
      <c r="AF1563" s="638">
        <f t="shared" si="125"/>
        <v>983</v>
      </c>
    </row>
    <row r="1564" spans="1:32" x14ac:dyDescent="0.3">
      <c r="A1564" s="381" t="s">
        <v>759</v>
      </c>
      <c r="B1564" s="1021" t="s">
        <v>1619</v>
      </c>
      <c r="C1564" s="835"/>
      <c r="D1564" s="836" t="s">
        <v>251</v>
      </c>
      <c r="E1564" s="836"/>
      <c r="F1564" s="836" t="s">
        <v>251</v>
      </c>
      <c r="G1564" s="836" t="s">
        <v>251</v>
      </c>
      <c r="H1564" s="836" t="s">
        <v>251</v>
      </c>
      <c r="I1564" s="836" t="s">
        <v>251</v>
      </c>
      <c r="J1564" s="836" t="s">
        <v>251</v>
      </c>
      <c r="K1564" s="836"/>
      <c r="L1564" s="836" t="s">
        <v>251</v>
      </c>
      <c r="M1564" s="836" t="s">
        <v>251</v>
      </c>
      <c r="N1564" s="836" t="s">
        <v>251</v>
      </c>
      <c r="O1564" s="836" t="s">
        <v>251</v>
      </c>
      <c r="P1564" s="1497">
        <f t="shared" si="128"/>
        <v>0</v>
      </c>
      <c r="Q1564" s="1186">
        <f t="shared" si="129"/>
        <v>0</v>
      </c>
      <c r="R1564" s="835"/>
      <c r="S1564" s="836"/>
      <c r="T1564" s="836"/>
      <c r="U1564" s="836"/>
      <c r="V1564" s="836"/>
      <c r="W1564" s="836"/>
      <c r="X1564" s="836"/>
      <c r="Y1564" s="836"/>
      <c r="Z1564" s="836"/>
      <c r="AA1564" s="836"/>
      <c r="AB1564" s="836"/>
      <c r="AC1564" s="836"/>
      <c r="AD1564" s="1186">
        <f t="shared" si="126"/>
        <v>0</v>
      </c>
      <c r="AE1564" s="637">
        <f t="shared" si="127"/>
        <v>0</v>
      </c>
      <c r="AF1564" s="638">
        <f t="shared" si="125"/>
        <v>983</v>
      </c>
    </row>
    <row r="1565" spans="1:32" x14ac:dyDescent="0.3">
      <c r="A1565" s="381" t="s">
        <v>759</v>
      </c>
      <c r="B1565" s="1021" t="s">
        <v>1338</v>
      </c>
      <c r="C1565" s="835"/>
      <c r="D1565" s="836" t="s">
        <v>251</v>
      </c>
      <c r="E1565" s="836"/>
      <c r="F1565" s="836" t="s">
        <v>251</v>
      </c>
      <c r="G1565" s="836" t="s">
        <v>251</v>
      </c>
      <c r="H1565" s="836" t="s">
        <v>251</v>
      </c>
      <c r="I1565" s="836" t="s">
        <v>251</v>
      </c>
      <c r="J1565" s="836" t="s">
        <v>251</v>
      </c>
      <c r="K1565" s="836"/>
      <c r="L1565" s="836" t="s">
        <v>251</v>
      </c>
      <c r="M1565" s="836" t="s">
        <v>251</v>
      </c>
      <c r="N1565" s="836" t="s">
        <v>251</v>
      </c>
      <c r="O1565" s="836" t="s">
        <v>251</v>
      </c>
      <c r="P1565" s="1497">
        <f t="shared" si="128"/>
        <v>0</v>
      </c>
      <c r="Q1565" s="1186">
        <f t="shared" si="129"/>
        <v>0</v>
      </c>
      <c r="R1565" s="835"/>
      <c r="S1565" s="836"/>
      <c r="T1565" s="836"/>
      <c r="U1565" s="836"/>
      <c r="V1565" s="836"/>
      <c r="W1565" s="836"/>
      <c r="X1565" s="836"/>
      <c r="Y1565" s="836"/>
      <c r="Z1565" s="836"/>
      <c r="AA1565" s="836"/>
      <c r="AB1565" s="836"/>
      <c r="AC1565" s="836"/>
      <c r="AD1565" s="1186">
        <f t="shared" si="126"/>
        <v>0</v>
      </c>
      <c r="AE1565" s="637">
        <f t="shared" si="127"/>
        <v>0</v>
      </c>
      <c r="AF1565" s="638">
        <f t="shared" si="125"/>
        <v>983</v>
      </c>
    </row>
    <row r="1566" spans="1:32" x14ac:dyDescent="0.3">
      <c r="A1566" s="381" t="s">
        <v>759</v>
      </c>
      <c r="B1566" s="1021" t="s">
        <v>1620</v>
      </c>
      <c r="C1566" s="835"/>
      <c r="D1566" s="836" t="s">
        <v>251</v>
      </c>
      <c r="E1566" s="836"/>
      <c r="F1566" s="836" t="s">
        <v>251</v>
      </c>
      <c r="G1566" s="836" t="s">
        <v>251</v>
      </c>
      <c r="H1566" s="836" t="s">
        <v>251</v>
      </c>
      <c r="I1566" s="836" t="s">
        <v>251</v>
      </c>
      <c r="J1566" s="836" t="s">
        <v>251</v>
      </c>
      <c r="K1566" s="836"/>
      <c r="L1566" s="836" t="s">
        <v>251</v>
      </c>
      <c r="M1566" s="836" t="s">
        <v>251</v>
      </c>
      <c r="N1566" s="836" t="s">
        <v>251</v>
      </c>
      <c r="O1566" s="836" t="s">
        <v>251</v>
      </c>
      <c r="P1566" s="1497">
        <f t="shared" si="128"/>
        <v>0</v>
      </c>
      <c r="Q1566" s="1186">
        <f t="shared" si="129"/>
        <v>0</v>
      </c>
      <c r="R1566" s="835"/>
      <c r="S1566" s="836"/>
      <c r="T1566" s="836"/>
      <c r="U1566" s="836"/>
      <c r="V1566" s="836"/>
      <c r="W1566" s="836"/>
      <c r="X1566" s="836"/>
      <c r="Y1566" s="836"/>
      <c r="Z1566" s="836"/>
      <c r="AA1566" s="836"/>
      <c r="AB1566" s="836"/>
      <c r="AC1566" s="836"/>
      <c r="AD1566" s="1186">
        <f t="shared" si="126"/>
        <v>0</v>
      </c>
      <c r="AE1566" s="637">
        <f t="shared" si="127"/>
        <v>0</v>
      </c>
      <c r="AF1566" s="638">
        <f t="shared" si="125"/>
        <v>983</v>
      </c>
    </row>
    <row r="1567" spans="1:32" x14ac:dyDescent="0.3">
      <c r="A1567" s="381" t="s">
        <v>759</v>
      </c>
      <c r="B1567" s="1021" t="s">
        <v>1236</v>
      </c>
      <c r="C1567" s="835"/>
      <c r="D1567" s="836" t="s">
        <v>251</v>
      </c>
      <c r="E1567" s="836"/>
      <c r="F1567" s="836" t="s">
        <v>251</v>
      </c>
      <c r="G1567" s="836" t="s">
        <v>251</v>
      </c>
      <c r="H1567" s="836" t="s">
        <v>251</v>
      </c>
      <c r="I1567" s="836" t="s">
        <v>251</v>
      </c>
      <c r="J1567" s="836" t="s">
        <v>251</v>
      </c>
      <c r="K1567" s="836"/>
      <c r="L1567" s="836" t="s">
        <v>251</v>
      </c>
      <c r="M1567" s="836" t="s">
        <v>251</v>
      </c>
      <c r="N1567" s="836" t="s">
        <v>251</v>
      </c>
      <c r="O1567" s="836" t="s">
        <v>251</v>
      </c>
      <c r="P1567" s="1497">
        <f t="shared" si="128"/>
        <v>0</v>
      </c>
      <c r="Q1567" s="1186">
        <f t="shared" si="129"/>
        <v>0</v>
      </c>
      <c r="R1567" s="835"/>
      <c r="S1567" s="836"/>
      <c r="T1567" s="836"/>
      <c r="U1567" s="836"/>
      <c r="V1567" s="836"/>
      <c r="W1567" s="836"/>
      <c r="X1567" s="836"/>
      <c r="Y1567" s="836"/>
      <c r="Z1567" s="836"/>
      <c r="AA1567" s="836"/>
      <c r="AB1567" s="836"/>
      <c r="AC1567" s="836"/>
      <c r="AD1567" s="1186">
        <f t="shared" si="126"/>
        <v>0</v>
      </c>
      <c r="AE1567" s="637">
        <f t="shared" si="127"/>
        <v>0</v>
      </c>
      <c r="AF1567" s="638">
        <f t="shared" si="125"/>
        <v>983</v>
      </c>
    </row>
    <row r="1568" spans="1:32" x14ac:dyDescent="0.3">
      <c r="A1568" s="381" t="s">
        <v>759</v>
      </c>
      <c r="B1568" s="1021" t="s">
        <v>1621</v>
      </c>
      <c r="C1568" s="835"/>
      <c r="D1568" s="836" t="s">
        <v>251</v>
      </c>
      <c r="E1568" s="836"/>
      <c r="F1568" s="836" t="s">
        <v>251</v>
      </c>
      <c r="G1568" s="836" t="s">
        <v>251</v>
      </c>
      <c r="H1568" s="836" t="s">
        <v>251</v>
      </c>
      <c r="I1568" s="836" t="s">
        <v>251</v>
      </c>
      <c r="J1568" s="836" t="s">
        <v>251</v>
      </c>
      <c r="K1568" s="836"/>
      <c r="L1568" s="836" t="s">
        <v>251</v>
      </c>
      <c r="M1568" s="836" t="s">
        <v>251</v>
      </c>
      <c r="N1568" s="836" t="s">
        <v>251</v>
      </c>
      <c r="O1568" s="836" t="s">
        <v>251</v>
      </c>
      <c r="P1568" s="1497">
        <f t="shared" si="128"/>
        <v>0</v>
      </c>
      <c r="Q1568" s="1186">
        <f t="shared" si="129"/>
        <v>0</v>
      </c>
      <c r="R1568" s="835"/>
      <c r="S1568" s="836"/>
      <c r="T1568" s="836"/>
      <c r="U1568" s="836"/>
      <c r="V1568" s="836"/>
      <c r="W1568" s="836"/>
      <c r="X1568" s="836"/>
      <c r="Y1568" s="836"/>
      <c r="Z1568" s="836"/>
      <c r="AA1568" s="836"/>
      <c r="AB1568" s="836"/>
      <c r="AC1568" s="836"/>
      <c r="AD1568" s="1186">
        <f t="shared" si="126"/>
        <v>0</v>
      </c>
      <c r="AE1568" s="637">
        <f t="shared" si="127"/>
        <v>0</v>
      </c>
      <c r="AF1568" s="638">
        <f t="shared" si="125"/>
        <v>983</v>
      </c>
    </row>
    <row r="1569" spans="1:32" x14ac:dyDescent="0.3">
      <c r="A1569" s="381" t="s">
        <v>759</v>
      </c>
      <c r="B1569" s="1021" t="s">
        <v>1622</v>
      </c>
      <c r="C1569" s="835"/>
      <c r="D1569" s="836" t="s">
        <v>251</v>
      </c>
      <c r="E1569" s="836"/>
      <c r="F1569" s="836" t="s">
        <v>251</v>
      </c>
      <c r="G1569" s="836" t="s">
        <v>251</v>
      </c>
      <c r="H1569" s="836" t="s">
        <v>251</v>
      </c>
      <c r="I1569" s="836" t="s">
        <v>251</v>
      </c>
      <c r="J1569" s="836" t="s">
        <v>251</v>
      </c>
      <c r="K1569" s="836"/>
      <c r="L1569" s="836" t="s">
        <v>251</v>
      </c>
      <c r="M1569" s="836" t="s">
        <v>251</v>
      </c>
      <c r="N1569" s="836" t="s">
        <v>251</v>
      </c>
      <c r="O1569" s="836" t="s">
        <v>251</v>
      </c>
      <c r="P1569" s="1497">
        <f t="shared" si="128"/>
        <v>0</v>
      </c>
      <c r="Q1569" s="1186">
        <f t="shared" si="129"/>
        <v>0</v>
      </c>
      <c r="R1569" s="835"/>
      <c r="S1569" s="836"/>
      <c r="T1569" s="836"/>
      <c r="U1569" s="836"/>
      <c r="V1569" s="836"/>
      <c r="W1569" s="836"/>
      <c r="X1569" s="836"/>
      <c r="Y1569" s="836"/>
      <c r="Z1569" s="836"/>
      <c r="AA1569" s="836"/>
      <c r="AB1569" s="836"/>
      <c r="AC1569" s="836"/>
      <c r="AD1569" s="1186">
        <f t="shared" si="126"/>
        <v>0</v>
      </c>
      <c r="AE1569" s="637">
        <f t="shared" si="127"/>
        <v>0</v>
      </c>
      <c r="AF1569" s="638">
        <f t="shared" si="125"/>
        <v>983</v>
      </c>
    </row>
    <row r="1570" spans="1:32" x14ac:dyDescent="0.3">
      <c r="A1570" s="381" t="s">
        <v>759</v>
      </c>
      <c r="B1570" s="1021" t="s">
        <v>1623</v>
      </c>
      <c r="C1570" s="835"/>
      <c r="D1570" s="836" t="s">
        <v>251</v>
      </c>
      <c r="E1570" s="836"/>
      <c r="F1570" s="836" t="s">
        <v>251</v>
      </c>
      <c r="G1570" s="836" t="s">
        <v>251</v>
      </c>
      <c r="H1570" s="836" t="s">
        <v>251</v>
      </c>
      <c r="I1570" s="836" t="s">
        <v>251</v>
      </c>
      <c r="J1570" s="836" t="s">
        <v>251</v>
      </c>
      <c r="K1570" s="836"/>
      <c r="L1570" s="836" t="s">
        <v>251</v>
      </c>
      <c r="M1570" s="836" t="s">
        <v>251</v>
      </c>
      <c r="N1570" s="836" t="s">
        <v>251</v>
      </c>
      <c r="O1570" s="836" t="s">
        <v>251</v>
      </c>
      <c r="P1570" s="1497">
        <f t="shared" si="128"/>
        <v>0</v>
      </c>
      <c r="Q1570" s="1186">
        <f t="shared" si="129"/>
        <v>0</v>
      </c>
      <c r="R1570" s="835"/>
      <c r="S1570" s="836"/>
      <c r="T1570" s="836"/>
      <c r="U1570" s="836"/>
      <c r="V1570" s="836"/>
      <c r="W1570" s="836"/>
      <c r="X1570" s="836"/>
      <c r="Y1570" s="836"/>
      <c r="Z1570" s="836"/>
      <c r="AA1570" s="836"/>
      <c r="AB1570" s="836"/>
      <c r="AC1570" s="836"/>
      <c r="AD1570" s="1186">
        <f t="shared" si="126"/>
        <v>0</v>
      </c>
      <c r="AE1570" s="637">
        <f t="shared" si="127"/>
        <v>0</v>
      </c>
      <c r="AF1570" s="638">
        <f t="shared" si="125"/>
        <v>983</v>
      </c>
    </row>
    <row r="1571" spans="1:32" x14ac:dyDescent="0.3">
      <c r="A1571" s="381" t="s">
        <v>759</v>
      </c>
      <c r="B1571" s="1021" t="s">
        <v>1624</v>
      </c>
      <c r="C1571" s="835"/>
      <c r="D1571" s="836" t="s">
        <v>251</v>
      </c>
      <c r="E1571" s="836"/>
      <c r="F1571" s="836" t="s">
        <v>251</v>
      </c>
      <c r="G1571" s="836" t="s">
        <v>251</v>
      </c>
      <c r="H1571" s="836" t="s">
        <v>251</v>
      </c>
      <c r="I1571" s="836" t="s">
        <v>251</v>
      </c>
      <c r="J1571" s="836" t="s">
        <v>251</v>
      </c>
      <c r="K1571" s="836"/>
      <c r="L1571" s="836" t="s">
        <v>251</v>
      </c>
      <c r="M1571" s="836" t="s">
        <v>251</v>
      </c>
      <c r="N1571" s="836" t="s">
        <v>251</v>
      </c>
      <c r="O1571" s="836" t="s">
        <v>251</v>
      </c>
      <c r="P1571" s="1497">
        <f t="shared" si="128"/>
        <v>0</v>
      </c>
      <c r="Q1571" s="1186">
        <f t="shared" si="129"/>
        <v>0</v>
      </c>
      <c r="R1571" s="835"/>
      <c r="S1571" s="836"/>
      <c r="T1571" s="836"/>
      <c r="U1571" s="836"/>
      <c r="V1571" s="836"/>
      <c r="W1571" s="836"/>
      <c r="X1571" s="836"/>
      <c r="Y1571" s="836"/>
      <c r="Z1571" s="836"/>
      <c r="AA1571" s="836"/>
      <c r="AB1571" s="836"/>
      <c r="AC1571" s="836"/>
      <c r="AD1571" s="1186">
        <f t="shared" si="126"/>
        <v>0</v>
      </c>
      <c r="AE1571" s="637">
        <f t="shared" si="127"/>
        <v>0</v>
      </c>
      <c r="AF1571" s="638">
        <f t="shared" si="125"/>
        <v>983</v>
      </c>
    </row>
    <row r="1572" spans="1:32" x14ac:dyDescent="0.3">
      <c r="A1572" s="381" t="s">
        <v>759</v>
      </c>
      <c r="B1572" s="1021" t="s">
        <v>1339</v>
      </c>
      <c r="C1572" s="835"/>
      <c r="D1572" s="836" t="s">
        <v>251</v>
      </c>
      <c r="E1572" s="836"/>
      <c r="F1572" s="836" t="s">
        <v>251</v>
      </c>
      <c r="G1572" s="836" t="s">
        <v>251</v>
      </c>
      <c r="H1572" s="836" t="s">
        <v>251</v>
      </c>
      <c r="I1572" s="836" t="s">
        <v>251</v>
      </c>
      <c r="J1572" s="836" t="s">
        <v>251</v>
      </c>
      <c r="K1572" s="836"/>
      <c r="L1572" s="836" t="s">
        <v>251</v>
      </c>
      <c r="M1572" s="836" t="s">
        <v>251</v>
      </c>
      <c r="N1572" s="836" t="s">
        <v>251</v>
      </c>
      <c r="O1572" s="836" t="s">
        <v>251</v>
      </c>
      <c r="P1572" s="1497">
        <f t="shared" si="128"/>
        <v>0</v>
      </c>
      <c r="Q1572" s="1186">
        <f t="shared" si="129"/>
        <v>0</v>
      </c>
      <c r="R1572" s="835"/>
      <c r="S1572" s="836"/>
      <c r="T1572" s="836"/>
      <c r="U1572" s="836"/>
      <c r="V1572" s="836"/>
      <c r="W1572" s="836"/>
      <c r="X1572" s="836"/>
      <c r="Y1572" s="836"/>
      <c r="Z1572" s="836"/>
      <c r="AA1572" s="836"/>
      <c r="AB1572" s="836"/>
      <c r="AC1572" s="836"/>
      <c r="AD1572" s="1186">
        <f t="shared" si="126"/>
        <v>0</v>
      </c>
      <c r="AE1572" s="637">
        <f t="shared" si="127"/>
        <v>0</v>
      </c>
      <c r="AF1572" s="638">
        <f t="shared" si="125"/>
        <v>983</v>
      </c>
    </row>
    <row r="1573" spans="1:32" x14ac:dyDescent="0.3">
      <c r="A1573" s="381" t="s">
        <v>759</v>
      </c>
      <c r="B1573" s="1021" t="s">
        <v>1625</v>
      </c>
      <c r="C1573" s="835"/>
      <c r="D1573" s="836" t="s">
        <v>251</v>
      </c>
      <c r="E1573" s="836"/>
      <c r="F1573" s="836" t="s">
        <v>251</v>
      </c>
      <c r="G1573" s="836" t="s">
        <v>251</v>
      </c>
      <c r="H1573" s="836" t="s">
        <v>251</v>
      </c>
      <c r="I1573" s="836" t="s">
        <v>251</v>
      </c>
      <c r="J1573" s="836" t="s">
        <v>251</v>
      </c>
      <c r="K1573" s="836"/>
      <c r="L1573" s="836" t="s">
        <v>251</v>
      </c>
      <c r="M1573" s="836" t="s">
        <v>251</v>
      </c>
      <c r="N1573" s="836" t="s">
        <v>251</v>
      </c>
      <c r="O1573" s="836" t="s">
        <v>251</v>
      </c>
      <c r="P1573" s="1497">
        <f t="shared" si="128"/>
        <v>0</v>
      </c>
      <c r="Q1573" s="1186">
        <f t="shared" si="129"/>
        <v>0</v>
      </c>
      <c r="R1573" s="835"/>
      <c r="S1573" s="836"/>
      <c r="T1573" s="836"/>
      <c r="U1573" s="836"/>
      <c r="V1573" s="836"/>
      <c r="W1573" s="836"/>
      <c r="X1573" s="836"/>
      <c r="Y1573" s="836"/>
      <c r="Z1573" s="836"/>
      <c r="AA1573" s="836"/>
      <c r="AB1573" s="836"/>
      <c r="AC1573" s="836"/>
      <c r="AD1573" s="1186">
        <f t="shared" si="126"/>
        <v>0</v>
      </c>
      <c r="AE1573" s="637">
        <f t="shared" si="127"/>
        <v>0</v>
      </c>
      <c r="AF1573" s="638">
        <f t="shared" si="125"/>
        <v>983</v>
      </c>
    </row>
    <row r="1574" spans="1:32" x14ac:dyDescent="0.3">
      <c r="A1574" s="381" t="s">
        <v>759</v>
      </c>
      <c r="B1574" s="1021" t="s">
        <v>1626</v>
      </c>
      <c r="C1574" s="835"/>
      <c r="D1574" s="836" t="s">
        <v>251</v>
      </c>
      <c r="E1574" s="836"/>
      <c r="F1574" s="836" t="s">
        <v>251</v>
      </c>
      <c r="G1574" s="836" t="s">
        <v>251</v>
      </c>
      <c r="H1574" s="836" t="s">
        <v>251</v>
      </c>
      <c r="I1574" s="836" t="s">
        <v>251</v>
      </c>
      <c r="J1574" s="836" t="s">
        <v>251</v>
      </c>
      <c r="K1574" s="836"/>
      <c r="L1574" s="836" t="s">
        <v>251</v>
      </c>
      <c r="M1574" s="836" t="s">
        <v>251</v>
      </c>
      <c r="N1574" s="836" t="s">
        <v>251</v>
      </c>
      <c r="O1574" s="836" t="s">
        <v>251</v>
      </c>
      <c r="P1574" s="1497">
        <f t="shared" si="128"/>
        <v>0</v>
      </c>
      <c r="Q1574" s="1186">
        <f t="shared" si="129"/>
        <v>0</v>
      </c>
      <c r="R1574" s="835"/>
      <c r="S1574" s="836"/>
      <c r="T1574" s="836"/>
      <c r="U1574" s="836"/>
      <c r="V1574" s="836"/>
      <c r="W1574" s="836"/>
      <c r="X1574" s="836"/>
      <c r="Y1574" s="836"/>
      <c r="Z1574" s="836"/>
      <c r="AA1574" s="836"/>
      <c r="AB1574" s="836"/>
      <c r="AC1574" s="836"/>
      <c r="AD1574" s="1186">
        <f t="shared" si="126"/>
        <v>0</v>
      </c>
      <c r="AE1574" s="637">
        <f t="shared" si="127"/>
        <v>0</v>
      </c>
      <c r="AF1574" s="638">
        <f t="shared" si="125"/>
        <v>983</v>
      </c>
    </row>
    <row r="1575" spans="1:32" x14ac:dyDescent="0.3">
      <c r="A1575" s="381" t="s">
        <v>759</v>
      </c>
      <c r="B1575" s="1021" t="s">
        <v>1627</v>
      </c>
      <c r="C1575" s="835"/>
      <c r="D1575" s="836" t="s">
        <v>251</v>
      </c>
      <c r="E1575" s="836"/>
      <c r="F1575" s="836" t="s">
        <v>251</v>
      </c>
      <c r="G1575" s="836" t="s">
        <v>251</v>
      </c>
      <c r="H1575" s="836" t="s">
        <v>251</v>
      </c>
      <c r="I1575" s="836" t="s">
        <v>251</v>
      </c>
      <c r="J1575" s="836" t="s">
        <v>251</v>
      </c>
      <c r="K1575" s="836"/>
      <c r="L1575" s="836" t="s">
        <v>251</v>
      </c>
      <c r="M1575" s="836" t="s">
        <v>251</v>
      </c>
      <c r="N1575" s="836" t="s">
        <v>251</v>
      </c>
      <c r="O1575" s="836" t="s">
        <v>251</v>
      </c>
      <c r="P1575" s="1497">
        <f t="shared" si="128"/>
        <v>0</v>
      </c>
      <c r="Q1575" s="1186">
        <f t="shared" si="129"/>
        <v>0</v>
      </c>
      <c r="R1575" s="835"/>
      <c r="S1575" s="836"/>
      <c r="T1575" s="836"/>
      <c r="U1575" s="836"/>
      <c r="V1575" s="836"/>
      <c r="W1575" s="836"/>
      <c r="X1575" s="836"/>
      <c r="Y1575" s="836"/>
      <c r="Z1575" s="836"/>
      <c r="AA1575" s="836"/>
      <c r="AB1575" s="836"/>
      <c r="AC1575" s="836"/>
      <c r="AD1575" s="1186">
        <f t="shared" si="126"/>
        <v>0</v>
      </c>
      <c r="AE1575" s="637">
        <f t="shared" si="127"/>
        <v>0</v>
      </c>
      <c r="AF1575" s="638">
        <f t="shared" si="125"/>
        <v>983</v>
      </c>
    </row>
    <row r="1576" spans="1:32" x14ac:dyDescent="0.3">
      <c r="A1576" s="381" t="s">
        <v>759</v>
      </c>
      <c r="B1576" s="1021" t="s">
        <v>1628</v>
      </c>
      <c r="C1576" s="835"/>
      <c r="D1576" s="836" t="s">
        <v>251</v>
      </c>
      <c r="E1576" s="836"/>
      <c r="F1576" s="836" t="s">
        <v>251</v>
      </c>
      <c r="G1576" s="836" t="s">
        <v>251</v>
      </c>
      <c r="H1576" s="836" t="s">
        <v>251</v>
      </c>
      <c r="I1576" s="836" t="s">
        <v>251</v>
      </c>
      <c r="J1576" s="836" t="s">
        <v>251</v>
      </c>
      <c r="K1576" s="836"/>
      <c r="L1576" s="836" t="s">
        <v>251</v>
      </c>
      <c r="M1576" s="836" t="s">
        <v>251</v>
      </c>
      <c r="N1576" s="836" t="s">
        <v>251</v>
      </c>
      <c r="O1576" s="836" t="s">
        <v>251</v>
      </c>
      <c r="P1576" s="1497">
        <f t="shared" si="128"/>
        <v>0</v>
      </c>
      <c r="Q1576" s="1186">
        <f t="shared" si="129"/>
        <v>0</v>
      </c>
      <c r="R1576" s="835"/>
      <c r="S1576" s="836"/>
      <c r="T1576" s="836"/>
      <c r="U1576" s="836"/>
      <c r="V1576" s="836"/>
      <c r="W1576" s="836"/>
      <c r="X1576" s="836"/>
      <c r="Y1576" s="836"/>
      <c r="Z1576" s="836"/>
      <c r="AA1576" s="836"/>
      <c r="AB1576" s="836"/>
      <c r="AC1576" s="836"/>
      <c r="AD1576" s="1186">
        <f t="shared" si="126"/>
        <v>0</v>
      </c>
      <c r="AE1576" s="637">
        <f t="shared" si="127"/>
        <v>0</v>
      </c>
      <c r="AF1576" s="638">
        <f t="shared" si="125"/>
        <v>983</v>
      </c>
    </row>
    <row r="1577" spans="1:32" x14ac:dyDescent="0.3">
      <c r="A1577" s="381" t="s">
        <v>759</v>
      </c>
      <c r="B1577" s="1021" t="s">
        <v>649</v>
      </c>
      <c r="C1577" s="835"/>
      <c r="D1577" s="836">
        <v>0</v>
      </c>
      <c r="E1577" s="836"/>
      <c r="F1577" s="836">
        <v>10000</v>
      </c>
      <c r="G1577" s="836">
        <v>0</v>
      </c>
      <c r="H1577" s="836">
        <v>8500</v>
      </c>
      <c r="I1577" s="836">
        <v>15500</v>
      </c>
      <c r="J1577" s="836">
        <v>8500</v>
      </c>
      <c r="K1577" s="836">
        <v>8500</v>
      </c>
      <c r="L1577" s="836">
        <v>0</v>
      </c>
      <c r="M1577" s="836">
        <v>0</v>
      </c>
      <c r="N1577" s="836">
        <v>0</v>
      </c>
      <c r="O1577" s="836" t="s">
        <v>251</v>
      </c>
      <c r="P1577" s="1497">
        <f t="shared" si="128"/>
        <v>42500</v>
      </c>
      <c r="Q1577" s="1186">
        <f t="shared" si="129"/>
        <v>42500</v>
      </c>
      <c r="R1577" s="835"/>
      <c r="S1577" s="836"/>
      <c r="T1577" s="836"/>
      <c r="U1577" s="836"/>
      <c r="V1577" s="836"/>
      <c r="W1577" s="836"/>
      <c r="X1577" s="836"/>
      <c r="Y1577" s="836"/>
      <c r="Z1577" s="836"/>
      <c r="AA1577" s="836"/>
      <c r="AB1577" s="836"/>
      <c r="AC1577" s="836"/>
      <c r="AD1577" s="1186">
        <f t="shared" si="126"/>
        <v>0</v>
      </c>
      <c r="AE1577" s="637">
        <f t="shared" si="127"/>
        <v>-1</v>
      </c>
      <c r="AF1577" s="638">
        <f t="shared" si="125"/>
        <v>983</v>
      </c>
    </row>
    <row r="1578" spans="1:32" x14ac:dyDescent="0.3">
      <c r="A1578" s="381" t="s">
        <v>759</v>
      </c>
      <c r="B1578" s="1021" t="s">
        <v>1629</v>
      </c>
      <c r="C1578" s="835"/>
      <c r="D1578" s="836">
        <v>0</v>
      </c>
      <c r="E1578" s="836"/>
      <c r="F1578" s="836">
        <v>0</v>
      </c>
      <c r="G1578" s="836">
        <v>0</v>
      </c>
      <c r="H1578" s="836">
        <v>0</v>
      </c>
      <c r="I1578" s="836">
        <v>0</v>
      </c>
      <c r="J1578" s="836">
        <v>0</v>
      </c>
      <c r="K1578" s="836"/>
      <c r="L1578" s="836">
        <v>0</v>
      </c>
      <c r="M1578" s="836">
        <v>184000</v>
      </c>
      <c r="N1578" s="836">
        <v>0</v>
      </c>
      <c r="O1578" s="836" t="s">
        <v>251</v>
      </c>
      <c r="P1578" s="1497">
        <f t="shared" si="128"/>
        <v>0</v>
      </c>
      <c r="Q1578" s="1186">
        <f t="shared" si="129"/>
        <v>184000</v>
      </c>
      <c r="R1578" s="835"/>
      <c r="S1578" s="836"/>
      <c r="T1578" s="836"/>
      <c r="U1578" s="836"/>
      <c r="V1578" s="836"/>
      <c r="W1578" s="836"/>
      <c r="X1578" s="836"/>
      <c r="Y1578" s="836"/>
      <c r="Z1578" s="836"/>
      <c r="AA1578" s="836"/>
      <c r="AB1578" s="836"/>
      <c r="AC1578" s="836"/>
      <c r="AD1578" s="1186">
        <f t="shared" si="126"/>
        <v>0</v>
      </c>
      <c r="AE1578" s="637">
        <f t="shared" si="127"/>
        <v>0</v>
      </c>
      <c r="AF1578" s="638">
        <f t="shared" si="125"/>
        <v>983</v>
      </c>
    </row>
    <row r="1579" spans="1:32" x14ac:dyDescent="0.3">
      <c r="A1579" s="381" t="s">
        <v>759</v>
      </c>
      <c r="B1579" s="1021" t="s">
        <v>654</v>
      </c>
      <c r="C1579" s="835"/>
      <c r="D1579" s="836" t="s">
        <v>251</v>
      </c>
      <c r="E1579" s="836"/>
      <c r="F1579" s="836" t="s">
        <v>251</v>
      </c>
      <c r="G1579" s="836" t="s">
        <v>251</v>
      </c>
      <c r="H1579" s="836" t="s">
        <v>251</v>
      </c>
      <c r="I1579" s="836" t="s">
        <v>251</v>
      </c>
      <c r="J1579" s="836" t="s">
        <v>251</v>
      </c>
      <c r="K1579" s="836"/>
      <c r="L1579" s="836" t="s">
        <v>251</v>
      </c>
      <c r="M1579" s="836" t="s">
        <v>251</v>
      </c>
      <c r="N1579" s="836" t="s">
        <v>251</v>
      </c>
      <c r="O1579" s="836" t="s">
        <v>251</v>
      </c>
      <c r="P1579" s="1497">
        <f t="shared" si="128"/>
        <v>0</v>
      </c>
      <c r="Q1579" s="1186">
        <f t="shared" si="129"/>
        <v>0</v>
      </c>
      <c r="R1579" s="835"/>
      <c r="S1579" s="836"/>
      <c r="T1579" s="836"/>
      <c r="U1579" s="836"/>
      <c r="V1579" s="836"/>
      <c r="W1579" s="836"/>
      <c r="X1579" s="836"/>
      <c r="Y1579" s="836"/>
      <c r="Z1579" s="836"/>
      <c r="AA1579" s="836"/>
      <c r="AB1579" s="836"/>
      <c r="AC1579" s="836"/>
      <c r="AD1579" s="1186">
        <f t="shared" si="126"/>
        <v>0</v>
      </c>
      <c r="AE1579" s="637">
        <f t="shared" si="127"/>
        <v>0</v>
      </c>
      <c r="AF1579" s="638">
        <f t="shared" si="125"/>
        <v>983</v>
      </c>
    </row>
    <row r="1580" spans="1:32" x14ac:dyDescent="0.3">
      <c r="A1580" s="381" t="s">
        <v>759</v>
      </c>
      <c r="B1580" s="1021" t="s">
        <v>1630</v>
      </c>
      <c r="C1580" s="835"/>
      <c r="D1580" s="836" t="s">
        <v>251</v>
      </c>
      <c r="E1580" s="836"/>
      <c r="F1580" s="836" t="s">
        <v>251</v>
      </c>
      <c r="G1580" s="836" t="s">
        <v>251</v>
      </c>
      <c r="H1580" s="836" t="s">
        <v>251</v>
      </c>
      <c r="I1580" s="836" t="s">
        <v>251</v>
      </c>
      <c r="J1580" s="836" t="s">
        <v>251</v>
      </c>
      <c r="K1580" s="836"/>
      <c r="L1580" s="836" t="s">
        <v>251</v>
      </c>
      <c r="M1580" s="836" t="s">
        <v>251</v>
      </c>
      <c r="N1580" s="836" t="s">
        <v>251</v>
      </c>
      <c r="O1580" s="836" t="s">
        <v>251</v>
      </c>
      <c r="P1580" s="1497">
        <f t="shared" si="128"/>
        <v>0</v>
      </c>
      <c r="Q1580" s="1186">
        <f t="shared" si="129"/>
        <v>0</v>
      </c>
      <c r="R1580" s="835"/>
      <c r="S1580" s="836"/>
      <c r="T1580" s="836"/>
      <c r="U1580" s="836"/>
      <c r="V1580" s="836"/>
      <c r="W1580" s="836"/>
      <c r="X1580" s="836"/>
      <c r="Y1580" s="836"/>
      <c r="Z1580" s="836"/>
      <c r="AA1580" s="836"/>
      <c r="AB1580" s="836"/>
      <c r="AC1580" s="836"/>
      <c r="AD1580" s="1186">
        <f t="shared" si="126"/>
        <v>0</v>
      </c>
      <c r="AE1580" s="637">
        <f t="shared" si="127"/>
        <v>0</v>
      </c>
      <c r="AF1580" s="638">
        <f t="shared" si="125"/>
        <v>983</v>
      </c>
    </row>
    <row r="1581" spans="1:32" x14ac:dyDescent="0.3">
      <c r="A1581" s="381" t="s">
        <v>759</v>
      </c>
      <c r="B1581" s="1021" t="s">
        <v>1631</v>
      </c>
      <c r="C1581" s="835"/>
      <c r="D1581" s="836" t="s">
        <v>251</v>
      </c>
      <c r="E1581" s="836"/>
      <c r="F1581" s="836" t="s">
        <v>251</v>
      </c>
      <c r="G1581" s="836" t="s">
        <v>251</v>
      </c>
      <c r="H1581" s="836" t="s">
        <v>251</v>
      </c>
      <c r="I1581" s="836" t="s">
        <v>251</v>
      </c>
      <c r="J1581" s="836" t="s">
        <v>251</v>
      </c>
      <c r="K1581" s="836"/>
      <c r="L1581" s="836" t="s">
        <v>251</v>
      </c>
      <c r="M1581" s="836" t="s">
        <v>251</v>
      </c>
      <c r="N1581" s="836" t="s">
        <v>251</v>
      </c>
      <c r="O1581" s="836" t="s">
        <v>251</v>
      </c>
      <c r="P1581" s="1497">
        <f t="shared" si="128"/>
        <v>0</v>
      </c>
      <c r="Q1581" s="1186">
        <f t="shared" si="129"/>
        <v>0</v>
      </c>
      <c r="R1581" s="835"/>
      <c r="S1581" s="836"/>
      <c r="T1581" s="836"/>
      <c r="U1581" s="836"/>
      <c r="V1581" s="836"/>
      <c r="W1581" s="836"/>
      <c r="X1581" s="836"/>
      <c r="Y1581" s="836"/>
      <c r="Z1581" s="836"/>
      <c r="AA1581" s="836"/>
      <c r="AB1581" s="836"/>
      <c r="AC1581" s="836"/>
      <c r="AD1581" s="1186">
        <f t="shared" si="126"/>
        <v>0</v>
      </c>
      <c r="AE1581" s="637">
        <f t="shared" si="127"/>
        <v>0</v>
      </c>
      <c r="AF1581" s="638">
        <f t="shared" si="125"/>
        <v>983</v>
      </c>
    </row>
    <row r="1582" spans="1:32" x14ac:dyDescent="0.3">
      <c r="A1582" s="381" t="s">
        <v>759</v>
      </c>
      <c r="B1582" s="1021" t="s">
        <v>440</v>
      </c>
      <c r="C1582" s="835"/>
      <c r="D1582" s="836" t="s">
        <v>251</v>
      </c>
      <c r="E1582" s="836"/>
      <c r="F1582" s="836">
        <v>0</v>
      </c>
      <c r="G1582" s="836">
        <v>0</v>
      </c>
      <c r="H1582" s="836">
        <v>0</v>
      </c>
      <c r="I1582" s="836" t="s">
        <v>251</v>
      </c>
      <c r="J1582" s="836">
        <v>0</v>
      </c>
      <c r="K1582" s="836"/>
      <c r="L1582" s="836">
        <v>0</v>
      </c>
      <c r="M1582" s="836">
        <v>90000</v>
      </c>
      <c r="N1582" s="836">
        <v>0</v>
      </c>
      <c r="O1582" s="836" t="s">
        <v>251</v>
      </c>
      <c r="P1582" s="1497">
        <f t="shared" si="128"/>
        <v>0</v>
      </c>
      <c r="Q1582" s="1186">
        <f t="shared" si="129"/>
        <v>90000</v>
      </c>
      <c r="R1582" s="835"/>
      <c r="S1582" s="836"/>
      <c r="T1582" s="836"/>
      <c r="U1582" s="836"/>
      <c r="V1582" s="836"/>
      <c r="W1582" s="836">
        <v>125000</v>
      </c>
      <c r="X1582" s="836">
        <v>0</v>
      </c>
      <c r="Y1582" s="836">
        <v>0</v>
      </c>
      <c r="Z1582" s="836"/>
      <c r="AA1582" s="836"/>
      <c r="AB1582" s="836"/>
      <c r="AC1582" s="836"/>
      <c r="AD1582" s="1186">
        <f t="shared" si="126"/>
        <v>125000</v>
      </c>
      <c r="AE1582" s="637">
        <f t="shared" si="127"/>
        <v>1</v>
      </c>
      <c r="AF1582" s="638">
        <f t="shared" si="125"/>
        <v>705</v>
      </c>
    </row>
    <row r="1583" spans="1:32" x14ac:dyDescent="0.3">
      <c r="A1583" s="381" t="s">
        <v>759</v>
      </c>
      <c r="B1583" s="1021" t="s">
        <v>1632</v>
      </c>
      <c r="C1583" s="835"/>
      <c r="D1583" s="836" t="s">
        <v>251</v>
      </c>
      <c r="E1583" s="836"/>
      <c r="F1583" s="836" t="s">
        <v>251</v>
      </c>
      <c r="G1583" s="836" t="s">
        <v>251</v>
      </c>
      <c r="H1583" s="836" t="s">
        <v>251</v>
      </c>
      <c r="I1583" s="836" t="s">
        <v>251</v>
      </c>
      <c r="J1583" s="836" t="s">
        <v>251</v>
      </c>
      <c r="K1583" s="836"/>
      <c r="L1583" s="836" t="s">
        <v>251</v>
      </c>
      <c r="M1583" s="836" t="s">
        <v>251</v>
      </c>
      <c r="N1583" s="836" t="s">
        <v>251</v>
      </c>
      <c r="O1583" s="836" t="s">
        <v>251</v>
      </c>
      <c r="P1583" s="1497">
        <f t="shared" si="128"/>
        <v>0</v>
      </c>
      <c r="Q1583" s="1186">
        <f t="shared" si="129"/>
        <v>0</v>
      </c>
      <c r="R1583" s="835"/>
      <c r="S1583" s="836"/>
      <c r="T1583" s="836"/>
      <c r="U1583" s="836"/>
      <c r="V1583" s="836"/>
      <c r="W1583" s="836"/>
      <c r="X1583" s="836"/>
      <c r="Y1583" s="836"/>
      <c r="Z1583" s="836"/>
      <c r="AA1583" s="836"/>
      <c r="AB1583" s="836"/>
      <c r="AC1583" s="836"/>
      <c r="AD1583" s="1186">
        <f t="shared" si="126"/>
        <v>0</v>
      </c>
      <c r="AE1583" s="637">
        <f t="shared" si="127"/>
        <v>0</v>
      </c>
      <c r="AF1583" s="638">
        <f t="shared" si="125"/>
        <v>983</v>
      </c>
    </row>
    <row r="1584" spans="1:32" x14ac:dyDescent="0.3">
      <c r="A1584" s="381" t="s">
        <v>759</v>
      </c>
      <c r="B1584" s="1021" t="s">
        <v>1633</v>
      </c>
      <c r="C1584" s="835"/>
      <c r="D1584" s="836" t="s">
        <v>251</v>
      </c>
      <c r="E1584" s="836"/>
      <c r="F1584" s="836" t="s">
        <v>251</v>
      </c>
      <c r="G1584" s="836" t="s">
        <v>251</v>
      </c>
      <c r="H1584" s="836" t="s">
        <v>251</v>
      </c>
      <c r="I1584" s="836" t="s">
        <v>251</v>
      </c>
      <c r="J1584" s="836" t="s">
        <v>251</v>
      </c>
      <c r="K1584" s="836"/>
      <c r="L1584" s="836" t="s">
        <v>251</v>
      </c>
      <c r="M1584" s="836" t="s">
        <v>251</v>
      </c>
      <c r="N1584" s="836" t="s">
        <v>251</v>
      </c>
      <c r="O1584" s="836" t="s">
        <v>251</v>
      </c>
      <c r="P1584" s="1497">
        <f t="shared" si="128"/>
        <v>0</v>
      </c>
      <c r="Q1584" s="1186">
        <f t="shared" si="129"/>
        <v>0</v>
      </c>
      <c r="R1584" s="835"/>
      <c r="S1584" s="836"/>
      <c r="T1584" s="836"/>
      <c r="U1584" s="836">
        <v>222400</v>
      </c>
      <c r="V1584" s="836">
        <v>0</v>
      </c>
      <c r="W1584" s="836">
        <v>0</v>
      </c>
      <c r="X1584" s="836">
        <v>0</v>
      </c>
      <c r="Y1584" s="836">
        <v>0</v>
      </c>
      <c r="Z1584" s="836"/>
      <c r="AA1584" s="836"/>
      <c r="AB1584" s="836"/>
      <c r="AC1584" s="836"/>
      <c r="AD1584" s="1186">
        <f t="shared" si="126"/>
        <v>222400</v>
      </c>
      <c r="AE1584" s="637">
        <f t="shared" si="127"/>
        <v>1</v>
      </c>
      <c r="AF1584" s="638">
        <f t="shared" si="125"/>
        <v>591</v>
      </c>
    </row>
    <row r="1585" spans="1:32" x14ac:dyDescent="0.3">
      <c r="A1585" s="381" t="s">
        <v>759</v>
      </c>
      <c r="B1585" s="1021" t="s">
        <v>1634</v>
      </c>
      <c r="C1585" s="835"/>
      <c r="D1585" s="836" t="s">
        <v>251</v>
      </c>
      <c r="E1585" s="836"/>
      <c r="F1585" s="836" t="s">
        <v>251</v>
      </c>
      <c r="G1585" s="836" t="s">
        <v>251</v>
      </c>
      <c r="H1585" s="836" t="s">
        <v>251</v>
      </c>
      <c r="I1585" s="836" t="s">
        <v>251</v>
      </c>
      <c r="J1585" s="836" t="s">
        <v>251</v>
      </c>
      <c r="K1585" s="836"/>
      <c r="L1585" s="836" t="s">
        <v>251</v>
      </c>
      <c r="M1585" s="836" t="s">
        <v>251</v>
      </c>
      <c r="N1585" s="836" t="s">
        <v>251</v>
      </c>
      <c r="O1585" s="836" t="s">
        <v>251</v>
      </c>
      <c r="P1585" s="1497">
        <f t="shared" si="128"/>
        <v>0</v>
      </c>
      <c r="Q1585" s="1186">
        <f t="shared" si="129"/>
        <v>0</v>
      </c>
      <c r="R1585" s="835"/>
      <c r="S1585" s="836"/>
      <c r="T1585" s="836"/>
      <c r="U1585" s="836"/>
      <c r="V1585" s="836"/>
      <c r="W1585" s="836"/>
      <c r="X1585" s="836"/>
      <c r="Y1585" s="836"/>
      <c r="Z1585" s="836"/>
      <c r="AA1585" s="836"/>
      <c r="AB1585" s="836"/>
      <c r="AC1585" s="836"/>
      <c r="AD1585" s="1186">
        <f t="shared" si="126"/>
        <v>0</v>
      </c>
      <c r="AE1585" s="637">
        <f t="shared" si="127"/>
        <v>0</v>
      </c>
      <c r="AF1585" s="638">
        <f t="shared" si="125"/>
        <v>983</v>
      </c>
    </row>
    <row r="1586" spans="1:32" x14ac:dyDescent="0.3">
      <c r="A1586" s="381" t="s">
        <v>759</v>
      </c>
      <c r="B1586" s="1021" t="s">
        <v>1635</v>
      </c>
      <c r="C1586" s="835"/>
      <c r="D1586" s="836" t="s">
        <v>251</v>
      </c>
      <c r="E1586" s="836"/>
      <c r="F1586" s="836" t="s">
        <v>251</v>
      </c>
      <c r="G1586" s="836" t="s">
        <v>251</v>
      </c>
      <c r="H1586" s="836" t="s">
        <v>251</v>
      </c>
      <c r="I1586" s="836" t="s">
        <v>251</v>
      </c>
      <c r="J1586" s="836" t="s">
        <v>251</v>
      </c>
      <c r="K1586" s="836"/>
      <c r="L1586" s="836" t="s">
        <v>251</v>
      </c>
      <c r="M1586" s="836" t="s">
        <v>251</v>
      </c>
      <c r="N1586" s="836" t="s">
        <v>251</v>
      </c>
      <c r="O1586" s="836" t="s">
        <v>251</v>
      </c>
      <c r="P1586" s="1497">
        <f t="shared" si="128"/>
        <v>0</v>
      </c>
      <c r="Q1586" s="1186">
        <f t="shared" si="129"/>
        <v>0</v>
      </c>
      <c r="R1586" s="835"/>
      <c r="S1586" s="836"/>
      <c r="T1586" s="836"/>
      <c r="U1586" s="836"/>
      <c r="V1586" s="836"/>
      <c r="W1586" s="836"/>
      <c r="X1586" s="836"/>
      <c r="Y1586" s="836"/>
      <c r="Z1586" s="836"/>
      <c r="AA1586" s="836"/>
      <c r="AB1586" s="836"/>
      <c r="AC1586" s="836"/>
      <c r="AD1586" s="1186">
        <f t="shared" si="126"/>
        <v>0</v>
      </c>
      <c r="AE1586" s="637">
        <f t="shared" si="127"/>
        <v>0</v>
      </c>
      <c r="AF1586" s="638">
        <f t="shared" si="125"/>
        <v>983</v>
      </c>
    </row>
    <row r="1587" spans="1:32" x14ac:dyDescent="0.3">
      <c r="A1587" s="381" t="s">
        <v>759</v>
      </c>
      <c r="B1587" s="1021" t="s">
        <v>1636</v>
      </c>
      <c r="C1587" s="835"/>
      <c r="D1587" s="836" t="s">
        <v>251</v>
      </c>
      <c r="E1587" s="836"/>
      <c r="F1587" s="836" t="s">
        <v>251</v>
      </c>
      <c r="G1587" s="836" t="s">
        <v>251</v>
      </c>
      <c r="H1587" s="836" t="s">
        <v>251</v>
      </c>
      <c r="I1587" s="836" t="s">
        <v>251</v>
      </c>
      <c r="J1587" s="836" t="s">
        <v>251</v>
      </c>
      <c r="K1587" s="836"/>
      <c r="L1587" s="836" t="s">
        <v>251</v>
      </c>
      <c r="M1587" s="836" t="s">
        <v>251</v>
      </c>
      <c r="N1587" s="836" t="s">
        <v>251</v>
      </c>
      <c r="O1587" s="836" t="s">
        <v>251</v>
      </c>
      <c r="P1587" s="1497">
        <f t="shared" si="128"/>
        <v>0</v>
      </c>
      <c r="Q1587" s="1186">
        <f t="shared" si="129"/>
        <v>0</v>
      </c>
      <c r="R1587" s="835"/>
      <c r="S1587" s="836"/>
      <c r="T1587" s="836"/>
      <c r="U1587" s="836"/>
      <c r="V1587" s="836"/>
      <c r="W1587" s="836"/>
      <c r="X1587" s="836"/>
      <c r="Y1587" s="836"/>
      <c r="Z1587" s="836"/>
      <c r="AA1587" s="836"/>
      <c r="AB1587" s="836"/>
      <c r="AC1587" s="836"/>
      <c r="AD1587" s="1186">
        <f t="shared" si="126"/>
        <v>0</v>
      </c>
      <c r="AE1587" s="637">
        <f t="shared" si="127"/>
        <v>0</v>
      </c>
      <c r="AF1587" s="638">
        <f t="shared" si="125"/>
        <v>983</v>
      </c>
    </row>
    <row r="1588" spans="1:32" x14ac:dyDescent="0.3">
      <c r="A1588" s="381" t="s">
        <v>759</v>
      </c>
      <c r="B1588" s="1021" t="s">
        <v>1637</v>
      </c>
      <c r="C1588" s="835"/>
      <c r="D1588" s="836" t="s">
        <v>251</v>
      </c>
      <c r="E1588" s="836"/>
      <c r="F1588" s="836" t="s">
        <v>251</v>
      </c>
      <c r="G1588" s="836" t="s">
        <v>251</v>
      </c>
      <c r="H1588" s="836" t="s">
        <v>251</v>
      </c>
      <c r="I1588" s="836" t="s">
        <v>251</v>
      </c>
      <c r="J1588" s="836" t="s">
        <v>251</v>
      </c>
      <c r="K1588" s="836"/>
      <c r="L1588" s="836" t="s">
        <v>251</v>
      </c>
      <c r="M1588" s="836" t="s">
        <v>251</v>
      </c>
      <c r="N1588" s="836" t="s">
        <v>251</v>
      </c>
      <c r="O1588" s="836" t="s">
        <v>251</v>
      </c>
      <c r="P1588" s="1497">
        <f t="shared" si="128"/>
        <v>0</v>
      </c>
      <c r="Q1588" s="1186">
        <f t="shared" si="129"/>
        <v>0</v>
      </c>
      <c r="R1588" s="835"/>
      <c r="S1588" s="836"/>
      <c r="T1588" s="836"/>
      <c r="U1588" s="836"/>
      <c r="V1588" s="836"/>
      <c r="W1588" s="836"/>
      <c r="X1588" s="836"/>
      <c r="Y1588" s="836"/>
      <c r="Z1588" s="836"/>
      <c r="AA1588" s="836"/>
      <c r="AB1588" s="836"/>
      <c r="AC1588" s="836"/>
      <c r="AD1588" s="1186">
        <f t="shared" si="126"/>
        <v>0</v>
      </c>
      <c r="AE1588" s="637">
        <f t="shared" si="127"/>
        <v>0</v>
      </c>
      <c r="AF1588" s="638">
        <f t="shared" si="125"/>
        <v>983</v>
      </c>
    </row>
    <row r="1589" spans="1:32" x14ac:dyDescent="0.3">
      <c r="A1589" s="381" t="s">
        <v>759</v>
      </c>
      <c r="B1589" s="1021" t="s">
        <v>1638</v>
      </c>
      <c r="C1589" s="835"/>
      <c r="D1589" s="836" t="s">
        <v>251</v>
      </c>
      <c r="E1589" s="836"/>
      <c r="F1589" s="836" t="s">
        <v>251</v>
      </c>
      <c r="G1589" s="836" t="s">
        <v>251</v>
      </c>
      <c r="H1589" s="836" t="s">
        <v>251</v>
      </c>
      <c r="I1589" s="836" t="s">
        <v>251</v>
      </c>
      <c r="J1589" s="836" t="s">
        <v>251</v>
      </c>
      <c r="K1589" s="836"/>
      <c r="L1589" s="836" t="s">
        <v>251</v>
      </c>
      <c r="M1589" s="836" t="s">
        <v>251</v>
      </c>
      <c r="N1589" s="836" t="s">
        <v>251</v>
      </c>
      <c r="O1589" s="836" t="s">
        <v>251</v>
      </c>
      <c r="P1589" s="1497">
        <f t="shared" si="128"/>
        <v>0</v>
      </c>
      <c r="Q1589" s="1186">
        <f t="shared" si="129"/>
        <v>0</v>
      </c>
      <c r="R1589" s="835"/>
      <c r="S1589" s="836"/>
      <c r="T1589" s="836"/>
      <c r="U1589" s="836"/>
      <c r="V1589" s="836"/>
      <c r="W1589" s="836"/>
      <c r="X1589" s="836"/>
      <c r="Y1589" s="836"/>
      <c r="Z1589" s="836"/>
      <c r="AA1589" s="836"/>
      <c r="AB1589" s="836"/>
      <c r="AC1589" s="836"/>
      <c r="AD1589" s="1186">
        <f t="shared" si="126"/>
        <v>0</v>
      </c>
      <c r="AE1589" s="637">
        <f t="shared" si="127"/>
        <v>0</v>
      </c>
      <c r="AF1589" s="638">
        <f t="shared" si="125"/>
        <v>983</v>
      </c>
    </row>
    <row r="1590" spans="1:32" x14ac:dyDescent="0.3">
      <c r="A1590" s="381" t="s">
        <v>759</v>
      </c>
      <c r="B1590" s="1021" t="s">
        <v>1639</v>
      </c>
      <c r="C1590" s="835"/>
      <c r="D1590" s="836" t="s">
        <v>251</v>
      </c>
      <c r="E1590" s="836"/>
      <c r="F1590" s="836" t="s">
        <v>251</v>
      </c>
      <c r="G1590" s="836" t="s">
        <v>251</v>
      </c>
      <c r="H1590" s="836" t="s">
        <v>251</v>
      </c>
      <c r="I1590" s="836" t="s">
        <v>251</v>
      </c>
      <c r="J1590" s="836" t="s">
        <v>251</v>
      </c>
      <c r="K1590" s="836"/>
      <c r="L1590" s="836" t="s">
        <v>251</v>
      </c>
      <c r="M1590" s="836" t="s">
        <v>251</v>
      </c>
      <c r="N1590" s="836" t="s">
        <v>251</v>
      </c>
      <c r="O1590" s="836" t="s">
        <v>251</v>
      </c>
      <c r="P1590" s="1497">
        <f t="shared" si="128"/>
        <v>0</v>
      </c>
      <c r="Q1590" s="1186">
        <f t="shared" si="129"/>
        <v>0</v>
      </c>
      <c r="R1590" s="835"/>
      <c r="S1590" s="836"/>
      <c r="T1590" s="836"/>
      <c r="U1590" s="836"/>
      <c r="V1590" s="836"/>
      <c r="W1590" s="836"/>
      <c r="X1590" s="836"/>
      <c r="Y1590" s="836"/>
      <c r="Z1590" s="836"/>
      <c r="AA1590" s="836"/>
      <c r="AB1590" s="836"/>
      <c r="AC1590" s="836"/>
      <c r="AD1590" s="1186">
        <f t="shared" si="126"/>
        <v>0</v>
      </c>
      <c r="AE1590" s="637">
        <f t="shared" si="127"/>
        <v>0</v>
      </c>
      <c r="AF1590" s="638">
        <f t="shared" si="125"/>
        <v>983</v>
      </c>
    </row>
    <row r="1591" spans="1:32" x14ac:dyDescent="0.3">
      <c r="A1591" s="381" t="s">
        <v>759</v>
      </c>
      <c r="B1591" s="1021" t="s">
        <v>1640</v>
      </c>
      <c r="C1591" s="835"/>
      <c r="D1591" s="836" t="s">
        <v>251</v>
      </c>
      <c r="E1591" s="836"/>
      <c r="F1591" s="836" t="s">
        <v>251</v>
      </c>
      <c r="G1591" s="836" t="s">
        <v>251</v>
      </c>
      <c r="H1591" s="836" t="s">
        <v>251</v>
      </c>
      <c r="I1591" s="836" t="s">
        <v>251</v>
      </c>
      <c r="J1591" s="836" t="s">
        <v>251</v>
      </c>
      <c r="K1591" s="836"/>
      <c r="L1591" s="836" t="s">
        <v>251</v>
      </c>
      <c r="M1591" s="836" t="s">
        <v>251</v>
      </c>
      <c r="N1591" s="836" t="s">
        <v>251</v>
      </c>
      <c r="O1591" s="836" t="s">
        <v>251</v>
      </c>
      <c r="P1591" s="1497">
        <f t="shared" si="128"/>
        <v>0</v>
      </c>
      <c r="Q1591" s="1186">
        <f t="shared" si="129"/>
        <v>0</v>
      </c>
      <c r="R1591" s="835"/>
      <c r="S1591" s="836"/>
      <c r="T1591" s="836"/>
      <c r="U1591" s="836"/>
      <c r="V1591" s="836"/>
      <c r="W1591" s="836"/>
      <c r="X1591" s="836"/>
      <c r="Y1591" s="836"/>
      <c r="Z1591" s="836"/>
      <c r="AA1591" s="836"/>
      <c r="AB1591" s="836"/>
      <c r="AC1591" s="836"/>
      <c r="AD1591" s="1186">
        <f t="shared" si="126"/>
        <v>0</v>
      </c>
      <c r="AE1591" s="637">
        <f t="shared" si="127"/>
        <v>0</v>
      </c>
      <c r="AF1591" s="638">
        <f t="shared" si="125"/>
        <v>983</v>
      </c>
    </row>
    <row r="1592" spans="1:32" x14ac:dyDescent="0.3">
      <c r="A1592" s="381" t="s">
        <v>759</v>
      </c>
      <c r="B1592" s="1021" t="s">
        <v>1641</v>
      </c>
      <c r="C1592" s="835"/>
      <c r="D1592" s="836" t="s">
        <v>251</v>
      </c>
      <c r="E1592" s="836"/>
      <c r="F1592" s="836" t="s">
        <v>251</v>
      </c>
      <c r="G1592" s="836" t="s">
        <v>251</v>
      </c>
      <c r="H1592" s="836" t="s">
        <v>251</v>
      </c>
      <c r="I1592" s="836" t="s">
        <v>251</v>
      </c>
      <c r="J1592" s="836" t="s">
        <v>251</v>
      </c>
      <c r="K1592" s="836"/>
      <c r="L1592" s="836" t="s">
        <v>251</v>
      </c>
      <c r="M1592" s="836" t="s">
        <v>251</v>
      </c>
      <c r="N1592" s="836" t="s">
        <v>251</v>
      </c>
      <c r="O1592" s="836" t="s">
        <v>251</v>
      </c>
      <c r="P1592" s="1497">
        <f t="shared" si="128"/>
        <v>0</v>
      </c>
      <c r="Q1592" s="1186">
        <f t="shared" si="129"/>
        <v>0</v>
      </c>
      <c r="R1592" s="835"/>
      <c r="S1592" s="836"/>
      <c r="T1592" s="836"/>
      <c r="U1592" s="836"/>
      <c r="V1592" s="836"/>
      <c r="W1592" s="836"/>
      <c r="X1592" s="836"/>
      <c r="Y1592" s="836"/>
      <c r="Z1592" s="836"/>
      <c r="AA1592" s="836"/>
      <c r="AB1592" s="836"/>
      <c r="AC1592" s="836"/>
      <c r="AD1592" s="1186">
        <f t="shared" si="126"/>
        <v>0</v>
      </c>
      <c r="AE1592" s="637">
        <f t="shared" si="127"/>
        <v>0</v>
      </c>
      <c r="AF1592" s="638">
        <f t="shared" si="125"/>
        <v>983</v>
      </c>
    </row>
    <row r="1593" spans="1:32" x14ac:dyDescent="0.3">
      <c r="A1593" s="381" t="s">
        <v>759</v>
      </c>
      <c r="B1593" s="1021" t="s">
        <v>1642</v>
      </c>
      <c r="C1593" s="835"/>
      <c r="D1593" s="836" t="s">
        <v>251</v>
      </c>
      <c r="E1593" s="836"/>
      <c r="F1593" s="836" t="s">
        <v>251</v>
      </c>
      <c r="G1593" s="836" t="s">
        <v>251</v>
      </c>
      <c r="H1593" s="836" t="s">
        <v>251</v>
      </c>
      <c r="I1593" s="836" t="s">
        <v>251</v>
      </c>
      <c r="J1593" s="836" t="s">
        <v>251</v>
      </c>
      <c r="K1593" s="836"/>
      <c r="L1593" s="836" t="s">
        <v>251</v>
      </c>
      <c r="M1593" s="836" t="s">
        <v>251</v>
      </c>
      <c r="N1593" s="836" t="s">
        <v>251</v>
      </c>
      <c r="O1593" s="836" t="s">
        <v>251</v>
      </c>
      <c r="P1593" s="1497">
        <f t="shared" si="128"/>
        <v>0</v>
      </c>
      <c r="Q1593" s="1186">
        <f t="shared" si="129"/>
        <v>0</v>
      </c>
      <c r="R1593" s="835"/>
      <c r="S1593" s="836"/>
      <c r="T1593" s="836"/>
      <c r="U1593" s="836"/>
      <c r="V1593" s="836"/>
      <c r="W1593" s="836"/>
      <c r="X1593" s="836"/>
      <c r="Y1593" s="836"/>
      <c r="Z1593" s="836"/>
      <c r="AA1593" s="836"/>
      <c r="AB1593" s="836"/>
      <c r="AC1593" s="836"/>
      <c r="AD1593" s="1186">
        <f t="shared" si="126"/>
        <v>0</v>
      </c>
      <c r="AE1593" s="637">
        <f t="shared" si="127"/>
        <v>0</v>
      </c>
      <c r="AF1593" s="638">
        <f t="shared" si="125"/>
        <v>983</v>
      </c>
    </row>
    <row r="1594" spans="1:32" x14ac:dyDescent="0.3">
      <c r="A1594" s="381" t="s">
        <v>759</v>
      </c>
      <c r="B1594" s="1021" t="s">
        <v>1643</v>
      </c>
      <c r="C1594" s="835"/>
      <c r="D1594" s="836" t="s">
        <v>251</v>
      </c>
      <c r="E1594" s="836"/>
      <c r="F1594" s="836" t="s">
        <v>251</v>
      </c>
      <c r="G1594" s="836" t="s">
        <v>251</v>
      </c>
      <c r="H1594" s="836" t="s">
        <v>251</v>
      </c>
      <c r="I1594" s="836" t="s">
        <v>251</v>
      </c>
      <c r="J1594" s="836" t="s">
        <v>251</v>
      </c>
      <c r="K1594" s="836"/>
      <c r="L1594" s="836" t="s">
        <v>251</v>
      </c>
      <c r="M1594" s="836" t="s">
        <v>251</v>
      </c>
      <c r="N1594" s="836" t="s">
        <v>251</v>
      </c>
      <c r="O1594" s="836" t="s">
        <v>251</v>
      </c>
      <c r="P1594" s="1497">
        <f t="shared" si="128"/>
        <v>0</v>
      </c>
      <c r="Q1594" s="1186">
        <f t="shared" si="129"/>
        <v>0</v>
      </c>
      <c r="R1594" s="835"/>
      <c r="S1594" s="836"/>
      <c r="T1594" s="836"/>
      <c r="U1594" s="836"/>
      <c r="V1594" s="836"/>
      <c r="W1594" s="836"/>
      <c r="X1594" s="836"/>
      <c r="Y1594" s="836"/>
      <c r="Z1594" s="836"/>
      <c r="AA1594" s="836"/>
      <c r="AB1594" s="836"/>
      <c r="AC1594" s="836"/>
      <c r="AD1594" s="1186">
        <f t="shared" si="126"/>
        <v>0</v>
      </c>
      <c r="AE1594" s="637">
        <f t="shared" si="127"/>
        <v>0</v>
      </c>
      <c r="AF1594" s="638">
        <f t="shared" si="125"/>
        <v>983</v>
      </c>
    </row>
    <row r="1595" spans="1:32" x14ac:dyDescent="0.3">
      <c r="A1595" s="381" t="s">
        <v>759</v>
      </c>
      <c r="B1595" s="1021" t="s">
        <v>1644</v>
      </c>
      <c r="C1595" s="835"/>
      <c r="D1595" s="836" t="s">
        <v>251</v>
      </c>
      <c r="E1595" s="836"/>
      <c r="F1595" s="836" t="s">
        <v>251</v>
      </c>
      <c r="G1595" s="836" t="s">
        <v>251</v>
      </c>
      <c r="H1595" s="836" t="s">
        <v>251</v>
      </c>
      <c r="I1595" s="836" t="s">
        <v>251</v>
      </c>
      <c r="J1595" s="836" t="s">
        <v>251</v>
      </c>
      <c r="K1595" s="836"/>
      <c r="L1595" s="836" t="s">
        <v>251</v>
      </c>
      <c r="M1595" s="836" t="s">
        <v>251</v>
      </c>
      <c r="N1595" s="836" t="s">
        <v>251</v>
      </c>
      <c r="O1595" s="836" t="s">
        <v>251</v>
      </c>
      <c r="P1595" s="1497">
        <f t="shared" si="128"/>
        <v>0</v>
      </c>
      <c r="Q1595" s="1186">
        <f t="shared" si="129"/>
        <v>0</v>
      </c>
      <c r="R1595" s="835"/>
      <c r="S1595" s="836"/>
      <c r="T1595" s="836"/>
      <c r="U1595" s="836"/>
      <c r="V1595" s="836"/>
      <c r="W1595" s="836"/>
      <c r="X1595" s="836"/>
      <c r="Y1595" s="836"/>
      <c r="Z1595" s="836"/>
      <c r="AA1595" s="836"/>
      <c r="AB1595" s="836"/>
      <c r="AC1595" s="836"/>
      <c r="AD1595" s="1186">
        <f t="shared" si="126"/>
        <v>0</v>
      </c>
      <c r="AE1595" s="637">
        <f t="shared" si="127"/>
        <v>0</v>
      </c>
      <c r="AF1595" s="638">
        <f t="shared" si="125"/>
        <v>983</v>
      </c>
    </row>
    <row r="1596" spans="1:32" x14ac:dyDescent="0.3">
      <c r="A1596" s="381" t="s">
        <v>759</v>
      </c>
      <c r="B1596" s="1021" t="s">
        <v>1645</v>
      </c>
      <c r="C1596" s="835"/>
      <c r="D1596" s="836" t="s">
        <v>251</v>
      </c>
      <c r="E1596" s="836"/>
      <c r="F1596" s="836" t="s">
        <v>251</v>
      </c>
      <c r="G1596" s="836" t="s">
        <v>251</v>
      </c>
      <c r="H1596" s="836" t="s">
        <v>251</v>
      </c>
      <c r="I1596" s="836" t="s">
        <v>251</v>
      </c>
      <c r="J1596" s="836" t="s">
        <v>251</v>
      </c>
      <c r="K1596" s="836"/>
      <c r="L1596" s="836" t="s">
        <v>251</v>
      </c>
      <c r="M1596" s="836" t="s">
        <v>251</v>
      </c>
      <c r="N1596" s="836" t="s">
        <v>251</v>
      </c>
      <c r="O1596" s="836" t="s">
        <v>251</v>
      </c>
      <c r="P1596" s="1497">
        <f t="shared" si="128"/>
        <v>0</v>
      </c>
      <c r="Q1596" s="1186">
        <f t="shared" si="129"/>
        <v>0</v>
      </c>
      <c r="R1596" s="835"/>
      <c r="S1596" s="836"/>
      <c r="T1596" s="836"/>
      <c r="U1596" s="836"/>
      <c r="V1596" s="836"/>
      <c r="W1596" s="836"/>
      <c r="X1596" s="836"/>
      <c r="Y1596" s="836"/>
      <c r="Z1596" s="836"/>
      <c r="AA1596" s="836"/>
      <c r="AB1596" s="836"/>
      <c r="AC1596" s="836"/>
      <c r="AD1596" s="1186">
        <f t="shared" si="126"/>
        <v>0</v>
      </c>
      <c r="AE1596" s="637">
        <f t="shared" si="127"/>
        <v>0</v>
      </c>
      <c r="AF1596" s="638">
        <f t="shared" si="125"/>
        <v>983</v>
      </c>
    </row>
    <row r="1597" spans="1:32" x14ac:dyDescent="0.3">
      <c r="A1597" s="381" t="s">
        <v>759</v>
      </c>
      <c r="B1597" s="1021" t="s">
        <v>1646</v>
      </c>
      <c r="C1597" s="835"/>
      <c r="D1597" s="836" t="s">
        <v>251</v>
      </c>
      <c r="E1597" s="836"/>
      <c r="F1597" s="836" t="s">
        <v>251</v>
      </c>
      <c r="G1597" s="836" t="s">
        <v>251</v>
      </c>
      <c r="H1597" s="836" t="s">
        <v>251</v>
      </c>
      <c r="I1597" s="836" t="s">
        <v>251</v>
      </c>
      <c r="J1597" s="836" t="s">
        <v>251</v>
      </c>
      <c r="K1597" s="836"/>
      <c r="L1597" s="836" t="s">
        <v>251</v>
      </c>
      <c r="M1597" s="836" t="s">
        <v>251</v>
      </c>
      <c r="N1597" s="836" t="s">
        <v>251</v>
      </c>
      <c r="O1597" s="836" t="s">
        <v>251</v>
      </c>
      <c r="P1597" s="1497">
        <f t="shared" si="128"/>
        <v>0</v>
      </c>
      <c r="Q1597" s="1186">
        <f t="shared" si="129"/>
        <v>0</v>
      </c>
      <c r="R1597" s="835"/>
      <c r="S1597" s="836"/>
      <c r="T1597" s="836"/>
      <c r="U1597" s="836"/>
      <c r="V1597" s="836"/>
      <c r="W1597" s="836"/>
      <c r="X1597" s="836"/>
      <c r="Y1597" s="836"/>
      <c r="Z1597" s="836"/>
      <c r="AA1597" s="836"/>
      <c r="AB1597" s="836"/>
      <c r="AC1597" s="836"/>
      <c r="AD1597" s="1186">
        <f t="shared" si="126"/>
        <v>0</v>
      </c>
      <c r="AE1597" s="637">
        <f t="shared" si="127"/>
        <v>0</v>
      </c>
      <c r="AF1597" s="638">
        <f t="shared" si="125"/>
        <v>983</v>
      </c>
    </row>
    <row r="1598" spans="1:32" x14ac:dyDescent="0.3">
      <c r="A1598" s="381" t="s">
        <v>759</v>
      </c>
      <c r="B1598" s="1021" t="s">
        <v>1647</v>
      </c>
      <c r="C1598" s="835"/>
      <c r="D1598" s="836" t="s">
        <v>251</v>
      </c>
      <c r="E1598" s="836"/>
      <c r="F1598" s="836" t="s">
        <v>251</v>
      </c>
      <c r="G1598" s="836" t="s">
        <v>251</v>
      </c>
      <c r="H1598" s="836" t="s">
        <v>251</v>
      </c>
      <c r="I1598" s="836" t="s">
        <v>251</v>
      </c>
      <c r="J1598" s="836" t="s">
        <v>251</v>
      </c>
      <c r="K1598" s="836"/>
      <c r="L1598" s="836" t="s">
        <v>251</v>
      </c>
      <c r="M1598" s="836" t="s">
        <v>251</v>
      </c>
      <c r="N1598" s="836" t="s">
        <v>251</v>
      </c>
      <c r="O1598" s="836" t="s">
        <v>251</v>
      </c>
      <c r="P1598" s="1497">
        <f t="shared" si="128"/>
        <v>0</v>
      </c>
      <c r="Q1598" s="1186">
        <f t="shared" si="129"/>
        <v>0</v>
      </c>
      <c r="R1598" s="835"/>
      <c r="S1598" s="836"/>
      <c r="T1598" s="836"/>
      <c r="U1598" s="836"/>
      <c r="V1598" s="836"/>
      <c r="W1598" s="836"/>
      <c r="X1598" s="836"/>
      <c r="Y1598" s="836"/>
      <c r="Z1598" s="836"/>
      <c r="AA1598" s="836"/>
      <c r="AB1598" s="836"/>
      <c r="AC1598" s="836"/>
      <c r="AD1598" s="1186">
        <f t="shared" si="126"/>
        <v>0</v>
      </c>
      <c r="AE1598" s="637">
        <f t="shared" si="127"/>
        <v>0</v>
      </c>
      <c r="AF1598" s="638">
        <f t="shared" si="125"/>
        <v>983</v>
      </c>
    </row>
    <row r="1599" spans="1:32" x14ac:dyDescent="0.3">
      <c r="A1599" s="381" t="s">
        <v>759</v>
      </c>
      <c r="B1599" s="1021" t="s">
        <v>1648</v>
      </c>
      <c r="C1599" s="835"/>
      <c r="D1599" s="836" t="s">
        <v>251</v>
      </c>
      <c r="E1599" s="836"/>
      <c r="F1599" s="836" t="s">
        <v>251</v>
      </c>
      <c r="G1599" s="836" t="s">
        <v>251</v>
      </c>
      <c r="H1599" s="836" t="s">
        <v>251</v>
      </c>
      <c r="I1599" s="836" t="s">
        <v>251</v>
      </c>
      <c r="J1599" s="836" t="s">
        <v>251</v>
      </c>
      <c r="K1599" s="836"/>
      <c r="L1599" s="836" t="s">
        <v>251</v>
      </c>
      <c r="M1599" s="836" t="s">
        <v>251</v>
      </c>
      <c r="N1599" s="836" t="s">
        <v>251</v>
      </c>
      <c r="O1599" s="836" t="s">
        <v>251</v>
      </c>
      <c r="P1599" s="1497">
        <f t="shared" si="128"/>
        <v>0</v>
      </c>
      <c r="Q1599" s="1186">
        <f t="shared" si="129"/>
        <v>0</v>
      </c>
      <c r="R1599" s="835"/>
      <c r="S1599" s="836"/>
      <c r="T1599" s="836"/>
      <c r="U1599" s="836"/>
      <c r="V1599" s="836"/>
      <c r="W1599" s="836"/>
      <c r="X1599" s="836"/>
      <c r="Y1599" s="836"/>
      <c r="Z1599" s="836"/>
      <c r="AA1599" s="836"/>
      <c r="AB1599" s="836"/>
      <c r="AC1599" s="836"/>
      <c r="AD1599" s="1186">
        <f t="shared" si="126"/>
        <v>0</v>
      </c>
      <c r="AE1599" s="637">
        <f t="shared" si="127"/>
        <v>0</v>
      </c>
      <c r="AF1599" s="638">
        <f t="shared" si="125"/>
        <v>983</v>
      </c>
    </row>
    <row r="1600" spans="1:32" x14ac:dyDescent="0.3">
      <c r="A1600" s="381" t="s">
        <v>759</v>
      </c>
      <c r="B1600" s="1021" t="s">
        <v>1649</v>
      </c>
      <c r="C1600" s="835"/>
      <c r="D1600" s="836" t="s">
        <v>251</v>
      </c>
      <c r="E1600" s="836"/>
      <c r="F1600" s="836" t="s">
        <v>251</v>
      </c>
      <c r="G1600" s="836" t="s">
        <v>251</v>
      </c>
      <c r="H1600" s="836" t="s">
        <v>251</v>
      </c>
      <c r="I1600" s="836" t="s">
        <v>251</v>
      </c>
      <c r="J1600" s="836" t="s">
        <v>251</v>
      </c>
      <c r="K1600" s="836"/>
      <c r="L1600" s="836" t="s">
        <v>251</v>
      </c>
      <c r="M1600" s="836" t="s">
        <v>251</v>
      </c>
      <c r="N1600" s="836" t="s">
        <v>251</v>
      </c>
      <c r="O1600" s="836" t="s">
        <v>251</v>
      </c>
      <c r="P1600" s="1497">
        <f t="shared" si="128"/>
        <v>0</v>
      </c>
      <c r="Q1600" s="1186">
        <f t="shared" si="129"/>
        <v>0</v>
      </c>
      <c r="R1600" s="835"/>
      <c r="S1600" s="836"/>
      <c r="T1600" s="836"/>
      <c r="U1600" s="836"/>
      <c r="V1600" s="836"/>
      <c r="W1600" s="836"/>
      <c r="X1600" s="836"/>
      <c r="Y1600" s="836"/>
      <c r="Z1600" s="836"/>
      <c r="AA1600" s="836"/>
      <c r="AB1600" s="836"/>
      <c r="AC1600" s="836"/>
      <c r="AD1600" s="1186">
        <f t="shared" si="126"/>
        <v>0</v>
      </c>
      <c r="AE1600" s="637">
        <f t="shared" si="127"/>
        <v>0</v>
      </c>
      <c r="AF1600" s="638">
        <f t="shared" si="125"/>
        <v>983</v>
      </c>
    </row>
    <row r="1601" spans="1:32" x14ac:dyDescent="0.3">
      <c r="A1601" s="381" t="s">
        <v>759</v>
      </c>
      <c r="B1601" s="1021" t="s">
        <v>1650</v>
      </c>
      <c r="C1601" s="835"/>
      <c r="D1601" s="836" t="s">
        <v>251</v>
      </c>
      <c r="E1601" s="836"/>
      <c r="F1601" s="836" t="s">
        <v>251</v>
      </c>
      <c r="G1601" s="836" t="s">
        <v>251</v>
      </c>
      <c r="H1601" s="836" t="s">
        <v>251</v>
      </c>
      <c r="I1601" s="836" t="s">
        <v>251</v>
      </c>
      <c r="J1601" s="836" t="s">
        <v>251</v>
      </c>
      <c r="K1601" s="836"/>
      <c r="L1601" s="836" t="s">
        <v>251</v>
      </c>
      <c r="M1601" s="836" t="s">
        <v>251</v>
      </c>
      <c r="N1601" s="836" t="s">
        <v>251</v>
      </c>
      <c r="O1601" s="836" t="s">
        <v>251</v>
      </c>
      <c r="P1601" s="1497">
        <f t="shared" si="128"/>
        <v>0</v>
      </c>
      <c r="Q1601" s="1186">
        <f t="shared" si="129"/>
        <v>0</v>
      </c>
      <c r="R1601" s="835"/>
      <c r="S1601" s="836"/>
      <c r="T1601" s="836"/>
      <c r="U1601" s="836"/>
      <c r="V1601" s="836"/>
      <c r="W1601" s="836"/>
      <c r="X1601" s="836"/>
      <c r="Y1601" s="836"/>
      <c r="Z1601" s="836"/>
      <c r="AA1601" s="836"/>
      <c r="AB1601" s="836"/>
      <c r="AC1601" s="836"/>
      <c r="AD1601" s="1186">
        <f t="shared" si="126"/>
        <v>0</v>
      </c>
      <c r="AE1601" s="637">
        <f t="shared" si="127"/>
        <v>0</v>
      </c>
      <c r="AF1601" s="638">
        <f t="shared" si="125"/>
        <v>983</v>
      </c>
    </row>
    <row r="1602" spans="1:32" x14ac:dyDescent="0.3">
      <c r="A1602" s="381" t="s">
        <v>759</v>
      </c>
      <c r="B1602" s="1021" t="s">
        <v>1651</v>
      </c>
      <c r="C1602" s="835"/>
      <c r="D1602" s="836" t="s">
        <v>251</v>
      </c>
      <c r="E1602" s="836"/>
      <c r="F1602" s="836" t="s">
        <v>251</v>
      </c>
      <c r="G1602" s="836" t="s">
        <v>251</v>
      </c>
      <c r="H1602" s="836" t="s">
        <v>251</v>
      </c>
      <c r="I1602" s="836" t="s">
        <v>251</v>
      </c>
      <c r="J1602" s="836" t="s">
        <v>251</v>
      </c>
      <c r="K1602" s="836"/>
      <c r="L1602" s="836" t="s">
        <v>251</v>
      </c>
      <c r="M1602" s="836" t="s">
        <v>251</v>
      </c>
      <c r="N1602" s="836" t="s">
        <v>251</v>
      </c>
      <c r="O1602" s="836" t="s">
        <v>251</v>
      </c>
      <c r="P1602" s="1497">
        <f t="shared" si="128"/>
        <v>0</v>
      </c>
      <c r="Q1602" s="1186">
        <f t="shared" si="129"/>
        <v>0</v>
      </c>
      <c r="R1602" s="835"/>
      <c r="S1602" s="836"/>
      <c r="T1602" s="836"/>
      <c r="U1602" s="836"/>
      <c r="V1602" s="836"/>
      <c r="W1602" s="836"/>
      <c r="X1602" s="836"/>
      <c r="Y1602" s="836"/>
      <c r="Z1602" s="836"/>
      <c r="AA1602" s="836"/>
      <c r="AB1602" s="836"/>
      <c r="AC1602" s="836"/>
      <c r="AD1602" s="1186">
        <f t="shared" si="126"/>
        <v>0</v>
      </c>
      <c r="AE1602" s="637">
        <f t="shared" si="127"/>
        <v>0</v>
      </c>
      <c r="AF1602" s="638">
        <f t="shared" si="125"/>
        <v>983</v>
      </c>
    </row>
    <row r="1603" spans="1:32" x14ac:dyDescent="0.3">
      <c r="A1603" s="381" t="s">
        <v>759</v>
      </c>
      <c r="B1603" s="1021" t="s">
        <v>1652</v>
      </c>
      <c r="C1603" s="835"/>
      <c r="D1603" s="836" t="s">
        <v>251</v>
      </c>
      <c r="E1603" s="836"/>
      <c r="F1603" s="836" t="s">
        <v>251</v>
      </c>
      <c r="G1603" s="836" t="s">
        <v>251</v>
      </c>
      <c r="H1603" s="836" t="s">
        <v>251</v>
      </c>
      <c r="I1603" s="836" t="s">
        <v>251</v>
      </c>
      <c r="J1603" s="836" t="s">
        <v>251</v>
      </c>
      <c r="K1603" s="836"/>
      <c r="L1603" s="836" t="s">
        <v>251</v>
      </c>
      <c r="M1603" s="836" t="s">
        <v>251</v>
      </c>
      <c r="N1603" s="836" t="s">
        <v>251</v>
      </c>
      <c r="O1603" s="836" t="s">
        <v>251</v>
      </c>
      <c r="P1603" s="1497">
        <f t="shared" si="128"/>
        <v>0</v>
      </c>
      <c r="Q1603" s="1186">
        <f t="shared" si="129"/>
        <v>0</v>
      </c>
      <c r="R1603" s="835"/>
      <c r="S1603" s="836"/>
      <c r="T1603" s="836"/>
      <c r="U1603" s="836"/>
      <c r="V1603" s="836"/>
      <c r="W1603" s="836"/>
      <c r="X1603" s="836"/>
      <c r="Y1603" s="836"/>
      <c r="Z1603" s="836"/>
      <c r="AA1603" s="836"/>
      <c r="AB1603" s="836"/>
      <c r="AC1603" s="836"/>
      <c r="AD1603" s="1186">
        <f t="shared" si="126"/>
        <v>0</v>
      </c>
      <c r="AE1603" s="637">
        <f t="shared" si="127"/>
        <v>0</v>
      </c>
      <c r="AF1603" s="638">
        <f t="shared" si="125"/>
        <v>983</v>
      </c>
    </row>
    <row r="1604" spans="1:32" x14ac:dyDescent="0.3">
      <c r="A1604" s="381" t="s">
        <v>759</v>
      </c>
      <c r="B1604" s="1021" t="s">
        <v>1653</v>
      </c>
      <c r="C1604" s="835"/>
      <c r="D1604" s="836">
        <v>0</v>
      </c>
      <c r="E1604" s="836"/>
      <c r="F1604" s="836">
        <v>0</v>
      </c>
      <c r="G1604" s="836">
        <v>0</v>
      </c>
      <c r="H1604" s="836">
        <v>0</v>
      </c>
      <c r="I1604" s="836">
        <v>0</v>
      </c>
      <c r="J1604" s="836">
        <v>0</v>
      </c>
      <c r="K1604" s="836"/>
      <c r="L1604" s="836">
        <v>63000</v>
      </c>
      <c r="M1604" s="836">
        <v>0</v>
      </c>
      <c r="N1604" s="836">
        <v>0</v>
      </c>
      <c r="O1604" s="836" t="s">
        <v>251</v>
      </c>
      <c r="P1604" s="1497">
        <f t="shared" si="128"/>
        <v>0</v>
      </c>
      <c r="Q1604" s="1186">
        <f t="shared" si="129"/>
        <v>63000</v>
      </c>
      <c r="R1604" s="835"/>
      <c r="S1604" s="836"/>
      <c r="T1604" s="836"/>
      <c r="U1604" s="836"/>
      <c r="V1604" s="836"/>
      <c r="W1604" s="836"/>
      <c r="X1604" s="836"/>
      <c r="Y1604" s="836"/>
      <c r="Z1604" s="836"/>
      <c r="AA1604" s="836"/>
      <c r="AB1604" s="836"/>
      <c r="AC1604" s="836"/>
      <c r="AD1604" s="1186">
        <f t="shared" si="126"/>
        <v>0</v>
      </c>
      <c r="AE1604" s="637">
        <f t="shared" si="127"/>
        <v>0</v>
      </c>
      <c r="AF1604" s="638">
        <f t="shared" si="125"/>
        <v>983</v>
      </c>
    </row>
    <row r="1605" spans="1:32" x14ac:dyDescent="0.3">
      <c r="A1605" s="381" t="s">
        <v>759</v>
      </c>
      <c r="B1605" s="1021" t="s">
        <v>1654</v>
      </c>
      <c r="C1605" s="835"/>
      <c r="D1605" s="836" t="s">
        <v>251</v>
      </c>
      <c r="E1605" s="836"/>
      <c r="F1605" s="836" t="s">
        <v>251</v>
      </c>
      <c r="G1605" s="836" t="s">
        <v>251</v>
      </c>
      <c r="H1605" s="836" t="s">
        <v>251</v>
      </c>
      <c r="I1605" s="836" t="s">
        <v>251</v>
      </c>
      <c r="J1605" s="836" t="s">
        <v>251</v>
      </c>
      <c r="K1605" s="836"/>
      <c r="L1605" s="836" t="s">
        <v>251</v>
      </c>
      <c r="M1605" s="836" t="s">
        <v>251</v>
      </c>
      <c r="N1605" s="836" t="s">
        <v>251</v>
      </c>
      <c r="O1605" s="836" t="s">
        <v>251</v>
      </c>
      <c r="P1605" s="1497">
        <f t="shared" si="128"/>
        <v>0</v>
      </c>
      <c r="Q1605" s="1186">
        <f t="shared" si="129"/>
        <v>0</v>
      </c>
      <c r="R1605" s="835"/>
      <c r="S1605" s="836"/>
      <c r="T1605" s="836"/>
      <c r="U1605" s="836"/>
      <c r="V1605" s="836"/>
      <c r="W1605" s="836"/>
      <c r="X1605" s="836"/>
      <c r="Y1605" s="836"/>
      <c r="Z1605" s="836"/>
      <c r="AA1605" s="836"/>
      <c r="AB1605" s="836"/>
      <c r="AC1605" s="836"/>
      <c r="AD1605" s="1186">
        <f t="shared" si="126"/>
        <v>0</v>
      </c>
      <c r="AE1605" s="637">
        <f t="shared" si="127"/>
        <v>0</v>
      </c>
      <c r="AF1605" s="638">
        <f t="shared" si="125"/>
        <v>983</v>
      </c>
    </row>
    <row r="1606" spans="1:32" x14ac:dyDescent="0.3">
      <c r="A1606" s="381" t="s">
        <v>759</v>
      </c>
      <c r="B1606" s="1021" t="s">
        <v>771</v>
      </c>
      <c r="C1606" s="835"/>
      <c r="D1606" s="836" t="s">
        <v>251</v>
      </c>
      <c r="E1606" s="836"/>
      <c r="F1606" s="836" t="s">
        <v>251</v>
      </c>
      <c r="G1606" s="836" t="s">
        <v>251</v>
      </c>
      <c r="H1606" s="836" t="s">
        <v>251</v>
      </c>
      <c r="I1606" s="836" t="s">
        <v>251</v>
      </c>
      <c r="J1606" s="836" t="s">
        <v>251</v>
      </c>
      <c r="K1606" s="836"/>
      <c r="L1606" s="836" t="s">
        <v>251</v>
      </c>
      <c r="M1606" s="836" t="s">
        <v>251</v>
      </c>
      <c r="N1606" s="836" t="s">
        <v>251</v>
      </c>
      <c r="O1606" s="836" t="s">
        <v>251</v>
      </c>
      <c r="P1606" s="1497">
        <f t="shared" si="128"/>
        <v>0</v>
      </c>
      <c r="Q1606" s="1186">
        <f t="shared" si="129"/>
        <v>0</v>
      </c>
      <c r="R1606" s="835"/>
      <c r="S1606" s="836"/>
      <c r="T1606" s="836"/>
      <c r="U1606" s="836"/>
      <c r="V1606" s="836"/>
      <c r="W1606" s="836"/>
      <c r="X1606" s="836"/>
      <c r="Y1606" s="836"/>
      <c r="Z1606" s="836"/>
      <c r="AA1606" s="836"/>
      <c r="AB1606" s="836"/>
      <c r="AC1606" s="836"/>
      <c r="AD1606" s="1186">
        <f t="shared" si="126"/>
        <v>0</v>
      </c>
      <c r="AE1606" s="637">
        <f t="shared" si="127"/>
        <v>0</v>
      </c>
      <c r="AF1606" s="638">
        <f t="shared" si="125"/>
        <v>983</v>
      </c>
    </row>
    <row r="1607" spans="1:32" x14ac:dyDescent="0.3">
      <c r="A1607" s="381" t="s">
        <v>759</v>
      </c>
      <c r="B1607" s="1021" t="s">
        <v>1655</v>
      </c>
      <c r="C1607" s="835"/>
      <c r="D1607" s="836" t="s">
        <v>251</v>
      </c>
      <c r="E1607" s="836"/>
      <c r="F1607" s="836" t="s">
        <v>251</v>
      </c>
      <c r="G1607" s="836" t="s">
        <v>251</v>
      </c>
      <c r="H1607" s="836" t="s">
        <v>251</v>
      </c>
      <c r="I1607" s="836" t="s">
        <v>251</v>
      </c>
      <c r="J1607" s="836" t="s">
        <v>251</v>
      </c>
      <c r="K1607" s="836"/>
      <c r="L1607" s="836" t="s">
        <v>251</v>
      </c>
      <c r="M1607" s="836" t="s">
        <v>251</v>
      </c>
      <c r="N1607" s="836" t="s">
        <v>251</v>
      </c>
      <c r="O1607" s="836" t="s">
        <v>251</v>
      </c>
      <c r="P1607" s="1497">
        <f t="shared" si="128"/>
        <v>0</v>
      </c>
      <c r="Q1607" s="1186">
        <f t="shared" si="129"/>
        <v>0</v>
      </c>
      <c r="R1607" s="835"/>
      <c r="S1607" s="836"/>
      <c r="T1607" s="836"/>
      <c r="U1607" s="836"/>
      <c r="V1607" s="836"/>
      <c r="W1607" s="836"/>
      <c r="X1607" s="836"/>
      <c r="Y1607" s="836"/>
      <c r="Z1607" s="836"/>
      <c r="AA1607" s="836"/>
      <c r="AB1607" s="836"/>
      <c r="AC1607" s="836"/>
      <c r="AD1607" s="1186">
        <f t="shared" si="126"/>
        <v>0</v>
      </c>
      <c r="AE1607" s="637">
        <f t="shared" si="127"/>
        <v>0</v>
      </c>
      <c r="AF1607" s="638">
        <f t="shared" ref="AF1607:AF1670" si="130">IFERROR(_xlfn.RANK.EQ(AD1607, $AD$2:$AD$2064), "")</f>
        <v>983</v>
      </c>
    </row>
    <row r="1608" spans="1:32" x14ac:dyDescent="0.3">
      <c r="A1608" s="381" t="s">
        <v>759</v>
      </c>
      <c r="B1608" s="1021" t="s">
        <v>1656</v>
      </c>
      <c r="C1608" s="835"/>
      <c r="D1608" s="836" t="s">
        <v>251</v>
      </c>
      <c r="E1608" s="836"/>
      <c r="F1608" s="836" t="s">
        <v>251</v>
      </c>
      <c r="G1608" s="836" t="s">
        <v>251</v>
      </c>
      <c r="H1608" s="836" t="s">
        <v>251</v>
      </c>
      <c r="I1608" s="836" t="s">
        <v>251</v>
      </c>
      <c r="J1608" s="836" t="s">
        <v>251</v>
      </c>
      <c r="K1608" s="836"/>
      <c r="L1608" s="836" t="s">
        <v>251</v>
      </c>
      <c r="M1608" s="836" t="s">
        <v>251</v>
      </c>
      <c r="N1608" s="836" t="s">
        <v>251</v>
      </c>
      <c r="O1608" s="836" t="s">
        <v>251</v>
      </c>
      <c r="P1608" s="1497">
        <f t="shared" si="128"/>
        <v>0</v>
      </c>
      <c r="Q1608" s="1186">
        <f t="shared" si="129"/>
        <v>0</v>
      </c>
      <c r="R1608" s="835"/>
      <c r="S1608" s="836"/>
      <c r="T1608" s="836"/>
      <c r="U1608" s="836"/>
      <c r="V1608" s="836"/>
      <c r="W1608" s="836"/>
      <c r="X1608" s="836"/>
      <c r="Y1608" s="836"/>
      <c r="Z1608" s="836"/>
      <c r="AA1608" s="836"/>
      <c r="AB1608" s="836"/>
      <c r="AC1608" s="836"/>
      <c r="AD1608" s="1186">
        <f t="shared" si="126"/>
        <v>0</v>
      </c>
      <c r="AE1608" s="637">
        <f t="shared" si="127"/>
        <v>0</v>
      </c>
      <c r="AF1608" s="638">
        <f t="shared" si="130"/>
        <v>983</v>
      </c>
    </row>
    <row r="1609" spans="1:32" x14ac:dyDescent="0.3">
      <c r="A1609" s="381" t="s">
        <v>759</v>
      </c>
      <c r="B1609" s="1021" t="s">
        <v>630</v>
      </c>
      <c r="C1609" s="835"/>
      <c r="D1609" s="836" t="s">
        <v>251</v>
      </c>
      <c r="E1609" s="836"/>
      <c r="F1609" s="836" t="s">
        <v>251</v>
      </c>
      <c r="G1609" s="836" t="s">
        <v>251</v>
      </c>
      <c r="H1609" s="836" t="s">
        <v>251</v>
      </c>
      <c r="I1609" s="836" t="s">
        <v>251</v>
      </c>
      <c r="J1609" s="836" t="s">
        <v>251</v>
      </c>
      <c r="K1609" s="836"/>
      <c r="L1609" s="836" t="s">
        <v>251</v>
      </c>
      <c r="M1609" s="836" t="s">
        <v>251</v>
      </c>
      <c r="N1609" s="836" t="s">
        <v>251</v>
      </c>
      <c r="O1609" s="836" t="s">
        <v>251</v>
      </c>
      <c r="P1609" s="1497">
        <f t="shared" si="128"/>
        <v>0</v>
      </c>
      <c r="Q1609" s="1186">
        <f t="shared" si="129"/>
        <v>0</v>
      </c>
      <c r="R1609" s="835"/>
      <c r="S1609" s="836"/>
      <c r="T1609" s="836"/>
      <c r="U1609" s="836"/>
      <c r="V1609" s="836"/>
      <c r="W1609" s="836"/>
      <c r="X1609" s="836"/>
      <c r="Y1609" s="836"/>
      <c r="Z1609" s="836"/>
      <c r="AA1609" s="836"/>
      <c r="AB1609" s="836"/>
      <c r="AC1609" s="836"/>
      <c r="AD1609" s="1186">
        <f t="shared" si="126"/>
        <v>0</v>
      </c>
      <c r="AE1609" s="637">
        <f t="shared" si="127"/>
        <v>0</v>
      </c>
      <c r="AF1609" s="638">
        <f t="shared" si="130"/>
        <v>983</v>
      </c>
    </row>
    <row r="1610" spans="1:32" x14ac:dyDescent="0.3">
      <c r="A1610" s="381" t="s">
        <v>759</v>
      </c>
      <c r="B1610" s="1021" t="s">
        <v>1657</v>
      </c>
      <c r="C1610" s="835"/>
      <c r="D1610" s="836" t="s">
        <v>251</v>
      </c>
      <c r="E1610" s="836"/>
      <c r="F1610" s="836" t="s">
        <v>251</v>
      </c>
      <c r="G1610" s="836" t="s">
        <v>251</v>
      </c>
      <c r="H1610" s="836" t="s">
        <v>251</v>
      </c>
      <c r="I1610" s="836" t="s">
        <v>251</v>
      </c>
      <c r="J1610" s="836" t="s">
        <v>251</v>
      </c>
      <c r="K1610" s="836"/>
      <c r="L1610" s="836" t="s">
        <v>251</v>
      </c>
      <c r="M1610" s="836" t="s">
        <v>251</v>
      </c>
      <c r="N1610" s="836" t="s">
        <v>251</v>
      </c>
      <c r="O1610" s="836" t="s">
        <v>251</v>
      </c>
      <c r="P1610" s="1497">
        <f t="shared" si="128"/>
        <v>0</v>
      </c>
      <c r="Q1610" s="1186">
        <f t="shared" si="129"/>
        <v>0</v>
      </c>
      <c r="R1610" s="835"/>
      <c r="S1610" s="836"/>
      <c r="T1610" s="836"/>
      <c r="U1610" s="836"/>
      <c r="V1610" s="836"/>
      <c r="W1610" s="836"/>
      <c r="X1610" s="836"/>
      <c r="Y1610" s="836"/>
      <c r="Z1610" s="836"/>
      <c r="AA1610" s="836"/>
      <c r="AB1610" s="836"/>
      <c r="AC1610" s="836"/>
      <c r="AD1610" s="1186">
        <f t="shared" si="126"/>
        <v>0</v>
      </c>
      <c r="AE1610" s="637">
        <f t="shared" si="127"/>
        <v>0</v>
      </c>
      <c r="AF1610" s="638">
        <f t="shared" si="130"/>
        <v>983</v>
      </c>
    </row>
    <row r="1611" spans="1:32" x14ac:dyDescent="0.3">
      <c r="A1611" s="381" t="s">
        <v>759</v>
      </c>
      <c r="B1611" s="1021" t="s">
        <v>1658</v>
      </c>
      <c r="C1611" s="835"/>
      <c r="D1611" s="836" t="s">
        <v>251</v>
      </c>
      <c r="E1611" s="836"/>
      <c r="F1611" s="836" t="s">
        <v>251</v>
      </c>
      <c r="G1611" s="836" t="s">
        <v>251</v>
      </c>
      <c r="H1611" s="836" t="s">
        <v>251</v>
      </c>
      <c r="I1611" s="836" t="s">
        <v>251</v>
      </c>
      <c r="J1611" s="836" t="s">
        <v>251</v>
      </c>
      <c r="K1611" s="836"/>
      <c r="L1611" s="836" t="s">
        <v>251</v>
      </c>
      <c r="M1611" s="836" t="s">
        <v>251</v>
      </c>
      <c r="N1611" s="836" t="s">
        <v>251</v>
      </c>
      <c r="O1611" s="836" t="s">
        <v>251</v>
      </c>
      <c r="P1611" s="1497">
        <f t="shared" si="128"/>
        <v>0</v>
      </c>
      <c r="Q1611" s="1186">
        <f t="shared" si="129"/>
        <v>0</v>
      </c>
      <c r="R1611" s="835"/>
      <c r="S1611" s="836"/>
      <c r="T1611" s="836"/>
      <c r="U1611" s="836"/>
      <c r="V1611" s="836"/>
      <c r="W1611" s="836"/>
      <c r="X1611" s="836"/>
      <c r="Y1611" s="836"/>
      <c r="Z1611" s="836"/>
      <c r="AA1611" s="836"/>
      <c r="AB1611" s="836"/>
      <c r="AC1611" s="836"/>
      <c r="AD1611" s="1186">
        <f t="shared" si="126"/>
        <v>0</v>
      </c>
      <c r="AE1611" s="637">
        <f t="shared" si="127"/>
        <v>0</v>
      </c>
      <c r="AF1611" s="638">
        <f t="shared" si="130"/>
        <v>983</v>
      </c>
    </row>
    <row r="1612" spans="1:32" x14ac:dyDescent="0.3">
      <c r="A1612" s="381" t="s">
        <v>759</v>
      </c>
      <c r="B1612" s="1021" t="s">
        <v>1659</v>
      </c>
      <c r="C1612" s="835"/>
      <c r="D1612" s="836" t="s">
        <v>251</v>
      </c>
      <c r="E1612" s="836"/>
      <c r="F1612" s="836" t="s">
        <v>251</v>
      </c>
      <c r="G1612" s="836" t="s">
        <v>251</v>
      </c>
      <c r="H1612" s="836" t="s">
        <v>251</v>
      </c>
      <c r="I1612" s="836" t="s">
        <v>251</v>
      </c>
      <c r="J1612" s="836" t="s">
        <v>251</v>
      </c>
      <c r="K1612" s="836"/>
      <c r="L1612" s="836" t="s">
        <v>251</v>
      </c>
      <c r="M1612" s="836" t="s">
        <v>251</v>
      </c>
      <c r="N1612" s="836" t="s">
        <v>251</v>
      </c>
      <c r="O1612" s="836" t="s">
        <v>251</v>
      </c>
      <c r="P1612" s="1497">
        <f t="shared" si="128"/>
        <v>0</v>
      </c>
      <c r="Q1612" s="1186">
        <f t="shared" si="129"/>
        <v>0</v>
      </c>
      <c r="R1612" s="835"/>
      <c r="S1612" s="836"/>
      <c r="T1612" s="836"/>
      <c r="U1612" s="836"/>
      <c r="V1612" s="836"/>
      <c r="W1612" s="836"/>
      <c r="X1612" s="836"/>
      <c r="Y1612" s="836"/>
      <c r="Z1612" s="836"/>
      <c r="AA1612" s="836"/>
      <c r="AB1612" s="836"/>
      <c r="AC1612" s="836"/>
      <c r="AD1612" s="1186">
        <f t="shared" si="126"/>
        <v>0</v>
      </c>
      <c r="AE1612" s="637">
        <f t="shared" si="127"/>
        <v>0</v>
      </c>
      <c r="AF1612" s="638">
        <f t="shared" si="130"/>
        <v>983</v>
      </c>
    </row>
    <row r="1613" spans="1:32" x14ac:dyDescent="0.3">
      <c r="A1613" s="381" t="s">
        <v>759</v>
      </c>
      <c r="B1613" s="1021" t="s">
        <v>1660</v>
      </c>
      <c r="C1613" s="835"/>
      <c r="D1613" s="836" t="s">
        <v>251</v>
      </c>
      <c r="E1613" s="836"/>
      <c r="F1613" s="836" t="s">
        <v>251</v>
      </c>
      <c r="G1613" s="836" t="s">
        <v>251</v>
      </c>
      <c r="H1613" s="836" t="s">
        <v>251</v>
      </c>
      <c r="I1613" s="836" t="s">
        <v>251</v>
      </c>
      <c r="J1613" s="836" t="s">
        <v>251</v>
      </c>
      <c r="K1613" s="836"/>
      <c r="L1613" s="836" t="s">
        <v>251</v>
      </c>
      <c r="M1613" s="836" t="s">
        <v>251</v>
      </c>
      <c r="N1613" s="836" t="s">
        <v>251</v>
      </c>
      <c r="O1613" s="836" t="s">
        <v>251</v>
      </c>
      <c r="P1613" s="1497">
        <f t="shared" si="128"/>
        <v>0</v>
      </c>
      <c r="Q1613" s="1186">
        <f t="shared" si="129"/>
        <v>0</v>
      </c>
      <c r="R1613" s="835"/>
      <c r="S1613" s="836"/>
      <c r="T1613" s="836"/>
      <c r="U1613" s="836"/>
      <c r="V1613" s="836"/>
      <c r="W1613" s="836"/>
      <c r="X1613" s="836"/>
      <c r="Y1613" s="836"/>
      <c r="Z1613" s="836"/>
      <c r="AA1613" s="836"/>
      <c r="AB1613" s="836"/>
      <c r="AC1613" s="836"/>
      <c r="AD1613" s="1186">
        <f t="shared" si="126"/>
        <v>0</v>
      </c>
      <c r="AE1613" s="637">
        <f t="shared" si="127"/>
        <v>0</v>
      </c>
      <c r="AF1613" s="638">
        <f t="shared" si="130"/>
        <v>983</v>
      </c>
    </row>
    <row r="1614" spans="1:32" x14ac:dyDescent="0.3">
      <c r="A1614" s="381" t="s">
        <v>759</v>
      </c>
      <c r="B1614" s="1021" t="s">
        <v>1661</v>
      </c>
      <c r="C1614" s="835"/>
      <c r="D1614" s="836" t="s">
        <v>251</v>
      </c>
      <c r="E1614" s="836"/>
      <c r="F1614" s="836" t="s">
        <v>251</v>
      </c>
      <c r="G1614" s="836" t="s">
        <v>251</v>
      </c>
      <c r="H1614" s="836" t="s">
        <v>251</v>
      </c>
      <c r="I1614" s="836" t="s">
        <v>251</v>
      </c>
      <c r="J1614" s="836" t="s">
        <v>251</v>
      </c>
      <c r="K1614" s="836"/>
      <c r="L1614" s="836" t="s">
        <v>251</v>
      </c>
      <c r="M1614" s="836" t="s">
        <v>251</v>
      </c>
      <c r="N1614" s="836" t="s">
        <v>251</v>
      </c>
      <c r="O1614" s="836" t="s">
        <v>251</v>
      </c>
      <c r="P1614" s="1497">
        <f t="shared" si="128"/>
        <v>0</v>
      </c>
      <c r="Q1614" s="1186">
        <f t="shared" si="129"/>
        <v>0</v>
      </c>
      <c r="R1614" s="835"/>
      <c r="S1614" s="836"/>
      <c r="T1614" s="836"/>
      <c r="U1614" s="836"/>
      <c r="V1614" s="836"/>
      <c r="W1614" s="836"/>
      <c r="X1614" s="836"/>
      <c r="Y1614" s="836"/>
      <c r="Z1614" s="836"/>
      <c r="AA1614" s="836"/>
      <c r="AB1614" s="836"/>
      <c r="AC1614" s="836"/>
      <c r="AD1614" s="1186">
        <f t="shared" si="126"/>
        <v>0</v>
      </c>
      <c r="AE1614" s="637">
        <f t="shared" si="127"/>
        <v>0</v>
      </c>
      <c r="AF1614" s="638">
        <f t="shared" si="130"/>
        <v>983</v>
      </c>
    </row>
    <row r="1615" spans="1:32" x14ac:dyDescent="0.3">
      <c r="A1615" s="381" t="s">
        <v>759</v>
      </c>
      <c r="B1615" s="1021" t="s">
        <v>1662</v>
      </c>
      <c r="C1615" s="835"/>
      <c r="D1615" s="836" t="s">
        <v>251</v>
      </c>
      <c r="E1615" s="836"/>
      <c r="F1615" s="836" t="s">
        <v>251</v>
      </c>
      <c r="G1615" s="836" t="s">
        <v>251</v>
      </c>
      <c r="H1615" s="836" t="s">
        <v>251</v>
      </c>
      <c r="I1615" s="836" t="s">
        <v>251</v>
      </c>
      <c r="J1615" s="836" t="s">
        <v>251</v>
      </c>
      <c r="K1615" s="836"/>
      <c r="L1615" s="836" t="s">
        <v>251</v>
      </c>
      <c r="M1615" s="836" t="s">
        <v>251</v>
      </c>
      <c r="N1615" s="836" t="s">
        <v>251</v>
      </c>
      <c r="O1615" s="836" t="s">
        <v>251</v>
      </c>
      <c r="P1615" s="1497">
        <f t="shared" si="128"/>
        <v>0</v>
      </c>
      <c r="Q1615" s="1186">
        <f t="shared" si="129"/>
        <v>0</v>
      </c>
      <c r="R1615" s="835"/>
      <c r="S1615" s="836"/>
      <c r="T1615" s="836"/>
      <c r="U1615" s="836"/>
      <c r="V1615" s="836"/>
      <c r="W1615" s="836"/>
      <c r="X1615" s="836"/>
      <c r="Y1615" s="836"/>
      <c r="Z1615" s="836"/>
      <c r="AA1615" s="836"/>
      <c r="AB1615" s="836"/>
      <c r="AC1615" s="836"/>
      <c r="AD1615" s="1186">
        <f t="shared" ref="AD1615:AD1678" si="131">SUM(R1615:AC1615)</f>
        <v>0</v>
      </c>
      <c r="AE1615" s="637">
        <f t="shared" ref="AE1615:AE1678" si="132">IF(OR(AD1615="", P1615=""), 0, IFERROR((AD1615-P1615)/P1615, IF(AD1615&lt;&gt;0, 1, 0)))</f>
        <v>0</v>
      </c>
      <c r="AF1615" s="638">
        <f t="shared" si="130"/>
        <v>983</v>
      </c>
    </row>
    <row r="1616" spans="1:32" x14ac:dyDescent="0.3">
      <c r="A1616" s="381" t="s">
        <v>759</v>
      </c>
      <c r="B1616" s="1021" t="s">
        <v>1663</v>
      </c>
      <c r="C1616" s="835"/>
      <c r="D1616" s="836" t="s">
        <v>251</v>
      </c>
      <c r="E1616" s="836"/>
      <c r="F1616" s="836" t="s">
        <v>251</v>
      </c>
      <c r="G1616" s="836" t="s">
        <v>251</v>
      </c>
      <c r="H1616" s="836" t="s">
        <v>251</v>
      </c>
      <c r="I1616" s="836" t="s">
        <v>251</v>
      </c>
      <c r="J1616" s="836" t="s">
        <v>251</v>
      </c>
      <c r="K1616" s="836"/>
      <c r="L1616" s="836" t="s">
        <v>251</v>
      </c>
      <c r="M1616" s="836" t="s">
        <v>251</v>
      </c>
      <c r="N1616" s="836" t="s">
        <v>251</v>
      </c>
      <c r="O1616" s="836" t="s">
        <v>251</v>
      </c>
      <c r="P1616" s="1497">
        <f t="shared" si="128"/>
        <v>0</v>
      </c>
      <c r="Q1616" s="1186">
        <f t="shared" si="129"/>
        <v>0</v>
      </c>
      <c r="R1616" s="835"/>
      <c r="S1616" s="836"/>
      <c r="T1616" s="836"/>
      <c r="U1616" s="836"/>
      <c r="V1616" s="836"/>
      <c r="W1616" s="836"/>
      <c r="X1616" s="836"/>
      <c r="Y1616" s="836"/>
      <c r="Z1616" s="836"/>
      <c r="AA1616" s="836"/>
      <c r="AB1616" s="836"/>
      <c r="AC1616" s="836"/>
      <c r="AD1616" s="1186">
        <f t="shared" si="131"/>
        <v>0</v>
      </c>
      <c r="AE1616" s="637">
        <f t="shared" si="132"/>
        <v>0</v>
      </c>
      <c r="AF1616" s="638">
        <f t="shared" si="130"/>
        <v>983</v>
      </c>
    </row>
    <row r="1617" spans="1:32" x14ac:dyDescent="0.3">
      <c r="A1617" s="381" t="s">
        <v>759</v>
      </c>
      <c r="B1617" s="1021" t="s">
        <v>1664</v>
      </c>
      <c r="C1617" s="835"/>
      <c r="D1617" s="836" t="s">
        <v>251</v>
      </c>
      <c r="E1617" s="836"/>
      <c r="F1617" s="836" t="s">
        <v>251</v>
      </c>
      <c r="G1617" s="836" t="s">
        <v>251</v>
      </c>
      <c r="H1617" s="836" t="s">
        <v>251</v>
      </c>
      <c r="I1617" s="836" t="s">
        <v>251</v>
      </c>
      <c r="J1617" s="836" t="s">
        <v>251</v>
      </c>
      <c r="K1617" s="836"/>
      <c r="L1617" s="836" t="s">
        <v>251</v>
      </c>
      <c r="M1617" s="836" t="s">
        <v>251</v>
      </c>
      <c r="N1617" s="836" t="s">
        <v>251</v>
      </c>
      <c r="O1617" s="836" t="s">
        <v>251</v>
      </c>
      <c r="P1617" s="1497">
        <f t="shared" si="128"/>
        <v>0</v>
      </c>
      <c r="Q1617" s="1186">
        <f t="shared" si="129"/>
        <v>0</v>
      </c>
      <c r="R1617" s="835"/>
      <c r="S1617" s="836"/>
      <c r="T1617" s="836"/>
      <c r="U1617" s="836"/>
      <c r="V1617" s="836"/>
      <c r="W1617" s="836"/>
      <c r="X1617" s="836"/>
      <c r="Y1617" s="836"/>
      <c r="Z1617" s="836"/>
      <c r="AA1617" s="836"/>
      <c r="AB1617" s="836"/>
      <c r="AC1617" s="836"/>
      <c r="AD1617" s="1186">
        <f t="shared" si="131"/>
        <v>0</v>
      </c>
      <c r="AE1617" s="637">
        <f t="shared" si="132"/>
        <v>0</v>
      </c>
      <c r="AF1617" s="638">
        <f t="shared" si="130"/>
        <v>983</v>
      </c>
    </row>
    <row r="1618" spans="1:32" x14ac:dyDescent="0.3">
      <c r="A1618" s="381" t="s">
        <v>759</v>
      </c>
      <c r="B1618" s="1021" t="s">
        <v>1665</v>
      </c>
      <c r="C1618" s="835"/>
      <c r="D1618" s="836" t="s">
        <v>251</v>
      </c>
      <c r="E1618" s="836"/>
      <c r="F1618" s="836" t="s">
        <v>251</v>
      </c>
      <c r="G1618" s="836" t="s">
        <v>251</v>
      </c>
      <c r="H1618" s="836" t="s">
        <v>251</v>
      </c>
      <c r="I1618" s="836" t="s">
        <v>251</v>
      </c>
      <c r="J1618" s="836" t="s">
        <v>251</v>
      </c>
      <c r="K1618" s="836"/>
      <c r="L1618" s="836" t="s">
        <v>251</v>
      </c>
      <c r="M1618" s="836" t="s">
        <v>251</v>
      </c>
      <c r="N1618" s="836" t="s">
        <v>251</v>
      </c>
      <c r="O1618" s="836" t="s">
        <v>251</v>
      </c>
      <c r="P1618" s="1497">
        <f t="shared" si="128"/>
        <v>0</v>
      </c>
      <c r="Q1618" s="1186">
        <f t="shared" si="129"/>
        <v>0</v>
      </c>
      <c r="R1618" s="835"/>
      <c r="S1618" s="836"/>
      <c r="T1618" s="836"/>
      <c r="U1618" s="836"/>
      <c r="V1618" s="836"/>
      <c r="W1618" s="836"/>
      <c r="X1618" s="836"/>
      <c r="Y1618" s="836"/>
      <c r="Z1618" s="836"/>
      <c r="AA1618" s="836"/>
      <c r="AB1618" s="836"/>
      <c r="AC1618" s="836"/>
      <c r="AD1618" s="1186">
        <f t="shared" si="131"/>
        <v>0</v>
      </c>
      <c r="AE1618" s="637">
        <f t="shared" si="132"/>
        <v>0</v>
      </c>
      <c r="AF1618" s="638">
        <f t="shared" si="130"/>
        <v>983</v>
      </c>
    </row>
    <row r="1619" spans="1:32" x14ac:dyDescent="0.3">
      <c r="A1619" s="381" t="s">
        <v>759</v>
      </c>
      <c r="B1619" s="1021" t="s">
        <v>1666</v>
      </c>
      <c r="C1619" s="835"/>
      <c r="D1619" s="836" t="s">
        <v>251</v>
      </c>
      <c r="E1619" s="836"/>
      <c r="F1619" s="836" t="s">
        <v>251</v>
      </c>
      <c r="G1619" s="836" t="s">
        <v>251</v>
      </c>
      <c r="H1619" s="836" t="s">
        <v>251</v>
      </c>
      <c r="I1619" s="836" t="s">
        <v>251</v>
      </c>
      <c r="J1619" s="836" t="s">
        <v>251</v>
      </c>
      <c r="K1619" s="836"/>
      <c r="L1619" s="836" t="s">
        <v>251</v>
      </c>
      <c r="M1619" s="836" t="s">
        <v>251</v>
      </c>
      <c r="N1619" s="836" t="s">
        <v>251</v>
      </c>
      <c r="O1619" s="836" t="s">
        <v>251</v>
      </c>
      <c r="P1619" s="1497">
        <f t="shared" si="128"/>
        <v>0</v>
      </c>
      <c r="Q1619" s="1186">
        <f t="shared" si="129"/>
        <v>0</v>
      </c>
      <c r="R1619" s="835"/>
      <c r="S1619" s="836"/>
      <c r="T1619" s="836"/>
      <c r="U1619" s="836"/>
      <c r="V1619" s="836"/>
      <c r="W1619" s="836"/>
      <c r="X1619" s="836"/>
      <c r="Y1619" s="836"/>
      <c r="Z1619" s="836"/>
      <c r="AA1619" s="836"/>
      <c r="AB1619" s="836"/>
      <c r="AC1619" s="836"/>
      <c r="AD1619" s="1186">
        <f t="shared" si="131"/>
        <v>0</v>
      </c>
      <c r="AE1619" s="637">
        <f t="shared" si="132"/>
        <v>0</v>
      </c>
      <c r="AF1619" s="638">
        <f t="shared" si="130"/>
        <v>983</v>
      </c>
    </row>
    <row r="1620" spans="1:32" x14ac:dyDescent="0.3">
      <c r="A1620" s="381" t="s">
        <v>759</v>
      </c>
      <c r="B1620" s="1021" t="s">
        <v>1667</v>
      </c>
      <c r="C1620" s="835"/>
      <c r="D1620" s="836" t="s">
        <v>251</v>
      </c>
      <c r="E1620" s="836"/>
      <c r="F1620" s="836" t="s">
        <v>251</v>
      </c>
      <c r="G1620" s="836" t="s">
        <v>251</v>
      </c>
      <c r="H1620" s="836" t="s">
        <v>251</v>
      </c>
      <c r="I1620" s="836" t="s">
        <v>251</v>
      </c>
      <c r="J1620" s="836" t="s">
        <v>251</v>
      </c>
      <c r="K1620" s="836"/>
      <c r="L1620" s="836" t="s">
        <v>251</v>
      </c>
      <c r="M1620" s="836" t="s">
        <v>251</v>
      </c>
      <c r="N1620" s="836" t="s">
        <v>251</v>
      </c>
      <c r="O1620" s="836" t="s">
        <v>251</v>
      </c>
      <c r="P1620" s="1497">
        <f t="shared" si="128"/>
        <v>0</v>
      </c>
      <c r="Q1620" s="1186">
        <f t="shared" si="129"/>
        <v>0</v>
      </c>
      <c r="R1620" s="835"/>
      <c r="S1620" s="836"/>
      <c r="T1620" s="836"/>
      <c r="U1620" s="836"/>
      <c r="V1620" s="836"/>
      <c r="W1620" s="836"/>
      <c r="X1620" s="836"/>
      <c r="Y1620" s="836"/>
      <c r="Z1620" s="836"/>
      <c r="AA1620" s="836"/>
      <c r="AB1620" s="836"/>
      <c r="AC1620" s="836"/>
      <c r="AD1620" s="1186">
        <f t="shared" si="131"/>
        <v>0</v>
      </c>
      <c r="AE1620" s="637">
        <f t="shared" si="132"/>
        <v>0</v>
      </c>
      <c r="AF1620" s="638">
        <f t="shared" si="130"/>
        <v>983</v>
      </c>
    </row>
    <row r="1621" spans="1:32" x14ac:dyDescent="0.3">
      <c r="A1621" s="381" t="s">
        <v>759</v>
      </c>
      <c r="B1621" s="1021" t="s">
        <v>1668</v>
      </c>
      <c r="C1621" s="835"/>
      <c r="D1621" s="836" t="s">
        <v>251</v>
      </c>
      <c r="E1621" s="836"/>
      <c r="F1621" s="836" t="s">
        <v>251</v>
      </c>
      <c r="G1621" s="836" t="s">
        <v>251</v>
      </c>
      <c r="H1621" s="836" t="s">
        <v>251</v>
      </c>
      <c r="I1621" s="836" t="s">
        <v>251</v>
      </c>
      <c r="J1621" s="836" t="s">
        <v>251</v>
      </c>
      <c r="K1621" s="836"/>
      <c r="L1621" s="836" t="s">
        <v>251</v>
      </c>
      <c r="M1621" s="836" t="s">
        <v>251</v>
      </c>
      <c r="N1621" s="836" t="s">
        <v>251</v>
      </c>
      <c r="O1621" s="836" t="s">
        <v>251</v>
      </c>
      <c r="P1621" s="1497">
        <f t="shared" si="128"/>
        <v>0</v>
      </c>
      <c r="Q1621" s="1186">
        <f t="shared" si="129"/>
        <v>0</v>
      </c>
      <c r="R1621" s="835"/>
      <c r="S1621" s="836"/>
      <c r="T1621" s="836"/>
      <c r="U1621" s="836"/>
      <c r="V1621" s="836"/>
      <c r="W1621" s="836"/>
      <c r="X1621" s="836"/>
      <c r="Y1621" s="836"/>
      <c r="Z1621" s="836"/>
      <c r="AA1621" s="836"/>
      <c r="AB1621" s="836"/>
      <c r="AC1621" s="836"/>
      <c r="AD1621" s="1186">
        <f t="shared" si="131"/>
        <v>0</v>
      </c>
      <c r="AE1621" s="637">
        <f t="shared" si="132"/>
        <v>0</v>
      </c>
      <c r="AF1621" s="638">
        <f t="shared" si="130"/>
        <v>983</v>
      </c>
    </row>
    <row r="1622" spans="1:32" x14ac:dyDescent="0.3">
      <c r="A1622" s="381" t="s">
        <v>759</v>
      </c>
      <c r="B1622" s="1021" t="s">
        <v>1669</v>
      </c>
      <c r="C1622" s="835"/>
      <c r="D1622" s="836" t="s">
        <v>251</v>
      </c>
      <c r="E1622" s="836"/>
      <c r="F1622" s="836" t="s">
        <v>251</v>
      </c>
      <c r="G1622" s="836" t="s">
        <v>251</v>
      </c>
      <c r="H1622" s="836" t="s">
        <v>251</v>
      </c>
      <c r="I1622" s="836" t="s">
        <v>251</v>
      </c>
      <c r="J1622" s="836" t="s">
        <v>251</v>
      </c>
      <c r="K1622" s="836"/>
      <c r="L1622" s="836" t="s">
        <v>251</v>
      </c>
      <c r="M1622" s="836" t="s">
        <v>251</v>
      </c>
      <c r="N1622" s="836" t="s">
        <v>251</v>
      </c>
      <c r="O1622" s="836" t="s">
        <v>251</v>
      </c>
      <c r="P1622" s="1497">
        <f t="shared" ref="P1622:P1685" si="133">SUM(C1622:I1622,K1622)</f>
        <v>0</v>
      </c>
      <c r="Q1622" s="1186">
        <f t="shared" ref="Q1622:Q1685" si="134">SUM(C1622:J1622,L1622:O1622)</f>
        <v>0</v>
      </c>
      <c r="R1622" s="835"/>
      <c r="S1622" s="836"/>
      <c r="T1622" s="836"/>
      <c r="U1622" s="836"/>
      <c r="V1622" s="836"/>
      <c r="W1622" s="836"/>
      <c r="X1622" s="836"/>
      <c r="Y1622" s="836"/>
      <c r="Z1622" s="836"/>
      <c r="AA1622" s="836"/>
      <c r="AB1622" s="836"/>
      <c r="AC1622" s="836"/>
      <c r="AD1622" s="1186">
        <f t="shared" si="131"/>
        <v>0</v>
      </c>
      <c r="AE1622" s="637">
        <f t="shared" si="132"/>
        <v>0</v>
      </c>
      <c r="AF1622" s="638">
        <f t="shared" si="130"/>
        <v>983</v>
      </c>
    </row>
    <row r="1623" spans="1:32" x14ac:dyDescent="0.3">
      <c r="A1623" s="381" t="s">
        <v>759</v>
      </c>
      <c r="B1623" s="1021" t="s">
        <v>1670</v>
      </c>
      <c r="C1623" s="835"/>
      <c r="D1623" s="836" t="s">
        <v>251</v>
      </c>
      <c r="E1623" s="836"/>
      <c r="F1623" s="836" t="s">
        <v>251</v>
      </c>
      <c r="G1623" s="836" t="s">
        <v>251</v>
      </c>
      <c r="H1623" s="836" t="s">
        <v>251</v>
      </c>
      <c r="I1623" s="836" t="s">
        <v>251</v>
      </c>
      <c r="J1623" s="836" t="s">
        <v>251</v>
      </c>
      <c r="K1623" s="836"/>
      <c r="L1623" s="836" t="s">
        <v>251</v>
      </c>
      <c r="M1623" s="836" t="s">
        <v>251</v>
      </c>
      <c r="N1623" s="836" t="s">
        <v>251</v>
      </c>
      <c r="O1623" s="836" t="s">
        <v>251</v>
      </c>
      <c r="P1623" s="1497">
        <f t="shared" si="133"/>
        <v>0</v>
      </c>
      <c r="Q1623" s="1186">
        <f t="shared" si="134"/>
        <v>0</v>
      </c>
      <c r="R1623" s="835"/>
      <c r="S1623" s="836"/>
      <c r="T1623" s="836"/>
      <c r="U1623" s="836"/>
      <c r="V1623" s="836"/>
      <c r="W1623" s="836"/>
      <c r="X1623" s="836"/>
      <c r="Y1623" s="836"/>
      <c r="Z1623" s="836"/>
      <c r="AA1623" s="836"/>
      <c r="AB1623" s="836"/>
      <c r="AC1623" s="836"/>
      <c r="AD1623" s="1186">
        <f t="shared" si="131"/>
        <v>0</v>
      </c>
      <c r="AE1623" s="637">
        <f t="shared" si="132"/>
        <v>0</v>
      </c>
      <c r="AF1623" s="638">
        <f t="shared" si="130"/>
        <v>983</v>
      </c>
    </row>
    <row r="1624" spans="1:32" x14ac:dyDescent="0.3">
      <c r="A1624" s="381" t="s">
        <v>759</v>
      </c>
      <c r="B1624" s="1021" t="s">
        <v>533</v>
      </c>
      <c r="C1624" s="835"/>
      <c r="D1624" s="836" t="s">
        <v>251</v>
      </c>
      <c r="E1624" s="836"/>
      <c r="F1624" s="836" t="s">
        <v>251</v>
      </c>
      <c r="G1624" s="836" t="s">
        <v>251</v>
      </c>
      <c r="H1624" s="836" t="s">
        <v>251</v>
      </c>
      <c r="I1624" s="836" t="s">
        <v>251</v>
      </c>
      <c r="J1624" s="836" t="s">
        <v>251</v>
      </c>
      <c r="K1624" s="836"/>
      <c r="L1624" s="836" t="s">
        <v>251</v>
      </c>
      <c r="M1624" s="836" t="s">
        <v>251</v>
      </c>
      <c r="N1624" s="836" t="s">
        <v>251</v>
      </c>
      <c r="O1624" s="836" t="s">
        <v>251</v>
      </c>
      <c r="P1624" s="1497">
        <f t="shared" si="133"/>
        <v>0</v>
      </c>
      <c r="Q1624" s="1186">
        <f t="shared" si="134"/>
        <v>0</v>
      </c>
      <c r="R1624" s="835"/>
      <c r="S1624" s="836"/>
      <c r="T1624" s="836"/>
      <c r="U1624" s="836"/>
      <c r="V1624" s="836"/>
      <c r="W1624" s="836"/>
      <c r="X1624" s="836"/>
      <c r="Y1624" s="836"/>
      <c r="Z1624" s="836"/>
      <c r="AA1624" s="836"/>
      <c r="AB1624" s="836"/>
      <c r="AC1624" s="836"/>
      <c r="AD1624" s="1186">
        <f t="shared" si="131"/>
        <v>0</v>
      </c>
      <c r="AE1624" s="637">
        <f t="shared" si="132"/>
        <v>0</v>
      </c>
      <c r="AF1624" s="638">
        <f t="shared" si="130"/>
        <v>983</v>
      </c>
    </row>
    <row r="1625" spans="1:32" x14ac:dyDescent="0.3">
      <c r="A1625" s="381" t="s">
        <v>759</v>
      </c>
      <c r="B1625" s="1021" t="s">
        <v>1671</v>
      </c>
      <c r="C1625" s="835"/>
      <c r="D1625" s="836" t="s">
        <v>251</v>
      </c>
      <c r="E1625" s="836"/>
      <c r="F1625" s="836" t="s">
        <v>251</v>
      </c>
      <c r="G1625" s="836" t="s">
        <v>251</v>
      </c>
      <c r="H1625" s="836" t="s">
        <v>251</v>
      </c>
      <c r="I1625" s="836" t="s">
        <v>251</v>
      </c>
      <c r="J1625" s="836" t="s">
        <v>251</v>
      </c>
      <c r="K1625" s="836"/>
      <c r="L1625" s="836" t="s">
        <v>251</v>
      </c>
      <c r="M1625" s="836" t="s">
        <v>251</v>
      </c>
      <c r="N1625" s="836" t="s">
        <v>251</v>
      </c>
      <c r="O1625" s="836" t="s">
        <v>251</v>
      </c>
      <c r="P1625" s="1497">
        <f t="shared" si="133"/>
        <v>0</v>
      </c>
      <c r="Q1625" s="1186">
        <f t="shared" si="134"/>
        <v>0</v>
      </c>
      <c r="R1625" s="835"/>
      <c r="S1625" s="836"/>
      <c r="T1625" s="836"/>
      <c r="U1625" s="836"/>
      <c r="V1625" s="836"/>
      <c r="W1625" s="836"/>
      <c r="X1625" s="836"/>
      <c r="Y1625" s="836"/>
      <c r="Z1625" s="836"/>
      <c r="AA1625" s="836"/>
      <c r="AB1625" s="836"/>
      <c r="AC1625" s="836"/>
      <c r="AD1625" s="1186">
        <f t="shared" si="131"/>
        <v>0</v>
      </c>
      <c r="AE1625" s="637">
        <f t="shared" si="132"/>
        <v>0</v>
      </c>
      <c r="AF1625" s="638">
        <f t="shared" si="130"/>
        <v>983</v>
      </c>
    </row>
    <row r="1626" spans="1:32" x14ac:dyDescent="0.3">
      <c r="A1626" s="381" t="s">
        <v>759</v>
      </c>
      <c r="B1626" s="1021" t="s">
        <v>1672</v>
      </c>
      <c r="C1626" s="835"/>
      <c r="D1626" s="836">
        <v>0</v>
      </c>
      <c r="E1626" s="836"/>
      <c r="F1626" s="836">
        <v>0</v>
      </c>
      <c r="G1626" s="836">
        <v>0</v>
      </c>
      <c r="H1626" s="836">
        <v>0</v>
      </c>
      <c r="I1626" s="836">
        <v>0</v>
      </c>
      <c r="J1626" s="836">
        <v>0</v>
      </c>
      <c r="K1626" s="836"/>
      <c r="L1626" s="836">
        <v>0</v>
      </c>
      <c r="M1626" s="836">
        <v>0</v>
      </c>
      <c r="N1626" s="836">
        <v>85000</v>
      </c>
      <c r="O1626" s="836" t="s">
        <v>251</v>
      </c>
      <c r="P1626" s="1497">
        <f t="shared" si="133"/>
        <v>0</v>
      </c>
      <c r="Q1626" s="1186">
        <f t="shared" si="134"/>
        <v>85000</v>
      </c>
      <c r="R1626" s="835"/>
      <c r="S1626" s="836"/>
      <c r="T1626" s="836"/>
      <c r="U1626" s="836"/>
      <c r="V1626" s="836"/>
      <c r="W1626" s="836"/>
      <c r="X1626" s="836"/>
      <c r="Y1626" s="836"/>
      <c r="Z1626" s="836"/>
      <c r="AA1626" s="836"/>
      <c r="AB1626" s="836"/>
      <c r="AC1626" s="836"/>
      <c r="AD1626" s="1186">
        <f t="shared" si="131"/>
        <v>0</v>
      </c>
      <c r="AE1626" s="637">
        <f t="shared" si="132"/>
        <v>0</v>
      </c>
      <c r="AF1626" s="638">
        <f t="shared" si="130"/>
        <v>983</v>
      </c>
    </row>
    <row r="1627" spans="1:32" x14ac:dyDescent="0.3">
      <c r="A1627" s="381" t="s">
        <v>759</v>
      </c>
      <c r="B1627" s="1021" t="s">
        <v>1673</v>
      </c>
      <c r="C1627" s="835"/>
      <c r="D1627" s="836" t="s">
        <v>251</v>
      </c>
      <c r="E1627" s="836"/>
      <c r="F1627" s="836" t="s">
        <v>251</v>
      </c>
      <c r="G1627" s="836" t="s">
        <v>251</v>
      </c>
      <c r="H1627" s="836" t="s">
        <v>251</v>
      </c>
      <c r="I1627" s="836" t="s">
        <v>251</v>
      </c>
      <c r="J1627" s="836" t="s">
        <v>251</v>
      </c>
      <c r="K1627" s="836"/>
      <c r="L1627" s="836" t="s">
        <v>251</v>
      </c>
      <c r="M1627" s="836" t="s">
        <v>251</v>
      </c>
      <c r="N1627" s="836" t="s">
        <v>251</v>
      </c>
      <c r="O1627" s="836" t="s">
        <v>251</v>
      </c>
      <c r="P1627" s="1497">
        <f t="shared" si="133"/>
        <v>0</v>
      </c>
      <c r="Q1627" s="1186">
        <f t="shared" si="134"/>
        <v>0</v>
      </c>
      <c r="R1627" s="835"/>
      <c r="S1627" s="836"/>
      <c r="T1627" s="836"/>
      <c r="U1627" s="836"/>
      <c r="V1627" s="836"/>
      <c r="W1627" s="836"/>
      <c r="X1627" s="836"/>
      <c r="Y1627" s="836"/>
      <c r="Z1627" s="836"/>
      <c r="AA1627" s="836"/>
      <c r="AB1627" s="836"/>
      <c r="AC1627" s="836"/>
      <c r="AD1627" s="1186">
        <f t="shared" si="131"/>
        <v>0</v>
      </c>
      <c r="AE1627" s="637">
        <f t="shared" si="132"/>
        <v>0</v>
      </c>
      <c r="AF1627" s="638">
        <f t="shared" si="130"/>
        <v>983</v>
      </c>
    </row>
    <row r="1628" spans="1:32" x14ac:dyDescent="0.3">
      <c r="A1628" s="381" t="s">
        <v>759</v>
      </c>
      <c r="B1628" s="1021" t="s">
        <v>770</v>
      </c>
      <c r="C1628" s="835"/>
      <c r="D1628" s="836" t="s">
        <v>251</v>
      </c>
      <c r="E1628" s="836"/>
      <c r="F1628" s="836" t="s">
        <v>251</v>
      </c>
      <c r="G1628" s="836" t="s">
        <v>251</v>
      </c>
      <c r="H1628" s="836" t="s">
        <v>251</v>
      </c>
      <c r="I1628" s="836" t="s">
        <v>251</v>
      </c>
      <c r="J1628" s="836" t="s">
        <v>251</v>
      </c>
      <c r="K1628" s="836"/>
      <c r="L1628" s="836" t="s">
        <v>251</v>
      </c>
      <c r="M1628" s="836" t="s">
        <v>251</v>
      </c>
      <c r="N1628" s="836" t="s">
        <v>251</v>
      </c>
      <c r="O1628" s="836" t="s">
        <v>251</v>
      </c>
      <c r="P1628" s="1497">
        <f t="shared" si="133"/>
        <v>0</v>
      </c>
      <c r="Q1628" s="1186">
        <f t="shared" si="134"/>
        <v>0</v>
      </c>
      <c r="R1628" s="835"/>
      <c r="S1628" s="836"/>
      <c r="T1628" s="836"/>
      <c r="U1628" s="836"/>
      <c r="V1628" s="836"/>
      <c r="W1628" s="836"/>
      <c r="X1628" s="836"/>
      <c r="Y1628" s="836"/>
      <c r="Z1628" s="836"/>
      <c r="AA1628" s="836"/>
      <c r="AB1628" s="836"/>
      <c r="AC1628" s="836"/>
      <c r="AD1628" s="1186">
        <f t="shared" si="131"/>
        <v>0</v>
      </c>
      <c r="AE1628" s="637">
        <f t="shared" si="132"/>
        <v>0</v>
      </c>
      <c r="AF1628" s="638">
        <f t="shared" si="130"/>
        <v>983</v>
      </c>
    </row>
    <row r="1629" spans="1:32" x14ac:dyDescent="0.3">
      <c r="A1629" s="381" t="s">
        <v>759</v>
      </c>
      <c r="B1629" s="1021" t="s">
        <v>776</v>
      </c>
      <c r="C1629" s="835"/>
      <c r="D1629" s="836" t="s">
        <v>251</v>
      </c>
      <c r="E1629" s="836"/>
      <c r="F1629" s="836" t="s">
        <v>251</v>
      </c>
      <c r="G1629" s="836" t="s">
        <v>251</v>
      </c>
      <c r="H1629" s="836" t="s">
        <v>251</v>
      </c>
      <c r="I1629" s="836" t="s">
        <v>251</v>
      </c>
      <c r="J1629" s="836" t="s">
        <v>251</v>
      </c>
      <c r="K1629" s="836"/>
      <c r="L1629" s="836" t="s">
        <v>251</v>
      </c>
      <c r="M1629" s="836" t="s">
        <v>251</v>
      </c>
      <c r="N1629" s="836" t="s">
        <v>251</v>
      </c>
      <c r="O1629" s="836" t="s">
        <v>251</v>
      </c>
      <c r="P1629" s="1497">
        <f t="shared" si="133"/>
        <v>0</v>
      </c>
      <c r="Q1629" s="1186">
        <f t="shared" si="134"/>
        <v>0</v>
      </c>
      <c r="R1629" s="835"/>
      <c r="S1629" s="836"/>
      <c r="T1629" s="836"/>
      <c r="U1629" s="836"/>
      <c r="V1629" s="836"/>
      <c r="W1629" s="836"/>
      <c r="X1629" s="836"/>
      <c r="Y1629" s="836"/>
      <c r="Z1629" s="836"/>
      <c r="AA1629" s="836"/>
      <c r="AB1629" s="836"/>
      <c r="AC1629" s="836"/>
      <c r="AD1629" s="1186">
        <f t="shared" si="131"/>
        <v>0</v>
      </c>
      <c r="AE1629" s="637">
        <f t="shared" si="132"/>
        <v>0</v>
      </c>
      <c r="AF1629" s="638">
        <f t="shared" si="130"/>
        <v>983</v>
      </c>
    </row>
    <row r="1630" spans="1:32" x14ac:dyDescent="0.3">
      <c r="A1630" s="381" t="s">
        <v>759</v>
      </c>
      <c r="B1630" s="1021" t="s">
        <v>1674</v>
      </c>
      <c r="C1630" s="835"/>
      <c r="D1630" s="836" t="s">
        <v>251</v>
      </c>
      <c r="E1630" s="836"/>
      <c r="F1630" s="836" t="s">
        <v>251</v>
      </c>
      <c r="G1630" s="836" t="s">
        <v>251</v>
      </c>
      <c r="H1630" s="836" t="s">
        <v>251</v>
      </c>
      <c r="I1630" s="836" t="s">
        <v>251</v>
      </c>
      <c r="J1630" s="836" t="s">
        <v>251</v>
      </c>
      <c r="K1630" s="836"/>
      <c r="L1630" s="836" t="s">
        <v>251</v>
      </c>
      <c r="M1630" s="836" t="s">
        <v>251</v>
      </c>
      <c r="N1630" s="836" t="s">
        <v>251</v>
      </c>
      <c r="O1630" s="836" t="s">
        <v>251</v>
      </c>
      <c r="P1630" s="1497">
        <f t="shared" si="133"/>
        <v>0</v>
      </c>
      <c r="Q1630" s="1186">
        <f t="shared" si="134"/>
        <v>0</v>
      </c>
      <c r="R1630" s="835"/>
      <c r="S1630" s="836"/>
      <c r="T1630" s="836"/>
      <c r="U1630" s="836"/>
      <c r="V1630" s="836"/>
      <c r="W1630" s="836"/>
      <c r="X1630" s="836"/>
      <c r="Y1630" s="836"/>
      <c r="Z1630" s="836"/>
      <c r="AA1630" s="836"/>
      <c r="AB1630" s="836"/>
      <c r="AC1630" s="836"/>
      <c r="AD1630" s="1186">
        <f t="shared" si="131"/>
        <v>0</v>
      </c>
      <c r="AE1630" s="637">
        <f t="shared" si="132"/>
        <v>0</v>
      </c>
      <c r="AF1630" s="638">
        <f t="shared" si="130"/>
        <v>983</v>
      </c>
    </row>
    <row r="1631" spans="1:32" x14ac:dyDescent="0.3">
      <c r="A1631" s="381" t="s">
        <v>759</v>
      </c>
      <c r="B1631" s="1021" t="s">
        <v>1675</v>
      </c>
      <c r="C1631" s="835"/>
      <c r="D1631" s="836" t="s">
        <v>251</v>
      </c>
      <c r="E1631" s="836"/>
      <c r="F1631" s="836" t="s">
        <v>251</v>
      </c>
      <c r="G1631" s="836" t="s">
        <v>251</v>
      </c>
      <c r="H1631" s="836" t="s">
        <v>251</v>
      </c>
      <c r="I1631" s="836" t="s">
        <v>251</v>
      </c>
      <c r="J1631" s="836" t="s">
        <v>251</v>
      </c>
      <c r="K1631" s="836"/>
      <c r="L1631" s="836" t="s">
        <v>251</v>
      </c>
      <c r="M1631" s="836" t="s">
        <v>251</v>
      </c>
      <c r="N1631" s="836" t="s">
        <v>251</v>
      </c>
      <c r="O1631" s="836" t="s">
        <v>251</v>
      </c>
      <c r="P1631" s="1497">
        <f t="shared" si="133"/>
        <v>0</v>
      </c>
      <c r="Q1631" s="1186">
        <f t="shared" si="134"/>
        <v>0</v>
      </c>
      <c r="R1631" s="835"/>
      <c r="S1631" s="836"/>
      <c r="T1631" s="836"/>
      <c r="U1631" s="836"/>
      <c r="V1631" s="836"/>
      <c r="W1631" s="836"/>
      <c r="X1631" s="836"/>
      <c r="Y1631" s="836"/>
      <c r="Z1631" s="836"/>
      <c r="AA1631" s="836"/>
      <c r="AB1631" s="836"/>
      <c r="AC1631" s="836"/>
      <c r="AD1631" s="1186">
        <f t="shared" si="131"/>
        <v>0</v>
      </c>
      <c r="AE1631" s="637">
        <f t="shared" si="132"/>
        <v>0</v>
      </c>
      <c r="AF1631" s="638">
        <f t="shared" si="130"/>
        <v>983</v>
      </c>
    </row>
    <row r="1632" spans="1:32" x14ac:dyDescent="0.3">
      <c r="A1632" s="381" t="s">
        <v>759</v>
      </c>
      <c r="B1632" s="1021" t="s">
        <v>1676</v>
      </c>
      <c r="C1632" s="835"/>
      <c r="D1632" s="836">
        <v>0</v>
      </c>
      <c r="E1632" s="836"/>
      <c r="F1632" s="836">
        <v>0</v>
      </c>
      <c r="G1632" s="836">
        <v>0</v>
      </c>
      <c r="H1632" s="836">
        <v>0</v>
      </c>
      <c r="I1632" s="836">
        <v>0</v>
      </c>
      <c r="J1632" s="836">
        <v>120000</v>
      </c>
      <c r="K1632" s="836">
        <v>120000</v>
      </c>
      <c r="L1632" s="836">
        <v>0</v>
      </c>
      <c r="M1632" s="836">
        <v>0</v>
      </c>
      <c r="N1632" s="836">
        <v>0</v>
      </c>
      <c r="O1632" s="836" t="s">
        <v>251</v>
      </c>
      <c r="P1632" s="1497">
        <f t="shared" si="133"/>
        <v>120000</v>
      </c>
      <c r="Q1632" s="1186">
        <f t="shared" si="134"/>
        <v>120000</v>
      </c>
      <c r="R1632" s="835"/>
      <c r="S1632" s="836"/>
      <c r="T1632" s="836"/>
      <c r="U1632" s="836"/>
      <c r="V1632" s="836"/>
      <c r="W1632" s="836"/>
      <c r="X1632" s="836"/>
      <c r="Y1632" s="836"/>
      <c r="Z1632" s="836"/>
      <c r="AA1632" s="836"/>
      <c r="AB1632" s="836"/>
      <c r="AC1632" s="836"/>
      <c r="AD1632" s="1186">
        <f t="shared" si="131"/>
        <v>0</v>
      </c>
      <c r="AE1632" s="637">
        <f t="shared" si="132"/>
        <v>-1</v>
      </c>
      <c r="AF1632" s="638">
        <f t="shared" si="130"/>
        <v>983</v>
      </c>
    </row>
    <row r="1633" spans="1:32" x14ac:dyDescent="0.3">
      <c r="A1633" s="381" t="s">
        <v>759</v>
      </c>
      <c r="B1633" s="1021" t="s">
        <v>1677</v>
      </c>
      <c r="C1633" s="835"/>
      <c r="D1633" s="836" t="s">
        <v>251</v>
      </c>
      <c r="E1633" s="836"/>
      <c r="F1633" s="836" t="s">
        <v>251</v>
      </c>
      <c r="G1633" s="836" t="s">
        <v>251</v>
      </c>
      <c r="H1633" s="836" t="s">
        <v>251</v>
      </c>
      <c r="I1633" s="836" t="s">
        <v>251</v>
      </c>
      <c r="J1633" s="836" t="s">
        <v>251</v>
      </c>
      <c r="K1633" s="836"/>
      <c r="L1633" s="836" t="s">
        <v>251</v>
      </c>
      <c r="M1633" s="836" t="s">
        <v>251</v>
      </c>
      <c r="N1633" s="836" t="s">
        <v>251</v>
      </c>
      <c r="O1633" s="836" t="s">
        <v>251</v>
      </c>
      <c r="P1633" s="1497">
        <f t="shared" si="133"/>
        <v>0</v>
      </c>
      <c r="Q1633" s="1186">
        <f t="shared" si="134"/>
        <v>0</v>
      </c>
      <c r="R1633" s="835"/>
      <c r="S1633" s="836"/>
      <c r="T1633" s="836"/>
      <c r="U1633" s="836"/>
      <c r="V1633" s="836"/>
      <c r="W1633" s="836"/>
      <c r="X1633" s="836"/>
      <c r="Y1633" s="836"/>
      <c r="Z1633" s="836"/>
      <c r="AA1633" s="836"/>
      <c r="AB1633" s="836"/>
      <c r="AC1633" s="836"/>
      <c r="AD1633" s="1186">
        <f t="shared" si="131"/>
        <v>0</v>
      </c>
      <c r="AE1633" s="637">
        <f t="shared" si="132"/>
        <v>0</v>
      </c>
      <c r="AF1633" s="638">
        <f t="shared" si="130"/>
        <v>983</v>
      </c>
    </row>
    <row r="1634" spans="1:32" x14ac:dyDescent="0.3">
      <c r="A1634" s="381" t="s">
        <v>759</v>
      </c>
      <c r="B1634" s="1021" t="s">
        <v>1678</v>
      </c>
      <c r="C1634" s="835"/>
      <c r="D1634" s="836" t="s">
        <v>251</v>
      </c>
      <c r="E1634" s="836"/>
      <c r="F1634" s="836" t="s">
        <v>251</v>
      </c>
      <c r="G1634" s="836" t="s">
        <v>251</v>
      </c>
      <c r="H1634" s="836" t="s">
        <v>251</v>
      </c>
      <c r="I1634" s="836" t="s">
        <v>251</v>
      </c>
      <c r="J1634" s="836" t="s">
        <v>251</v>
      </c>
      <c r="K1634" s="836"/>
      <c r="L1634" s="836" t="s">
        <v>251</v>
      </c>
      <c r="M1634" s="836" t="s">
        <v>251</v>
      </c>
      <c r="N1634" s="836" t="s">
        <v>251</v>
      </c>
      <c r="O1634" s="836" t="s">
        <v>251</v>
      </c>
      <c r="P1634" s="1497">
        <f t="shared" si="133"/>
        <v>0</v>
      </c>
      <c r="Q1634" s="1186">
        <f t="shared" si="134"/>
        <v>0</v>
      </c>
      <c r="R1634" s="835"/>
      <c r="S1634" s="836"/>
      <c r="T1634" s="836"/>
      <c r="U1634" s="836"/>
      <c r="V1634" s="836"/>
      <c r="W1634" s="836"/>
      <c r="X1634" s="836"/>
      <c r="Y1634" s="836"/>
      <c r="Z1634" s="836"/>
      <c r="AA1634" s="836"/>
      <c r="AB1634" s="836"/>
      <c r="AC1634" s="836"/>
      <c r="AD1634" s="1186">
        <f t="shared" si="131"/>
        <v>0</v>
      </c>
      <c r="AE1634" s="637">
        <f t="shared" si="132"/>
        <v>0</v>
      </c>
      <c r="AF1634" s="638">
        <f t="shared" si="130"/>
        <v>983</v>
      </c>
    </row>
    <row r="1635" spans="1:32" x14ac:dyDescent="0.3">
      <c r="A1635" s="381" t="s">
        <v>759</v>
      </c>
      <c r="B1635" s="1021" t="s">
        <v>778</v>
      </c>
      <c r="C1635" s="835"/>
      <c r="D1635" s="836" t="s">
        <v>251</v>
      </c>
      <c r="E1635" s="836"/>
      <c r="F1635" s="836" t="s">
        <v>251</v>
      </c>
      <c r="G1635" s="836" t="s">
        <v>251</v>
      </c>
      <c r="H1635" s="836" t="s">
        <v>251</v>
      </c>
      <c r="I1635" s="836" t="s">
        <v>251</v>
      </c>
      <c r="J1635" s="836" t="s">
        <v>251</v>
      </c>
      <c r="K1635" s="836"/>
      <c r="L1635" s="836" t="s">
        <v>251</v>
      </c>
      <c r="M1635" s="836" t="s">
        <v>251</v>
      </c>
      <c r="N1635" s="836" t="s">
        <v>251</v>
      </c>
      <c r="O1635" s="836" t="s">
        <v>251</v>
      </c>
      <c r="P1635" s="1497">
        <f t="shared" si="133"/>
        <v>0</v>
      </c>
      <c r="Q1635" s="1186">
        <f t="shared" si="134"/>
        <v>0</v>
      </c>
      <c r="R1635" s="835"/>
      <c r="S1635" s="836"/>
      <c r="T1635" s="836"/>
      <c r="U1635" s="836"/>
      <c r="V1635" s="836"/>
      <c r="W1635" s="836"/>
      <c r="X1635" s="836"/>
      <c r="Y1635" s="836"/>
      <c r="Z1635" s="836"/>
      <c r="AA1635" s="836"/>
      <c r="AB1635" s="836"/>
      <c r="AC1635" s="836"/>
      <c r="AD1635" s="1186">
        <f t="shared" si="131"/>
        <v>0</v>
      </c>
      <c r="AE1635" s="637">
        <f t="shared" si="132"/>
        <v>0</v>
      </c>
      <c r="AF1635" s="638">
        <f t="shared" si="130"/>
        <v>983</v>
      </c>
    </row>
    <row r="1636" spans="1:32" x14ac:dyDescent="0.3">
      <c r="A1636" s="381" t="s">
        <v>759</v>
      </c>
      <c r="B1636" s="1021" t="s">
        <v>1679</v>
      </c>
      <c r="C1636" s="835"/>
      <c r="D1636" s="836" t="s">
        <v>251</v>
      </c>
      <c r="E1636" s="836"/>
      <c r="F1636" s="836" t="s">
        <v>251</v>
      </c>
      <c r="G1636" s="836" t="s">
        <v>251</v>
      </c>
      <c r="H1636" s="836" t="s">
        <v>251</v>
      </c>
      <c r="I1636" s="836" t="s">
        <v>251</v>
      </c>
      <c r="J1636" s="836" t="s">
        <v>251</v>
      </c>
      <c r="K1636" s="836"/>
      <c r="L1636" s="836" t="s">
        <v>251</v>
      </c>
      <c r="M1636" s="836" t="s">
        <v>251</v>
      </c>
      <c r="N1636" s="836" t="s">
        <v>251</v>
      </c>
      <c r="O1636" s="836" t="s">
        <v>251</v>
      </c>
      <c r="P1636" s="1497">
        <f t="shared" si="133"/>
        <v>0</v>
      </c>
      <c r="Q1636" s="1186">
        <f t="shared" si="134"/>
        <v>0</v>
      </c>
      <c r="R1636" s="835"/>
      <c r="S1636" s="836"/>
      <c r="T1636" s="836"/>
      <c r="U1636" s="836"/>
      <c r="V1636" s="836"/>
      <c r="W1636" s="836"/>
      <c r="X1636" s="836"/>
      <c r="Y1636" s="836"/>
      <c r="Z1636" s="836"/>
      <c r="AA1636" s="836"/>
      <c r="AB1636" s="836"/>
      <c r="AC1636" s="836"/>
      <c r="AD1636" s="1186">
        <f t="shared" si="131"/>
        <v>0</v>
      </c>
      <c r="AE1636" s="637">
        <f t="shared" si="132"/>
        <v>0</v>
      </c>
      <c r="AF1636" s="638">
        <f t="shared" si="130"/>
        <v>983</v>
      </c>
    </row>
    <row r="1637" spans="1:32" x14ac:dyDescent="0.3">
      <c r="A1637" s="381" t="s">
        <v>759</v>
      </c>
      <c r="B1637" s="1021" t="s">
        <v>1680</v>
      </c>
      <c r="C1637" s="835"/>
      <c r="D1637" s="836" t="s">
        <v>251</v>
      </c>
      <c r="E1637" s="836"/>
      <c r="F1637" s="836" t="s">
        <v>251</v>
      </c>
      <c r="G1637" s="836" t="s">
        <v>251</v>
      </c>
      <c r="H1637" s="836" t="s">
        <v>251</v>
      </c>
      <c r="I1637" s="836" t="s">
        <v>251</v>
      </c>
      <c r="J1637" s="836" t="s">
        <v>251</v>
      </c>
      <c r="K1637" s="836"/>
      <c r="L1637" s="836" t="s">
        <v>251</v>
      </c>
      <c r="M1637" s="836" t="s">
        <v>251</v>
      </c>
      <c r="N1637" s="836" t="s">
        <v>251</v>
      </c>
      <c r="O1637" s="836" t="s">
        <v>251</v>
      </c>
      <c r="P1637" s="1497">
        <f t="shared" si="133"/>
        <v>0</v>
      </c>
      <c r="Q1637" s="1186">
        <f t="shared" si="134"/>
        <v>0</v>
      </c>
      <c r="R1637" s="835"/>
      <c r="S1637" s="836"/>
      <c r="T1637" s="836"/>
      <c r="U1637" s="836"/>
      <c r="V1637" s="836"/>
      <c r="W1637" s="836"/>
      <c r="X1637" s="836"/>
      <c r="Y1637" s="836"/>
      <c r="Z1637" s="836"/>
      <c r="AA1637" s="836"/>
      <c r="AB1637" s="836"/>
      <c r="AC1637" s="836"/>
      <c r="AD1637" s="1186">
        <f t="shared" si="131"/>
        <v>0</v>
      </c>
      <c r="AE1637" s="637">
        <f t="shared" si="132"/>
        <v>0</v>
      </c>
      <c r="AF1637" s="638">
        <f t="shared" si="130"/>
        <v>983</v>
      </c>
    </row>
    <row r="1638" spans="1:32" x14ac:dyDescent="0.3">
      <c r="A1638" s="381" t="s">
        <v>759</v>
      </c>
      <c r="B1638" s="1021" t="s">
        <v>1682</v>
      </c>
      <c r="C1638" s="530">
        <v>58920</v>
      </c>
      <c r="D1638" s="836">
        <v>0</v>
      </c>
      <c r="E1638" s="836"/>
      <c r="F1638" s="836">
        <v>0</v>
      </c>
      <c r="G1638" s="836">
        <v>0</v>
      </c>
      <c r="H1638" s="836">
        <v>0</v>
      </c>
      <c r="I1638" s="836">
        <v>0</v>
      </c>
      <c r="J1638" s="836">
        <v>460000</v>
      </c>
      <c r="K1638" s="836">
        <v>460000</v>
      </c>
      <c r="L1638" s="836">
        <v>0</v>
      </c>
      <c r="M1638" s="836">
        <v>0</v>
      </c>
      <c r="N1638" s="836">
        <v>0</v>
      </c>
      <c r="O1638" s="836" t="s">
        <v>251</v>
      </c>
      <c r="P1638" s="1497">
        <f t="shared" si="133"/>
        <v>518920</v>
      </c>
      <c r="Q1638" s="1186">
        <f t="shared" si="134"/>
        <v>518920</v>
      </c>
      <c r="R1638" s="835"/>
      <c r="S1638" s="836"/>
      <c r="T1638" s="836"/>
      <c r="U1638" s="836"/>
      <c r="V1638" s="836"/>
      <c r="W1638" s="836"/>
      <c r="X1638" s="836"/>
      <c r="Y1638" s="836"/>
      <c r="Z1638" s="836"/>
      <c r="AA1638" s="836"/>
      <c r="AB1638" s="836"/>
      <c r="AC1638" s="836"/>
      <c r="AD1638" s="1186">
        <f t="shared" si="131"/>
        <v>0</v>
      </c>
      <c r="AE1638" s="637">
        <f t="shared" si="132"/>
        <v>-1</v>
      </c>
      <c r="AF1638" s="638">
        <f t="shared" si="130"/>
        <v>983</v>
      </c>
    </row>
    <row r="1639" spans="1:32" x14ac:dyDescent="0.3">
      <c r="A1639" s="381" t="s">
        <v>759</v>
      </c>
      <c r="B1639" s="1021" t="s">
        <v>715</v>
      </c>
      <c r="C1639" s="530"/>
      <c r="D1639" s="836" t="s">
        <v>251</v>
      </c>
      <c r="E1639" s="836"/>
      <c r="F1639" s="836" t="s">
        <v>251</v>
      </c>
      <c r="G1639" s="836" t="s">
        <v>251</v>
      </c>
      <c r="H1639" s="836" t="s">
        <v>251</v>
      </c>
      <c r="I1639" s="836" t="s">
        <v>251</v>
      </c>
      <c r="J1639" s="836" t="s">
        <v>251</v>
      </c>
      <c r="K1639" s="836"/>
      <c r="L1639" s="836" t="s">
        <v>251</v>
      </c>
      <c r="M1639" s="836" t="s">
        <v>251</v>
      </c>
      <c r="N1639" s="836" t="s">
        <v>251</v>
      </c>
      <c r="O1639" s="836" t="s">
        <v>251</v>
      </c>
      <c r="P1639" s="1497">
        <f t="shared" si="133"/>
        <v>0</v>
      </c>
      <c r="Q1639" s="1186">
        <f t="shared" si="134"/>
        <v>0</v>
      </c>
      <c r="R1639" s="835"/>
      <c r="S1639" s="836"/>
      <c r="T1639" s="836"/>
      <c r="U1639" s="836"/>
      <c r="V1639" s="836"/>
      <c r="W1639" s="836"/>
      <c r="X1639" s="836"/>
      <c r="Y1639" s="836"/>
      <c r="Z1639" s="836"/>
      <c r="AA1639" s="836"/>
      <c r="AB1639" s="836"/>
      <c r="AC1639" s="836"/>
      <c r="AD1639" s="1186">
        <f t="shared" si="131"/>
        <v>0</v>
      </c>
      <c r="AE1639" s="637">
        <f t="shared" si="132"/>
        <v>0</v>
      </c>
      <c r="AF1639" s="638">
        <f t="shared" si="130"/>
        <v>983</v>
      </c>
    </row>
    <row r="1640" spans="1:32" x14ac:dyDescent="0.3">
      <c r="A1640" s="381" t="s">
        <v>759</v>
      </c>
      <c r="B1640" s="1021" t="s">
        <v>690</v>
      </c>
      <c r="C1640" s="530"/>
      <c r="D1640" s="836">
        <v>0</v>
      </c>
      <c r="E1640" s="836"/>
      <c r="F1640" s="836">
        <v>0</v>
      </c>
      <c r="G1640" s="836">
        <v>0</v>
      </c>
      <c r="H1640" s="836">
        <v>1457000</v>
      </c>
      <c r="I1640" s="836">
        <v>513000</v>
      </c>
      <c r="J1640" s="836">
        <v>391000</v>
      </c>
      <c r="K1640" s="836">
        <v>391000</v>
      </c>
      <c r="L1640" s="836">
        <v>1026000</v>
      </c>
      <c r="M1640" s="836">
        <v>0</v>
      </c>
      <c r="N1640" s="836">
        <v>0</v>
      </c>
      <c r="O1640" s="836" t="s">
        <v>251</v>
      </c>
      <c r="P1640" s="1497">
        <f t="shared" si="133"/>
        <v>2361000</v>
      </c>
      <c r="Q1640" s="1186">
        <f t="shared" si="134"/>
        <v>3387000</v>
      </c>
      <c r="R1640" s="835">
        <v>5000</v>
      </c>
      <c r="S1640" s="836"/>
      <c r="T1640" s="836">
        <v>0</v>
      </c>
      <c r="U1640" s="836">
        <v>0</v>
      </c>
      <c r="V1640" s="836">
        <v>0</v>
      </c>
      <c r="W1640" s="836">
        <v>2225000</v>
      </c>
      <c r="X1640" s="836">
        <v>1144650</v>
      </c>
      <c r="Y1640" s="836">
        <v>321500</v>
      </c>
      <c r="Z1640" s="836"/>
      <c r="AA1640" s="836"/>
      <c r="AB1640" s="836"/>
      <c r="AC1640" s="836"/>
      <c r="AD1640" s="1186">
        <f t="shared" si="131"/>
        <v>3696150</v>
      </c>
      <c r="AE1640" s="637">
        <f t="shared" si="132"/>
        <v>0.56550190597204575</v>
      </c>
      <c r="AF1640" s="638">
        <f t="shared" si="130"/>
        <v>123</v>
      </c>
    </row>
    <row r="1641" spans="1:32" x14ac:dyDescent="0.3">
      <c r="A1641" s="381" t="s">
        <v>759</v>
      </c>
      <c r="B1641" s="1021" t="s">
        <v>1316</v>
      </c>
      <c r="C1641" s="530"/>
      <c r="D1641" s="836" t="s">
        <v>251</v>
      </c>
      <c r="E1641" s="836"/>
      <c r="F1641" s="836" t="s">
        <v>251</v>
      </c>
      <c r="G1641" s="836" t="s">
        <v>251</v>
      </c>
      <c r="H1641" s="836" t="s">
        <v>251</v>
      </c>
      <c r="I1641" s="836" t="s">
        <v>251</v>
      </c>
      <c r="J1641" s="836" t="s">
        <v>251</v>
      </c>
      <c r="K1641" s="836"/>
      <c r="L1641" s="836" t="s">
        <v>251</v>
      </c>
      <c r="M1641" s="836" t="s">
        <v>251</v>
      </c>
      <c r="N1641" s="836" t="s">
        <v>251</v>
      </c>
      <c r="O1641" s="836" t="s">
        <v>251</v>
      </c>
      <c r="P1641" s="1497">
        <f t="shared" si="133"/>
        <v>0</v>
      </c>
      <c r="Q1641" s="1186">
        <f t="shared" si="134"/>
        <v>0</v>
      </c>
      <c r="R1641" s="835"/>
      <c r="S1641" s="836"/>
      <c r="T1641" s="836"/>
      <c r="U1641" s="836"/>
      <c r="V1641" s="836"/>
      <c r="W1641" s="836"/>
      <c r="X1641" s="836"/>
      <c r="Y1641" s="836"/>
      <c r="Z1641" s="836"/>
      <c r="AA1641" s="836"/>
      <c r="AB1641" s="836"/>
      <c r="AC1641" s="836"/>
      <c r="AD1641" s="1186">
        <f t="shared" si="131"/>
        <v>0</v>
      </c>
      <c r="AE1641" s="637">
        <f t="shared" si="132"/>
        <v>0</v>
      </c>
      <c r="AF1641" s="638">
        <f t="shared" si="130"/>
        <v>983</v>
      </c>
    </row>
    <row r="1642" spans="1:32" x14ac:dyDescent="0.3">
      <c r="A1642" s="381" t="s">
        <v>759</v>
      </c>
      <c r="B1642" s="1021" t="s">
        <v>1359</v>
      </c>
      <c r="C1642" s="530"/>
      <c r="D1642" s="836" t="s">
        <v>251</v>
      </c>
      <c r="E1642" s="836"/>
      <c r="F1642" s="836" t="s">
        <v>251</v>
      </c>
      <c r="G1642" s="836" t="s">
        <v>251</v>
      </c>
      <c r="H1642" s="836" t="s">
        <v>251</v>
      </c>
      <c r="I1642" s="836" t="s">
        <v>251</v>
      </c>
      <c r="J1642" s="836" t="s">
        <v>251</v>
      </c>
      <c r="K1642" s="836"/>
      <c r="L1642" s="836" t="s">
        <v>251</v>
      </c>
      <c r="M1642" s="836" t="s">
        <v>251</v>
      </c>
      <c r="N1642" s="836" t="s">
        <v>251</v>
      </c>
      <c r="O1642" s="836" t="s">
        <v>251</v>
      </c>
      <c r="P1642" s="1497">
        <f t="shared" si="133"/>
        <v>0</v>
      </c>
      <c r="Q1642" s="1186">
        <f t="shared" si="134"/>
        <v>0</v>
      </c>
      <c r="R1642" s="835"/>
      <c r="S1642" s="836"/>
      <c r="T1642" s="836"/>
      <c r="U1642" s="836"/>
      <c r="V1642" s="836"/>
      <c r="W1642" s="836"/>
      <c r="X1642" s="836"/>
      <c r="Y1642" s="836"/>
      <c r="Z1642" s="836"/>
      <c r="AA1642" s="836"/>
      <c r="AB1642" s="836"/>
      <c r="AC1642" s="836"/>
      <c r="AD1642" s="1186">
        <f t="shared" si="131"/>
        <v>0</v>
      </c>
      <c r="AE1642" s="637">
        <f t="shared" si="132"/>
        <v>0</v>
      </c>
      <c r="AF1642" s="638">
        <f t="shared" si="130"/>
        <v>983</v>
      </c>
    </row>
    <row r="1643" spans="1:32" x14ac:dyDescent="0.3">
      <c r="A1643" s="381" t="s">
        <v>759</v>
      </c>
      <c r="B1643" s="1021" t="s">
        <v>1357</v>
      </c>
      <c r="C1643" s="530"/>
      <c r="D1643" s="836" t="s">
        <v>251</v>
      </c>
      <c r="E1643" s="836"/>
      <c r="F1643" s="836" t="s">
        <v>251</v>
      </c>
      <c r="G1643" s="836" t="s">
        <v>251</v>
      </c>
      <c r="H1643" s="836" t="s">
        <v>251</v>
      </c>
      <c r="I1643" s="836" t="s">
        <v>251</v>
      </c>
      <c r="J1643" s="836" t="s">
        <v>251</v>
      </c>
      <c r="K1643" s="836"/>
      <c r="L1643" s="836" t="s">
        <v>251</v>
      </c>
      <c r="M1643" s="836" t="s">
        <v>251</v>
      </c>
      <c r="N1643" s="836" t="s">
        <v>251</v>
      </c>
      <c r="O1643" s="836" t="s">
        <v>251</v>
      </c>
      <c r="P1643" s="1497">
        <f t="shared" si="133"/>
        <v>0</v>
      </c>
      <c r="Q1643" s="1186">
        <f t="shared" si="134"/>
        <v>0</v>
      </c>
      <c r="R1643" s="835"/>
      <c r="S1643" s="836"/>
      <c r="T1643" s="836"/>
      <c r="U1643" s="836"/>
      <c r="V1643" s="836"/>
      <c r="W1643" s="836"/>
      <c r="X1643" s="836"/>
      <c r="Y1643" s="836"/>
      <c r="Z1643" s="836"/>
      <c r="AA1643" s="836"/>
      <c r="AB1643" s="836"/>
      <c r="AC1643" s="836"/>
      <c r="AD1643" s="1186">
        <f t="shared" si="131"/>
        <v>0</v>
      </c>
      <c r="AE1643" s="637">
        <f t="shared" si="132"/>
        <v>0</v>
      </c>
      <c r="AF1643" s="638">
        <f t="shared" si="130"/>
        <v>983</v>
      </c>
    </row>
    <row r="1644" spans="1:32" x14ac:dyDescent="0.3">
      <c r="A1644" s="381" t="s">
        <v>759</v>
      </c>
      <c r="B1644" s="1021" t="s">
        <v>2184</v>
      </c>
      <c r="C1644" s="530"/>
      <c r="D1644" s="836">
        <v>0</v>
      </c>
      <c r="E1644" s="836"/>
      <c r="F1644" s="836">
        <v>0</v>
      </c>
      <c r="G1644" s="836">
        <v>0</v>
      </c>
      <c r="H1644" s="836">
        <v>0</v>
      </c>
      <c r="I1644" s="836">
        <v>173400</v>
      </c>
      <c r="J1644" s="836">
        <v>74400</v>
      </c>
      <c r="K1644" s="836">
        <v>74400</v>
      </c>
      <c r="L1644" s="836">
        <v>0</v>
      </c>
      <c r="M1644" s="836">
        <v>0</v>
      </c>
      <c r="N1644" s="836">
        <v>0</v>
      </c>
      <c r="O1644" s="836" t="s">
        <v>251</v>
      </c>
      <c r="P1644" s="1497">
        <f t="shared" si="133"/>
        <v>247800</v>
      </c>
      <c r="Q1644" s="1186">
        <f t="shared" si="134"/>
        <v>247800</v>
      </c>
      <c r="R1644" s="835"/>
      <c r="S1644" s="836"/>
      <c r="T1644" s="836"/>
      <c r="U1644" s="836"/>
      <c r="V1644" s="836"/>
      <c r="W1644" s="836"/>
      <c r="X1644" s="836"/>
      <c r="Y1644" s="836">
        <v>190200</v>
      </c>
      <c r="Z1644" s="836"/>
      <c r="AA1644" s="836"/>
      <c r="AB1644" s="836"/>
      <c r="AC1644" s="836"/>
      <c r="AD1644" s="1186">
        <f t="shared" si="131"/>
        <v>190200</v>
      </c>
      <c r="AE1644" s="637">
        <f t="shared" si="132"/>
        <v>-0.23244552058111381</v>
      </c>
      <c r="AF1644" s="638">
        <f t="shared" si="130"/>
        <v>620</v>
      </c>
    </row>
    <row r="1645" spans="1:32" x14ac:dyDescent="0.3">
      <c r="A1645" s="381" t="s">
        <v>759</v>
      </c>
      <c r="B1645" s="1021" t="s">
        <v>2185</v>
      </c>
      <c r="C1645" s="530"/>
      <c r="D1645" s="836" t="s">
        <v>251</v>
      </c>
      <c r="E1645" s="836"/>
      <c r="F1645" s="836" t="s">
        <v>251</v>
      </c>
      <c r="G1645" s="836" t="s">
        <v>251</v>
      </c>
      <c r="H1645" s="836" t="s">
        <v>251</v>
      </c>
      <c r="I1645" s="836" t="s">
        <v>251</v>
      </c>
      <c r="J1645" s="836" t="s">
        <v>251</v>
      </c>
      <c r="K1645" s="836"/>
      <c r="L1645" s="836" t="s">
        <v>251</v>
      </c>
      <c r="M1645" s="836" t="s">
        <v>251</v>
      </c>
      <c r="N1645" s="836" t="s">
        <v>251</v>
      </c>
      <c r="O1645" s="836" t="s">
        <v>251</v>
      </c>
      <c r="P1645" s="1497">
        <f t="shared" si="133"/>
        <v>0</v>
      </c>
      <c r="Q1645" s="1186">
        <f t="shared" si="134"/>
        <v>0</v>
      </c>
      <c r="R1645" s="835"/>
      <c r="S1645" s="836"/>
      <c r="T1645" s="836"/>
      <c r="U1645" s="836"/>
      <c r="V1645" s="836"/>
      <c r="W1645" s="836"/>
      <c r="X1645" s="836"/>
      <c r="Y1645" s="836"/>
      <c r="Z1645" s="836"/>
      <c r="AA1645" s="836"/>
      <c r="AB1645" s="836"/>
      <c r="AC1645" s="836"/>
      <c r="AD1645" s="1186">
        <f t="shared" si="131"/>
        <v>0</v>
      </c>
      <c r="AE1645" s="637">
        <f t="shared" si="132"/>
        <v>0</v>
      </c>
      <c r="AF1645" s="638">
        <f t="shared" si="130"/>
        <v>983</v>
      </c>
    </row>
    <row r="1646" spans="1:32" x14ac:dyDescent="0.3">
      <c r="A1646" s="381" t="s">
        <v>759</v>
      </c>
      <c r="B1646" s="1021" t="s">
        <v>2186</v>
      </c>
      <c r="C1646" s="530"/>
      <c r="D1646" s="836">
        <v>0</v>
      </c>
      <c r="E1646" s="836"/>
      <c r="F1646" s="836">
        <v>0</v>
      </c>
      <c r="G1646" s="836">
        <v>0</v>
      </c>
      <c r="H1646" s="836">
        <v>0</v>
      </c>
      <c r="I1646" s="836">
        <v>0</v>
      </c>
      <c r="J1646" s="836">
        <v>0</v>
      </c>
      <c r="K1646" s="836"/>
      <c r="L1646" s="836">
        <v>169600</v>
      </c>
      <c r="M1646" s="836">
        <v>0</v>
      </c>
      <c r="N1646" s="836">
        <v>0</v>
      </c>
      <c r="O1646" s="836" t="s">
        <v>251</v>
      </c>
      <c r="P1646" s="1497">
        <f t="shared" si="133"/>
        <v>0</v>
      </c>
      <c r="Q1646" s="1186">
        <f t="shared" si="134"/>
        <v>169600</v>
      </c>
      <c r="R1646" s="835"/>
      <c r="S1646" s="836"/>
      <c r="T1646" s="836"/>
      <c r="U1646" s="836"/>
      <c r="V1646" s="836"/>
      <c r="W1646" s="836"/>
      <c r="X1646" s="836">
        <v>263500</v>
      </c>
      <c r="Y1646" s="836">
        <v>0</v>
      </c>
      <c r="Z1646" s="836"/>
      <c r="AA1646" s="836"/>
      <c r="AB1646" s="836"/>
      <c r="AC1646" s="836"/>
      <c r="AD1646" s="1186">
        <f t="shared" si="131"/>
        <v>263500</v>
      </c>
      <c r="AE1646" s="637">
        <f t="shared" si="132"/>
        <v>1</v>
      </c>
      <c r="AF1646" s="638">
        <f t="shared" si="130"/>
        <v>553</v>
      </c>
    </row>
    <row r="1647" spans="1:32" x14ac:dyDescent="0.3">
      <c r="A1647" s="381" t="s">
        <v>759</v>
      </c>
      <c r="B1647" s="1021" t="s">
        <v>2187</v>
      </c>
      <c r="C1647" s="530"/>
      <c r="D1647" s="836" t="s">
        <v>251</v>
      </c>
      <c r="E1647" s="836"/>
      <c r="F1647" s="836" t="s">
        <v>251</v>
      </c>
      <c r="G1647" s="836" t="s">
        <v>251</v>
      </c>
      <c r="H1647" s="836" t="s">
        <v>251</v>
      </c>
      <c r="I1647" s="836" t="s">
        <v>251</v>
      </c>
      <c r="J1647" s="836" t="s">
        <v>251</v>
      </c>
      <c r="K1647" s="836"/>
      <c r="L1647" s="836" t="s">
        <v>251</v>
      </c>
      <c r="M1647" s="836" t="s">
        <v>251</v>
      </c>
      <c r="N1647" s="836" t="s">
        <v>251</v>
      </c>
      <c r="O1647" s="836" t="s">
        <v>251</v>
      </c>
      <c r="P1647" s="1497">
        <f t="shared" si="133"/>
        <v>0</v>
      </c>
      <c r="Q1647" s="1186">
        <f t="shared" si="134"/>
        <v>0</v>
      </c>
      <c r="R1647" s="835"/>
      <c r="S1647" s="836"/>
      <c r="T1647" s="836"/>
      <c r="U1647" s="836"/>
      <c r="V1647" s="836"/>
      <c r="W1647" s="836"/>
      <c r="X1647" s="836"/>
      <c r="Y1647" s="836"/>
      <c r="Z1647" s="836"/>
      <c r="AA1647" s="836"/>
      <c r="AB1647" s="836"/>
      <c r="AC1647" s="836"/>
      <c r="AD1647" s="1186">
        <f t="shared" si="131"/>
        <v>0</v>
      </c>
      <c r="AE1647" s="637">
        <f t="shared" si="132"/>
        <v>0</v>
      </c>
      <c r="AF1647" s="638">
        <f t="shared" si="130"/>
        <v>983</v>
      </c>
    </row>
    <row r="1648" spans="1:32" x14ac:dyDescent="0.3">
      <c r="A1648" s="381" t="s">
        <v>759</v>
      </c>
      <c r="B1648" s="1021" t="s">
        <v>2188</v>
      </c>
      <c r="C1648" s="530"/>
      <c r="D1648" s="836" t="s">
        <v>251</v>
      </c>
      <c r="E1648" s="836"/>
      <c r="F1648" s="836" t="s">
        <v>251</v>
      </c>
      <c r="G1648" s="836" t="s">
        <v>251</v>
      </c>
      <c r="H1648" s="836" t="s">
        <v>251</v>
      </c>
      <c r="I1648" s="836" t="s">
        <v>251</v>
      </c>
      <c r="J1648" s="836" t="s">
        <v>251</v>
      </c>
      <c r="K1648" s="836"/>
      <c r="L1648" s="836" t="s">
        <v>251</v>
      </c>
      <c r="M1648" s="836" t="s">
        <v>251</v>
      </c>
      <c r="N1648" s="836" t="s">
        <v>251</v>
      </c>
      <c r="O1648" s="836" t="s">
        <v>251</v>
      </c>
      <c r="P1648" s="1497">
        <f t="shared" si="133"/>
        <v>0</v>
      </c>
      <c r="Q1648" s="1186">
        <f t="shared" si="134"/>
        <v>0</v>
      </c>
      <c r="R1648" s="835"/>
      <c r="S1648" s="836"/>
      <c r="T1648" s="836"/>
      <c r="U1648" s="836"/>
      <c r="V1648" s="836"/>
      <c r="W1648" s="836"/>
      <c r="X1648" s="836"/>
      <c r="Y1648" s="836"/>
      <c r="Z1648" s="836"/>
      <c r="AA1648" s="836"/>
      <c r="AB1648" s="836"/>
      <c r="AC1648" s="836"/>
      <c r="AD1648" s="1186">
        <f t="shared" si="131"/>
        <v>0</v>
      </c>
      <c r="AE1648" s="637">
        <f t="shared" si="132"/>
        <v>0</v>
      </c>
      <c r="AF1648" s="638">
        <f t="shared" si="130"/>
        <v>983</v>
      </c>
    </row>
    <row r="1649" spans="1:32" x14ac:dyDescent="0.3">
      <c r="A1649" s="381" t="s">
        <v>759</v>
      </c>
      <c r="B1649" s="1021" t="s">
        <v>2189</v>
      </c>
      <c r="C1649" s="530"/>
      <c r="D1649" s="836" t="s">
        <v>251</v>
      </c>
      <c r="E1649" s="836"/>
      <c r="F1649" s="836" t="s">
        <v>251</v>
      </c>
      <c r="G1649" s="836" t="s">
        <v>251</v>
      </c>
      <c r="H1649" s="836" t="s">
        <v>251</v>
      </c>
      <c r="I1649" s="836" t="s">
        <v>251</v>
      </c>
      <c r="J1649" s="836" t="s">
        <v>251</v>
      </c>
      <c r="K1649" s="836"/>
      <c r="L1649" s="836" t="s">
        <v>251</v>
      </c>
      <c r="M1649" s="836" t="s">
        <v>251</v>
      </c>
      <c r="N1649" s="836" t="s">
        <v>251</v>
      </c>
      <c r="O1649" s="836" t="s">
        <v>251</v>
      </c>
      <c r="P1649" s="1497">
        <f t="shared" si="133"/>
        <v>0</v>
      </c>
      <c r="Q1649" s="1186">
        <f t="shared" si="134"/>
        <v>0</v>
      </c>
      <c r="R1649" s="835"/>
      <c r="S1649" s="836"/>
      <c r="T1649" s="836"/>
      <c r="U1649" s="836"/>
      <c r="V1649" s="836"/>
      <c r="W1649" s="836"/>
      <c r="X1649" s="836"/>
      <c r="Y1649" s="836"/>
      <c r="Z1649" s="836"/>
      <c r="AA1649" s="836"/>
      <c r="AB1649" s="836"/>
      <c r="AC1649" s="836"/>
      <c r="AD1649" s="1186">
        <f t="shared" si="131"/>
        <v>0</v>
      </c>
      <c r="AE1649" s="637">
        <f t="shared" si="132"/>
        <v>0</v>
      </c>
      <c r="AF1649" s="638">
        <f t="shared" si="130"/>
        <v>983</v>
      </c>
    </row>
    <row r="1650" spans="1:32" x14ac:dyDescent="0.3">
      <c r="A1650" s="381" t="s">
        <v>759</v>
      </c>
      <c r="B1650" s="1021" t="s">
        <v>2190</v>
      </c>
      <c r="C1650" s="530"/>
      <c r="D1650" s="836" t="s">
        <v>251</v>
      </c>
      <c r="E1650" s="836"/>
      <c r="F1650" s="836" t="s">
        <v>251</v>
      </c>
      <c r="G1650" s="836" t="s">
        <v>251</v>
      </c>
      <c r="H1650" s="836" t="s">
        <v>251</v>
      </c>
      <c r="I1650" s="836" t="s">
        <v>251</v>
      </c>
      <c r="J1650" s="836" t="s">
        <v>251</v>
      </c>
      <c r="K1650" s="836"/>
      <c r="L1650" s="836" t="s">
        <v>251</v>
      </c>
      <c r="M1650" s="836" t="s">
        <v>251</v>
      </c>
      <c r="N1650" s="836" t="s">
        <v>251</v>
      </c>
      <c r="O1650" s="836" t="s">
        <v>251</v>
      </c>
      <c r="P1650" s="1497">
        <f t="shared" si="133"/>
        <v>0</v>
      </c>
      <c r="Q1650" s="1186">
        <f t="shared" si="134"/>
        <v>0</v>
      </c>
      <c r="R1650" s="835"/>
      <c r="S1650" s="836"/>
      <c r="T1650" s="836"/>
      <c r="U1650" s="836"/>
      <c r="V1650" s="836"/>
      <c r="W1650" s="836"/>
      <c r="X1650" s="836"/>
      <c r="Y1650" s="836"/>
      <c r="Z1650" s="836"/>
      <c r="AA1650" s="836"/>
      <c r="AB1650" s="836"/>
      <c r="AC1650" s="836"/>
      <c r="AD1650" s="1186">
        <f t="shared" si="131"/>
        <v>0</v>
      </c>
      <c r="AE1650" s="637">
        <f t="shared" si="132"/>
        <v>0</v>
      </c>
      <c r="AF1650" s="638">
        <f t="shared" si="130"/>
        <v>983</v>
      </c>
    </row>
    <row r="1651" spans="1:32" x14ac:dyDescent="0.3">
      <c r="A1651" s="381" t="s">
        <v>759</v>
      </c>
      <c r="B1651" s="1021" t="s">
        <v>2191</v>
      </c>
      <c r="C1651" s="530"/>
      <c r="D1651" s="836" t="s">
        <v>251</v>
      </c>
      <c r="E1651" s="836"/>
      <c r="F1651" s="836" t="s">
        <v>251</v>
      </c>
      <c r="G1651" s="836" t="s">
        <v>251</v>
      </c>
      <c r="H1651" s="836" t="s">
        <v>251</v>
      </c>
      <c r="I1651" s="836" t="s">
        <v>251</v>
      </c>
      <c r="J1651" s="836" t="s">
        <v>251</v>
      </c>
      <c r="K1651" s="836"/>
      <c r="L1651" s="836" t="s">
        <v>251</v>
      </c>
      <c r="M1651" s="836" t="s">
        <v>251</v>
      </c>
      <c r="N1651" s="836" t="s">
        <v>251</v>
      </c>
      <c r="O1651" s="836" t="s">
        <v>251</v>
      </c>
      <c r="P1651" s="1497">
        <f t="shared" si="133"/>
        <v>0</v>
      </c>
      <c r="Q1651" s="1186">
        <f t="shared" si="134"/>
        <v>0</v>
      </c>
      <c r="R1651" s="835"/>
      <c r="S1651" s="836"/>
      <c r="T1651" s="836"/>
      <c r="U1651" s="836"/>
      <c r="V1651" s="836"/>
      <c r="W1651" s="836"/>
      <c r="X1651" s="836"/>
      <c r="Y1651" s="836"/>
      <c r="Z1651" s="836"/>
      <c r="AA1651" s="836"/>
      <c r="AB1651" s="836"/>
      <c r="AC1651" s="836"/>
      <c r="AD1651" s="1186">
        <f t="shared" si="131"/>
        <v>0</v>
      </c>
      <c r="AE1651" s="637">
        <f t="shared" si="132"/>
        <v>0</v>
      </c>
      <c r="AF1651" s="638">
        <f t="shared" si="130"/>
        <v>983</v>
      </c>
    </row>
    <row r="1652" spans="1:32" x14ac:dyDescent="0.3">
      <c r="A1652" s="381" t="s">
        <v>759</v>
      </c>
      <c r="B1652" s="1021" t="s">
        <v>1331</v>
      </c>
      <c r="C1652" s="530"/>
      <c r="D1652" s="836" t="s">
        <v>251</v>
      </c>
      <c r="E1652" s="836"/>
      <c r="F1652" s="836" t="s">
        <v>251</v>
      </c>
      <c r="G1652" s="836" t="s">
        <v>251</v>
      </c>
      <c r="H1652" s="836" t="s">
        <v>251</v>
      </c>
      <c r="I1652" s="836" t="s">
        <v>251</v>
      </c>
      <c r="J1652" s="836" t="s">
        <v>251</v>
      </c>
      <c r="K1652" s="836"/>
      <c r="L1652" s="836" t="s">
        <v>251</v>
      </c>
      <c r="M1652" s="836" t="s">
        <v>251</v>
      </c>
      <c r="N1652" s="836" t="s">
        <v>251</v>
      </c>
      <c r="O1652" s="836" t="s">
        <v>251</v>
      </c>
      <c r="P1652" s="1497">
        <f t="shared" si="133"/>
        <v>0</v>
      </c>
      <c r="Q1652" s="1186">
        <f t="shared" si="134"/>
        <v>0</v>
      </c>
      <c r="R1652" s="835"/>
      <c r="S1652" s="836"/>
      <c r="T1652" s="836"/>
      <c r="U1652" s="836"/>
      <c r="V1652" s="836"/>
      <c r="W1652" s="836"/>
      <c r="X1652" s="836"/>
      <c r="Y1652" s="836"/>
      <c r="Z1652" s="836"/>
      <c r="AA1652" s="836"/>
      <c r="AB1652" s="836"/>
      <c r="AC1652" s="836"/>
      <c r="AD1652" s="1186">
        <f t="shared" si="131"/>
        <v>0</v>
      </c>
      <c r="AE1652" s="637">
        <f t="shared" si="132"/>
        <v>0</v>
      </c>
      <c r="AF1652" s="638">
        <f t="shared" si="130"/>
        <v>983</v>
      </c>
    </row>
    <row r="1653" spans="1:32" x14ac:dyDescent="0.3">
      <c r="A1653" s="381" t="s">
        <v>759</v>
      </c>
      <c r="B1653" s="1021" t="s">
        <v>1216</v>
      </c>
      <c r="C1653" s="530"/>
      <c r="D1653" s="836" t="s">
        <v>251</v>
      </c>
      <c r="E1653" s="836"/>
      <c r="F1653" s="836" t="s">
        <v>251</v>
      </c>
      <c r="G1653" s="836" t="s">
        <v>251</v>
      </c>
      <c r="H1653" s="836" t="s">
        <v>251</v>
      </c>
      <c r="I1653" s="836" t="s">
        <v>251</v>
      </c>
      <c r="J1653" s="836" t="s">
        <v>251</v>
      </c>
      <c r="K1653" s="836"/>
      <c r="L1653" s="836" t="s">
        <v>251</v>
      </c>
      <c r="M1653" s="836" t="s">
        <v>251</v>
      </c>
      <c r="N1653" s="836" t="s">
        <v>251</v>
      </c>
      <c r="O1653" s="836" t="s">
        <v>251</v>
      </c>
      <c r="P1653" s="1497">
        <f t="shared" si="133"/>
        <v>0</v>
      </c>
      <c r="Q1653" s="1186">
        <f t="shared" si="134"/>
        <v>0</v>
      </c>
      <c r="R1653" s="835"/>
      <c r="S1653" s="836"/>
      <c r="T1653" s="836"/>
      <c r="U1653" s="836"/>
      <c r="V1653" s="836"/>
      <c r="W1653" s="836"/>
      <c r="X1653" s="836"/>
      <c r="Y1653" s="836"/>
      <c r="Z1653" s="836"/>
      <c r="AA1653" s="836"/>
      <c r="AB1653" s="836"/>
      <c r="AC1653" s="836"/>
      <c r="AD1653" s="1186">
        <f t="shared" si="131"/>
        <v>0</v>
      </c>
      <c r="AE1653" s="637">
        <f t="shared" si="132"/>
        <v>0</v>
      </c>
      <c r="AF1653" s="638">
        <f t="shared" si="130"/>
        <v>983</v>
      </c>
    </row>
    <row r="1654" spans="1:32" x14ac:dyDescent="0.3">
      <c r="A1654" s="381" t="s">
        <v>759</v>
      </c>
      <c r="B1654" s="1021" t="s">
        <v>709</v>
      </c>
      <c r="C1654" s="530"/>
      <c r="D1654" s="836" t="s">
        <v>251</v>
      </c>
      <c r="E1654" s="836"/>
      <c r="F1654" s="836" t="s">
        <v>251</v>
      </c>
      <c r="G1654" s="836" t="s">
        <v>251</v>
      </c>
      <c r="H1654" s="836" t="s">
        <v>251</v>
      </c>
      <c r="I1654" s="836" t="s">
        <v>251</v>
      </c>
      <c r="J1654" s="836" t="s">
        <v>251</v>
      </c>
      <c r="K1654" s="836"/>
      <c r="L1654" s="836" t="s">
        <v>251</v>
      </c>
      <c r="M1654" s="836" t="s">
        <v>251</v>
      </c>
      <c r="N1654" s="836" t="s">
        <v>251</v>
      </c>
      <c r="O1654" s="836" t="s">
        <v>251</v>
      </c>
      <c r="P1654" s="1497">
        <f t="shared" si="133"/>
        <v>0</v>
      </c>
      <c r="Q1654" s="1186">
        <f t="shared" si="134"/>
        <v>0</v>
      </c>
      <c r="R1654" s="835"/>
      <c r="S1654" s="836"/>
      <c r="T1654" s="836"/>
      <c r="U1654" s="836"/>
      <c r="V1654" s="836"/>
      <c r="W1654" s="836"/>
      <c r="X1654" s="836"/>
      <c r="Y1654" s="836"/>
      <c r="Z1654" s="836"/>
      <c r="AA1654" s="836"/>
      <c r="AB1654" s="836"/>
      <c r="AC1654" s="836"/>
      <c r="AD1654" s="1186">
        <f t="shared" si="131"/>
        <v>0</v>
      </c>
      <c r="AE1654" s="637">
        <f t="shared" si="132"/>
        <v>0</v>
      </c>
      <c r="AF1654" s="638">
        <f t="shared" si="130"/>
        <v>983</v>
      </c>
    </row>
    <row r="1655" spans="1:32" x14ac:dyDescent="0.3">
      <c r="A1655" s="381" t="s">
        <v>759</v>
      </c>
      <c r="B1655" s="1021" t="s">
        <v>842</v>
      </c>
      <c r="C1655" s="530"/>
      <c r="D1655" s="836" t="s">
        <v>251</v>
      </c>
      <c r="E1655" s="836"/>
      <c r="F1655" s="836" t="s">
        <v>251</v>
      </c>
      <c r="G1655" s="836" t="s">
        <v>251</v>
      </c>
      <c r="H1655" s="836" t="s">
        <v>251</v>
      </c>
      <c r="I1655" s="836" t="s">
        <v>251</v>
      </c>
      <c r="J1655" s="836" t="s">
        <v>251</v>
      </c>
      <c r="K1655" s="836"/>
      <c r="L1655" s="836" t="s">
        <v>251</v>
      </c>
      <c r="M1655" s="836" t="s">
        <v>251</v>
      </c>
      <c r="N1655" s="836" t="s">
        <v>251</v>
      </c>
      <c r="O1655" s="836" t="s">
        <v>251</v>
      </c>
      <c r="P1655" s="1497">
        <f t="shared" si="133"/>
        <v>0</v>
      </c>
      <c r="Q1655" s="1186">
        <f t="shared" si="134"/>
        <v>0</v>
      </c>
      <c r="R1655" s="835"/>
      <c r="S1655" s="836"/>
      <c r="T1655" s="836"/>
      <c r="U1655" s="836"/>
      <c r="V1655" s="836"/>
      <c r="W1655" s="836"/>
      <c r="X1655" s="836"/>
      <c r="Y1655" s="836"/>
      <c r="Z1655" s="836"/>
      <c r="AA1655" s="836"/>
      <c r="AB1655" s="836"/>
      <c r="AC1655" s="836"/>
      <c r="AD1655" s="1186">
        <f t="shared" si="131"/>
        <v>0</v>
      </c>
      <c r="AE1655" s="637">
        <f t="shared" si="132"/>
        <v>0</v>
      </c>
      <c r="AF1655" s="638">
        <f t="shared" si="130"/>
        <v>983</v>
      </c>
    </row>
    <row r="1656" spans="1:32" x14ac:dyDescent="0.3">
      <c r="A1656" s="381" t="s">
        <v>759</v>
      </c>
      <c r="B1656" s="1021" t="s">
        <v>627</v>
      </c>
      <c r="C1656" s="530"/>
      <c r="D1656" s="836" t="s">
        <v>251</v>
      </c>
      <c r="E1656" s="836"/>
      <c r="F1656" s="836" t="s">
        <v>251</v>
      </c>
      <c r="G1656" s="836" t="s">
        <v>251</v>
      </c>
      <c r="H1656" s="836" t="s">
        <v>251</v>
      </c>
      <c r="I1656" s="836" t="s">
        <v>251</v>
      </c>
      <c r="J1656" s="836" t="s">
        <v>251</v>
      </c>
      <c r="K1656" s="836"/>
      <c r="L1656" s="836" t="s">
        <v>251</v>
      </c>
      <c r="M1656" s="836" t="s">
        <v>251</v>
      </c>
      <c r="N1656" s="836" t="s">
        <v>251</v>
      </c>
      <c r="O1656" s="836" t="s">
        <v>251</v>
      </c>
      <c r="P1656" s="1497">
        <f t="shared" si="133"/>
        <v>0</v>
      </c>
      <c r="Q1656" s="1186">
        <f t="shared" si="134"/>
        <v>0</v>
      </c>
      <c r="R1656" s="835"/>
      <c r="S1656" s="836"/>
      <c r="T1656" s="836"/>
      <c r="U1656" s="836"/>
      <c r="V1656" s="836"/>
      <c r="W1656" s="836"/>
      <c r="X1656" s="836"/>
      <c r="Y1656" s="836"/>
      <c r="Z1656" s="836"/>
      <c r="AA1656" s="836"/>
      <c r="AB1656" s="836"/>
      <c r="AC1656" s="836"/>
      <c r="AD1656" s="1186">
        <f t="shared" si="131"/>
        <v>0</v>
      </c>
      <c r="AE1656" s="637">
        <f t="shared" si="132"/>
        <v>0</v>
      </c>
      <c r="AF1656" s="638">
        <f t="shared" si="130"/>
        <v>983</v>
      </c>
    </row>
    <row r="1657" spans="1:32" x14ac:dyDescent="0.3">
      <c r="A1657" s="381" t="s">
        <v>759</v>
      </c>
      <c r="B1657" s="1021" t="s">
        <v>1239</v>
      </c>
      <c r="C1657" s="530"/>
      <c r="D1657" s="836">
        <v>0</v>
      </c>
      <c r="E1657" s="836"/>
      <c r="F1657" s="836">
        <v>0</v>
      </c>
      <c r="G1657" s="836">
        <v>0</v>
      </c>
      <c r="H1657" s="836">
        <v>119000</v>
      </c>
      <c r="I1657" s="836">
        <v>0</v>
      </c>
      <c r="J1657" s="836">
        <v>0</v>
      </c>
      <c r="K1657" s="836">
        <v>0</v>
      </c>
      <c r="L1657" s="836">
        <v>0</v>
      </c>
      <c r="M1657" s="836">
        <v>0</v>
      </c>
      <c r="N1657" s="836">
        <v>0</v>
      </c>
      <c r="O1657" s="836" t="s">
        <v>251</v>
      </c>
      <c r="P1657" s="1497">
        <f t="shared" si="133"/>
        <v>119000</v>
      </c>
      <c r="Q1657" s="1186">
        <f t="shared" si="134"/>
        <v>119000</v>
      </c>
      <c r="R1657" s="835"/>
      <c r="S1657" s="836"/>
      <c r="T1657" s="836"/>
      <c r="U1657" s="836"/>
      <c r="V1657" s="836"/>
      <c r="W1657" s="836"/>
      <c r="X1657" s="836"/>
      <c r="Y1657" s="836"/>
      <c r="Z1657" s="836"/>
      <c r="AA1657" s="836"/>
      <c r="AB1657" s="836"/>
      <c r="AC1657" s="836"/>
      <c r="AD1657" s="1186">
        <f t="shared" si="131"/>
        <v>0</v>
      </c>
      <c r="AE1657" s="637">
        <f t="shared" si="132"/>
        <v>-1</v>
      </c>
      <c r="AF1657" s="638">
        <f t="shared" si="130"/>
        <v>983</v>
      </c>
    </row>
    <row r="1658" spans="1:32" x14ac:dyDescent="0.3">
      <c r="A1658" s="381" t="s">
        <v>759</v>
      </c>
      <c r="B1658" s="1021" t="s">
        <v>805</v>
      </c>
      <c r="C1658" s="530"/>
      <c r="D1658" s="836" t="s">
        <v>251</v>
      </c>
      <c r="E1658" s="836"/>
      <c r="F1658" s="836" t="s">
        <v>251</v>
      </c>
      <c r="G1658" s="836" t="s">
        <v>251</v>
      </c>
      <c r="H1658" s="836" t="s">
        <v>251</v>
      </c>
      <c r="I1658" s="836" t="s">
        <v>251</v>
      </c>
      <c r="J1658" s="836" t="s">
        <v>251</v>
      </c>
      <c r="K1658" s="836"/>
      <c r="L1658" s="836" t="s">
        <v>251</v>
      </c>
      <c r="M1658" s="836" t="s">
        <v>251</v>
      </c>
      <c r="N1658" s="836" t="s">
        <v>251</v>
      </c>
      <c r="O1658" s="836" t="s">
        <v>251</v>
      </c>
      <c r="P1658" s="1497">
        <f t="shared" si="133"/>
        <v>0</v>
      </c>
      <c r="Q1658" s="1186">
        <f t="shared" si="134"/>
        <v>0</v>
      </c>
      <c r="R1658" s="835"/>
      <c r="S1658" s="836"/>
      <c r="T1658" s="836"/>
      <c r="U1658" s="836">
        <v>47250</v>
      </c>
      <c r="V1658" s="836"/>
      <c r="W1658" s="836"/>
      <c r="X1658" s="836"/>
      <c r="Y1658" s="836"/>
      <c r="Z1658" s="836"/>
      <c r="AA1658" s="836"/>
      <c r="AB1658" s="836"/>
      <c r="AC1658" s="836"/>
      <c r="AD1658" s="1186">
        <f t="shared" si="131"/>
        <v>47250</v>
      </c>
      <c r="AE1658" s="637">
        <f t="shared" si="132"/>
        <v>1</v>
      </c>
      <c r="AF1658" s="638">
        <f t="shared" si="130"/>
        <v>850</v>
      </c>
    </row>
    <row r="1659" spans="1:32" x14ac:dyDescent="0.3">
      <c r="A1659" s="381" t="s">
        <v>759</v>
      </c>
      <c r="B1659" s="1021" t="s">
        <v>2192</v>
      </c>
      <c r="C1659" s="530"/>
      <c r="D1659" s="836" t="s">
        <v>251</v>
      </c>
      <c r="E1659" s="836"/>
      <c r="F1659" s="836" t="s">
        <v>251</v>
      </c>
      <c r="G1659" s="836" t="s">
        <v>251</v>
      </c>
      <c r="H1659" s="836" t="s">
        <v>251</v>
      </c>
      <c r="I1659" s="836" t="s">
        <v>251</v>
      </c>
      <c r="J1659" s="836" t="s">
        <v>251</v>
      </c>
      <c r="K1659" s="836"/>
      <c r="L1659" s="836" t="s">
        <v>251</v>
      </c>
      <c r="M1659" s="836" t="s">
        <v>251</v>
      </c>
      <c r="N1659" s="836" t="s">
        <v>251</v>
      </c>
      <c r="O1659" s="836" t="s">
        <v>251</v>
      </c>
      <c r="P1659" s="1497">
        <f t="shared" si="133"/>
        <v>0</v>
      </c>
      <c r="Q1659" s="1186">
        <f t="shared" si="134"/>
        <v>0</v>
      </c>
      <c r="R1659" s="835"/>
      <c r="S1659" s="836"/>
      <c r="T1659" s="836"/>
      <c r="U1659" s="836"/>
      <c r="V1659" s="836"/>
      <c r="W1659" s="836">
        <v>90000</v>
      </c>
      <c r="X1659" s="836">
        <v>0</v>
      </c>
      <c r="Y1659" s="836">
        <v>0</v>
      </c>
      <c r="Z1659" s="836"/>
      <c r="AA1659" s="836"/>
      <c r="AB1659" s="836"/>
      <c r="AC1659" s="836"/>
      <c r="AD1659" s="1186">
        <f t="shared" si="131"/>
        <v>90000</v>
      </c>
      <c r="AE1659" s="637">
        <f t="shared" si="132"/>
        <v>1</v>
      </c>
      <c r="AF1659" s="638">
        <f t="shared" si="130"/>
        <v>759</v>
      </c>
    </row>
    <row r="1660" spans="1:32" x14ac:dyDescent="0.3">
      <c r="A1660" s="381" t="s">
        <v>759</v>
      </c>
      <c r="B1660" s="1021" t="s">
        <v>742</v>
      </c>
      <c r="C1660" s="530"/>
      <c r="D1660" s="836" t="s">
        <v>251</v>
      </c>
      <c r="E1660" s="836"/>
      <c r="F1660" s="836" t="s">
        <v>251</v>
      </c>
      <c r="G1660" s="836" t="s">
        <v>251</v>
      </c>
      <c r="H1660" s="836" t="s">
        <v>251</v>
      </c>
      <c r="I1660" s="836" t="s">
        <v>251</v>
      </c>
      <c r="J1660" s="836" t="s">
        <v>251</v>
      </c>
      <c r="K1660" s="836"/>
      <c r="L1660" s="836" t="s">
        <v>251</v>
      </c>
      <c r="M1660" s="836" t="s">
        <v>251</v>
      </c>
      <c r="N1660" s="836" t="s">
        <v>251</v>
      </c>
      <c r="O1660" s="836" t="s">
        <v>251</v>
      </c>
      <c r="P1660" s="1497">
        <f t="shared" si="133"/>
        <v>0</v>
      </c>
      <c r="Q1660" s="1186">
        <f t="shared" si="134"/>
        <v>0</v>
      </c>
      <c r="R1660" s="835"/>
      <c r="S1660" s="836"/>
      <c r="T1660" s="836"/>
      <c r="U1660" s="836"/>
      <c r="V1660" s="836"/>
      <c r="W1660" s="836"/>
      <c r="X1660" s="836"/>
      <c r="Y1660" s="836"/>
      <c r="Z1660" s="836"/>
      <c r="AA1660" s="836"/>
      <c r="AB1660" s="836"/>
      <c r="AC1660" s="836"/>
      <c r="AD1660" s="1186">
        <f t="shared" si="131"/>
        <v>0</v>
      </c>
      <c r="AE1660" s="637">
        <f t="shared" si="132"/>
        <v>0</v>
      </c>
      <c r="AF1660" s="638">
        <f t="shared" si="130"/>
        <v>983</v>
      </c>
    </row>
    <row r="1661" spans="1:32" x14ac:dyDescent="0.3">
      <c r="A1661" s="381" t="s">
        <v>759</v>
      </c>
      <c r="B1661" s="1021" t="s">
        <v>2193</v>
      </c>
      <c r="C1661" s="530"/>
      <c r="D1661" s="836" t="s">
        <v>251</v>
      </c>
      <c r="E1661" s="836"/>
      <c r="F1661" s="836" t="s">
        <v>251</v>
      </c>
      <c r="G1661" s="836" t="s">
        <v>251</v>
      </c>
      <c r="H1661" s="836" t="s">
        <v>251</v>
      </c>
      <c r="I1661" s="836" t="s">
        <v>251</v>
      </c>
      <c r="J1661" s="836" t="s">
        <v>251</v>
      </c>
      <c r="K1661" s="836"/>
      <c r="L1661" s="836" t="s">
        <v>251</v>
      </c>
      <c r="M1661" s="836" t="s">
        <v>251</v>
      </c>
      <c r="N1661" s="836" t="s">
        <v>251</v>
      </c>
      <c r="O1661" s="836" t="s">
        <v>251</v>
      </c>
      <c r="P1661" s="1497">
        <f t="shared" si="133"/>
        <v>0</v>
      </c>
      <c r="Q1661" s="1186">
        <f t="shared" si="134"/>
        <v>0</v>
      </c>
      <c r="R1661" s="835"/>
      <c r="S1661" s="836"/>
      <c r="T1661" s="836"/>
      <c r="U1661" s="836"/>
      <c r="V1661" s="836"/>
      <c r="W1661" s="836"/>
      <c r="X1661" s="836"/>
      <c r="Y1661" s="836"/>
      <c r="Z1661" s="836"/>
      <c r="AA1661" s="836"/>
      <c r="AB1661" s="836"/>
      <c r="AC1661" s="836"/>
      <c r="AD1661" s="1186">
        <f t="shared" si="131"/>
        <v>0</v>
      </c>
      <c r="AE1661" s="637">
        <f t="shared" si="132"/>
        <v>0</v>
      </c>
      <c r="AF1661" s="638">
        <f t="shared" si="130"/>
        <v>983</v>
      </c>
    </row>
    <row r="1662" spans="1:32" x14ac:dyDescent="0.3">
      <c r="A1662" s="381" t="s">
        <v>759</v>
      </c>
      <c r="B1662" s="1021" t="s">
        <v>2194</v>
      </c>
      <c r="C1662" s="530"/>
      <c r="D1662" s="836" t="s">
        <v>251</v>
      </c>
      <c r="E1662" s="836"/>
      <c r="F1662" s="836" t="s">
        <v>251</v>
      </c>
      <c r="G1662" s="836" t="s">
        <v>251</v>
      </c>
      <c r="H1662" s="836" t="s">
        <v>251</v>
      </c>
      <c r="I1662" s="836" t="s">
        <v>251</v>
      </c>
      <c r="J1662" s="836" t="s">
        <v>251</v>
      </c>
      <c r="K1662" s="836"/>
      <c r="L1662" s="836" t="s">
        <v>251</v>
      </c>
      <c r="M1662" s="836" t="s">
        <v>251</v>
      </c>
      <c r="N1662" s="836" t="s">
        <v>251</v>
      </c>
      <c r="O1662" s="836" t="s">
        <v>251</v>
      </c>
      <c r="P1662" s="1497">
        <f t="shared" si="133"/>
        <v>0</v>
      </c>
      <c r="Q1662" s="1186">
        <f t="shared" si="134"/>
        <v>0</v>
      </c>
      <c r="R1662" s="835"/>
      <c r="S1662" s="836"/>
      <c r="T1662" s="836"/>
      <c r="U1662" s="836"/>
      <c r="V1662" s="836"/>
      <c r="W1662" s="836"/>
      <c r="X1662" s="836"/>
      <c r="Y1662" s="836"/>
      <c r="Z1662" s="836"/>
      <c r="AA1662" s="836"/>
      <c r="AB1662" s="836"/>
      <c r="AC1662" s="836"/>
      <c r="AD1662" s="1186">
        <f t="shared" si="131"/>
        <v>0</v>
      </c>
      <c r="AE1662" s="637">
        <f t="shared" si="132"/>
        <v>0</v>
      </c>
      <c r="AF1662" s="638">
        <f t="shared" si="130"/>
        <v>983</v>
      </c>
    </row>
    <row r="1663" spans="1:32" x14ac:dyDescent="0.3">
      <c r="A1663" s="381" t="s">
        <v>759</v>
      </c>
      <c r="B1663" s="1021" t="s">
        <v>2195</v>
      </c>
      <c r="C1663" s="530"/>
      <c r="D1663" s="836" t="s">
        <v>251</v>
      </c>
      <c r="E1663" s="836"/>
      <c r="F1663" s="836" t="s">
        <v>251</v>
      </c>
      <c r="G1663" s="836" t="s">
        <v>251</v>
      </c>
      <c r="H1663" s="836" t="s">
        <v>251</v>
      </c>
      <c r="I1663" s="836" t="s">
        <v>251</v>
      </c>
      <c r="J1663" s="836" t="s">
        <v>251</v>
      </c>
      <c r="K1663" s="836"/>
      <c r="L1663" s="836" t="s">
        <v>251</v>
      </c>
      <c r="M1663" s="836" t="s">
        <v>251</v>
      </c>
      <c r="N1663" s="836" t="s">
        <v>251</v>
      </c>
      <c r="O1663" s="836" t="s">
        <v>251</v>
      </c>
      <c r="P1663" s="1497">
        <f t="shared" si="133"/>
        <v>0</v>
      </c>
      <c r="Q1663" s="1186">
        <f t="shared" si="134"/>
        <v>0</v>
      </c>
      <c r="R1663" s="835"/>
      <c r="S1663" s="836"/>
      <c r="T1663" s="836"/>
      <c r="U1663" s="836"/>
      <c r="V1663" s="836"/>
      <c r="W1663" s="836"/>
      <c r="X1663" s="836"/>
      <c r="Y1663" s="836"/>
      <c r="Z1663" s="836"/>
      <c r="AA1663" s="836"/>
      <c r="AB1663" s="836"/>
      <c r="AC1663" s="836"/>
      <c r="AD1663" s="1186">
        <f t="shared" si="131"/>
        <v>0</v>
      </c>
      <c r="AE1663" s="637">
        <f t="shared" si="132"/>
        <v>0</v>
      </c>
      <c r="AF1663" s="638">
        <f t="shared" si="130"/>
        <v>983</v>
      </c>
    </row>
    <row r="1664" spans="1:32" x14ac:dyDescent="0.3">
      <c r="A1664" s="381" t="s">
        <v>759</v>
      </c>
      <c r="B1664" s="1021" t="s">
        <v>2196</v>
      </c>
      <c r="C1664" s="530"/>
      <c r="D1664" s="836" t="s">
        <v>251</v>
      </c>
      <c r="E1664" s="836"/>
      <c r="F1664" s="836" t="s">
        <v>251</v>
      </c>
      <c r="G1664" s="836" t="s">
        <v>251</v>
      </c>
      <c r="H1664" s="836" t="s">
        <v>251</v>
      </c>
      <c r="I1664" s="836" t="s">
        <v>251</v>
      </c>
      <c r="J1664" s="836" t="s">
        <v>251</v>
      </c>
      <c r="K1664" s="836"/>
      <c r="L1664" s="836" t="s">
        <v>251</v>
      </c>
      <c r="M1664" s="836" t="s">
        <v>251</v>
      </c>
      <c r="N1664" s="836" t="s">
        <v>251</v>
      </c>
      <c r="O1664" s="836" t="s">
        <v>251</v>
      </c>
      <c r="P1664" s="1497">
        <f t="shared" si="133"/>
        <v>0</v>
      </c>
      <c r="Q1664" s="1186">
        <f t="shared" si="134"/>
        <v>0</v>
      </c>
      <c r="R1664" s="835">
        <v>291000</v>
      </c>
      <c r="S1664" s="836"/>
      <c r="T1664" s="836">
        <v>0</v>
      </c>
      <c r="U1664" s="836">
        <v>0</v>
      </c>
      <c r="V1664" s="836">
        <v>0</v>
      </c>
      <c r="W1664" s="836">
        <v>0</v>
      </c>
      <c r="X1664" s="836">
        <v>0</v>
      </c>
      <c r="Y1664" s="836">
        <v>0</v>
      </c>
      <c r="Z1664" s="836"/>
      <c r="AA1664" s="836"/>
      <c r="AB1664" s="836"/>
      <c r="AC1664" s="836"/>
      <c r="AD1664" s="1186">
        <f t="shared" si="131"/>
        <v>291000</v>
      </c>
      <c r="AE1664" s="637">
        <f t="shared" si="132"/>
        <v>1</v>
      </c>
      <c r="AF1664" s="638">
        <f t="shared" si="130"/>
        <v>539</v>
      </c>
    </row>
    <row r="1665" spans="1:32" x14ac:dyDescent="0.3">
      <c r="A1665" s="381" t="s">
        <v>759</v>
      </c>
      <c r="B1665" s="1021" t="s">
        <v>2197</v>
      </c>
      <c r="C1665" s="530"/>
      <c r="D1665" s="836" t="s">
        <v>251</v>
      </c>
      <c r="E1665" s="836"/>
      <c r="F1665" s="836" t="s">
        <v>251</v>
      </c>
      <c r="G1665" s="836" t="s">
        <v>251</v>
      </c>
      <c r="H1665" s="836" t="s">
        <v>251</v>
      </c>
      <c r="I1665" s="836" t="s">
        <v>251</v>
      </c>
      <c r="J1665" s="836" t="s">
        <v>251</v>
      </c>
      <c r="K1665" s="836"/>
      <c r="L1665" s="836" t="s">
        <v>251</v>
      </c>
      <c r="M1665" s="836" t="s">
        <v>251</v>
      </c>
      <c r="N1665" s="836" t="s">
        <v>251</v>
      </c>
      <c r="O1665" s="836" t="s">
        <v>251</v>
      </c>
      <c r="P1665" s="1497">
        <f t="shared" si="133"/>
        <v>0</v>
      </c>
      <c r="Q1665" s="1186">
        <f t="shared" si="134"/>
        <v>0</v>
      </c>
      <c r="R1665" s="835"/>
      <c r="S1665" s="836"/>
      <c r="T1665" s="836"/>
      <c r="U1665" s="836"/>
      <c r="V1665" s="836"/>
      <c r="W1665" s="836"/>
      <c r="X1665" s="836"/>
      <c r="Y1665" s="836"/>
      <c r="Z1665" s="836"/>
      <c r="AA1665" s="836"/>
      <c r="AB1665" s="836"/>
      <c r="AC1665" s="836"/>
      <c r="AD1665" s="1186">
        <f t="shared" si="131"/>
        <v>0</v>
      </c>
      <c r="AE1665" s="637">
        <f t="shared" si="132"/>
        <v>0</v>
      </c>
      <c r="AF1665" s="638">
        <f t="shared" si="130"/>
        <v>983</v>
      </c>
    </row>
    <row r="1666" spans="1:32" x14ac:dyDescent="0.3">
      <c r="A1666" s="381" t="s">
        <v>759</v>
      </c>
      <c r="B1666" s="1021" t="s">
        <v>2198</v>
      </c>
      <c r="C1666" s="530"/>
      <c r="D1666" s="836" t="s">
        <v>251</v>
      </c>
      <c r="E1666" s="836"/>
      <c r="F1666" s="836" t="s">
        <v>251</v>
      </c>
      <c r="G1666" s="836" t="s">
        <v>251</v>
      </c>
      <c r="H1666" s="836" t="s">
        <v>251</v>
      </c>
      <c r="I1666" s="836" t="s">
        <v>251</v>
      </c>
      <c r="J1666" s="836" t="s">
        <v>251</v>
      </c>
      <c r="K1666" s="836"/>
      <c r="L1666" s="836" t="s">
        <v>251</v>
      </c>
      <c r="M1666" s="836" t="s">
        <v>251</v>
      </c>
      <c r="N1666" s="836" t="s">
        <v>251</v>
      </c>
      <c r="O1666" s="836" t="s">
        <v>251</v>
      </c>
      <c r="P1666" s="1497">
        <f t="shared" si="133"/>
        <v>0</v>
      </c>
      <c r="Q1666" s="1186">
        <f t="shared" si="134"/>
        <v>0</v>
      </c>
      <c r="R1666" s="835"/>
      <c r="S1666" s="836"/>
      <c r="T1666" s="836"/>
      <c r="U1666" s="836"/>
      <c r="V1666" s="836"/>
      <c r="W1666" s="836"/>
      <c r="X1666" s="836"/>
      <c r="Y1666" s="836"/>
      <c r="Z1666" s="836"/>
      <c r="AA1666" s="836"/>
      <c r="AB1666" s="836"/>
      <c r="AC1666" s="836"/>
      <c r="AD1666" s="1186">
        <f t="shared" si="131"/>
        <v>0</v>
      </c>
      <c r="AE1666" s="637">
        <f t="shared" si="132"/>
        <v>0</v>
      </c>
      <c r="AF1666" s="638">
        <f t="shared" si="130"/>
        <v>983</v>
      </c>
    </row>
    <row r="1667" spans="1:32" x14ac:dyDescent="0.3">
      <c r="A1667" s="381" t="s">
        <v>759</v>
      </c>
      <c r="B1667" s="1021" t="s">
        <v>2199</v>
      </c>
      <c r="C1667" s="530"/>
      <c r="D1667" s="836" t="s">
        <v>251</v>
      </c>
      <c r="E1667" s="836"/>
      <c r="F1667" s="836" t="s">
        <v>251</v>
      </c>
      <c r="G1667" s="836" t="s">
        <v>251</v>
      </c>
      <c r="H1667" s="836" t="s">
        <v>251</v>
      </c>
      <c r="I1667" s="836" t="s">
        <v>251</v>
      </c>
      <c r="J1667" s="836" t="s">
        <v>251</v>
      </c>
      <c r="K1667" s="836"/>
      <c r="L1667" s="836" t="s">
        <v>251</v>
      </c>
      <c r="M1667" s="836" t="s">
        <v>251</v>
      </c>
      <c r="N1667" s="836" t="s">
        <v>251</v>
      </c>
      <c r="O1667" s="836" t="s">
        <v>251</v>
      </c>
      <c r="P1667" s="1497">
        <f t="shared" si="133"/>
        <v>0</v>
      </c>
      <c r="Q1667" s="1186">
        <f t="shared" si="134"/>
        <v>0</v>
      </c>
      <c r="R1667" s="835"/>
      <c r="S1667" s="836"/>
      <c r="T1667" s="836"/>
      <c r="U1667" s="836"/>
      <c r="V1667" s="836"/>
      <c r="W1667" s="836"/>
      <c r="X1667" s="836"/>
      <c r="Y1667" s="836"/>
      <c r="Z1667" s="836"/>
      <c r="AA1667" s="836"/>
      <c r="AB1667" s="836"/>
      <c r="AC1667" s="836"/>
      <c r="AD1667" s="1186">
        <f t="shared" si="131"/>
        <v>0</v>
      </c>
      <c r="AE1667" s="637">
        <f t="shared" si="132"/>
        <v>0</v>
      </c>
      <c r="AF1667" s="638">
        <f t="shared" si="130"/>
        <v>983</v>
      </c>
    </row>
    <row r="1668" spans="1:32" x14ac:dyDescent="0.3">
      <c r="A1668" s="381" t="s">
        <v>759</v>
      </c>
      <c r="B1668" s="1021" t="s">
        <v>2200</v>
      </c>
      <c r="C1668" s="530"/>
      <c r="D1668" s="836" t="s">
        <v>251</v>
      </c>
      <c r="E1668" s="836"/>
      <c r="F1668" s="836" t="s">
        <v>251</v>
      </c>
      <c r="G1668" s="836" t="s">
        <v>251</v>
      </c>
      <c r="H1668" s="836" t="s">
        <v>251</v>
      </c>
      <c r="I1668" s="836" t="s">
        <v>251</v>
      </c>
      <c r="J1668" s="836" t="s">
        <v>251</v>
      </c>
      <c r="K1668" s="836"/>
      <c r="L1668" s="836" t="s">
        <v>251</v>
      </c>
      <c r="M1668" s="836" t="s">
        <v>251</v>
      </c>
      <c r="N1668" s="836" t="s">
        <v>251</v>
      </c>
      <c r="O1668" s="836" t="s">
        <v>251</v>
      </c>
      <c r="P1668" s="1497">
        <f t="shared" si="133"/>
        <v>0</v>
      </c>
      <c r="Q1668" s="1186">
        <f t="shared" si="134"/>
        <v>0</v>
      </c>
      <c r="R1668" s="835"/>
      <c r="S1668" s="836"/>
      <c r="T1668" s="836"/>
      <c r="U1668" s="836"/>
      <c r="V1668" s="836"/>
      <c r="W1668" s="836"/>
      <c r="X1668" s="836"/>
      <c r="Y1668" s="836"/>
      <c r="Z1668" s="836"/>
      <c r="AA1668" s="836"/>
      <c r="AB1668" s="836"/>
      <c r="AC1668" s="836"/>
      <c r="AD1668" s="1186">
        <f t="shared" si="131"/>
        <v>0</v>
      </c>
      <c r="AE1668" s="637">
        <f t="shared" si="132"/>
        <v>0</v>
      </c>
      <c r="AF1668" s="638">
        <f t="shared" si="130"/>
        <v>983</v>
      </c>
    </row>
    <row r="1669" spans="1:32" x14ac:dyDescent="0.3">
      <c r="A1669" s="381" t="s">
        <v>759</v>
      </c>
      <c r="B1669" s="1021" t="s">
        <v>2201</v>
      </c>
      <c r="C1669" s="530"/>
      <c r="D1669" s="836" t="s">
        <v>251</v>
      </c>
      <c r="E1669" s="836"/>
      <c r="F1669" s="836" t="s">
        <v>251</v>
      </c>
      <c r="G1669" s="836" t="s">
        <v>251</v>
      </c>
      <c r="H1669" s="836" t="s">
        <v>251</v>
      </c>
      <c r="I1669" s="836" t="s">
        <v>251</v>
      </c>
      <c r="J1669" s="836" t="s">
        <v>251</v>
      </c>
      <c r="K1669" s="836"/>
      <c r="L1669" s="836" t="s">
        <v>251</v>
      </c>
      <c r="M1669" s="836" t="s">
        <v>251</v>
      </c>
      <c r="N1669" s="836" t="s">
        <v>251</v>
      </c>
      <c r="O1669" s="836" t="s">
        <v>251</v>
      </c>
      <c r="P1669" s="1497">
        <f t="shared" si="133"/>
        <v>0</v>
      </c>
      <c r="Q1669" s="1186">
        <f t="shared" si="134"/>
        <v>0</v>
      </c>
      <c r="R1669" s="835"/>
      <c r="S1669" s="836"/>
      <c r="T1669" s="836"/>
      <c r="U1669" s="836"/>
      <c r="V1669" s="836"/>
      <c r="W1669" s="836"/>
      <c r="X1669" s="836"/>
      <c r="Y1669" s="836"/>
      <c r="Z1669" s="836"/>
      <c r="AA1669" s="836"/>
      <c r="AB1669" s="836"/>
      <c r="AC1669" s="836"/>
      <c r="AD1669" s="1186">
        <f t="shared" si="131"/>
        <v>0</v>
      </c>
      <c r="AE1669" s="637">
        <f t="shared" si="132"/>
        <v>0</v>
      </c>
      <c r="AF1669" s="638">
        <f t="shared" si="130"/>
        <v>983</v>
      </c>
    </row>
    <row r="1670" spans="1:32" x14ac:dyDescent="0.3">
      <c r="A1670" s="381" t="s">
        <v>759</v>
      </c>
      <c r="B1670" s="1021" t="s">
        <v>267</v>
      </c>
      <c r="C1670" s="530"/>
      <c r="D1670" s="836" t="s">
        <v>251</v>
      </c>
      <c r="E1670" s="836"/>
      <c r="F1670" s="836" t="s">
        <v>251</v>
      </c>
      <c r="G1670" s="836" t="s">
        <v>251</v>
      </c>
      <c r="H1670" s="836" t="s">
        <v>251</v>
      </c>
      <c r="I1670" s="836" t="s">
        <v>251</v>
      </c>
      <c r="J1670" s="836" t="s">
        <v>251</v>
      </c>
      <c r="K1670" s="836"/>
      <c r="L1670" s="836" t="s">
        <v>251</v>
      </c>
      <c r="M1670" s="836" t="s">
        <v>251</v>
      </c>
      <c r="N1670" s="836" t="s">
        <v>251</v>
      </c>
      <c r="O1670" s="836" t="s">
        <v>251</v>
      </c>
      <c r="P1670" s="1497">
        <f t="shared" si="133"/>
        <v>0</v>
      </c>
      <c r="Q1670" s="1186">
        <f t="shared" si="134"/>
        <v>0</v>
      </c>
      <c r="R1670" s="835"/>
      <c r="S1670" s="836"/>
      <c r="T1670" s="836"/>
      <c r="U1670" s="836"/>
      <c r="V1670" s="836"/>
      <c r="W1670" s="836"/>
      <c r="X1670" s="836"/>
      <c r="Y1670" s="836"/>
      <c r="Z1670" s="836"/>
      <c r="AA1670" s="836"/>
      <c r="AB1670" s="836"/>
      <c r="AC1670" s="836"/>
      <c r="AD1670" s="1186">
        <f t="shared" si="131"/>
        <v>0</v>
      </c>
      <c r="AE1670" s="637">
        <f t="shared" si="132"/>
        <v>0</v>
      </c>
      <c r="AF1670" s="638">
        <f t="shared" si="130"/>
        <v>983</v>
      </c>
    </row>
    <row r="1671" spans="1:32" x14ac:dyDescent="0.3">
      <c r="A1671" s="381" t="s">
        <v>759</v>
      </c>
      <c r="B1671" s="1021" t="s">
        <v>2202</v>
      </c>
      <c r="C1671" s="530"/>
      <c r="D1671" s="836" t="s">
        <v>251</v>
      </c>
      <c r="E1671" s="836"/>
      <c r="F1671" s="836" t="s">
        <v>251</v>
      </c>
      <c r="G1671" s="836" t="s">
        <v>251</v>
      </c>
      <c r="H1671" s="836" t="s">
        <v>251</v>
      </c>
      <c r="I1671" s="836" t="s">
        <v>251</v>
      </c>
      <c r="J1671" s="836" t="s">
        <v>251</v>
      </c>
      <c r="K1671" s="836"/>
      <c r="L1671" s="836" t="s">
        <v>251</v>
      </c>
      <c r="M1671" s="836" t="s">
        <v>251</v>
      </c>
      <c r="N1671" s="836" t="s">
        <v>251</v>
      </c>
      <c r="O1671" s="836" t="s">
        <v>251</v>
      </c>
      <c r="P1671" s="1497">
        <f t="shared" si="133"/>
        <v>0</v>
      </c>
      <c r="Q1671" s="1186">
        <f t="shared" si="134"/>
        <v>0</v>
      </c>
      <c r="R1671" s="835"/>
      <c r="S1671" s="836"/>
      <c r="T1671" s="836"/>
      <c r="U1671" s="836"/>
      <c r="V1671" s="836"/>
      <c r="W1671" s="836"/>
      <c r="X1671" s="836"/>
      <c r="Y1671" s="836"/>
      <c r="Z1671" s="836"/>
      <c r="AA1671" s="836"/>
      <c r="AB1671" s="836"/>
      <c r="AC1671" s="836"/>
      <c r="AD1671" s="1186">
        <f t="shared" si="131"/>
        <v>0</v>
      </c>
      <c r="AE1671" s="637">
        <f t="shared" si="132"/>
        <v>0</v>
      </c>
      <c r="AF1671" s="638">
        <f t="shared" ref="AF1671:AF1734" si="135">IFERROR(_xlfn.RANK.EQ(AD1671, $AD$2:$AD$2064), "")</f>
        <v>983</v>
      </c>
    </row>
    <row r="1672" spans="1:32" x14ac:dyDescent="0.3">
      <c r="A1672" s="381" t="s">
        <v>759</v>
      </c>
      <c r="B1672" s="1021" t="s">
        <v>2203</v>
      </c>
      <c r="C1672" s="530"/>
      <c r="D1672" s="836" t="s">
        <v>251</v>
      </c>
      <c r="E1672" s="836"/>
      <c r="F1672" s="836" t="s">
        <v>251</v>
      </c>
      <c r="G1672" s="836" t="s">
        <v>251</v>
      </c>
      <c r="H1672" s="836" t="s">
        <v>251</v>
      </c>
      <c r="I1672" s="836" t="s">
        <v>251</v>
      </c>
      <c r="J1672" s="836" t="s">
        <v>251</v>
      </c>
      <c r="K1672" s="836"/>
      <c r="L1672" s="836" t="s">
        <v>251</v>
      </c>
      <c r="M1672" s="836" t="s">
        <v>251</v>
      </c>
      <c r="N1672" s="836" t="s">
        <v>251</v>
      </c>
      <c r="O1672" s="836" t="s">
        <v>251</v>
      </c>
      <c r="P1672" s="1497">
        <f t="shared" si="133"/>
        <v>0</v>
      </c>
      <c r="Q1672" s="1186">
        <f t="shared" si="134"/>
        <v>0</v>
      </c>
      <c r="R1672" s="835"/>
      <c r="S1672" s="836"/>
      <c r="T1672" s="836"/>
      <c r="U1672" s="836"/>
      <c r="V1672" s="836"/>
      <c r="W1672" s="836"/>
      <c r="X1672" s="836"/>
      <c r="Y1672" s="836"/>
      <c r="Z1672" s="836"/>
      <c r="AA1672" s="836"/>
      <c r="AB1672" s="836"/>
      <c r="AC1672" s="836"/>
      <c r="AD1672" s="1186">
        <f t="shared" si="131"/>
        <v>0</v>
      </c>
      <c r="AE1672" s="637">
        <f t="shared" si="132"/>
        <v>0</v>
      </c>
      <c r="AF1672" s="638">
        <f t="shared" si="135"/>
        <v>983</v>
      </c>
    </row>
    <row r="1673" spans="1:32" x14ac:dyDescent="0.3">
      <c r="A1673" s="381" t="s">
        <v>759</v>
      </c>
      <c r="B1673" s="1021" t="s">
        <v>2204</v>
      </c>
      <c r="C1673" s="530"/>
      <c r="D1673" s="836" t="s">
        <v>251</v>
      </c>
      <c r="E1673" s="836"/>
      <c r="F1673" s="836" t="s">
        <v>251</v>
      </c>
      <c r="G1673" s="836" t="s">
        <v>251</v>
      </c>
      <c r="H1673" s="836" t="s">
        <v>251</v>
      </c>
      <c r="I1673" s="836" t="s">
        <v>251</v>
      </c>
      <c r="J1673" s="836" t="s">
        <v>251</v>
      </c>
      <c r="K1673" s="836"/>
      <c r="L1673" s="836" t="s">
        <v>251</v>
      </c>
      <c r="M1673" s="836" t="s">
        <v>251</v>
      </c>
      <c r="N1673" s="836" t="s">
        <v>251</v>
      </c>
      <c r="O1673" s="836" t="s">
        <v>251</v>
      </c>
      <c r="P1673" s="1497">
        <f t="shared" si="133"/>
        <v>0</v>
      </c>
      <c r="Q1673" s="1186">
        <f t="shared" si="134"/>
        <v>0</v>
      </c>
      <c r="R1673" s="835"/>
      <c r="S1673" s="836"/>
      <c r="T1673" s="836"/>
      <c r="U1673" s="836"/>
      <c r="V1673" s="836"/>
      <c r="W1673" s="836"/>
      <c r="X1673" s="836"/>
      <c r="Y1673" s="836"/>
      <c r="Z1673" s="836"/>
      <c r="AA1673" s="836"/>
      <c r="AB1673" s="836"/>
      <c r="AC1673" s="836"/>
      <c r="AD1673" s="1186">
        <f t="shared" si="131"/>
        <v>0</v>
      </c>
      <c r="AE1673" s="637">
        <f t="shared" si="132"/>
        <v>0</v>
      </c>
      <c r="AF1673" s="638">
        <f t="shared" si="135"/>
        <v>983</v>
      </c>
    </row>
    <row r="1674" spans="1:32" x14ac:dyDescent="0.3">
      <c r="A1674" s="381" t="s">
        <v>759</v>
      </c>
      <c r="B1674" s="1021" t="s">
        <v>2205</v>
      </c>
      <c r="C1674" s="530"/>
      <c r="D1674" s="836" t="s">
        <v>251</v>
      </c>
      <c r="E1674" s="836"/>
      <c r="F1674" s="836" t="s">
        <v>251</v>
      </c>
      <c r="G1674" s="836" t="s">
        <v>251</v>
      </c>
      <c r="H1674" s="836" t="s">
        <v>251</v>
      </c>
      <c r="I1674" s="836" t="s">
        <v>251</v>
      </c>
      <c r="J1674" s="836" t="s">
        <v>251</v>
      </c>
      <c r="K1674" s="836"/>
      <c r="L1674" s="836" t="s">
        <v>251</v>
      </c>
      <c r="M1674" s="836" t="s">
        <v>251</v>
      </c>
      <c r="N1674" s="836" t="s">
        <v>251</v>
      </c>
      <c r="O1674" s="836" t="s">
        <v>251</v>
      </c>
      <c r="P1674" s="1497">
        <f t="shared" si="133"/>
        <v>0</v>
      </c>
      <c r="Q1674" s="1186">
        <f t="shared" si="134"/>
        <v>0</v>
      </c>
      <c r="R1674" s="835"/>
      <c r="S1674" s="836"/>
      <c r="T1674" s="836"/>
      <c r="U1674" s="836"/>
      <c r="V1674" s="836"/>
      <c r="W1674" s="836"/>
      <c r="X1674" s="836"/>
      <c r="Y1674" s="836"/>
      <c r="Z1674" s="836"/>
      <c r="AA1674" s="836"/>
      <c r="AB1674" s="836"/>
      <c r="AC1674" s="836"/>
      <c r="AD1674" s="1186">
        <f t="shared" si="131"/>
        <v>0</v>
      </c>
      <c r="AE1674" s="637">
        <f t="shared" si="132"/>
        <v>0</v>
      </c>
      <c r="AF1674" s="638">
        <f t="shared" si="135"/>
        <v>983</v>
      </c>
    </row>
    <row r="1675" spans="1:32" x14ac:dyDescent="0.3">
      <c r="A1675" s="381" t="s">
        <v>759</v>
      </c>
      <c r="B1675" s="1021" t="s">
        <v>2206</v>
      </c>
      <c r="C1675" s="530"/>
      <c r="D1675" s="836" t="s">
        <v>251</v>
      </c>
      <c r="E1675" s="836"/>
      <c r="F1675" s="836" t="s">
        <v>251</v>
      </c>
      <c r="G1675" s="836" t="s">
        <v>251</v>
      </c>
      <c r="H1675" s="836" t="s">
        <v>251</v>
      </c>
      <c r="I1675" s="836" t="s">
        <v>251</v>
      </c>
      <c r="J1675" s="836" t="s">
        <v>251</v>
      </c>
      <c r="K1675" s="836"/>
      <c r="L1675" s="836" t="s">
        <v>251</v>
      </c>
      <c r="M1675" s="836" t="s">
        <v>251</v>
      </c>
      <c r="N1675" s="836" t="s">
        <v>251</v>
      </c>
      <c r="O1675" s="836" t="s">
        <v>251</v>
      </c>
      <c r="P1675" s="1497">
        <f t="shared" si="133"/>
        <v>0</v>
      </c>
      <c r="Q1675" s="1186">
        <f t="shared" si="134"/>
        <v>0</v>
      </c>
      <c r="R1675" s="835"/>
      <c r="S1675" s="836"/>
      <c r="T1675" s="836"/>
      <c r="U1675" s="836"/>
      <c r="V1675" s="836"/>
      <c r="W1675" s="836"/>
      <c r="X1675" s="836"/>
      <c r="Y1675" s="836"/>
      <c r="Z1675" s="836"/>
      <c r="AA1675" s="836"/>
      <c r="AB1675" s="836"/>
      <c r="AC1675" s="836"/>
      <c r="AD1675" s="1186">
        <f t="shared" si="131"/>
        <v>0</v>
      </c>
      <c r="AE1675" s="637">
        <f t="shared" si="132"/>
        <v>0</v>
      </c>
      <c r="AF1675" s="638">
        <f t="shared" si="135"/>
        <v>983</v>
      </c>
    </row>
    <row r="1676" spans="1:32" x14ac:dyDescent="0.3">
      <c r="A1676" s="381" t="s">
        <v>759</v>
      </c>
      <c r="B1676" s="1021" t="s">
        <v>2207</v>
      </c>
      <c r="C1676" s="530"/>
      <c r="D1676" s="836" t="s">
        <v>251</v>
      </c>
      <c r="E1676" s="836"/>
      <c r="F1676" s="836" t="s">
        <v>251</v>
      </c>
      <c r="G1676" s="836" t="s">
        <v>251</v>
      </c>
      <c r="H1676" s="836" t="s">
        <v>251</v>
      </c>
      <c r="I1676" s="836" t="s">
        <v>251</v>
      </c>
      <c r="J1676" s="836" t="s">
        <v>251</v>
      </c>
      <c r="K1676" s="836"/>
      <c r="L1676" s="836" t="s">
        <v>251</v>
      </c>
      <c r="M1676" s="836" t="s">
        <v>251</v>
      </c>
      <c r="N1676" s="836" t="s">
        <v>251</v>
      </c>
      <c r="O1676" s="836" t="s">
        <v>251</v>
      </c>
      <c r="P1676" s="1497">
        <f t="shared" si="133"/>
        <v>0</v>
      </c>
      <c r="Q1676" s="1186">
        <f t="shared" si="134"/>
        <v>0</v>
      </c>
      <c r="R1676" s="835"/>
      <c r="S1676" s="836"/>
      <c r="T1676" s="836"/>
      <c r="U1676" s="836"/>
      <c r="V1676" s="836"/>
      <c r="W1676" s="836"/>
      <c r="X1676" s="836"/>
      <c r="Y1676" s="836"/>
      <c r="Z1676" s="836"/>
      <c r="AA1676" s="836"/>
      <c r="AB1676" s="836"/>
      <c r="AC1676" s="836"/>
      <c r="AD1676" s="1186">
        <f t="shared" si="131"/>
        <v>0</v>
      </c>
      <c r="AE1676" s="637">
        <f t="shared" si="132"/>
        <v>0</v>
      </c>
      <c r="AF1676" s="638">
        <f t="shared" si="135"/>
        <v>983</v>
      </c>
    </row>
    <row r="1677" spans="1:32" x14ac:dyDescent="0.3">
      <c r="A1677" s="381" t="s">
        <v>759</v>
      </c>
      <c r="B1677" s="1021" t="s">
        <v>1917</v>
      </c>
      <c r="C1677" s="530"/>
      <c r="D1677" s="836" t="s">
        <v>251</v>
      </c>
      <c r="E1677" s="836"/>
      <c r="F1677" s="836" t="s">
        <v>251</v>
      </c>
      <c r="G1677" s="836" t="s">
        <v>251</v>
      </c>
      <c r="H1677" s="836" t="s">
        <v>251</v>
      </c>
      <c r="I1677" s="836" t="s">
        <v>251</v>
      </c>
      <c r="J1677" s="836" t="s">
        <v>251</v>
      </c>
      <c r="K1677" s="836"/>
      <c r="L1677" s="836" t="s">
        <v>251</v>
      </c>
      <c r="M1677" s="836" t="s">
        <v>251</v>
      </c>
      <c r="N1677" s="836" t="s">
        <v>251</v>
      </c>
      <c r="O1677" s="836" t="s">
        <v>251</v>
      </c>
      <c r="P1677" s="1497">
        <f t="shared" si="133"/>
        <v>0</v>
      </c>
      <c r="Q1677" s="1186">
        <f t="shared" si="134"/>
        <v>0</v>
      </c>
      <c r="R1677" s="835"/>
      <c r="S1677" s="836"/>
      <c r="T1677" s="836"/>
      <c r="U1677" s="836"/>
      <c r="V1677" s="836"/>
      <c r="W1677" s="836"/>
      <c r="X1677" s="836">
        <v>11000</v>
      </c>
      <c r="Y1677" s="836">
        <v>0</v>
      </c>
      <c r="Z1677" s="836"/>
      <c r="AA1677" s="836"/>
      <c r="AB1677" s="836"/>
      <c r="AC1677" s="836"/>
      <c r="AD1677" s="1186">
        <f t="shared" si="131"/>
        <v>11000</v>
      </c>
      <c r="AE1677" s="637">
        <f t="shared" si="132"/>
        <v>1</v>
      </c>
      <c r="AF1677" s="638">
        <f t="shared" si="135"/>
        <v>950</v>
      </c>
    </row>
    <row r="1678" spans="1:32" x14ac:dyDescent="0.3">
      <c r="A1678" s="381" t="s">
        <v>759</v>
      </c>
      <c r="B1678" s="1021" t="s">
        <v>2208</v>
      </c>
      <c r="C1678" s="530"/>
      <c r="D1678" s="836" t="s">
        <v>251</v>
      </c>
      <c r="E1678" s="836"/>
      <c r="F1678" s="836" t="s">
        <v>251</v>
      </c>
      <c r="G1678" s="836" t="s">
        <v>251</v>
      </c>
      <c r="H1678" s="836" t="s">
        <v>251</v>
      </c>
      <c r="I1678" s="836" t="s">
        <v>251</v>
      </c>
      <c r="J1678" s="836" t="s">
        <v>251</v>
      </c>
      <c r="K1678" s="836"/>
      <c r="L1678" s="836" t="s">
        <v>251</v>
      </c>
      <c r="M1678" s="836" t="s">
        <v>251</v>
      </c>
      <c r="N1678" s="836" t="s">
        <v>251</v>
      </c>
      <c r="O1678" s="836" t="s">
        <v>251</v>
      </c>
      <c r="P1678" s="1497">
        <f t="shared" si="133"/>
        <v>0</v>
      </c>
      <c r="Q1678" s="1186">
        <f t="shared" si="134"/>
        <v>0</v>
      </c>
      <c r="R1678" s="835"/>
      <c r="S1678" s="836"/>
      <c r="T1678" s="836"/>
      <c r="U1678" s="836"/>
      <c r="V1678" s="836"/>
      <c r="W1678" s="836"/>
      <c r="X1678" s="836"/>
      <c r="Y1678" s="836"/>
      <c r="Z1678" s="836"/>
      <c r="AA1678" s="836"/>
      <c r="AB1678" s="836"/>
      <c r="AC1678" s="836"/>
      <c r="AD1678" s="1186">
        <f t="shared" si="131"/>
        <v>0</v>
      </c>
      <c r="AE1678" s="637">
        <f t="shared" si="132"/>
        <v>0</v>
      </c>
      <c r="AF1678" s="638">
        <f t="shared" si="135"/>
        <v>983</v>
      </c>
    </row>
    <row r="1679" spans="1:32" x14ac:dyDescent="0.3">
      <c r="A1679" s="381" t="s">
        <v>759</v>
      </c>
      <c r="B1679" s="1021" t="s">
        <v>2209</v>
      </c>
      <c r="C1679" s="530"/>
      <c r="D1679" s="836" t="s">
        <v>251</v>
      </c>
      <c r="E1679" s="836"/>
      <c r="F1679" s="836" t="s">
        <v>251</v>
      </c>
      <c r="G1679" s="836" t="s">
        <v>251</v>
      </c>
      <c r="H1679" s="836" t="s">
        <v>251</v>
      </c>
      <c r="I1679" s="836" t="s">
        <v>251</v>
      </c>
      <c r="J1679" s="836" t="s">
        <v>251</v>
      </c>
      <c r="K1679" s="836"/>
      <c r="L1679" s="836" t="s">
        <v>251</v>
      </c>
      <c r="M1679" s="836" t="s">
        <v>251</v>
      </c>
      <c r="N1679" s="836" t="s">
        <v>251</v>
      </c>
      <c r="O1679" s="836" t="s">
        <v>251</v>
      </c>
      <c r="P1679" s="1497">
        <f t="shared" si="133"/>
        <v>0</v>
      </c>
      <c r="Q1679" s="1186">
        <f t="shared" si="134"/>
        <v>0</v>
      </c>
      <c r="R1679" s="835"/>
      <c r="S1679" s="836"/>
      <c r="T1679" s="836"/>
      <c r="U1679" s="836"/>
      <c r="V1679" s="836"/>
      <c r="W1679" s="836"/>
      <c r="X1679" s="836"/>
      <c r="Y1679" s="836">
        <v>0</v>
      </c>
      <c r="Z1679" s="836"/>
      <c r="AA1679" s="836"/>
      <c r="AB1679" s="836"/>
      <c r="AC1679" s="836"/>
      <c r="AD1679" s="1186">
        <f t="shared" ref="AD1679:AD1742" si="136">SUM(R1679:AC1679)</f>
        <v>0</v>
      </c>
      <c r="AE1679" s="637">
        <f t="shared" ref="AE1679:AE1742" si="137">IF(OR(AD1679="", P1679=""), 0, IFERROR((AD1679-P1679)/P1679, IF(AD1679&lt;&gt;0, 1, 0)))</f>
        <v>0</v>
      </c>
      <c r="AF1679" s="638">
        <f t="shared" si="135"/>
        <v>983</v>
      </c>
    </row>
    <row r="1680" spans="1:32" x14ac:dyDescent="0.3">
      <c r="A1680" s="381" t="s">
        <v>759</v>
      </c>
      <c r="B1680" s="1021" t="s">
        <v>2210</v>
      </c>
      <c r="C1680" s="530"/>
      <c r="D1680" s="836" t="s">
        <v>251</v>
      </c>
      <c r="E1680" s="836"/>
      <c r="F1680" s="836" t="s">
        <v>251</v>
      </c>
      <c r="G1680" s="836" t="s">
        <v>251</v>
      </c>
      <c r="H1680" s="836" t="s">
        <v>251</v>
      </c>
      <c r="I1680" s="836" t="s">
        <v>251</v>
      </c>
      <c r="J1680" s="836" t="s">
        <v>251</v>
      </c>
      <c r="K1680" s="836"/>
      <c r="L1680" s="836" t="s">
        <v>251</v>
      </c>
      <c r="M1680" s="836" t="s">
        <v>251</v>
      </c>
      <c r="N1680" s="836" t="s">
        <v>251</v>
      </c>
      <c r="O1680" s="836" t="s">
        <v>251</v>
      </c>
      <c r="P1680" s="1497">
        <f t="shared" si="133"/>
        <v>0</v>
      </c>
      <c r="Q1680" s="1186">
        <f t="shared" si="134"/>
        <v>0</v>
      </c>
      <c r="R1680" s="835"/>
      <c r="S1680" s="836"/>
      <c r="T1680" s="836"/>
      <c r="U1680" s="836"/>
      <c r="V1680" s="836"/>
      <c r="W1680" s="836"/>
      <c r="X1680" s="836"/>
      <c r="Y1680" s="836"/>
      <c r="Z1680" s="836"/>
      <c r="AA1680" s="836"/>
      <c r="AB1680" s="836"/>
      <c r="AC1680" s="836"/>
      <c r="AD1680" s="1186">
        <f t="shared" si="136"/>
        <v>0</v>
      </c>
      <c r="AE1680" s="637">
        <f t="shared" si="137"/>
        <v>0</v>
      </c>
      <c r="AF1680" s="638">
        <f t="shared" si="135"/>
        <v>983</v>
      </c>
    </row>
    <row r="1681" spans="1:32" x14ac:dyDescent="0.3">
      <c r="A1681" s="381" t="s">
        <v>759</v>
      </c>
      <c r="B1681" s="1021" t="s">
        <v>1752</v>
      </c>
      <c r="C1681" s="530"/>
      <c r="D1681" s="836" t="s">
        <v>251</v>
      </c>
      <c r="E1681" s="836"/>
      <c r="F1681" s="836" t="s">
        <v>251</v>
      </c>
      <c r="G1681" s="836" t="s">
        <v>251</v>
      </c>
      <c r="H1681" s="836" t="s">
        <v>251</v>
      </c>
      <c r="I1681" s="836" t="s">
        <v>251</v>
      </c>
      <c r="J1681" s="836" t="s">
        <v>251</v>
      </c>
      <c r="K1681" s="836"/>
      <c r="L1681" s="836" t="s">
        <v>251</v>
      </c>
      <c r="M1681" s="836" t="s">
        <v>251</v>
      </c>
      <c r="N1681" s="836" t="s">
        <v>251</v>
      </c>
      <c r="O1681" s="836" t="s">
        <v>251</v>
      </c>
      <c r="P1681" s="1497">
        <f t="shared" si="133"/>
        <v>0</v>
      </c>
      <c r="Q1681" s="1186">
        <f t="shared" si="134"/>
        <v>0</v>
      </c>
      <c r="R1681" s="835"/>
      <c r="S1681" s="836"/>
      <c r="T1681" s="836"/>
      <c r="U1681" s="836"/>
      <c r="V1681" s="836"/>
      <c r="W1681" s="836"/>
      <c r="X1681" s="836"/>
      <c r="Y1681" s="836"/>
      <c r="Z1681" s="836"/>
      <c r="AA1681" s="836"/>
      <c r="AB1681" s="836"/>
      <c r="AC1681" s="836"/>
      <c r="AD1681" s="1186">
        <f t="shared" si="136"/>
        <v>0</v>
      </c>
      <c r="AE1681" s="637">
        <f t="shared" si="137"/>
        <v>0</v>
      </c>
      <c r="AF1681" s="638">
        <f t="shared" si="135"/>
        <v>983</v>
      </c>
    </row>
    <row r="1682" spans="1:32" x14ac:dyDescent="0.3">
      <c r="A1682" s="381" t="s">
        <v>759</v>
      </c>
      <c r="B1682" s="1021" t="s">
        <v>2211</v>
      </c>
      <c r="C1682" s="530"/>
      <c r="D1682" s="836" t="s">
        <v>251</v>
      </c>
      <c r="E1682" s="836"/>
      <c r="F1682" s="836" t="s">
        <v>251</v>
      </c>
      <c r="G1682" s="836" t="s">
        <v>251</v>
      </c>
      <c r="H1682" s="836" t="s">
        <v>251</v>
      </c>
      <c r="I1682" s="836" t="s">
        <v>251</v>
      </c>
      <c r="J1682" s="836" t="s">
        <v>251</v>
      </c>
      <c r="K1682" s="836"/>
      <c r="L1682" s="836" t="s">
        <v>251</v>
      </c>
      <c r="M1682" s="836" t="s">
        <v>251</v>
      </c>
      <c r="N1682" s="836" t="s">
        <v>251</v>
      </c>
      <c r="O1682" s="836" t="s">
        <v>251</v>
      </c>
      <c r="P1682" s="1497">
        <f t="shared" si="133"/>
        <v>0</v>
      </c>
      <c r="Q1682" s="1186">
        <f t="shared" si="134"/>
        <v>0</v>
      </c>
      <c r="R1682" s="835"/>
      <c r="S1682" s="836"/>
      <c r="T1682" s="836"/>
      <c r="U1682" s="836"/>
      <c r="V1682" s="836"/>
      <c r="W1682" s="836"/>
      <c r="X1682" s="836"/>
      <c r="Y1682" s="836"/>
      <c r="Z1682" s="836"/>
      <c r="AA1682" s="836"/>
      <c r="AB1682" s="836"/>
      <c r="AC1682" s="836"/>
      <c r="AD1682" s="1186">
        <f t="shared" si="136"/>
        <v>0</v>
      </c>
      <c r="AE1682" s="637">
        <f t="shared" si="137"/>
        <v>0</v>
      </c>
      <c r="AF1682" s="638">
        <f t="shared" si="135"/>
        <v>983</v>
      </c>
    </row>
    <row r="1683" spans="1:32" x14ac:dyDescent="0.3">
      <c r="A1683" s="381" t="s">
        <v>759</v>
      </c>
      <c r="B1683" s="1021" t="s">
        <v>1069</v>
      </c>
      <c r="C1683" s="530"/>
      <c r="D1683" s="836" t="s">
        <v>251</v>
      </c>
      <c r="E1683" s="836"/>
      <c r="F1683" s="836" t="s">
        <v>251</v>
      </c>
      <c r="G1683" s="836" t="s">
        <v>251</v>
      </c>
      <c r="H1683" s="836" t="s">
        <v>251</v>
      </c>
      <c r="I1683" s="836" t="s">
        <v>251</v>
      </c>
      <c r="J1683" s="836" t="s">
        <v>251</v>
      </c>
      <c r="K1683" s="836"/>
      <c r="L1683" s="836" t="s">
        <v>251</v>
      </c>
      <c r="M1683" s="836" t="s">
        <v>251</v>
      </c>
      <c r="N1683" s="836" t="s">
        <v>251</v>
      </c>
      <c r="O1683" s="836" t="s">
        <v>251</v>
      </c>
      <c r="P1683" s="1497">
        <f t="shared" si="133"/>
        <v>0</v>
      </c>
      <c r="Q1683" s="1186">
        <f t="shared" si="134"/>
        <v>0</v>
      </c>
      <c r="R1683" s="835"/>
      <c r="S1683" s="836"/>
      <c r="T1683" s="836"/>
      <c r="U1683" s="836"/>
      <c r="V1683" s="836"/>
      <c r="W1683" s="836"/>
      <c r="X1683" s="836"/>
      <c r="Y1683" s="836"/>
      <c r="Z1683" s="836"/>
      <c r="AA1683" s="836"/>
      <c r="AB1683" s="836"/>
      <c r="AC1683" s="836"/>
      <c r="AD1683" s="1186">
        <f t="shared" si="136"/>
        <v>0</v>
      </c>
      <c r="AE1683" s="637">
        <f t="shared" si="137"/>
        <v>0</v>
      </c>
      <c r="AF1683" s="638">
        <f t="shared" si="135"/>
        <v>983</v>
      </c>
    </row>
    <row r="1684" spans="1:32" x14ac:dyDescent="0.3">
      <c r="A1684" s="381" t="s">
        <v>759</v>
      </c>
      <c r="B1684" s="1021" t="s">
        <v>2212</v>
      </c>
      <c r="C1684" s="530"/>
      <c r="D1684" s="836" t="s">
        <v>251</v>
      </c>
      <c r="E1684" s="836"/>
      <c r="F1684" s="836" t="s">
        <v>251</v>
      </c>
      <c r="G1684" s="836" t="s">
        <v>251</v>
      </c>
      <c r="H1684" s="836" t="s">
        <v>251</v>
      </c>
      <c r="I1684" s="836" t="s">
        <v>251</v>
      </c>
      <c r="J1684" s="836" t="s">
        <v>251</v>
      </c>
      <c r="K1684" s="836"/>
      <c r="L1684" s="836" t="s">
        <v>251</v>
      </c>
      <c r="M1684" s="836" t="s">
        <v>251</v>
      </c>
      <c r="N1684" s="836" t="s">
        <v>251</v>
      </c>
      <c r="O1684" s="836" t="s">
        <v>251</v>
      </c>
      <c r="P1684" s="1497">
        <f t="shared" si="133"/>
        <v>0</v>
      </c>
      <c r="Q1684" s="1186">
        <f t="shared" si="134"/>
        <v>0</v>
      </c>
      <c r="R1684" s="835"/>
      <c r="S1684" s="836"/>
      <c r="T1684" s="836"/>
      <c r="U1684" s="836"/>
      <c r="V1684" s="836"/>
      <c r="W1684" s="836"/>
      <c r="X1684" s="836"/>
      <c r="Y1684" s="836"/>
      <c r="Z1684" s="836"/>
      <c r="AA1684" s="836"/>
      <c r="AB1684" s="836"/>
      <c r="AC1684" s="836"/>
      <c r="AD1684" s="1186">
        <f t="shared" si="136"/>
        <v>0</v>
      </c>
      <c r="AE1684" s="637">
        <f t="shared" si="137"/>
        <v>0</v>
      </c>
      <c r="AF1684" s="638">
        <f t="shared" si="135"/>
        <v>983</v>
      </c>
    </row>
    <row r="1685" spans="1:32" x14ac:dyDescent="0.3">
      <c r="A1685" s="381" t="s">
        <v>759</v>
      </c>
      <c r="B1685" s="1021" t="s">
        <v>2213</v>
      </c>
      <c r="C1685" s="530"/>
      <c r="D1685" s="836" t="s">
        <v>251</v>
      </c>
      <c r="E1685" s="836"/>
      <c r="F1685" s="836" t="s">
        <v>251</v>
      </c>
      <c r="G1685" s="836" t="s">
        <v>251</v>
      </c>
      <c r="H1685" s="836" t="s">
        <v>251</v>
      </c>
      <c r="I1685" s="836" t="s">
        <v>251</v>
      </c>
      <c r="J1685" s="836" t="s">
        <v>251</v>
      </c>
      <c r="K1685" s="836"/>
      <c r="L1685" s="836" t="s">
        <v>251</v>
      </c>
      <c r="M1685" s="836" t="s">
        <v>251</v>
      </c>
      <c r="N1685" s="836" t="s">
        <v>251</v>
      </c>
      <c r="O1685" s="836" t="s">
        <v>251</v>
      </c>
      <c r="P1685" s="1497">
        <f t="shared" si="133"/>
        <v>0</v>
      </c>
      <c r="Q1685" s="1186">
        <f t="shared" si="134"/>
        <v>0</v>
      </c>
      <c r="R1685" s="835"/>
      <c r="S1685" s="836"/>
      <c r="T1685" s="836"/>
      <c r="U1685" s="836"/>
      <c r="V1685" s="836"/>
      <c r="W1685" s="836"/>
      <c r="X1685" s="836"/>
      <c r="Y1685" s="836"/>
      <c r="Z1685" s="836"/>
      <c r="AA1685" s="836"/>
      <c r="AB1685" s="836"/>
      <c r="AC1685" s="836"/>
      <c r="AD1685" s="1186">
        <f t="shared" si="136"/>
        <v>0</v>
      </c>
      <c r="AE1685" s="637">
        <f t="shared" si="137"/>
        <v>0</v>
      </c>
      <c r="AF1685" s="638">
        <f t="shared" si="135"/>
        <v>983</v>
      </c>
    </row>
    <row r="1686" spans="1:32" x14ac:dyDescent="0.3">
      <c r="A1686" s="381" t="s">
        <v>759</v>
      </c>
      <c r="B1686" s="1021" t="s">
        <v>2214</v>
      </c>
      <c r="C1686" s="530"/>
      <c r="D1686" s="836" t="s">
        <v>251</v>
      </c>
      <c r="E1686" s="836"/>
      <c r="F1686" s="836" t="s">
        <v>251</v>
      </c>
      <c r="G1686" s="836" t="s">
        <v>251</v>
      </c>
      <c r="H1686" s="836" t="s">
        <v>251</v>
      </c>
      <c r="I1686" s="836" t="s">
        <v>251</v>
      </c>
      <c r="J1686" s="836" t="s">
        <v>251</v>
      </c>
      <c r="K1686" s="836"/>
      <c r="L1686" s="836" t="s">
        <v>251</v>
      </c>
      <c r="M1686" s="836" t="s">
        <v>251</v>
      </c>
      <c r="N1686" s="836" t="s">
        <v>251</v>
      </c>
      <c r="O1686" s="836" t="s">
        <v>251</v>
      </c>
      <c r="P1686" s="1497">
        <f t="shared" ref="P1686:P1749" si="138">SUM(C1686:I1686,K1686)</f>
        <v>0</v>
      </c>
      <c r="Q1686" s="1186">
        <f t="shared" ref="Q1686:Q1749" si="139">SUM(C1686:J1686,L1686:O1686)</f>
        <v>0</v>
      </c>
      <c r="R1686" s="835"/>
      <c r="S1686" s="836"/>
      <c r="T1686" s="836"/>
      <c r="U1686" s="836"/>
      <c r="V1686" s="836"/>
      <c r="W1686" s="836"/>
      <c r="X1686" s="836"/>
      <c r="Y1686" s="836"/>
      <c r="Z1686" s="836"/>
      <c r="AA1686" s="836"/>
      <c r="AB1686" s="836"/>
      <c r="AC1686" s="836"/>
      <c r="AD1686" s="1186">
        <f t="shared" si="136"/>
        <v>0</v>
      </c>
      <c r="AE1686" s="637">
        <f t="shared" si="137"/>
        <v>0</v>
      </c>
      <c r="AF1686" s="638">
        <f t="shared" si="135"/>
        <v>983</v>
      </c>
    </row>
    <row r="1687" spans="1:32" x14ac:dyDescent="0.3">
      <c r="A1687" s="381" t="s">
        <v>759</v>
      </c>
      <c r="B1687" s="1021" t="s">
        <v>2215</v>
      </c>
      <c r="C1687" s="530"/>
      <c r="D1687" s="836" t="s">
        <v>251</v>
      </c>
      <c r="E1687" s="836"/>
      <c r="F1687" s="836" t="s">
        <v>251</v>
      </c>
      <c r="G1687" s="836" t="s">
        <v>251</v>
      </c>
      <c r="H1687" s="836" t="s">
        <v>251</v>
      </c>
      <c r="I1687" s="836" t="s">
        <v>251</v>
      </c>
      <c r="J1687" s="836" t="s">
        <v>251</v>
      </c>
      <c r="K1687" s="836"/>
      <c r="L1687" s="836" t="s">
        <v>251</v>
      </c>
      <c r="M1687" s="836" t="s">
        <v>251</v>
      </c>
      <c r="N1687" s="836" t="s">
        <v>251</v>
      </c>
      <c r="O1687" s="836" t="s">
        <v>251</v>
      </c>
      <c r="P1687" s="1497">
        <f t="shared" si="138"/>
        <v>0</v>
      </c>
      <c r="Q1687" s="1186">
        <f t="shared" si="139"/>
        <v>0</v>
      </c>
      <c r="R1687" s="835"/>
      <c r="S1687" s="836"/>
      <c r="T1687" s="836"/>
      <c r="U1687" s="836"/>
      <c r="V1687" s="836"/>
      <c r="W1687" s="836"/>
      <c r="X1687" s="836"/>
      <c r="Y1687" s="836"/>
      <c r="Z1687" s="836"/>
      <c r="AA1687" s="836"/>
      <c r="AB1687" s="836"/>
      <c r="AC1687" s="836"/>
      <c r="AD1687" s="1186">
        <f t="shared" si="136"/>
        <v>0</v>
      </c>
      <c r="AE1687" s="637">
        <f t="shared" si="137"/>
        <v>0</v>
      </c>
      <c r="AF1687" s="638">
        <f t="shared" si="135"/>
        <v>983</v>
      </c>
    </row>
    <row r="1688" spans="1:32" x14ac:dyDescent="0.3">
      <c r="A1688" s="381" t="s">
        <v>759</v>
      </c>
      <c r="B1688" s="1021" t="s">
        <v>2216</v>
      </c>
      <c r="C1688" s="530"/>
      <c r="D1688" s="836" t="s">
        <v>251</v>
      </c>
      <c r="E1688" s="836"/>
      <c r="F1688" s="836" t="s">
        <v>251</v>
      </c>
      <c r="G1688" s="836" t="s">
        <v>251</v>
      </c>
      <c r="H1688" s="836" t="s">
        <v>251</v>
      </c>
      <c r="I1688" s="836" t="s">
        <v>251</v>
      </c>
      <c r="J1688" s="836" t="s">
        <v>251</v>
      </c>
      <c r="K1688" s="836"/>
      <c r="L1688" s="836" t="s">
        <v>251</v>
      </c>
      <c r="M1688" s="836" t="s">
        <v>251</v>
      </c>
      <c r="N1688" s="836" t="s">
        <v>251</v>
      </c>
      <c r="O1688" s="836" t="s">
        <v>251</v>
      </c>
      <c r="P1688" s="1497">
        <f t="shared" si="138"/>
        <v>0</v>
      </c>
      <c r="Q1688" s="1186">
        <f t="shared" si="139"/>
        <v>0</v>
      </c>
      <c r="R1688" s="835"/>
      <c r="S1688" s="836"/>
      <c r="T1688" s="836"/>
      <c r="U1688" s="836"/>
      <c r="V1688" s="836"/>
      <c r="W1688" s="836"/>
      <c r="X1688" s="836"/>
      <c r="Y1688" s="836"/>
      <c r="Z1688" s="836"/>
      <c r="AA1688" s="836"/>
      <c r="AB1688" s="836"/>
      <c r="AC1688" s="836"/>
      <c r="AD1688" s="1186">
        <f t="shared" si="136"/>
        <v>0</v>
      </c>
      <c r="AE1688" s="637">
        <f t="shared" si="137"/>
        <v>0</v>
      </c>
      <c r="AF1688" s="638">
        <f t="shared" si="135"/>
        <v>983</v>
      </c>
    </row>
    <row r="1689" spans="1:32" x14ac:dyDescent="0.3">
      <c r="A1689" s="381" t="s">
        <v>759</v>
      </c>
      <c r="B1689" s="1021" t="s">
        <v>2217</v>
      </c>
      <c r="C1689" s="530"/>
      <c r="D1689" s="836" t="s">
        <v>251</v>
      </c>
      <c r="E1689" s="836"/>
      <c r="F1689" s="836" t="s">
        <v>251</v>
      </c>
      <c r="G1689" s="836" t="s">
        <v>251</v>
      </c>
      <c r="H1689" s="836" t="s">
        <v>251</v>
      </c>
      <c r="I1689" s="836" t="s">
        <v>251</v>
      </c>
      <c r="J1689" s="836" t="s">
        <v>251</v>
      </c>
      <c r="K1689" s="836"/>
      <c r="L1689" s="836" t="s">
        <v>251</v>
      </c>
      <c r="M1689" s="836" t="s">
        <v>251</v>
      </c>
      <c r="N1689" s="836" t="s">
        <v>251</v>
      </c>
      <c r="O1689" s="836" t="s">
        <v>251</v>
      </c>
      <c r="P1689" s="1497">
        <f t="shared" si="138"/>
        <v>0</v>
      </c>
      <c r="Q1689" s="1186">
        <f t="shared" si="139"/>
        <v>0</v>
      </c>
      <c r="R1689" s="835"/>
      <c r="S1689" s="836"/>
      <c r="T1689" s="836"/>
      <c r="U1689" s="836"/>
      <c r="V1689" s="836"/>
      <c r="W1689" s="836"/>
      <c r="X1689" s="836"/>
      <c r="Y1689" s="836"/>
      <c r="Z1689" s="836"/>
      <c r="AA1689" s="836"/>
      <c r="AB1689" s="836"/>
      <c r="AC1689" s="836"/>
      <c r="AD1689" s="1186">
        <f t="shared" si="136"/>
        <v>0</v>
      </c>
      <c r="AE1689" s="637">
        <f t="shared" si="137"/>
        <v>0</v>
      </c>
      <c r="AF1689" s="638">
        <f t="shared" si="135"/>
        <v>983</v>
      </c>
    </row>
    <row r="1690" spans="1:32" x14ac:dyDescent="0.3">
      <c r="A1690" s="381" t="s">
        <v>759</v>
      </c>
      <c r="B1690" s="1021" t="s">
        <v>2218</v>
      </c>
      <c r="C1690" s="530"/>
      <c r="D1690" s="836" t="s">
        <v>251</v>
      </c>
      <c r="E1690" s="836"/>
      <c r="F1690" s="836" t="s">
        <v>251</v>
      </c>
      <c r="G1690" s="836" t="s">
        <v>251</v>
      </c>
      <c r="H1690" s="836" t="s">
        <v>251</v>
      </c>
      <c r="I1690" s="836" t="s">
        <v>251</v>
      </c>
      <c r="J1690" s="836" t="s">
        <v>251</v>
      </c>
      <c r="K1690" s="836"/>
      <c r="L1690" s="836" t="s">
        <v>251</v>
      </c>
      <c r="M1690" s="836" t="s">
        <v>251</v>
      </c>
      <c r="N1690" s="836" t="s">
        <v>251</v>
      </c>
      <c r="O1690" s="836" t="s">
        <v>251</v>
      </c>
      <c r="P1690" s="1497">
        <f t="shared" si="138"/>
        <v>0</v>
      </c>
      <c r="Q1690" s="1186">
        <f t="shared" si="139"/>
        <v>0</v>
      </c>
      <c r="R1690" s="835"/>
      <c r="S1690" s="836"/>
      <c r="T1690" s="836"/>
      <c r="U1690" s="836"/>
      <c r="V1690" s="836"/>
      <c r="W1690" s="836"/>
      <c r="X1690" s="836"/>
      <c r="Y1690" s="836"/>
      <c r="Z1690" s="836"/>
      <c r="AA1690" s="836"/>
      <c r="AB1690" s="836"/>
      <c r="AC1690" s="836"/>
      <c r="AD1690" s="1186">
        <f t="shared" si="136"/>
        <v>0</v>
      </c>
      <c r="AE1690" s="637">
        <f t="shared" si="137"/>
        <v>0</v>
      </c>
      <c r="AF1690" s="638">
        <f t="shared" si="135"/>
        <v>983</v>
      </c>
    </row>
    <row r="1691" spans="1:32" x14ac:dyDescent="0.3">
      <c r="A1691" s="381" t="s">
        <v>759</v>
      </c>
      <c r="B1691" s="1021" t="s">
        <v>1916</v>
      </c>
      <c r="C1691" s="530"/>
      <c r="D1691" s="836" t="s">
        <v>251</v>
      </c>
      <c r="E1691" s="836"/>
      <c r="F1691" s="836" t="s">
        <v>251</v>
      </c>
      <c r="G1691" s="836" t="s">
        <v>251</v>
      </c>
      <c r="H1691" s="836" t="s">
        <v>251</v>
      </c>
      <c r="I1691" s="836" t="s">
        <v>251</v>
      </c>
      <c r="J1691" s="836" t="s">
        <v>251</v>
      </c>
      <c r="K1691" s="836"/>
      <c r="L1691" s="836" t="s">
        <v>251</v>
      </c>
      <c r="M1691" s="836" t="s">
        <v>251</v>
      </c>
      <c r="N1691" s="836" t="s">
        <v>251</v>
      </c>
      <c r="O1691" s="836" t="s">
        <v>251</v>
      </c>
      <c r="P1691" s="1497">
        <f t="shared" si="138"/>
        <v>0</v>
      </c>
      <c r="Q1691" s="1186">
        <f t="shared" si="139"/>
        <v>0</v>
      </c>
      <c r="R1691" s="835"/>
      <c r="S1691" s="836"/>
      <c r="T1691" s="836"/>
      <c r="U1691" s="836"/>
      <c r="V1691" s="836"/>
      <c r="W1691" s="836"/>
      <c r="X1691" s="836"/>
      <c r="Y1691" s="836"/>
      <c r="Z1691" s="836"/>
      <c r="AA1691" s="836"/>
      <c r="AB1691" s="836"/>
      <c r="AC1691" s="836"/>
      <c r="AD1691" s="1186">
        <f t="shared" si="136"/>
        <v>0</v>
      </c>
      <c r="AE1691" s="637">
        <f t="shared" si="137"/>
        <v>0</v>
      </c>
      <c r="AF1691" s="638">
        <f t="shared" si="135"/>
        <v>983</v>
      </c>
    </row>
    <row r="1692" spans="1:32" x14ac:dyDescent="0.3">
      <c r="A1692" s="381" t="s">
        <v>759</v>
      </c>
      <c r="B1692" s="1021" t="s">
        <v>2219</v>
      </c>
      <c r="C1692" s="530"/>
      <c r="D1692" s="836" t="s">
        <v>251</v>
      </c>
      <c r="E1692" s="836"/>
      <c r="F1692" s="836" t="s">
        <v>251</v>
      </c>
      <c r="G1692" s="836" t="s">
        <v>251</v>
      </c>
      <c r="H1692" s="836" t="s">
        <v>251</v>
      </c>
      <c r="I1692" s="836" t="s">
        <v>251</v>
      </c>
      <c r="J1692" s="836" t="s">
        <v>251</v>
      </c>
      <c r="K1692" s="836"/>
      <c r="L1692" s="836" t="s">
        <v>251</v>
      </c>
      <c r="M1692" s="836" t="s">
        <v>251</v>
      </c>
      <c r="N1692" s="836" t="s">
        <v>251</v>
      </c>
      <c r="O1692" s="836" t="s">
        <v>251</v>
      </c>
      <c r="P1692" s="1497">
        <f t="shared" si="138"/>
        <v>0</v>
      </c>
      <c r="Q1692" s="1186">
        <f t="shared" si="139"/>
        <v>0</v>
      </c>
      <c r="R1692" s="835"/>
      <c r="S1692" s="836"/>
      <c r="T1692" s="836"/>
      <c r="U1692" s="836"/>
      <c r="V1692" s="836"/>
      <c r="W1692" s="836"/>
      <c r="X1692" s="836"/>
      <c r="Y1692" s="836"/>
      <c r="Z1692" s="836"/>
      <c r="AA1692" s="836"/>
      <c r="AB1692" s="836"/>
      <c r="AC1692" s="836"/>
      <c r="AD1692" s="1186">
        <f t="shared" si="136"/>
        <v>0</v>
      </c>
      <c r="AE1692" s="637">
        <f t="shared" si="137"/>
        <v>0</v>
      </c>
      <c r="AF1692" s="638">
        <f t="shared" si="135"/>
        <v>983</v>
      </c>
    </row>
    <row r="1693" spans="1:32" x14ac:dyDescent="0.3">
      <c r="A1693" s="381" t="s">
        <v>759</v>
      </c>
      <c r="B1693" s="1021" t="s">
        <v>2220</v>
      </c>
      <c r="C1693" s="530"/>
      <c r="D1693" s="836" t="s">
        <v>251</v>
      </c>
      <c r="E1693" s="836"/>
      <c r="F1693" s="836" t="s">
        <v>251</v>
      </c>
      <c r="G1693" s="836" t="s">
        <v>251</v>
      </c>
      <c r="H1693" s="836" t="s">
        <v>251</v>
      </c>
      <c r="I1693" s="836" t="s">
        <v>251</v>
      </c>
      <c r="J1693" s="836" t="s">
        <v>251</v>
      </c>
      <c r="K1693" s="836"/>
      <c r="L1693" s="836" t="s">
        <v>251</v>
      </c>
      <c r="M1693" s="836" t="s">
        <v>251</v>
      </c>
      <c r="N1693" s="836" t="s">
        <v>251</v>
      </c>
      <c r="O1693" s="836" t="s">
        <v>251</v>
      </c>
      <c r="P1693" s="1497">
        <f t="shared" si="138"/>
        <v>0</v>
      </c>
      <c r="Q1693" s="1186">
        <f t="shared" si="139"/>
        <v>0</v>
      </c>
      <c r="R1693" s="835"/>
      <c r="S1693" s="836"/>
      <c r="T1693" s="836"/>
      <c r="U1693" s="836"/>
      <c r="V1693" s="836"/>
      <c r="W1693" s="836"/>
      <c r="X1693" s="836"/>
      <c r="Y1693" s="836"/>
      <c r="Z1693" s="836"/>
      <c r="AA1693" s="836"/>
      <c r="AB1693" s="836"/>
      <c r="AC1693" s="836"/>
      <c r="AD1693" s="1186">
        <f t="shared" si="136"/>
        <v>0</v>
      </c>
      <c r="AE1693" s="637">
        <f t="shared" si="137"/>
        <v>0</v>
      </c>
      <c r="AF1693" s="638">
        <f t="shared" si="135"/>
        <v>983</v>
      </c>
    </row>
    <row r="1694" spans="1:32" x14ac:dyDescent="0.3">
      <c r="A1694" s="381" t="s">
        <v>759</v>
      </c>
      <c r="B1694" s="1021" t="s">
        <v>2221</v>
      </c>
      <c r="C1694" s="530"/>
      <c r="D1694" s="836" t="s">
        <v>251</v>
      </c>
      <c r="E1694" s="836"/>
      <c r="F1694" s="836" t="s">
        <v>251</v>
      </c>
      <c r="G1694" s="836" t="s">
        <v>251</v>
      </c>
      <c r="H1694" s="836" t="s">
        <v>251</v>
      </c>
      <c r="I1694" s="836" t="s">
        <v>251</v>
      </c>
      <c r="J1694" s="836" t="s">
        <v>251</v>
      </c>
      <c r="K1694" s="836"/>
      <c r="L1694" s="836" t="s">
        <v>251</v>
      </c>
      <c r="M1694" s="836" t="s">
        <v>251</v>
      </c>
      <c r="N1694" s="836" t="s">
        <v>251</v>
      </c>
      <c r="O1694" s="836" t="s">
        <v>251</v>
      </c>
      <c r="P1694" s="1497">
        <f t="shared" si="138"/>
        <v>0</v>
      </c>
      <c r="Q1694" s="1186">
        <f t="shared" si="139"/>
        <v>0</v>
      </c>
      <c r="R1694" s="835"/>
      <c r="S1694" s="836"/>
      <c r="T1694" s="836"/>
      <c r="U1694" s="836"/>
      <c r="V1694" s="836"/>
      <c r="W1694" s="836"/>
      <c r="X1694" s="836"/>
      <c r="Y1694" s="836"/>
      <c r="Z1694" s="836"/>
      <c r="AA1694" s="836"/>
      <c r="AB1694" s="836"/>
      <c r="AC1694" s="836"/>
      <c r="AD1694" s="1186">
        <f t="shared" si="136"/>
        <v>0</v>
      </c>
      <c r="AE1694" s="637">
        <f t="shared" si="137"/>
        <v>0</v>
      </c>
      <c r="AF1694" s="638">
        <f t="shared" si="135"/>
        <v>983</v>
      </c>
    </row>
    <row r="1695" spans="1:32" x14ac:dyDescent="0.3">
      <c r="A1695" s="381" t="s">
        <v>759</v>
      </c>
      <c r="B1695" s="1021" t="s">
        <v>2222</v>
      </c>
      <c r="C1695" s="530"/>
      <c r="D1695" s="836">
        <v>0</v>
      </c>
      <c r="E1695" s="836"/>
      <c r="F1695" s="836">
        <v>0</v>
      </c>
      <c r="G1695" s="836">
        <v>0</v>
      </c>
      <c r="H1695" s="836">
        <v>0</v>
      </c>
      <c r="I1695" s="836">
        <v>65000</v>
      </c>
      <c r="J1695" s="836">
        <v>0</v>
      </c>
      <c r="K1695" s="836">
        <v>0</v>
      </c>
      <c r="L1695" s="836">
        <v>0</v>
      </c>
      <c r="M1695" s="836">
        <v>0</v>
      </c>
      <c r="N1695" s="836">
        <v>0</v>
      </c>
      <c r="O1695" s="836" t="s">
        <v>251</v>
      </c>
      <c r="P1695" s="1497">
        <f t="shared" si="138"/>
        <v>65000</v>
      </c>
      <c r="Q1695" s="1186">
        <f t="shared" si="139"/>
        <v>65000</v>
      </c>
      <c r="R1695" s="835"/>
      <c r="S1695" s="836"/>
      <c r="T1695" s="836"/>
      <c r="U1695" s="836"/>
      <c r="V1695" s="836"/>
      <c r="W1695" s="836"/>
      <c r="X1695" s="836"/>
      <c r="Y1695" s="836"/>
      <c r="Z1695" s="836"/>
      <c r="AA1695" s="836"/>
      <c r="AB1695" s="836"/>
      <c r="AC1695" s="836"/>
      <c r="AD1695" s="1186">
        <f t="shared" si="136"/>
        <v>0</v>
      </c>
      <c r="AE1695" s="637">
        <f t="shared" si="137"/>
        <v>-1</v>
      </c>
      <c r="AF1695" s="638">
        <f t="shared" si="135"/>
        <v>983</v>
      </c>
    </row>
    <row r="1696" spans="1:32" x14ac:dyDescent="0.3">
      <c r="A1696" s="381" t="s">
        <v>759</v>
      </c>
      <c r="B1696" s="1021" t="s">
        <v>2223</v>
      </c>
      <c r="C1696" s="530"/>
      <c r="D1696" s="836" t="s">
        <v>251</v>
      </c>
      <c r="E1696" s="836"/>
      <c r="F1696" s="836" t="s">
        <v>251</v>
      </c>
      <c r="G1696" s="836" t="s">
        <v>251</v>
      </c>
      <c r="H1696" s="836" t="s">
        <v>251</v>
      </c>
      <c r="I1696" s="836" t="s">
        <v>251</v>
      </c>
      <c r="J1696" s="836" t="s">
        <v>251</v>
      </c>
      <c r="K1696" s="836"/>
      <c r="L1696" s="836" t="s">
        <v>251</v>
      </c>
      <c r="M1696" s="836" t="s">
        <v>251</v>
      </c>
      <c r="N1696" s="836" t="s">
        <v>251</v>
      </c>
      <c r="O1696" s="836" t="s">
        <v>251</v>
      </c>
      <c r="P1696" s="1497">
        <f t="shared" si="138"/>
        <v>0</v>
      </c>
      <c r="Q1696" s="1186">
        <f t="shared" si="139"/>
        <v>0</v>
      </c>
      <c r="R1696" s="835"/>
      <c r="S1696" s="836"/>
      <c r="T1696" s="836"/>
      <c r="U1696" s="836"/>
      <c r="V1696" s="836"/>
      <c r="W1696" s="836"/>
      <c r="X1696" s="836"/>
      <c r="Y1696" s="836"/>
      <c r="Z1696" s="836"/>
      <c r="AA1696" s="836"/>
      <c r="AB1696" s="836"/>
      <c r="AC1696" s="836"/>
      <c r="AD1696" s="1186">
        <f t="shared" si="136"/>
        <v>0</v>
      </c>
      <c r="AE1696" s="637">
        <f t="shared" si="137"/>
        <v>0</v>
      </c>
      <c r="AF1696" s="638">
        <f t="shared" si="135"/>
        <v>983</v>
      </c>
    </row>
    <row r="1697" spans="1:32" x14ac:dyDescent="0.3">
      <c r="A1697" s="381" t="s">
        <v>759</v>
      </c>
      <c r="B1697" s="1021" t="s">
        <v>385</v>
      </c>
      <c r="C1697" s="530"/>
      <c r="D1697" s="836" t="s">
        <v>251</v>
      </c>
      <c r="E1697" s="836"/>
      <c r="F1697" s="836" t="s">
        <v>251</v>
      </c>
      <c r="G1697" s="836" t="s">
        <v>251</v>
      </c>
      <c r="H1697" s="836" t="s">
        <v>251</v>
      </c>
      <c r="I1697" s="836" t="s">
        <v>251</v>
      </c>
      <c r="J1697" s="836" t="s">
        <v>251</v>
      </c>
      <c r="K1697" s="836"/>
      <c r="L1697" s="836" t="s">
        <v>251</v>
      </c>
      <c r="M1697" s="836" t="s">
        <v>251</v>
      </c>
      <c r="N1697" s="836" t="s">
        <v>251</v>
      </c>
      <c r="O1697" s="836" t="s">
        <v>251</v>
      </c>
      <c r="P1697" s="1497">
        <f t="shared" si="138"/>
        <v>0</v>
      </c>
      <c r="Q1697" s="1186">
        <f t="shared" si="139"/>
        <v>0</v>
      </c>
      <c r="R1697" s="835"/>
      <c r="S1697" s="836"/>
      <c r="T1697" s="836"/>
      <c r="U1697" s="836"/>
      <c r="V1697" s="836"/>
      <c r="W1697" s="836"/>
      <c r="X1697" s="836"/>
      <c r="Y1697" s="836"/>
      <c r="Z1697" s="836"/>
      <c r="AA1697" s="836"/>
      <c r="AB1697" s="836"/>
      <c r="AC1697" s="836"/>
      <c r="AD1697" s="1186">
        <f t="shared" si="136"/>
        <v>0</v>
      </c>
      <c r="AE1697" s="637">
        <f t="shared" si="137"/>
        <v>0</v>
      </c>
      <c r="AF1697" s="638">
        <f t="shared" si="135"/>
        <v>983</v>
      </c>
    </row>
    <row r="1698" spans="1:32" x14ac:dyDescent="0.3">
      <c r="A1698" s="381" t="s">
        <v>759</v>
      </c>
      <c r="B1698" s="1021" t="s">
        <v>2224</v>
      </c>
      <c r="C1698" s="530"/>
      <c r="D1698" s="836" t="s">
        <v>251</v>
      </c>
      <c r="E1698" s="836"/>
      <c r="F1698" s="836" t="s">
        <v>251</v>
      </c>
      <c r="G1698" s="836" t="s">
        <v>251</v>
      </c>
      <c r="H1698" s="836" t="s">
        <v>251</v>
      </c>
      <c r="I1698" s="836" t="s">
        <v>251</v>
      </c>
      <c r="J1698" s="836" t="s">
        <v>251</v>
      </c>
      <c r="K1698" s="836"/>
      <c r="L1698" s="836" t="s">
        <v>251</v>
      </c>
      <c r="M1698" s="836" t="s">
        <v>251</v>
      </c>
      <c r="N1698" s="836" t="s">
        <v>251</v>
      </c>
      <c r="O1698" s="836" t="s">
        <v>251</v>
      </c>
      <c r="P1698" s="1497">
        <f t="shared" si="138"/>
        <v>0</v>
      </c>
      <c r="Q1698" s="1186">
        <f t="shared" si="139"/>
        <v>0</v>
      </c>
      <c r="R1698" s="835"/>
      <c r="S1698" s="836"/>
      <c r="T1698" s="836"/>
      <c r="U1698" s="836"/>
      <c r="V1698" s="836"/>
      <c r="W1698" s="836"/>
      <c r="X1698" s="836"/>
      <c r="Y1698" s="836"/>
      <c r="Z1698" s="836"/>
      <c r="AA1698" s="836"/>
      <c r="AB1698" s="836"/>
      <c r="AC1698" s="836"/>
      <c r="AD1698" s="1186">
        <f t="shared" si="136"/>
        <v>0</v>
      </c>
      <c r="AE1698" s="637">
        <f t="shared" si="137"/>
        <v>0</v>
      </c>
      <c r="AF1698" s="638">
        <f t="shared" si="135"/>
        <v>983</v>
      </c>
    </row>
    <row r="1699" spans="1:32" x14ac:dyDescent="0.3">
      <c r="A1699" s="381" t="s">
        <v>759</v>
      </c>
      <c r="B1699" s="1021" t="s">
        <v>952</v>
      </c>
      <c r="C1699" s="530"/>
      <c r="D1699" s="836" t="s">
        <v>251</v>
      </c>
      <c r="E1699" s="836"/>
      <c r="F1699" s="836" t="s">
        <v>251</v>
      </c>
      <c r="G1699" s="836" t="s">
        <v>251</v>
      </c>
      <c r="H1699" s="836" t="s">
        <v>251</v>
      </c>
      <c r="I1699" s="836" t="s">
        <v>251</v>
      </c>
      <c r="J1699" s="836" t="s">
        <v>251</v>
      </c>
      <c r="K1699" s="836"/>
      <c r="L1699" s="836" t="s">
        <v>251</v>
      </c>
      <c r="M1699" s="836" t="s">
        <v>251</v>
      </c>
      <c r="N1699" s="836" t="s">
        <v>251</v>
      </c>
      <c r="O1699" s="836" t="s">
        <v>251</v>
      </c>
      <c r="P1699" s="1497">
        <f t="shared" si="138"/>
        <v>0</v>
      </c>
      <c r="Q1699" s="1186">
        <f t="shared" si="139"/>
        <v>0</v>
      </c>
      <c r="R1699" s="835"/>
      <c r="S1699" s="836"/>
      <c r="T1699" s="836"/>
      <c r="U1699" s="836"/>
      <c r="V1699" s="836"/>
      <c r="W1699" s="836"/>
      <c r="X1699" s="836"/>
      <c r="Y1699" s="836"/>
      <c r="Z1699" s="836"/>
      <c r="AA1699" s="836"/>
      <c r="AB1699" s="836"/>
      <c r="AC1699" s="836"/>
      <c r="AD1699" s="1186">
        <f t="shared" si="136"/>
        <v>0</v>
      </c>
      <c r="AE1699" s="637">
        <f t="shared" si="137"/>
        <v>0</v>
      </c>
      <c r="AF1699" s="638">
        <f t="shared" si="135"/>
        <v>983</v>
      </c>
    </row>
    <row r="1700" spans="1:32" x14ac:dyDescent="0.3">
      <c r="A1700" s="381" t="s">
        <v>759</v>
      </c>
      <c r="B1700" s="1021" t="s">
        <v>2225</v>
      </c>
      <c r="C1700" s="530"/>
      <c r="D1700" s="836">
        <v>0</v>
      </c>
      <c r="E1700" s="836"/>
      <c r="F1700" s="836">
        <v>0</v>
      </c>
      <c r="G1700" s="836">
        <v>190000</v>
      </c>
      <c r="H1700" s="836">
        <v>0</v>
      </c>
      <c r="I1700" s="836">
        <v>0</v>
      </c>
      <c r="J1700" s="836">
        <v>0</v>
      </c>
      <c r="K1700" s="836">
        <v>0</v>
      </c>
      <c r="L1700" s="836">
        <v>0</v>
      </c>
      <c r="M1700" s="836">
        <v>0</v>
      </c>
      <c r="N1700" s="836">
        <v>0</v>
      </c>
      <c r="O1700" s="836" t="s">
        <v>251</v>
      </c>
      <c r="P1700" s="1497">
        <f t="shared" si="138"/>
        <v>190000</v>
      </c>
      <c r="Q1700" s="1186">
        <f t="shared" si="139"/>
        <v>190000</v>
      </c>
      <c r="R1700" s="835"/>
      <c r="S1700" s="836"/>
      <c r="T1700" s="836"/>
      <c r="U1700" s="836"/>
      <c r="V1700" s="836"/>
      <c r="W1700" s="836"/>
      <c r="X1700" s="836"/>
      <c r="Y1700" s="836"/>
      <c r="Z1700" s="836"/>
      <c r="AA1700" s="836"/>
      <c r="AB1700" s="836"/>
      <c r="AC1700" s="836"/>
      <c r="AD1700" s="1186">
        <f t="shared" si="136"/>
        <v>0</v>
      </c>
      <c r="AE1700" s="637">
        <f t="shared" si="137"/>
        <v>-1</v>
      </c>
      <c r="AF1700" s="638">
        <f t="shared" si="135"/>
        <v>983</v>
      </c>
    </row>
    <row r="1701" spans="1:32" x14ac:dyDescent="0.3">
      <c r="A1701" s="381" t="s">
        <v>759</v>
      </c>
      <c r="B1701" s="1021" t="s">
        <v>2226</v>
      </c>
      <c r="C1701" s="530"/>
      <c r="D1701" s="836">
        <v>0</v>
      </c>
      <c r="E1701" s="836"/>
      <c r="F1701" s="836">
        <v>0</v>
      </c>
      <c r="G1701" s="836">
        <v>7100</v>
      </c>
      <c r="H1701" s="836">
        <v>0</v>
      </c>
      <c r="I1701" s="836">
        <v>0</v>
      </c>
      <c r="J1701" s="836">
        <v>0</v>
      </c>
      <c r="K1701" s="836">
        <v>0</v>
      </c>
      <c r="L1701" s="836">
        <v>0</v>
      </c>
      <c r="M1701" s="836">
        <v>0</v>
      </c>
      <c r="N1701" s="836">
        <v>0</v>
      </c>
      <c r="O1701" s="836" t="s">
        <v>251</v>
      </c>
      <c r="P1701" s="1497">
        <f t="shared" si="138"/>
        <v>7100</v>
      </c>
      <c r="Q1701" s="1186">
        <f t="shared" si="139"/>
        <v>7100</v>
      </c>
      <c r="R1701" s="835"/>
      <c r="S1701" s="836"/>
      <c r="T1701" s="836"/>
      <c r="U1701" s="836"/>
      <c r="V1701" s="836"/>
      <c r="W1701" s="836"/>
      <c r="X1701" s="836"/>
      <c r="Y1701" s="836"/>
      <c r="Z1701" s="836"/>
      <c r="AA1701" s="836"/>
      <c r="AB1701" s="836"/>
      <c r="AC1701" s="836"/>
      <c r="AD1701" s="1186">
        <f t="shared" si="136"/>
        <v>0</v>
      </c>
      <c r="AE1701" s="637">
        <f t="shared" si="137"/>
        <v>-1</v>
      </c>
      <c r="AF1701" s="638">
        <f t="shared" si="135"/>
        <v>983</v>
      </c>
    </row>
    <row r="1702" spans="1:32" x14ac:dyDescent="0.3">
      <c r="A1702" s="381" t="s">
        <v>759</v>
      </c>
      <c r="B1702" s="1021" t="s">
        <v>1376</v>
      </c>
      <c r="C1702" s="530"/>
      <c r="D1702" s="836">
        <v>0</v>
      </c>
      <c r="E1702" s="836"/>
      <c r="F1702" s="836">
        <v>0</v>
      </c>
      <c r="G1702" s="836">
        <v>0</v>
      </c>
      <c r="H1702" s="836">
        <v>12400</v>
      </c>
      <c r="I1702" s="836">
        <v>0</v>
      </c>
      <c r="J1702" s="836">
        <v>0</v>
      </c>
      <c r="K1702" s="836">
        <v>0</v>
      </c>
      <c r="L1702" s="836">
        <v>0</v>
      </c>
      <c r="M1702" s="836">
        <v>0</v>
      </c>
      <c r="N1702" s="836">
        <v>0</v>
      </c>
      <c r="O1702" s="836" t="s">
        <v>251</v>
      </c>
      <c r="P1702" s="1497">
        <f t="shared" si="138"/>
        <v>12400</v>
      </c>
      <c r="Q1702" s="1186">
        <f t="shared" si="139"/>
        <v>12400</v>
      </c>
      <c r="R1702" s="835"/>
      <c r="S1702" s="836">
        <v>685000</v>
      </c>
      <c r="T1702" s="836">
        <v>0</v>
      </c>
      <c r="U1702" s="836">
        <v>0</v>
      </c>
      <c r="V1702" s="836">
        <v>0</v>
      </c>
      <c r="W1702" s="836">
        <v>0</v>
      </c>
      <c r="X1702" s="836">
        <v>0</v>
      </c>
      <c r="Y1702" s="836">
        <v>0</v>
      </c>
      <c r="Z1702" s="836"/>
      <c r="AA1702" s="836"/>
      <c r="AB1702" s="836"/>
      <c r="AC1702" s="836"/>
      <c r="AD1702" s="1186">
        <f t="shared" si="136"/>
        <v>685000</v>
      </c>
      <c r="AE1702" s="637">
        <f t="shared" si="137"/>
        <v>54.241935483870968</v>
      </c>
      <c r="AF1702" s="638">
        <f t="shared" si="135"/>
        <v>384</v>
      </c>
    </row>
    <row r="1703" spans="1:32" x14ac:dyDescent="0.3">
      <c r="A1703" s="381" t="s">
        <v>759</v>
      </c>
      <c r="B1703" s="1021" t="s">
        <v>634</v>
      </c>
      <c r="C1703" s="530"/>
      <c r="D1703" s="836">
        <v>0</v>
      </c>
      <c r="E1703" s="836"/>
      <c r="F1703" s="836">
        <v>0</v>
      </c>
      <c r="G1703" s="836">
        <v>0</v>
      </c>
      <c r="H1703" s="836">
        <v>12000</v>
      </c>
      <c r="I1703" s="836">
        <v>0</v>
      </c>
      <c r="J1703" s="836">
        <v>101500</v>
      </c>
      <c r="K1703" s="836">
        <v>0</v>
      </c>
      <c r="L1703" s="836">
        <v>0</v>
      </c>
      <c r="M1703" s="836">
        <v>192500</v>
      </c>
      <c r="N1703" s="836">
        <v>20000</v>
      </c>
      <c r="O1703" s="836">
        <v>15000</v>
      </c>
      <c r="P1703" s="1497">
        <f t="shared" si="138"/>
        <v>12000</v>
      </c>
      <c r="Q1703" s="1186">
        <f t="shared" si="139"/>
        <v>341000</v>
      </c>
      <c r="R1703" s="835">
        <v>5000</v>
      </c>
      <c r="S1703" s="836"/>
      <c r="T1703" s="836">
        <v>192500</v>
      </c>
      <c r="U1703" s="836">
        <v>92500</v>
      </c>
      <c r="V1703" s="836">
        <v>10000</v>
      </c>
      <c r="W1703" s="836"/>
      <c r="X1703" s="836">
        <v>31000</v>
      </c>
      <c r="Y1703" s="836">
        <v>0</v>
      </c>
      <c r="Z1703" s="836"/>
      <c r="AA1703" s="836"/>
      <c r="AB1703" s="836"/>
      <c r="AC1703" s="836"/>
      <c r="AD1703" s="1186">
        <f t="shared" si="136"/>
        <v>331000</v>
      </c>
      <c r="AE1703" s="637">
        <f t="shared" si="137"/>
        <v>26.583333333333332</v>
      </c>
      <c r="AF1703" s="638">
        <f t="shared" si="135"/>
        <v>513</v>
      </c>
    </row>
    <row r="1704" spans="1:32" x14ac:dyDescent="0.3">
      <c r="A1704" s="381" t="s">
        <v>759</v>
      </c>
      <c r="B1704" s="1021" t="s">
        <v>2227</v>
      </c>
      <c r="C1704" s="530"/>
      <c r="D1704" s="836">
        <v>0</v>
      </c>
      <c r="E1704" s="836"/>
      <c r="F1704" s="836">
        <v>0</v>
      </c>
      <c r="G1704" s="836">
        <v>0</v>
      </c>
      <c r="H1704" s="836">
        <v>1182000</v>
      </c>
      <c r="I1704" s="836">
        <v>588000</v>
      </c>
      <c r="J1704" s="836">
        <v>495000</v>
      </c>
      <c r="K1704" s="836">
        <v>340000</v>
      </c>
      <c r="L1704" s="836">
        <v>120000</v>
      </c>
      <c r="M1704" s="836">
        <v>0</v>
      </c>
      <c r="N1704" s="836">
        <v>438000</v>
      </c>
      <c r="O1704" s="836">
        <v>442000</v>
      </c>
      <c r="P1704" s="1497">
        <f t="shared" si="138"/>
        <v>2110000</v>
      </c>
      <c r="Q1704" s="1186">
        <f t="shared" si="139"/>
        <v>3265000</v>
      </c>
      <c r="R1704" s="835">
        <v>100000</v>
      </c>
      <c r="S1704" s="836"/>
      <c r="T1704" s="836">
        <v>0</v>
      </c>
      <c r="U1704" s="836">
        <v>0</v>
      </c>
      <c r="V1704" s="836">
        <v>0</v>
      </c>
      <c r="W1704" s="836">
        <v>0</v>
      </c>
      <c r="X1704" s="836">
        <v>0</v>
      </c>
      <c r="Y1704" s="836">
        <v>0</v>
      </c>
      <c r="Z1704" s="836"/>
      <c r="AA1704" s="836"/>
      <c r="AB1704" s="836"/>
      <c r="AC1704" s="836"/>
      <c r="AD1704" s="1186">
        <f t="shared" si="136"/>
        <v>100000</v>
      </c>
      <c r="AE1704" s="637">
        <f t="shared" si="137"/>
        <v>-0.95260663507109</v>
      </c>
      <c r="AF1704" s="638">
        <f t="shared" si="135"/>
        <v>740</v>
      </c>
    </row>
    <row r="1705" spans="1:32" x14ac:dyDescent="0.3">
      <c r="A1705" s="381" t="s">
        <v>759</v>
      </c>
      <c r="B1705" s="1021" t="s">
        <v>1343</v>
      </c>
      <c r="C1705" s="530"/>
      <c r="D1705" s="836">
        <v>0</v>
      </c>
      <c r="E1705" s="836"/>
      <c r="F1705" s="836">
        <v>0</v>
      </c>
      <c r="G1705" s="836">
        <v>0</v>
      </c>
      <c r="H1705" s="836">
        <v>805000</v>
      </c>
      <c r="I1705" s="836">
        <v>0</v>
      </c>
      <c r="J1705" s="836">
        <v>0</v>
      </c>
      <c r="K1705" s="836">
        <v>0</v>
      </c>
      <c r="L1705" s="836">
        <v>0</v>
      </c>
      <c r="M1705" s="836">
        <v>0</v>
      </c>
      <c r="N1705" s="836">
        <v>0</v>
      </c>
      <c r="O1705" s="836" t="s">
        <v>251</v>
      </c>
      <c r="P1705" s="1497">
        <f t="shared" si="138"/>
        <v>805000</v>
      </c>
      <c r="Q1705" s="1186">
        <f t="shared" si="139"/>
        <v>805000</v>
      </c>
      <c r="R1705" s="835"/>
      <c r="S1705" s="836"/>
      <c r="T1705" s="836"/>
      <c r="U1705" s="836"/>
      <c r="V1705" s="836"/>
      <c r="W1705" s="836"/>
      <c r="X1705" s="836"/>
      <c r="Y1705" s="836"/>
      <c r="Z1705" s="836"/>
      <c r="AA1705" s="836"/>
      <c r="AB1705" s="836"/>
      <c r="AC1705" s="836"/>
      <c r="AD1705" s="1186">
        <f t="shared" si="136"/>
        <v>0</v>
      </c>
      <c r="AE1705" s="637">
        <f t="shared" si="137"/>
        <v>-1</v>
      </c>
      <c r="AF1705" s="638">
        <f t="shared" si="135"/>
        <v>983</v>
      </c>
    </row>
    <row r="1706" spans="1:32" x14ac:dyDescent="0.3">
      <c r="A1706" s="381" t="s">
        <v>759</v>
      </c>
      <c r="B1706" s="1021" t="s">
        <v>1408</v>
      </c>
      <c r="C1706" s="530"/>
      <c r="D1706" s="836">
        <v>0</v>
      </c>
      <c r="E1706" s="836"/>
      <c r="F1706" s="836">
        <v>0</v>
      </c>
      <c r="G1706" s="836">
        <v>0</v>
      </c>
      <c r="H1706" s="836">
        <v>110000</v>
      </c>
      <c r="I1706" s="836">
        <v>0</v>
      </c>
      <c r="J1706" s="836">
        <v>0</v>
      </c>
      <c r="K1706" s="836">
        <v>0</v>
      </c>
      <c r="L1706" s="836">
        <v>0</v>
      </c>
      <c r="M1706" s="836">
        <v>0</v>
      </c>
      <c r="N1706" s="836">
        <v>0</v>
      </c>
      <c r="O1706" s="836" t="s">
        <v>251</v>
      </c>
      <c r="P1706" s="1497">
        <f t="shared" si="138"/>
        <v>110000</v>
      </c>
      <c r="Q1706" s="1186">
        <f t="shared" si="139"/>
        <v>110000</v>
      </c>
      <c r="R1706" s="835"/>
      <c r="S1706" s="836"/>
      <c r="T1706" s="836"/>
      <c r="U1706" s="836"/>
      <c r="V1706" s="836"/>
      <c r="W1706" s="836"/>
      <c r="X1706" s="836">
        <v>190000</v>
      </c>
      <c r="Y1706" s="836">
        <v>70000</v>
      </c>
      <c r="Z1706" s="836"/>
      <c r="AA1706" s="836"/>
      <c r="AB1706" s="836"/>
      <c r="AC1706" s="836"/>
      <c r="AD1706" s="1186">
        <f t="shared" si="136"/>
        <v>260000</v>
      </c>
      <c r="AE1706" s="637">
        <f t="shared" si="137"/>
        <v>1.3636363636363635</v>
      </c>
      <c r="AF1706" s="638">
        <f t="shared" si="135"/>
        <v>558</v>
      </c>
    </row>
    <row r="1707" spans="1:32" x14ac:dyDescent="0.3">
      <c r="A1707" s="381" t="s">
        <v>759</v>
      </c>
      <c r="B1707" s="1021" t="s">
        <v>2228</v>
      </c>
      <c r="C1707" s="530"/>
      <c r="D1707" s="836">
        <v>0</v>
      </c>
      <c r="E1707" s="836"/>
      <c r="F1707" s="836">
        <v>0</v>
      </c>
      <c r="G1707" s="836">
        <v>0</v>
      </c>
      <c r="H1707" s="836">
        <v>195000</v>
      </c>
      <c r="I1707" s="836">
        <v>658000</v>
      </c>
      <c r="J1707" s="836">
        <v>140000</v>
      </c>
      <c r="K1707" s="836">
        <v>105000</v>
      </c>
      <c r="L1707" s="836">
        <v>0</v>
      </c>
      <c r="M1707" s="836">
        <v>0</v>
      </c>
      <c r="N1707" s="836">
        <v>0</v>
      </c>
      <c r="O1707" s="836" t="s">
        <v>251</v>
      </c>
      <c r="P1707" s="1497">
        <f t="shared" si="138"/>
        <v>958000</v>
      </c>
      <c r="Q1707" s="1186">
        <f t="shared" si="139"/>
        <v>993000</v>
      </c>
      <c r="R1707" s="835"/>
      <c r="S1707" s="836"/>
      <c r="T1707" s="836"/>
      <c r="U1707" s="836"/>
      <c r="V1707" s="836"/>
      <c r="W1707" s="836">
        <v>80000</v>
      </c>
      <c r="X1707" s="836">
        <v>0</v>
      </c>
      <c r="Y1707" s="836">
        <v>0</v>
      </c>
      <c r="Z1707" s="836"/>
      <c r="AA1707" s="836"/>
      <c r="AB1707" s="836"/>
      <c r="AC1707" s="836"/>
      <c r="AD1707" s="1186">
        <f t="shared" si="136"/>
        <v>80000</v>
      </c>
      <c r="AE1707" s="637">
        <f t="shared" si="137"/>
        <v>-0.91649269311064718</v>
      </c>
      <c r="AF1707" s="638">
        <f t="shared" si="135"/>
        <v>773</v>
      </c>
    </row>
    <row r="1708" spans="1:32" x14ac:dyDescent="0.3">
      <c r="A1708" s="381" t="s">
        <v>759</v>
      </c>
      <c r="B1708" s="1021" t="s">
        <v>657</v>
      </c>
      <c r="C1708" s="530"/>
      <c r="D1708" s="836">
        <v>0</v>
      </c>
      <c r="E1708" s="836"/>
      <c r="F1708" s="836">
        <v>0</v>
      </c>
      <c r="G1708" s="836">
        <v>0</v>
      </c>
      <c r="H1708" s="836">
        <v>30000</v>
      </c>
      <c r="I1708" s="836">
        <v>15000</v>
      </c>
      <c r="J1708" s="836">
        <v>37500</v>
      </c>
      <c r="K1708" s="836">
        <v>0</v>
      </c>
      <c r="L1708" s="836">
        <v>15000</v>
      </c>
      <c r="M1708" s="836">
        <v>0</v>
      </c>
      <c r="N1708" s="836">
        <v>0</v>
      </c>
      <c r="O1708" s="836" t="s">
        <v>251</v>
      </c>
      <c r="P1708" s="1497">
        <f t="shared" si="138"/>
        <v>45000</v>
      </c>
      <c r="Q1708" s="1186">
        <f t="shared" si="139"/>
        <v>97500</v>
      </c>
      <c r="R1708" s="835">
        <v>239000</v>
      </c>
      <c r="S1708" s="836"/>
      <c r="T1708" s="836">
        <v>135000</v>
      </c>
      <c r="U1708" s="836">
        <v>90000</v>
      </c>
      <c r="V1708" s="836">
        <v>37500</v>
      </c>
      <c r="W1708" s="836">
        <v>0</v>
      </c>
      <c r="X1708" s="836">
        <v>0</v>
      </c>
      <c r="Y1708" s="836">
        <v>0</v>
      </c>
      <c r="Z1708" s="836"/>
      <c r="AA1708" s="836"/>
      <c r="AB1708" s="836"/>
      <c r="AC1708" s="836"/>
      <c r="AD1708" s="1186">
        <f t="shared" si="136"/>
        <v>501500</v>
      </c>
      <c r="AE1708" s="637">
        <f t="shared" si="137"/>
        <v>10.144444444444444</v>
      </c>
      <c r="AF1708" s="638">
        <f t="shared" si="135"/>
        <v>440</v>
      </c>
    </row>
    <row r="1709" spans="1:32" x14ac:dyDescent="0.3">
      <c r="A1709" s="381" t="s">
        <v>759</v>
      </c>
      <c r="B1709" s="1021" t="s">
        <v>2229</v>
      </c>
      <c r="C1709" s="530"/>
      <c r="D1709" s="836">
        <v>0</v>
      </c>
      <c r="E1709" s="836"/>
      <c r="F1709" s="836">
        <v>0</v>
      </c>
      <c r="G1709" s="836">
        <v>0</v>
      </c>
      <c r="H1709" s="836">
        <v>323000</v>
      </c>
      <c r="I1709" s="836">
        <v>217000</v>
      </c>
      <c r="J1709" s="836">
        <v>0</v>
      </c>
      <c r="K1709" s="836">
        <v>0</v>
      </c>
      <c r="L1709" s="836">
        <v>0</v>
      </c>
      <c r="M1709" s="836">
        <v>0</v>
      </c>
      <c r="N1709" s="836">
        <v>0</v>
      </c>
      <c r="O1709" s="836" t="s">
        <v>251</v>
      </c>
      <c r="P1709" s="1497">
        <f t="shared" si="138"/>
        <v>540000</v>
      </c>
      <c r="Q1709" s="1186">
        <f t="shared" si="139"/>
        <v>540000</v>
      </c>
      <c r="R1709" s="835"/>
      <c r="S1709" s="836"/>
      <c r="T1709" s="836"/>
      <c r="U1709" s="836"/>
      <c r="V1709" s="836"/>
      <c r="W1709" s="836"/>
      <c r="X1709" s="836"/>
      <c r="Y1709" s="836"/>
      <c r="Z1709" s="836"/>
      <c r="AA1709" s="836"/>
      <c r="AB1709" s="836"/>
      <c r="AC1709" s="836"/>
      <c r="AD1709" s="1186">
        <f t="shared" si="136"/>
        <v>0</v>
      </c>
      <c r="AE1709" s="637">
        <f t="shared" si="137"/>
        <v>-1</v>
      </c>
      <c r="AF1709" s="638">
        <f t="shared" si="135"/>
        <v>983</v>
      </c>
    </row>
    <row r="1710" spans="1:32" x14ac:dyDescent="0.3">
      <c r="A1710" s="381" t="s">
        <v>759</v>
      </c>
      <c r="B1710" s="1021" t="s">
        <v>2230</v>
      </c>
      <c r="C1710" s="530"/>
      <c r="D1710" s="836">
        <v>0</v>
      </c>
      <c r="E1710" s="836"/>
      <c r="F1710" s="836">
        <v>0</v>
      </c>
      <c r="G1710" s="836">
        <v>0</v>
      </c>
      <c r="H1710" s="836">
        <v>341800</v>
      </c>
      <c r="I1710" s="836">
        <v>131000</v>
      </c>
      <c r="J1710" s="836">
        <v>0</v>
      </c>
      <c r="K1710" s="836">
        <v>0</v>
      </c>
      <c r="L1710" s="836">
        <v>0</v>
      </c>
      <c r="M1710" s="836">
        <v>0</v>
      </c>
      <c r="N1710" s="836">
        <v>0</v>
      </c>
      <c r="O1710" s="836" t="s">
        <v>251</v>
      </c>
      <c r="P1710" s="1497">
        <f t="shared" si="138"/>
        <v>472800</v>
      </c>
      <c r="Q1710" s="1186">
        <f t="shared" si="139"/>
        <v>472800</v>
      </c>
      <c r="R1710" s="835"/>
      <c r="S1710" s="836"/>
      <c r="T1710" s="836"/>
      <c r="U1710" s="836"/>
      <c r="V1710" s="836"/>
      <c r="W1710" s="836"/>
      <c r="X1710" s="836"/>
      <c r="Y1710" s="836"/>
      <c r="Z1710" s="836"/>
      <c r="AA1710" s="836"/>
      <c r="AB1710" s="836"/>
      <c r="AC1710" s="836"/>
      <c r="AD1710" s="1186">
        <f t="shared" si="136"/>
        <v>0</v>
      </c>
      <c r="AE1710" s="637">
        <f t="shared" si="137"/>
        <v>-1</v>
      </c>
      <c r="AF1710" s="638">
        <f t="shared" si="135"/>
        <v>983</v>
      </c>
    </row>
    <row r="1711" spans="1:32" x14ac:dyDescent="0.3">
      <c r="A1711" s="381" t="s">
        <v>759</v>
      </c>
      <c r="B1711" s="1021" t="s">
        <v>2231</v>
      </c>
      <c r="C1711" s="530"/>
      <c r="D1711" s="836">
        <v>0</v>
      </c>
      <c r="E1711" s="836"/>
      <c r="F1711" s="836">
        <v>0</v>
      </c>
      <c r="G1711" s="836">
        <v>0</v>
      </c>
      <c r="H1711" s="836">
        <v>308000</v>
      </c>
      <c r="I1711" s="836">
        <v>0</v>
      </c>
      <c r="J1711" s="836">
        <v>0</v>
      </c>
      <c r="K1711" s="836">
        <v>0</v>
      </c>
      <c r="L1711" s="836">
        <v>0</v>
      </c>
      <c r="M1711" s="836">
        <v>0</v>
      </c>
      <c r="N1711" s="836">
        <v>0</v>
      </c>
      <c r="O1711" s="836" t="s">
        <v>251</v>
      </c>
      <c r="P1711" s="1497">
        <f t="shared" si="138"/>
        <v>308000</v>
      </c>
      <c r="Q1711" s="1186">
        <f t="shared" si="139"/>
        <v>308000</v>
      </c>
      <c r="R1711" s="835"/>
      <c r="S1711" s="836"/>
      <c r="T1711" s="836"/>
      <c r="U1711" s="836"/>
      <c r="V1711" s="836"/>
      <c r="W1711" s="836"/>
      <c r="X1711" s="836"/>
      <c r="Y1711" s="836"/>
      <c r="Z1711" s="836"/>
      <c r="AA1711" s="836"/>
      <c r="AB1711" s="836"/>
      <c r="AC1711" s="836"/>
      <c r="AD1711" s="1186">
        <f t="shared" si="136"/>
        <v>0</v>
      </c>
      <c r="AE1711" s="637">
        <f t="shared" si="137"/>
        <v>-1</v>
      </c>
      <c r="AF1711" s="638">
        <f t="shared" si="135"/>
        <v>983</v>
      </c>
    </row>
    <row r="1712" spans="1:32" x14ac:dyDescent="0.3">
      <c r="A1712" s="381" t="s">
        <v>759</v>
      </c>
      <c r="B1712" s="1021" t="s">
        <v>2232</v>
      </c>
      <c r="C1712" s="530"/>
      <c r="D1712" s="836">
        <v>0</v>
      </c>
      <c r="E1712" s="836"/>
      <c r="F1712" s="836">
        <v>0</v>
      </c>
      <c r="G1712" s="836">
        <v>0</v>
      </c>
      <c r="H1712" s="836">
        <v>245600</v>
      </c>
      <c r="I1712" s="836">
        <v>0</v>
      </c>
      <c r="J1712" s="836">
        <v>0</v>
      </c>
      <c r="K1712" s="836">
        <v>0</v>
      </c>
      <c r="L1712" s="836">
        <v>0</v>
      </c>
      <c r="M1712" s="836">
        <v>0</v>
      </c>
      <c r="N1712" s="836">
        <v>0</v>
      </c>
      <c r="O1712" s="836" t="s">
        <v>251</v>
      </c>
      <c r="P1712" s="1497">
        <f t="shared" si="138"/>
        <v>245600</v>
      </c>
      <c r="Q1712" s="1186">
        <f t="shared" si="139"/>
        <v>245600</v>
      </c>
      <c r="R1712" s="835"/>
      <c r="S1712" s="836"/>
      <c r="T1712" s="836"/>
      <c r="U1712" s="836"/>
      <c r="V1712" s="836"/>
      <c r="W1712" s="836"/>
      <c r="X1712" s="836"/>
      <c r="Y1712" s="836"/>
      <c r="Z1712" s="836"/>
      <c r="AA1712" s="836"/>
      <c r="AB1712" s="836"/>
      <c r="AC1712" s="836"/>
      <c r="AD1712" s="1186">
        <f t="shared" si="136"/>
        <v>0</v>
      </c>
      <c r="AE1712" s="637">
        <f t="shared" si="137"/>
        <v>-1</v>
      </c>
      <c r="AF1712" s="638">
        <f t="shared" si="135"/>
        <v>983</v>
      </c>
    </row>
    <row r="1713" spans="1:32" x14ac:dyDescent="0.3">
      <c r="A1713" s="381" t="s">
        <v>759</v>
      </c>
      <c r="B1713" s="1021" t="s">
        <v>1156</v>
      </c>
      <c r="C1713" s="530"/>
      <c r="D1713" s="836">
        <v>0</v>
      </c>
      <c r="E1713" s="836"/>
      <c r="F1713" s="836">
        <v>0</v>
      </c>
      <c r="G1713" s="836">
        <v>0</v>
      </c>
      <c r="H1713" s="836">
        <v>129000</v>
      </c>
      <c r="I1713" s="836">
        <v>0</v>
      </c>
      <c r="J1713" s="836">
        <v>0</v>
      </c>
      <c r="K1713" s="836">
        <v>0</v>
      </c>
      <c r="L1713" s="836">
        <v>0</v>
      </c>
      <c r="M1713" s="836">
        <v>0</v>
      </c>
      <c r="N1713" s="836">
        <v>0</v>
      </c>
      <c r="O1713" s="836" t="s">
        <v>251</v>
      </c>
      <c r="P1713" s="1497">
        <f t="shared" si="138"/>
        <v>129000</v>
      </c>
      <c r="Q1713" s="1186">
        <f t="shared" si="139"/>
        <v>129000</v>
      </c>
      <c r="R1713" s="835"/>
      <c r="S1713" s="836"/>
      <c r="T1713" s="836"/>
      <c r="U1713" s="836"/>
      <c r="V1713" s="836"/>
      <c r="W1713" s="836"/>
      <c r="X1713" s="836"/>
      <c r="Y1713" s="836"/>
      <c r="Z1713" s="836"/>
      <c r="AA1713" s="836"/>
      <c r="AB1713" s="836"/>
      <c r="AC1713" s="836"/>
      <c r="AD1713" s="1186">
        <f t="shared" si="136"/>
        <v>0</v>
      </c>
      <c r="AE1713" s="637">
        <f t="shared" si="137"/>
        <v>-1</v>
      </c>
      <c r="AF1713" s="638">
        <f t="shared" si="135"/>
        <v>983</v>
      </c>
    </row>
    <row r="1714" spans="1:32" x14ac:dyDescent="0.3">
      <c r="A1714" s="381" t="s">
        <v>759</v>
      </c>
      <c r="B1714" s="1021" t="s">
        <v>2169</v>
      </c>
      <c r="C1714" s="530"/>
      <c r="D1714" s="836">
        <v>0</v>
      </c>
      <c r="E1714" s="836"/>
      <c r="F1714" s="836">
        <v>0</v>
      </c>
      <c r="G1714" s="836">
        <v>0</v>
      </c>
      <c r="H1714" s="836">
        <v>180000</v>
      </c>
      <c r="I1714" s="836">
        <v>0</v>
      </c>
      <c r="J1714" s="836">
        <v>0</v>
      </c>
      <c r="K1714" s="836">
        <v>0</v>
      </c>
      <c r="L1714" s="836">
        <v>0</v>
      </c>
      <c r="M1714" s="836">
        <v>0</v>
      </c>
      <c r="N1714" s="836">
        <v>0</v>
      </c>
      <c r="O1714" s="836" t="s">
        <v>251</v>
      </c>
      <c r="P1714" s="1497">
        <f t="shared" si="138"/>
        <v>180000</v>
      </c>
      <c r="Q1714" s="1186">
        <f t="shared" si="139"/>
        <v>180000</v>
      </c>
      <c r="R1714" s="835"/>
      <c r="S1714" s="836"/>
      <c r="T1714" s="836"/>
      <c r="U1714" s="836"/>
      <c r="V1714" s="836"/>
      <c r="W1714" s="836"/>
      <c r="X1714" s="836"/>
      <c r="Y1714" s="836"/>
      <c r="Z1714" s="836"/>
      <c r="AA1714" s="836"/>
      <c r="AB1714" s="836"/>
      <c r="AC1714" s="836"/>
      <c r="AD1714" s="1186">
        <f t="shared" si="136"/>
        <v>0</v>
      </c>
      <c r="AE1714" s="637">
        <f t="shared" si="137"/>
        <v>-1</v>
      </c>
      <c r="AF1714" s="638">
        <f t="shared" si="135"/>
        <v>983</v>
      </c>
    </row>
    <row r="1715" spans="1:32" x14ac:dyDescent="0.3">
      <c r="A1715" s="381" t="s">
        <v>759</v>
      </c>
      <c r="B1715" s="1021" t="s">
        <v>2233</v>
      </c>
      <c r="C1715" s="530"/>
      <c r="D1715" s="836">
        <v>0</v>
      </c>
      <c r="E1715" s="836"/>
      <c r="F1715" s="836">
        <v>0</v>
      </c>
      <c r="G1715" s="836">
        <v>0</v>
      </c>
      <c r="H1715" s="836">
        <v>23000</v>
      </c>
      <c r="I1715" s="836">
        <v>0</v>
      </c>
      <c r="J1715" s="836">
        <v>0</v>
      </c>
      <c r="K1715" s="836">
        <v>0</v>
      </c>
      <c r="L1715" s="836">
        <v>113000</v>
      </c>
      <c r="M1715" s="836">
        <v>0</v>
      </c>
      <c r="N1715" s="836">
        <v>0</v>
      </c>
      <c r="O1715" s="836" t="s">
        <v>251</v>
      </c>
      <c r="P1715" s="1497">
        <f t="shared" si="138"/>
        <v>23000</v>
      </c>
      <c r="Q1715" s="1186">
        <f t="shared" si="139"/>
        <v>136000</v>
      </c>
      <c r="R1715" s="835"/>
      <c r="S1715" s="836"/>
      <c r="T1715" s="836"/>
      <c r="U1715" s="836"/>
      <c r="V1715" s="836"/>
      <c r="W1715" s="836"/>
      <c r="X1715" s="836"/>
      <c r="Y1715" s="836"/>
      <c r="Z1715" s="836"/>
      <c r="AA1715" s="836"/>
      <c r="AB1715" s="836"/>
      <c r="AC1715" s="836"/>
      <c r="AD1715" s="1186">
        <f t="shared" si="136"/>
        <v>0</v>
      </c>
      <c r="AE1715" s="637">
        <f t="shared" si="137"/>
        <v>-1</v>
      </c>
      <c r="AF1715" s="638">
        <f t="shared" si="135"/>
        <v>983</v>
      </c>
    </row>
    <row r="1716" spans="1:32" x14ac:dyDescent="0.3">
      <c r="A1716" s="381" t="s">
        <v>759</v>
      </c>
      <c r="B1716" s="1021" t="s">
        <v>2234</v>
      </c>
      <c r="C1716" s="530"/>
      <c r="D1716" s="836">
        <v>0</v>
      </c>
      <c r="E1716" s="836"/>
      <c r="F1716" s="836">
        <v>0</v>
      </c>
      <c r="G1716" s="836">
        <v>0</v>
      </c>
      <c r="H1716" s="836">
        <v>45000</v>
      </c>
      <c r="I1716" s="836">
        <v>90000</v>
      </c>
      <c r="J1716" s="836">
        <v>0</v>
      </c>
      <c r="K1716" s="836">
        <v>0</v>
      </c>
      <c r="L1716" s="836">
        <v>0</v>
      </c>
      <c r="M1716" s="836">
        <v>0</v>
      </c>
      <c r="N1716" s="836">
        <v>0</v>
      </c>
      <c r="O1716" s="836" t="s">
        <v>251</v>
      </c>
      <c r="P1716" s="1497">
        <f t="shared" si="138"/>
        <v>135000</v>
      </c>
      <c r="Q1716" s="1186">
        <f t="shared" si="139"/>
        <v>135000</v>
      </c>
      <c r="R1716" s="835"/>
      <c r="S1716" s="836"/>
      <c r="T1716" s="836"/>
      <c r="U1716" s="836"/>
      <c r="V1716" s="836"/>
      <c r="W1716" s="836"/>
      <c r="X1716" s="836"/>
      <c r="Y1716" s="836"/>
      <c r="Z1716" s="836"/>
      <c r="AA1716" s="836"/>
      <c r="AB1716" s="836"/>
      <c r="AC1716" s="836"/>
      <c r="AD1716" s="1186">
        <f t="shared" si="136"/>
        <v>0</v>
      </c>
      <c r="AE1716" s="637">
        <f t="shared" si="137"/>
        <v>-1</v>
      </c>
      <c r="AF1716" s="638">
        <f t="shared" si="135"/>
        <v>983</v>
      </c>
    </row>
    <row r="1717" spans="1:32" x14ac:dyDescent="0.3">
      <c r="A1717" s="381" t="s">
        <v>759</v>
      </c>
      <c r="B1717" s="1021" t="s">
        <v>2235</v>
      </c>
      <c r="C1717" s="530"/>
      <c r="D1717" s="836">
        <v>0</v>
      </c>
      <c r="E1717" s="836"/>
      <c r="F1717" s="836">
        <v>0</v>
      </c>
      <c r="G1717" s="836">
        <v>0</v>
      </c>
      <c r="H1717" s="836">
        <v>61500</v>
      </c>
      <c r="I1717" s="836">
        <v>0</v>
      </c>
      <c r="J1717" s="836">
        <v>0</v>
      </c>
      <c r="K1717" s="836">
        <v>0</v>
      </c>
      <c r="L1717" s="836">
        <v>0</v>
      </c>
      <c r="M1717" s="836">
        <v>0</v>
      </c>
      <c r="N1717" s="836">
        <v>0</v>
      </c>
      <c r="O1717" s="836" t="s">
        <v>251</v>
      </c>
      <c r="P1717" s="1497">
        <f t="shared" si="138"/>
        <v>61500</v>
      </c>
      <c r="Q1717" s="1186">
        <f t="shared" si="139"/>
        <v>61500</v>
      </c>
      <c r="R1717" s="835"/>
      <c r="S1717" s="836"/>
      <c r="T1717" s="836"/>
      <c r="U1717" s="836"/>
      <c r="V1717" s="836"/>
      <c r="W1717" s="836"/>
      <c r="X1717" s="836"/>
      <c r="Y1717" s="836"/>
      <c r="Z1717" s="836"/>
      <c r="AA1717" s="836"/>
      <c r="AB1717" s="836"/>
      <c r="AC1717" s="836"/>
      <c r="AD1717" s="1186">
        <f t="shared" si="136"/>
        <v>0</v>
      </c>
      <c r="AE1717" s="637">
        <f t="shared" si="137"/>
        <v>-1</v>
      </c>
      <c r="AF1717" s="638">
        <f t="shared" si="135"/>
        <v>983</v>
      </c>
    </row>
    <row r="1718" spans="1:32" x14ac:dyDescent="0.3">
      <c r="A1718" s="381" t="s">
        <v>759</v>
      </c>
      <c r="B1718" s="1021" t="s">
        <v>2236</v>
      </c>
      <c r="C1718" s="530"/>
      <c r="D1718" s="836">
        <v>0</v>
      </c>
      <c r="E1718" s="836"/>
      <c r="F1718" s="836">
        <v>0</v>
      </c>
      <c r="G1718" s="836">
        <v>0</v>
      </c>
      <c r="H1718" s="836">
        <v>47000</v>
      </c>
      <c r="I1718" s="836">
        <v>0</v>
      </c>
      <c r="J1718" s="836">
        <v>0</v>
      </c>
      <c r="K1718" s="836">
        <v>0</v>
      </c>
      <c r="L1718" s="836">
        <v>0</v>
      </c>
      <c r="M1718" s="836">
        <v>0</v>
      </c>
      <c r="N1718" s="836">
        <v>0</v>
      </c>
      <c r="O1718" s="836" t="s">
        <v>251</v>
      </c>
      <c r="P1718" s="1497">
        <f t="shared" si="138"/>
        <v>47000</v>
      </c>
      <c r="Q1718" s="1186">
        <f t="shared" si="139"/>
        <v>47000</v>
      </c>
      <c r="R1718" s="835"/>
      <c r="S1718" s="836"/>
      <c r="T1718" s="836"/>
      <c r="U1718" s="836"/>
      <c r="V1718" s="836">
        <v>10000</v>
      </c>
      <c r="W1718" s="836">
        <v>0</v>
      </c>
      <c r="X1718" s="836">
        <v>0</v>
      </c>
      <c r="Y1718" s="836">
        <v>0</v>
      </c>
      <c r="Z1718" s="836"/>
      <c r="AA1718" s="836"/>
      <c r="AB1718" s="836"/>
      <c r="AC1718" s="836"/>
      <c r="AD1718" s="1186">
        <f t="shared" si="136"/>
        <v>10000</v>
      </c>
      <c r="AE1718" s="637">
        <f t="shared" si="137"/>
        <v>-0.78723404255319152</v>
      </c>
      <c r="AF1718" s="638">
        <f t="shared" si="135"/>
        <v>958</v>
      </c>
    </row>
    <row r="1719" spans="1:32" x14ac:dyDescent="0.3">
      <c r="A1719" s="381" t="s">
        <v>759</v>
      </c>
      <c r="B1719" s="1021" t="s">
        <v>2237</v>
      </c>
      <c r="C1719" s="530"/>
      <c r="D1719" s="836" t="s">
        <v>251</v>
      </c>
      <c r="E1719" s="836"/>
      <c r="F1719" s="836">
        <v>0</v>
      </c>
      <c r="G1719" s="836">
        <v>0</v>
      </c>
      <c r="H1719" s="836">
        <v>29000</v>
      </c>
      <c r="I1719" s="836" t="s">
        <v>251</v>
      </c>
      <c r="J1719" s="836">
        <v>0</v>
      </c>
      <c r="K1719" s="836">
        <v>0</v>
      </c>
      <c r="L1719" s="836">
        <v>0</v>
      </c>
      <c r="M1719" s="836">
        <v>0</v>
      </c>
      <c r="N1719" s="836">
        <v>0</v>
      </c>
      <c r="O1719" s="836" t="s">
        <v>251</v>
      </c>
      <c r="P1719" s="1497">
        <f t="shared" si="138"/>
        <v>29000</v>
      </c>
      <c r="Q1719" s="1186">
        <f t="shared" si="139"/>
        <v>29000</v>
      </c>
      <c r="R1719" s="835"/>
      <c r="S1719" s="836"/>
      <c r="T1719" s="836"/>
      <c r="U1719" s="836"/>
      <c r="V1719" s="836"/>
      <c r="W1719" s="836"/>
      <c r="X1719" s="836"/>
      <c r="Y1719" s="836"/>
      <c r="Z1719" s="836"/>
      <c r="AA1719" s="836"/>
      <c r="AB1719" s="836"/>
      <c r="AC1719" s="836"/>
      <c r="AD1719" s="1186">
        <f t="shared" si="136"/>
        <v>0</v>
      </c>
      <c r="AE1719" s="637">
        <f t="shared" si="137"/>
        <v>-1</v>
      </c>
      <c r="AF1719" s="638">
        <f t="shared" si="135"/>
        <v>983</v>
      </c>
    </row>
    <row r="1720" spans="1:32" x14ac:dyDescent="0.3">
      <c r="A1720" s="381" t="s">
        <v>759</v>
      </c>
      <c r="B1720" s="1021" t="s">
        <v>2238</v>
      </c>
      <c r="C1720" s="530"/>
      <c r="D1720" s="836">
        <v>0</v>
      </c>
      <c r="E1720" s="836"/>
      <c r="F1720" s="836">
        <v>0</v>
      </c>
      <c r="G1720" s="836">
        <v>0</v>
      </c>
      <c r="H1720" s="836">
        <v>23000</v>
      </c>
      <c r="I1720" s="836">
        <v>0</v>
      </c>
      <c r="J1720" s="836">
        <v>0</v>
      </c>
      <c r="K1720" s="836">
        <v>0</v>
      </c>
      <c r="L1720" s="836">
        <v>0</v>
      </c>
      <c r="M1720" s="836">
        <v>0</v>
      </c>
      <c r="N1720" s="836">
        <v>167000</v>
      </c>
      <c r="O1720" s="836">
        <v>157000</v>
      </c>
      <c r="P1720" s="1497">
        <f t="shared" si="138"/>
        <v>23000</v>
      </c>
      <c r="Q1720" s="1186">
        <f t="shared" si="139"/>
        <v>347000</v>
      </c>
      <c r="R1720" s="835">
        <v>84000</v>
      </c>
      <c r="S1720" s="836"/>
      <c r="T1720" s="836">
        <v>0</v>
      </c>
      <c r="U1720" s="836">
        <v>0</v>
      </c>
      <c r="V1720" s="836">
        <v>0</v>
      </c>
      <c r="W1720" s="836">
        <v>0</v>
      </c>
      <c r="X1720" s="836">
        <v>0</v>
      </c>
      <c r="Y1720" s="836">
        <v>0</v>
      </c>
      <c r="Z1720" s="836"/>
      <c r="AA1720" s="836"/>
      <c r="AB1720" s="836"/>
      <c r="AC1720" s="836"/>
      <c r="AD1720" s="1186">
        <f t="shared" si="136"/>
        <v>84000</v>
      </c>
      <c r="AE1720" s="637">
        <f t="shared" si="137"/>
        <v>2.652173913043478</v>
      </c>
      <c r="AF1720" s="638">
        <f t="shared" si="135"/>
        <v>765</v>
      </c>
    </row>
    <row r="1721" spans="1:32" x14ac:dyDescent="0.3">
      <c r="A1721" s="381" t="s">
        <v>759</v>
      </c>
      <c r="B1721" s="1021" t="s">
        <v>2239</v>
      </c>
      <c r="C1721" s="530"/>
      <c r="D1721" s="836">
        <v>0</v>
      </c>
      <c r="E1721" s="836"/>
      <c r="F1721" s="836">
        <v>0</v>
      </c>
      <c r="G1721" s="836">
        <v>0</v>
      </c>
      <c r="H1721" s="836">
        <v>11000</v>
      </c>
      <c r="I1721" s="836">
        <v>0</v>
      </c>
      <c r="J1721" s="836">
        <v>0</v>
      </c>
      <c r="K1721" s="836">
        <v>0</v>
      </c>
      <c r="L1721" s="836">
        <v>0</v>
      </c>
      <c r="M1721" s="836">
        <v>0</v>
      </c>
      <c r="N1721" s="836">
        <v>0</v>
      </c>
      <c r="O1721" s="836" t="s">
        <v>251</v>
      </c>
      <c r="P1721" s="1497">
        <f t="shared" si="138"/>
        <v>11000</v>
      </c>
      <c r="Q1721" s="1186">
        <f t="shared" si="139"/>
        <v>11000</v>
      </c>
      <c r="R1721" s="835"/>
      <c r="S1721" s="836"/>
      <c r="T1721" s="836"/>
      <c r="U1721" s="836"/>
      <c r="V1721" s="836"/>
      <c r="W1721" s="836"/>
      <c r="X1721" s="836"/>
      <c r="Y1721" s="836"/>
      <c r="Z1721" s="836"/>
      <c r="AA1721" s="836"/>
      <c r="AB1721" s="836"/>
      <c r="AC1721" s="836"/>
      <c r="AD1721" s="1186">
        <f t="shared" si="136"/>
        <v>0</v>
      </c>
      <c r="AE1721" s="637">
        <f t="shared" si="137"/>
        <v>-1</v>
      </c>
      <c r="AF1721" s="638">
        <f t="shared" si="135"/>
        <v>983</v>
      </c>
    </row>
    <row r="1722" spans="1:32" x14ac:dyDescent="0.3">
      <c r="A1722" s="381" t="s">
        <v>759</v>
      </c>
      <c r="B1722" s="1021" t="s">
        <v>2240</v>
      </c>
      <c r="C1722" s="530"/>
      <c r="D1722" s="836" t="s">
        <v>251</v>
      </c>
      <c r="E1722" s="836"/>
      <c r="F1722" s="836" t="s">
        <v>251</v>
      </c>
      <c r="G1722" s="836" t="s">
        <v>251</v>
      </c>
      <c r="H1722" s="836" t="s">
        <v>251</v>
      </c>
      <c r="I1722" s="836" t="s">
        <v>251</v>
      </c>
      <c r="J1722" s="836" t="s">
        <v>251</v>
      </c>
      <c r="K1722" s="836"/>
      <c r="L1722" s="836" t="s">
        <v>251</v>
      </c>
      <c r="M1722" s="836" t="s">
        <v>251</v>
      </c>
      <c r="N1722" s="836" t="s">
        <v>251</v>
      </c>
      <c r="O1722" s="836" t="s">
        <v>251</v>
      </c>
      <c r="P1722" s="1497">
        <f t="shared" si="138"/>
        <v>0</v>
      </c>
      <c r="Q1722" s="1186">
        <f t="shared" si="139"/>
        <v>0</v>
      </c>
      <c r="R1722" s="835"/>
      <c r="S1722" s="836"/>
      <c r="T1722" s="836"/>
      <c r="U1722" s="836"/>
      <c r="V1722" s="836"/>
      <c r="W1722" s="836"/>
      <c r="X1722" s="836"/>
      <c r="Y1722" s="836"/>
      <c r="Z1722" s="836"/>
      <c r="AA1722" s="836"/>
      <c r="AB1722" s="836"/>
      <c r="AC1722" s="836"/>
      <c r="AD1722" s="1186">
        <f t="shared" si="136"/>
        <v>0</v>
      </c>
      <c r="AE1722" s="637">
        <f t="shared" si="137"/>
        <v>0</v>
      </c>
      <c r="AF1722" s="638">
        <f t="shared" si="135"/>
        <v>983</v>
      </c>
    </row>
    <row r="1723" spans="1:32" x14ac:dyDescent="0.3">
      <c r="A1723" s="381" t="s">
        <v>759</v>
      </c>
      <c r="B1723" s="1021" t="s">
        <v>1191</v>
      </c>
      <c r="C1723" s="530"/>
      <c r="D1723" s="836">
        <v>0</v>
      </c>
      <c r="E1723" s="836"/>
      <c r="F1723" s="836">
        <v>0</v>
      </c>
      <c r="G1723" s="836">
        <v>0</v>
      </c>
      <c r="H1723" s="836">
        <v>0</v>
      </c>
      <c r="I1723" s="836">
        <v>17000</v>
      </c>
      <c r="J1723" s="836">
        <v>0</v>
      </c>
      <c r="K1723" s="836">
        <v>0</v>
      </c>
      <c r="L1723" s="836">
        <v>0</v>
      </c>
      <c r="M1723" s="836">
        <v>0</v>
      </c>
      <c r="N1723" s="836">
        <v>0</v>
      </c>
      <c r="O1723" s="836" t="s">
        <v>251</v>
      </c>
      <c r="P1723" s="1497">
        <f t="shared" si="138"/>
        <v>17000</v>
      </c>
      <c r="Q1723" s="1186">
        <f t="shared" si="139"/>
        <v>17000</v>
      </c>
      <c r="R1723" s="835"/>
      <c r="S1723" s="836"/>
      <c r="T1723" s="836"/>
      <c r="U1723" s="836"/>
      <c r="V1723" s="836"/>
      <c r="W1723" s="836"/>
      <c r="X1723" s="836"/>
      <c r="Y1723" s="836"/>
      <c r="Z1723" s="836"/>
      <c r="AA1723" s="836"/>
      <c r="AB1723" s="836"/>
      <c r="AC1723" s="836"/>
      <c r="AD1723" s="1186">
        <f t="shared" si="136"/>
        <v>0</v>
      </c>
      <c r="AE1723" s="637">
        <f t="shared" si="137"/>
        <v>-1</v>
      </c>
      <c r="AF1723" s="638">
        <f t="shared" si="135"/>
        <v>983</v>
      </c>
    </row>
    <row r="1724" spans="1:32" x14ac:dyDescent="0.3">
      <c r="A1724" s="381" t="s">
        <v>759</v>
      </c>
      <c r="B1724" s="1021" t="s">
        <v>1370</v>
      </c>
      <c r="C1724" s="530"/>
      <c r="D1724" s="836">
        <v>0</v>
      </c>
      <c r="E1724" s="836"/>
      <c r="F1724" s="836">
        <v>0</v>
      </c>
      <c r="G1724" s="836">
        <v>0</v>
      </c>
      <c r="H1724" s="836">
        <v>0</v>
      </c>
      <c r="I1724" s="836">
        <v>231100</v>
      </c>
      <c r="J1724" s="836">
        <v>309350</v>
      </c>
      <c r="K1724" s="836">
        <v>309350</v>
      </c>
      <c r="L1724" s="836">
        <v>370600</v>
      </c>
      <c r="M1724" s="836">
        <v>0</v>
      </c>
      <c r="N1724" s="836">
        <v>0</v>
      </c>
      <c r="O1724" s="836" t="s">
        <v>251</v>
      </c>
      <c r="P1724" s="1497">
        <f t="shared" si="138"/>
        <v>540450</v>
      </c>
      <c r="Q1724" s="1186">
        <f t="shared" si="139"/>
        <v>911050</v>
      </c>
      <c r="R1724" s="835"/>
      <c r="S1724" s="836"/>
      <c r="T1724" s="836"/>
      <c r="U1724" s="836"/>
      <c r="V1724" s="836"/>
      <c r="W1724" s="836">
        <v>74500</v>
      </c>
      <c r="X1724" s="836">
        <v>0</v>
      </c>
      <c r="Y1724" s="836">
        <v>0</v>
      </c>
      <c r="Z1724" s="836"/>
      <c r="AA1724" s="836"/>
      <c r="AB1724" s="836"/>
      <c r="AC1724" s="836"/>
      <c r="AD1724" s="1186">
        <f t="shared" si="136"/>
        <v>74500</v>
      </c>
      <c r="AE1724" s="637">
        <f t="shared" si="137"/>
        <v>-0.8621519104449995</v>
      </c>
      <c r="AF1724" s="638">
        <f t="shared" si="135"/>
        <v>789</v>
      </c>
    </row>
    <row r="1725" spans="1:32" x14ac:dyDescent="0.3">
      <c r="A1725" s="381" t="s">
        <v>759</v>
      </c>
      <c r="B1725" s="1021" t="s">
        <v>632</v>
      </c>
      <c r="C1725" s="530"/>
      <c r="D1725" s="836">
        <v>0</v>
      </c>
      <c r="E1725" s="836"/>
      <c r="F1725" s="836">
        <v>0</v>
      </c>
      <c r="G1725" s="836">
        <v>0</v>
      </c>
      <c r="H1725" s="836">
        <v>0</v>
      </c>
      <c r="I1725" s="836">
        <v>57000</v>
      </c>
      <c r="J1725" s="836">
        <v>0</v>
      </c>
      <c r="K1725" s="836">
        <v>0</v>
      </c>
      <c r="L1725" s="836">
        <v>0</v>
      </c>
      <c r="M1725" s="836">
        <v>0</v>
      </c>
      <c r="N1725" s="836">
        <v>0</v>
      </c>
      <c r="O1725" s="836" t="s">
        <v>251</v>
      </c>
      <c r="P1725" s="1497">
        <f t="shared" si="138"/>
        <v>57000</v>
      </c>
      <c r="Q1725" s="1186">
        <f t="shared" si="139"/>
        <v>57000</v>
      </c>
      <c r="R1725" s="835"/>
      <c r="S1725" s="836"/>
      <c r="T1725" s="836">
        <v>5000</v>
      </c>
      <c r="U1725" s="836">
        <v>10000</v>
      </c>
      <c r="V1725" s="836">
        <v>0</v>
      </c>
      <c r="W1725" s="836">
        <v>0</v>
      </c>
      <c r="X1725" s="836">
        <v>15000</v>
      </c>
      <c r="Y1725" s="836">
        <v>0</v>
      </c>
      <c r="Z1725" s="836"/>
      <c r="AA1725" s="836"/>
      <c r="AB1725" s="836"/>
      <c r="AC1725" s="836"/>
      <c r="AD1725" s="1186">
        <f t="shared" si="136"/>
        <v>30000</v>
      </c>
      <c r="AE1725" s="637">
        <f t="shared" si="137"/>
        <v>-0.47368421052631576</v>
      </c>
      <c r="AF1725" s="638">
        <f t="shared" si="135"/>
        <v>894</v>
      </c>
    </row>
    <row r="1726" spans="1:32" x14ac:dyDescent="0.3">
      <c r="A1726" s="381" t="s">
        <v>759</v>
      </c>
      <c r="B1726" s="1021" t="s">
        <v>1919</v>
      </c>
      <c r="C1726" s="530"/>
      <c r="D1726" s="836">
        <v>0</v>
      </c>
      <c r="E1726" s="836"/>
      <c r="F1726" s="836">
        <v>0</v>
      </c>
      <c r="G1726" s="836">
        <v>0</v>
      </c>
      <c r="H1726" s="836">
        <v>0</v>
      </c>
      <c r="I1726" s="836">
        <v>534000</v>
      </c>
      <c r="J1726" s="836">
        <v>550000</v>
      </c>
      <c r="K1726" s="836">
        <v>550000</v>
      </c>
      <c r="L1726" s="836">
        <v>0</v>
      </c>
      <c r="M1726" s="836">
        <v>0</v>
      </c>
      <c r="N1726" s="836">
        <v>0</v>
      </c>
      <c r="O1726" s="836">
        <v>144000</v>
      </c>
      <c r="P1726" s="1497">
        <f t="shared" si="138"/>
        <v>1084000</v>
      </c>
      <c r="Q1726" s="1186">
        <f t="shared" si="139"/>
        <v>1228000</v>
      </c>
      <c r="R1726" s="835">
        <v>65000</v>
      </c>
      <c r="S1726" s="836"/>
      <c r="T1726" s="836">
        <v>0</v>
      </c>
      <c r="U1726" s="836">
        <v>0</v>
      </c>
      <c r="V1726" s="836">
        <v>520000</v>
      </c>
      <c r="W1726" s="836">
        <v>1081400</v>
      </c>
      <c r="X1726" s="836">
        <v>318200</v>
      </c>
      <c r="Y1726" s="836">
        <v>1231000</v>
      </c>
      <c r="Z1726" s="836"/>
      <c r="AA1726" s="836"/>
      <c r="AB1726" s="836"/>
      <c r="AC1726" s="836"/>
      <c r="AD1726" s="1186">
        <f t="shared" si="136"/>
        <v>3215600</v>
      </c>
      <c r="AE1726" s="637">
        <f t="shared" si="137"/>
        <v>1.966420664206642</v>
      </c>
      <c r="AF1726" s="638">
        <f t="shared" si="135"/>
        <v>142</v>
      </c>
    </row>
    <row r="1727" spans="1:32" x14ac:dyDescent="0.3">
      <c r="A1727" s="381" t="s">
        <v>759</v>
      </c>
      <c r="B1727" s="1021" t="s">
        <v>2241</v>
      </c>
      <c r="C1727" s="530"/>
      <c r="D1727" s="836">
        <v>0</v>
      </c>
      <c r="E1727" s="836"/>
      <c r="F1727" s="836">
        <v>0</v>
      </c>
      <c r="G1727" s="836">
        <v>0</v>
      </c>
      <c r="H1727" s="836">
        <v>0</v>
      </c>
      <c r="I1727" s="836">
        <v>489700</v>
      </c>
      <c r="J1727" s="836">
        <v>505350</v>
      </c>
      <c r="K1727" s="836">
        <v>505350</v>
      </c>
      <c r="L1727" s="836">
        <v>0</v>
      </c>
      <c r="M1727" s="836">
        <v>0</v>
      </c>
      <c r="N1727" s="836">
        <v>0</v>
      </c>
      <c r="O1727" s="836" t="s">
        <v>251</v>
      </c>
      <c r="P1727" s="1497">
        <f t="shared" si="138"/>
        <v>995050</v>
      </c>
      <c r="Q1727" s="1186">
        <f t="shared" si="139"/>
        <v>995050</v>
      </c>
      <c r="R1727" s="835"/>
      <c r="S1727" s="836"/>
      <c r="T1727" s="836"/>
      <c r="U1727" s="836"/>
      <c r="V1727" s="836"/>
      <c r="W1727" s="836"/>
      <c r="X1727" s="836"/>
      <c r="Y1727" s="836"/>
      <c r="Z1727" s="836"/>
      <c r="AA1727" s="836"/>
      <c r="AB1727" s="836"/>
      <c r="AC1727" s="836"/>
      <c r="AD1727" s="1186">
        <f t="shared" si="136"/>
        <v>0</v>
      </c>
      <c r="AE1727" s="637">
        <f t="shared" si="137"/>
        <v>-1</v>
      </c>
      <c r="AF1727" s="638">
        <f t="shared" si="135"/>
        <v>983</v>
      </c>
    </row>
    <row r="1728" spans="1:32" x14ac:dyDescent="0.3">
      <c r="A1728" s="381" t="s">
        <v>759</v>
      </c>
      <c r="B1728" s="1021" t="s">
        <v>2242</v>
      </c>
      <c r="C1728" s="530"/>
      <c r="D1728" s="836">
        <v>0</v>
      </c>
      <c r="E1728" s="836"/>
      <c r="F1728" s="836">
        <v>0</v>
      </c>
      <c r="G1728" s="836">
        <v>0</v>
      </c>
      <c r="H1728" s="836">
        <v>0</v>
      </c>
      <c r="I1728" s="836">
        <v>888000</v>
      </c>
      <c r="J1728" s="836">
        <v>0</v>
      </c>
      <c r="K1728" s="836">
        <v>0</v>
      </c>
      <c r="L1728" s="836">
        <v>0</v>
      </c>
      <c r="M1728" s="836">
        <v>0</v>
      </c>
      <c r="N1728" s="836">
        <v>0</v>
      </c>
      <c r="O1728" s="836" t="s">
        <v>251</v>
      </c>
      <c r="P1728" s="1497">
        <f t="shared" si="138"/>
        <v>888000</v>
      </c>
      <c r="Q1728" s="1186">
        <f t="shared" si="139"/>
        <v>888000</v>
      </c>
      <c r="R1728" s="835"/>
      <c r="S1728" s="836"/>
      <c r="T1728" s="836"/>
      <c r="U1728" s="836"/>
      <c r="V1728" s="836"/>
      <c r="W1728" s="836"/>
      <c r="X1728" s="836"/>
      <c r="Y1728" s="836"/>
      <c r="Z1728" s="836"/>
      <c r="AA1728" s="836"/>
      <c r="AB1728" s="836"/>
      <c r="AC1728" s="836"/>
      <c r="AD1728" s="1186">
        <f t="shared" si="136"/>
        <v>0</v>
      </c>
      <c r="AE1728" s="637">
        <f t="shared" si="137"/>
        <v>-1</v>
      </c>
      <c r="AF1728" s="638">
        <f t="shared" si="135"/>
        <v>983</v>
      </c>
    </row>
    <row r="1729" spans="1:32" x14ac:dyDescent="0.3">
      <c r="A1729" s="381" t="s">
        <v>759</v>
      </c>
      <c r="B1729" s="1021" t="s">
        <v>2001</v>
      </c>
      <c r="C1729" s="530"/>
      <c r="D1729" s="836">
        <v>0</v>
      </c>
      <c r="E1729" s="836"/>
      <c r="F1729" s="836">
        <v>0</v>
      </c>
      <c r="G1729" s="836">
        <v>0</v>
      </c>
      <c r="H1729" s="836">
        <v>0</v>
      </c>
      <c r="I1729" s="836">
        <v>739000</v>
      </c>
      <c r="J1729" s="836">
        <v>35000</v>
      </c>
      <c r="K1729" s="836">
        <v>35000</v>
      </c>
      <c r="L1729" s="836">
        <v>0</v>
      </c>
      <c r="M1729" s="836">
        <v>0</v>
      </c>
      <c r="N1729" s="836">
        <v>0</v>
      </c>
      <c r="O1729" s="836">
        <v>29000</v>
      </c>
      <c r="P1729" s="1497">
        <f t="shared" si="138"/>
        <v>774000</v>
      </c>
      <c r="Q1729" s="1186">
        <f t="shared" si="139"/>
        <v>803000</v>
      </c>
      <c r="R1729" s="835"/>
      <c r="S1729" s="836"/>
      <c r="T1729" s="836"/>
      <c r="U1729" s="836"/>
      <c r="V1729" s="836"/>
      <c r="W1729" s="836"/>
      <c r="X1729" s="836"/>
      <c r="Y1729" s="836"/>
      <c r="Z1729" s="836"/>
      <c r="AA1729" s="836"/>
      <c r="AB1729" s="836"/>
      <c r="AC1729" s="836"/>
      <c r="AD1729" s="1186">
        <f t="shared" si="136"/>
        <v>0</v>
      </c>
      <c r="AE1729" s="637">
        <f t="shared" si="137"/>
        <v>-1</v>
      </c>
      <c r="AF1729" s="638">
        <f t="shared" si="135"/>
        <v>983</v>
      </c>
    </row>
    <row r="1730" spans="1:32" x14ac:dyDescent="0.3">
      <c r="A1730" s="381" t="s">
        <v>759</v>
      </c>
      <c r="B1730" s="1021" t="s">
        <v>1184</v>
      </c>
      <c r="C1730" s="530"/>
      <c r="D1730" s="836">
        <v>0</v>
      </c>
      <c r="E1730" s="836"/>
      <c r="F1730" s="836">
        <v>0</v>
      </c>
      <c r="G1730" s="836">
        <v>0</v>
      </c>
      <c r="H1730" s="836">
        <v>0</v>
      </c>
      <c r="I1730" s="836">
        <v>51750</v>
      </c>
      <c r="J1730" s="836">
        <v>0</v>
      </c>
      <c r="K1730" s="836">
        <v>0</v>
      </c>
      <c r="L1730" s="836">
        <v>0</v>
      </c>
      <c r="M1730" s="836">
        <v>0</v>
      </c>
      <c r="N1730" s="836">
        <v>472850</v>
      </c>
      <c r="O1730" s="836">
        <v>706500</v>
      </c>
      <c r="P1730" s="1497">
        <f t="shared" si="138"/>
        <v>51750</v>
      </c>
      <c r="Q1730" s="1186">
        <f t="shared" si="139"/>
        <v>1231100</v>
      </c>
      <c r="R1730" s="835">
        <v>274500</v>
      </c>
      <c r="S1730" s="836"/>
      <c r="T1730" s="836">
        <v>0</v>
      </c>
      <c r="U1730" s="836">
        <v>0</v>
      </c>
      <c r="V1730" s="836">
        <v>0</v>
      </c>
      <c r="W1730" s="836">
        <v>34500</v>
      </c>
      <c r="X1730" s="836">
        <v>1654450</v>
      </c>
      <c r="Y1730" s="836">
        <v>1747150</v>
      </c>
      <c r="Z1730" s="836"/>
      <c r="AA1730" s="836"/>
      <c r="AB1730" s="836"/>
      <c r="AC1730" s="836"/>
      <c r="AD1730" s="1186">
        <f t="shared" si="136"/>
        <v>3710600</v>
      </c>
      <c r="AE1730" s="637">
        <f t="shared" si="137"/>
        <v>70.702415458937196</v>
      </c>
      <c r="AF1730" s="638">
        <f t="shared" si="135"/>
        <v>122</v>
      </c>
    </row>
    <row r="1731" spans="1:32" x14ac:dyDescent="0.3">
      <c r="A1731" s="381" t="s">
        <v>759</v>
      </c>
      <c r="B1731" s="1021" t="s">
        <v>2243</v>
      </c>
      <c r="C1731" s="530"/>
      <c r="D1731" s="836">
        <v>0</v>
      </c>
      <c r="E1731" s="836"/>
      <c r="F1731" s="836">
        <v>0</v>
      </c>
      <c r="G1731" s="836">
        <v>0</v>
      </c>
      <c r="H1731" s="836">
        <v>0</v>
      </c>
      <c r="I1731" s="836">
        <v>543600</v>
      </c>
      <c r="J1731" s="836">
        <v>0</v>
      </c>
      <c r="K1731" s="836">
        <v>0</v>
      </c>
      <c r="L1731" s="836">
        <v>0</v>
      </c>
      <c r="M1731" s="836">
        <v>24800</v>
      </c>
      <c r="N1731" s="836">
        <v>0</v>
      </c>
      <c r="O1731" s="836">
        <v>14900</v>
      </c>
      <c r="P1731" s="1497">
        <f t="shared" si="138"/>
        <v>543600</v>
      </c>
      <c r="Q1731" s="1186">
        <f t="shared" si="139"/>
        <v>583300</v>
      </c>
      <c r="R1731" s="835">
        <v>51750</v>
      </c>
      <c r="S1731" s="836"/>
      <c r="T1731" s="836">
        <v>0</v>
      </c>
      <c r="U1731" s="836">
        <v>0</v>
      </c>
      <c r="V1731" s="836">
        <v>0</v>
      </c>
      <c r="W1731" s="836">
        <v>0</v>
      </c>
      <c r="X1731" s="836">
        <v>0</v>
      </c>
      <c r="Y1731" s="836">
        <v>0</v>
      </c>
      <c r="Z1731" s="836"/>
      <c r="AA1731" s="836"/>
      <c r="AB1731" s="836"/>
      <c r="AC1731" s="836"/>
      <c r="AD1731" s="1186">
        <f t="shared" si="136"/>
        <v>51750</v>
      </c>
      <c r="AE1731" s="637">
        <f t="shared" si="137"/>
        <v>-0.9048013245033113</v>
      </c>
      <c r="AF1731" s="638">
        <f t="shared" si="135"/>
        <v>843</v>
      </c>
    </row>
    <row r="1732" spans="1:32" x14ac:dyDescent="0.3">
      <c r="A1732" s="381" t="s">
        <v>759</v>
      </c>
      <c r="B1732" s="1021" t="s">
        <v>2244</v>
      </c>
      <c r="C1732" s="530"/>
      <c r="D1732" s="836" t="s">
        <v>251</v>
      </c>
      <c r="E1732" s="836"/>
      <c r="F1732" s="836">
        <v>0</v>
      </c>
      <c r="G1732" s="836" t="s">
        <v>251</v>
      </c>
      <c r="H1732" s="836" t="s">
        <v>251</v>
      </c>
      <c r="I1732" s="836">
        <v>475000</v>
      </c>
      <c r="J1732" s="836">
        <v>0</v>
      </c>
      <c r="K1732" s="836">
        <v>0</v>
      </c>
      <c r="L1732" s="836">
        <v>0</v>
      </c>
      <c r="M1732" s="836">
        <v>0</v>
      </c>
      <c r="N1732" s="836">
        <v>0</v>
      </c>
      <c r="O1732" s="836" t="s">
        <v>251</v>
      </c>
      <c r="P1732" s="1497">
        <f t="shared" si="138"/>
        <v>475000</v>
      </c>
      <c r="Q1732" s="1186">
        <f t="shared" si="139"/>
        <v>475000</v>
      </c>
      <c r="R1732" s="835"/>
      <c r="S1732" s="836"/>
      <c r="T1732" s="836"/>
      <c r="U1732" s="836"/>
      <c r="V1732" s="836"/>
      <c r="W1732" s="836"/>
      <c r="X1732" s="836"/>
      <c r="Y1732" s="836"/>
      <c r="Z1732" s="836"/>
      <c r="AA1732" s="836"/>
      <c r="AB1732" s="836"/>
      <c r="AC1732" s="836"/>
      <c r="AD1732" s="1186">
        <f t="shared" si="136"/>
        <v>0</v>
      </c>
      <c r="AE1732" s="637">
        <f t="shared" si="137"/>
        <v>-1</v>
      </c>
      <c r="AF1732" s="638">
        <f t="shared" si="135"/>
        <v>983</v>
      </c>
    </row>
    <row r="1733" spans="1:32" x14ac:dyDescent="0.3">
      <c r="A1733" s="381" t="s">
        <v>759</v>
      </c>
      <c r="B1733" s="1021" t="s">
        <v>2245</v>
      </c>
      <c r="C1733" s="530"/>
      <c r="D1733" s="836">
        <v>0</v>
      </c>
      <c r="E1733" s="836"/>
      <c r="F1733" s="836">
        <v>0</v>
      </c>
      <c r="G1733" s="836">
        <v>0</v>
      </c>
      <c r="H1733" s="836">
        <v>0</v>
      </c>
      <c r="I1733" s="836">
        <v>445000</v>
      </c>
      <c r="J1733" s="836">
        <v>0</v>
      </c>
      <c r="K1733" s="836">
        <v>0</v>
      </c>
      <c r="L1733" s="836">
        <v>0</v>
      </c>
      <c r="M1733" s="836">
        <v>0</v>
      </c>
      <c r="N1733" s="836">
        <v>0</v>
      </c>
      <c r="O1733" s="836" t="s">
        <v>251</v>
      </c>
      <c r="P1733" s="1497">
        <f t="shared" si="138"/>
        <v>445000</v>
      </c>
      <c r="Q1733" s="1186">
        <f t="shared" si="139"/>
        <v>445000</v>
      </c>
      <c r="R1733" s="835"/>
      <c r="S1733" s="836"/>
      <c r="T1733" s="836"/>
      <c r="U1733" s="836"/>
      <c r="V1733" s="836"/>
      <c r="W1733" s="836"/>
      <c r="X1733" s="836"/>
      <c r="Y1733" s="836"/>
      <c r="Z1733" s="836"/>
      <c r="AA1733" s="836"/>
      <c r="AB1733" s="836"/>
      <c r="AC1733" s="836"/>
      <c r="AD1733" s="1186">
        <f t="shared" si="136"/>
        <v>0</v>
      </c>
      <c r="AE1733" s="637">
        <f t="shared" si="137"/>
        <v>-1</v>
      </c>
      <c r="AF1733" s="638">
        <f t="shared" si="135"/>
        <v>983</v>
      </c>
    </row>
    <row r="1734" spans="1:32" x14ac:dyDescent="0.3">
      <c r="A1734" s="381" t="s">
        <v>759</v>
      </c>
      <c r="B1734" s="1021" t="s">
        <v>640</v>
      </c>
      <c r="C1734" s="530"/>
      <c r="D1734" s="836">
        <v>0</v>
      </c>
      <c r="E1734" s="836"/>
      <c r="F1734" s="836">
        <v>0</v>
      </c>
      <c r="G1734" s="836">
        <v>0</v>
      </c>
      <c r="H1734" s="836">
        <v>0</v>
      </c>
      <c r="I1734" s="836">
        <v>5000</v>
      </c>
      <c r="J1734" s="836">
        <v>0</v>
      </c>
      <c r="K1734" s="836">
        <v>0</v>
      </c>
      <c r="L1734" s="836">
        <v>0</v>
      </c>
      <c r="M1734" s="836">
        <v>0</v>
      </c>
      <c r="N1734" s="836">
        <v>0</v>
      </c>
      <c r="O1734" s="836" t="s">
        <v>251</v>
      </c>
      <c r="P1734" s="1497">
        <f t="shared" si="138"/>
        <v>5000</v>
      </c>
      <c r="Q1734" s="1186">
        <f t="shared" si="139"/>
        <v>5000</v>
      </c>
      <c r="R1734" s="835"/>
      <c r="S1734" s="836"/>
      <c r="T1734" s="836"/>
      <c r="U1734" s="836"/>
      <c r="V1734" s="836"/>
      <c r="W1734" s="836"/>
      <c r="X1734" s="836"/>
      <c r="Y1734" s="836">
        <v>16000</v>
      </c>
      <c r="Z1734" s="836"/>
      <c r="AA1734" s="836"/>
      <c r="AB1734" s="836"/>
      <c r="AC1734" s="836"/>
      <c r="AD1734" s="1186">
        <f t="shared" si="136"/>
        <v>16000</v>
      </c>
      <c r="AE1734" s="637">
        <f t="shared" si="137"/>
        <v>2.2000000000000002</v>
      </c>
      <c r="AF1734" s="638">
        <f t="shared" si="135"/>
        <v>936</v>
      </c>
    </row>
    <row r="1735" spans="1:32" x14ac:dyDescent="0.3">
      <c r="A1735" s="381" t="s">
        <v>759</v>
      </c>
      <c r="B1735" s="1021" t="s">
        <v>2246</v>
      </c>
      <c r="C1735" s="530"/>
      <c r="D1735" s="836">
        <v>0</v>
      </c>
      <c r="E1735" s="836"/>
      <c r="F1735" s="836">
        <v>0</v>
      </c>
      <c r="G1735" s="836">
        <v>0</v>
      </c>
      <c r="H1735" s="836">
        <v>0</v>
      </c>
      <c r="I1735" s="836">
        <v>397000</v>
      </c>
      <c r="J1735" s="836">
        <v>0</v>
      </c>
      <c r="K1735" s="836">
        <v>0</v>
      </c>
      <c r="L1735" s="836">
        <v>0</v>
      </c>
      <c r="M1735" s="836">
        <v>0</v>
      </c>
      <c r="N1735" s="836">
        <v>0</v>
      </c>
      <c r="O1735" s="836" t="s">
        <v>251</v>
      </c>
      <c r="P1735" s="1497">
        <f t="shared" si="138"/>
        <v>397000</v>
      </c>
      <c r="Q1735" s="1186">
        <f t="shared" si="139"/>
        <v>397000</v>
      </c>
      <c r="R1735" s="835"/>
      <c r="S1735" s="836"/>
      <c r="T1735" s="836"/>
      <c r="U1735" s="836"/>
      <c r="V1735" s="836"/>
      <c r="W1735" s="836"/>
      <c r="X1735" s="836"/>
      <c r="Y1735" s="836"/>
      <c r="Z1735" s="836"/>
      <c r="AA1735" s="836"/>
      <c r="AB1735" s="836"/>
      <c r="AC1735" s="836"/>
      <c r="AD1735" s="1186">
        <f t="shared" si="136"/>
        <v>0</v>
      </c>
      <c r="AE1735" s="637">
        <f t="shared" si="137"/>
        <v>-1</v>
      </c>
      <c r="AF1735" s="638">
        <f t="shared" ref="AF1735:AF1798" si="140">IFERROR(_xlfn.RANK.EQ(AD1735, $AD$2:$AD$2064), "")</f>
        <v>983</v>
      </c>
    </row>
    <row r="1736" spans="1:32" x14ac:dyDescent="0.3">
      <c r="A1736" s="381" t="s">
        <v>759</v>
      </c>
      <c r="B1736" s="1021" t="s">
        <v>644</v>
      </c>
      <c r="C1736" s="530"/>
      <c r="D1736" s="836">
        <v>0</v>
      </c>
      <c r="E1736" s="836"/>
      <c r="F1736" s="836">
        <v>0</v>
      </c>
      <c r="G1736" s="836">
        <v>0</v>
      </c>
      <c r="H1736" s="836">
        <v>0</v>
      </c>
      <c r="I1736" s="836">
        <v>19000</v>
      </c>
      <c r="J1736" s="836">
        <v>0</v>
      </c>
      <c r="K1736" s="836">
        <v>0</v>
      </c>
      <c r="L1736" s="836">
        <v>0</v>
      </c>
      <c r="M1736" s="836">
        <v>0</v>
      </c>
      <c r="N1736" s="836">
        <v>0</v>
      </c>
      <c r="O1736" s="836" t="s">
        <v>251</v>
      </c>
      <c r="P1736" s="1497">
        <f t="shared" si="138"/>
        <v>19000</v>
      </c>
      <c r="Q1736" s="1186">
        <f t="shared" si="139"/>
        <v>19000</v>
      </c>
      <c r="R1736" s="835"/>
      <c r="S1736" s="836"/>
      <c r="T1736" s="836"/>
      <c r="U1736" s="836"/>
      <c r="V1736" s="836"/>
      <c r="W1736" s="836"/>
      <c r="X1736" s="836"/>
      <c r="Y1736" s="836"/>
      <c r="Z1736" s="836"/>
      <c r="AA1736" s="836"/>
      <c r="AB1736" s="836"/>
      <c r="AC1736" s="836"/>
      <c r="AD1736" s="1186">
        <f t="shared" si="136"/>
        <v>0</v>
      </c>
      <c r="AE1736" s="637">
        <f t="shared" si="137"/>
        <v>-1</v>
      </c>
      <c r="AF1736" s="638">
        <f t="shared" si="140"/>
        <v>983</v>
      </c>
    </row>
    <row r="1737" spans="1:32" x14ac:dyDescent="0.3">
      <c r="A1737" s="381" t="s">
        <v>759</v>
      </c>
      <c r="B1737" s="1021" t="s">
        <v>2247</v>
      </c>
      <c r="C1737" s="530"/>
      <c r="D1737" s="836">
        <v>0</v>
      </c>
      <c r="E1737" s="836"/>
      <c r="F1737" s="836">
        <v>0</v>
      </c>
      <c r="G1737" s="836">
        <v>0</v>
      </c>
      <c r="H1737" s="836">
        <v>0</v>
      </c>
      <c r="I1737" s="836">
        <v>52000</v>
      </c>
      <c r="J1737" s="836">
        <v>74000</v>
      </c>
      <c r="K1737" s="836">
        <v>74000</v>
      </c>
      <c r="L1737" s="836">
        <v>195500</v>
      </c>
      <c r="M1737" s="836">
        <v>0</v>
      </c>
      <c r="N1737" s="836">
        <v>118000</v>
      </c>
      <c r="O1737" s="836">
        <v>103000</v>
      </c>
      <c r="P1737" s="1497">
        <f t="shared" si="138"/>
        <v>126000</v>
      </c>
      <c r="Q1737" s="1186">
        <f t="shared" si="139"/>
        <v>542500</v>
      </c>
      <c r="R1737" s="835">
        <v>319000</v>
      </c>
      <c r="S1737" s="836">
        <v>102000</v>
      </c>
      <c r="T1737" s="836">
        <v>0</v>
      </c>
      <c r="U1737" s="836">
        <v>0</v>
      </c>
      <c r="V1737" s="836">
        <v>23000</v>
      </c>
      <c r="W1737" s="836">
        <v>0</v>
      </c>
      <c r="X1737" s="836">
        <v>0</v>
      </c>
      <c r="Y1737" s="836">
        <v>0</v>
      </c>
      <c r="Z1737" s="836"/>
      <c r="AA1737" s="836"/>
      <c r="AB1737" s="836"/>
      <c r="AC1737" s="836"/>
      <c r="AD1737" s="1186">
        <f t="shared" si="136"/>
        <v>444000</v>
      </c>
      <c r="AE1737" s="637">
        <f t="shared" si="137"/>
        <v>2.5238095238095237</v>
      </c>
      <c r="AF1737" s="638">
        <f t="shared" si="140"/>
        <v>464</v>
      </c>
    </row>
    <row r="1738" spans="1:32" x14ac:dyDescent="0.3">
      <c r="A1738" s="381" t="s">
        <v>759</v>
      </c>
      <c r="B1738" s="1021" t="s">
        <v>2248</v>
      </c>
      <c r="C1738" s="530"/>
      <c r="D1738" s="836">
        <v>0</v>
      </c>
      <c r="E1738" s="836"/>
      <c r="F1738" s="836">
        <v>0</v>
      </c>
      <c r="G1738" s="836">
        <v>0</v>
      </c>
      <c r="H1738" s="836">
        <v>0</v>
      </c>
      <c r="I1738" s="836">
        <v>187000</v>
      </c>
      <c r="J1738" s="836">
        <v>106000</v>
      </c>
      <c r="K1738" s="836">
        <v>106000</v>
      </c>
      <c r="L1738" s="836">
        <v>0</v>
      </c>
      <c r="M1738" s="836">
        <v>0</v>
      </c>
      <c r="N1738" s="836">
        <v>0</v>
      </c>
      <c r="O1738" s="836" t="s">
        <v>251</v>
      </c>
      <c r="P1738" s="1497">
        <f t="shared" si="138"/>
        <v>293000</v>
      </c>
      <c r="Q1738" s="1186">
        <f t="shared" si="139"/>
        <v>293000</v>
      </c>
      <c r="R1738" s="835"/>
      <c r="S1738" s="836"/>
      <c r="T1738" s="836"/>
      <c r="U1738" s="836"/>
      <c r="V1738" s="836"/>
      <c r="W1738" s="836"/>
      <c r="X1738" s="836">
        <v>247000</v>
      </c>
      <c r="Y1738" s="836">
        <v>19000</v>
      </c>
      <c r="Z1738" s="836"/>
      <c r="AA1738" s="836"/>
      <c r="AB1738" s="836"/>
      <c r="AC1738" s="836"/>
      <c r="AD1738" s="1186">
        <f t="shared" si="136"/>
        <v>266000</v>
      </c>
      <c r="AE1738" s="637">
        <f t="shared" si="137"/>
        <v>-9.2150170648464161E-2</v>
      </c>
      <c r="AF1738" s="638">
        <f t="shared" si="140"/>
        <v>552</v>
      </c>
    </row>
    <row r="1739" spans="1:32" x14ac:dyDescent="0.3">
      <c r="A1739" s="381" t="s">
        <v>759</v>
      </c>
      <c r="B1739" s="1021" t="s">
        <v>2249</v>
      </c>
      <c r="C1739" s="530"/>
      <c r="D1739" s="836">
        <v>0</v>
      </c>
      <c r="E1739" s="836"/>
      <c r="F1739" s="836">
        <v>0</v>
      </c>
      <c r="G1739" s="836">
        <v>0</v>
      </c>
      <c r="H1739" s="836">
        <v>0</v>
      </c>
      <c r="I1739" s="836">
        <v>219600</v>
      </c>
      <c r="J1739" s="836">
        <v>0</v>
      </c>
      <c r="K1739" s="836">
        <v>0</v>
      </c>
      <c r="L1739" s="836">
        <v>0</v>
      </c>
      <c r="M1739" s="836">
        <v>0</v>
      </c>
      <c r="N1739" s="836">
        <v>0</v>
      </c>
      <c r="O1739" s="836" t="s">
        <v>251</v>
      </c>
      <c r="P1739" s="1497">
        <f t="shared" si="138"/>
        <v>219600</v>
      </c>
      <c r="Q1739" s="1186">
        <f t="shared" si="139"/>
        <v>219600</v>
      </c>
      <c r="R1739" s="835"/>
      <c r="S1739" s="836"/>
      <c r="T1739" s="836">
        <v>135600</v>
      </c>
      <c r="U1739" s="836">
        <v>0</v>
      </c>
      <c r="V1739" s="836">
        <v>0</v>
      </c>
      <c r="W1739" s="836">
        <v>0</v>
      </c>
      <c r="X1739" s="836">
        <v>0</v>
      </c>
      <c r="Y1739" s="836">
        <v>0</v>
      </c>
      <c r="Z1739" s="836"/>
      <c r="AA1739" s="836"/>
      <c r="AB1739" s="836"/>
      <c r="AC1739" s="836"/>
      <c r="AD1739" s="1186">
        <f t="shared" si="136"/>
        <v>135600</v>
      </c>
      <c r="AE1739" s="637">
        <f t="shared" si="137"/>
        <v>-0.38251366120218577</v>
      </c>
      <c r="AF1739" s="638">
        <f t="shared" si="140"/>
        <v>691</v>
      </c>
    </row>
    <row r="1740" spans="1:32" x14ac:dyDescent="0.3">
      <c r="A1740" s="381" t="s">
        <v>759</v>
      </c>
      <c r="B1740" s="1021" t="s">
        <v>399</v>
      </c>
      <c r="C1740" s="530"/>
      <c r="D1740" s="836">
        <v>0</v>
      </c>
      <c r="E1740" s="836"/>
      <c r="F1740" s="836">
        <v>0</v>
      </c>
      <c r="G1740" s="836">
        <v>0</v>
      </c>
      <c r="H1740" s="836">
        <v>0</v>
      </c>
      <c r="I1740" s="836">
        <v>72000</v>
      </c>
      <c r="J1740" s="836">
        <v>107000</v>
      </c>
      <c r="K1740" s="836">
        <v>107000</v>
      </c>
      <c r="L1740" s="836">
        <v>0</v>
      </c>
      <c r="M1740" s="836">
        <v>29000</v>
      </c>
      <c r="N1740" s="836">
        <v>27500</v>
      </c>
      <c r="O1740" s="836">
        <v>110000</v>
      </c>
      <c r="P1740" s="1497">
        <f t="shared" si="138"/>
        <v>179000</v>
      </c>
      <c r="Q1740" s="1186">
        <f t="shared" si="139"/>
        <v>345500</v>
      </c>
      <c r="R1740" s="835">
        <v>285000</v>
      </c>
      <c r="S1740" s="836"/>
      <c r="T1740" s="836">
        <v>74500</v>
      </c>
      <c r="U1740" s="836">
        <v>0</v>
      </c>
      <c r="V1740" s="836">
        <v>0</v>
      </c>
      <c r="W1740" s="836">
        <v>0</v>
      </c>
      <c r="X1740" s="836">
        <v>0</v>
      </c>
      <c r="Y1740" s="836">
        <v>17000</v>
      </c>
      <c r="Z1740" s="836"/>
      <c r="AA1740" s="836"/>
      <c r="AB1740" s="836"/>
      <c r="AC1740" s="836"/>
      <c r="AD1740" s="1186">
        <f t="shared" si="136"/>
        <v>376500</v>
      </c>
      <c r="AE1740" s="637">
        <f t="shared" si="137"/>
        <v>1.1033519553072626</v>
      </c>
      <c r="AF1740" s="638">
        <f t="shared" si="140"/>
        <v>490</v>
      </c>
    </row>
    <row r="1741" spans="1:32" x14ac:dyDescent="0.3">
      <c r="A1741" s="381" t="s">
        <v>759</v>
      </c>
      <c r="B1741" s="1021" t="s">
        <v>2150</v>
      </c>
      <c r="C1741" s="530"/>
      <c r="D1741" s="836">
        <v>0</v>
      </c>
      <c r="E1741" s="836"/>
      <c r="F1741" s="836">
        <v>0</v>
      </c>
      <c r="G1741" s="836">
        <v>0</v>
      </c>
      <c r="H1741" s="836">
        <v>0</v>
      </c>
      <c r="I1741" s="836">
        <v>61600</v>
      </c>
      <c r="J1741" s="836">
        <v>0</v>
      </c>
      <c r="K1741" s="836">
        <v>0</v>
      </c>
      <c r="L1741" s="836">
        <v>0</v>
      </c>
      <c r="M1741" s="836">
        <v>0</v>
      </c>
      <c r="N1741" s="836">
        <v>0</v>
      </c>
      <c r="O1741" s="836" t="s">
        <v>251</v>
      </c>
      <c r="P1741" s="1497">
        <f t="shared" si="138"/>
        <v>61600</v>
      </c>
      <c r="Q1741" s="1186">
        <f t="shared" si="139"/>
        <v>61600</v>
      </c>
      <c r="R1741" s="835"/>
      <c r="S1741" s="836"/>
      <c r="T1741" s="836"/>
      <c r="U1741" s="836"/>
      <c r="V1741" s="836"/>
      <c r="W1741" s="836"/>
      <c r="X1741" s="836"/>
      <c r="Y1741" s="836"/>
      <c r="Z1741" s="836"/>
      <c r="AA1741" s="836"/>
      <c r="AB1741" s="836"/>
      <c r="AC1741" s="836"/>
      <c r="AD1741" s="1186">
        <f t="shared" si="136"/>
        <v>0</v>
      </c>
      <c r="AE1741" s="637">
        <f t="shared" si="137"/>
        <v>-1</v>
      </c>
      <c r="AF1741" s="638">
        <f t="shared" si="140"/>
        <v>983</v>
      </c>
    </row>
    <row r="1742" spans="1:32" x14ac:dyDescent="0.3">
      <c r="A1742" s="381" t="s">
        <v>759</v>
      </c>
      <c r="B1742" s="1021" t="s">
        <v>2250</v>
      </c>
      <c r="C1742" s="530"/>
      <c r="D1742" s="836">
        <v>0</v>
      </c>
      <c r="E1742" s="836"/>
      <c r="F1742" s="836">
        <v>0</v>
      </c>
      <c r="G1742" s="836">
        <v>0</v>
      </c>
      <c r="H1742" s="836">
        <v>0</v>
      </c>
      <c r="I1742" s="836">
        <v>125000</v>
      </c>
      <c r="J1742" s="836">
        <v>0</v>
      </c>
      <c r="K1742" s="836">
        <v>0</v>
      </c>
      <c r="L1742" s="836">
        <v>0</v>
      </c>
      <c r="M1742" s="836">
        <v>0</v>
      </c>
      <c r="N1742" s="836">
        <v>0</v>
      </c>
      <c r="O1742" s="836" t="s">
        <v>251</v>
      </c>
      <c r="P1742" s="1497">
        <f t="shared" si="138"/>
        <v>125000</v>
      </c>
      <c r="Q1742" s="1186">
        <f t="shared" si="139"/>
        <v>125000</v>
      </c>
      <c r="R1742" s="835"/>
      <c r="S1742" s="836"/>
      <c r="T1742" s="836"/>
      <c r="U1742" s="836"/>
      <c r="V1742" s="836"/>
      <c r="W1742" s="836"/>
      <c r="X1742" s="836"/>
      <c r="Y1742" s="836"/>
      <c r="Z1742" s="836"/>
      <c r="AA1742" s="836"/>
      <c r="AB1742" s="836"/>
      <c r="AC1742" s="836"/>
      <c r="AD1742" s="1186">
        <f t="shared" si="136"/>
        <v>0</v>
      </c>
      <c r="AE1742" s="637">
        <f t="shared" si="137"/>
        <v>-1</v>
      </c>
      <c r="AF1742" s="638">
        <f t="shared" si="140"/>
        <v>983</v>
      </c>
    </row>
    <row r="1743" spans="1:32" x14ac:dyDescent="0.3">
      <c r="A1743" s="381" t="s">
        <v>759</v>
      </c>
      <c r="B1743" s="1021" t="s">
        <v>2251</v>
      </c>
      <c r="C1743" s="530"/>
      <c r="D1743" s="836">
        <v>0</v>
      </c>
      <c r="E1743" s="836"/>
      <c r="F1743" s="836">
        <v>0</v>
      </c>
      <c r="G1743" s="836">
        <v>0</v>
      </c>
      <c r="H1743" s="836">
        <v>0</v>
      </c>
      <c r="I1743" s="836">
        <v>124000</v>
      </c>
      <c r="J1743" s="836">
        <v>0</v>
      </c>
      <c r="K1743" s="836">
        <v>0</v>
      </c>
      <c r="L1743" s="836">
        <v>0</v>
      </c>
      <c r="M1743" s="836">
        <v>0</v>
      </c>
      <c r="N1743" s="836">
        <v>0</v>
      </c>
      <c r="O1743" s="836" t="s">
        <v>251</v>
      </c>
      <c r="P1743" s="1497">
        <f t="shared" si="138"/>
        <v>124000</v>
      </c>
      <c r="Q1743" s="1186">
        <f t="shared" si="139"/>
        <v>124000</v>
      </c>
      <c r="R1743" s="835"/>
      <c r="S1743" s="836"/>
      <c r="T1743" s="836"/>
      <c r="U1743" s="836"/>
      <c r="V1743" s="836"/>
      <c r="W1743" s="836"/>
      <c r="X1743" s="836"/>
      <c r="Y1743" s="836"/>
      <c r="Z1743" s="836"/>
      <c r="AA1743" s="836"/>
      <c r="AB1743" s="836"/>
      <c r="AC1743" s="836"/>
      <c r="AD1743" s="1186">
        <f t="shared" ref="AD1743:AD1806" si="141">SUM(R1743:AC1743)</f>
        <v>0</v>
      </c>
      <c r="AE1743" s="637">
        <f t="shared" ref="AE1743:AE1806" si="142">IF(OR(AD1743="", P1743=""), 0, IFERROR((AD1743-P1743)/P1743, IF(AD1743&lt;&gt;0, 1, 0)))</f>
        <v>-1</v>
      </c>
      <c r="AF1743" s="638">
        <f t="shared" si="140"/>
        <v>983</v>
      </c>
    </row>
    <row r="1744" spans="1:32" x14ac:dyDescent="0.3">
      <c r="A1744" s="381" t="s">
        <v>759</v>
      </c>
      <c r="B1744" s="1021" t="s">
        <v>2252</v>
      </c>
      <c r="C1744" s="530"/>
      <c r="D1744" s="836">
        <v>0</v>
      </c>
      <c r="E1744" s="836"/>
      <c r="F1744" s="836">
        <v>0</v>
      </c>
      <c r="G1744" s="836">
        <v>0</v>
      </c>
      <c r="H1744" s="836">
        <v>0</v>
      </c>
      <c r="I1744" s="836">
        <v>115000</v>
      </c>
      <c r="J1744" s="836">
        <v>0</v>
      </c>
      <c r="K1744" s="836">
        <v>0</v>
      </c>
      <c r="L1744" s="836">
        <v>0</v>
      </c>
      <c r="M1744" s="836">
        <v>0</v>
      </c>
      <c r="N1744" s="836">
        <v>0</v>
      </c>
      <c r="O1744" s="836" t="s">
        <v>251</v>
      </c>
      <c r="P1744" s="1497">
        <f t="shared" si="138"/>
        <v>115000</v>
      </c>
      <c r="Q1744" s="1186">
        <f t="shared" si="139"/>
        <v>115000</v>
      </c>
      <c r="R1744" s="835"/>
      <c r="S1744" s="836"/>
      <c r="T1744" s="836"/>
      <c r="U1744" s="836"/>
      <c r="V1744" s="836"/>
      <c r="W1744" s="836"/>
      <c r="X1744" s="836"/>
      <c r="Y1744" s="836"/>
      <c r="Z1744" s="836"/>
      <c r="AA1744" s="836"/>
      <c r="AB1744" s="836"/>
      <c r="AC1744" s="836"/>
      <c r="AD1744" s="1186">
        <f t="shared" si="141"/>
        <v>0</v>
      </c>
      <c r="AE1744" s="637">
        <f t="shared" si="142"/>
        <v>-1</v>
      </c>
      <c r="AF1744" s="638">
        <f t="shared" si="140"/>
        <v>983</v>
      </c>
    </row>
    <row r="1745" spans="1:32" x14ac:dyDescent="0.3">
      <c r="A1745" s="381" t="s">
        <v>759</v>
      </c>
      <c r="B1745" s="1021" t="s">
        <v>2253</v>
      </c>
      <c r="C1745" s="530"/>
      <c r="D1745" s="836">
        <v>0</v>
      </c>
      <c r="E1745" s="836"/>
      <c r="F1745" s="836">
        <v>0</v>
      </c>
      <c r="G1745" s="836">
        <v>0</v>
      </c>
      <c r="H1745" s="836">
        <v>0</v>
      </c>
      <c r="I1745" s="836">
        <v>111400</v>
      </c>
      <c r="J1745" s="836">
        <v>0</v>
      </c>
      <c r="K1745" s="836">
        <v>0</v>
      </c>
      <c r="L1745" s="836">
        <v>0</v>
      </c>
      <c r="M1745" s="836">
        <v>0</v>
      </c>
      <c r="N1745" s="836">
        <v>0</v>
      </c>
      <c r="O1745" s="836" t="s">
        <v>251</v>
      </c>
      <c r="P1745" s="1497">
        <f t="shared" si="138"/>
        <v>111400</v>
      </c>
      <c r="Q1745" s="1186">
        <f t="shared" si="139"/>
        <v>111400</v>
      </c>
      <c r="R1745" s="835"/>
      <c r="S1745" s="836"/>
      <c r="T1745" s="836"/>
      <c r="U1745" s="836"/>
      <c r="V1745" s="836"/>
      <c r="W1745" s="836"/>
      <c r="X1745" s="836"/>
      <c r="Y1745" s="836"/>
      <c r="Z1745" s="836"/>
      <c r="AA1745" s="836"/>
      <c r="AB1745" s="836"/>
      <c r="AC1745" s="836"/>
      <c r="AD1745" s="1186">
        <f t="shared" si="141"/>
        <v>0</v>
      </c>
      <c r="AE1745" s="637">
        <f t="shared" si="142"/>
        <v>-1</v>
      </c>
      <c r="AF1745" s="638">
        <f t="shared" si="140"/>
        <v>983</v>
      </c>
    </row>
    <row r="1746" spans="1:32" x14ac:dyDescent="0.3">
      <c r="A1746" s="381" t="s">
        <v>759</v>
      </c>
      <c r="B1746" s="1021" t="s">
        <v>2254</v>
      </c>
      <c r="C1746" s="530"/>
      <c r="D1746" s="836">
        <v>0</v>
      </c>
      <c r="E1746" s="836"/>
      <c r="F1746" s="836">
        <v>0</v>
      </c>
      <c r="G1746" s="836">
        <v>0</v>
      </c>
      <c r="H1746" s="836">
        <v>0</v>
      </c>
      <c r="I1746" s="836">
        <v>85000</v>
      </c>
      <c r="J1746" s="836">
        <v>0</v>
      </c>
      <c r="K1746" s="836">
        <v>0</v>
      </c>
      <c r="L1746" s="836">
        <v>0</v>
      </c>
      <c r="M1746" s="836">
        <v>0</v>
      </c>
      <c r="N1746" s="836">
        <v>0</v>
      </c>
      <c r="O1746" s="836" t="s">
        <v>251</v>
      </c>
      <c r="P1746" s="1497">
        <f t="shared" si="138"/>
        <v>85000</v>
      </c>
      <c r="Q1746" s="1186">
        <f t="shared" si="139"/>
        <v>85000</v>
      </c>
      <c r="R1746" s="835"/>
      <c r="S1746" s="836"/>
      <c r="T1746" s="836"/>
      <c r="U1746" s="836"/>
      <c r="V1746" s="836"/>
      <c r="W1746" s="836"/>
      <c r="X1746" s="836"/>
      <c r="Y1746" s="836"/>
      <c r="Z1746" s="836"/>
      <c r="AA1746" s="836"/>
      <c r="AB1746" s="836"/>
      <c r="AC1746" s="836"/>
      <c r="AD1746" s="1186">
        <f t="shared" si="141"/>
        <v>0</v>
      </c>
      <c r="AE1746" s="637">
        <f t="shared" si="142"/>
        <v>-1</v>
      </c>
      <c r="AF1746" s="638">
        <f t="shared" si="140"/>
        <v>983</v>
      </c>
    </row>
    <row r="1747" spans="1:32" x14ac:dyDescent="0.3">
      <c r="A1747" s="381" t="s">
        <v>759</v>
      </c>
      <c r="B1747" s="1021" t="s">
        <v>2255</v>
      </c>
      <c r="C1747" s="530"/>
      <c r="D1747" s="836">
        <v>0</v>
      </c>
      <c r="E1747" s="836"/>
      <c r="F1747" s="836">
        <v>0</v>
      </c>
      <c r="G1747" s="836">
        <v>0</v>
      </c>
      <c r="H1747" s="836">
        <v>0</v>
      </c>
      <c r="I1747" s="836">
        <v>69000</v>
      </c>
      <c r="J1747" s="836">
        <v>0</v>
      </c>
      <c r="K1747" s="836">
        <v>0</v>
      </c>
      <c r="L1747" s="836">
        <v>0</v>
      </c>
      <c r="M1747" s="836">
        <v>0</v>
      </c>
      <c r="N1747" s="836">
        <v>0</v>
      </c>
      <c r="O1747" s="836" t="s">
        <v>251</v>
      </c>
      <c r="P1747" s="1497">
        <f t="shared" si="138"/>
        <v>69000</v>
      </c>
      <c r="Q1747" s="1186">
        <f t="shared" si="139"/>
        <v>69000</v>
      </c>
      <c r="R1747" s="835"/>
      <c r="S1747" s="836"/>
      <c r="T1747" s="836"/>
      <c r="U1747" s="836"/>
      <c r="V1747" s="836"/>
      <c r="W1747" s="836"/>
      <c r="X1747" s="836"/>
      <c r="Y1747" s="836"/>
      <c r="Z1747" s="836"/>
      <c r="AA1747" s="836"/>
      <c r="AB1747" s="836"/>
      <c r="AC1747" s="836"/>
      <c r="AD1747" s="1186">
        <f t="shared" si="141"/>
        <v>0</v>
      </c>
      <c r="AE1747" s="637">
        <f t="shared" si="142"/>
        <v>-1</v>
      </c>
      <c r="AF1747" s="638">
        <f t="shared" si="140"/>
        <v>983</v>
      </c>
    </row>
    <row r="1748" spans="1:32" x14ac:dyDescent="0.3">
      <c r="A1748" s="381" t="s">
        <v>759</v>
      </c>
      <c r="B1748" s="1021" t="s">
        <v>1409</v>
      </c>
      <c r="C1748" s="530"/>
      <c r="D1748" s="836">
        <v>0</v>
      </c>
      <c r="E1748" s="836"/>
      <c r="F1748" s="836">
        <v>0</v>
      </c>
      <c r="G1748" s="836">
        <v>0</v>
      </c>
      <c r="H1748" s="836">
        <v>0</v>
      </c>
      <c r="I1748" s="836">
        <v>40000</v>
      </c>
      <c r="J1748" s="836">
        <v>0</v>
      </c>
      <c r="K1748" s="836">
        <v>0</v>
      </c>
      <c r="L1748" s="836">
        <v>0</v>
      </c>
      <c r="M1748" s="836">
        <v>0</v>
      </c>
      <c r="N1748" s="836">
        <v>0</v>
      </c>
      <c r="O1748" s="836" t="s">
        <v>251</v>
      </c>
      <c r="P1748" s="1497">
        <f t="shared" si="138"/>
        <v>40000</v>
      </c>
      <c r="Q1748" s="1186">
        <f t="shared" si="139"/>
        <v>40000</v>
      </c>
      <c r="R1748" s="835"/>
      <c r="S1748" s="836"/>
      <c r="T1748" s="836">
        <v>44000</v>
      </c>
      <c r="U1748" s="836">
        <v>0</v>
      </c>
      <c r="V1748" s="836">
        <v>0</v>
      </c>
      <c r="W1748" s="836">
        <v>0</v>
      </c>
      <c r="X1748" s="836">
        <v>0</v>
      </c>
      <c r="Y1748" s="836">
        <v>0</v>
      </c>
      <c r="Z1748" s="836"/>
      <c r="AA1748" s="836"/>
      <c r="AB1748" s="836"/>
      <c r="AC1748" s="836"/>
      <c r="AD1748" s="1186">
        <f t="shared" si="141"/>
        <v>44000</v>
      </c>
      <c r="AE1748" s="637">
        <f t="shared" si="142"/>
        <v>0.1</v>
      </c>
      <c r="AF1748" s="638">
        <f t="shared" si="140"/>
        <v>859</v>
      </c>
    </row>
    <row r="1749" spans="1:32" x14ac:dyDescent="0.3">
      <c r="A1749" s="381" t="s">
        <v>759</v>
      </c>
      <c r="B1749" s="1021" t="s">
        <v>2256</v>
      </c>
      <c r="C1749" s="530"/>
      <c r="D1749" s="836">
        <v>0</v>
      </c>
      <c r="E1749" s="836"/>
      <c r="F1749" s="836">
        <v>0</v>
      </c>
      <c r="G1749" s="836">
        <v>0</v>
      </c>
      <c r="H1749" s="836">
        <v>0</v>
      </c>
      <c r="I1749" s="836">
        <v>45000</v>
      </c>
      <c r="J1749" s="836">
        <v>0</v>
      </c>
      <c r="K1749" s="836">
        <v>0</v>
      </c>
      <c r="L1749" s="836">
        <v>0</v>
      </c>
      <c r="M1749" s="836">
        <v>0</v>
      </c>
      <c r="N1749" s="836">
        <v>0</v>
      </c>
      <c r="O1749" s="836" t="s">
        <v>251</v>
      </c>
      <c r="P1749" s="1497">
        <f t="shared" si="138"/>
        <v>45000</v>
      </c>
      <c r="Q1749" s="1186">
        <f t="shared" si="139"/>
        <v>45000</v>
      </c>
      <c r="R1749" s="835"/>
      <c r="S1749" s="836"/>
      <c r="T1749" s="836"/>
      <c r="U1749" s="836"/>
      <c r="V1749" s="836"/>
      <c r="W1749" s="836"/>
      <c r="X1749" s="836"/>
      <c r="Y1749" s="836"/>
      <c r="Z1749" s="836"/>
      <c r="AA1749" s="836"/>
      <c r="AB1749" s="836"/>
      <c r="AC1749" s="836"/>
      <c r="AD1749" s="1186">
        <f t="shared" si="141"/>
        <v>0</v>
      </c>
      <c r="AE1749" s="637">
        <f t="shared" si="142"/>
        <v>-1</v>
      </c>
      <c r="AF1749" s="638">
        <f t="shared" si="140"/>
        <v>983</v>
      </c>
    </row>
    <row r="1750" spans="1:32" x14ac:dyDescent="0.3">
      <c r="A1750" s="381" t="s">
        <v>759</v>
      </c>
      <c r="B1750" s="1021" t="s">
        <v>2257</v>
      </c>
      <c r="C1750" s="530"/>
      <c r="D1750" s="836">
        <v>0</v>
      </c>
      <c r="E1750" s="836"/>
      <c r="F1750" s="836">
        <v>0</v>
      </c>
      <c r="G1750" s="836">
        <v>0</v>
      </c>
      <c r="H1750" s="836">
        <v>0</v>
      </c>
      <c r="I1750" s="836">
        <v>31000</v>
      </c>
      <c r="J1750" s="836">
        <v>0</v>
      </c>
      <c r="K1750" s="836">
        <v>0</v>
      </c>
      <c r="L1750" s="836">
        <v>0</v>
      </c>
      <c r="M1750" s="836">
        <v>0</v>
      </c>
      <c r="N1750" s="836">
        <v>0</v>
      </c>
      <c r="O1750" s="836" t="s">
        <v>251</v>
      </c>
      <c r="P1750" s="1497">
        <f t="shared" ref="P1750:P1813" si="143">SUM(C1750:I1750,K1750)</f>
        <v>31000</v>
      </c>
      <c r="Q1750" s="1186">
        <f t="shared" ref="Q1750:Q1813" si="144">SUM(C1750:J1750,L1750:O1750)</f>
        <v>31000</v>
      </c>
      <c r="R1750" s="835"/>
      <c r="S1750" s="836"/>
      <c r="T1750" s="836"/>
      <c r="U1750" s="836"/>
      <c r="V1750" s="836"/>
      <c r="W1750" s="836"/>
      <c r="X1750" s="836"/>
      <c r="Y1750" s="836"/>
      <c r="Z1750" s="836"/>
      <c r="AA1750" s="836"/>
      <c r="AB1750" s="836"/>
      <c r="AC1750" s="836"/>
      <c r="AD1750" s="1186">
        <f t="shared" si="141"/>
        <v>0</v>
      </c>
      <c r="AE1750" s="637">
        <f t="shared" si="142"/>
        <v>-1</v>
      </c>
      <c r="AF1750" s="638">
        <f t="shared" si="140"/>
        <v>983</v>
      </c>
    </row>
    <row r="1751" spans="1:32" x14ac:dyDescent="0.3">
      <c r="A1751" s="381" t="s">
        <v>759</v>
      </c>
      <c r="B1751" s="1021" t="s">
        <v>2258</v>
      </c>
      <c r="C1751" s="530"/>
      <c r="D1751" s="836">
        <v>0</v>
      </c>
      <c r="E1751" s="836"/>
      <c r="F1751" s="836">
        <v>0</v>
      </c>
      <c r="G1751" s="836">
        <v>0</v>
      </c>
      <c r="H1751" s="836">
        <v>0</v>
      </c>
      <c r="I1751" s="836">
        <v>17000</v>
      </c>
      <c r="J1751" s="836">
        <v>0</v>
      </c>
      <c r="K1751" s="836">
        <v>0</v>
      </c>
      <c r="L1751" s="836">
        <v>0</v>
      </c>
      <c r="M1751" s="836">
        <v>0</v>
      </c>
      <c r="N1751" s="836">
        <v>0</v>
      </c>
      <c r="O1751" s="836" t="s">
        <v>251</v>
      </c>
      <c r="P1751" s="1497">
        <f t="shared" si="143"/>
        <v>17000</v>
      </c>
      <c r="Q1751" s="1186">
        <f t="shared" si="144"/>
        <v>17000</v>
      </c>
      <c r="R1751" s="835"/>
      <c r="S1751" s="836"/>
      <c r="T1751" s="836"/>
      <c r="U1751" s="836"/>
      <c r="V1751" s="836"/>
      <c r="W1751" s="836"/>
      <c r="X1751" s="836"/>
      <c r="Y1751" s="836"/>
      <c r="Z1751" s="836"/>
      <c r="AA1751" s="836"/>
      <c r="AB1751" s="836"/>
      <c r="AC1751" s="836"/>
      <c r="AD1751" s="1186">
        <f t="shared" si="141"/>
        <v>0</v>
      </c>
      <c r="AE1751" s="637">
        <f t="shared" si="142"/>
        <v>-1</v>
      </c>
      <c r="AF1751" s="638">
        <f t="shared" si="140"/>
        <v>983</v>
      </c>
    </row>
    <row r="1752" spans="1:32" x14ac:dyDescent="0.3">
      <c r="A1752" s="381" t="s">
        <v>759</v>
      </c>
      <c r="B1752" s="1021" t="s">
        <v>2259</v>
      </c>
      <c r="C1752" s="530"/>
      <c r="D1752" s="836">
        <v>0</v>
      </c>
      <c r="E1752" s="836"/>
      <c r="F1752" s="836">
        <v>0</v>
      </c>
      <c r="G1752" s="836">
        <v>0</v>
      </c>
      <c r="H1752" s="836">
        <v>0</v>
      </c>
      <c r="I1752" s="836">
        <v>15000</v>
      </c>
      <c r="J1752" s="836">
        <v>0</v>
      </c>
      <c r="K1752" s="836"/>
      <c r="L1752" s="836">
        <v>0</v>
      </c>
      <c r="M1752" s="836">
        <v>0</v>
      </c>
      <c r="N1752" s="836">
        <v>0</v>
      </c>
      <c r="O1752" s="836" t="s">
        <v>251</v>
      </c>
      <c r="P1752" s="1497">
        <f t="shared" si="143"/>
        <v>15000</v>
      </c>
      <c r="Q1752" s="1186">
        <f t="shared" si="144"/>
        <v>15000</v>
      </c>
      <c r="R1752" s="835"/>
      <c r="S1752" s="836"/>
      <c r="T1752" s="836"/>
      <c r="U1752" s="836"/>
      <c r="V1752" s="836"/>
      <c r="W1752" s="836"/>
      <c r="X1752" s="836"/>
      <c r="Y1752" s="836"/>
      <c r="Z1752" s="836"/>
      <c r="AA1752" s="836"/>
      <c r="AB1752" s="836"/>
      <c r="AC1752" s="836"/>
      <c r="AD1752" s="1186">
        <f t="shared" si="141"/>
        <v>0</v>
      </c>
      <c r="AE1752" s="637">
        <f t="shared" si="142"/>
        <v>-1</v>
      </c>
      <c r="AF1752" s="638">
        <f t="shared" si="140"/>
        <v>983</v>
      </c>
    </row>
    <row r="1753" spans="1:32" x14ac:dyDescent="0.3">
      <c r="A1753" s="381" t="s">
        <v>759</v>
      </c>
      <c r="B1753" s="1021" t="s">
        <v>2260</v>
      </c>
      <c r="C1753" s="530"/>
      <c r="D1753" s="836">
        <v>0</v>
      </c>
      <c r="E1753" s="836"/>
      <c r="F1753" s="836">
        <v>0</v>
      </c>
      <c r="G1753" s="836">
        <v>0</v>
      </c>
      <c r="H1753" s="836">
        <v>0</v>
      </c>
      <c r="I1753" s="836">
        <v>0</v>
      </c>
      <c r="J1753" s="836">
        <v>444100</v>
      </c>
      <c r="K1753" s="836">
        <v>382900</v>
      </c>
      <c r="L1753" s="836">
        <v>2678000</v>
      </c>
      <c r="M1753" s="836">
        <v>2902200</v>
      </c>
      <c r="N1753" s="836">
        <v>38000</v>
      </c>
      <c r="O1753" s="836">
        <v>305300</v>
      </c>
      <c r="P1753" s="1497">
        <f t="shared" si="143"/>
        <v>382900</v>
      </c>
      <c r="Q1753" s="1186">
        <f t="shared" si="144"/>
        <v>6367600</v>
      </c>
      <c r="R1753" s="835">
        <v>1444700</v>
      </c>
      <c r="S1753" s="836"/>
      <c r="T1753" s="836">
        <v>1863100</v>
      </c>
      <c r="U1753" s="836">
        <v>1680450</v>
      </c>
      <c r="V1753" s="836">
        <v>1555850</v>
      </c>
      <c r="W1753" s="836">
        <v>31700</v>
      </c>
      <c r="X1753" s="836">
        <v>894300</v>
      </c>
      <c r="Y1753" s="836">
        <v>571000</v>
      </c>
      <c r="Z1753" s="836"/>
      <c r="AA1753" s="836"/>
      <c r="AB1753" s="836"/>
      <c r="AC1753" s="836"/>
      <c r="AD1753" s="1186">
        <f t="shared" si="141"/>
        <v>8041100</v>
      </c>
      <c r="AE1753" s="637">
        <f t="shared" si="142"/>
        <v>20.00052232958997</v>
      </c>
      <c r="AF1753" s="638">
        <f t="shared" si="140"/>
        <v>47</v>
      </c>
    </row>
    <row r="1754" spans="1:32" x14ac:dyDescent="0.3">
      <c r="A1754" s="381" t="s">
        <v>759</v>
      </c>
      <c r="B1754" s="1021" t="s">
        <v>1342</v>
      </c>
      <c r="C1754" s="530"/>
      <c r="D1754" s="836">
        <v>0</v>
      </c>
      <c r="E1754" s="836"/>
      <c r="F1754" s="836">
        <v>0</v>
      </c>
      <c r="G1754" s="836">
        <v>0</v>
      </c>
      <c r="H1754" s="836">
        <v>0</v>
      </c>
      <c r="I1754" s="836">
        <v>0</v>
      </c>
      <c r="J1754" s="836">
        <v>12000</v>
      </c>
      <c r="K1754" s="836">
        <v>12000</v>
      </c>
      <c r="L1754" s="836">
        <v>12000</v>
      </c>
      <c r="M1754" s="836">
        <v>0</v>
      </c>
      <c r="N1754" s="836">
        <v>0</v>
      </c>
      <c r="O1754" s="836" t="s">
        <v>251</v>
      </c>
      <c r="P1754" s="1497">
        <f t="shared" si="143"/>
        <v>12000</v>
      </c>
      <c r="Q1754" s="1186">
        <f t="shared" si="144"/>
        <v>24000</v>
      </c>
      <c r="R1754" s="835"/>
      <c r="S1754" s="836"/>
      <c r="T1754" s="836"/>
      <c r="U1754" s="836"/>
      <c r="V1754" s="836"/>
      <c r="W1754" s="836"/>
      <c r="X1754" s="836"/>
      <c r="Y1754" s="836"/>
      <c r="Z1754" s="836"/>
      <c r="AA1754" s="836"/>
      <c r="AB1754" s="836"/>
      <c r="AC1754" s="836"/>
      <c r="AD1754" s="1186">
        <f t="shared" si="141"/>
        <v>0</v>
      </c>
      <c r="AE1754" s="637">
        <f t="shared" si="142"/>
        <v>-1</v>
      </c>
      <c r="AF1754" s="638">
        <f t="shared" si="140"/>
        <v>983</v>
      </c>
    </row>
    <row r="1755" spans="1:32" x14ac:dyDescent="0.3">
      <c r="A1755" s="381" t="s">
        <v>759</v>
      </c>
      <c r="B1755" s="1021" t="s">
        <v>2261</v>
      </c>
      <c r="C1755" s="530"/>
      <c r="D1755" s="836">
        <v>0</v>
      </c>
      <c r="E1755" s="836"/>
      <c r="F1755" s="836">
        <v>0</v>
      </c>
      <c r="G1755" s="836">
        <v>0</v>
      </c>
      <c r="H1755" s="836">
        <v>0</v>
      </c>
      <c r="I1755" s="836">
        <v>0</v>
      </c>
      <c r="J1755" s="836">
        <v>881000</v>
      </c>
      <c r="K1755" s="836">
        <v>881000</v>
      </c>
      <c r="L1755" s="836">
        <v>0</v>
      </c>
      <c r="M1755" s="836">
        <v>0</v>
      </c>
      <c r="N1755" s="836">
        <v>0</v>
      </c>
      <c r="O1755" s="836" t="s">
        <v>251</v>
      </c>
      <c r="P1755" s="1497">
        <f t="shared" si="143"/>
        <v>881000</v>
      </c>
      <c r="Q1755" s="1186">
        <f t="shared" si="144"/>
        <v>881000</v>
      </c>
      <c r="R1755" s="835"/>
      <c r="S1755" s="836"/>
      <c r="T1755" s="836"/>
      <c r="U1755" s="836"/>
      <c r="V1755" s="836"/>
      <c r="W1755" s="836"/>
      <c r="X1755" s="836"/>
      <c r="Y1755" s="836"/>
      <c r="Z1755" s="836"/>
      <c r="AA1755" s="836"/>
      <c r="AB1755" s="836"/>
      <c r="AC1755" s="836"/>
      <c r="AD1755" s="1186">
        <f t="shared" si="141"/>
        <v>0</v>
      </c>
      <c r="AE1755" s="637">
        <f t="shared" si="142"/>
        <v>-1</v>
      </c>
      <c r="AF1755" s="638">
        <f t="shared" si="140"/>
        <v>983</v>
      </c>
    </row>
    <row r="1756" spans="1:32" x14ac:dyDescent="0.3">
      <c r="A1756" s="381" t="s">
        <v>759</v>
      </c>
      <c r="B1756" s="1021" t="s">
        <v>1884</v>
      </c>
      <c r="C1756" s="530"/>
      <c r="D1756" s="836">
        <v>0</v>
      </c>
      <c r="E1756" s="836"/>
      <c r="F1756" s="836">
        <v>0</v>
      </c>
      <c r="G1756" s="836">
        <v>0</v>
      </c>
      <c r="H1756" s="836">
        <v>0</v>
      </c>
      <c r="I1756" s="836">
        <v>0</v>
      </c>
      <c r="J1756" s="836">
        <v>290000</v>
      </c>
      <c r="K1756" s="836"/>
      <c r="L1756" s="836">
        <v>80000</v>
      </c>
      <c r="M1756" s="836">
        <v>157500</v>
      </c>
      <c r="N1756" s="836">
        <v>222500</v>
      </c>
      <c r="O1756" s="836" t="s">
        <v>251</v>
      </c>
      <c r="P1756" s="1497">
        <f t="shared" si="143"/>
        <v>0</v>
      </c>
      <c r="Q1756" s="1186">
        <f t="shared" si="144"/>
        <v>750000</v>
      </c>
      <c r="R1756" s="835"/>
      <c r="S1756" s="836">
        <v>60000</v>
      </c>
      <c r="T1756" s="836">
        <v>37250</v>
      </c>
      <c r="U1756" s="836">
        <v>88500</v>
      </c>
      <c r="V1756" s="836">
        <v>46000</v>
      </c>
      <c r="W1756" s="836">
        <v>0</v>
      </c>
      <c r="X1756" s="836">
        <v>15000</v>
      </c>
      <c r="Y1756" s="836">
        <v>0</v>
      </c>
      <c r="Z1756" s="836"/>
      <c r="AA1756" s="836"/>
      <c r="AB1756" s="836"/>
      <c r="AC1756" s="836"/>
      <c r="AD1756" s="1186">
        <f t="shared" si="141"/>
        <v>246750</v>
      </c>
      <c r="AE1756" s="637">
        <f t="shared" si="142"/>
        <v>1</v>
      </c>
      <c r="AF1756" s="638">
        <f t="shared" si="140"/>
        <v>571</v>
      </c>
    </row>
    <row r="1757" spans="1:32" x14ac:dyDescent="0.3">
      <c r="A1757" s="381" t="s">
        <v>759</v>
      </c>
      <c r="B1757" s="1021" t="s">
        <v>2262</v>
      </c>
      <c r="C1757" s="530"/>
      <c r="D1757" s="836">
        <v>0</v>
      </c>
      <c r="E1757" s="836"/>
      <c r="F1757" s="836">
        <v>0</v>
      </c>
      <c r="G1757" s="836">
        <v>0</v>
      </c>
      <c r="H1757" s="836">
        <v>0</v>
      </c>
      <c r="I1757" s="836">
        <v>0</v>
      </c>
      <c r="J1757" s="836">
        <v>105000</v>
      </c>
      <c r="K1757" s="836">
        <v>105000</v>
      </c>
      <c r="L1757" s="836">
        <v>0</v>
      </c>
      <c r="M1757" s="836">
        <v>0</v>
      </c>
      <c r="N1757" s="836">
        <v>0</v>
      </c>
      <c r="O1757" s="836" t="s">
        <v>251</v>
      </c>
      <c r="P1757" s="1497">
        <f t="shared" si="143"/>
        <v>105000</v>
      </c>
      <c r="Q1757" s="1186">
        <f t="shared" si="144"/>
        <v>105000</v>
      </c>
      <c r="R1757" s="835"/>
      <c r="S1757" s="836"/>
      <c r="T1757" s="836"/>
      <c r="U1757" s="836"/>
      <c r="V1757" s="836"/>
      <c r="W1757" s="836"/>
      <c r="X1757" s="836"/>
      <c r="Y1757" s="836"/>
      <c r="Z1757" s="836"/>
      <c r="AA1757" s="836"/>
      <c r="AB1757" s="836"/>
      <c r="AC1757" s="836"/>
      <c r="AD1757" s="1186">
        <f t="shared" si="141"/>
        <v>0</v>
      </c>
      <c r="AE1757" s="637">
        <f t="shared" si="142"/>
        <v>-1</v>
      </c>
      <c r="AF1757" s="638">
        <f t="shared" si="140"/>
        <v>983</v>
      </c>
    </row>
    <row r="1758" spans="1:32" x14ac:dyDescent="0.3">
      <c r="A1758" s="381" t="s">
        <v>759</v>
      </c>
      <c r="B1758" s="1021" t="s">
        <v>2263</v>
      </c>
      <c r="C1758" s="530"/>
      <c r="D1758" s="836">
        <v>0</v>
      </c>
      <c r="E1758" s="836"/>
      <c r="F1758" s="836">
        <v>0</v>
      </c>
      <c r="G1758" s="836">
        <v>0</v>
      </c>
      <c r="H1758" s="836">
        <v>0</v>
      </c>
      <c r="I1758" s="836">
        <v>0</v>
      </c>
      <c r="J1758" s="836">
        <v>82500</v>
      </c>
      <c r="K1758" s="836">
        <v>82500</v>
      </c>
      <c r="L1758" s="836">
        <v>0</v>
      </c>
      <c r="M1758" s="836">
        <v>0</v>
      </c>
      <c r="N1758" s="836">
        <v>0</v>
      </c>
      <c r="O1758" s="836" t="s">
        <v>251</v>
      </c>
      <c r="P1758" s="1497">
        <f t="shared" si="143"/>
        <v>82500</v>
      </c>
      <c r="Q1758" s="1186">
        <f t="shared" si="144"/>
        <v>82500</v>
      </c>
      <c r="R1758" s="835"/>
      <c r="S1758" s="836"/>
      <c r="T1758" s="836"/>
      <c r="U1758" s="836"/>
      <c r="V1758" s="836"/>
      <c r="W1758" s="836"/>
      <c r="X1758" s="836"/>
      <c r="Y1758" s="836"/>
      <c r="Z1758" s="836"/>
      <c r="AA1758" s="836"/>
      <c r="AB1758" s="836"/>
      <c r="AC1758" s="836"/>
      <c r="AD1758" s="1186">
        <f t="shared" si="141"/>
        <v>0</v>
      </c>
      <c r="AE1758" s="637">
        <f t="shared" si="142"/>
        <v>-1</v>
      </c>
      <c r="AF1758" s="638">
        <f t="shared" si="140"/>
        <v>983</v>
      </c>
    </row>
    <row r="1759" spans="1:32" x14ac:dyDescent="0.3">
      <c r="A1759" s="381" t="s">
        <v>759</v>
      </c>
      <c r="B1759" s="1021" t="s">
        <v>2264</v>
      </c>
      <c r="C1759" s="530"/>
      <c r="D1759" s="836">
        <v>0</v>
      </c>
      <c r="E1759" s="836"/>
      <c r="F1759" s="836">
        <v>0</v>
      </c>
      <c r="G1759" s="836">
        <v>0</v>
      </c>
      <c r="H1759" s="836">
        <v>0</v>
      </c>
      <c r="I1759" s="836">
        <v>0</v>
      </c>
      <c r="J1759" s="836">
        <v>82000</v>
      </c>
      <c r="K1759" s="836">
        <v>82000</v>
      </c>
      <c r="L1759" s="836">
        <v>0</v>
      </c>
      <c r="M1759" s="836">
        <v>0</v>
      </c>
      <c r="N1759" s="836">
        <v>0</v>
      </c>
      <c r="O1759" s="836" t="s">
        <v>251</v>
      </c>
      <c r="P1759" s="1497">
        <f t="shared" si="143"/>
        <v>82000</v>
      </c>
      <c r="Q1759" s="1186">
        <f t="shared" si="144"/>
        <v>82000</v>
      </c>
      <c r="R1759" s="835"/>
      <c r="S1759" s="836"/>
      <c r="T1759" s="836"/>
      <c r="U1759" s="836"/>
      <c r="V1759" s="836"/>
      <c r="W1759" s="836"/>
      <c r="X1759" s="836"/>
      <c r="Y1759" s="836"/>
      <c r="Z1759" s="836"/>
      <c r="AA1759" s="836"/>
      <c r="AB1759" s="836"/>
      <c r="AC1759" s="836"/>
      <c r="AD1759" s="1186">
        <f t="shared" si="141"/>
        <v>0</v>
      </c>
      <c r="AE1759" s="637">
        <f t="shared" si="142"/>
        <v>-1</v>
      </c>
      <c r="AF1759" s="638">
        <f t="shared" si="140"/>
        <v>983</v>
      </c>
    </row>
    <row r="1760" spans="1:32" x14ac:dyDescent="0.3">
      <c r="A1760" s="381" t="s">
        <v>759</v>
      </c>
      <c r="B1760" s="1021" t="s">
        <v>2265</v>
      </c>
      <c r="C1760" s="530"/>
      <c r="D1760" s="836">
        <v>0</v>
      </c>
      <c r="E1760" s="836"/>
      <c r="F1760" s="836">
        <v>0</v>
      </c>
      <c r="G1760" s="836">
        <v>0</v>
      </c>
      <c r="H1760" s="836">
        <v>0</v>
      </c>
      <c r="I1760" s="836">
        <v>0</v>
      </c>
      <c r="J1760" s="836">
        <v>66500</v>
      </c>
      <c r="K1760" s="836">
        <v>66500</v>
      </c>
      <c r="L1760" s="836">
        <v>0</v>
      </c>
      <c r="M1760" s="836">
        <v>0</v>
      </c>
      <c r="N1760" s="836">
        <v>0</v>
      </c>
      <c r="O1760" s="836" t="s">
        <v>251</v>
      </c>
      <c r="P1760" s="1497">
        <f t="shared" si="143"/>
        <v>66500</v>
      </c>
      <c r="Q1760" s="1186">
        <f t="shared" si="144"/>
        <v>66500</v>
      </c>
      <c r="R1760" s="835"/>
      <c r="S1760" s="836"/>
      <c r="T1760" s="836"/>
      <c r="U1760" s="836"/>
      <c r="V1760" s="836"/>
      <c r="W1760" s="836"/>
      <c r="X1760" s="836"/>
      <c r="Y1760" s="836"/>
      <c r="Z1760" s="836"/>
      <c r="AA1760" s="836"/>
      <c r="AB1760" s="836"/>
      <c r="AC1760" s="836"/>
      <c r="AD1760" s="1186">
        <f t="shared" si="141"/>
        <v>0</v>
      </c>
      <c r="AE1760" s="637">
        <f t="shared" si="142"/>
        <v>-1</v>
      </c>
      <c r="AF1760" s="638">
        <f t="shared" si="140"/>
        <v>983</v>
      </c>
    </row>
    <row r="1761" spans="1:32" x14ac:dyDescent="0.3">
      <c r="A1761" s="381" t="s">
        <v>759</v>
      </c>
      <c r="B1761" s="1021" t="s">
        <v>2266</v>
      </c>
      <c r="C1761" s="530"/>
      <c r="D1761" s="836">
        <v>0</v>
      </c>
      <c r="E1761" s="836"/>
      <c r="F1761" s="836">
        <v>0</v>
      </c>
      <c r="G1761" s="836">
        <v>0</v>
      </c>
      <c r="H1761" s="836">
        <v>0</v>
      </c>
      <c r="I1761" s="836">
        <v>0</v>
      </c>
      <c r="J1761" s="836">
        <v>44000</v>
      </c>
      <c r="K1761" s="836">
        <v>44000</v>
      </c>
      <c r="L1761" s="836">
        <v>0</v>
      </c>
      <c r="M1761" s="836">
        <v>0</v>
      </c>
      <c r="N1761" s="836">
        <v>0</v>
      </c>
      <c r="O1761" s="836" t="s">
        <v>251</v>
      </c>
      <c r="P1761" s="1497">
        <f t="shared" si="143"/>
        <v>44000</v>
      </c>
      <c r="Q1761" s="1186">
        <f t="shared" si="144"/>
        <v>44000</v>
      </c>
      <c r="R1761" s="835"/>
      <c r="S1761" s="836"/>
      <c r="T1761" s="836"/>
      <c r="U1761" s="836"/>
      <c r="V1761" s="836"/>
      <c r="W1761" s="836"/>
      <c r="X1761" s="836"/>
      <c r="Y1761" s="836"/>
      <c r="Z1761" s="836"/>
      <c r="AA1761" s="836"/>
      <c r="AB1761" s="836"/>
      <c r="AC1761" s="836"/>
      <c r="AD1761" s="1186">
        <f t="shared" si="141"/>
        <v>0</v>
      </c>
      <c r="AE1761" s="637">
        <f t="shared" si="142"/>
        <v>-1</v>
      </c>
      <c r="AF1761" s="638">
        <f t="shared" si="140"/>
        <v>983</v>
      </c>
    </row>
    <row r="1762" spans="1:32" x14ac:dyDescent="0.3">
      <c r="A1762" s="381" t="s">
        <v>759</v>
      </c>
      <c r="B1762" s="1021" t="s">
        <v>2267</v>
      </c>
      <c r="C1762" s="530"/>
      <c r="D1762" s="836">
        <v>0</v>
      </c>
      <c r="E1762" s="836"/>
      <c r="F1762" s="836">
        <v>0</v>
      </c>
      <c r="G1762" s="836">
        <v>0</v>
      </c>
      <c r="H1762" s="836">
        <v>0</v>
      </c>
      <c r="I1762" s="836">
        <v>0</v>
      </c>
      <c r="J1762" s="836">
        <v>38400</v>
      </c>
      <c r="K1762" s="836">
        <v>38400</v>
      </c>
      <c r="L1762" s="836">
        <v>0</v>
      </c>
      <c r="M1762" s="836">
        <v>0</v>
      </c>
      <c r="N1762" s="836">
        <v>0</v>
      </c>
      <c r="O1762" s="836" t="s">
        <v>251</v>
      </c>
      <c r="P1762" s="1497">
        <f t="shared" si="143"/>
        <v>38400</v>
      </c>
      <c r="Q1762" s="1186">
        <f t="shared" si="144"/>
        <v>38400</v>
      </c>
      <c r="R1762" s="835"/>
      <c r="S1762" s="836"/>
      <c r="T1762" s="836"/>
      <c r="U1762" s="836"/>
      <c r="V1762" s="836"/>
      <c r="W1762" s="836"/>
      <c r="X1762" s="836"/>
      <c r="Y1762" s="836"/>
      <c r="Z1762" s="836"/>
      <c r="AA1762" s="836"/>
      <c r="AB1762" s="836"/>
      <c r="AC1762" s="836"/>
      <c r="AD1762" s="1186">
        <f t="shared" si="141"/>
        <v>0</v>
      </c>
      <c r="AE1762" s="637">
        <f t="shared" si="142"/>
        <v>-1</v>
      </c>
      <c r="AF1762" s="638">
        <f t="shared" si="140"/>
        <v>983</v>
      </c>
    </row>
    <row r="1763" spans="1:32" x14ac:dyDescent="0.3">
      <c r="A1763" s="381" t="s">
        <v>759</v>
      </c>
      <c r="B1763" s="1021" t="s">
        <v>2268</v>
      </c>
      <c r="C1763" s="530"/>
      <c r="D1763" s="836">
        <v>0</v>
      </c>
      <c r="E1763" s="836"/>
      <c r="F1763" s="836">
        <v>0</v>
      </c>
      <c r="G1763" s="836">
        <v>0</v>
      </c>
      <c r="H1763" s="836">
        <v>0</v>
      </c>
      <c r="I1763" s="836">
        <v>0</v>
      </c>
      <c r="J1763" s="836">
        <v>30000</v>
      </c>
      <c r="K1763" s="836">
        <v>30000</v>
      </c>
      <c r="L1763" s="836">
        <v>0</v>
      </c>
      <c r="M1763" s="836">
        <v>0</v>
      </c>
      <c r="N1763" s="836">
        <v>0</v>
      </c>
      <c r="O1763" s="836" t="s">
        <v>251</v>
      </c>
      <c r="P1763" s="1497">
        <f t="shared" si="143"/>
        <v>30000</v>
      </c>
      <c r="Q1763" s="1186">
        <f t="shared" si="144"/>
        <v>30000</v>
      </c>
      <c r="R1763" s="835"/>
      <c r="S1763" s="836"/>
      <c r="T1763" s="836"/>
      <c r="U1763" s="836"/>
      <c r="V1763" s="836"/>
      <c r="W1763" s="836"/>
      <c r="X1763" s="836"/>
      <c r="Y1763" s="836"/>
      <c r="Z1763" s="836"/>
      <c r="AA1763" s="836"/>
      <c r="AB1763" s="836"/>
      <c r="AC1763" s="836"/>
      <c r="AD1763" s="1186">
        <f t="shared" si="141"/>
        <v>0</v>
      </c>
      <c r="AE1763" s="637">
        <f t="shared" si="142"/>
        <v>-1</v>
      </c>
      <c r="AF1763" s="638">
        <f t="shared" si="140"/>
        <v>983</v>
      </c>
    </row>
    <row r="1764" spans="1:32" x14ac:dyDescent="0.3">
      <c r="A1764" s="381" t="s">
        <v>759</v>
      </c>
      <c r="B1764" s="1021" t="s">
        <v>1987</v>
      </c>
      <c r="C1764" s="530"/>
      <c r="D1764" s="836">
        <v>0</v>
      </c>
      <c r="E1764" s="836"/>
      <c r="F1764" s="836">
        <v>0</v>
      </c>
      <c r="G1764" s="836">
        <v>0</v>
      </c>
      <c r="H1764" s="836">
        <v>0</v>
      </c>
      <c r="I1764" s="836">
        <v>0</v>
      </c>
      <c r="J1764" s="836">
        <v>10950</v>
      </c>
      <c r="K1764" s="836">
        <v>10950</v>
      </c>
      <c r="L1764" s="836">
        <v>0</v>
      </c>
      <c r="M1764" s="836">
        <v>0</v>
      </c>
      <c r="N1764" s="836">
        <v>0</v>
      </c>
      <c r="O1764" s="836" t="s">
        <v>251</v>
      </c>
      <c r="P1764" s="1497">
        <f t="shared" si="143"/>
        <v>10950</v>
      </c>
      <c r="Q1764" s="1186">
        <f t="shared" si="144"/>
        <v>10950</v>
      </c>
      <c r="R1764" s="835"/>
      <c r="S1764" s="836"/>
      <c r="T1764" s="836"/>
      <c r="U1764" s="836"/>
      <c r="V1764" s="836"/>
      <c r="W1764" s="836"/>
      <c r="X1764" s="836"/>
      <c r="Y1764" s="836"/>
      <c r="Z1764" s="836"/>
      <c r="AA1764" s="836"/>
      <c r="AB1764" s="836"/>
      <c r="AC1764" s="836"/>
      <c r="AD1764" s="1186">
        <f t="shared" si="141"/>
        <v>0</v>
      </c>
      <c r="AE1764" s="637">
        <f t="shared" si="142"/>
        <v>-1</v>
      </c>
      <c r="AF1764" s="638">
        <f t="shared" si="140"/>
        <v>983</v>
      </c>
    </row>
    <row r="1765" spans="1:32" x14ac:dyDescent="0.3">
      <c r="A1765" s="381" t="s">
        <v>759</v>
      </c>
      <c r="B1765" s="1021" t="s">
        <v>386</v>
      </c>
      <c r="C1765" s="530"/>
      <c r="D1765" s="836">
        <v>0</v>
      </c>
      <c r="E1765" s="836"/>
      <c r="F1765" s="836">
        <v>0</v>
      </c>
      <c r="G1765" s="836">
        <v>0</v>
      </c>
      <c r="H1765" s="836">
        <v>0</v>
      </c>
      <c r="I1765" s="836">
        <v>0</v>
      </c>
      <c r="J1765" s="836">
        <v>15000</v>
      </c>
      <c r="K1765" s="836">
        <v>15000</v>
      </c>
      <c r="L1765" s="836">
        <v>0</v>
      </c>
      <c r="M1765" s="836">
        <v>0</v>
      </c>
      <c r="N1765" s="836">
        <v>0</v>
      </c>
      <c r="O1765" s="836" t="s">
        <v>251</v>
      </c>
      <c r="P1765" s="1497">
        <f t="shared" si="143"/>
        <v>15000</v>
      </c>
      <c r="Q1765" s="1186">
        <f t="shared" si="144"/>
        <v>15000</v>
      </c>
      <c r="R1765" s="835"/>
      <c r="S1765" s="836"/>
      <c r="T1765" s="836"/>
      <c r="U1765" s="836"/>
      <c r="V1765" s="836"/>
      <c r="W1765" s="836"/>
      <c r="X1765" s="836"/>
      <c r="Y1765" s="836"/>
      <c r="Z1765" s="836"/>
      <c r="AA1765" s="836"/>
      <c r="AB1765" s="836"/>
      <c r="AC1765" s="836"/>
      <c r="AD1765" s="1186">
        <f t="shared" si="141"/>
        <v>0</v>
      </c>
      <c r="AE1765" s="637">
        <f t="shared" si="142"/>
        <v>-1</v>
      </c>
      <c r="AF1765" s="638">
        <f t="shared" si="140"/>
        <v>983</v>
      </c>
    </row>
    <row r="1766" spans="1:32" x14ac:dyDescent="0.3">
      <c r="A1766" s="381" t="s">
        <v>759</v>
      </c>
      <c r="B1766" s="1021" t="s">
        <v>2269</v>
      </c>
      <c r="C1766" s="530"/>
      <c r="D1766" s="836">
        <v>0</v>
      </c>
      <c r="E1766" s="836"/>
      <c r="F1766" s="836">
        <v>0</v>
      </c>
      <c r="G1766" s="836">
        <v>0</v>
      </c>
      <c r="H1766" s="836">
        <v>0</v>
      </c>
      <c r="I1766" s="836">
        <v>0</v>
      </c>
      <c r="J1766" s="836">
        <v>15000</v>
      </c>
      <c r="K1766" s="836">
        <v>15000</v>
      </c>
      <c r="L1766" s="836">
        <v>0</v>
      </c>
      <c r="M1766" s="836">
        <v>0</v>
      </c>
      <c r="N1766" s="836">
        <v>0</v>
      </c>
      <c r="O1766" s="836" t="s">
        <v>251</v>
      </c>
      <c r="P1766" s="1497">
        <f t="shared" si="143"/>
        <v>15000</v>
      </c>
      <c r="Q1766" s="1186">
        <f t="shared" si="144"/>
        <v>15000</v>
      </c>
      <c r="R1766" s="835"/>
      <c r="S1766" s="836"/>
      <c r="T1766" s="836"/>
      <c r="U1766" s="836"/>
      <c r="V1766" s="836"/>
      <c r="W1766" s="836"/>
      <c r="X1766" s="836"/>
      <c r="Y1766" s="836"/>
      <c r="Z1766" s="836"/>
      <c r="AA1766" s="836"/>
      <c r="AB1766" s="836"/>
      <c r="AC1766" s="836"/>
      <c r="AD1766" s="1186">
        <f t="shared" si="141"/>
        <v>0</v>
      </c>
      <c r="AE1766" s="637">
        <f t="shared" si="142"/>
        <v>-1</v>
      </c>
      <c r="AF1766" s="638">
        <f t="shared" si="140"/>
        <v>983</v>
      </c>
    </row>
    <row r="1767" spans="1:32" x14ac:dyDescent="0.3">
      <c r="A1767" s="381" t="s">
        <v>759</v>
      </c>
      <c r="B1767" s="1021" t="s">
        <v>1353</v>
      </c>
      <c r="C1767" s="530"/>
      <c r="D1767" s="836">
        <v>0</v>
      </c>
      <c r="E1767" s="836"/>
      <c r="F1767" s="836">
        <v>0</v>
      </c>
      <c r="G1767" s="836">
        <v>0</v>
      </c>
      <c r="H1767" s="836">
        <v>0</v>
      </c>
      <c r="I1767" s="836">
        <v>0</v>
      </c>
      <c r="J1767" s="836">
        <v>0</v>
      </c>
      <c r="K1767" s="836"/>
      <c r="L1767" s="836">
        <v>205000</v>
      </c>
      <c r="M1767" s="836">
        <v>0</v>
      </c>
      <c r="N1767" s="836">
        <v>0</v>
      </c>
      <c r="O1767" s="836" t="s">
        <v>251</v>
      </c>
      <c r="P1767" s="1497">
        <f t="shared" si="143"/>
        <v>0</v>
      </c>
      <c r="Q1767" s="1186">
        <f t="shared" si="144"/>
        <v>205000</v>
      </c>
      <c r="R1767" s="835"/>
      <c r="S1767" s="836"/>
      <c r="T1767" s="836"/>
      <c r="U1767" s="836"/>
      <c r="V1767" s="836"/>
      <c r="W1767" s="836"/>
      <c r="X1767" s="836"/>
      <c r="Y1767" s="836"/>
      <c r="Z1767" s="836"/>
      <c r="AA1767" s="836"/>
      <c r="AB1767" s="836"/>
      <c r="AC1767" s="836"/>
      <c r="AD1767" s="1186">
        <f t="shared" si="141"/>
        <v>0</v>
      </c>
      <c r="AE1767" s="637">
        <f t="shared" si="142"/>
        <v>0</v>
      </c>
      <c r="AF1767" s="638">
        <f t="shared" si="140"/>
        <v>983</v>
      </c>
    </row>
    <row r="1768" spans="1:32" x14ac:dyDescent="0.3">
      <c r="A1768" s="381" t="s">
        <v>759</v>
      </c>
      <c r="B1768" s="1021" t="s">
        <v>705</v>
      </c>
      <c r="C1768" s="530"/>
      <c r="D1768" s="836">
        <v>0</v>
      </c>
      <c r="E1768" s="836"/>
      <c r="F1768" s="836">
        <v>0</v>
      </c>
      <c r="G1768" s="836">
        <v>0</v>
      </c>
      <c r="H1768" s="836">
        <v>0</v>
      </c>
      <c r="I1768" s="836">
        <v>0</v>
      </c>
      <c r="J1768" s="836">
        <v>0</v>
      </c>
      <c r="K1768" s="836"/>
      <c r="L1768" s="836">
        <v>104000</v>
      </c>
      <c r="M1768" s="836">
        <v>0</v>
      </c>
      <c r="N1768" s="836">
        <v>0</v>
      </c>
      <c r="O1768" s="836" t="s">
        <v>251</v>
      </c>
      <c r="P1768" s="1497">
        <f t="shared" si="143"/>
        <v>0</v>
      </c>
      <c r="Q1768" s="1186">
        <f t="shared" si="144"/>
        <v>104000</v>
      </c>
      <c r="R1768" s="835"/>
      <c r="S1768" s="836"/>
      <c r="T1768" s="836"/>
      <c r="U1768" s="836"/>
      <c r="V1768" s="836"/>
      <c r="W1768" s="836"/>
      <c r="X1768" s="836"/>
      <c r="Y1768" s="836"/>
      <c r="Z1768" s="836"/>
      <c r="AA1768" s="836"/>
      <c r="AB1768" s="836"/>
      <c r="AC1768" s="836"/>
      <c r="AD1768" s="1186">
        <f t="shared" si="141"/>
        <v>0</v>
      </c>
      <c r="AE1768" s="637">
        <f t="shared" si="142"/>
        <v>0</v>
      </c>
      <c r="AF1768" s="638">
        <f t="shared" si="140"/>
        <v>983</v>
      </c>
    </row>
    <row r="1769" spans="1:32" x14ac:dyDescent="0.3">
      <c r="A1769" s="381" t="s">
        <v>759</v>
      </c>
      <c r="B1769" s="1021" t="s">
        <v>1096</v>
      </c>
      <c r="C1769" s="530"/>
      <c r="D1769" s="836">
        <v>0</v>
      </c>
      <c r="E1769" s="836"/>
      <c r="F1769" s="836">
        <v>0</v>
      </c>
      <c r="G1769" s="836">
        <v>0</v>
      </c>
      <c r="H1769" s="836">
        <v>0</v>
      </c>
      <c r="I1769" s="836">
        <v>0</v>
      </c>
      <c r="J1769" s="836">
        <v>0</v>
      </c>
      <c r="K1769" s="836"/>
      <c r="L1769" s="836">
        <v>55000</v>
      </c>
      <c r="M1769" s="836">
        <v>0</v>
      </c>
      <c r="N1769" s="836">
        <v>0</v>
      </c>
      <c r="O1769" s="836" t="s">
        <v>251</v>
      </c>
      <c r="P1769" s="1497">
        <f t="shared" si="143"/>
        <v>0</v>
      </c>
      <c r="Q1769" s="1186">
        <f t="shared" si="144"/>
        <v>55000</v>
      </c>
      <c r="R1769" s="835"/>
      <c r="S1769" s="836"/>
      <c r="T1769" s="836"/>
      <c r="U1769" s="836"/>
      <c r="V1769" s="836"/>
      <c r="W1769" s="836"/>
      <c r="X1769" s="836"/>
      <c r="Y1769" s="836"/>
      <c r="Z1769" s="836"/>
      <c r="AA1769" s="836"/>
      <c r="AB1769" s="836"/>
      <c r="AC1769" s="836"/>
      <c r="AD1769" s="1186">
        <f t="shared" si="141"/>
        <v>0</v>
      </c>
      <c r="AE1769" s="637">
        <f t="shared" si="142"/>
        <v>0</v>
      </c>
      <c r="AF1769" s="638">
        <f t="shared" si="140"/>
        <v>983</v>
      </c>
    </row>
    <row r="1770" spans="1:32" x14ac:dyDescent="0.3">
      <c r="A1770" s="381" t="s">
        <v>759</v>
      </c>
      <c r="B1770" s="1021" t="s">
        <v>2270</v>
      </c>
      <c r="C1770" s="530"/>
      <c r="D1770" s="836">
        <v>0</v>
      </c>
      <c r="E1770" s="836"/>
      <c r="F1770" s="836">
        <v>0</v>
      </c>
      <c r="G1770" s="836">
        <v>0</v>
      </c>
      <c r="H1770" s="836">
        <v>0</v>
      </c>
      <c r="I1770" s="836">
        <v>0</v>
      </c>
      <c r="J1770" s="836">
        <v>0</v>
      </c>
      <c r="K1770" s="836"/>
      <c r="L1770" s="836">
        <v>609000</v>
      </c>
      <c r="M1770" s="836">
        <v>1625500</v>
      </c>
      <c r="N1770" s="836">
        <v>445000</v>
      </c>
      <c r="O1770" s="836" t="s">
        <v>251</v>
      </c>
      <c r="P1770" s="1497">
        <f t="shared" si="143"/>
        <v>0</v>
      </c>
      <c r="Q1770" s="1186">
        <f t="shared" si="144"/>
        <v>2679500</v>
      </c>
      <c r="R1770" s="835"/>
      <c r="S1770" s="836"/>
      <c r="T1770" s="836"/>
      <c r="U1770" s="836"/>
      <c r="V1770" s="836"/>
      <c r="W1770" s="836"/>
      <c r="X1770" s="836"/>
      <c r="Y1770" s="836"/>
      <c r="Z1770" s="836"/>
      <c r="AA1770" s="836"/>
      <c r="AB1770" s="836"/>
      <c r="AC1770" s="836"/>
      <c r="AD1770" s="1186">
        <f t="shared" si="141"/>
        <v>0</v>
      </c>
      <c r="AE1770" s="637">
        <f t="shared" si="142"/>
        <v>0</v>
      </c>
      <c r="AF1770" s="638">
        <f t="shared" si="140"/>
        <v>983</v>
      </c>
    </row>
    <row r="1771" spans="1:32" x14ac:dyDescent="0.3">
      <c r="A1771" s="381" t="s">
        <v>759</v>
      </c>
      <c r="B1771" s="1021" t="s">
        <v>2271</v>
      </c>
      <c r="C1771" s="530"/>
      <c r="D1771" s="836">
        <v>0</v>
      </c>
      <c r="E1771" s="836"/>
      <c r="F1771" s="836">
        <v>0</v>
      </c>
      <c r="G1771" s="836">
        <v>0</v>
      </c>
      <c r="H1771" s="836">
        <v>0</v>
      </c>
      <c r="I1771" s="836">
        <v>0</v>
      </c>
      <c r="J1771" s="836">
        <v>0</v>
      </c>
      <c r="K1771" s="836"/>
      <c r="L1771" s="836">
        <v>688000</v>
      </c>
      <c r="M1771" s="836">
        <v>0</v>
      </c>
      <c r="N1771" s="836">
        <v>0</v>
      </c>
      <c r="O1771" s="836" t="s">
        <v>251</v>
      </c>
      <c r="P1771" s="1497">
        <f t="shared" si="143"/>
        <v>0</v>
      </c>
      <c r="Q1771" s="1186">
        <f t="shared" si="144"/>
        <v>688000</v>
      </c>
      <c r="R1771" s="835"/>
      <c r="S1771" s="836"/>
      <c r="T1771" s="836"/>
      <c r="U1771" s="836"/>
      <c r="V1771" s="836"/>
      <c r="W1771" s="836"/>
      <c r="X1771" s="836"/>
      <c r="Y1771" s="836"/>
      <c r="Z1771" s="836"/>
      <c r="AA1771" s="836"/>
      <c r="AB1771" s="836"/>
      <c r="AC1771" s="836"/>
      <c r="AD1771" s="1186">
        <f t="shared" si="141"/>
        <v>0</v>
      </c>
      <c r="AE1771" s="637">
        <f t="shared" si="142"/>
        <v>0</v>
      </c>
      <c r="AF1771" s="638">
        <f t="shared" si="140"/>
        <v>983</v>
      </c>
    </row>
    <row r="1772" spans="1:32" x14ac:dyDescent="0.3">
      <c r="A1772" s="381" t="s">
        <v>759</v>
      </c>
      <c r="B1772" s="1021" t="s">
        <v>196</v>
      </c>
      <c r="C1772" s="530"/>
      <c r="D1772" s="836">
        <v>0</v>
      </c>
      <c r="E1772" s="836"/>
      <c r="F1772" s="836">
        <v>0</v>
      </c>
      <c r="G1772" s="836">
        <v>0</v>
      </c>
      <c r="H1772" s="836">
        <v>0</v>
      </c>
      <c r="I1772" s="836">
        <v>0</v>
      </c>
      <c r="J1772" s="836">
        <v>0</v>
      </c>
      <c r="K1772" s="836"/>
      <c r="L1772" s="836">
        <v>70000</v>
      </c>
      <c r="M1772" s="836">
        <v>0</v>
      </c>
      <c r="N1772" s="836">
        <v>0</v>
      </c>
      <c r="O1772" s="836" t="s">
        <v>251</v>
      </c>
      <c r="P1772" s="1497">
        <f t="shared" si="143"/>
        <v>0</v>
      </c>
      <c r="Q1772" s="1186">
        <f t="shared" si="144"/>
        <v>70000</v>
      </c>
      <c r="R1772" s="835"/>
      <c r="S1772" s="836"/>
      <c r="T1772" s="836"/>
      <c r="U1772" s="836"/>
      <c r="V1772" s="836"/>
      <c r="W1772" s="836"/>
      <c r="X1772" s="836"/>
      <c r="Y1772" s="836"/>
      <c r="Z1772" s="836"/>
      <c r="AA1772" s="836"/>
      <c r="AB1772" s="836"/>
      <c r="AC1772" s="836"/>
      <c r="AD1772" s="1186">
        <f t="shared" si="141"/>
        <v>0</v>
      </c>
      <c r="AE1772" s="637">
        <f t="shared" si="142"/>
        <v>0</v>
      </c>
      <c r="AF1772" s="638">
        <f t="shared" si="140"/>
        <v>983</v>
      </c>
    </row>
    <row r="1773" spans="1:32" x14ac:dyDescent="0.3">
      <c r="A1773" s="381" t="s">
        <v>759</v>
      </c>
      <c r="B1773" s="1021" t="s">
        <v>2272</v>
      </c>
      <c r="C1773" s="530"/>
      <c r="D1773" s="836">
        <v>0</v>
      </c>
      <c r="E1773" s="836"/>
      <c r="F1773" s="836">
        <v>0</v>
      </c>
      <c r="G1773" s="836">
        <v>0</v>
      </c>
      <c r="H1773" s="836">
        <v>0</v>
      </c>
      <c r="I1773" s="836">
        <v>0</v>
      </c>
      <c r="J1773" s="836">
        <v>0</v>
      </c>
      <c r="K1773" s="836"/>
      <c r="L1773" s="836">
        <v>409000</v>
      </c>
      <c r="M1773" s="836">
        <v>0</v>
      </c>
      <c r="N1773" s="836">
        <v>0</v>
      </c>
      <c r="O1773" s="836" t="s">
        <v>251</v>
      </c>
      <c r="P1773" s="1497">
        <f t="shared" si="143"/>
        <v>0</v>
      </c>
      <c r="Q1773" s="1186">
        <f t="shared" si="144"/>
        <v>409000</v>
      </c>
      <c r="R1773" s="835"/>
      <c r="S1773" s="836"/>
      <c r="T1773" s="836"/>
      <c r="U1773" s="836"/>
      <c r="V1773" s="836"/>
      <c r="W1773" s="836"/>
      <c r="X1773" s="836"/>
      <c r="Y1773" s="836"/>
      <c r="Z1773" s="836"/>
      <c r="AA1773" s="836"/>
      <c r="AB1773" s="836"/>
      <c r="AC1773" s="836"/>
      <c r="AD1773" s="1186">
        <f t="shared" si="141"/>
        <v>0</v>
      </c>
      <c r="AE1773" s="637">
        <f t="shared" si="142"/>
        <v>0</v>
      </c>
      <c r="AF1773" s="638">
        <f t="shared" si="140"/>
        <v>983</v>
      </c>
    </row>
    <row r="1774" spans="1:32" x14ac:dyDescent="0.3">
      <c r="A1774" s="381" t="s">
        <v>759</v>
      </c>
      <c r="B1774" s="1021" t="s">
        <v>2273</v>
      </c>
      <c r="C1774" s="530"/>
      <c r="D1774" s="836">
        <v>0</v>
      </c>
      <c r="E1774" s="836"/>
      <c r="F1774" s="836">
        <v>0</v>
      </c>
      <c r="G1774" s="836">
        <v>0</v>
      </c>
      <c r="H1774" s="836">
        <v>0</v>
      </c>
      <c r="I1774" s="836">
        <v>0</v>
      </c>
      <c r="J1774" s="836">
        <v>0</v>
      </c>
      <c r="K1774" s="836"/>
      <c r="L1774" s="836">
        <v>361000</v>
      </c>
      <c r="M1774" s="836">
        <v>0</v>
      </c>
      <c r="N1774" s="836">
        <v>0</v>
      </c>
      <c r="O1774" s="836" t="s">
        <v>251</v>
      </c>
      <c r="P1774" s="1497">
        <f t="shared" si="143"/>
        <v>0</v>
      </c>
      <c r="Q1774" s="1186">
        <f t="shared" si="144"/>
        <v>361000</v>
      </c>
      <c r="R1774" s="835"/>
      <c r="S1774" s="836"/>
      <c r="T1774" s="836"/>
      <c r="U1774" s="836"/>
      <c r="V1774" s="836"/>
      <c r="W1774" s="836"/>
      <c r="X1774" s="836"/>
      <c r="Y1774" s="836"/>
      <c r="Z1774" s="836"/>
      <c r="AA1774" s="836"/>
      <c r="AB1774" s="836"/>
      <c r="AC1774" s="836"/>
      <c r="AD1774" s="1186">
        <f t="shared" si="141"/>
        <v>0</v>
      </c>
      <c r="AE1774" s="637">
        <f t="shared" si="142"/>
        <v>0</v>
      </c>
      <c r="AF1774" s="638">
        <f t="shared" si="140"/>
        <v>983</v>
      </c>
    </row>
    <row r="1775" spans="1:32" x14ac:dyDescent="0.3">
      <c r="A1775" s="381" t="s">
        <v>759</v>
      </c>
      <c r="B1775" s="1021" t="s">
        <v>2274</v>
      </c>
      <c r="C1775" s="530"/>
      <c r="D1775" s="836">
        <v>0</v>
      </c>
      <c r="E1775" s="836"/>
      <c r="F1775" s="836">
        <v>0</v>
      </c>
      <c r="G1775" s="836">
        <v>0</v>
      </c>
      <c r="H1775" s="836">
        <v>0</v>
      </c>
      <c r="I1775" s="836">
        <v>0</v>
      </c>
      <c r="J1775" s="836">
        <v>0</v>
      </c>
      <c r="K1775" s="836"/>
      <c r="L1775" s="836">
        <v>280000</v>
      </c>
      <c r="M1775" s="836">
        <v>0</v>
      </c>
      <c r="N1775" s="836">
        <v>135000</v>
      </c>
      <c r="O1775" s="836" t="s">
        <v>251</v>
      </c>
      <c r="P1775" s="1497">
        <f t="shared" si="143"/>
        <v>0</v>
      </c>
      <c r="Q1775" s="1186">
        <f t="shared" si="144"/>
        <v>415000</v>
      </c>
      <c r="R1775" s="835">
        <v>251000</v>
      </c>
      <c r="S1775" s="836">
        <v>120000</v>
      </c>
      <c r="T1775" s="836">
        <v>0</v>
      </c>
      <c r="U1775" s="836">
        <v>0</v>
      </c>
      <c r="V1775" s="836">
        <v>0</v>
      </c>
      <c r="W1775" s="836">
        <v>0</v>
      </c>
      <c r="X1775" s="836">
        <v>0</v>
      </c>
      <c r="Y1775" s="836">
        <v>0</v>
      </c>
      <c r="Z1775" s="836"/>
      <c r="AA1775" s="836"/>
      <c r="AB1775" s="836"/>
      <c r="AC1775" s="836"/>
      <c r="AD1775" s="1186">
        <f t="shared" si="141"/>
        <v>371000</v>
      </c>
      <c r="AE1775" s="637">
        <f t="shared" si="142"/>
        <v>1</v>
      </c>
      <c r="AF1775" s="638">
        <f t="shared" si="140"/>
        <v>493</v>
      </c>
    </row>
    <row r="1776" spans="1:32" x14ac:dyDescent="0.3">
      <c r="A1776" s="381" t="s">
        <v>759</v>
      </c>
      <c r="B1776" s="1021" t="s">
        <v>2275</v>
      </c>
      <c r="C1776" s="530"/>
      <c r="D1776" s="836">
        <v>0</v>
      </c>
      <c r="E1776" s="836"/>
      <c r="F1776" s="836">
        <v>0</v>
      </c>
      <c r="G1776" s="836">
        <v>0</v>
      </c>
      <c r="H1776" s="836">
        <v>0</v>
      </c>
      <c r="I1776" s="836">
        <v>0</v>
      </c>
      <c r="J1776" s="836">
        <v>0</v>
      </c>
      <c r="K1776" s="836"/>
      <c r="L1776" s="836">
        <v>235000</v>
      </c>
      <c r="M1776" s="836">
        <v>0</v>
      </c>
      <c r="N1776" s="836">
        <v>0</v>
      </c>
      <c r="O1776" s="836" t="s">
        <v>251</v>
      </c>
      <c r="P1776" s="1497">
        <f t="shared" si="143"/>
        <v>0</v>
      </c>
      <c r="Q1776" s="1186">
        <f t="shared" si="144"/>
        <v>235000</v>
      </c>
      <c r="R1776" s="835"/>
      <c r="S1776" s="836"/>
      <c r="T1776" s="836"/>
      <c r="U1776" s="836"/>
      <c r="V1776" s="836"/>
      <c r="W1776" s="836"/>
      <c r="X1776" s="836"/>
      <c r="Y1776" s="836"/>
      <c r="Z1776" s="836"/>
      <c r="AA1776" s="836"/>
      <c r="AB1776" s="836"/>
      <c r="AC1776" s="836"/>
      <c r="AD1776" s="1186">
        <f t="shared" si="141"/>
        <v>0</v>
      </c>
      <c r="AE1776" s="637">
        <f t="shared" si="142"/>
        <v>0</v>
      </c>
      <c r="AF1776" s="638">
        <f t="shared" si="140"/>
        <v>983</v>
      </c>
    </row>
    <row r="1777" spans="1:32" x14ac:dyDescent="0.3">
      <c r="A1777" s="381" t="s">
        <v>759</v>
      </c>
      <c r="B1777" s="1021" t="s">
        <v>2276</v>
      </c>
      <c r="C1777" s="530"/>
      <c r="D1777" s="836">
        <v>0</v>
      </c>
      <c r="E1777" s="836"/>
      <c r="F1777" s="836">
        <v>0</v>
      </c>
      <c r="G1777" s="836">
        <v>0</v>
      </c>
      <c r="H1777" s="836">
        <v>0</v>
      </c>
      <c r="I1777" s="836">
        <v>0</v>
      </c>
      <c r="J1777" s="836">
        <v>0</v>
      </c>
      <c r="K1777" s="836"/>
      <c r="L1777" s="836">
        <v>105000</v>
      </c>
      <c r="M1777" s="836">
        <v>0</v>
      </c>
      <c r="N1777" s="836">
        <v>0</v>
      </c>
      <c r="O1777" s="836" t="s">
        <v>251</v>
      </c>
      <c r="P1777" s="1497">
        <f t="shared" si="143"/>
        <v>0</v>
      </c>
      <c r="Q1777" s="1186">
        <f t="shared" si="144"/>
        <v>105000</v>
      </c>
      <c r="R1777" s="835"/>
      <c r="S1777" s="836"/>
      <c r="T1777" s="836"/>
      <c r="U1777" s="836"/>
      <c r="V1777" s="836"/>
      <c r="W1777" s="836"/>
      <c r="X1777" s="836"/>
      <c r="Y1777" s="836"/>
      <c r="Z1777" s="836"/>
      <c r="AA1777" s="836"/>
      <c r="AB1777" s="836"/>
      <c r="AC1777" s="836"/>
      <c r="AD1777" s="1186">
        <f t="shared" si="141"/>
        <v>0</v>
      </c>
      <c r="AE1777" s="637">
        <f t="shared" si="142"/>
        <v>0</v>
      </c>
      <c r="AF1777" s="638">
        <f t="shared" si="140"/>
        <v>983</v>
      </c>
    </row>
    <row r="1778" spans="1:32" x14ac:dyDescent="0.3">
      <c r="A1778" s="381" t="s">
        <v>759</v>
      </c>
      <c r="B1778" s="1021" t="s">
        <v>2277</v>
      </c>
      <c r="C1778" s="530"/>
      <c r="D1778" s="836">
        <v>0</v>
      </c>
      <c r="E1778" s="836"/>
      <c r="F1778" s="836">
        <v>0</v>
      </c>
      <c r="G1778" s="836">
        <v>0</v>
      </c>
      <c r="H1778" s="836">
        <v>0</v>
      </c>
      <c r="I1778" s="836">
        <v>0</v>
      </c>
      <c r="J1778" s="836">
        <v>0</v>
      </c>
      <c r="K1778" s="836"/>
      <c r="L1778" s="836">
        <v>72000</v>
      </c>
      <c r="M1778" s="836">
        <v>0</v>
      </c>
      <c r="N1778" s="836">
        <v>576000</v>
      </c>
      <c r="O1778" s="836" t="s">
        <v>251</v>
      </c>
      <c r="P1778" s="1497">
        <f t="shared" si="143"/>
        <v>0</v>
      </c>
      <c r="Q1778" s="1186">
        <f t="shared" si="144"/>
        <v>648000</v>
      </c>
      <c r="R1778" s="835"/>
      <c r="S1778" s="836"/>
      <c r="T1778" s="836"/>
      <c r="U1778" s="836">
        <v>445000</v>
      </c>
      <c r="V1778" s="836">
        <v>55000</v>
      </c>
      <c r="W1778" s="836">
        <v>0</v>
      </c>
      <c r="X1778" s="836">
        <v>0</v>
      </c>
      <c r="Y1778" s="836">
        <v>0</v>
      </c>
      <c r="Z1778" s="836"/>
      <c r="AA1778" s="836"/>
      <c r="AB1778" s="836"/>
      <c r="AC1778" s="836"/>
      <c r="AD1778" s="1186">
        <f t="shared" si="141"/>
        <v>500000</v>
      </c>
      <c r="AE1778" s="637">
        <f t="shared" si="142"/>
        <v>1</v>
      </c>
      <c r="AF1778" s="638">
        <f t="shared" si="140"/>
        <v>441</v>
      </c>
    </row>
    <row r="1779" spans="1:32" x14ac:dyDescent="0.3">
      <c r="A1779" s="381" t="s">
        <v>759</v>
      </c>
      <c r="B1779" s="1021" t="s">
        <v>2278</v>
      </c>
      <c r="C1779" s="530"/>
      <c r="D1779" s="836">
        <v>0</v>
      </c>
      <c r="E1779" s="836"/>
      <c r="F1779" s="836">
        <v>0</v>
      </c>
      <c r="G1779" s="836">
        <v>0</v>
      </c>
      <c r="H1779" s="836">
        <v>0</v>
      </c>
      <c r="I1779" s="836">
        <v>0</v>
      </c>
      <c r="J1779" s="836">
        <v>0</v>
      </c>
      <c r="K1779" s="836"/>
      <c r="L1779" s="836">
        <v>70000</v>
      </c>
      <c r="M1779" s="836">
        <v>0</v>
      </c>
      <c r="N1779" s="836">
        <v>0</v>
      </c>
      <c r="O1779" s="836" t="s">
        <v>251</v>
      </c>
      <c r="P1779" s="1497">
        <f t="shared" si="143"/>
        <v>0</v>
      </c>
      <c r="Q1779" s="1186">
        <f t="shared" si="144"/>
        <v>70000</v>
      </c>
      <c r="R1779" s="835"/>
      <c r="S1779" s="836"/>
      <c r="T1779" s="836"/>
      <c r="U1779" s="836"/>
      <c r="V1779" s="836"/>
      <c r="W1779" s="836"/>
      <c r="X1779" s="836"/>
      <c r="Y1779" s="836"/>
      <c r="Z1779" s="836"/>
      <c r="AA1779" s="836"/>
      <c r="AB1779" s="836"/>
      <c r="AC1779" s="836"/>
      <c r="AD1779" s="1186">
        <f t="shared" si="141"/>
        <v>0</v>
      </c>
      <c r="AE1779" s="637">
        <f t="shared" si="142"/>
        <v>0</v>
      </c>
      <c r="AF1779" s="638">
        <f t="shared" si="140"/>
        <v>983</v>
      </c>
    </row>
    <row r="1780" spans="1:32" x14ac:dyDescent="0.3">
      <c r="A1780" s="381" t="s">
        <v>759</v>
      </c>
      <c r="B1780" s="1021" t="s">
        <v>2279</v>
      </c>
      <c r="C1780" s="530"/>
      <c r="D1780" s="836">
        <v>0</v>
      </c>
      <c r="E1780" s="836"/>
      <c r="F1780" s="836">
        <v>0</v>
      </c>
      <c r="G1780" s="836">
        <v>0</v>
      </c>
      <c r="H1780" s="836">
        <v>0</v>
      </c>
      <c r="I1780" s="836">
        <v>0</v>
      </c>
      <c r="J1780" s="836">
        <v>0</v>
      </c>
      <c r="K1780" s="836"/>
      <c r="L1780" s="836">
        <v>60500</v>
      </c>
      <c r="M1780" s="836">
        <v>0</v>
      </c>
      <c r="N1780" s="836">
        <v>0</v>
      </c>
      <c r="O1780" s="836" t="s">
        <v>251</v>
      </c>
      <c r="P1780" s="1497">
        <f t="shared" si="143"/>
        <v>0</v>
      </c>
      <c r="Q1780" s="1186">
        <f t="shared" si="144"/>
        <v>60500</v>
      </c>
      <c r="R1780" s="835"/>
      <c r="S1780" s="836"/>
      <c r="T1780" s="836"/>
      <c r="U1780" s="836"/>
      <c r="V1780" s="836"/>
      <c r="W1780" s="836"/>
      <c r="X1780" s="836"/>
      <c r="Y1780" s="836"/>
      <c r="Z1780" s="836"/>
      <c r="AA1780" s="836"/>
      <c r="AB1780" s="836"/>
      <c r="AC1780" s="836"/>
      <c r="AD1780" s="1186">
        <f t="shared" si="141"/>
        <v>0</v>
      </c>
      <c r="AE1780" s="637">
        <f t="shared" si="142"/>
        <v>0</v>
      </c>
      <c r="AF1780" s="638">
        <f t="shared" si="140"/>
        <v>983</v>
      </c>
    </row>
    <row r="1781" spans="1:32" x14ac:dyDescent="0.3">
      <c r="A1781" s="381" t="s">
        <v>759</v>
      </c>
      <c r="B1781" s="1021" t="s">
        <v>2280</v>
      </c>
      <c r="C1781" s="530"/>
      <c r="D1781" s="836">
        <v>0</v>
      </c>
      <c r="E1781" s="836"/>
      <c r="F1781" s="836">
        <v>0</v>
      </c>
      <c r="G1781" s="836">
        <v>0</v>
      </c>
      <c r="H1781" s="836">
        <v>0</v>
      </c>
      <c r="I1781" s="836">
        <v>0</v>
      </c>
      <c r="J1781" s="836">
        <v>0</v>
      </c>
      <c r="K1781" s="836"/>
      <c r="L1781" s="836">
        <v>51000</v>
      </c>
      <c r="M1781" s="836">
        <v>0</v>
      </c>
      <c r="N1781" s="836">
        <v>0</v>
      </c>
      <c r="O1781" s="836" t="s">
        <v>251</v>
      </c>
      <c r="P1781" s="1497">
        <f t="shared" si="143"/>
        <v>0</v>
      </c>
      <c r="Q1781" s="1186">
        <f t="shared" si="144"/>
        <v>51000</v>
      </c>
      <c r="R1781" s="835"/>
      <c r="S1781" s="836"/>
      <c r="T1781" s="836"/>
      <c r="U1781" s="836"/>
      <c r="V1781" s="836"/>
      <c r="W1781" s="836"/>
      <c r="X1781" s="836"/>
      <c r="Y1781" s="836"/>
      <c r="Z1781" s="836"/>
      <c r="AA1781" s="836"/>
      <c r="AB1781" s="836"/>
      <c r="AC1781" s="836"/>
      <c r="AD1781" s="1186">
        <f t="shared" si="141"/>
        <v>0</v>
      </c>
      <c r="AE1781" s="637">
        <f t="shared" si="142"/>
        <v>0</v>
      </c>
      <c r="AF1781" s="638">
        <f t="shared" si="140"/>
        <v>983</v>
      </c>
    </row>
    <row r="1782" spans="1:32" x14ac:dyDescent="0.3">
      <c r="A1782" s="381" t="s">
        <v>759</v>
      </c>
      <c r="B1782" s="1021" t="s">
        <v>2281</v>
      </c>
      <c r="C1782" s="530"/>
      <c r="D1782" s="836">
        <v>0</v>
      </c>
      <c r="E1782" s="836"/>
      <c r="F1782" s="836">
        <v>0</v>
      </c>
      <c r="G1782" s="836">
        <v>0</v>
      </c>
      <c r="H1782" s="836">
        <v>0</v>
      </c>
      <c r="I1782" s="836">
        <v>0</v>
      </c>
      <c r="J1782" s="836">
        <v>0</v>
      </c>
      <c r="K1782" s="836"/>
      <c r="L1782" s="836">
        <v>37000</v>
      </c>
      <c r="M1782" s="836">
        <v>0</v>
      </c>
      <c r="N1782" s="836">
        <v>0</v>
      </c>
      <c r="O1782" s="836" t="s">
        <v>251</v>
      </c>
      <c r="P1782" s="1497">
        <f t="shared" si="143"/>
        <v>0</v>
      </c>
      <c r="Q1782" s="1186">
        <f t="shared" si="144"/>
        <v>37000</v>
      </c>
      <c r="R1782" s="835"/>
      <c r="S1782" s="836"/>
      <c r="T1782" s="836"/>
      <c r="U1782" s="836"/>
      <c r="V1782" s="836"/>
      <c r="W1782" s="836"/>
      <c r="X1782" s="836"/>
      <c r="Y1782" s="836"/>
      <c r="Z1782" s="836"/>
      <c r="AA1782" s="836"/>
      <c r="AB1782" s="836"/>
      <c r="AC1782" s="836"/>
      <c r="AD1782" s="1186">
        <f t="shared" si="141"/>
        <v>0</v>
      </c>
      <c r="AE1782" s="637">
        <f t="shared" si="142"/>
        <v>0</v>
      </c>
      <c r="AF1782" s="638">
        <f t="shared" si="140"/>
        <v>983</v>
      </c>
    </row>
    <row r="1783" spans="1:32" x14ac:dyDescent="0.3">
      <c r="A1783" s="381" t="s">
        <v>759</v>
      </c>
      <c r="B1783" s="1021" t="s">
        <v>2282</v>
      </c>
      <c r="C1783" s="530"/>
      <c r="D1783" s="836">
        <v>0</v>
      </c>
      <c r="E1783" s="836"/>
      <c r="F1783" s="836">
        <v>0</v>
      </c>
      <c r="G1783" s="836">
        <v>0</v>
      </c>
      <c r="H1783" s="836">
        <v>0</v>
      </c>
      <c r="I1783" s="836">
        <v>0</v>
      </c>
      <c r="J1783" s="836">
        <v>0</v>
      </c>
      <c r="K1783" s="836"/>
      <c r="L1783" s="836">
        <v>35000</v>
      </c>
      <c r="M1783" s="836">
        <v>0</v>
      </c>
      <c r="N1783" s="836">
        <v>0</v>
      </c>
      <c r="O1783" s="836" t="s">
        <v>251</v>
      </c>
      <c r="P1783" s="1497">
        <f t="shared" si="143"/>
        <v>0</v>
      </c>
      <c r="Q1783" s="1186">
        <f t="shared" si="144"/>
        <v>35000</v>
      </c>
      <c r="R1783" s="835"/>
      <c r="S1783" s="836"/>
      <c r="T1783" s="836"/>
      <c r="U1783" s="836"/>
      <c r="V1783" s="836"/>
      <c r="W1783" s="836"/>
      <c r="X1783" s="836"/>
      <c r="Y1783" s="836"/>
      <c r="Z1783" s="836"/>
      <c r="AA1783" s="836"/>
      <c r="AB1783" s="836"/>
      <c r="AC1783" s="836"/>
      <c r="AD1783" s="1186">
        <f t="shared" si="141"/>
        <v>0</v>
      </c>
      <c r="AE1783" s="637">
        <f t="shared" si="142"/>
        <v>0</v>
      </c>
      <c r="AF1783" s="638">
        <f t="shared" si="140"/>
        <v>983</v>
      </c>
    </row>
    <row r="1784" spans="1:32" x14ac:dyDescent="0.3">
      <c r="A1784" s="381" t="s">
        <v>759</v>
      </c>
      <c r="B1784" s="1021" t="s">
        <v>2148</v>
      </c>
      <c r="C1784" s="530"/>
      <c r="D1784" s="836">
        <v>0</v>
      </c>
      <c r="E1784" s="836"/>
      <c r="F1784" s="836">
        <v>0</v>
      </c>
      <c r="G1784" s="836">
        <v>0</v>
      </c>
      <c r="H1784" s="836">
        <v>0</v>
      </c>
      <c r="I1784" s="836">
        <v>0</v>
      </c>
      <c r="J1784" s="836">
        <v>0</v>
      </c>
      <c r="K1784" s="836"/>
      <c r="L1784" s="836">
        <v>17000</v>
      </c>
      <c r="M1784" s="836">
        <v>0</v>
      </c>
      <c r="N1784" s="836">
        <v>0</v>
      </c>
      <c r="O1784" s="836" t="s">
        <v>251</v>
      </c>
      <c r="P1784" s="1497">
        <f t="shared" si="143"/>
        <v>0</v>
      </c>
      <c r="Q1784" s="1186">
        <f t="shared" si="144"/>
        <v>17000</v>
      </c>
      <c r="R1784" s="835"/>
      <c r="S1784" s="836"/>
      <c r="T1784" s="836"/>
      <c r="U1784" s="836"/>
      <c r="V1784" s="836"/>
      <c r="W1784" s="836"/>
      <c r="X1784" s="836"/>
      <c r="Y1784" s="836"/>
      <c r="Z1784" s="836"/>
      <c r="AA1784" s="836"/>
      <c r="AB1784" s="836"/>
      <c r="AC1784" s="836"/>
      <c r="AD1784" s="1186">
        <f t="shared" si="141"/>
        <v>0</v>
      </c>
      <c r="AE1784" s="637">
        <f t="shared" si="142"/>
        <v>0</v>
      </c>
      <c r="AF1784" s="638">
        <f t="shared" si="140"/>
        <v>983</v>
      </c>
    </row>
    <row r="1785" spans="1:32" x14ac:dyDescent="0.3">
      <c r="A1785" s="381" t="s">
        <v>759</v>
      </c>
      <c r="B1785" s="1021" t="s">
        <v>1966</v>
      </c>
      <c r="C1785" s="530"/>
      <c r="D1785" s="836">
        <v>0</v>
      </c>
      <c r="E1785" s="836"/>
      <c r="F1785" s="836">
        <v>0</v>
      </c>
      <c r="G1785" s="836">
        <v>0</v>
      </c>
      <c r="H1785" s="836">
        <v>0</v>
      </c>
      <c r="I1785" s="836">
        <v>0</v>
      </c>
      <c r="J1785" s="836">
        <v>0</v>
      </c>
      <c r="K1785" s="836"/>
      <c r="L1785" s="836">
        <v>20000</v>
      </c>
      <c r="M1785" s="836">
        <v>0</v>
      </c>
      <c r="N1785" s="836">
        <v>0</v>
      </c>
      <c r="O1785" s="836">
        <v>18750</v>
      </c>
      <c r="P1785" s="1497">
        <f t="shared" si="143"/>
        <v>0</v>
      </c>
      <c r="Q1785" s="1186">
        <f t="shared" si="144"/>
        <v>38750</v>
      </c>
      <c r="R1785" s="835">
        <v>7500</v>
      </c>
      <c r="S1785" s="836"/>
      <c r="T1785" s="836">
        <v>30000</v>
      </c>
      <c r="U1785" s="836">
        <v>9000</v>
      </c>
      <c r="V1785" s="836">
        <v>0</v>
      </c>
      <c r="W1785" s="836">
        <v>0</v>
      </c>
      <c r="X1785" s="836">
        <v>7000</v>
      </c>
      <c r="Y1785" s="836">
        <v>15000</v>
      </c>
      <c r="Z1785" s="836"/>
      <c r="AA1785" s="836"/>
      <c r="AB1785" s="836"/>
      <c r="AC1785" s="836"/>
      <c r="AD1785" s="1186">
        <f t="shared" si="141"/>
        <v>68500</v>
      </c>
      <c r="AE1785" s="637">
        <f t="shared" si="142"/>
        <v>1</v>
      </c>
      <c r="AF1785" s="638">
        <f t="shared" si="140"/>
        <v>802</v>
      </c>
    </row>
    <row r="1786" spans="1:32" x14ac:dyDescent="0.3">
      <c r="A1786" s="381" t="s">
        <v>759</v>
      </c>
      <c r="B1786" s="1021" t="s">
        <v>2283</v>
      </c>
      <c r="C1786" s="530"/>
      <c r="D1786" s="836">
        <v>0</v>
      </c>
      <c r="E1786" s="836"/>
      <c r="F1786" s="836">
        <v>0</v>
      </c>
      <c r="G1786" s="836">
        <v>0</v>
      </c>
      <c r="H1786" s="836">
        <v>0</v>
      </c>
      <c r="I1786" s="836">
        <v>0</v>
      </c>
      <c r="J1786" s="836">
        <v>0</v>
      </c>
      <c r="K1786" s="836"/>
      <c r="L1786" s="836">
        <v>17000</v>
      </c>
      <c r="M1786" s="836">
        <v>0</v>
      </c>
      <c r="N1786" s="836" t="s">
        <v>251</v>
      </c>
      <c r="O1786" s="836">
        <v>25000</v>
      </c>
      <c r="P1786" s="1497">
        <f t="shared" si="143"/>
        <v>0</v>
      </c>
      <c r="Q1786" s="1186">
        <f t="shared" si="144"/>
        <v>42000</v>
      </c>
      <c r="R1786" s="835"/>
      <c r="S1786" s="836"/>
      <c r="T1786" s="836"/>
      <c r="U1786" s="836"/>
      <c r="V1786" s="836"/>
      <c r="W1786" s="836"/>
      <c r="X1786" s="836"/>
      <c r="Y1786" s="836"/>
      <c r="Z1786" s="836"/>
      <c r="AA1786" s="836"/>
      <c r="AB1786" s="836"/>
      <c r="AC1786" s="836"/>
      <c r="AD1786" s="1186">
        <f t="shared" si="141"/>
        <v>0</v>
      </c>
      <c r="AE1786" s="637">
        <f t="shared" si="142"/>
        <v>0</v>
      </c>
      <c r="AF1786" s="638">
        <f t="shared" si="140"/>
        <v>983</v>
      </c>
    </row>
    <row r="1787" spans="1:32" x14ac:dyDescent="0.3">
      <c r="A1787" s="381" t="s">
        <v>759</v>
      </c>
      <c r="B1787" s="1021" t="s">
        <v>1845</v>
      </c>
      <c r="C1787" s="530"/>
      <c r="D1787" s="836">
        <v>0</v>
      </c>
      <c r="E1787" s="836"/>
      <c r="F1787" s="836">
        <v>0</v>
      </c>
      <c r="G1787" s="836">
        <v>0</v>
      </c>
      <c r="H1787" s="836">
        <v>0</v>
      </c>
      <c r="I1787" s="836">
        <v>0</v>
      </c>
      <c r="J1787" s="836">
        <v>0</v>
      </c>
      <c r="K1787" s="836"/>
      <c r="L1787" s="836">
        <v>5000</v>
      </c>
      <c r="M1787" s="836">
        <v>0</v>
      </c>
      <c r="N1787" s="836">
        <v>0</v>
      </c>
      <c r="O1787" s="836" t="s">
        <v>251</v>
      </c>
      <c r="P1787" s="1497">
        <f t="shared" si="143"/>
        <v>0</v>
      </c>
      <c r="Q1787" s="1186">
        <f t="shared" si="144"/>
        <v>5000</v>
      </c>
      <c r="R1787" s="835"/>
      <c r="S1787" s="836"/>
      <c r="T1787" s="836"/>
      <c r="U1787" s="836"/>
      <c r="V1787" s="836"/>
      <c r="W1787" s="836"/>
      <c r="X1787" s="836">
        <v>183000</v>
      </c>
      <c r="Y1787" s="836">
        <v>0</v>
      </c>
      <c r="Z1787" s="836"/>
      <c r="AA1787" s="836"/>
      <c r="AB1787" s="836"/>
      <c r="AC1787" s="836"/>
      <c r="AD1787" s="1186">
        <f t="shared" si="141"/>
        <v>183000</v>
      </c>
      <c r="AE1787" s="637">
        <f t="shared" si="142"/>
        <v>1</v>
      </c>
      <c r="AF1787" s="638">
        <f t="shared" si="140"/>
        <v>631</v>
      </c>
    </row>
    <row r="1788" spans="1:32" x14ac:dyDescent="0.3">
      <c r="A1788" s="381" t="s">
        <v>759</v>
      </c>
      <c r="B1788" s="1021" t="s">
        <v>1091</v>
      </c>
      <c r="C1788" s="530"/>
      <c r="D1788" s="836">
        <v>0</v>
      </c>
      <c r="E1788" s="836"/>
      <c r="F1788" s="836">
        <v>0</v>
      </c>
      <c r="G1788" s="836">
        <v>0</v>
      </c>
      <c r="H1788" s="836">
        <v>0</v>
      </c>
      <c r="I1788" s="836">
        <v>0</v>
      </c>
      <c r="J1788" s="836">
        <v>0</v>
      </c>
      <c r="K1788" s="836"/>
      <c r="L1788" s="836">
        <v>0</v>
      </c>
      <c r="M1788" s="836">
        <v>75000</v>
      </c>
      <c r="N1788" s="836">
        <v>0</v>
      </c>
      <c r="O1788" s="836" t="s">
        <v>251</v>
      </c>
      <c r="P1788" s="1497">
        <f t="shared" si="143"/>
        <v>0</v>
      </c>
      <c r="Q1788" s="1186">
        <f t="shared" si="144"/>
        <v>75000</v>
      </c>
      <c r="R1788" s="835"/>
      <c r="S1788" s="836"/>
      <c r="T1788" s="836"/>
      <c r="U1788" s="836"/>
      <c r="V1788" s="836"/>
      <c r="W1788" s="836"/>
      <c r="X1788" s="836"/>
      <c r="Y1788" s="836"/>
      <c r="Z1788" s="836"/>
      <c r="AA1788" s="836"/>
      <c r="AB1788" s="836"/>
      <c r="AC1788" s="836"/>
      <c r="AD1788" s="1186">
        <f t="shared" si="141"/>
        <v>0</v>
      </c>
      <c r="AE1788" s="637">
        <f t="shared" si="142"/>
        <v>0</v>
      </c>
      <c r="AF1788" s="638">
        <f t="shared" si="140"/>
        <v>983</v>
      </c>
    </row>
    <row r="1789" spans="1:32" x14ac:dyDescent="0.3">
      <c r="A1789" s="381" t="s">
        <v>759</v>
      </c>
      <c r="B1789" s="1021" t="s">
        <v>1195</v>
      </c>
      <c r="C1789" s="530"/>
      <c r="D1789" s="836">
        <v>0</v>
      </c>
      <c r="E1789" s="836"/>
      <c r="F1789" s="836">
        <v>0</v>
      </c>
      <c r="G1789" s="836">
        <v>0</v>
      </c>
      <c r="H1789" s="836">
        <v>0</v>
      </c>
      <c r="I1789" s="836">
        <v>0</v>
      </c>
      <c r="J1789" s="836">
        <v>0</v>
      </c>
      <c r="K1789" s="836"/>
      <c r="L1789" s="836">
        <v>0</v>
      </c>
      <c r="M1789" s="836">
        <v>293200</v>
      </c>
      <c r="N1789" s="836">
        <v>0</v>
      </c>
      <c r="O1789" s="836">
        <v>709900</v>
      </c>
      <c r="P1789" s="1497">
        <f t="shared" si="143"/>
        <v>0</v>
      </c>
      <c r="Q1789" s="1186">
        <f t="shared" si="144"/>
        <v>1003100</v>
      </c>
      <c r="R1789" s="835"/>
      <c r="S1789" s="836"/>
      <c r="T1789" s="836"/>
      <c r="U1789" s="836"/>
      <c r="V1789" s="836"/>
      <c r="W1789" s="836"/>
      <c r="X1789" s="836"/>
      <c r="Y1789" s="836">
        <v>715200</v>
      </c>
      <c r="Z1789" s="836"/>
      <c r="AA1789" s="836"/>
      <c r="AB1789" s="836"/>
      <c r="AC1789" s="836"/>
      <c r="AD1789" s="1186">
        <f t="shared" si="141"/>
        <v>715200</v>
      </c>
      <c r="AE1789" s="637">
        <f t="shared" si="142"/>
        <v>1</v>
      </c>
      <c r="AF1789" s="638">
        <f t="shared" si="140"/>
        <v>375</v>
      </c>
    </row>
    <row r="1790" spans="1:32" x14ac:dyDescent="0.3">
      <c r="A1790" s="381" t="s">
        <v>759</v>
      </c>
      <c r="B1790" s="1021" t="s">
        <v>2156</v>
      </c>
      <c r="C1790" s="530"/>
      <c r="D1790" s="836">
        <v>0</v>
      </c>
      <c r="E1790" s="836"/>
      <c r="F1790" s="836">
        <v>0</v>
      </c>
      <c r="G1790" s="836">
        <v>0</v>
      </c>
      <c r="H1790" s="836">
        <v>0</v>
      </c>
      <c r="I1790" s="836">
        <v>0</v>
      </c>
      <c r="J1790" s="836">
        <v>0</v>
      </c>
      <c r="K1790" s="836"/>
      <c r="L1790" s="836">
        <v>0</v>
      </c>
      <c r="M1790" s="836">
        <v>51000</v>
      </c>
      <c r="N1790" s="836">
        <v>0</v>
      </c>
      <c r="O1790" s="836">
        <v>-15000</v>
      </c>
      <c r="P1790" s="1497">
        <f t="shared" si="143"/>
        <v>0</v>
      </c>
      <c r="Q1790" s="1186">
        <f t="shared" si="144"/>
        <v>36000</v>
      </c>
      <c r="R1790" s="835"/>
      <c r="S1790" s="836"/>
      <c r="T1790" s="836"/>
      <c r="U1790" s="836"/>
      <c r="V1790" s="836"/>
      <c r="W1790" s="836"/>
      <c r="X1790" s="836"/>
      <c r="Y1790" s="836">
        <v>0</v>
      </c>
      <c r="Z1790" s="836"/>
      <c r="AA1790" s="836"/>
      <c r="AB1790" s="836"/>
      <c r="AC1790" s="836"/>
      <c r="AD1790" s="1186">
        <f t="shared" si="141"/>
        <v>0</v>
      </c>
      <c r="AE1790" s="637">
        <f t="shared" si="142"/>
        <v>0</v>
      </c>
      <c r="AF1790" s="638">
        <f t="shared" si="140"/>
        <v>983</v>
      </c>
    </row>
    <row r="1791" spans="1:32" x14ac:dyDescent="0.3">
      <c r="A1791" s="381" t="s">
        <v>759</v>
      </c>
      <c r="B1791" s="1021" t="s">
        <v>2131</v>
      </c>
      <c r="C1791" s="530"/>
      <c r="D1791" s="836">
        <v>0</v>
      </c>
      <c r="E1791" s="836"/>
      <c r="F1791" s="836">
        <v>0</v>
      </c>
      <c r="G1791" s="836">
        <v>0</v>
      </c>
      <c r="H1791" s="836">
        <v>0</v>
      </c>
      <c r="I1791" s="836">
        <v>0</v>
      </c>
      <c r="J1791" s="836">
        <v>0</v>
      </c>
      <c r="K1791" s="836"/>
      <c r="L1791" s="836">
        <v>0</v>
      </c>
      <c r="M1791" s="836">
        <v>555300</v>
      </c>
      <c r="N1791" s="836">
        <v>0</v>
      </c>
      <c r="O1791" s="836" t="s">
        <v>251</v>
      </c>
      <c r="P1791" s="1497">
        <f t="shared" si="143"/>
        <v>0</v>
      </c>
      <c r="Q1791" s="1186">
        <f t="shared" si="144"/>
        <v>555300</v>
      </c>
      <c r="R1791" s="835"/>
      <c r="S1791" s="836"/>
      <c r="T1791" s="836"/>
      <c r="U1791" s="836"/>
      <c r="V1791" s="836"/>
      <c r="W1791" s="836"/>
      <c r="X1791" s="836"/>
      <c r="Y1791" s="836"/>
      <c r="Z1791" s="836"/>
      <c r="AA1791" s="836"/>
      <c r="AB1791" s="836"/>
      <c r="AC1791" s="836"/>
      <c r="AD1791" s="1186">
        <f t="shared" si="141"/>
        <v>0</v>
      </c>
      <c r="AE1791" s="637">
        <f t="shared" si="142"/>
        <v>0</v>
      </c>
      <c r="AF1791" s="638">
        <f t="shared" si="140"/>
        <v>983</v>
      </c>
    </row>
    <row r="1792" spans="1:32" x14ac:dyDescent="0.3">
      <c r="A1792" s="381" t="s">
        <v>759</v>
      </c>
      <c r="B1792" s="1021" t="s">
        <v>2149</v>
      </c>
      <c r="C1792" s="530"/>
      <c r="D1792" s="836">
        <v>0</v>
      </c>
      <c r="E1792" s="836"/>
      <c r="F1792" s="836">
        <v>0</v>
      </c>
      <c r="G1792" s="836">
        <v>0</v>
      </c>
      <c r="H1792" s="836">
        <v>0</v>
      </c>
      <c r="I1792" s="836">
        <v>0</v>
      </c>
      <c r="J1792" s="836">
        <v>0</v>
      </c>
      <c r="K1792" s="836"/>
      <c r="L1792" s="836">
        <v>0</v>
      </c>
      <c r="M1792" s="836">
        <v>385000</v>
      </c>
      <c r="N1792" s="836">
        <v>0</v>
      </c>
      <c r="O1792" s="836">
        <v>119000</v>
      </c>
      <c r="P1792" s="1497">
        <f t="shared" si="143"/>
        <v>0</v>
      </c>
      <c r="Q1792" s="1186">
        <f t="shared" si="144"/>
        <v>504000</v>
      </c>
      <c r="R1792" s="835">
        <v>50000</v>
      </c>
      <c r="S1792" s="836"/>
      <c r="T1792" s="836">
        <v>0</v>
      </c>
      <c r="U1792" s="836">
        <v>0</v>
      </c>
      <c r="V1792" s="836">
        <v>0</v>
      </c>
      <c r="W1792" s="836">
        <v>0</v>
      </c>
      <c r="X1792" s="836">
        <v>0</v>
      </c>
      <c r="Y1792" s="836">
        <v>0</v>
      </c>
      <c r="Z1792" s="836"/>
      <c r="AA1792" s="836"/>
      <c r="AB1792" s="836"/>
      <c r="AC1792" s="836"/>
      <c r="AD1792" s="1186">
        <f t="shared" si="141"/>
        <v>50000</v>
      </c>
      <c r="AE1792" s="637">
        <f t="shared" si="142"/>
        <v>1</v>
      </c>
      <c r="AF1792" s="638">
        <f t="shared" si="140"/>
        <v>845</v>
      </c>
    </row>
    <row r="1793" spans="1:32" x14ac:dyDescent="0.3">
      <c r="A1793" s="381" t="s">
        <v>759</v>
      </c>
      <c r="B1793" s="1021" t="s">
        <v>2153</v>
      </c>
      <c r="C1793" s="530"/>
      <c r="D1793" s="836">
        <v>0</v>
      </c>
      <c r="E1793" s="836"/>
      <c r="F1793" s="836">
        <v>0</v>
      </c>
      <c r="G1793" s="836">
        <v>0</v>
      </c>
      <c r="H1793" s="836">
        <v>0</v>
      </c>
      <c r="I1793" s="836">
        <v>0</v>
      </c>
      <c r="J1793" s="836">
        <v>0</v>
      </c>
      <c r="K1793" s="836"/>
      <c r="L1793" s="836">
        <v>0</v>
      </c>
      <c r="M1793" s="836">
        <v>143000</v>
      </c>
      <c r="N1793" s="836">
        <v>0</v>
      </c>
      <c r="O1793" s="836" t="s">
        <v>251</v>
      </c>
      <c r="P1793" s="1497">
        <f t="shared" si="143"/>
        <v>0</v>
      </c>
      <c r="Q1793" s="1186">
        <f t="shared" si="144"/>
        <v>143000</v>
      </c>
      <c r="R1793" s="835"/>
      <c r="S1793" s="836"/>
      <c r="T1793" s="836"/>
      <c r="U1793" s="836"/>
      <c r="V1793" s="836"/>
      <c r="W1793" s="836"/>
      <c r="X1793" s="836"/>
      <c r="Y1793" s="836"/>
      <c r="Z1793" s="836"/>
      <c r="AA1793" s="836"/>
      <c r="AB1793" s="836"/>
      <c r="AC1793" s="836"/>
      <c r="AD1793" s="1186">
        <f t="shared" si="141"/>
        <v>0</v>
      </c>
      <c r="AE1793" s="637">
        <f t="shared" si="142"/>
        <v>0</v>
      </c>
      <c r="AF1793" s="638">
        <f t="shared" si="140"/>
        <v>983</v>
      </c>
    </row>
    <row r="1794" spans="1:32" x14ac:dyDescent="0.3">
      <c r="A1794" s="381" t="s">
        <v>759</v>
      </c>
      <c r="B1794" s="1021" t="s">
        <v>625</v>
      </c>
      <c r="C1794" s="530"/>
      <c r="D1794" s="836">
        <v>0</v>
      </c>
      <c r="E1794" s="836"/>
      <c r="F1794" s="836">
        <v>0</v>
      </c>
      <c r="G1794" s="836">
        <v>0</v>
      </c>
      <c r="H1794" s="836">
        <v>0</v>
      </c>
      <c r="I1794" s="836">
        <v>0</v>
      </c>
      <c r="J1794" s="836">
        <v>0</v>
      </c>
      <c r="K1794" s="836"/>
      <c r="L1794" s="836">
        <v>0</v>
      </c>
      <c r="M1794" s="836">
        <v>5000</v>
      </c>
      <c r="N1794" s="836">
        <v>0</v>
      </c>
      <c r="O1794" s="836" t="s">
        <v>251</v>
      </c>
      <c r="P1794" s="1497">
        <f t="shared" si="143"/>
        <v>0</v>
      </c>
      <c r="Q1794" s="1186">
        <f t="shared" si="144"/>
        <v>5000</v>
      </c>
      <c r="R1794" s="835"/>
      <c r="S1794" s="836"/>
      <c r="T1794" s="836"/>
      <c r="U1794" s="836"/>
      <c r="V1794" s="836"/>
      <c r="W1794" s="836"/>
      <c r="X1794" s="836"/>
      <c r="Y1794" s="836"/>
      <c r="Z1794" s="836"/>
      <c r="AA1794" s="836"/>
      <c r="AB1794" s="836"/>
      <c r="AC1794" s="836"/>
      <c r="AD1794" s="1186">
        <f t="shared" si="141"/>
        <v>0</v>
      </c>
      <c r="AE1794" s="637">
        <f t="shared" si="142"/>
        <v>0</v>
      </c>
      <c r="AF1794" s="638">
        <f t="shared" si="140"/>
        <v>983</v>
      </c>
    </row>
    <row r="1795" spans="1:32" x14ac:dyDescent="0.3">
      <c r="A1795" s="381" t="s">
        <v>759</v>
      </c>
      <c r="B1795" s="1021" t="s">
        <v>2284</v>
      </c>
      <c r="C1795" s="530"/>
      <c r="D1795" s="836">
        <v>0</v>
      </c>
      <c r="E1795" s="836"/>
      <c r="F1795" s="836">
        <v>0</v>
      </c>
      <c r="G1795" s="836">
        <v>0</v>
      </c>
      <c r="H1795" s="836">
        <v>0</v>
      </c>
      <c r="I1795" s="836">
        <v>0</v>
      </c>
      <c r="J1795" s="836">
        <v>0</v>
      </c>
      <c r="K1795" s="836"/>
      <c r="L1795" s="836">
        <v>0</v>
      </c>
      <c r="M1795" s="836">
        <v>275000</v>
      </c>
      <c r="N1795" s="836">
        <v>0</v>
      </c>
      <c r="O1795" s="836" t="s">
        <v>251</v>
      </c>
      <c r="P1795" s="1497">
        <f t="shared" si="143"/>
        <v>0</v>
      </c>
      <c r="Q1795" s="1186">
        <f t="shared" si="144"/>
        <v>275000</v>
      </c>
      <c r="R1795" s="835"/>
      <c r="S1795" s="836"/>
      <c r="T1795" s="836"/>
      <c r="U1795" s="836"/>
      <c r="V1795" s="836"/>
      <c r="W1795" s="836"/>
      <c r="X1795" s="836"/>
      <c r="Y1795" s="836"/>
      <c r="Z1795" s="836"/>
      <c r="AA1795" s="836"/>
      <c r="AB1795" s="836"/>
      <c r="AC1795" s="836"/>
      <c r="AD1795" s="1186">
        <f t="shared" si="141"/>
        <v>0</v>
      </c>
      <c r="AE1795" s="637">
        <f t="shared" si="142"/>
        <v>0</v>
      </c>
      <c r="AF1795" s="638">
        <f t="shared" si="140"/>
        <v>983</v>
      </c>
    </row>
    <row r="1796" spans="1:32" x14ac:dyDescent="0.3">
      <c r="A1796" s="381" t="s">
        <v>759</v>
      </c>
      <c r="B1796" s="1021" t="s">
        <v>2285</v>
      </c>
      <c r="C1796" s="530"/>
      <c r="D1796" s="836">
        <v>0</v>
      </c>
      <c r="E1796" s="836"/>
      <c r="F1796" s="836">
        <v>0</v>
      </c>
      <c r="G1796" s="836">
        <v>0</v>
      </c>
      <c r="H1796" s="836">
        <v>0</v>
      </c>
      <c r="I1796" s="836">
        <v>0</v>
      </c>
      <c r="J1796" s="836">
        <v>0</v>
      </c>
      <c r="K1796" s="836"/>
      <c r="L1796" s="836">
        <v>0</v>
      </c>
      <c r="M1796" s="836">
        <v>240000</v>
      </c>
      <c r="N1796" s="836">
        <v>290000</v>
      </c>
      <c r="O1796" s="836" t="s">
        <v>251</v>
      </c>
      <c r="P1796" s="1497">
        <f t="shared" si="143"/>
        <v>0</v>
      </c>
      <c r="Q1796" s="1186">
        <f t="shared" si="144"/>
        <v>530000</v>
      </c>
      <c r="R1796" s="835"/>
      <c r="S1796" s="836"/>
      <c r="T1796" s="836"/>
      <c r="U1796" s="836"/>
      <c r="V1796" s="836"/>
      <c r="W1796" s="836"/>
      <c r="X1796" s="836"/>
      <c r="Y1796" s="836"/>
      <c r="Z1796" s="836"/>
      <c r="AA1796" s="836"/>
      <c r="AB1796" s="836"/>
      <c r="AC1796" s="836"/>
      <c r="AD1796" s="1186">
        <f t="shared" si="141"/>
        <v>0</v>
      </c>
      <c r="AE1796" s="637">
        <f t="shared" si="142"/>
        <v>0</v>
      </c>
      <c r="AF1796" s="638">
        <f t="shared" si="140"/>
        <v>983</v>
      </c>
    </row>
    <row r="1797" spans="1:32" x14ac:dyDescent="0.3">
      <c r="A1797" s="381" t="s">
        <v>759</v>
      </c>
      <c r="B1797" s="1021" t="s">
        <v>2286</v>
      </c>
      <c r="C1797" s="530"/>
      <c r="D1797" s="836">
        <v>0</v>
      </c>
      <c r="E1797" s="836"/>
      <c r="F1797" s="836">
        <v>0</v>
      </c>
      <c r="G1797" s="836">
        <v>0</v>
      </c>
      <c r="H1797" s="836">
        <v>0</v>
      </c>
      <c r="I1797" s="836">
        <v>0</v>
      </c>
      <c r="J1797" s="836">
        <v>0</v>
      </c>
      <c r="K1797" s="836"/>
      <c r="L1797" s="836">
        <v>0</v>
      </c>
      <c r="M1797" s="836">
        <v>145000</v>
      </c>
      <c r="N1797" s="836">
        <v>0</v>
      </c>
      <c r="O1797" s="836" t="s">
        <v>251</v>
      </c>
      <c r="P1797" s="1497">
        <f t="shared" si="143"/>
        <v>0</v>
      </c>
      <c r="Q1797" s="1186">
        <f t="shared" si="144"/>
        <v>145000</v>
      </c>
      <c r="R1797" s="835"/>
      <c r="S1797" s="836"/>
      <c r="T1797" s="836"/>
      <c r="U1797" s="836"/>
      <c r="V1797" s="836"/>
      <c r="W1797" s="836"/>
      <c r="X1797" s="836"/>
      <c r="Y1797" s="836"/>
      <c r="Z1797" s="836"/>
      <c r="AA1797" s="836"/>
      <c r="AB1797" s="836"/>
      <c r="AC1797" s="836"/>
      <c r="AD1797" s="1186">
        <f t="shared" si="141"/>
        <v>0</v>
      </c>
      <c r="AE1797" s="637">
        <f t="shared" si="142"/>
        <v>0</v>
      </c>
      <c r="AF1797" s="638">
        <f t="shared" si="140"/>
        <v>983</v>
      </c>
    </row>
    <row r="1798" spans="1:32" x14ac:dyDescent="0.3">
      <c r="A1798" s="381" t="s">
        <v>759</v>
      </c>
      <c r="B1798" s="1021" t="s">
        <v>2287</v>
      </c>
      <c r="C1798" s="530"/>
      <c r="D1798" s="836">
        <v>0</v>
      </c>
      <c r="E1798" s="836"/>
      <c r="F1798" s="836">
        <v>0</v>
      </c>
      <c r="G1798" s="836">
        <v>0</v>
      </c>
      <c r="H1798" s="836">
        <v>0</v>
      </c>
      <c r="I1798" s="836">
        <v>0</v>
      </c>
      <c r="J1798" s="836">
        <v>0</v>
      </c>
      <c r="K1798" s="836"/>
      <c r="L1798" s="836">
        <v>0</v>
      </c>
      <c r="M1798" s="836">
        <v>95000</v>
      </c>
      <c r="N1798" s="836">
        <v>95000</v>
      </c>
      <c r="O1798" s="836" t="s">
        <v>251</v>
      </c>
      <c r="P1798" s="1497">
        <f t="shared" si="143"/>
        <v>0</v>
      </c>
      <c r="Q1798" s="1186">
        <f t="shared" si="144"/>
        <v>190000</v>
      </c>
      <c r="R1798" s="835"/>
      <c r="S1798" s="836"/>
      <c r="T1798" s="836"/>
      <c r="U1798" s="836"/>
      <c r="V1798" s="836">
        <v>32000</v>
      </c>
      <c r="W1798" s="836">
        <v>0</v>
      </c>
      <c r="X1798" s="836">
        <v>0</v>
      </c>
      <c r="Y1798" s="836">
        <v>0</v>
      </c>
      <c r="Z1798" s="836"/>
      <c r="AA1798" s="836"/>
      <c r="AB1798" s="836"/>
      <c r="AC1798" s="836"/>
      <c r="AD1798" s="1186">
        <f t="shared" si="141"/>
        <v>32000</v>
      </c>
      <c r="AE1798" s="637">
        <f t="shared" si="142"/>
        <v>1</v>
      </c>
      <c r="AF1798" s="638">
        <f t="shared" si="140"/>
        <v>887</v>
      </c>
    </row>
    <row r="1799" spans="1:32" x14ac:dyDescent="0.3">
      <c r="A1799" s="381" t="s">
        <v>759</v>
      </c>
      <c r="B1799" s="1021" t="s">
        <v>2288</v>
      </c>
      <c r="C1799" s="530"/>
      <c r="D1799" s="836">
        <v>0</v>
      </c>
      <c r="E1799" s="836"/>
      <c r="F1799" s="836">
        <v>0</v>
      </c>
      <c r="G1799" s="836">
        <v>0</v>
      </c>
      <c r="H1799" s="836">
        <v>0</v>
      </c>
      <c r="I1799" s="836">
        <v>0</v>
      </c>
      <c r="J1799" s="836">
        <v>0</v>
      </c>
      <c r="K1799" s="836"/>
      <c r="L1799" s="836">
        <v>0</v>
      </c>
      <c r="M1799" s="836">
        <v>94000</v>
      </c>
      <c r="N1799" s="836">
        <v>384500</v>
      </c>
      <c r="O1799" s="836" t="s">
        <v>251</v>
      </c>
      <c r="P1799" s="1497">
        <f t="shared" si="143"/>
        <v>0</v>
      </c>
      <c r="Q1799" s="1186">
        <f t="shared" si="144"/>
        <v>478500</v>
      </c>
      <c r="R1799" s="835">
        <v>1789500</v>
      </c>
      <c r="S1799" s="836"/>
      <c r="T1799" s="836">
        <v>0</v>
      </c>
      <c r="U1799" s="836">
        <v>0</v>
      </c>
      <c r="V1799" s="836">
        <v>0</v>
      </c>
      <c r="W1799" s="836">
        <v>0</v>
      </c>
      <c r="X1799" s="836">
        <v>0</v>
      </c>
      <c r="Y1799" s="836">
        <v>0</v>
      </c>
      <c r="Z1799" s="836"/>
      <c r="AA1799" s="836"/>
      <c r="AB1799" s="836"/>
      <c r="AC1799" s="836"/>
      <c r="AD1799" s="1186">
        <f t="shared" si="141"/>
        <v>1789500</v>
      </c>
      <c r="AE1799" s="637">
        <f t="shared" si="142"/>
        <v>1</v>
      </c>
      <c r="AF1799" s="638">
        <f t="shared" ref="AF1799:AF1862" si="145">IFERROR(_xlfn.RANK.EQ(AD1799, $AD$2:$AD$2064), "")</f>
        <v>228</v>
      </c>
    </row>
    <row r="1800" spans="1:32" x14ac:dyDescent="0.3">
      <c r="A1800" s="381" t="s">
        <v>759</v>
      </c>
      <c r="B1800" s="1021" t="s">
        <v>2289</v>
      </c>
      <c r="C1800" s="530"/>
      <c r="D1800" s="836">
        <v>0</v>
      </c>
      <c r="E1800" s="836"/>
      <c r="F1800" s="836">
        <v>0</v>
      </c>
      <c r="G1800" s="836">
        <v>0</v>
      </c>
      <c r="H1800" s="836">
        <v>0</v>
      </c>
      <c r="I1800" s="836">
        <v>0</v>
      </c>
      <c r="J1800" s="836">
        <v>0</v>
      </c>
      <c r="K1800" s="836"/>
      <c r="L1800" s="836">
        <v>0</v>
      </c>
      <c r="M1800" s="836">
        <v>83000</v>
      </c>
      <c r="N1800" s="836">
        <v>0</v>
      </c>
      <c r="O1800" s="836" t="s">
        <v>251</v>
      </c>
      <c r="P1800" s="1497">
        <f t="shared" si="143"/>
        <v>0</v>
      </c>
      <c r="Q1800" s="1186">
        <f t="shared" si="144"/>
        <v>83000</v>
      </c>
      <c r="R1800" s="835"/>
      <c r="S1800" s="836"/>
      <c r="T1800" s="836"/>
      <c r="U1800" s="836"/>
      <c r="V1800" s="836"/>
      <c r="W1800" s="836"/>
      <c r="X1800" s="836"/>
      <c r="Y1800" s="836"/>
      <c r="Z1800" s="836"/>
      <c r="AA1800" s="836"/>
      <c r="AB1800" s="836"/>
      <c r="AC1800" s="836"/>
      <c r="AD1800" s="1186">
        <f t="shared" si="141"/>
        <v>0</v>
      </c>
      <c r="AE1800" s="637">
        <f t="shared" si="142"/>
        <v>0</v>
      </c>
      <c r="AF1800" s="638">
        <f t="shared" si="145"/>
        <v>983</v>
      </c>
    </row>
    <row r="1801" spans="1:32" x14ac:dyDescent="0.3">
      <c r="A1801" s="381" t="s">
        <v>759</v>
      </c>
      <c r="B1801" s="1021" t="s">
        <v>2290</v>
      </c>
      <c r="C1801" s="530"/>
      <c r="D1801" s="836">
        <v>0</v>
      </c>
      <c r="E1801" s="836"/>
      <c r="F1801" s="836">
        <v>0</v>
      </c>
      <c r="G1801" s="836">
        <v>0</v>
      </c>
      <c r="H1801" s="836">
        <v>0</v>
      </c>
      <c r="I1801" s="836">
        <v>0</v>
      </c>
      <c r="J1801" s="836">
        <v>0</v>
      </c>
      <c r="K1801" s="836"/>
      <c r="L1801" s="836">
        <v>0</v>
      </c>
      <c r="M1801" s="836">
        <v>65000</v>
      </c>
      <c r="N1801" s="836">
        <v>65000</v>
      </c>
      <c r="O1801" s="836">
        <v>65000</v>
      </c>
      <c r="P1801" s="1497">
        <f t="shared" si="143"/>
        <v>0</v>
      </c>
      <c r="Q1801" s="1186">
        <f t="shared" si="144"/>
        <v>195000</v>
      </c>
      <c r="R1801" s="835"/>
      <c r="S1801" s="836"/>
      <c r="T1801" s="836"/>
      <c r="U1801" s="836"/>
      <c r="V1801" s="836"/>
      <c r="W1801" s="836"/>
      <c r="X1801" s="836"/>
      <c r="Y1801" s="836"/>
      <c r="Z1801" s="836"/>
      <c r="AA1801" s="836"/>
      <c r="AB1801" s="836"/>
      <c r="AC1801" s="836"/>
      <c r="AD1801" s="1186">
        <f t="shared" si="141"/>
        <v>0</v>
      </c>
      <c r="AE1801" s="637">
        <f t="shared" si="142"/>
        <v>0</v>
      </c>
      <c r="AF1801" s="638">
        <f t="shared" si="145"/>
        <v>983</v>
      </c>
    </row>
    <row r="1802" spans="1:32" x14ac:dyDescent="0.3">
      <c r="A1802" s="381" t="s">
        <v>759</v>
      </c>
      <c r="B1802" s="1021" t="s">
        <v>2291</v>
      </c>
      <c r="C1802" s="530"/>
      <c r="D1802" s="836">
        <v>0</v>
      </c>
      <c r="E1802" s="836"/>
      <c r="F1802" s="836">
        <v>0</v>
      </c>
      <c r="G1802" s="836">
        <v>0</v>
      </c>
      <c r="H1802" s="836">
        <v>0</v>
      </c>
      <c r="I1802" s="836">
        <v>0</v>
      </c>
      <c r="J1802" s="836">
        <v>0</v>
      </c>
      <c r="K1802" s="836"/>
      <c r="L1802" s="836">
        <v>0</v>
      </c>
      <c r="M1802" s="836">
        <v>28000</v>
      </c>
      <c r="N1802" s="836">
        <v>0</v>
      </c>
      <c r="O1802" s="836" t="s">
        <v>251</v>
      </c>
      <c r="P1802" s="1497">
        <f t="shared" si="143"/>
        <v>0</v>
      </c>
      <c r="Q1802" s="1186">
        <f t="shared" si="144"/>
        <v>28000</v>
      </c>
      <c r="R1802" s="835"/>
      <c r="S1802" s="836"/>
      <c r="T1802" s="836"/>
      <c r="U1802" s="836"/>
      <c r="V1802" s="836"/>
      <c r="W1802" s="836"/>
      <c r="X1802" s="836"/>
      <c r="Y1802" s="836"/>
      <c r="Z1802" s="836"/>
      <c r="AA1802" s="836"/>
      <c r="AB1802" s="836"/>
      <c r="AC1802" s="836"/>
      <c r="AD1802" s="1186">
        <f t="shared" si="141"/>
        <v>0</v>
      </c>
      <c r="AE1802" s="637">
        <f t="shared" si="142"/>
        <v>0</v>
      </c>
      <c r="AF1802" s="638">
        <f t="shared" si="145"/>
        <v>983</v>
      </c>
    </row>
    <row r="1803" spans="1:32" x14ac:dyDescent="0.3">
      <c r="A1803" s="381" t="s">
        <v>759</v>
      </c>
      <c r="B1803" s="1021" t="s">
        <v>2167</v>
      </c>
      <c r="C1803" s="530"/>
      <c r="D1803" s="836">
        <v>0</v>
      </c>
      <c r="E1803" s="836"/>
      <c r="F1803" s="836">
        <v>0</v>
      </c>
      <c r="G1803" s="836">
        <v>0</v>
      </c>
      <c r="H1803" s="836">
        <v>0</v>
      </c>
      <c r="I1803" s="836">
        <v>0</v>
      </c>
      <c r="J1803" s="836">
        <v>0</v>
      </c>
      <c r="K1803" s="836"/>
      <c r="L1803" s="836">
        <v>0</v>
      </c>
      <c r="M1803" s="836">
        <v>22000</v>
      </c>
      <c r="N1803" s="836">
        <v>0</v>
      </c>
      <c r="O1803" s="836" t="s">
        <v>251</v>
      </c>
      <c r="P1803" s="1497">
        <f t="shared" si="143"/>
        <v>0</v>
      </c>
      <c r="Q1803" s="1186">
        <f t="shared" si="144"/>
        <v>22000</v>
      </c>
      <c r="R1803" s="835">
        <v>88400</v>
      </c>
      <c r="S1803" s="836">
        <v>88400</v>
      </c>
      <c r="T1803" s="836">
        <v>88400</v>
      </c>
      <c r="U1803" s="836">
        <v>0</v>
      </c>
      <c r="V1803" s="836">
        <v>223800</v>
      </c>
      <c r="W1803" s="836">
        <v>0</v>
      </c>
      <c r="X1803" s="836">
        <v>95500</v>
      </c>
      <c r="Y1803" s="836">
        <v>109600</v>
      </c>
      <c r="Z1803" s="836"/>
      <c r="AA1803" s="836"/>
      <c r="AB1803" s="836"/>
      <c r="AC1803" s="836"/>
      <c r="AD1803" s="1186">
        <f t="shared" si="141"/>
        <v>694100</v>
      </c>
      <c r="AE1803" s="637">
        <f t="shared" si="142"/>
        <v>1</v>
      </c>
      <c r="AF1803" s="638">
        <f t="shared" si="145"/>
        <v>381</v>
      </c>
    </row>
    <row r="1804" spans="1:32" x14ac:dyDescent="0.3">
      <c r="A1804" s="381" t="s">
        <v>759</v>
      </c>
      <c r="B1804" s="1021" t="s">
        <v>2292</v>
      </c>
      <c r="C1804" s="530"/>
      <c r="D1804" s="836" t="s">
        <v>251</v>
      </c>
      <c r="E1804" s="836"/>
      <c r="F1804" s="836" t="s">
        <v>251</v>
      </c>
      <c r="G1804" s="836" t="s">
        <v>251</v>
      </c>
      <c r="H1804" s="836" t="s">
        <v>251</v>
      </c>
      <c r="I1804" s="836" t="s">
        <v>251</v>
      </c>
      <c r="J1804" s="836" t="s">
        <v>251</v>
      </c>
      <c r="K1804" s="836"/>
      <c r="L1804" s="836" t="s">
        <v>251</v>
      </c>
      <c r="M1804" s="836" t="s">
        <v>251</v>
      </c>
      <c r="N1804" s="836" t="s">
        <v>251</v>
      </c>
      <c r="O1804" s="836" t="s">
        <v>251</v>
      </c>
      <c r="P1804" s="1497">
        <f t="shared" si="143"/>
        <v>0</v>
      </c>
      <c r="Q1804" s="1186">
        <f t="shared" si="144"/>
        <v>0</v>
      </c>
      <c r="R1804" s="835"/>
      <c r="S1804" s="836"/>
      <c r="T1804" s="836"/>
      <c r="U1804" s="836"/>
      <c r="V1804" s="836"/>
      <c r="W1804" s="836"/>
      <c r="X1804" s="836"/>
      <c r="Y1804" s="836"/>
      <c r="Z1804" s="836"/>
      <c r="AA1804" s="836"/>
      <c r="AB1804" s="836"/>
      <c r="AC1804" s="836"/>
      <c r="AD1804" s="1186">
        <f t="shared" si="141"/>
        <v>0</v>
      </c>
      <c r="AE1804" s="637">
        <f t="shared" si="142"/>
        <v>0</v>
      </c>
      <c r="AF1804" s="638">
        <f t="shared" si="145"/>
        <v>983</v>
      </c>
    </row>
    <row r="1805" spans="1:32" x14ac:dyDescent="0.3">
      <c r="A1805" s="381" t="s">
        <v>759</v>
      </c>
      <c r="B1805" s="1021" t="s">
        <v>2293</v>
      </c>
      <c r="C1805" s="530"/>
      <c r="D1805" s="836" t="s">
        <v>251</v>
      </c>
      <c r="E1805" s="836"/>
      <c r="F1805" s="836" t="s">
        <v>251</v>
      </c>
      <c r="G1805" s="836" t="s">
        <v>251</v>
      </c>
      <c r="H1805" s="836" t="s">
        <v>251</v>
      </c>
      <c r="I1805" s="836" t="s">
        <v>251</v>
      </c>
      <c r="J1805" s="836" t="s">
        <v>251</v>
      </c>
      <c r="K1805" s="836"/>
      <c r="L1805" s="836" t="s">
        <v>251</v>
      </c>
      <c r="M1805" s="836" t="s">
        <v>251</v>
      </c>
      <c r="N1805" s="836" t="s">
        <v>251</v>
      </c>
      <c r="O1805" s="836" t="s">
        <v>251</v>
      </c>
      <c r="P1805" s="1497">
        <f t="shared" si="143"/>
        <v>0</v>
      </c>
      <c r="Q1805" s="1186">
        <f t="shared" si="144"/>
        <v>0</v>
      </c>
      <c r="R1805" s="835"/>
      <c r="S1805" s="836"/>
      <c r="T1805" s="836"/>
      <c r="U1805" s="836"/>
      <c r="V1805" s="836"/>
      <c r="W1805" s="836"/>
      <c r="X1805" s="836"/>
      <c r="Y1805" s="836"/>
      <c r="Z1805" s="836"/>
      <c r="AA1805" s="836"/>
      <c r="AB1805" s="836"/>
      <c r="AC1805" s="836"/>
      <c r="AD1805" s="1186">
        <f t="shared" si="141"/>
        <v>0</v>
      </c>
      <c r="AE1805" s="637">
        <f t="shared" si="142"/>
        <v>0</v>
      </c>
      <c r="AF1805" s="638">
        <f t="shared" si="145"/>
        <v>983</v>
      </c>
    </row>
    <row r="1806" spans="1:32" x14ac:dyDescent="0.3">
      <c r="A1806" s="381" t="s">
        <v>759</v>
      </c>
      <c r="B1806" s="1021" t="s">
        <v>2294</v>
      </c>
      <c r="C1806" s="530"/>
      <c r="D1806" s="836" t="s">
        <v>251</v>
      </c>
      <c r="E1806" s="836"/>
      <c r="F1806" s="836" t="s">
        <v>251</v>
      </c>
      <c r="G1806" s="836" t="s">
        <v>251</v>
      </c>
      <c r="H1806" s="836" t="s">
        <v>251</v>
      </c>
      <c r="I1806" s="836" t="s">
        <v>251</v>
      </c>
      <c r="J1806" s="836" t="s">
        <v>251</v>
      </c>
      <c r="K1806" s="836"/>
      <c r="L1806" s="836" t="s">
        <v>251</v>
      </c>
      <c r="M1806" s="836" t="s">
        <v>251</v>
      </c>
      <c r="N1806" s="836" t="s">
        <v>251</v>
      </c>
      <c r="O1806" s="836" t="s">
        <v>251</v>
      </c>
      <c r="P1806" s="1497">
        <f t="shared" si="143"/>
        <v>0</v>
      </c>
      <c r="Q1806" s="1186">
        <f t="shared" si="144"/>
        <v>0</v>
      </c>
      <c r="R1806" s="835"/>
      <c r="S1806" s="836"/>
      <c r="T1806" s="836"/>
      <c r="U1806" s="836"/>
      <c r="V1806" s="836"/>
      <c r="W1806" s="836"/>
      <c r="X1806" s="836"/>
      <c r="Y1806" s="836"/>
      <c r="Z1806" s="836"/>
      <c r="AA1806" s="836"/>
      <c r="AB1806" s="836"/>
      <c r="AC1806" s="836"/>
      <c r="AD1806" s="1186">
        <f t="shared" si="141"/>
        <v>0</v>
      </c>
      <c r="AE1806" s="637">
        <f t="shared" si="142"/>
        <v>0</v>
      </c>
      <c r="AF1806" s="638">
        <f t="shared" si="145"/>
        <v>983</v>
      </c>
    </row>
    <row r="1807" spans="1:32" x14ac:dyDescent="0.3">
      <c r="A1807" s="381" t="s">
        <v>759</v>
      </c>
      <c r="B1807" s="1021" t="s">
        <v>1457</v>
      </c>
      <c r="C1807" s="530"/>
      <c r="D1807" s="836" t="s">
        <v>251</v>
      </c>
      <c r="E1807" s="836"/>
      <c r="F1807" s="836" t="s">
        <v>251</v>
      </c>
      <c r="G1807" s="836" t="s">
        <v>251</v>
      </c>
      <c r="H1807" s="836" t="s">
        <v>251</v>
      </c>
      <c r="I1807" s="836" t="s">
        <v>251</v>
      </c>
      <c r="J1807" s="836" t="s">
        <v>251</v>
      </c>
      <c r="K1807" s="836"/>
      <c r="L1807" s="836" t="s">
        <v>251</v>
      </c>
      <c r="M1807" s="836" t="s">
        <v>251</v>
      </c>
      <c r="N1807" s="836" t="s">
        <v>251</v>
      </c>
      <c r="O1807" s="836" t="s">
        <v>251</v>
      </c>
      <c r="P1807" s="1497">
        <f t="shared" si="143"/>
        <v>0</v>
      </c>
      <c r="Q1807" s="1186">
        <f t="shared" si="144"/>
        <v>0</v>
      </c>
      <c r="R1807" s="835"/>
      <c r="S1807" s="836"/>
      <c r="T1807" s="836"/>
      <c r="U1807" s="836"/>
      <c r="V1807" s="836"/>
      <c r="W1807" s="836"/>
      <c r="X1807" s="836"/>
      <c r="Y1807" s="836"/>
      <c r="Z1807" s="836"/>
      <c r="AA1807" s="836"/>
      <c r="AB1807" s="836"/>
      <c r="AC1807" s="836"/>
      <c r="AD1807" s="1186">
        <f t="shared" ref="AD1807:AD1870" si="146">SUM(R1807:AC1807)</f>
        <v>0</v>
      </c>
      <c r="AE1807" s="637">
        <f t="shared" ref="AE1807:AE1870" si="147">IF(OR(AD1807="", P1807=""), 0, IFERROR((AD1807-P1807)/P1807, IF(AD1807&lt;&gt;0, 1, 0)))</f>
        <v>0</v>
      </c>
      <c r="AF1807" s="638">
        <f t="shared" si="145"/>
        <v>983</v>
      </c>
    </row>
    <row r="1808" spans="1:32" x14ac:dyDescent="0.3">
      <c r="A1808" s="381" t="s">
        <v>759</v>
      </c>
      <c r="B1808" s="1021" t="s">
        <v>2126</v>
      </c>
      <c r="C1808" s="530"/>
      <c r="D1808" s="836" t="s">
        <v>251</v>
      </c>
      <c r="E1808" s="836"/>
      <c r="F1808" s="836" t="s">
        <v>251</v>
      </c>
      <c r="G1808" s="836" t="s">
        <v>251</v>
      </c>
      <c r="H1808" s="836" t="s">
        <v>251</v>
      </c>
      <c r="I1808" s="836" t="s">
        <v>251</v>
      </c>
      <c r="J1808" s="836" t="s">
        <v>251</v>
      </c>
      <c r="K1808" s="836"/>
      <c r="L1808" s="836" t="s">
        <v>251</v>
      </c>
      <c r="M1808" s="836" t="s">
        <v>251</v>
      </c>
      <c r="N1808" s="836" t="s">
        <v>251</v>
      </c>
      <c r="O1808" s="836" t="s">
        <v>251</v>
      </c>
      <c r="P1808" s="1497">
        <f t="shared" si="143"/>
        <v>0</v>
      </c>
      <c r="Q1808" s="1186">
        <f t="shared" si="144"/>
        <v>0</v>
      </c>
      <c r="R1808" s="835"/>
      <c r="S1808" s="836"/>
      <c r="T1808" s="836"/>
      <c r="U1808" s="836"/>
      <c r="V1808" s="836"/>
      <c r="W1808" s="836"/>
      <c r="X1808" s="836"/>
      <c r="Y1808" s="836"/>
      <c r="Z1808" s="836"/>
      <c r="AA1808" s="836"/>
      <c r="AB1808" s="836"/>
      <c r="AC1808" s="836"/>
      <c r="AD1808" s="1186">
        <f t="shared" si="146"/>
        <v>0</v>
      </c>
      <c r="AE1808" s="637">
        <f t="shared" si="147"/>
        <v>0</v>
      </c>
      <c r="AF1808" s="638">
        <f t="shared" si="145"/>
        <v>983</v>
      </c>
    </row>
    <row r="1809" spans="1:32" x14ac:dyDescent="0.3">
      <c r="A1809" s="381" t="s">
        <v>759</v>
      </c>
      <c r="B1809" s="1021" t="s">
        <v>2182</v>
      </c>
      <c r="C1809" s="530"/>
      <c r="D1809" s="836" t="s">
        <v>251</v>
      </c>
      <c r="E1809" s="836"/>
      <c r="F1809" s="836" t="s">
        <v>251</v>
      </c>
      <c r="G1809" s="836" t="s">
        <v>251</v>
      </c>
      <c r="H1809" s="836" t="s">
        <v>251</v>
      </c>
      <c r="I1809" s="836" t="s">
        <v>251</v>
      </c>
      <c r="J1809" s="836" t="s">
        <v>251</v>
      </c>
      <c r="K1809" s="836"/>
      <c r="L1809" s="836" t="s">
        <v>251</v>
      </c>
      <c r="M1809" s="836" t="s">
        <v>251</v>
      </c>
      <c r="N1809" s="836" t="s">
        <v>251</v>
      </c>
      <c r="O1809" s="836" t="s">
        <v>251</v>
      </c>
      <c r="P1809" s="1497">
        <f t="shared" si="143"/>
        <v>0</v>
      </c>
      <c r="Q1809" s="1186">
        <f t="shared" si="144"/>
        <v>0</v>
      </c>
      <c r="R1809" s="835"/>
      <c r="S1809" s="836"/>
      <c r="T1809" s="836"/>
      <c r="U1809" s="836">
        <v>2373600</v>
      </c>
      <c r="V1809" s="836"/>
      <c r="W1809" s="836"/>
      <c r="X1809" s="836"/>
      <c r="Y1809" s="836"/>
      <c r="Z1809" s="836"/>
      <c r="AA1809" s="836"/>
      <c r="AB1809" s="836"/>
      <c r="AC1809" s="836"/>
      <c r="AD1809" s="1186">
        <f t="shared" si="146"/>
        <v>2373600</v>
      </c>
      <c r="AE1809" s="637">
        <f t="shared" si="147"/>
        <v>1</v>
      </c>
      <c r="AF1809" s="638">
        <f t="shared" si="145"/>
        <v>184</v>
      </c>
    </row>
    <row r="1810" spans="1:32" x14ac:dyDescent="0.3">
      <c r="A1810" s="381" t="s">
        <v>759</v>
      </c>
      <c r="B1810" s="1021" t="s">
        <v>1185</v>
      </c>
      <c r="C1810" s="530"/>
      <c r="D1810" s="836" t="s">
        <v>251</v>
      </c>
      <c r="E1810" s="836"/>
      <c r="F1810" s="836" t="s">
        <v>251</v>
      </c>
      <c r="G1810" s="836" t="s">
        <v>251</v>
      </c>
      <c r="H1810" s="836" t="s">
        <v>251</v>
      </c>
      <c r="I1810" s="836" t="s">
        <v>251</v>
      </c>
      <c r="J1810" s="836" t="s">
        <v>251</v>
      </c>
      <c r="K1810" s="836"/>
      <c r="L1810" s="836" t="s">
        <v>251</v>
      </c>
      <c r="M1810" s="836" t="s">
        <v>251</v>
      </c>
      <c r="N1810" s="836" t="s">
        <v>251</v>
      </c>
      <c r="O1810" s="836" t="s">
        <v>251</v>
      </c>
      <c r="P1810" s="1497">
        <f t="shared" si="143"/>
        <v>0</v>
      </c>
      <c r="Q1810" s="1186">
        <f t="shared" si="144"/>
        <v>0</v>
      </c>
      <c r="R1810" s="835"/>
      <c r="S1810" s="836"/>
      <c r="T1810" s="836"/>
      <c r="U1810" s="836"/>
      <c r="V1810" s="836"/>
      <c r="W1810" s="836"/>
      <c r="X1810" s="836"/>
      <c r="Y1810" s="836"/>
      <c r="Z1810" s="836"/>
      <c r="AA1810" s="836"/>
      <c r="AB1810" s="836"/>
      <c r="AC1810" s="836"/>
      <c r="AD1810" s="1186">
        <f t="shared" si="146"/>
        <v>0</v>
      </c>
      <c r="AE1810" s="637">
        <f t="shared" si="147"/>
        <v>0</v>
      </c>
      <c r="AF1810" s="638">
        <f t="shared" si="145"/>
        <v>983</v>
      </c>
    </row>
    <row r="1811" spans="1:32" x14ac:dyDescent="0.3">
      <c r="A1811" s="381" t="s">
        <v>759</v>
      </c>
      <c r="B1811" s="1021" t="s">
        <v>1256</v>
      </c>
      <c r="C1811" s="530"/>
      <c r="D1811" s="836" t="s">
        <v>251</v>
      </c>
      <c r="E1811" s="836"/>
      <c r="F1811" s="836" t="s">
        <v>251</v>
      </c>
      <c r="G1811" s="836" t="s">
        <v>251</v>
      </c>
      <c r="H1811" s="836" t="s">
        <v>251</v>
      </c>
      <c r="I1811" s="836" t="s">
        <v>251</v>
      </c>
      <c r="J1811" s="836" t="s">
        <v>251</v>
      </c>
      <c r="K1811" s="836"/>
      <c r="L1811" s="836" t="s">
        <v>251</v>
      </c>
      <c r="M1811" s="836" t="s">
        <v>251</v>
      </c>
      <c r="N1811" s="836" t="s">
        <v>251</v>
      </c>
      <c r="O1811" s="836" t="s">
        <v>251</v>
      </c>
      <c r="P1811" s="1497">
        <f t="shared" si="143"/>
        <v>0</v>
      </c>
      <c r="Q1811" s="1186">
        <f t="shared" si="144"/>
        <v>0</v>
      </c>
      <c r="R1811" s="835"/>
      <c r="S1811" s="836"/>
      <c r="T1811" s="836"/>
      <c r="U1811" s="836"/>
      <c r="V1811" s="836"/>
      <c r="W1811" s="836"/>
      <c r="X1811" s="836"/>
      <c r="Y1811" s="836"/>
      <c r="Z1811" s="836"/>
      <c r="AA1811" s="836"/>
      <c r="AB1811" s="836"/>
      <c r="AC1811" s="836"/>
      <c r="AD1811" s="1186">
        <f t="shared" si="146"/>
        <v>0</v>
      </c>
      <c r="AE1811" s="637">
        <f t="shared" si="147"/>
        <v>0</v>
      </c>
      <c r="AF1811" s="638">
        <f t="shared" si="145"/>
        <v>983</v>
      </c>
    </row>
    <row r="1812" spans="1:32" x14ac:dyDescent="0.3">
      <c r="A1812" s="381" t="s">
        <v>759</v>
      </c>
      <c r="B1812" s="1021" t="s">
        <v>1816</v>
      </c>
      <c r="C1812" s="530"/>
      <c r="D1812" s="836" t="s">
        <v>251</v>
      </c>
      <c r="E1812" s="836"/>
      <c r="F1812" s="836" t="s">
        <v>251</v>
      </c>
      <c r="G1812" s="836" t="s">
        <v>251</v>
      </c>
      <c r="H1812" s="836" t="s">
        <v>251</v>
      </c>
      <c r="I1812" s="836" t="s">
        <v>251</v>
      </c>
      <c r="J1812" s="836" t="s">
        <v>251</v>
      </c>
      <c r="K1812" s="836"/>
      <c r="L1812" s="836" t="s">
        <v>251</v>
      </c>
      <c r="M1812" s="836" t="s">
        <v>251</v>
      </c>
      <c r="N1812" s="836" t="s">
        <v>251</v>
      </c>
      <c r="O1812" s="836" t="s">
        <v>251</v>
      </c>
      <c r="P1812" s="1497">
        <f t="shared" si="143"/>
        <v>0</v>
      </c>
      <c r="Q1812" s="1186">
        <f t="shared" si="144"/>
        <v>0</v>
      </c>
      <c r="R1812" s="835"/>
      <c r="S1812" s="836"/>
      <c r="T1812" s="836"/>
      <c r="U1812" s="836"/>
      <c r="V1812" s="836"/>
      <c r="W1812" s="836"/>
      <c r="X1812" s="836"/>
      <c r="Y1812" s="836"/>
      <c r="Z1812" s="836"/>
      <c r="AA1812" s="836"/>
      <c r="AB1812" s="836"/>
      <c r="AC1812" s="836"/>
      <c r="AD1812" s="1186">
        <f t="shared" si="146"/>
        <v>0</v>
      </c>
      <c r="AE1812" s="637">
        <f t="shared" si="147"/>
        <v>0</v>
      </c>
      <c r="AF1812" s="638">
        <f t="shared" si="145"/>
        <v>983</v>
      </c>
    </row>
    <row r="1813" spans="1:32" x14ac:dyDescent="0.3">
      <c r="A1813" s="381" t="s">
        <v>759</v>
      </c>
      <c r="B1813" s="1021" t="s">
        <v>718</v>
      </c>
      <c r="C1813" s="530"/>
      <c r="D1813" s="836" t="s">
        <v>251</v>
      </c>
      <c r="E1813" s="836"/>
      <c r="F1813" s="836" t="s">
        <v>251</v>
      </c>
      <c r="G1813" s="836" t="s">
        <v>251</v>
      </c>
      <c r="H1813" s="836" t="s">
        <v>251</v>
      </c>
      <c r="I1813" s="836" t="s">
        <v>251</v>
      </c>
      <c r="J1813" s="836" t="s">
        <v>251</v>
      </c>
      <c r="K1813" s="836"/>
      <c r="L1813" s="836" t="s">
        <v>251</v>
      </c>
      <c r="M1813" s="836" t="s">
        <v>251</v>
      </c>
      <c r="N1813" s="836" t="s">
        <v>251</v>
      </c>
      <c r="O1813" s="836" t="s">
        <v>251</v>
      </c>
      <c r="P1813" s="1497">
        <f t="shared" si="143"/>
        <v>0</v>
      </c>
      <c r="Q1813" s="1186">
        <f t="shared" si="144"/>
        <v>0</v>
      </c>
      <c r="R1813" s="835"/>
      <c r="S1813" s="836"/>
      <c r="T1813" s="836"/>
      <c r="U1813" s="836"/>
      <c r="V1813" s="836"/>
      <c r="W1813" s="836"/>
      <c r="X1813" s="836"/>
      <c r="Y1813" s="836"/>
      <c r="Z1813" s="836"/>
      <c r="AA1813" s="836"/>
      <c r="AB1813" s="836"/>
      <c r="AC1813" s="836"/>
      <c r="AD1813" s="1186">
        <f t="shared" si="146"/>
        <v>0</v>
      </c>
      <c r="AE1813" s="637">
        <f t="shared" si="147"/>
        <v>0</v>
      </c>
      <c r="AF1813" s="638">
        <f t="shared" si="145"/>
        <v>983</v>
      </c>
    </row>
    <row r="1814" spans="1:32" x14ac:dyDescent="0.3">
      <c r="A1814" s="381" t="s">
        <v>759</v>
      </c>
      <c r="B1814" s="1021" t="s">
        <v>1306</v>
      </c>
      <c r="C1814" s="530"/>
      <c r="D1814" s="836" t="s">
        <v>251</v>
      </c>
      <c r="E1814" s="836"/>
      <c r="F1814" s="836" t="s">
        <v>251</v>
      </c>
      <c r="G1814" s="836" t="s">
        <v>251</v>
      </c>
      <c r="H1814" s="836" t="s">
        <v>251</v>
      </c>
      <c r="I1814" s="836" t="s">
        <v>251</v>
      </c>
      <c r="J1814" s="836" t="s">
        <v>251</v>
      </c>
      <c r="K1814" s="836"/>
      <c r="L1814" s="836" t="s">
        <v>251</v>
      </c>
      <c r="M1814" s="836" t="s">
        <v>251</v>
      </c>
      <c r="N1814" s="836" t="s">
        <v>251</v>
      </c>
      <c r="O1814" s="836" t="s">
        <v>251</v>
      </c>
      <c r="P1814" s="1497">
        <f t="shared" ref="P1814:P1877" si="148">SUM(C1814:I1814,K1814)</f>
        <v>0</v>
      </c>
      <c r="Q1814" s="1186">
        <f t="shared" ref="Q1814:Q1877" si="149">SUM(C1814:J1814,L1814:O1814)</f>
        <v>0</v>
      </c>
      <c r="R1814" s="835"/>
      <c r="S1814" s="836"/>
      <c r="T1814" s="836"/>
      <c r="U1814" s="836"/>
      <c r="V1814" s="836">
        <v>85000</v>
      </c>
      <c r="W1814" s="836">
        <v>0</v>
      </c>
      <c r="X1814" s="836">
        <v>0</v>
      </c>
      <c r="Y1814" s="836">
        <v>0</v>
      </c>
      <c r="Z1814" s="836"/>
      <c r="AA1814" s="836"/>
      <c r="AB1814" s="836"/>
      <c r="AC1814" s="836"/>
      <c r="AD1814" s="1186">
        <f t="shared" si="146"/>
        <v>85000</v>
      </c>
      <c r="AE1814" s="637">
        <f t="shared" si="147"/>
        <v>1</v>
      </c>
      <c r="AF1814" s="638">
        <f t="shared" si="145"/>
        <v>761</v>
      </c>
    </row>
    <row r="1815" spans="1:32" x14ac:dyDescent="0.3">
      <c r="A1815" s="381" t="s">
        <v>759</v>
      </c>
      <c r="B1815" s="1021" t="s">
        <v>1113</v>
      </c>
      <c r="C1815" s="530"/>
      <c r="D1815" s="836" t="s">
        <v>251</v>
      </c>
      <c r="E1815" s="836"/>
      <c r="F1815" s="836" t="s">
        <v>251</v>
      </c>
      <c r="G1815" s="836" t="s">
        <v>251</v>
      </c>
      <c r="H1815" s="836" t="s">
        <v>251</v>
      </c>
      <c r="I1815" s="836" t="s">
        <v>251</v>
      </c>
      <c r="J1815" s="836" t="s">
        <v>251</v>
      </c>
      <c r="K1815" s="836"/>
      <c r="L1815" s="836" t="s">
        <v>251</v>
      </c>
      <c r="M1815" s="836" t="s">
        <v>251</v>
      </c>
      <c r="N1815" s="836" t="s">
        <v>251</v>
      </c>
      <c r="O1815" s="836" t="s">
        <v>251</v>
      </c>
      <c r="P1815" s="1497">
        <f t="shared" si="148"/>
        <v>0</v>
      </c>
      <c r="Q1815" s="1186">
        <f t="shared" si="149"/>
        <v>0</v>
      </c>
      <c r="R1815" s="835"/>
      <c r="S1815" s="836"/>
      <c r="T1815" s="836"/>
      <c r="U1815" s="836"/>
      <c r="V1815" s="836"/>
      <c r="W1815" s="836"/>
      <c r="X1815" s="836"/>
      <c r="Y1815" s="836"/>
      <c r="Z1815" s="836"/>
      <c r="AA1815" s="836"/>
      <c r="AB1815" s="836"/>
      <c r="AC1815" s="836"/>
      <c r="AD1815" s="1186">
        <f t="shared" si="146"/>
        <v>0</v>
      </c>
      <c r="AE1815" s="637">
        <f t="shared" si="147"/>
        <v>0</v>
      </c>
      <c r="AF1815" s="638">
        <f t="shared" si="145"/>
        <v>983</v>
      </c>
    </row>
    <row r="1816" spans="1:32" x14ac:dyDescent="0.3">
      <c r="A1816" s="381" t="s">
        <v>759</v>
      </c>
      <c r="B1816" s="1021" t="s">
        <v>2295</v>
      </c>
      <c r="C1816" s="530"/>
      <c r="D1816" s="836" t="s">
        <v>251</v>
      </c>
      <c r="E1816" s="836"/>
      <c r="F1816" s="836" t="s">
        <v>251</v>
      </c>
      <c r="G1816" s="836" t="s">
        <v>251</v>
      </c>
      <c r="H1816" s="836" t="s">
        <v>251</v>
      </c>
      <c r="I1816" s="836" t="s">
        <v>251</v>
      </c>
      <c r="J1816" s="836" t="s">
        <v>251</v>
      </c>
      <c r="K1816" s="836"/>
      <c r="L1816" s="836" t="s">
        <v>251</v>
      </c>
      <c r="M1816" s="836" t="s">
        <v>251</v>
      </c>
      <c r="N1816" s="836" t="s">
        <v>251</v>
      </c>
      <c r="O1816" s="836" t="s">
        <v>251</v>
      </c>
      <c r="P1816" s="1497">
        <f t="shared" si="148"/>
        <v>0</v>
      </c>
      <c r="Q1816" s="1186">
        <f t="shared" si="149"/>
        <v>0</v>
      </c>
      <c r="R1816" s="835"/>
      <c r="S1816" s="836"/>
      <c r="T1816" s="836"/>
      <c r="U1816" s="836"/>
      <c r="V1816" s="836"/>
      <c r="W1816" s="836"/>
      <c r="X1816" s="836"/>
      <c r="Y1816" s="836"/>
      <c r="Z1816" s="836"/>
      <c r="AA1816" s="836"/>
      <c r="AB1816" s="836"/>
      <c r="AC1816" s="836"/>
      <c r="AD1816" s="1186">
        <f t="shared" si="146"/>
        <v>0</v>
      </c>
      <c r="AE1816" s="637">
        <f t="shared" si="147"/>
        <v>0</v>
      </c>
      <c r="AF1816" s="638">
        <f t="shared" si="145"/>
        <v>983</v>
      </c>
    </row>
    <row r="1817" spans="1:32" x14ac:dyDescent="0.3">
      <c r="A1817" s="381" t="s">
        <v>759</v>
      </c>
      <c r="B1817" s="1021" t="s">
        <v>2296</v>
      </c>
      <c r="C1817" s="530"/>
      <c r="D1817" s="836" t="s">
        <v>251</v>
      </c>
      <c r="E1817" s="836"/>
      <c r="F1817" s="836" t="s">
        <v>251</v>
      </c>
      <c r="G1817" s="836" t="s">
        <v>251</v>
      </c>
      <c r="H1817" s="836" t="s">
        <v>251</v>
      </c>
      <c r="I1817" s="836" t="s">
        <v>251</v>
      </c>
      <c r="J1817" s="836" t="s">
        <v>251</v>
      </c>
      <c r="K1817" s="836"/>
      <c r="L1817" s="836" t="s">
        <v>251</v>
      </c>
      <c r="M1817" s="836" t="s">
        <v>251</v>
      </c>
      <c r="N1817" s="836" t="s">
        <v>251</v>
      </c>
      <c r="O1817" s="836" t="s">
        <v>251</v>
      </c>
      <c r="P1817" s="1497">
        <f t="shared" si="148"/>
        <v>0</v>
      </c>
      <c r="Q1817" s="1186">
        <f t="shared" si="149"/>
        <v>0</v>
      </c>
      <c r="R1817" s="835"/>
      <c r="S1817" s="836"/>
      <c r="T1817" s="836"/>
      <c r="U1817" s="836"/>
      <c r="V1817" s="836"/>
      <c r="W1817" s="836"/>
      <c r="X1817" s="836"/>
      <c r="Y1817" s="836"/>
      <c r="Z1817" s="836"/>
      <c r="AA1817" s="836"/>
      <c r="AB1817" s="836"/>
      <c r="AC1817" s="836"/>
      <c r="AD1817" s="1186">
        <f t="shared" si="146"/>
        <v>0</v>
      </c>
      <c r="AE1817" s="637">
        <f t="shared" si="147"/>
        <v>0</v>
      </c>
      <c r="AF1817" s="638">
        <f t="shared" si="145"/>
        <v>983</v>
      </c>
    </row>
    <row r="1818" spans="1:32" x14ac:dyDescent="0.3">
      <c r="A1818" s="381" t="s">
        <v>759</v>
      </c>
      <c r="B1818" s="1021" t="s">
        <v>2297</v>
      </c>
      <c r="C1818" s="530"/>
      <c r="D1818" s="836" t="s">
        <v>251</v>
      </c>
      <c r="E1818" s="836"/>
      <c r="F1818" s="836" t="s">
        <v>251</v>
      </c>
      <c r="G1818" s="836" t="s">
        <v>251</v>
      </c>
      <c r="H1818" s="836" t="s">
        <v>251</v>
      </c>
      <c r="I1818" s="836" t="s">
        <v>251</v>
      </c>
      <c r="J1818" s="836" t="s">
        <v>251</v>
      </c>
      <c r="K1818" s="836"/>
      <c r="L1818" s="836" t="s">
        <v>251</v>
      </c>
      <c r="M1818" s="836" t="s">
        <v>251</v>
      </c>
      <c r="N1818" s="836" t="s">
        <v>251</v>
      </c>
      <c r="O1818" s="836" t="s">
        <v>251</v>
      </c>
      <c r="P1818" s="1497">
        <f t="shared" si="148"/>
        <v>0</v>
      </c>
      <c r="Q1818" s="1186">
        <f t="shared" si="149"/>
        <v>0</v>
      </c>
      <c r="R1818" s="835"/>
      <c r="S1818" s="836"/>
      <c r="T1818" s="836"/>
      <c r="U1818" s="836"/>
      <c r="V1818" s="836"/>
      <c r="W1818" s="836"/>
      <c r="X1818" s="836"/>
      <c r="Y1818" s="836"/>
      <c r="Z1818" s="836"/>
      <c r="AA1818" s="836"/>
      <c r="AB1818" s="836"/>
      <c r="AC1818" s="836"/>
      <c r="AD1818" s="1186">
        <f t="shared" si="146"/>
        <v>0</v>
      </c>
      <c r="AE1818" s="637">
        <f t="shared" si="147"/>
        <v>0</v>
      </c>
      <c r="AF1818" s="638">
        <f t="shared" si="145"/>
        <v>983</v>
      </c>
    </row>
    <row r="1819" spans="1:32" x14ac:dyDescent="0.3">
      <c r="A1819" s="381" t="s">
        <v>759</v>
      </c>
      <c r="B1819" s="1021" t="s">
        <v>2298</v>
      </c>
      <c r="C1819" s="530"/>
      <c r="D1819" s="836" t="s">
        <v>251</v>
      </c>
      <c r="E1819" s="836"/>
      <c r="F1819" s="836" t="s">
        <v>251</v>
      </c>
      <c r="G1819" s="836" t="s">
        <v>251</v>
      </c>
      <c r="H1819" s="836" t="s">
        <v>251</v>
      </c>
      <c r="I1819" s="836" t="s">
        <v>251</v>
      </c>
      <c r="J1819" s="836" t="s">
        <v>251</v>
      </c>
      <c r="K1819" s="836"/>
      <c r="L1819" s="836" t="s">
        <v>251</v>
      </c>
      <c r="M1819" s="836" t="s">
        <v>251</v>
      </c>
      <c r="N1819" s="836" t="s">
        <v>251</v>
      </c>
      <c r="O1819" s="836" t="s">
        <v>251</v>
      </c>
      <c r="P1819" s="1497">
        <f t="shared" si="148"/>
        <v>0</v>
      </c>
      <c r="Q1819" s="1186">
        <f t="shared" si="149"/>
        <v>0</v>
      </c>
      <c r="R1819" s="835"/>
      <c r="S1819" s="836"/>
      <c r="T1819" s="836">
        <v>0</v>
      </c>
      <c r="U1819" s="836">
        <v>0</v>
      </c>
      <c r="V1819" s="836">
        <v>0</v>
      </c>
      <c r="W1819" s="836">
        <v>0</v>
      </c>
      <c r="X1819" s="836">
        <v>0</v>
      </c>
      <c r="Y1819" s="836">
        <v>0</v>
      </c>
      <c r="Z1819" s="836"/>
      <c r="AA1819" s="836"/>
      <c r="AB1819" s="836"/>
      <c r="AC1819" s="836"/>
      <c r="AD1819" s="1186">
        <f t="shared" si="146"/>
        <v>0</v>
      </c>
      <c r="AE1819" s="637">
        <f t="shared" si="147"/>
        <v>0</v>
      </c>
      <c r="AF1819" s="638">
        <f t="shared" si="145"/>
        <v>983</v>
      </c>
    </row>
    <row r="1820" spans="1:32" x14ac:dyDescent="0.3">
      <c r="A1820" s="381" t="s">
        <v>759</v>
      </c>
      <c r="B1820" s="1021" t="s">
        <v>1107</v>
      </c>
      <c r="C1820" s="530"/>
      <c r="D1820" s="836" t="s">
        <v>251</v>
      </c>
      <c r="E1820" s="836"/>
      <c r="F1820" s="836" t="s">
        <v>251</v>
      </c>
      <c r="G1820" s="836" t="s">
        <v>251</v>
      </c>
      <c r="H1820" s="836" t="s">
        <v>251</v>
      </c>
      <c r="I1820" s="836" t="s">
        <v>251</v>
      </c>
      <c r="J1820" s="836" t="s">
        <v>251</v>
      </c>
      <c r="K1820" s="836"/>
      <c r="L1820" s="836" t="s">
        <v>251</v>
      </c>
      <c r="M1820" s="836" t="s">
        <v>251</v>
      </c>
      <c r="N1820" s="836" t="s">
        <v>251</v>
      </c>
      <c r="O1820" s="836" t="s">
        <v>251</v>
      </c>
      <c r="P1820" s="1497">
        <f t="shared" si="148"/>
        <v>0</v>
      </c>
      <c r="Q1820" s="1186">
        <f t="shared" si="149"/>
        <v>0</v>
      </c>
      <c r="R1820" s="835"/>
      <c r="S1820" s="836"/>
      <c r="T1820" s="836"/>
      <c r="U1820" s="836"/>
      <c r="V1820" s="836"/>
      <c r="W1820" s="836"/>
      <c r="X1820" s="836"/>
      <c r="Y1820" s="836"/>
      <c r="Z1820" s="836"/>
      <c r="AA1820" s="836"/>
      <c r="AB1820" s="836"/>
      <c r="AC1820" s="836"/>
      <c r="AD1820" s="1186">
        <f t="shared" si="146"/>
        <v>0</v>
      </c>
      <c r="AE1820" s="637">
        <f t="shared" si="147"/>
        <v>0</v>
      </c>
      <c r="AF1820" s="638">
        <f t="shared" si="145"/>
        <v>983</v>
      </c>
    </row>
    <row r="1821" spans="1:32" x14ac:dyDescent="0.3">
      <c r="A1821" s="381" t="s">
        <v>759</v>
      </c>
      <c r="B1821" s="1021" t="s">
        <v>2299</v>
      </c>
      <c r="C1821" s="530"/>
      <c r="D1821" s="836" t="s">
        <v>251</v>
      </c>
      <c r="E1821" s="836"/>
      <c r="F1821" s="836" t="s">
        <v>251</v>
      </c>
      <c r="G1821" s="836" t="s">
        <v>251</v>
      </c>
      <c r="H1821" s="836" t="s">
        <v>251</v>
      </c>
      <c r="I1821" s="836" t="s">
        <v>251</v>
      </c>
      <c r="J1821" s="836" t="s">
        <v>251</v>
      </c>
      <c r="K1821" s="836"/>
      <c r="L1821" s="836" t="s">
        <v>251</v>
      </c>
      <c r="M1821" s="836" t="s">
        <v>251</v>
      </c>
      <c r="N1821" s="836" t="s">
        <v>251</v>
      </c>
      <c r="O1821" s="836" t="s">
        <v>251</v>
      </c>
      <c r="P1821" s="1497">
        <f t="shared" si="148"/>
        <v>0</v>
      </c>
      <c r="Q1821" s="1186">
        <f t="shared" si="149"/>
        <v>0</v>
      </c>
      <c r="R1821" s="835"/>
      <c r="S1821" s="836"/>
      <c r="T1821" s="836"/>
      <c r="U1821" s="836"/>
      <c r="V1821" s="836"/>
      <c r="W1821" s="836"/>
      <c r="X1821" s="836"/>
      <c r="Y1821" s="836"/>
      <c r="Z1821" s="836"/>
      <c r="AA1821" s="836"/>
      <c r="AB1821" s="836"/>
      <c r="AC1821" s="836"/>
      <c r="AD1821" s="1186">
        <f t="shared" si="146"/>
        <v>0</v>
      </c>
      <c r="AE1821" s="637">
        <f t="shared" si="147"/>
        <v>0</v>
      </c>
      <c r="AF1821" s="638">
        <f t="shared" si="145"/>
        <v>983</v>
      </c>
    </row>
    <row r="1822" spans="1:32" x14ac:dyDescent="0.3">
      <c r="A1822" s="381" t="s">
        <v>759</v>
      </c>
      <c r="B1822" s="1021" t="s">
        <v>2300</v>
      </c>
      <c r="C1822" s="530"/>
      <c r="D1822" s="836" t="s">
        <v>251</v>
      </c>
      <c r="E1822" s="836"/>
      <c r="F1822" s="836" t="s">
        <v>251</v>
      </c>
      <c r="G1822" s="836" t="s">
        <v>251</v>
      </c>
      <c r="H1822" s="836" t="s">
        <v>251</v>
      </c>
      <c r="I1822" s="836" t="s">
        <v>251</v>
      </c>
      <c r="J1822" s="836" t="s">
        <v>251</v>
      </c>
      <c r="K1822" s="836"/>
      <c r="L1822" s="836" t="s">
        <v>251</v>
      </c>
      <c r="M1822" s="836" t="s">
        <v>251</v>
      </c>
      <c r="N1822" s="836" t="s">
        <v>251</v>
      </c>
      <c r="O1822" s="836" t="s">
        <v>251</v>
      </c>
      <c r="P1822" s="1497">
        <f t="shared" si="148"/>
        <v>0</v>
      </c>
      <c r="Q1822" s="1186">
        <f t="shared" si="149"/>
        <v>0</v>
      </c>
      <c r="R1822" s="835"/>
      <c r="S1822" s="836"/>
      <c r="T1822" s="836"/>
      <c r="U1822" s="836"/>
      <c r="V1822" s="836"/>
      <c r="W1822" s="836"/>
      <c r="X1822" s="836"/>
      <c r="Y1822" s="836"/>
      <c r="Z1822" s="836"/>
      <c r="AA1822" s="836"/>
      <c r="AB1822" s="836"/>
      <c r="AC1822" s="836"/>
      <c r="AD1822" s="1186">
        <f t="shared" si="146"/>
        <v>0</v>
      </c>
      <c r="AE1822" s="637">
        <f t="shared" si="147"/>
        <v>0</v>
      </c>
      <c r="AF1822" s="638">
        <f t="shared" si="145"/>
        <v>983</v>
      </c>
    </row>
    <row r="1823" spans="1:32" x14ac:dyDescent="0.3">
      <c r="A1823" s="381" t="s">
        <v>759</v>
      </c>
      <c r="B1823" s="1021" t="s">
        <v>2301</v>
      </c>
      <c r="C1823" s="530"/>
      <c r="D1823" s="836" t="s">
        <v>251</v>
      </c>
      <c r="E1823" s="836"/>
      <c r="F1823" s="836" t="s">
        <v>251</v>
      </c>
      <c r="G1823" s="836" t="s">
        <v>251</v>
      </c>
      <c r="H1823" s="836" t="s">
        <v>251</v>
      </c>
      <c r="I1823" s="836" t="s">
        <v>251</v>
      </c>
      <c r="J1823" s="836" t="s">
        <v>251</v>
      </c>
      <c r="K1823" s="836"/>
      <c r="L1823" s="836" t="s">
        <v>251</v>
      </c>
      <c r="M1823" s="836" t="s">
        <v>251</v>
      </c>
      <c r="N1823" s="836" t="s">
        <v>251</v>
      </c>
      <c r="O1823" s="836" t="s">
        <v>251</v>
      </c>
      <c r="P1823" s="1497">
        <f t="shared" si="148"/>
        <v>0</v>
      </c>
      <c r="Q1823" s="1186">
        <f t="shared" si="149"/>
        <v>0</v>
      </c>
      <c r="R1823" s="835"/>
      <c r="S1823" s="836"/>
      <c r="T1823" s="836"/>
      <c r="U1823" s="836"/>
      <c r="V1823" s="836"/>
      <c r="W1823" s="836"/>
      <c r="X1823" s="836"/>
      <c r="Y1823" s="836"/>
      <c r="Z1823" s="836"/>
      <c r="AA1823" s="836"/>
      <c r="AB1823" s="836"/>
      <c r="AC1823" s="836"/>
      <c r="AD1823" s="1186">
        <f t="shared" si="146"/>
        <v>0</v>
      </c>
      <c r="AE1823" s="637">
        <f t="shared" si="147"/>
        <v>0</v>
      </c>
      <c r="AF1823" s="638">
        <f t="shared" si="145"/>
        <v>983</v>
      </c>
    </row>
    <row r="1824" spans="1:32" x14ac:dyDescent="0.3">
      <c r="A1824" s="381" t="s">
        <v>759</v>
      </c>
      <c r="B1824" s="1021" t="s">
        <v>2302</v>
      </c>
      <c r="C1824" s="530"/>
      <c r="D1824" s="836" t="s">
        <v>251</v>
      </c>
      <c r="E1824" s="836"/>
      <c r="F1824" s="836" t="s">
        <v>251</v>
      </c>
      <c r="G1824" s="836" t="s">
        <v>251</v>
      </c>
      <c r="H1824" s="836" t="s">
        <v>251</v>
      </c>
      <c r="I1824" s="836" t="s">
        <v>251</v>
      </c>
      <c r="J1824" s="836" t="s">
        <v>251</v>
      </c>
      <c r="K1824" s="836"/>
      <c r="L1824" s="836" t="s">
        <v>251</v>
      </c>
      <c r="M1824" s="836" t="s">
        <v>251</v>
      </c>
      <c r="N1824" s="836" t="s">
        <v>251</v>
      </c>
      <c r="O1824" s="836" t="s">
        <v>251</v>
      </c>
      <c r="P1824" s="1497">
        <f t="shared" si="148"/>
        <v>0</v>
      </c>
      <c r="Q1824" s="1186">
        <f t="shared" si="149"/>
        <v>0</v>
      </c>
      <c r="R1824" s="835"/>
      <c r="S1824" s="836"/>
      <c r="T1824" s="836"/>
      <c r="U1824" s="836"/>
      <c r="V1824" s="836"/>
      <c r="W1824" s="836"/>
      <c r="X1824" s="836"/>
      <c r="Y1824" s="836"/>
      <c r="Z1824" s="836"/>
      <c r="AA1824" s="836"/>
      <c r="AB1824" s="836"/>
      <c r="AC1824" s="836"/>
      <c r="AD1824" s="1186">
        <f t="shared" si="146"/>
        <v>0</v>
      </c>
      <c r="AE1824" s="637">
        <f t="shared" si="147"/>
        <v>0</v>
      </c>
      <c r="AF1824" s="638">
        <f t="shared" si="145"/>
        <v>983</v>
      </c>
    </row>
    <row r="1825" spans="1:32" x14ac:dyDescent="0.3">
      <c r="A1825" s="381" t="s">
        <v>759</v>
      </c>
      <c r="B1825" s="1021" t="s">
        <v>2303</v>
      </c>
      <c r="C1825" s="530"/>
      <c r="D1825" s="836" t="s">
        <v>251</v>
      </c>
      <c r="E1825" s="836"/>
      <c r="F1825" s="836" t="s">
        <v>251</v>
      </c>
      <c r="G1825" s="836" t="s">
        <v>251</v>
      </c>
      <c r="H1825" s="836" t="s">
        <v>251</v>
      </c>
      <c r="I1825" s="836" t="s">
        <v>251</v>
      </c>
      <c r="J1825" s="836" t="s">
        <v>251</v>
      </c>
      <c r="K1825" s="836"/>
      <c r="L1825" s="836" t="s">
        <v>251</v>
      </c>
      <c r="M1825" s="836" t="s">
        <v>251</v>
      </c>
      <c r="N1825" s="836" t="s">
        <v>251</v>
      </c>
      <c r="O1825" s="836" t="s">
        <v>251</v>
      </c>
      <c r="P1825" s="1497">
        <f t="shared" si="148"/>
        <v>0</v>
      </c>
      <c r="Q1825" s="1186">
        <f t="shared" si="149"/>
        <v>0</v>
      </c>
      <c r="R1825" s="835"/>
      <c r="S1825" s="836"/>
      <c r="T1825" s="836"/>
      <c r="U1825" s="836"/>
      <c r="V1825" s="836"/>
      <c r="W1825" s="836"/>
      <c r="X1825" s="836"/>
      <c r="Y1825" s="836"/>
      <c r="Z1825" s="836"/>
      <c r="AA1825" s="836"/>
      <c r="AB1825" s="836"/>
      <c r="AC1825" s="836"/>
      <c r="AD1825" s="1186">
        <f t="shared" si="146"/>
        <v>0</v>
      </c>
      <c r="AE1825" s="637">
        <f t="shared" si="147"/>
        <v>0</v>
      </c>
      <c r="AF1825" s="638">
        <f t="shared" si="145"/>
        <v>983</v>
      </c>
    </row>
    <row r="1826" spans="1:32" x14ac:dyDescent="0.3">
      <c r="A1826" s="381" t="s">
        <v>759</v>
      </c>
      <c r="B1826" s="1021" t="s">
        <v>814</v>
      </c>
      <c r="C1826" s="530"/>
      <c r="D1826" s="836" t="s">
        <v>251</v>
      </c>
      <c r="E1826" s="836"/>
      <c r="F1826" s="836" t="s">
        <v>251</v>
      </c>
      <c r="G1826" s="836" t="s">
        <v>251</v>
      </c>
      <c r="H1826" s="836" t="s">
        <v>251</v>
      </c>
      <c r="I1826" s="836" t="s">
        <v>251</v>
      </c>
      <c r="J1826" s="836" t="s">
        <v>251</v>
      </c>
      <c r="K1826" s="836"/>
      <c r="L1826" s="836" t="s">
        <v>251</v>
      </c>
      <c r="M1826" s="836" t="s">
        <v>251</v>
      </c>
      <c r="N1826" s="836" t="s">
        <v>251</v>
      </c>
      <c r="O1826" s="836" t="s">
        <v>251</v>
      </c>
      <c r="P1826" s="1497">
        <f t="shared" si="148"/>
        <v>0</v>
      </c>
      <c r="Q1826" s="1186">
        <f t="shared" si="149"/>
        <v>0</v>
      </c>
      <c r="R1826" s="835">
        <v>102000</v>
      </c>
      <c r="S1826" s="836"/>
      <c r="T1826" s="836">
        <v>0</v>
      </c>
      <c r="U1826" s="836">
        <v>0</v>
      </c>
      <c r="V1826" s="836">
        <v>0</v>
      </c>
      <c r="W1826" s="836">
        <v>0</v>
      </c>
      <c r="X1826" s="836">
        <v>0</v>
      </c>
      <c r="Y1826" s="836">
        <v>0</v>
      </c>
      <c r="Z1826" s="836"/>
      <c r="AA1826" s="836"/>
      <c r="AB1826" s="836"/>
      <c r="AC1826" s="836"/>
      <c r="AD1826" s="1186">
        <f t="shared" si="146"/>
        <v>102000</v>
      </c>
      <c r="AE1826" s="637">
        <f t="shared" si="147"/>
        <v>1</v>
      </c>
      <c r="AF1826" s="638">
        <f t="shared" si="145"/>
        <v>738</v>
      </c>
    </row>
    <row r="1827" spans="1:32" x14ac:dyDescent="0.3">
      <c r="A1827" s="381" t="s">
        <v>759</v>
      </c>
      <c r="B1827" s="1021" t="s">
        <v>2304</v>
      </c>
      <c r="C1827" s="530"/>
      <c r="D1827" s="836" t="s">
        <v>251</v>
      </c>
      <c r="E1827" s="836"/>
      <c r="F1827" s="836" t="s">
        <v>251</v>
      </c>
      <c r="G1827" s="836" t="s">
        <v>251</v>
      </c>
      <c r="H1827" s="836" t="s">
        <v>251</v>
      </c>
      <c r="I1827" s="836" t="s">
        <v>251</v>
      </c>
      <c r="J1827" s="836" t="s">
        <v>251</v>
      </c>
      <c r="K1827" s="836"/>
      <c r="L1827" s="836" t="s">
        <v>251</v>
      </c>
      <c r="M1827" s="836" t="s">
        <v>251</v>
      </c>
      <c r="N1827" s="836" t="s">
        <v>251</v>
      </c>
      <c r="O1827" s="836" t="s">
        <v>251</v>
      </c>
      <c r="P1827" s="1497">
        <f t="shared" si="148"/>
        <v>0</v>
      </c>
      <c r="Q1827" s="1186">
        <f t="shared" si="149"/>
        <v>0</v>
      </c>
      <c r="R1827" s="835"/>
      <c r="S1827" s="836"/>
      <c r="T1827" s="836"/>
      <c r="U1827" s="836"/>
      <c r="V1827" s="836"/>
      <c r="W1827" s="836"/>
      <c r="X1827" s="836"/>
      <c r="Y1827" s="836"/>
      <c r="Z1827" s="836"/>
      <c r="AA1827" s="836"/>
      <c r="AB1827" s="836"/>
      <c r="AC1827" s="836"/>
      <c r="AD1827" s="1186">
        <f t="shared" si="146"/>
        <v>0</v>
      </c>
      <c r="AE1827" s="637">
        <f t="shared" si="147"/>
        <v>0</v>
      </c>
      <c r="AF1827" s="638">
        <f t="shared" si="145"/>
        <v>983</v>
      </c>
    </row>
    <row r="1828" spans="1:32" x14ac:dyDescent="0.3">
      <c r="A1828" s="381" t="s">
        <v>759</v>
      </c>
      <c r="B1828" s="1021" t="s">
        <v>803</v>
      </c>
      <c r="C1828" s="530"/>
      <c r="D1828" s="836" t="s">
        <v>251</v>
      </c>
      <c r="E1828" s="836"/>
      <c r="F1828" s="836" t="s">
        <v>251</v>
      </c>
      <c r="G1828" s="836" t="s">
        <v>251</v>
      </c>
      <c r="H1828" s="836" t="s">
        <v>251</v>
      </c>
      <c r="I1828" s="836" t="s">
        <v>251</v>
      </c>
      <c r="J1828" s="836" t="s">
        <v>251</v>
      </c>
      <c r="K1828" s="836"/>
      <c r="L1828" s="836" t="s">
        <v>251</v>
      </c>
      <c r="M1828" s="836" t="s">
        <v>251</v>
      </c>
      <c r="N1828" s="836" t="s">
        <v>251</v>
      </c>
      <c r="O1828" s="836" t="s">
        <v>251</v>
      </c>
      <c r="P1828" s="1497">
        <f t="shared" si="148"/>
        <v>0</v>
      </c>
      <c r="Q1828" s="1186">
        <f t="shared" si="149"/>
        <v>0</v>
      </c>
      <c r="R1828" s="835"/>
      <c r="S1828" s="836"/>
      <c r="T1828" s="836"/>
      <c r="U1828" s="836"/>
      <c r="V1828" s="836"/>
      <c r="W1828" s="836"/>
      <c r="X1828" s="836"/>
      <c r="Y1828" s="836"/>
      <c r="Z1828" s="836"/>
      <c r="AA1828" s="836"/>
      <c r="AB1828" s="836"/>
      <c r="AC1828" s="836"/>
      <c r="AD1828" s="1186">
        <f t="shared" si="146"/>
        <v>0</v>
      </c>
      <c r="AE1828" s="637">
        <f t="shared" si="147"/>
        <v>0</v>
      </c>
      <c r="AF1828" s="638">
        <f t="shared" si="145"/>
        <v>983</v>
      </c>
    </row>
    <row r="1829" spans="1:32" x14ac:dyDescent="0.3">
      <c r="A1829" s="381" t="s">
        <v>759</v>
      </c>
      <c r="B1829" s="1021" t="s">
        <v>2305</v>
      </c>
      <c r="C1829" s="530"/>
      <c r="D1829" s="836" t="s">
        <v>251</v>
      </c>
      <c r="E1829" s="836"/>
      <c r="F1829" s="836" t="s">
        <v>251</v>
      </c>
      <c r="G1829" s="836" t="s">
        <v>251</v>
      </c>
      <c r="H1829" s="836" t="s">
        <v>251</v>
      </c>
      <c r="I1829" s="836" t="s">
        <v>251</v>
      </c>
      <c r="J1829" s="836" t="s">
        <v>251</v>
      </c>
      <c r="K1829" s="836"/>
      <c r="L1829" s="836" t="s">
        <v>251</v>
      </c>
      <c r="M1829" s="836" t="s">
        <v>251</v>
      </c>
      <c r="N1829" s="836" t="s">
        <v>251</v>
      </c>
      <c r="O1829" s="836" t="s">
        <v>251</v>
      </c>
      <c r="P1829" s="1497">
        <f t="shared" si="148"/>
        <v>0</v>
      </c>
      <c r="Q1829" s="1186">
        <f t="shared" si="149"/>
        <v>0</v>
      </c>
      <c r="R1829" s="835"/>
      <c r="S1829" s="836"/>
      <c r="T1829" s="836"/>
      <c r="U1829" s="836"/>
      <c r="V1829" s="836"/>
      <c r="W1829" s="836"/>
      <c r="X1829" s="836"/>
      <c r="Y1829" s="836"/>
      <c r="Z1829" s="836"/>
      <c r="AA1829" s="836"/>
      <c r="AB1829" s="836"/>
      <c r="AC1829" s="836"/>
      <c r="AD1829" s="1186">
        <f t="shared" si="146"/>
        <v>0</v>
      </c>
      <c r="AE1829" s="637">
        <f t="shared" si="147"/>
        <v>0</v>
      </c>
      <c r="AF1829" s="638">
        <f t="shared" si="145"/>
        <v>983</v>
      </c>
    </row>
    <row r="1830" spans="1:32" x14ac:dyDescent="0.3">
      <c r="A1830" s="381" t="s">
        <v>759</v>
      </c>
      <c r="B1830" s="1021" t="s">
        <v>2306</v>
      </c>
      <c r="C1830" s="530"/>
      <c r="D1830" s="836" t="s">
        <v>251</v>
      </c>
      <c r="E1830" s="836"/>
      <c r="F1830" s="836" t="s">
        <v>251</v>
      </c>
      <c r="G1830" s="836" t="s">
        <v>251</v>
      </c>
      <c r="H1830" s="836" t="s">
        <v>251</v>
      </c>
      <c r="I1830" s="836" t="s">
        <v>251</v>
      </c>
      <c r="J1830" s="836" t="s">
        <v>251</v>
      </c>
      <c r="K1830" s="836"/>
      <c r="L1830" s="836" t="s">
        <v>251</v>
      </c>
      <c r="M1830" s="836" t="s">
        <v>251</v>
      </c>
      <c r="N1830" s="836" t="s">
        <v>251</v>
      </c>
      <c r="O1830" s="836">
        <v>510000</v>
      </c>
      <c r="P1830" s="1497">
        <f t="shared" si="148"/>
        <v>0</v>
      </c>
      <c r="Q1830" s="1186">
        <f t="shared" si="149"/>
        <v>510000</v>
      </c>
      <c r="R1830" s="835"/>
      <c r="S1830" s="836"/>
      <c r="T1830" s="836"/>
      <c r="U1830" s="836"/>
      <c r="V1830" s="836"/>
      <c r="W1830" s="836"/>
      <c r="X1830" s="836"/>
      <c r="Y1830" s="836"/>
      <c r="Z1830" s="836"/>
      <c r="AA1830" s="836"/>
      <c r="AB1830" s="836"/>
      <c r="AC1830" s="836"/>
      <c r="AD1830" s="1186">
        <f t="shared" si="146"/>
        <v>0</v>
      </c>
      <c r="AE1830" s="637">
        <f t="shared" si="147"/>
        <v>0</v>
      </c>
      <c r="AF1830" s="638">
        <f t="shared" si="145"/>
        <v>983</v>
      </c>
    </row>
    <row r="1831" spans="1:32" x14ac:dyDescent="0.3">
      <c r="A1831" s="381" t="s">
        <v>759</v>
      </c>
      <c r="B1831" s="1021" t="s">
        <v>1420</v>
      </c>
      <c r="C1831" s="530"/>
      <c r="D1831" s="836" t="s">
        <v>251</v>
      </c>
      <c r="E1831" s="836"/>
      <c r="F1831" s="836" t="s">
        <v>251</v>
      </c>
      <c r="G1831" s="836" t="s">
        <v>251</v>
      </c>
      <c r="H1831" s="836" t="s">
        <v>251</v>
      </c>
      <c r="I1831" s="836" t="s">
        <v>251</v>
      </c>
      <c r="J1831" s="836" t="s">
        <v>251</v>
      </c>
      <c r="K1831" s="836"/>
      <c r="L1831" s="836" t="s">
        <v>251</v>
      </c>
      <c r="M1831" s="836" t="s">
        <v>251</v>
      </c>
      <c r="N1831" s="836" t="s">
        <v>251</v>
      </c>
      <c r="O1831" s="836" t="s">
        <v>251</v>
      </c>
      <c r="P1831" s="1497">
        <f t="shared" si="148"/>
        <v>0</v>
      </c>
      <c r="Q1831" s="1186">
        <f t="shared" si="149"/>
        <v>0</v>
      </c>
      <c r="R1831" s="835"/>
      <c r="S1831" s="836"/>
      <c r="T1831" s="836"/>
      <c r="U1831" s="836"/>
      <c r="V1831" s="836"/>
      <c r="W1831" s="836"/>
      <c r="X1831" s="836"/>
      <c r="Y1831" s="836"/>
      <c r="Z1831" s="836"/>
      <c r="AA1831" s="836"/>
      <c r="AB1831" s="836"/>
      <c r="AC1831" s="836"/>
      <c r="AD1831" s="1186">
        <f t="shared" si="146"/>
        <v>0</v>
      </c>
      <c r="AE1831" s="637">
        <f t="shared" si="147"/>
        <v>0</v>
      </c>
      <c r="AF1831" s="638">
        <f t="shared" si="145"/>
        <v>983</v>
      </c>
    </row>
    <row r="1832" spans="1:32" x14ac:dyDescent="0.3">
      <c r="A1832" s="381" t="s">
        <v>759</v>
      </c>
      <c r="B1832" s="1021" t="s">
        <v>2307</v>
      </c>
      <c r="C1832" s="530"/>
      <c r="D1832" s="836" t="s">
        <v>251</v>
      </c>
      <c r="E1832" s="836"/>
      <c r="F1832" s="836" t="s">
        <v>251</v>
      </c>
      <c r="G1832" s="836" t="s">
        <v>251</v>
      </c>
      <c r="H1832" s="836" t="s">
        <v>251</v>
      </c>
      <c r="I1832" s="836" t="s">
        <v>251</v>
      </c>
      <c r="J1832" s="836" t="s">
        <v>251</v>
      </c>
      <c r="K1832" s="836"/>
      <c r="L1832" s="836" t="s">
        <v>251</v>
      </c>
      <c r="M1832" s="836" t="s">
        <v>251</v>
      </c>
      <c r="N1832" s="836" t="s">
        <v>251</v>
      </c>
      <c r="O1832" s="836" t="s">
        <v>251</v>
      </c>
      <c r="P1832" s="1497">
        <f t="shared" si="148"/>
        <v>0</v>
      </c>
      <c r="Q1832" s="1186">
        <f t="shared" si="149"/>
        <v>0</v>
      </c>
      <c r="R1832" s="835"/>
      <c r="S1832" s="836"/>
      <c r="T1832" s="836"/>
      <c r="U1832" s="836"/>
      <c r="V1832" s="836"/>
      <c r="W1832" s="836"/>
      <c r="X1832" s="836"/>
      <c r="Y1832" s="836"/>
      <c r="Z1832" s="836"/>
      <c r="AA1832" s="836"/>
      <c r="AB1832" s="836"/>
      <c r="AC1832" s="836"/>
      <c r="AD1832" s="1186">
        <f t="shared" si="146"/>
        <v>0</v>
      </c>
      <c r="AE1832" s="637">
        <f t="shared" si="147"/>
        <v>0</v>
      </c>
      <c r="AF1832" s="638">
        <f t="shared" si="145"/>
        <v>983</v>
      </c>
    </row>
    <row r="1833" spans="1:32" x14ac:dyDescent="0.3">
      <c r="A1833" s="381" t="s">
        <v>759</v>
      </c>
      <c r="B1833" s="1021" t="s">
        <v>2308</v>
      </c>
      <c r="C1833" s="530"/>
      <c r="D1833" s="836" t="s">
        <v>251</v>
      </c>
      <c r="E1833" s="836"/>
      <c r="F1833" s="836" t="s">
        <v>251</v>
      </c>
      <c r="G1833" s="836" t="s">
        <v>251</v>
      </c>
      <c r="H1833" s="836" t="s">
        <v>251</v>
      </c>
      <c r="I1833" s="836" t="s">
        <v>251</v>
      </c>
      <c r="J1833" s="836" t="s">
        <v>251</v>
      </c>
      <c r="K1833" s="836"/>
      <c r="L1833" s="836" t="s">
        <v>251</v>
      </c>
      <c r="M1833" s="836" t="s">
        <v>251</v>
      </c>
      <c r="N1833" s="836" t="s">
        <v>251</v>
      </c>
      <c r="O1833" s="836" t="s">
        <v>251</v>
      </c>
      <c r="P1833" s="1497">
        <f t="shared" si="148"/>
        <v>0</v>
      </c>
      <c r="Q1833" s="1186">
        <f t="shared" si="149"/>
        <v>0</v>
      </c>
      <c r="R1833" s="835"/>
      <c r="S1833" s="836"/>
      <c r="T1833" s="836"/>
      <c r="U1833" s="836"/>
      <c r="V1833" s="836"/>
      <c r="W1833" s="836"/>
      <c r="X1833" s="836"/>
      <c r="Y1833" s="836"/>
      <c r="Z1833" s="836"/>
      <c r="AA1833" s="836"/>
      <c r="AB1833" s="836"/>
      <c r="AC1833" s="836"/>
      <c r="AD1833" s="1186">
        <f t="shared" si="146"/>
        <v>0</v>
      </c>
      <c r="AE1833" s="637">
        <f t="shared" si="147"/>
        <v>0</v>
      </c>
      <c r="AF1833" s="638">
        <f t="shared" si="145"/>
        <v>983</v>
      </c>
    </row>
    <row r="1834" spans="1:32" x14ac:dyDescent="0.3">
      <c r="A1834" s="381" t="s">
        <v>759</v>
      </c>
      <c r="B1834" s="1021" t="s">
        <v>2309</v>
      </c>
      <c r="C1834" s="530"/>
      <c r="D1834" s="836" t="s">
        <v>251</v>
      </c>
      <c r="E1834" s="836"/>
      <c r="F1834" s="836" t="s">
        <v>251</v>
      </c>
      <c r="G1834" s="836" t="s">
        <v>251</v>
      </c>
      <c r="H1834" s="836" t="s">
        <v>251</v>
      </c>
      <c r="I1834" s="836" t="s">
        <v>251</v>
      </c>
      <c r="J1834" s="836" t="s">
        <v>251</v>
      </c>
      <c r="K1834" s="836"/>
      <c r="L1834" s="836" t="s">
        <v>251</v>
      </c>
      <c r="M1834" s="836" t="s">
        <v>251</v>
      </c>
      <c r="N1834" s="836" t="s">
        <v>251</v>
      </c>
      <c r="O1834" s="836" t="s">
        <v>251</v>
      </c>
      <c r="P1834" s="1497">
        <f t="shared" si="148"/>
        <v>0</v>
      </c>
      <c r="Q1834" s="1186">
        <f t="shared" si="149"/>
        <v>0</v>
      </c>
      <c r="R1834" s="835"/>
      <c r="S1834" s="836"/>
      <c r="T1834" s="836"/>
      <c r="U1834" s="836"/>
      <c r="V1834" s="836"/>
      <c r="W1834" s="836"/>
      <c r="X1834" s="836"/>
      <c r="Y1834" s="836"/>
      <c r="Z1834" s="836"/>
      <c r="AA1834" s="836"/>
      <c r="AB1834" s="836"/>
      <c r="AC1834" s="836"/>
      <c r="AD1834" s="1186">
        <f t="shared" si="146"/>
        <v>0</v>
      </c>
      <c r="AE1834" s="637">
        <f t="shared" si="147"/>
        <v>0</v>
      </c>
      <c r="AF1834" s="638">
        <f t="shared" si="145"/>
        <v>983</v>
      </c>
    </row>
    <row r="1835" spans="1:32" x14ac:dyDescent="0.3">
      <c r="A1835" s="381" t="s">
        <v>759</v>
      </c>
      <c r="B1835" s="1021" t="s">
        <v>2310</v>
      </c>
      <c r="C1835" s="530"/>
      <c r="D1835" s="836" t="s">
        <v>251</v>
      </c>
      <c r="E1835" s="836"/>
      <c r="F1835" s="836" t="s">
        <v>251</v>
      </c>
      <c r="G1835" s="836" t="s">
        <v>251</v>
      </c>
      <c r="H1835" s="836" t="s">
        <v>251</v>
      </c>
      <c r="I1835" s="836" t="s">
        <v>251</v>
      </c>
      <c r="J1835" s="836" t="s">
        <v>251</v>
      </c>
      <c r="K1835" s="836"/>
      <c r="L1835" s="836" t="s">
        <v>251</v>
      </c>
      <c r="M1835" s="836" t="s">
        <v>251</v>
      </c>
      <c r="N1835" s="836" t="s">
        <v>251</v>
      </c>
      <c r="O1835" s="836" t="s">
        <v>251</v>
      </c>
      <c r="P1835" s="1497">
        <f t="shared" si="148"/>
        <v>0</v>
      </c>
      <c r="Q1835" s="1186">
        <f t="shared" si="149"/>
        <v>0</v>
      </c>
      <c r="R1835" s="835"/>
      <c r="S1835" s="836"/>
      <c r="T1835" s="836"/>
      <c r="U1835" s="836"/>
      <c r="V1835" s="836"/>
      <c r="W1835" s="836"/>
      <c r="X1835" s="836"/>
      <c r="Y1835" s="836"/>
      <c r="Z1835" s="836"/>
      <c r="AA1835" s="836"/>
      <c r="AB1835" s="836"/>
      <c r="AC1835" s="836"/>
      <c r="AD1835" s="1186">
        <f t="shared" si="146"/>
        <v>0</v>
      </c>
      <c r="AE1835" s="637">
        <f t="shared" si="147"/>
        <v>0</v>
      </c>
      <c r="AF1835" s="638">
        <f t="shared" si="145"/>
        <v>983</v>
      </c>
    </row>
    <row r="1836" spans="1:32" x14ac:dyDescent="0.3">
      <c r="A1836" s="381" t="s">
        <v>759</v>
      </c>
      <c r="B1836" s="1021" t="s">
        <v>2311</v>
      </c>
      <c r="C1836" s="530"/>
      <c r="D1836" s="836" t="s">
        <v>251</v>
      </c>
      <c r="E1836" s="836"/>
      <c r="F1836" s="836" t="s">
        <v>251</v>
      </c>
      <c r="G1836" s="836" t="s">
        <v>251</v>
      </c>
      <c r="H1836" s="836" t="s">
        <v>251</v>
      </c>
      <c r="I1836" s="836" t="s">
        <v>251</v>
      </c>
      <c r="J1836" s="836" t="s">
        <v>251</v>
      </c>
      <c r="K1836" s="836"/>
      <c r="L1836" s="836" t="s">
        <v>251</v>
      </c>
      <c r="M1836" s="836" t="s">
        <v>251</v>
      </c>
      <c r="N1836" s="836" t="s">
        <v>251</v>
      </c>
      <c r="O1836" s="836" t="s">
        <v>251</v>
      </c>
      <c r="P1836" s="1497">
        <f t="shared" si="148"/>
        <v>0</v>
      </c>
      <c r="Q1836" s="1186">
        <f t="shared" si="149"/>
        <v>0</v>
      </c>
      <c r="R1836" s="835"/>
      <c r="S1836" s="836"/>
      <c r="T1836" s="836"/>
      <c r="U1836" s="836"/>
      <c r="V1836" s="836"/>
      <c r="W1836" s="836"/>
      <c r="X1836" s="836"/>
      <c r="Y1836" s="836"/>
      <c r="Z1836" s="836"/>
      <c r="AA1836" s="836"/>
      <c r="AB1836" s="836"/>
      <c r="AC1836" s="836"/>
      <c r="AD1836" s="1186">
        <f t="shared" si="146"/>
        <v>0</v>
      </c>
      <c r="AE1836" s="637">
        <f t="shared" si="147"/>
        <v>0</v>
      </c>
      <c r="AF1836" s="638">
        <f t="shared" si="145"/>
        <v>983</v>
      </c>
    </row>
    <row r="1837" spans="1:32" x14ac:dyDescent="0.3">
      <c r="A1837" s="381" t="s">
        <v>759</v>
      </c>
      <c r="B1837" s="1021" t="s">
        <v>1803</v>
      </c>
      <c r="C1837" s="530"/>
      <c r="D1837" s="836" t="s">
        <v>251</v>
      </c>
      <c r="E1837" s="836"/>
      <c r="F1837" s="836" t="s">
        <v>251</v>
      </c>
      <c r="G1837" s="836" t="s">
        <v>251</v>
      </c>
      <c r="H1837" s="836" t="s">
        <v>251</v>
      </c>
      <c r="I1837" s="836" t="s">
        <v>251</v>
      </c>
      <c r="J1837" s="836" t="s">
        <v>251</v>
      </c>
      <c r="K1837" s="836"/>
      <c r="L1837" s="836" t="s">
        <v>251</v>
      </c>
      <c r="M1837" s="836" t="s">
        <v>251</v>
      </c>
      <c r="N1837" s="836" t="s">
        <v>251</v>
      </c>
      <c r="O1837" s="836" t="s">
        <v>251</v>
      </c>
      <c r="P1837" s="1497">
        <f t="shared" si="148"/>
        <v>0</v>
      </c>
      <c r="Q1837" s="1186">
        <f t="shared" si="149"/>
        <v>0</v>
      </c>
      <c r="R1837" s="835"/>
      <c r="S1837" s="836">
        <v>18500</v>
      </c>
      <c r="T1837" s="836">
        <v>31000</v>
      </c>
      <c r="U1837" s="836">
        <v>5000</v>
      </c>
      <c r="V1837" s="836">
        <v>28500</v>
      </c>
      <c r="W1837" s="836">
        <v>10000</v>
      </c>
      <c r="X1837" s="836"/>
      <c r="Y1837" s="836"/>
      <c r="Z1837" s="836"/>
      <c r="AA1837" s="836"/>
      <c r="AB1837" s="836"/>
      <c r="AC1837" s="836"/>
      <c r="AD1837" s="1186">
        <f t="shared" si="146"/>
        <v>93000</v>
      </c>
      <c r="AE1837" s="637">
        <f t="shared" si="147"/>
        <v>1</v>
      </c>
      <c r="AF1837" s="638">
        <f t="shared" si="145"/>
        <v>755</v>
      </c>
    </row>
    <row r="1838" spans="1:32" x14ac:dyDescent="0.3">
      <c r="A1838" s="381" t="s">
        <v>759</v>
      </c>
      <c r="B1838" s="1021" t="s">
        <v>1908</v>
      </c>
      <c r="C1838" s="530"/>
      <c r="D1838" s="836" t="s">
        <v>251</v>
      </c>
      <c r="E1838" s="836"/>
      <c r="F1838" s="836" t="s">
        <v>251</v>
      </c>
      <c r="G1838" s="836" t="s">
        <v>251</v>
      </c>
      <c r="H1838" s="836" t="s">
        <v>251</v>
      </c>
      <c r="I1838" s="836" t="s">
        <v>251</v>
      </c>
      <c r="J1838" s="836" t="s">
        <v>251</v>
      </c>
      <c r="K1838" s="836"/>
      <c r="L1838" s="836" t="s">
        <v>251</v>
      </c>
      <c r="M1838" s="836" t="s">
        <v>251</v>
      </c>
      <c r="N1838" s="836" t="s">
        <v>251</v>
      </c>
      <c r="O1838" s="836" t="s">
        <v>251</v>
      </c>
      <c r="P1838" s="1497">
        <f t="shared" si="148"/>
        <v>0</v>
      </c>
      <c r="Q1838" s="1186">
        <f t="shared" si="149"/>
        <v>0</v>
      </c>
      <c r="R1838" s="835"/>
      <c r="S1838" s="836"/>
      <c r="T1838" s="836"/>
      <c r="U1838" s="836"/>
      <c r="V1838" s="836"/>
      <c r="W1838" s="836"/>
      <c r="X1838" s="836"/>
      <c r="Y1838" s="836"/>
      <c r="Z1838" s="836"/>
      <c r="AA1838" s="836"/>
      <c r="AB1838" s="836"/>
      <c r="AC1838" s="836"/>
      <c r="AD1838" s="1186">
        <f t="shared" si="146"/>
        <v>0</v>
      </c>
      <c r="AE1838" s="637">
        <f t="shared" si="147"/>
        <v>0</v>
      </c>
      <c r="AF1838" s="638">
        <f t="shared" si="145"/>
        <v>983</v>
      </c>
    </row>
    <row r="1839" spans="1:32" x14ac:dyDescent="0.3">
      <c r="A1839" s="381" t="s">
        <v>759</v>
      </c>
      <c r="B1839" s="1021" t="s">
        <v>2312</v>
      </c>
      <c r="C1839" s="530"/>
      <c r="D1839" s="836" t="s">
        <v>251</v>
      </c>
      <c r="E1839" s="836"/>
      <c r="F1839" s="836" t="s">
        <v>251</v>
      </c>
      <c r="G1839" s="836" t="s">
        <v>251</v>
      </c>
      <c r="H1839" s="836" t="s">
        <v>251</v>
      </c>
      <c r="I1839" s="836" t="s">
        <v>251</v>
      </c>
      <c r="J1839" s="836" t="s">
        <v>251</v>
      </c>
      <c r="K1839" s="836"/>
      <c r="L1839" s="836" t="s">
        <v>251</v>
      </c>
      <c r="M1839" s="836" t="s">
        <v>251</v>
      </c>
      <c r="N1839" s="836" t="s">
        <v>251</v>
      </c>
      <c r="O1839" s="836" t="s">
        <v>251</v>
      </c>
      <c r="P1839" s="1497">
        <f t="shared" si="148"/>
        <v>0</v>
      </c>
      <c r="Q1839" s="1186">
        <f t="shared" si="149"/>
        <v>0</v>
      </c>
      <c r="R1839" s="835"/>
      <c r="S1839" s="836"/>
      <c r="T1839" s="836"/>
      <c r="U1839" s="836"/>
      <c r="V1839" s="836"/>
      <c r="W1839" s="836"/>
      <c r="X1839" s="836"/>
      <c r="Y1839" s="836"/>
      <c r="Z1839" s="836"/>
      <c r="AA1839" s="836"/>
      <c r="AB1839" s="836"/>
      <c r="AC1839" s="836"/>
      <c r="AD1839" s="1186">
        <f t="shared" si="146"/>
        <v>0</v>
      </c>
      <c r="AE1839" s="637">
        <f t="shared" si="147"/>
        <v>0</v>
      </c>
      <c r="AF1839" s="638">
        <f t="shared" si="145"/>
        <v>983</v>
      </c>
    </row>
    <row r="1840" spans="1:32" x14ac:dyDescent="0.3">
      <c r="A1840" s="381" t="s">
        <v>759</v>
      </c>
      <c r="B1840" s="1021" t="s">
        <v>2313</v>
      </c>
      <c r="C1840" s="530"/>
      <c r="D1840" s="836" t="s">
        <v>251</v>
      </c>
      <c r="E1840" s="836"/>
      <c r="F1840" s="836" t="s">
        <v>251</v>
      </c>
      <c r="G1840" s="836" t="s">
        <v>251</v>
      </c>
      <c r="H1840" s="836" t="s">
        <v>251</v>
      </c>
      <c r="I1840" s="836" t="s">
        <v>251</v>
      </c>
      <c r="J1840" s="836" t="s">
        <v>251</v>
      </c>
      <c r="K1840" s="836"/>
      <c r="L1840" s="836" t="s">
        <v>251</v>
      </c>
      <c r="M1840" s="836" t="s">
        <v>251</v>
      </c>
      <c r="N1840" s="836" t="s">
        <v>251</v>
      </c>
      <c r="O1840" s="836">
        <v>49000</v>
      </c>
      <c r="P1840" s="1497">
        <f t="shared" si="148"/>
        <v>0</v>
      </c>
      <c r="Q1840" s="1186">
        <f t="shared" si="149"/>
        <v>49000</v>
      </c>
      <c r="R1840" s="835"/>
      <c r="S1840" s="836"/>
      <c r="T1840" s="836"/>
      <c r="U1840" s="836"/>
      <c r="V1840" s="836"/>
      <c r="W1840" s="836"/>
      <c r="X1840" s="836">
        <v>38000</v>
      </c>
      <c r="Y1840" s="836">
        <v>0</v>
      </c>
      <c r="Z1840" s="836"/>
      <c r="AA1840" s="836"/>
      <c r="AB1840" s="836"/>
      <c r="AC1840" s="836"/>
      <c r="AD1840" s="1186">
        <f t="shared" si="146"/>
        <v>38000</v>
      </c>
      <c r="AE1840" s="637">
        <f t="shared" si="147"/>
        <v>1</v>
      </c>
      <c r="AF1840" s="638">
        <f t="shared" si="145"/>
        <v>874</v>
      </c>
    </row>
    <row r="1841" spans="1:32" x14ac:dyDescent="0.3">
      <c r="A1841" s="381" t="s">
        <v>759</v>
      </c>
      <c r="B1841" s="1021" t="s">
        <v>2314</v>
      </c>
      <c r="C1841" s="530"/>
      <c r="D1841" s="836" t="s">
        <v>251</v>
      </c>
      <c r="E1841" s="836"/>
      <c r="F1841" s="836" t="s">
        <v>251</v>
      </c>
      <c r="G1841" s="836" t="s">
        <v>251</v>
      </c>
      <c r="H1841" s="836" t="s">
        <v>251</v>
      </c>
      <c r="I1841" s="836" t="s">
        <v>251</v>
      </c>
      <c r="J1841" s="836" t="s">
        <v>251</v>
      </c>
      <c r="K1841" s="836"/>
      <c r="L1841" s="836" t="s">
        <v>251</v>
      </c>
      <c r="M1841" s="836" t="s">
        <v>251</v>
      </c>
      <c r="N1841" s="836" t="s">
        <v>251</v>
      </c>
      <c r="O1841" s="836" t="s">
        <v>251</v>
      </c>
      <c r="P1841" s="1497">
        <f t="shared" si="148"/>
        <v>0</v>
      </c>
      <c r="Q1841" s="1186">
        <f t="shared" si="149"/>
        <v>0</v>
      </c>
      <c r="R1841" s="835"/>
      <c r="S1841" s="836"/>
      <c r="T1841" s="836"/>
      <c r="U1841" s="836"/>
      <c r="V1841" s="836"/>
      <c r="W1841" s="836"/>
      <c r="X1841" s="836"/>
      <c r="Y1841" s="836"/>
      <c r="Z1841" s="836"/>
      <c r="AA1841" s="836"/>
      <c r="AB1841" s="836"/>
      <c r="AC1841" s="836"/>
      <c r="AD1841" s="1186">
        <f t="shared" si="146"/>
        <v>0</v>
      </c>
      <c r="AE1841" s="637">
        <f t="shared" si="147"/>
        <v>0</v>
      </c>
      <c r="AF1841" s="638">
        <f t="shared" si="145"/>
        <v>983</v>
      </c>
    </row>
    <row r="1842" spans="1:32" x14ac:dyDescent="0.3">
      <c r="A1842" s="381" t="s">
        <v>759</v>
      </c>
      <c r="B1842" s="1021" t="s">
        <v>2315</v>
      </c>
      <c r="C1842" s="530"/>
      <c r="D1842" s="836" t="s">
        <v>251</v>
      </c>
      <c r="E1842" s="836"/>
      <c r="F1842" s="836" t="s">
        <v>251</v>
      </c>
      <c r="G1842" s="836" t="s">
        <v>251</v>
      </c>
      <c r="H1842" s="836" t="s">
        <v>251</v>
      </c>
      <c r="I1842" s="836" t="s">
        <v>251</v>
      </c>
      <c r="J1842" s="836" t="s">
        <v>251</v>
      </c>
      <c r="K1842" s="836"/>
      <c r="L1842" s="836" t="s">
        <v>251</v>
      </c>
      <c r="M1842" s="836" t="s">
        <v>251</v>
      </c>
      <c r="N1842" s="836" t="s">
        <v>251</v>
      </c>
      <c r="O1842" s="836" t="s">
        <v>251</v>
      </c>
      <c r="P1842" s="1497">
        <f t="shared" si="148"/>
        <v>0</v>
      </c>
      <c r="Q1842" s="1186">
        <f t="shared" si="149"/>
        <v>0</v>
      </c>
      <c r="R1842" s="835"/>
      <c r="S1842" s="836"/>
      <c r="T1842" s="836"/>
      <c r="U1842" s="836"/>
      <c r="V1842" s="836"/>
      <c r="W1842" s="836"/>
      <c r="X1842" s="836"/>
      <c r="Y1842" s="836"/>
      <c r="Z1842" s="836"/>
      <c r="AA1842" s="836"/>
      <c r="AB1842" s="836"/>
      <c r="AC1842" s="836"/>
      <c r="AD1842" s="1186">
        <f t="shared" si="146"/>
        <v>0</v>
      </c>
      <c r="AE1842" s="637">
        <f t="shared" si="147"/>
        <v>0</v>
      </c>
      <c r="AF1842" s="638">
        <f t="shared" si="145"/>
        <v>983</v>
      </c>
    </row>
    <row r="1843" spans="1:32" x14ac:dyDescent="0.3">
      <c r="A1843" s="381" t="s">
        <v>759</v>
      </c>
      <c r="B1843" s="1021" t="s">
        <v>2316</v>
      </c>
      <c r="C1843" s="530"/>
      <c r="D1843" s="836" t="s">
        <v>251</v>
      </c>
      <c r="E1843" s="836"/>
      <c r="F1843" s="836" t="s">
        <v>251</v>
      </c>
      <c r="G1843" s="836" t="s">
        <v>251</v>
      </c>
      <c r="H1843" s="836" t="s">
        <v>251</v>
      </c>
      <c r="I1843" s="836" t="s">
        <v>251</v>
      </c>
      <c r="J1843" s="836" t="s">
        <v>251</v>
      </c>
      <c r="K1843" s="836"/>
      <c r="L1843" s="836" t="s">
        <v>251</v>
      </c>
      <c r="M1843" s="836" t="s">
        <v>251</v>
      </c>
      <c r="N1843" s="836" t="s">
        <v>251</v>
      </c>
      <c r="O1843" s="836" t="s">
        <v>251</v>
      </c>
      <c r="P1843" s="1497">
        <f t="shared" si="148"/>
        <v>0</v>
      </c>
      <c r="Q1843" s="1186">
        <f t="shared" si="149"/>
        <v>0</v>
      </c>
      <c r="R1843" s="835"/>
      <c r="S1843" s="836"/>
      <c r="T1843" s="836"/>
      <c r="U1843" s="836"/>
      <c r="V1843" s="836"/>
      <c r="W1843" s="836"/>
      <c r="X1843" s="836"/>
      <c r="Y1843" s="836"/>
      <c r="Z1843" s="836"/>
      <c r="AA1843" s="836"/>
      <c r="AB1843" s="836"/>
      <c r="AC1843" s="836"/>
      <c r="AD1843" s="1186">
        <f t="shared" si="146"/>
        <v>0</v>
      </c>
      <c r="AE1843" s="637">
        <f t="shared" si="147"/>
        <v>0</v>
      </c>
      <c r="AF1843" s="638">
        <f t="shared" si="145"/>
        <v>983</v>
      </c>
    </row>
    <row r="1844" spans="1:32" x14ac:dyDescent="0.3">
      <c r="A1844" s="381" t="s">
        <v>759</v>
      </c>
      <c r="B1844" s="1021" t="s">
        <v>2317</v>
      </c>
      <c r="C1844" s="530"/>
      <c r="D1844" s="836" t="s">
        <v>251</v>
      </c>
      <c r="E1844" s="836"/>
      <c r="F1844" s="836" t="s">
        <v>251</v>
      </c>
      <c r="G1844" s="836" t="s">
        <v>251</v>
      </c>
      <c r="H1844" s="836" t="s">
        <v>251</v>
      </c>
      <c r="I1844" s="836" t="s">
        <v>251</v>
      </c>
      <c r="J1844" s="836" t="s">
        <v>251</v>
      </c>
      <c r="K1844" s="836"/>
      <c r="L1844" s="836" t="s">
        <v>251</v>
      </c>
      <c r="M1844" s="836" t="s">
        <v>251</v>
      </c>
      <c r="N1844" s="836" t="s">
        <v>251</v>
      </c>
      <c r="O1844" s="836" t="s">
        <v>251</v>
      </c>
      <c r="P1844" s="1497">
        <f t="shared" si="148"/>
        <v>0</v>
      </c>
      <c r="Q1844" s="1186">
        <f t="shared" si="149"/>
        <v>0</v>
      </c>
      <c r="R1844" s="835"/>
      <c r="S1844" s="836"/>
      <c r="T1844" s="836"/>
      <c r="U1844" s="836"/>
      <c r="V1844" s="836"/>
      <c r="W1844" s="836"/>
      <c r="X1844" s="836"/>
      <c r="Y1844" s="836"/>
      <c r="Z1844" s="836"/>
      <c r="AA1844" s="836"/>
      <c r="AB1844" s="836"/>
      <c r="AC1844" s="836"/>
      <c r="AD1844" s="1186">
        <f t="shared" si="146"/>
        <v>0</v>
      </c>
      <c r="AE1844" s="637">
        <f t="shared" si="147"/>
        <v>0</v>
      </c>
      <c r="AF1844" s="638">
        <f t="shared" si="145"/>
        <v>983</v>
      </c>
    </row>
    <row r="1845" spans="1:32" x14ac:dyDescent="0.3">
      <c r="A1845" s="381" t="s">
        <v>759</v>
      </c>
      <c r="B1845" s="1021" t="s">
        <v>2318</v>
      </c>
      <c r="C1845" s="530"/>
      <c r="D1845" s="836" t="s">
        <v>251</v>
      </c>
      <c r="E1845" s="836"/>
      <c r="F1845" s="836" t="s">
        <v>251</v>
      </c>
      <c r="G1845" s="836" t="s">
        <v>251</v>
      </c>
      <c r="H1845" s="836" t="s">
        <v>251</v>
      </c>
      <c r="I1845" s="836" t="s">
        <v>251</v>
      </c>
      <c r="J1845" s="836" t="s">
        <v>251</v>
      </c>
      <c r="K1845" s="836"/>
      <c r="L1845" s="836" t="s">
        <v>251</v>
      </c>
      <c r="M1845" s="836" t="s">
        <v>251</v>
      </c>
      <c r="N1845" s="836" t="s">
        <v>251</v>
      </c>
      <c r="O1845" s="836">
        <v>57500</v>
      </c>
      <c r="P1845" s="1497">
        <f t="shared" si="148"/>
        <v>0</v>
      </c>
      <c r="Q1845" s="1186">
        <f t="shared" si="149"/>
        <v>57500</v>
      </c>
      <c r="R1845" s="835">
        <v>42800</v>
      </c>
      <c r="S1845" s="836"/>
      <c r="T1845" s="836">
        <v>0</v>
      </c>
      <c r="U1845" s="836">
        <v>0</v>
      </c>
      <c r="V1845" s="836">
        <v>0</v>
      </c>
      <c r="W1845" s="836">
        <v>0</v>
      </c>
      <c r="X1845" s="836">
        <v>0</v>
      </c>
      <c r="Y1845" s="836">
        <v>0</v>
      </c>
      <c r="Z1845" s="836"/>
      <c r="AA1845" s="836"/>
      <c r="AB1845" s="836"/>
      <c r="AC1845" s="836"/>
      <c r="AD1845" s="1186">
        <f t="shared" si="146"/>
        <v>42800</v>
      </c>
      <c r="AE1845" s="637">
        <f t="shared" si="147"/>
        <v>1</v>
      </c>
      <c r="AF1845" s="638">
        <f t="shared" si="145"/>
        <v>862</v>
      </c>
    </row>
    <row r="1846" spans="1:32" x14ac:dyDescent="0.3">
      <c r="A1846" s="381" t="s">
        <v>759</v>
      </c>
      <c r="B1846" s="1021" t="s">
        <v>2319</v>
      </c>
      <c r="C1846" s="530"/>
      <c r="D1846" s="836" t="s">
        <v>251</v>
      </c>
      <c r="E1846" s="836"/>
      <c r="F1846" s="836" t="s">
        <v>251</v>
      </c>
      <c r="G1846" s="836" t="s">
        <v>251</v>
      </c>
      <c r="H1846" s="836" t="s">
        <v>251</v>
      </c>
      <c r="I1846" s="836" t="s">
        <v>251</v>
      </c>
      <c r="J1846" s="836" t="s">
        <v>251</v>
      </c>
      <c r="K1846" s="836"/>
      <c r="L1846" s="836" t="s">
        <v>251</v>
      </c>
      <c r="M1846" s="836" t="s">
        <v>251</v>
      </c>
      <c r="N1846" s="836" t="s">
        <v>251</v>
      </c>
      <c r="O1846" s="836" t="s">
        <v>251</v>
      </c>
      <c r="P1846" s="1497">
        <f t="shared" si="148"/>
        <v>0</v>
      </c>
      <c r="Q1846" s="1186">
        <f t="shared" si="149"/>
        <v>0</v>
      </c>
      <c r="R1846" s="835"/>
      <c r="S1846" s="836"/>
      <c r="T1846" s="836"/>
      <c r="U1846" s="836"/>
      <c r="V1846" s="836"/>
      <c r="W1846" s="836"/>
      <c r="X1846" s="836"/>
      <c r="Y1846" s="836"/>
      <c r="Z1846" s="836"/>
      <c r="AA1846" s="836"/>
      <c r="AB1846" s="836"/>
      <c r="AC1846" s="836"/>
      <c r="AD1846" s="1186">
        <f t="shared" si="146"/>
        <v>0</v>
      </c>
      <c r="AE1846" s="637">
        <f t="shared" si="147"/>
        <v>0</v>
      </c>
      <c r="AF1846" s="638">
        <f t="shared" si="145"/>
        <v>983</v>
      </c>
    </row>
    <row r="1847" spans="1:32" x14ac:dyDescent="0.3">
      <c r="A1847" s="381" t="s">
        <v>759</v>
      </c>
      <c r="B1847" s="1021" t="s">
        <v>2320</v>
      </c>
      <c r="C1847" s="530"/>
      <c r="D1847" s="836" t="s">
        <v>251</v>
      </c>
      <c r="E1847" s="836"/>
      <c r="F1847" s="836" t="s">
        <v>251</v>
      </c>
      <c r="G1847" s="836" t="s">
        <v>251</v>
      </c>
      <c r="H1847" s="836" t="s">
        <v>251</v>
      </c>
      <c r="I1847" s="836" t="s">
        <v>251</v>
      </c>
      <c r="J1847" s="836" t="s">
        <v>251</v>
      </c>
      <c r="K1847" s="836"/>
      <c r="L1847" s="836" t="s">
        <v>251</v>
      </c>
      <c r="M1847" s="836" t="s">
        <v>251</v>
      </c>
      <c r="N1847" s="836" t="s">
        <v>251</v>
      </c>
      <c r="O1847" s="836" t="s">
        <v>251</v>
      </c>
      <c r="P1847" s="1497">
        <f t="shared" si="148"/>
        <v>0</v>
      </c>
      <c r="Q1847" s="1186">
        <f t="shared" si="149"/>
        <v>0</v>
      </c>
      <c r="R1847" s="835"/>
      <c r="S1847" s="836"/>
      <c r="T1847" s="836"/>
      <c r="U1847" s="836"/>
      <c r="V1847" s="836"/>
      <c r="W1847" s="836"/>
      <c r="X1847" s="836"/>
      <c r="Y1847" s="836"/>
      <c r="Z1847" s="836"/>
      <c r="AA1847" s="836"/>
      <c r="AB1847" s="836"/>
      <c r="AC1847" s="836"/>
      <c r="AD1847" s="1186">
        <f t="shared" si="146"/>
        <v>0</v>
      </c>
      <c r="AE1847" s="637">
        <f t="shared" si="147"/>
        <v>0</v>
      </c>
      <c r="AF1847" s="638">
        <f t="shared" si="145"/>
        <v>983</v>
      </c>
    </row>
    <row r="1848" spans="1:32" x14ac:dyDescent="0.3">
      <c r="A1848" s="381" t="s">
        <v>759</v>
      </c>
      <c r="B1848" s="1021" t="s">
        <v>1811</v>
      </c>
      <c r="C1848" s="530"/>
      <c r="D1848" s="836" t="s">
        <v>251</v>
      </c>
      <c r="E1848" s="836"/>
      <c r="F1848" s="836" t="s">
        <v>251</v>
      </c>
      <c r="G1848" s="836" t="s">
        <v>251</v>
      </c>
      <c r="H1848" s="836" t="s">
        <v>251</v>
      </c>
      <c r="I1848" s="836" t="s">
        <v>251</v>
      </c>
      <c r="J1848" s="836" t="s">
        <v>251</v>
      </c>
      <c r="K1848" s="836"/>
      <c r="L1848" s="836" t="s">
        <v>251</v>
      </c>
      <c r="M1848" s="836" t="s">
        <v>251</v>
      </c>
      <c r="N1848" s="836" t="s">
        <v>251</v>
      </c>
      <c r="O1848" s="836" t="s">
        <v>251</v>
      </c>
      <c r="P1848" s="1497">
        <f t="shared" si="148"/>
        <v>0</v>
      </c>
      <c r="Q1848" s="1186">
        <f t="shared" si="149"/>
        <v>0</v>
      </c>
      <c r="R1848" s="835"/>
      <c r="S1848" s="836"/>
      <c r="T1848" s="836"/>
      <c r="U1848" s="836"/>
      <c r="V1848" s="836"/>
      <c r="W1848" s="836"/>
      <c r="X1848" s="836"/>
      <c r="Y1848" s="836"/>
      <c r="Z1848" s="836"/>
      <c r="AA1848" s="836"/>
      <c r="AB1848" s="836"/>
      <c r="AC1848" s="836"/>
      <c r="AD1848" s="1186">
        <f t="shared" si="146"/>
        <v>0</v>
      </c>
      <c r="AE1848" s="637">
        <f t="shared" si="147"/>
        <v>0</v>
      </c>
      <c r="AF1848" s="638">
        <f t="shared" si="145"/>
        <v>983</v>
      </c>
    </row>
    <row r="1849" spans="1:32" x14ac:dyDescent="0.3">
      <c r="A1849" s="381" t="s">
        <v>759</v>
      </c>
      <c r="B1849" s="1021" t="s">
        <v>1062</v>
      </c>
      <c r="C1849" s="530"/>
      <c r="D1849" s="836" t="s">
        <v>251</v>
      </c>
      <c r="E1849" s="836"/>
      <c r="F1849" s="836" t="s">
        <v>251</v>
      </c>
      <c r="G1849" s="836" t="s">
        <v>251</v>
      </c>
      <c r="H1849" s="836" t="s">
        <v>251</v>
      </c>
      <c r="I1849" s="836" t="s">
        <v>251</v>
      </c>
      <c r="J1849" s="836" t="s">
        <v>251</v>
      </c>
      <c r="K1849" s="836"/>
      <c r="L1849" s="836" t="s">
        <v>251</v>
      </c>
      <c r="M1849" s="836" t="s">
        <v>251</v>
      </c>
      <c r="N1849" s="836" t="s">
        <v>251</v>
      </c>
      <c r="O1849" s="836" t="s">
        <v>251</v>
      </c>
      <c r="P1849" s="1497">
        <f t="shared" si="148"/>
        <v>0</v>
      </c>
      <c r="Q1849" s="1186">
        <f t="shared" si="149"/>
        <v>0</v>
      </c>
      <c r="R1849" s="835"/>
      <c r="S1849" s="836"/>
      <c r="T1849" s="836"/>
      <c r="U1849" s="836"/>
      <c r="V1849" s="836"/>
      <c r="W1849" s="836"/>
      <c r="X1849" s="836"/>
      <c r="Y1849" s="836"/>
      <c r="Z1849" s="836"/>
      <c r="AA1849" s="836"/>
      <c r="AB1849" s="836"/>
      <c r="AC1849" s="836"/>
      <c r="AD1849" s="1186">
        <f t="shared" si="146"/>
        <v>0</v>
      </c>
      <c r="AE1849" s="637">
        <f t="shared" si="147"/>
        <v>0</v>
      </c>
      <c r="AF1849" s="638">
        <f t="shared" si="145"/>
        <v>983</v>
      </c>
    </row>
    <row r="1850" spans="1:32" x14ac:dyDescent="0.3">
      <c r="A1850" s="381" t="s">
        <v>759</v>
      </c>
      <c r="B1850" s="1021" t="s">
        <v>2321</v>
      </c>
      <c r="C1850" s="530"/>
      <c r="D1850" s="836" t="s">
        <v>251</v>
      </c>
      <c r="E1850" s="836"/>
      <c r="F1850" s="836" t="s">
        <v>251</v>
      </c>
      <c r="G1850" s="836" t="s">
        <v>251</v>
      </c>
      <c r="H1850" s="836" t="s">
        <v>251</v>
      </c>
      <c r="I1850" s="836" t="s">
        <v>251</v>
      </c>
      <c r="J1850" s="836" t="s">
        <v>251</v>
      </c>
      <c r="K1850" s="836"/>
      <c r="L1850" s="836" t="s">
        <v>251</v>
      </c>
      <c r="M1850" s="836" t="s">
        <v>251</v>
      </c>
      <c r="N1850" s="836" t="s">
        <v>251</v>
      </c>
      <c r="O1850" s="836" t="s">
        <v>251</v>
      </c>
      <c r="P1850" s="1497">
        <f t="shared" si="148"/>
        <v>0</v>
      </c>
      <c r="Q1850" s="1186">
        <f t="shared" si="149"/>
        <v>0</v>
      </c>
      <c r="R1850" s="835"/>
      <c r="S1850" s="836"/>
      <c r="T1850" s="836"/>
      <c r="U1850" s="836"/>
      <c r="V1850" s="836"/>
      <c r="W1850" s="836"/>
      <c r="X1850" s="836"/>
      <c r="Y1850" s="836"/>
      <c r="Z1850" s="836"/>
      <c r="AA1850" s="836"/>
      <c r="AB1850" s="836"/>
      <c r="AC1850" s="836"/>
      <c r="AD1850" s="1186">
        <f t="shared" si="146"/>
        <v>0</v>
      </c>
      <c r="AE1850" s="637">
        <f t="shared" si="147"/>
        <v>0</v>
      </c>
      <c r="AF1850" s="638">
        <f t="shared" si="145"/>
        <v>983</v>
      </c>
    </row>
    <row r="1851" spans="1:32" x14ac:dyDescent="0.3">
      <c r="A1851" s="381" t="s">
        <v>759</v>
      </c>
      <c r="B1851" s="1021" t="s">
        <v>2322</v>
      </c>
      <c r="C1851" s="530"/>
      <c r="D1851" s="836" t="s">
        <v>251</v>
      </c>
      <c r="E1851" s="836"/>
      <c r="F1851" s="836" t="s">
        <v>251</v>
      </c>
      <c r="G1851" s="836" t="s">
        <v>251</v>
      </c>
      <c r="H1851" s="836" t="s">
        <v>251</v>
      </c>
      <c r="I1851" s="836" t="s">
        <v>251</v>
      </c>
      <c r="J1851" s="836" t="s">
        <v>251</v>
      </c>
      <c r="K1851" s="836"/>
      <c r="L1851" s="836" t="s">
        <v>251</v>
      </c>
      <c r="M1851" s="836" t="s">
        <v>251</v>
      </c>
      <c r="N1851" s="836" t="s">
        <v>251</v>
      </c>
      <c r="O1851" s="836" t="s">
        <v>251</v>
      </c>
      <c r="P1851" s="1497">
        <f t="shared" si="148"/>
        <v>0</v>
      </c>
      <c r="Q1851" s="1186">
        <f t="shared" si="149"/>
        <v>0</v>
      </c>
      <c r="R1851" s="835"/>
      <c r="S1851" s="836"/>
      <c r="T1851" s="836"/>
      <c r="U1851" s="836"/>
      <c r="V1851" s="836"/>
      <c r="W1851" s="836"/>
      <c r="X1851" s="836"/>
      <c r="Y1851" s="836"/>
      <c r="Z1851" s="836"/>
      <c r="AA1851" s="836"/>
      <c r="AB1851" s="836"/>
      <c r="AC1851" s="836"/>
      <c r="AD1851" s="1186">
        <f t="shared" si="146"/>
        <v>0</v>
      </c>
      <c r="AE1851" s="637">
        <f t="shared" si="147"/>
        <v>0</v>
      </c>
      <c r="AF1851" s="638">
        <f t="shared" si="145"/>
        <v>983</v>
      </c>
    </row>
    <row r="1852" spans="1:32" x14ac:dyDescent="0.3">
      <c r="A1852" s="381" t="s">
        <v>759</v>
      </c>
      <c r="B1852" s="1021" t="s">
        <v>2323</v>
      </c>
      <c r="C1852" s="530"/>
      <c r="D1852" s="836" t="s">
        <v>251</v>
      </c>
      <c r="E1852" s="836"/>
      <c r="F1852" s="836" t="s">
        <v>251</v>
      </c>
      <c r="G1852" s="836" t="s">
        <v>251</v>
      </c>
      <c r="H1852" s="836" t="s">
        <v>251</v>
      </c>
      <c r="I1852" s="836" t="s">
        <v>251</v>
      </c>
      <c r="J1852" s="836" t="s">
        <v>251</v>
      </c>
      <c r="K1852" s="836"/>
      <c r="L1852" s="836" t="s">
        <v>251</v>
      </c>
      <c r="M1852" s="836" t="s">
        <v>251</v>
      </c>
      <c r="N1852" s="836" t="s">
        <v>251</v>
      </c>
      <c r="O1852" s="836" t="s">
        <v>251</v>
      </c>
      <c r="P1852" s="1497">
        <f t="shared" si="148"/>
        <v>0</v>
      </c>
      <c r="Q1852" s="1186">
        <f t="shared" si="149"/>
        <v>0</v>
      </c>
      <c r="R1852" s="835"/>
      <c r="S1852" s="836"/>
      <c r="T1852" s="836"/>
      <c r="U1852" s="836"/>
      <c r="V1852" s="836"/>
      <c r="W1852" s="836"/>
      <c r="X1852" s="836"/>
      <c r="Y1852" s="836"/>
      <c r="Z1852" s="836"/>
      <c r="AA1852" s="836"/>
      <c r="AB1852" s="836"/>
      <c r="AC1852" s="836"/>
      <c r="AD1852" s="1186">
        <f t="shared" si="146"/>
        <v>0</v>
      </c>
      <c r="AE1852" s="637">
        <f t="shared" si="147"/>
        <v>0</v>
      </c>
      <c r="AF1852" s="638">
        <f t="shared" si="145"/>
        <v>983</v>
      </c>
    </row>
    <row r="1853" spans="1:32" x14ac:dyDescent="0.3">
      <c r="A1853" s="381" t="s">
        <v>759</v>
      </c>
      <c r="B1853" s="1021" t="s">
        <v>2125</v>
      </c>
      <c r="C1853" s="530"/>
      <c r="D1853" s="836" t="s">
        <v>251</v>
      </c>
      <c r="E1853" s="836"/>
      <c r="F1853" s="836" t="s">
        <v>251</v>
      </c>
      <c r="G1853" s="836" t="s">
        <v>251</v>
      </c>
      <c r="H1853" s="836" t="s">
        <v>251</v>
      </c>
      <c r="I1853" s="836" t="s">
        <v>251</v>
      </c>
      <c r="J1853" s="836" t="s">
        <v>251</v>
      </c>
      <c r="K1853" s="836"/>
      <c r="L1853" s="836" t="s">
        <v>251</v>
      </c>
      <c r="M1853" s="836" t="s">
        <v>251</v>
      </c>
      <c r="N1853" s="836" t="s">
        <v>251</v>
      </c>
      <c r="O1853" s="836" t="s">
        <v>251</v>
      </c>
      <c r="P1853" s="1497">
        <f t="shared" si="148"/>
        <v>0</v>
      </c>
      <c r="Q1853" s="1186">
        <f t="shared" si="149"/>
        <v>0</v>
      </c>
      <c r="R1853" s="835"/>
      <c r="S1853" s="836"/>
      <c r="T1853" s="836"/>
      <c r="U1853" s="836"/>
      <c r="V1853" s="836"/>
      <c r="W1853" s="836"/>
      <c r="X1853" s="836"/>
      <c r="Y1853" s="836"/>
      <c r="Z1853" s="836"/>
      <c r="AA1853" s="836"/>
      <c r="AB1853" s="836"/>
      <c r="AC1853" s="836"/>
      <c r="AD1853" s="1186">
        <f t="shared" si="146"/>
        <v>0</v>
      </c>
      <c r="AE1853" s="637">
        <f t="shared" si="147"/>
        <v>0</v>
      </c>
      <c r="AF1853" s="638">
        <f t="shared" si="145"/>
        <v>983</v>
      </c>
    </row>
    <row r="1854" spans="1:32" x14ac:dyDescent="0.3">
      <c r="A1854" s="381" t="s">
        <v>759</v>
      </c>
      <c r="B1854" s="1021" t="s">
        <v>2324</v>
      </c>
      <c r="C1854" s="530"/>
      <c r="D1854" s="836" t="s">
        <v>251</v>
      </c>
      <c r="E1854" s="836"/>
      <c r="F1854" s="836" t="s">
        <v>251</v>
      </c>
      <c r="G1854" s="836" t="s">
        <v>251</v>
      </c>
      <c r="H1854" s="836" t="s">
        <v>251</v>
      </c>
      <c r="I1854" s="836" t="s">
        <v>251</v>
      </c>
      <c r="J1854" s="836" t="s">
        <v>251</v>
      </c>
      <c r="K1854" s="836"/>
      <c r="L1854" s="836" t="s">
        <v>251</v>
      </c>
      <c r="M1854" s="836" t="s">
        <v>251</v>
      </c>
      <c r="N1854" s="836" t="s">
        <v>251</v>
      </c>
      <c r="O1854" s="836" t="s">
        <v>251</v>
      </c>
      <c r="P1854" s="1497">
        <f t="shared" si="148"/>
        <v>0</v>
      </c>
      <c r="Q1854" s="1186">
        <f t="shared" si="149"/>
        <v>0</v>
      </c>
      <c r="R1854" s="835"/>
      <c r="S1854" s="836"/>
      <c r="T1854" s="836"/>
      <c r="U1854" s="836"/>
      <c r="V1854" s="836"/>
      <c r="W1854" s="836"/>
      <c r="X1854" s="836"/>
      <c r="Y1854" s="836"/>
      <c r="Z1854" s="836"/>
      <c r="AA1854" s="836"/>
      <c r="AB1854" s="836"/>
      <c r="AC1854" s="836"/>
      <c r="AD1854" s="1186">
        <f t="shared" si="146"/>
        <v>0</v>
      </c>
      <c r="AE1854" s="637">
        <f t="shared" si="147"/>
        <v>0</v>
      </c>
      <c r="AF1854" s="638">
        <f t="shared" si="145"/>
        <v>983</v>
      </c>
    </row>
    <row r="1855" spans="1:32" x14ac:dyDescent="0.3">
      <c r="A1855" s="381" t="s">
        <v>759</v>
      </c>
      <c r="B1855" s="1021" t="s">
        <v>2081</v>
      </c>
      <c r="C1855" s="530"/>
      <c r="D1855" s="836" t="s">
        <v>251</v>
      </c>
      <c r="E1855" s="836"/>
      <c r="F1855" s="836" t="s">
        <v>251</v>
      </c>
      <c r="G1855" s="836" t="s">
        <v>251</v>
      </c>
      <c r="H1855" s="836" t="s">
        <v>251</v>
      </c>
      <c r="I1855" s="836" t="s">
        <v>251</v>
      </c>
      <c r="J1855" s="836" t="s">
        <v>251</v>
      </c>
      <c r="K1855" s="836"/>
      <c r="L1855" s="836" t="s">
        <v>251</v>
      </c>
      <c r="M1855" s="836" t="s">
        <v>251</v>
      </c>
      <c r="N1855" s="836" t="s">
        <v>251</v>
      </c>
      <c r="O1855" s="836" t="s">
        <v>251</v>
      </c>
      <c r="P1855" s="1497">
        <f t="shared" si="148"/>
        <v>0</v>
      </c>
      <c r="Q1855" s="1186">
        <f t="shared" si="149"/>
        <v>0</v>
      </c>
      <c r="R1855" s="835"/>
      <c r="S1855" s="836"/>
      <c r="T1855" s="836"/>
      <c r="U1855" s="836"/>
      <c r="V1855" s="836"/>
      <c r="W1855" s="836"/>
      <c r="X1855" s="836"/>
      <c r="Y1855" s="836"/>
      <c r="Z1855" s="836"/>
      <c r="AA1855" s="836"/>
      <c r="AB1855" s="836"/>
      <c r="AC1855" s="836"/>
      <c r="AD1855" s="1186">
        <f t="shared" si="146"/>
        <v>0</v>
      </c>
      <c r="AE1855" s="637">
        <f t="shared" si="147"/>
        <v>0</v>
      </c>
      <c r="AF1855" s="638">
        <f t="shared" si="145"/>
        <v>983</v>
      </c>
    </row>
    <row r="1856" spans="1:32" x14ac:dyDescent="0.3">
      <c r="A1856" s="381" t="s">
        <v>759</v>
      </c>
      <c r="B1856" s="1021" t="s">
        <v>2325</v>
      </c>
      <c r="C1856" s="530"/>
      <c r="D1856" s="836" t="s">
        <v>251</v>
      </c>
      <c r="E1856" s="836"/>
      <c r="F1856" s="836" t="s">
        <v>251</v>
      </c>
      <c r="G1856" s="836" t="s">
        <v>251</v>
      </c>
      <c r="H1856" s="836" t="s">
        <v>251</v>
      </c>
      <c r="I1856" s="836" t="s">
        <v>251</v>
      </c>
      <c r="J1856" s="836" t="s">
        <v>251</v>
      </c>
      <c r="K1856" s="836"/>
      <c r="L1856" s="836" t="s">
        <v>251</v>
      </c>
      <c r="M1856" s="836" t="s">
        <v>251</v>
      </c>
      <c r="N1856" s="836" t="s">
        <v>251</v>
      </c>
      <c r="O1856" s="836" t="s">
        <v>251</v>
      </c>
      <c r="P1856" s="1497">
        <f t="shared" si="148"/>
        <v>0</v>
      </c>
      <c r="Q1856" s="1186">
        <f t="shared" si="149"/>
        <v>0</v>
      </c>
      <c r="R1856" s="835"/>
      <c r="S1856" s="836"/>
      <c r="T1856" s="836"/>
      <c r="U1856" s="836"/>
      <c r="V1856" s="836"/>
      <c r="W1856" s="836"/>
      <c r="X1856" s="836"/>
      <c r="Y1856" s="836"/>
      <c r="Z1856" s="836"/>
      <c r="AA1856" s="836"/>
      <c r="AB1856" s="836"/>
      <c r="AC1856" s="836"/>
      <c r="AD1856" s="1186">
        <f t="shared" si="146"/>
        <v>0</v>
      </c>
      <c r="AE1856" s="637">
        <f t="shared" si="147"/>
        <v>0</v>
      </c>
      <c r="AF1856" s="638">
        <f t="shared" si="145"/>
        <v>983</v>
      </c>
    </row>
    <row r="1857" spans="1:32" x14ac:dyDescent="0.3">
      <c r="A1857" s="381" t="s">
        <v>759</v>
      </c>
      <c r="B1857" s="1021" t="s">
        <v>2326</v>
      </c>
      <c r="C1857" s="530"/>
      <c r="D1857" s="836" t="s">
        <v>251</v>
      </c>
      <c r="E1857" s="836"/>
      <c r="F1857" s="836" t="s">
        <v>251</v>
      </c>
      <c r="G1857" s="836" t="s">
        <v>251</v>
      </c>
      <c r="H1857" s="836" t="s">
        <v>251</v>
      </c>
      <c r="I1857" s="836" t="s">
        <v>251</v>
      </c>
      <c r="J1857" s="836" t="s">
        <v>251</v>
      </c>
      <c r="K1857" s="836"/>
      <c r="L1857" s="836" t="s">
        <v>251</v>
      </c>
      <c r="M1857" s="836" t="s">
        <v>251</v>
      </c>
      <c r="N1857" s="836" t="s">
        <v>251</v>
      </c>
      <c r="O1857" s="836" t="s">
        <v>251</v>
      </c>
      <c r="P1857" s="1497">
        <f t="shared" si="148"/>
        <v>0</v>
      </c>
      <c r="Q1857" s="1186">
        <f t="shared" si="149"/>
        <v>0</v>
      </c>
      <c r="R1857" s="835"/>
      <c r="S1857" s="836"/>
      <c r="T1857" s="836"/>
      <c r="U1857" s="836"/>
      <c r="V1857" s="836"/>
      <c r="W1857" s="836">
        <v>22000</v>
      </c>
      <c r="X1857" s="836">
        <v>0</v>
      </c>
      <c r="Y1857" s="836">
        <v>0</v>
      </c>
      <c r="Z1857" s="836"/>
      <c r="AA1857" s="836"/>
      <c r="AB1857" s="836"/>
      <c r="AC1857" s="836"/>
      <c r="AD1857" s="1186">
        <f t="shared" si="146"/>
        <v>22000</v>
      </c>
      <c r="AE1857" s="637">
        <f t="shared" si="147"/>
        <v>1</v>
      </c>
      <c r="AF1857" s="638">
        <f t="shared" si="145"/>
        <v>916</v>
      </c>
    </row>
    <row r="1858" spans="1:32" x14ac:dyDescent="0.3">
      <c r="A1858" s="381" t="s">
        <v>759</v>
      </c>
      <c r="B1858" s="1021" t="s">
        <v>2327</v>
      </c>
      <c r="C1858" s="530"/>
      <c r="D1858" s="836">
        <v>0</v>
      </c>
      <c r="E1858" s="836"/>
      <c r="F1858" s="836">
        <v>0</v>
      </c>
      <c r="G1858" s="836">
        <v>0</v>
      </c>
      <c r="H1858" s="836">
        <v>0</v>
      </c>
      <c r="I1858" s="836">
        <v>0</v>
      </c>
      <c r="J1858" s="836">
        <v>0</v>
      </c>
      <c r="K1858" s="836"/>
      <c r="L1858" s="836">
        <v>0</v>
      </c>
      <c r="M1858" s="836">
        <v>0</v>
      </c>
      <c r="N1858" s="836">
        <v>2335000</v>
      </c>
      <c r="O1858" s="836" t="s">
        <v>251</v>
      </c>
      <c r="P1858" s="1497">
        <f t="shared" si="148"/>
        <v>0</v>
      </c>
      <c r="Q1858" s="1186">
        <f t="shared" si="149"/>
        <v>2335000</v>
      </c>
      <c r="R1858" s="835"/>
      <c r="S1858" s="836"/>
      <c r="T1858" s="836"/>
      <c r="U1858" s="836"/>
      <c r="V1858" s="836"/>
      <c r="W1858" s="836"/>
      <c r="X1858" s="836"/>
      <c r="Y1858" s="836"/>
      <c r="Z1858" s="836"/>
      <c r="AA1858" s="836"/>
      <c r="AB1858" s="836"/>
      <c r="AC1858" s="836"/>
      <c r="AD1858" s="1186">
        <f t="shared" si="146"/>
        <v>0</v>
      </c>
      <c r="AE1858" s="637">
        <f t="shared" si="147"/>
        <v>0</v>
      </c>
      <c r="AF1858" s="638">
        <f t="shared" si="145"/>
        <v>983</v>
      </c>
    </row>
    <row r="1859" spans="1:32" x14ac:dyDescent="0.3">
      <c r="A1859" s="381" t="s">
        <v>759</v>
      </c>
      <c r="B1859" s="1021" t="s">
        <v>2328</v>
      </c>
      <c r="C1859" s="530"/>
      <c r="D1859" s="836">
        <v>0</v>
      </c>
      <c r="E1859" s="836"/>
      <c r="F1859" s="836">
        <v>0</v>
      </c>
      <c r="G1859" s="836">
        <v>0</v>
      </c>
      <c r="H1859" s="836">
        <v>0</v>
      </c>
      <c r="I1859" s="836">
        <v>0</v>
      </c>
      <c r="J1859" s="836">
        <v>0</v>
      </c>
      <c r="K1859" s="836"/>
      <c r="L1859" s="836">
        <v>0</v>
      </c>
      <c r="M1859" s="836">
        <v>0</v>
      </c>
      <c r="N1859" s="836">
        <v>1375500</v>
      </c>
      <c r="O1859" s="836" t="s">
        <v>251</v>
      </c>
      <c r="P1859" s="1497">
        <f t="shared" si="148"/>
        <v>0</v>
      </c>
      <c r="Q1859" s="1186">
        <f t="shared" si="149"/>
        <v>1375500</v>
      </c>
      <c r="R1859" s="835"/>
      <c r="S1859" s="836"/>
      <c r="T1859" s="836"/>
      <c r="U1859" s="836"/>
      <c r="V1859" s="836"/>
      <c r="W1859" s="836"/>
      <c r="X1859" s="836"/>
      <c r="Y1859" s="836"/>
      <c r="Z1859" s="836"/>
      <c r="AA1859" s="836"/>
      <c r="AB1859" s="836"/>
      <c r="AC1859" s="836"/>
      <c r="AD1859" s="1186">
        <f t="shared" si="146"/>
        <v>0</v>
      </c>
      <c r="AE1859" s="637">
        <f t="shared" si="147"/>
        <v>0</v>
      </c>
      <c r="AF1859" s="638">
        <f t="shared" si="145"/>
        <v>983</v>
      </c>
    </row>
    <row r="1860" spans="1:32" x14ac:dyDescent="0.3">
      <c r="A1860" s="381" t="s">
        <v>759</v>
      </c>
      <c r="B1860" s="1021" t="s">
        <v>2329</v>
      </c>
      <c r="C1860" s="530"/>
      <c r="D1860" s="836">
        <v>0</v>
      </c>
      <c r="E1860" s="836"/>
      <c r="F1860" s="836">
        <v>0</v>
      </c>
      <c r="G1860" s="836">
        <v>0</v>
      </c>
      <c r="H1860" s="836">
        <v>0</v>
      </c>
      <c r="I1860" s="836">
        <v>0</v>
      </c>
      <c r="J1860" s="836">
        <v>0</v>
      </c>
      <c r="K1860" s="836"/>
      <c r="L1860" s="836">
        <v>0</v>
      </c>
      <c r="M1860" s="836">
        <v>0</v>
      </c>
      <c r="N1860" s="836">
        <v>620000</v>
      </c>
      <c r="O1860" s="836" t="s">
        <v>251</v>
      </c>
      <c r="P1860" s="1497">
        <f t="shared" si="148"/>
        <v>0</v>
      </c>
      <c r="Q1860" s="1186">
        <f t="shared" si="149"/>
        <v>620000</v>
      </c>
      <c r="R1860" s="835"/>
      <c r="S1860" s="836"/>
      <c r="T1860" s="836"/>
      <c r="U1860" s="836"/>
      <c r="V1860" s="836"/>
      <c r="W1860" s="836"/>
      <c r="X1860" s="836"/>
      <c r="Y1860" s="836"/>
      <c r="Z1860" s="836"/>
      <c r="AA1860" s="836"/>
      <c r="AB1860" s="836"/>
      <c r="AC1860" s="836"/>
      <c r="AD1860" s="1186">
        <f t="shared" si="146"/>
        <v>0</v>
      </c>
      <c r="AE1860" s="637">
        <f t="shared" si="147"/>
        <v>0</v>
      </c>
      <c r="AF1860" s="638">
        <f t="shared" si="145"/>
        <v>983</v>
      </c>
    </row>
    <row r="1861" spans="1:32" x14ac:dyDescent="0.3">
      <c r="A1861" s="381" t="s">
        <v>759</v>
      </c>
      <c r="B1861" s="1021" t="s">
        <v>2330</v>
      </c>
      <c r="C1861" s="530"/>
      <c r="D1861" s="836">
        <v>0</v>
      </c>
      <c r="E1861" s="836"/>
      <c r="F1861" s="836">
        <v>0</v>
      </c>
      <c r="G1861" s="836">
        <v>0</v>
      </c>
      <c r="H1861" s="836">
        <v>0</v>
      </c>
      <c r="I1861" s="836">
        <v>0</v>
      </c>
      <c r="J1861" s="836">
        <v>0</v>
      </c>
      <c r="K1861" s="836"/>
      <c r="L1861" s="836">
        <v>0</v>
      </c>
      <c r="M1861" s="836">
        <v>0</v>
      </c>
      <c r="N1861" s="836">
        <v>345000</v>
      </c>
      <c r="O1861" s="836" t="s">
        <v>251</v>
      </c>
      <c r="P1861" s="1497">
        <f t="shared" si="148"/>
        <v>0</v>
      </c>
      <c r="Q1861" s="1186">
        <f t="shared" si="149"/>
        <v>345000</v>
      </c>
      <c r="R1861" s="835"/>
      <c r="S1861" s="836"/>
      <c r="T1861" s="836"/>
      <c r="U1861" s="836"/>
      <c r="V1861" s="836"/>
      <c r="W1861" s="836"/>
      <c r="X1861" s="836"/>
      <c r="Y1861" s="836"/>
      <c r="Z1861" s="836"/>
      <c r="AA1861" s="836"/>
      <c r="AB1861" s="836"/>
      <c r="AC1861" s="836"/>
      <c r="AD1861" s="1186">
        <f t="shared" si="146"/>
        <v>0</v>
      </c>
      <c r="AE1861" s="637">
        <f t="shared" si="147"/>
        <v>0</v>
      </c>
      <c r="AF1861" s="638">
        <f t="shared" si="145"/>
        <v>983</v>
      </c>
    </row>
    <row r="1862" spans="1:32" x14ac:dyDescent="0.3">
      <c r="A1862" s="381" t="s">
        <v>759</v>
      </c>
      <c r="B1862" s="1021" t="s">
        <v>2331</v>
      </c>
      <c r="C1862" s="530"/>
      <c r="D1862" s="836">
        <v>0</v>
      </c>
      <c r="E1862" s="836"/>
      <c r="F1862" s="836">
        <v>0</v>
      </c>
      <c r="G1862" s="836">
        <v>0</v>
      </c>
      <c r="H1862" s="836">
        <v>0</v>
      </c>
      <c r="I1862" s="836">
        <v>0</v>
      </c>
      <c r="J1862" s="836">
        <v>0</v>
      </c>
      <c r="K1862" s="836"/>
      <c r="L1862" s="836">
        <v>0</v>
      </c>
      <c r="M1862" s="836">
        <v>0</v>
      </c>
      <c r="N1862" s="836">
        <v>305000</v>
      </c>
      <c r="O1862" s="836" t="s">
        <v>251</v>
      </c>
      <c r="P1862" s="1497">
        <f t="shared" si="148"/>
        <v>0</v>
      </c>
      <c r="Q1862" s="1186">
        <f t="shared" si="149"/>
        <v>305000</v>
      </c>
      <c r="R1862" s="835">
        <v>47500</v>
      </c>
      <c r="S1862" s="836"/>
      <c r="T1862" s="836">
        <v>0</v>
      </c>
      <c r="U1862" s="836">
        <v>0</v>
      </c>
      <c r="V1862" s="836">
        <v>0</v>
      </c>
      <c r="W1862" s="836">
        <v>0</v>
      </c>
      <c r="X1862" s="836">
        <v>0</v>
      </c>
      <c r="Y1862" s="836">
        <v>0</v>
      </c>
      <c r="Z1862" s="836"/>
      <c r="AA1862" s="836"/>
      <c r="AB1862" s="836"/>
      <c r="AC1862" s="836"/>
      <c r="AD1862" s="1186">
        <f t="shared" si="146"/>
        <v>47500</v>
      </c>
      <c r="AE1862" s="637">
        <f t="shared" si="147"/>
        <v>1</v>
      </c>
      <c r="AF1862" s="638">
        <f t="shared" si="145"/>
        <v>847</v>
      </c>
    </row>
    <row r="1863" spans="1:32" x14ac:dyDescent="0.3">
      <c r="A1863" s="381" t="s">
        <v>759</v>
      </c>
      <c r="B1863" s="1021" t="s">
        <v>2332</v>
      </c>
      <c r="C1863" s="530"/>
      <c r="D1863" s="836">
        <v>0</v>
      </c>
      <c r="E1863" s="836"/>
      <c r="F1863" s="836">
        <v>0</v>
      </c>
      <c r="G1863" s="836">
        <v>0</v>
      </c>
      <c r="H1863" s="836">
        <v>0</v>
      </c>
      <c r="I1863" s="836">
        <v>0</v>
      </c>
      <c r="J1863" s="836">
        <v>0</v>
      </c>
      <c r="K1863" s="836"/>
      <c r="L1863" s="836">
        <v>0</v>
      </c>
      <c r="M1863" s="836">
        <v>0</v>
      </c>
      <c r="N1863" s="836">
        <v>240000</v>
      </c>
      <c r="O1863" s="836" t="s">
        <v>251</v>
      </c>
      <c r="P1863" s="1497">
        <f t="shared" si="148"/>
        <v>0</v>
      </c>
      <c r="Q1863" s="1186">
        <f t="shared" si="149"/>
        <v>240000</v>
      </c>
      <c r="R1863" s="835"/>
      <c r="S1863" s="836"/>
      <c r="T1863" s="836"/>
      <c r="U1863" s="836"/>
      <c r="V1863" s="836"/>
      <c r="W1863" s="836"/>
      <c r="X1863" s="836"/>
      <c r="Y1863" s="836"/>
      <c r="Z1863" s="836"/>
      <c r="AA1863" s="836"/>
      <c r="AB1863" s="836"/>
      <c r="AC1863" s="836"/>
      <c r="AD1863" s="1186">
        <f t="shared" si="146"/>
        <v>0</v>
      </c>
      <c r="AE1863" s="637">
        <f t="shared" si="147"/>
        <v>0</v>
      </c>
      <c r="AF1863" s="638">
        <f t="shared" ref="AF1863:AF1926" si="150">IFERROR(_xlfn.RANK.EQ(AD1863, $AD$2:$AD$2064), "")</f>
        <v>983</v>
      </c>
    </row>
    <row r="1864" spans="1:32" x14ac:dyDescent="0.3">
      <c r="A1864" s="381" t="s">
        <v>759</v>
      </c>
      <c r="B1864" s="1021" t="s">
        <v>2333</v>
      </c>
      <c r="C1864" s="530"/>
      <c r="D1864" s="836">
        <v>0</v>
      </c>
      <c r="E1864" s="836"/>
      <c r="F1864" s="836">
        <v>0</v>
      </c>
      <c r="G1864" s="836">
        <v>0</v>
      </c>
      <c r="H1864" s="836">
        <v>0</v>
      </c>
      <c r="I1864" s="836">
        <v>0</v>
      </c>
      <c r="J1864" s="836">
        <v>0</v>
      </c>
      <c r="K1864" s="836"/>
      <c r="L1864" s="836">
        <v>0</v>
      </c>
      <c r="M1864" s="836">
        <v>0</v>
      </c>
      <c r="N1864" s="836">
        <v>217500</v>
      </c>
      <c r="O1864" s="836" t="s">
        <v>251</v>
      </c>
      <c r="P1864" s="1497">
        <f t="shared" si="148"/>
        <v>0</v>
      </c>
      <c r="Q1864" s="1186">
        <f t="shared" si="149"/>
        <v>217500</v>
      </c>
      <c r="R1864" s="835"/>
      <c r="S1864" s="836"/>
      <c r="T1864" s="836"/>
      <c r="U1864" s="836"/>
      <c r="V1864" s="836"/>
      <c r="W1864" s="836"/>
      <c r="X1864" s="836"/>
      <c r="Y1864" s="836"/>
      <c r="Z1864" s="836"/>
      <c r="AA1864" s="836"/>
      <c r="AB1864" s="836"/>
      <c r="AC1864" s="836"/>
      <c r="AD1864" s="1186">
        <f t="shared" si="146"/>
        <v>0</v>
      </c>
      <c r="AE1864" s="637">
        <f t="shared" si="147"/>
        <v>0</v>
      </c>
      <c r="AF1864" s="638">
        <f t="shared" si="150"/>
        <v>983</v>
      </c>
    </row>
    <row r="1865" spans="1:32" x14ac:dyDescent="0.3">
      <c r="A1865" s="381" t="s">
        <v>759</v>
      </c>
      <c r="B1865" s="1021" t="s">
        <v>2334</v>
      </c>
      <c r="C1865" s="530"/>
      <c r="D1865" s="836">
        <v>0</v>
      </c>
      <c r="E1865" s="836"/>
      <c r="F1865" s="836">
        <v>0</v>
      </c>
      <c r="G1865" s="836">
        <v>0</v>
      </c>
      <c r="H1865" s="836">
        <v>0</v>
      </c>
      <c r="I1865" s="836">
        <v>0</v>
      </c>
      <c r="J1865" s="836">
        <v>0</v>
      </c>
      <c r="K1865" s="836"/>
      <c r="L1865" s="836">
        <v>0</v>
      </c>
      <c r="M1865" s="836">
        <v>0</v>
      </c>
      <c r="N1865" s="836">
        <v>113900</v>
      </c>
      <c r="O1865" s="836" t="s">
        <v>251</v>
      </c>
      <c r="P1865" s="1497">
        <f t="shared" si="148"/>
        <v>0</v>
      </c>
      <c r="Q1865" s="1186">
        <f t="shared" si="149"/>
        <v>113900</v>
      </c>
      <c r="R1865" s="835"/>
      <c r="S1865" s="836"/>
      <c r="T1865" s="836"/>
      <c r="U1865" s="836"/>
      <c r="V1865" s="836"/>
      <c r="W1865" s="836"/>
      <c r="X1865" s="836"/>
      <c r="Y1865" s="836"/>
      <c r="Z1865" s="836"/>
      <c r="AA1865" s="836"/>
      <c r="AB1865" s="836"/>
      <c r="AC1865" s="836"/>
      <c r="AD1865" s="1186">
        <f t="shared" si="146"/>
        <v>0</v>
      </c>
      <c r="AE1865" s="637">
        <f t="shared" si="147"/>
        <v>0</v>
      </c>
      <c r="AF1865" s="638">
        <f t="shared" si="150"/>
        <v>983</v>
      </c>
    </row>
    <row r="1866" spans="1:32" x14ac:dyDescent="0.3">
      <c r="A1866" s="381" t="s">
        <v>759</v>
      </c>
      <c r="B1866" s="1021" t="s">
        <v>2335</v>
      </c>
      <c r="C1866" s="530"/>
      <c r="D1866" s="836">
        <v>0</v>
      </c>
      <c r="E1866" s="836"/>
      <c r="F1866" s="836">
        <v>0</v>
      </c>
      <c r="G1866" s="836">
        <v>0</v>
      </c>
      <c r="H1866" s="836">
        <v>0</v>
      </c>
      <c r="I1866" s="836">
        <v>0</v>
      </c>
      <c r="J1866" s="836">
        <v>0</v>
      </c>
      <c r="K1866" s="836"/>
      <c r="L1866" s="836">
        <v>0</v>
      </c>
      <c r="M1866" s="836">
        <v>0</v>
      </c>
      <c r="N1866" s="836">
        <v>111000</v>
      </c>
      <c r="O1866" s="836">
        <v>55000</v>
      </c>
      <c r="P1866" s="1497">
        <f t="shared" si="148"/>
        <v>0</v>
      </c>
      <c r="Q1866" s="1186">
        <f t="shared" si="149"/>
        <v>166000</v>
      </c>
      <c r="R1866" s="835"/>
      <c r="S1866" s="836">
        <v>50000</v>
      </c>
      <c r="T1866" s="836">
        <v>50000</v>
      </c>
      <c r="U1866" s="836">
        <v>0</v>
      </c>
      <c r="V1866" s="836">
        <v>0</v>
      </c>
      <c r="W1866" s="836">
        <v>0</v>
      </c>
      <c r="X1866" s="836">
        <v>65000</v>
      </c>
      <c r="Y1866" s="836">
        <v>0</v>
      </c>
      <c r="Z1866" s="836"/>
      <c r="AA1866" s="836"/>
      <c r="AB1866" s="836"/>
      <c r="AC1866" s="836"/>
      <c r="AD1866" s="1186">
        <f t="shared" si="146"/>
        <v>165000</v>
      </c>
      <c r="AE1866" s="637">
        <f t="shared" si="147"/>
        <v>1</v>
      </c>
      <c r="AF1866" s="638">
        <f t="shared" si="150"/>
        <v>655</v>
      </c>
    </row>
    <row r="1867" spans="1:32" x14ac:dyDescent="0.3">
      <c r="A1867" s="381" t="s">
        <v>759</v>
      </c>
      <c r="B1867" s="1021" t="s">
        <v>2336</v>
      </c>
      <c r="C1867" s="530"/>
      <c r="D1867" s="836">
        <v>0</v>
      </c>
      <c r="E1867" s="836"/>
      <c r="F1867" s="836">
        <v>0</v>
      </c>
      <c r="G1867" s="836">
        <v>0</v>
      </c>
      <c r="H1867" s="836">
        <v>0</v>
      </c>
      <c r="I1867" s="836">
        <v>0</v>
      </c>
      <c r="J1867" s="836">
        <v>0</v>
      </c>
      <c r="K1867" s="836"/>
      <c r="L1867" s="836">
        <v>0</v>
      </c>
      <c r="M1867" s="836">
        <v>0</v>
      </c>
      <c r="N1867" s="836">
        <v>108000</v>
      </c>
      <c r="O1867" s="836" t="s">
        <v>251</v>
      </c>
      <c r="P1867" s="1497">
        <f t="shared" si="148"/>
        <v>0</v>
      </c>
      <c r="Q1867" s="1186">
        <f t="shared" si="149"/>
        <v>108000</v>
      </c>
      <c r="R1867" s="835"/>
      <c r="S1867" s="836"/>
      <c r="T1867" s="836"/>
      <c r="U1867" s="836"/>
      <c r="V1867" s="836"/>
      <c r="W1867" s="836"/>
      <c r="X1867" s="836"/>
      <c r="Y1867" s="836"/>
      <c r="Z1867" s="836"/>
      <c r="AA1867" s="836"/>
      <c r="AB1867" s="836"/>
      <c r="AC1867" s="836"/>
      <c r="AD1867" s="1186">
        <f t="shared" si="146"/>
        <v>0</v>
      </c>
      <c r="AE1867" s="637">
        <f t="shared" si="147"/>
        <v>0</v>
      </c>
      <c r="AF1867" s="638">
        <f t="shared" si="150"/>
        <v>983</v>
      </c>
    </row>
    <row r="1868" spans="1:32" x14ac:dyDescent="0.3">
      <c r="A1868" s="381" t="s">
        <v>759</v>
      </c>
      <c r="B1868" s="1021" t="s">
        <v>2337</v>
      </c>
      <c r="C1868" s="530"/>
      <c r="D1868" s="836">
        <v>0</v>
      </c>
      <c r="E1868" s="836"/>
      <c r="F1868" s="836">
        <v>0</v>
      </c>
      <c r="G1868" s="836">
        <v>0</v>
      </c>
      <c r="H1868" s="836">
        <v>0</v>
      </c>
      <c r="I1868" s="836">
        <v>0</v>
      </c>
      <c r="J1868" s="836">
        <v>0</v>
      </c>
      <c r="K1868" s="836"/>
      <c r="L1868" s="836">
        <v>0</v>
      </c>
      <c r="M1868" s="836">
        <v>0</v>
      </c>
      <c r="N1868" s="836">
        <v>70000</v>
      </c>
      <c r="O1868" s="836" t="s">
        <v>251</v>
      </c>
      <c r="P1868" s="1497">
        <f t="shared" si="148"/>
        <v>0</v>
      </c>
      <c r="Q1868" s="1186">
        <f t="shared" si="149"/>
        <v>70000</v>
      </c>
      <c r="R1868" s="835"/>
      <c r="S1868" s="836"/>
      <c r="T1868" s="836"/>
      <c r="U1868" s="836"/>
      <c r="V1868" s="836"/>
      <c r="W1868" s="836"/>
      <c r="X1868" s="836"/>
      <c r="Y1868" s="836"/>
      <c r="Z1868" s="836"/>
      <c r="AA1868" s="836"/>
      <c r="AB1868" s="836"/>
      <c r="AC1868" s="836"/>
      <c r="AD1868" s="1186">
        <f t="shared" si="146"/>
        <v>0</v>
      </c>
      <c r="AE1868" s="637">
        <f t="shared" si="147"/>
        <v>0</v>
      </c>
      <c r="AF1868" s="638">
        <f t="shared" si="150"/>
        <v>983</v>
      </c>
    </row>
    <row r="1869" spans="1:32" x14ac:dyDescent="0.3">
      <c r="A1869" s="381" t="s">
        <v>759</v>
      </c>
      <c r="B1869" s="1021" t="s">
        <v>2338</v>
      </c>
      <c r="C1869" s="530"/>
      <c r="D1869" s="836">
        <v>0</v>
      </c>
      <c r="E1869" s="836"/>
      <c r="F1869" s="836">
        <v>0</v>
      </c>
      <c r="G1869" s="836">
        <v>0</v>
      </c>
      <c r="H1869" s="836">
        <v>0</v>
      </c>
      <c r="I1869" s="836">
        <v>0</v>
      </c>
      <c r="J1869" s="836">
        <v>0</v>
      </c>
      <c r="K1869" s="836"/>
      <c r="L1869" s="836">
        <v>0</v>
      </c>
      <c r="M1869" s="836">
        <v>0</v>
      </c>
      <c r="N1869" s="836">
        <v>52000</v>
      </c>
      <c r="O1869" s="836" t="s">
        <v>251</v>
      </c>
      <c r="P1869" s="1497">
        <f t="shared" si="148"/>
        <v>0</v>
      </c>
      <c r="Q1869" s="1186">
        <f t="shared" si="149"/>
        <v>52000</v>
      </c>
      <c r="R1869" s="835"/>
      <c r="S1869" s="836"/>
      <c r="T1869" s="836"/>
      <c r="U1869" s="836"/>
      <c r="V1869" s="836"/>
      <c r="W1869" s="836"/>
      <c r="X1869" s="836"/>
      <c r="Y1869" s="836"/>
      <c r="Z1869" s="836"/>
      <c r="AA1869" s="836"/>
      <c r="AB1869" s="836"/>
      <c r="AC1869" s="836"/>
      <c r="AD1869" s="1186">
        <f t="shared" si="146"/>
        <v>0</v>
      </c>
      <c r="AE1869" s="637">
        <f t="shared" si="147"/>
        <v>0</v>
      </c>
      <c r="AF1869" s="638">
        <f t="shared" si="150"/>
        <v>983</v>
      </c>
    </row>
    <row r="1870" spans="1:32" x14ac:dyDescent="0.3">
      <c r="A1870" s="381" t="s">
        <v>759</v>
      </c>
      <c r="B1870" s="1021" t="s">
        <v>2340</v>
      </c>
      <c r="C1870" s="530"/>
      <c r="D1870" s="836" t="s">
        <v>251</v>
      </c>
      <c r="E1870" s="836"/>
      <c r="F1870" s="836" t="s">
        <v>251</v>
      </c>
      <c r="G1870" s="836" t="s">
        <v>251</v>
      </c>
      <c r="H1870" s="836" t="s">
        <v>251</v>
      </c>
      <c r="I1870" s="836" t="s">
        <v>251</v>
      </c>
      <c r="J1870" s="836" t="s">
        <v>251</v>
      </c>
      <c r="K1870" s="836"/>
      <c r="L1870" s="836" t="s">
        <v>251</v>
      </c>
      <c r="M1870" s="836" t="s">
        <v>251</v>
      </c>
      <c r="N1870" s="836"/>
      <c r="O1870" s="836">
        <v>532500</v>
      </c>
      <c r="P1870" s="1497">
        <f t="shared" si="148"/>
        <v>0</v>
      </c>
      <c r="Q1870" s="1186">
        <f t="shared" si="149"/>
        <v>532500</v>
      </c>
      <c r="R1870" s="835">
        <v>131000</v>
      </c>
      <c r="S1870" s="836"/>
      <c r="T1870" s="836">
        <v>0</v>
      </c>
      <c r="U1870" s="836">
        <v>1512900</v>
      </c>
      <c r="V1870" s="836">
        <v>0</v>
      </c>
      <c r="W1870" s="836">
        <v>0</v>
      </c>
      <c r="X1870" s="836">
        <v>0</v>
      </c>
      <c r="Y1870" s="836">
        <v>0</v>
      </c>
      <c r="Z1870" s="836"/>
      <c r="AA1870" s="836"/>
      <c r="AB1870" s="836"/>
      <c r="AC1870" s="836"/>
      <c r="AD1870" s="1186">
        <f t="shared" si="146"/>
        <v>1643900</v>
      </c>
      <c r="AE1870" s="637">
        <f t="shared" si="147"/>
        <v>1</v>
      </c>
      <c r="AF1870" s="638">
        <f t="shared" si="150"/>
        <v>237</v>
      </c>
    </row>
    <row r="1871" spans="1:32" x14ac:dyDescent="0.3">
      <c r="A1871" s="381" t="s">
        <v>759</v>
      </c>
      <c r="B1871" s="1021" t="s">
        <v>2341</v>
      </c>
      <c r="C1871" s="530"/>
      <c r="D1871" s="836" t="s">
        <v>251</v>
      </c>
      <c r="E1871" s="836"/>
      <c r="F1871" s="836" t="s">
        <v>251</v>
      </c>
      <c r="G1871" s="836" t="s">
        <v>251</v>
      </c>
      <c r="H1871" s="836" t="s">
        <v>251</v>
      </c>
      <c r="I1871" s="836" t="s">
        <v>251</v>
      </c>
      <c r="J1871" s="836" t="s">
        <v>251</v>
      </c>
      <c r="K1871" s="836"/>
      <c r="L1871" s="836" t="s">
        <v>251</v>
      </c>
      <c r="M1871" s="836" t="s">
        <v>251</v>
      </c>
      <c r="N1871" s="836"/>
      <c r="O1871" s="836">
        <v>361000</v>
      </c>
      <c r="P1871" s="1497">
        <f t="shared" si="148"/>
        <v>0</v>
      </c>
      <c r="Q1871" s="1186">
        <f t="shared" si="149"/>
        <v>361000</v>
      </c>
      <c r="R1871" s="835"/>
      <c r="S1871" s="836"/>
      <c r="T1871" s="836"/>
      <c r="U1871" s="836"/>
      <c r="V1871" s="836"/>
      <c r="W1871" s="836"/>
      <c r="X1871" s="836"/>
      <c r="Y1871" s="836"/>
      <c r="Z1871" s="836"/>
      <c r="AA1871" s="836"/>
      <c r="AB1871" s="836"/>
      <c r="AC1871" s="836"/>
      <c r="AD1871" s="1186">
        <f t="shared" ref="AD1871:AD1934" si="151">SUM(R1871:AC1871)</f>
        <v>0</v>
      </c>
      <c r="AE1871" s="637">
        <f t="shared" ref="AE1871:AE1934" si="152">IF(OR(AD1871="", P1871=""), 0, IFERROR((AD1871-P1871)/P1871, IF(AD1871&lt;&gt;0, 1, 0)))</f>
        <v>0</v>
      </c>
      <c r="AF1871" s="638">
        <f t="shared" si="150"/>
        <v>983</v>
      </c>
    </row>
    <row r="1872" spans="1:32" x14ac:dyDescent="0.3">
      <c r="A1872" s="381" t="s">
        <v>759</v>
      </c>
      <c r="B1872" s="1021" t="s">
        <v>2342</v>
      </c>
      <c r="C1872" s="530"/>
      <c r="D1872" s="836" t="s">
        <v>251</v>
      </c>
      <c r="E1872" s="836"/>
      <c r="F1872" s="836" t="s">
        <v>251</v>
      </c>
      <c r="G1872" s="836" t="s">
        <v>251</v>
      </c>
      <c r="H1872" s="836" t="s">
        <v>251</v>
      </c>
      <c r="I1872" s="836" t="s">
        <v>251</v>
      </c>
      <c r="J1872" s="836" t="s">
        <v>251</v>
      </c>
      <c r="K1872" s="836"/>
      <c r="L1872" s="836" t="s">
        <v>251</v>
      </c>
      <c r="M1872" s="836" t="s">
        <v>251</v>
      </c>
      <c r="N1872" s="836"/>
      <c r="O1872" s="836">
        <v>178000</v>
      </c>
      <c r="P1872" s="1497">
        <f t="shared" si="148"/>
        <v>0</v>
      </c>
      <c r="Q1872" s="1186">
        <f t="shared" si="149"/>
        <v>178000</v>
      </c>
      <c r="R1872" s="835"/>
      <c r="S1872" s="836"/>
      <c r="T1872" s="836"/>
      <c r="U1872" s="836"/>
      <c r="V1872" s="836"/>
      <c r="W1872" s="836"/>
      <c r="X1872" s="836"/>
      <c r="Y1872" s="836"/>
      <c r="Z1872" s="836"/>
      <c r="AA1872" s="836"/>
      <c r="AB1872" s="836"/>
      <c r="AC1872" s="836"/>
      <c r="AD1872" s="1186">
        <f t="shared" si="151"/>
        <v>0</v>
      </c>
      <c r="AE1872" s="637">
        <f t="shared" si="152"/>
        <v>0</v>
      </c>
      <c r="AF1872" s="638">
        <f t="shared" si="150"/>
        <v>983</v>
      </c>
    </row>
    <row r="1873" spans="1:32" x14ac:dyDescent="0.3">
      <c r="A1873" s="381" t="s">
        <v>759</v>
      </c>
      <c r="B1873" s="1021" t="s">
        <v>2343</v>
      </c>
      <c r="C1873" s="530"/>
      <c r="D1873" s="836" t="s">
        <v>251</v>
      </c>
      <c r="E1873" s="836"/>
      <c r="F1873" s="836" t="s">
        <v>251</v>
      </c>
      <c r="G1873" s="836" t="s">
        <v>251</v>
      </c>
      <c r="H1873" s="836" t="s">
        <v>251</v>
      </c>
      <c r="I1873" s="836" t="s">
        <v>251</v>
      </c>
      <c r="J1873" s="836" t="s">
        <v>251</v>
      </c>
      <c r="K1873" s="836"/>
      <c r="L1873" s="836" t="s">
        <v>251</v>
      </c>
      <c r="M1873" s="836" t="s">
        <v>251</v>
      </c>
      <c r="N1873" s="836"/>
      <c r="O1873" s="836">
        <v>125000</v>
      </c>
      <c r="P1873" s="1497">
        <f t="shared" si="148"/>
        <v>0</v>
      </c>
      <c r="Q1873" s="1186">
        <f t="shared" si="149"/>
        <v>125000</v>
      </c>
      <c r="R1873" s="835"/>
      <c r="S1873" s="836"/>
      <c r="T1873" s="836"/>
      <c r="U1873" s="836"/>
      <c r="V1873" s="836"/>
      <c r="W1873" s="836"/>
      <c r="X1873" s="836"/>
      <c r="Y1873" s="836"/>
      <c r="Z1873" s="836"/>
      <c r="AA1873" s="836"/>
      <c r="AB1873" s="836"/>
      <c r="AC1873" s="836"/>
      <c r="AD1873" s="1186">
        <f t="shared" si="151"/>
        <v>0</v>
      </c>
      <c r="AE1873" s="637">
        <f t="shared" si="152"/>
        <v>0</v>
      </c>
      <c r="AF1873" s="638">
        <f t="shared" si="150"/>
        <v>983</v>
      </c>
    </row>
    <row r="1874" spans="1:32" x14ac:dyDescent="0.3">
      <c r="A1874" s="381" t="s">
        <v>759</v>
      </c>
      <c r="B1874" s="1021" t="s">
        <v>2344</v>
      </c>
      <c r="C1874" s="530"/>
      <c r="D1874" s="836" t="s">
        <v>251</v>
      </c>
      <c r="E1874" s="836"/>
      <c r="F1874" s="836" t="s">
        <v>251</v>
      </c>
      <c r="G1874" s="836" t="s">
        <v>251</v>
      </c>
      <c r="H1874" s="836" t="s">
        <v>251</v>
      </c>
      <c r="I1874" s="836" t="s">
        <v>251</v>
      </c>
      <c r="J1874" s="836" t="s">
        <v>251</v>
      </c>
      <c r="K1874" s="836"/>
      <c r="L1874" s="836" t="s">
        <v>251</v>
      </c>
      <c r="M1874" s="836" t="s">
        <v>251</v>
      </c>
      <c r="N1874" s="836"/>
      <c r="O1874" s="836">
        <v>83000</v>
      </c>
      <c r="P1874" s="1497">
        <f t="shared" si="148"/>
        <v>0</v>
      </c>
      <c r="Q1874" s="1186">
        <f t="shared" si="149"/>
        <v>83000</v>
      </c>
      <c r="R1874" s="835"/>
      <c r="S1874" s="836"/>
      <c r="T1874" s="836"/>
      <c r="U1874" s="836"/>
      <c r="V1874" s="836"/>
      <c r="W1874" s="836"/>
      <c r="X1874" s="836"/>
      <c r="Y1874" s="836"/>
      <c r="Z1874" s="836"/>
      <c r="AA1874" s="836"/>
      <c r="AB1874" s="836"/>
      <c r="AC1874" s="836"/>
      <c r="AD1874" s="1186">
        <f t="shared" si="151"/>
        <v>0</v>
      </c>
      <c r="AE1874" s="637">
        <f t="shared" si="152"/>
        <v>0</v>
      </c>
      <c r="AF1874" s="638">
        <f t="shared" si="150"/>
        <v>983</v>
      </c>
    </row>
    <row r="1875" spans="1:32" x14ac:dyDescent="0.3">
      <c r="A1875" s="381" t="s">
        <v>759</v>
      </c>
      <c r="B1875" s="1021" t="s">
        <v>2345</v>
      </c>
      <c r="C1875" s="530"/>
      <c r="D1875" s="836" t="s">
        <v>251</v>
      </c>
      <c r="E1875" s="836"/>
      <c r="F1875" s="836" t="s">
        <v>251</v>
      </c>
      <c r="G1875" s="836" t="s">
        <v>251</v>
      </c>
      <c r="H1875" s="836" t="s">
        <v>251</v>
      </c>
      <c r="I1875" s="836" t="s">
        <v>251</v>
      </c>
      <c r="J1875" s="836" t="s">
        <v>251</v>
      </c>
      <c r="K1875" s="836"/>
      <c r="L1875" s="836" t="s">
        <v>251</v>
      </c>
      <c r="M1875" s="836" t="s">
        <v>251</v>
      </c>
      <c r="N1875" s="836"/>
      <c r="O1875" s="836">
        <v>58000</v>
      </c>
      <c r="P1875" s="1497">
        <f t="shared" si="148"/>
        <v>0</v>
      </c>
      <c r="Q1875" s="1186">
        <f t="shared" si="149"/>
        <v>58000</v>
      </c>
      <c r="R1875" s="835"/>
      <c r="S1875" s="836"/>
      <c r="T1875" s="836">
        <v>551600</v>
      </c>
      <c r="U1875" s="836">
        <v>23000</v>
      </c>
      <c r="V1875" s="836">
        <v>0</v>
      </c>
      <c r="W1875" s="836">
        <v>0</v>
      </c>
      <c r="X1875" s="836">
        <v>0</v>
      </c>
      <c r="Y1875" s="836">
        <v>0</v>
      </c>
      <c r="Z1875" s="836"/>
      <c r="AA1875" s="836"/>
      <c r="AB1875" s="836"/>
      <c r="AC1875" s="836"/>
      <c r="AD1875" s="1186">
        <f t="shared" si="151"/>
        <v>574600</v>
      </c>
      <c r="AE1875" s="637">
        <f t="shared" si="152"/>
        <v>1</v>
      </c>
      <c r="AF1875" s="638">
        <f t="shared" si="150"/>
        <v>412</v>
      </c>
    </row>
    <row r="1876" spans="1:32" x14ac:dyDescent="0.3">
      <c r="A1876" s="381" t="s">
        <v>759</v>
      </c>
      <c r="B1876" s="1021" t="s">
        <v>2346</v>
      </c>
      <c r="C1876" s="530"/>
      <c r="D1876" s="836" t="s">
        <v>251</v>
      </c>
      <c r="E1876" s="836"/>
      <c r="F1876" s="836" t="s">
        <v>251</v>
      </c>
      <c r="G1876" s="836" t="s">
        <v>251</v>
      </c>
      <c r="H1876" s="836" t="s">
        <v>251</v>
      </c>
      <c r="I1876" s="836" t="s">
        <v>251</v>
      </c>
      <c r="J1876" s="836" t="s">
        <v>251</v>
      </c>
      <c r="K1876" s="836"/>
      <c r="L1876" s="836" t="s">
        <v>251</v>
      </c>
      <c r="M1876" s="836" t="s">
        <v>251</v>
      </c>
      <c r="N1876" s="836"/>
      <c r="O1876" s="836">
        <v>45000</v>
      </c>
      <c r="P1876" s="1497">
        <f t="shared" si="148"/>
        <v>0</v>
      </c>
      <c r="Q1876" s="1186">
        <f t="shared" si="149"/>
        <v>45000</v>
      </c>
      <c r="R1876" s="835"/>
      <c r="S1876" s="836"/>
      <c r="T1876" s="836"/>
      <c r="U1876" s="836"/>
      <c r="V1876" s="836"/>
      <c r="W1876" s="836"/>
      <c r="X1876" s="836"/>
      <c r="Y1876" s="836"/>
      <c r="Z1876" s="836"/>
      <c r="AA1876" s="836"/>
      <c r="AB1876" s="836"/>
      <c r="AC1876" s="836"/>
      <c r="AD1876" s="1186">
        <f t="shared" si="151"/>
        <v>0</v>
      </c>
      <c r="AE1876" s="637">
        <f t="shared" si="152"/>
        <v>0</v>
      </c>
      <c r="AF1876" s="638">
        <f t="shared" si="150"/>
        <v>983</v>
      </c>
    </row>
    <row r="1877" spans="1:32" x14ac:dyDescent="0.3">
      <c r="A1877" s="381" t="s">
        <v>759</v>
      </c>
      <c r="B1877" s="1021" t="s">
        <v>2347</v>
      </c>
      <c r="C1877" s="530"/>
      <c r="D1877" s="836" t="s">
        <v>251</v>
      </c>
      <c r="E1877" s="836"/>
      <c r="F1877" s="836" t="s">
        <v>251</v>
      </c>
      <c r="G1877" s="836" t="s">
        <v>251</v>
      </c>
      <c r="H1877" s="836" t="s">
        <v>251</v>
      </c>
      <c r="I1877" s="836" t="s">
        <v>251</v>
      </c>
      <c r="J1877" s="836" t="s">
        <v>251</v>
      </c>
      <c r="K1877" s="836"/>
      <c r="L1877" s="836" t="s">
        <v>251</v>
      </c>
      <c r="M1877" s="836" t="s">
        <v>251</v>
      </c>
      <c r="N1877" s="836"/>
      <c r="O1877" s="836">
        <v>36500</v>
      </c>
      <c r="P1877" s="1497">
        <f t="shared" si="148"/>
        <v>0</v>
      </c>
      <c r="Q1877" s="1186">
        <f t="shared" si="149"/>
        <v>36500</v>
      </c>
      <c r="R1877" s="835"/>
      <c r="S1877" s="836"/>
      <c r="T1877" s="836"/>
      <c r="U1877" s="836"/>
      <c r="V1877" s="836"/>
      <c r="W1877" s="836"/>
      <c r="X1877" s="836"/>
      <c r="Y1877" s="836"/>
      <c r="Z1877" s="836"/>
      <c r="AA1877" s="836"/>
      <c r="AB1877" s="836"/>
      <c r="AC1877" s="836"/>
      <c r="AD1877" s="1186">
        <f t="shared" si="151"/>
        <v>0</v>
      </c>
      <c r="AE1877" s="637">
        <f t="shared" si="152"/>
        <v>0</v>
      </c>
      <c r="AF1877" s="638">
        <f t="shared" si="150"/>
        <v>983</v>
      </c>
    </row>
    <row r="1878" spans="1:32" x14ac:dyDescent="0.3">
      <c r="A1878" s="381" t="s">
        <v>759</v>
      </c>
      <c r="B1878" s="1021" t="s">
        <v>2348</v>
      </c>
      <c r="C1878" s="530"/>
      <c r="D1878" s="836" t="s">
        <v>251</v>
      </c>
      <c r="E1878" s="836"/>
      <c r="F1878" s="836" t="s">
        <v>251</v>
      </c>
      <c r="G1878" s="836" t="s">
        <v>251</v>
      </c>
      <c r="H1878" s="836" t="s">
        <v>251</v>
      </c>
      <c r="I1878" s="836" t="s">
        <v>251</v>
      </c>
      <c r="J1878" s="836" t="s">
        <v>251</v>
      </c>
      <c r="K1878" s="836"/>
      <c r="L1878" s="836" t="s">
        <v>251</v>
      </c>
      <c r="M1878" s="836" t="s">
        <v>251</v>
      </c>
      <c r="N1878" s="836"/>
      <c r="O1878" s="836">
        <v>9900</v>
      </c>
      <c r="P1878" s="1497">
        <f t="shared" ref="P1878:P1941" si="153">SUM(C1878:I1878,K1878)</f>
        <v>0</v>
      </c>
      <c r="Q1878" s="1186">
        <f t="shared" ref="Q1878:Q1941" si="154">SUM(C1878:J1878,L1878:O1878)</f>
        <v>9900</v>
      </c>
      <c r="R1878" s="835"/>
      <c r="S1878" s="836"/>
      <c r="T1878" s="836"/>
      <c r="U1878" s="836"/>
      <c r="V1878" s="836">
        <v>7800</v>
      </c>
      <c r="W1878" s="836">
        <v>254400</v>
      </c>
      <c r="X1878" s="836">
        <v>0</v>
      </c>
      <c r="Y1878" s="836">
        <v>0</v>
      </c>
      <c r="Z1878" s="836"/>
      <c r="AA1878" s="836"/>
      <c r="AB1878" s="836"/>
      <c r="AC1878" s="836"/>
      <c r="AD1878" s="1186">
        <f t="shared" si="151"/>
        <v>262200</v>
      </c>
      <c r="AE1878" s="637">
        <f t="shared" si="152"/>
        <v>1</v>
      </c>
      <c r="AF1878" s="638">
        <f t="shared" si="150"/>
        <v>556</v>
      </c>
    </row>
    <row r="1879" spans="1:32" x14ac:dyDescent="0.3">
      <c r="A1879" s="381" t="s">
        <v>759</v>
      </c>
      <c r="B1879" s="1021" t="s">
        <v>2339</v>
      </c>
      <c r="C1879" s="530"/>
      <c r="D1879" s="836">
        <v>0</v>
      </c>
      <c r="E1879" s="836"/>
      <c r="F1879" s="836"/>
      <c r="G1879" s="836">
        <v>0</v>
      </c>
      <c r="H1879" s="836">
        <v>0</v>
      </c>
      <c r="I1879" s="836">
        <v>0</v>
      </c>
      <c r="J1879" s="836"/>
      <c r="K1879" s="836"/>
      <c r="L1879" s="836"/>
      <c r="M1879" s="836"/>
      <c r="N1879" s="836">
        <v>28000</v>
      </c>
      <c r="O1879" s="836" t="s">
        <v>251</v>
      </c>
      <c r="P1879" s="1497">
        <f t="shared" si="153"/>
        <v>0</v>
      </c>
      <c r="Q1879" s="1186">
        <f t="shared" si="154"/>
        <v>28000</v>
      </c>
      <c r="R1879" s="835"/>
      <c r="S1879" s="836"/>
      <c r="T1879" s="836"/>
      <c r="U1879" s="836">
        <v>38000</v>
      </c>
      <c r="V1879" s="836">
        <v>0</v>
      </c>
      <c r="W1879" s="836">
        <v>30000</v>
      </c>
      <c r="X1879" s="836">
        <v>15000</v>
      </c>
      <c r="Y1879" s="836">
        <v>0</v>
      </c>
      <c r="Z1879" s="836"/>
      <c r="AA1879" s="836"/>
      <c r="AB1879" s="836"/>
      <c r="AC1879" s="836"/>
      <c r="AD1879" s="1186">
        <f t="shared" si="151"/>
        <v>83000</v>
      </c>
      <c r="AE1879" s="637">
        <f t="shared" si="152"/>
        <v>1</v>
      </c>
      <c r="AF1879" s="638">
        <f t="shared" si="150"/>
        <v>767</v>
      </c>
    </row>
    <row r="1880" spans="1:32" x14ac:dyDescent="0.3">
      <c r="A1880" s="381" t="s">
        <v>759</v>
      </c>
      <c r="B1880" s="1021" t="s">
        <v>2400</v>
      </c>
      <c r="C1880" s="530"/>
      <c r="D1880" s="836" t="s">
        <v>251</v>
      </c>
      <c r="E1880" s="836"/>
      <c r="F1880" s="836"/>
      <c r="G1880" s="836" t="s">
        <v>251</v>
      </c>
      <c r="H1880" s="836" t="s">
        <v>251</v>
      </c>
      <c r="I1880" s="836" t="s">
        <v>251</v>
      </c>
      <c r="J1880" s="836"/>
      <c r="K1880" s="836"/>
      <c r="L1880" s="836"/>
      <c r="M1880" s="836"/>
      <c r="N1880" s="836"/>
      <c r="O1880" s="836">
        <v>716600</v>
      </c>
      <c r="P1880" s="1497">
        <f t="shared" si="153"/>
        <v>0</v>
      </c>
      <c r="Q1880" s="1186">
        <f t="shared" si="154"/>
        <v>716600</v>
      </c>
      <c r="R1880" s="835">
        <v>507400</v>
      </c>
      <c r="S1880" s="836">
        <v>1199100</v>
      </c>
      <c r="T1880" s="836">
        <v>0</v>
      </c>
      <c r="U1880" s="836">
        <v>0</v>
      </c>
      <c r="V1880" s="836">
        <v>0</v>
      </c>
      <c r="W1880" s="836">
        <v>0</v>
      </c>
      <c r="X1880" s="836">
        <v>371000</v>
      </c>
      <c r="Y1880" s="836">
        <v>203000</v>
      </c>
      <c r="Z1880" s="836"/>
      <c r="AA1880" s="836"/>
      <c r="AB1880" s="836"/>
      <c r="AC1880" s="836"/>
      <c r="AD1880" s="1186">
        <f t="shared" si="151"/>
        <v>2280500</v>
      </c>
      <c r="AE1880" s="637">
        <f t="shared" si="152"/>
        <v>1</v>
      </c>
      <c r="AF1880" s="638">
        <f t="shared" si="150"/>
        <v>191</v>
      </c>
    </row>
    <row r="1881" spans="1:32" x14ac:dyDescent="0.3">
      <c r="A1881" s="381" t="s">
        <v>759</v>
      </c>
      <c r="B1881" s="1021" t="s">
        <v>1194</v>
      </c>
      <c r="C1881" s="530"/>
      <c r="D1881" s="836"/>
      <c r="E1881" s="836"/>
      <c r="F1881" s="836"/>
      <c r="G1881" s="836"/>
      <c r="H1881" s="836"/>
      <c r="I1881" s="836"/>
      <c r="J1881" s="836"/>
      <c r="K1881" s="836"/>
      <c r="L1881" s="836"/>
      <c r="M1881" s="836"/>
      <c r="N1881" s="836"/>
      <c r="O1881" s="836"/>
      <c r="P1881" s="1497">
        <f t="shared" si="153"/>
        <v>0</v>
      </c>
      <c r="Q1881" s="1186">
        <f t="shared" si="154"/>
        <v>0</v>
      </c>
      <c r="R1881" s="835">
        <v>494250</v>
      </c>
      <c r="S1881" s="836">
        <v>348900</v>
      </c>
      <c r="T1881" s="836">
        <v>73000</v>
      </c>
      <c r="U1881" s="836">
        <v>1041800</v>
      </c>
      <c r="V1881" s="836">
        <v>0</v>
      </c>
      <c r="W1881" s="836">
        <v>0</v>
      </c>
      <c r="X1881" s="836">
        <v>0</v>
      </c>
      <c r="Y1881" s="836">
        <v>0</v>
      </c>
      <c r="Z1881" s="836"/>
      <c r="AA1881" s="836"/>
      <c r="AB1881" s="836"/>
      <c r="AC1881" s="836"/>
      <c r="AD1881" s="1186">
        <f t="shared" si="151"/>
        <v>1957950</v>
      </c>
      <c r="AE1881" s="637">
        <f t="shared" si="152"/>
        <v>1</v>
      </c>
      <c r="AF1881" s="638">
        <f t="shared" si="150"/>
        <v>214</v>
      </c>
    </row>
    <row r="1882" spans="1:32" x14ac:dyDescent="0.3">
      <c r="A1882" s="381" t="s">
        <v>759</v>
      </c>
      <c r="B1882" s="1021" t="s">
        <v>2054</v>
      </c>
      <c r="C1882" s="530"/>
      <c r="D1882" s="836"/>
      <c r="E1882" s="836"/>
      <c r="F1882" s="836"/>
      <c r="G1882" s="836"/>
      <c r="H1882" s="836"/>
      <c r="I1882" s="836"/>
      <c r="J1882" s="836"/>
      <c r="K1882" s="836"/>
      <c r="L1882" s="836"/>
      <c r="M1882" s="836"/>
      <c r="N1882" s="836"/>
      <c r="O1882" s="836"/>
      <c r="P1882" s="1497">
        <f t="shared" si="153"/>
        <v>0</v>
      </c>
      <c r="Q1882" s="1186">
        <f t="shared" si="154"/>
        <v>0</v>
      </c>
      <c r="R1882" s="835">
        <v>695800</v>
      </c>
      <c r="S1882" s="836">
        <v>67500</v>
      </c>
      <c r="T1882" s="836">
        <v>0</v>
      </c>
      <c r="U1882" s="836">
        <v>0</v>
      </c>
      <c r="V1882" s="836">
        <v>0</v>
      </c>
      <c r="W1882" s="836">
        <v>442700</v>
      </c>
      <c r="X1882" s="836">
        <v>453900</v>
      </c>
      <c r="Y1882" s="836">
        <v>235000</v>
      </c>
      <c r="Z1882" s="836"/>
      <c r="AA1882" s="836"/>
      <c r="AB1882" s="836"/>
      <c r="AC1882" s="836"/>
      <c r="AD1882" s="1186">
        <f t="shared" si="151"/>
        <v>1894900</v>
      </c>
      <c r="AE1882" s="637">
        <f t="shared" si="152"/>
        <v>1</v>
      </c>
      <c r="AF1882" s="638">
        <f t="shared" si="150"/>
        <v>219</v>
      </c>
    </row>
    <row r="1883" spans="1:32" x14ac:dyDescent="0.3">
      <c r="A1883" s="381" t="s">
        <v>759</v>
      </c>
      <c r="B1883" s="1021" t="s">
        <v>2505</v>
      </c>
      <c r="C1883" s="530"/>
      <c r="D1883" s="836"/>
      <c r="E1883" s="836"/>
      <c r="F1883" s="836"/>
      <c r="G1883" s="836"/>
      <c r="H1883" s="836"/>
      <c r="I1883" s="836"/>
      <c r="J1883" s="836"/>
      <c r="K1883" s="836"/>
      <c r="L1883" s="836"/>
      <c r="M1883" s="836"/>
      <c r="N1883" s="836"/>
      <c r="O1883" s="836"/>
      <c r="P1883" s="1497">
        <f t="shared" si="153"/>
        <v>0</v>
      </c>
      <c r="Q1883" s="1186">
        <f t="shared" si="154"/>
        <v>0</v>
      </c>
      <c r="R1883" s="835">
        <v>172000</v>
      </c>
      <c r="S1883" s="836">
        <v>95000</v>
      </c>
      <c r="T1883" s="836">
        <v>590600</v>
      </c>
      <c r="U1883" s="836">
        <v>464000</v>
      </c>
      <c r="V1883" s="836">
        <v>14800</v>
      </c>
      <c r="W1883" s="836">
        <v>0</v>
      </c>
      <c r="X1883" s="836">
        <v>0</v>
      </c>
      <c r="Y1883" s="836">
        <v>903500</v>
      </c>
      <c r="Z1883" s="836"/>
      <c r="AA1883" s="836"/>
      <c r="AB1883" s="836"/>
      <c r="AC1883" s="836"/>
      <c r="AD1883" s="1186">
        <f t="shared" si="151"/>
        <v>2239900</v>
      </c>
      <c r="AE1883" s="637">
        <f t="shared" si="152"/>
        <v>1</v>
      </c>
      <c r="AF1883" s="638">
        <f t="shared" si="150"/>
        <v>195</v>
      </c>
    </row>
    <row r="1884" spans="1:32" x14ac:dyDescent="0.3">
      <c r="A1884" s="381" t="s">
        <v>759</v>
      </c>
      <c r="B1884" s="1021" t="s">
        <v>2506</v>
      </c>
      <c r="C1884" s="530"/>
      <c r="D1884" s="836"/>
      <c r="E1884" s="836"/>
      <c r="F1884" s="836"/>
      <c r="G1884" s="836"/>
      <c r="H1884" s="836"/>
      <c r="I1884" s="836"/>
      <c r="J1884" s="836"/>
      <c r="K1884" s="836"/>
      <c r="L1884" s="836"/>
      <c r="M1884" s="836"/>
      <c r="N1884" s="836"/>
      <c r="O1884" s="836"/>
      <c r="P1884" s="1497">
        <f t="shared" si="153"/>
        <v>0</v>
      </c>
      <c r="Q1884" s="1186">
        <f t="shared" si="154"/>
        <v>0</v>
      </c>
      <c r="R1884" s="835">
        <v>108000</v>
      </c>
      <c r="S1884" s="836"/>
      <c r="T1884" s="836">
        <v>0</v>
      </c>
      <c r="U1884" s="836">
        <v>108000</v>
      </c>
      <c r="V1884" s="836">
        <v>108000</v>
      </c>
      <c r="W1884" s="836">
        <v>0</v>
      </c>
      <c r="X1884" s="836">
        <v>0</v>
      </c>
      <c r="Y1884" s="836">
        <v>0</v>
      </c>
      <c r="Z1884" s="836"/>
      <c r="AA1884" s="836"/>
      <c r="AB1884" s="836"/>
      <c r="AC1884" s="836"/>
      <c r="AD1884" s="1186">
        <f t="shared" si="151"/>
        <v>324000</v>
      </c>
      <c r="AE1884" s="637">
        <f t="shared" si="152"/>
        <v>1</v>
      </c>
      <c r="AF1884" s="638">
        <f t="shared" si="150"/>
        <v>517</v>
      </c>
    </row>
    <row r="1885" spans="1:32" x14ac:dyDescent="0.3">
      <c r="A1885" s="381" t="s">
        <v>759</v>
      </c>
      <c r="B1885" s="1021" t="s">
        <v>2507</v>
      </c>
      <c r="C1885" s="530"/>
      <c r="D1885" s="836"/>
      <c r="E1885" s="836"/>
      <c r="F1885" s="836"/>
      <c r="G1885" s="836"/>
      <c r="H1885" s="836"/>
      <c r="I1885" s="836"/>
      <c r="J1885" s="836"/>
      <c r="K1885" s="836"/>
      <c r="L1885" s="836"/>
      <c r="M1885" s="836"/>
      <c r="N1885" s="836"/>
      <c r="O1885" s="836"/>
      <c r="P1885" s="1497">
        <f t="shared" si="153"/>
        <v>0</v>
      </c>
      <c r="Q1885" s="1186">
        <f t="shared" si="154"/>
        <v>0</v>
      </c>
      <c r="R1885" s="835">
        <v>75000</v>
      </c>
      <c r="S1885" s="836"/>
      <c r="T1885" s="836">
        <v>0</v>
      </c>
      <c r="U1885" s="836">
        <v>0</v>
      </c>
      <c r="V1885" s="836">
        <v>0</v>
      </c>
      <c r="W1885" s="836">
        <v>0</v>
      </c>
      <c r="X1885" s="836">
        <v>0</v>
      </c>
      <c r="Y1885" s="836">
        <v>0</v>
      </c>
      <c r="Z1885" s="836"/>
      <c r="AA1885" s="836"/>
      <c r="AB1885" s="836"/>
      <c r="AC1885" s="836"/>
      <c r="AD1885" s="1186">
        <f t="shared" si="151"/>
        <v>75000</v>
      </c>
      <c r="AE1885" s="637">
        <f t="shared" si="152"/>
        <v>1</v>
      </c>
      <c r="AF1885" s="638">
        <f t="shared" si="150"/>
        <v>783</v>
      </c>
    </row>
    <row r="1886" spans="1:32" x14ac:dyDescent="0.3">
      <c r="A1886" s="381" t="s">
        <v>759</v>
      </c>
      <c r="B1886" s="1021" t="s">
        <v>2508</v>
      </c>
      <c r="C1886" s="530"/>
      <c r="D1886" s="836"/>
      <c r="E1886" s="836"/>
      <c r="F1886" s="836"/>
      <c r="G1886" s="836"/>
      <c r="H1886" s="836"/>
      <c r="I1886" s="836"/>
      <c r="J1886" s="836"/>
      <c r="K1886" s="836"/>
      <c r="L1886" s="836"/>
      <c r="M1886" s="836"/>
      <c r="N1886" s="836"/>
      <c r="O1886" s="836"/>
      <c r="P1886" s="1497">
        <f t="shared" si="153"/>
        <v>0</v>
      </c>
      <c r="Q1886" s="1186">
        <f t="shared" si="154"/>
        <v>0</v>
      </c>
      <c r="R1886" s="835">
        <v>58000</v>
      </c>
      <c r="S1886" s="836"/>
      <c r="T1886" s="836">
        <v>0</v>
      </c>
      <c r="U1886" s="836">
        <v>0</v>
      </c>
      <c r="V1886" s="836">
        <v>0</v>
      </c>
      <c r="W1886" s="836">
        <v>0</v>
      </c>
      <c r="X1886" s="836">
        <v>0</v>
      </c>
      <c r="Y1886" s="836">
        <v>0</v>
      </c>
      <c r="Z1886" s="836"/>
      <c r="AA1886" s="836"/>
      <c r="AB1886" s="836"/>
      <c r="AC1886" s="836"/>
      <c r="AD1886" s="1186">
        <f t="shared" si="151"/>
        <v>58000</v>
      </c>
      <c r="AE1886" s="637">
        <f t="shared" si="152"/>
        <v>1</v>
      </c>
      <c r="AF1886" s="638">
        <f t="shared" si="150"/>
        <v>825</v>
      </c>
    </row>
    <row r="1887" spans="1:32" x14ac:dyDescent="0.3">
      <c r="A1887" s="381" t="s">
        <v>759</v>
      </c>
      <c r="B1887" s="1021" t="s">
        <v>2019</v>
      </c>
      <c r="C1887" s="530"/>
      <c r="D1887" s="836"/>
      <c r="E1887" s="836"/>
      <c r="F1887" s="836"/>
      <c r="G1887" s="836"/>
      <c r="H1887" s="836"/>
      <c r="I1887" s="836"/>
      <c r="J1887" s="836"/>
      <c r="K1887" s="836"/>
      <c r="L1887" s="836"/>
      <c r="M1887" s="836"/>
      <c r="N1887" s="836"/>
      <c r="O1887" s="836"/>
      <c r="P1887" s="1497">
        <f t="shared" si="153"/>
        <v>0</v>
      </c>
      <c r="Q1887" s="1186">
        <f t="shared" si="154"/>
        <v>0</v>
      </c>
      <c r="R1887" s="835">
        <v>91000</v>
      </c>
      <c r="S1887" s="836">
        <v>17000</v>
      </c>
      <c r="T1887" s="836">
        <v>0</v>
      </c>
      <c r="U1887" s="836">
        <v>0</v>
      </c>
      <c r="V1887" s="836">
        <v>0</v>
      </c>
      <c r="W1887" s="836">
        <v>0</v>
      </c>
      <c r="X1887" s="836">
        <v>0</v>
      </c>
      <c r="Y1887" s="836">
        <v>0</v>
      </c>
      <c r="Z1887" s="836"/>
      <c r="AA1887" s="836"/>
      <c r="AB1887" s="836"/>
      <c r="AC1887" s="836"/>
      <c r="AD1887" s="1186">
        <f t="shared" si="151"/>
        <v>108000</v>
      </c>
      <c r="AE1887" s="637">
        <f t="shared" si="152"/>
        <v>1</v>
      </c>
      <c r="AF1887" s="638">
        <f t="shared" si="150"/>
        <v>729</v>
      </c>
    </row>
    <row r="1888" spans="1:32" x14ac:dyDescent="0.3">
      <c r="A1888" s="381" t="s">
        <v>759</v>
      </c>
      <c r="B1888" s="1021" t="s">
        <v>2509</v>
      </c>
      <c r="C1888" s="530"/>
      <c r="D1888" s="836"/>
      <c r="E1888" s="836"/>
      <c r="F1888" s="836"/>
      <c r="G1888" s="836"/>
      <c r="H1888" s="836"/>
      <c r="I1888" s="836"/>
      <c r="J1888" s="836"/>
      <c r="K1888" s="836"/>
      <c r="L1888" s="836"/>
      <c r="M1888" s="836"/>
      <c r="N1888" s="836"/>
      <c r="O1888" s="836"/>
      <c r="P1888" s="1497">
        <f t="shared" si="153"/>
        <v>0</v>
      </c>
      <c r="Q1888" s="1186">
        <f t="shared" si="154"/>
        <v>0</v>
      </c>
      <c r="R1888" s="835">
        <v>35000</v>
      </c>
      <c r="S1888" s="836"/>
      <c r="T1888" s="836">
        <v>0</v>
      </c>
      <c r="U1888" s="836">
        <v>0</v>
      </c>
      <c r="V1888" s="836">
        <v>0</v>
      </c>
      <c r="W1888" s="836">
        <v>0</v>
      </c>
      <c r="X1888" s="836">
        <v>0</v>
      </c>
      <c r="Y1888" s="836">
        <v>0</v>
      </c>
      <c r="Z1888" s="836"/>
      <c r="AA1888" s="836"/>
      <c r="AB1888" s="836"/>
      <c r="AC1888" s="836"/>
      <c r="AD1888" s="1186">
        <f t="shared" si="151"/>
        <v>35000</v>
      </c>
      <c r="AE1888" s="637">
        <f t="shared" si="152"/>
        <v>1</v>
      </c>
      <c r="AF1888" s="638">
        <f t="shared" si="150"/>
        <v>880</v>
      </c>
    </row>
    <row r="1889" spans="1:32" x14ac:dyDescent="0.3">
      <c r="A1889" s="381" t="s">
        <v>759</v>
      </c>
      <c r="B1889" s="1021" t="s">
        <v>2417</v>
      </c>
      <c r="C1889" s="530"/>
      <c r="D1889" s="836"/>
      <c r="E1889" s="836"/>
      <c r="F1889" s="836"/>
      <c r="G1889" s="836"/>
      <c r="H1889" s="836"/>
      <c r="I1889" s="836"/>
      <c r="J1889" s="836"/>
      <c r="K1889" s="836"/>
      <c r="L1889" s="836"/>
      <c r="M1889" s="836"/>
      <c r="N1889" s="836"/>
      <c r="O1889" s="836"/>
      <c r="P1889" s="1497">
        <f t="shared" si="153"/>
        <v>0</v>
      </c>
      <c r="Q1889" s="1186">
        <f t="shared" si="154"/>
        <v>0</v>
      </c>
      <c r="R1889" s="835">
        <v>24000</v>
      </c>
      <c r="S1889" s="836"/>
      <c r="T1889" s="836">
        <v>0</v>
      </c>
      <c r="U1889" s="836">
        <v>0</v>
      </c>
      <c r="V1889" s="836">
        <v>0</v>
      </c>
      <c r="W1889" s="836">
        <v>0</v>
      </c>
      <c r="X1889" s="836">
        <v>0</v>
      </c>
      <c r="Y1889" s="836">
        <v>0</v>
      </c>
      <c r="Z1889" s="836"/>
      <c r="AA1889" s="836"/>
      <c r="AB1889" s="836"/>
      <c r="AC1889" s="836"/>
      <c r="AD1889" s="1186">
        <f t="shared" si="151"/>
        <v>24000</v>
      </c>
      <c r="AE1889" s="637">
        <f t="shared" si="152"/>
        <v>1</v>
      </c>
      <c r="AF1889" s="638">
        <f t="shared" si="150"/>
        <v>910</v>
      </c>
    </row>
    <row r="1890" spans="1:32" x14ac:dyDescent="0.3">
      <c r="A1890" s="381" t="s">
        <v>759</v>
      </c>
      <c r="B1890" s="1021" t="s">
        <v>661</v>
      </c>
      <c r="C1890" s="530"/>
      <c r="D1890" s="836"/>
      <c r="E1890" s="836"/>
      <c r="F1890" s="836"/>
      <c r="G1890" s="836"/>
      <c r="H1890" s="836"/>
      <c r="I1890" s="836"/>
      <c r="J1890" s="836"/>
      <c r="K1890" s="836"/>
      <c r="L1890" s="836"/>
      <c r="M1890" s="836"/>
      <c r="N1890" s="836"/>
      <c r="O1890" s="836"/>
      <c r="P1890" s="1497">
        <f t="shared" si="153"/>
        <v>0</v>
      </c>
      <c r="Q1890" s="1186">
        <f t="shared" si="154"/>
        <v>0</v>
      </c>
      <c r="R1890" s="835">
        <v>18500</v>
      </c>
      <c r="S1890" s="836"/>
      <c r="T1890" s="836">
        <v>0</v>
      </c>
      <c r="U1890" s="836">
        <v>0</v>
      </c>
      <c r="V1890" s="836">
        <v>18500</v>
      </c>
      <c r="W1890" s="836">
        <v>0</v>
      </c>
      <c r="X1890" s="836">
        <v>0</v>
      </c>
      <c r="Y1890" s="836">
        <v>0</v>
      </c>
      <c r="Z1890" s="836"/>
      <c r="AA1890" s="836"/>
      <c r="AB1890" s="836"/>
      <c r="AC1890" s="836"/>
      <c r="AD1890" s="1186">
        <f t="shared" si="151"/>
        <v>37000</v>
      </c>
      <c r="AE1890" s="637">
        <f t="shared" si="152"/>
        <v>1</v>
      </c>
      <c r="AF1890" s="638">
        <f t="shared" si="150"/>
        <v>876</v>
      </c>
    </row>
    <row r="1891" spans="1:32" x14ac:dyDescent="0.3">
      <c r="A1891" s="381" t="s">
        <v>759</v>
      </c>
      <c r="B1891" s="1021" t="s">
        <v>1902</v>
      </c>
      <c r="C1891" s="530"/>
      <c r="D1891" s="836"/>
      <c r="E1891" s="836"/>
      <c r="F1891" s="836"/>
      <c r="G1891" s="836"/>
      <c r="H1891" s="836"/>
      <c r="I1891" s="836"/>
      <c r="J1891" s="836"/>
      <c r="K1891" s="836"/>
      <c r="L1891" s="836"/>
      <c r="M1891" s="836"/>
      <c r="N1891" s="836"/>
      <c r="O1891" s="836"/>
      <c r="P1891" s="1497">
        <f t="shared" si="153"/>
        <v>0</v>
      </c>
      <c r="Q1891" s="1186">
        <f t="shared" si="154"/>
        <v>0</v>
      </c>
      <c r="R1891" s="835">
        <v>5000</v>
      </c>
      <c r="S1891" s="836"/>
      <c r="T1891" s="836">
        <v>0</v>
      </c>
      <c r="U1891" s="836">
        <v>0</v>
      </c>
      <c r="V1891" s="836">
        <v>0</v>
      </c>
      <c r="W1891" s="836">
        <v>0</v>
      </c>
      <c r="X1891" s="836">
        <v>0</v>
      </c>
      <c r="Y1891" s="836">
        <v>0</v>
      </c>
      <c r="Z1891" s="836"/>
      <c r="AA1891" s="836"/>
      <c r="AB1891" s="836"/>
      <c r="AC1891" s="836"/>
      <c r="AD1891" s="1186">
        <f t="shared" si="151"/>
        <v>5000</v>
      </c>
      <c r="AE1891" s="637">
        <f t="shared" si="152"/>
        <v>1</v>
      </c>
      <c r="AF1891" s="638">
        <f t="shared" si="150"/>
        <v>972</v>
      </c>
    </row>
    <row r="1892" spans="1:32" x14ac:dyDescent="0.3">
      <c r="A1892" s="381" t="s">
        <v>759</v>
      </c>
      <c r="B1892" s="1021" t="s">
        <v>2513</v>
      </c>
      <c r="C1892" s="530"/>
      <c r="D1892" s="836"/>
      <c r="E1892" s="836"/>
      <c r="F1892" s="836"/>
      <c r="G1892" s="836"/>
      <c r="H1892" s="836"/>
      <c r="I1892" s="836"/>
      <c r="J1892" s="836"/>
      <c r="K1892" s="836"/>
      <c r="L1892" s="836"/>
      <c r="M1892" s="836"/>
      <c r="N1892" s="836"/>
      <c r="O1892" s="836"/>
      <c r="P1892" s="1497">
        <f t="shared" si="153"/>
        <v>0</v>
      </c>
      <c r="Q1892" s="1186">
        <f t="shared" si="154"/>
        <v>0</v>
      </c>
      <c r="R1892" s="835"/>
      <c r="S1892" s="836"/>
      <c r="T1892" s="836">
        <v>0</v>
      </c>
      <c r="U1892" s="836">
        <v>0</v>
      </c>
      <c r="V1892" s="836">
        <v>0</v>
      </c>
      <c r="W1892" s="836">
        <v>0</v>
      </c>
      <c r="X1892" s="836">
        <v>0</v>
      </c>
      <c r="Y1892" s="836">
        <v>0</v>
      </c>
      <c r="Z1892" s="836"/>
      <c r="AA1892" s="836"/>
      <c r="AB1892" s="836"/>
      <c r="AC1892" s="836"/>
      <c r="AD1892" s="1186">
        <f t="shared" si="151"/>
        <v>0</v>
      </c>
      <c r="AE1892" s="637">
        <f t="shared" si="152"/>
        <v>0</v>
      </c>
      <c r="AF1892" s="638">
        <f t="shared" si="150"/>
        <v>983</v>
      </c>
    </row>
    <row r="1893" spans="1:32" x14ac:dyDescent="0.3">
      <c r="A1893" s="381" t="s">
        <v>759</v>
      </c>
      <c r="B1893" s="1021" t="s">
        <v>2514</v>
      </c>
      <c r="C1893" s="530"/>
      <c r="D1893" s="836"/>
      <c r="E1893" s="836"/>
      <c r="F1893" s="836"/>
      <c r="G1893" s="836"/>
      <c r="H1893" s="836"/>
      <c r="I1893" s="836"/>
      <c r="J1893" s="836"/>
      <c r="K1893" s="836"/>
      <c r="L1893" s="836"/>
      <c r="M1893" s="836"/>
      <c r="N1893" s="836"/>
      <c r="O1893" s="836"/>
      <c r="P1893" s="1497">
        <f t="shared" si="153"/>
        <v>0</v>
      </c>
      <c r="Q1893" s="1186">
        <f t="shared" si="154"/>
        <v>0</v>
      </c>
      <c r="R1893" s="835"/>
      <c r="S1893" s="836"/>
      <c r="T1893" s="836">
        <v>0</v>
      </c>
      <c r="U1893" s="836">
        <v>0</v>
      </c>
      <c r="V1893" s="836">
        <v>0</v>
      </c>
      <c r="W1893" s="836">
        <v>0</v>
      </c>
      <c r="X1893" s="836">
        <v>0</v>
      </c>
      <c r="Y1893" s="836">
        <v>0</v>
      </c>
      <c r="Z1893" s="836"/>
      <c r="AA1893" s="836"/>
      <c r="AB1893" s="836"/>
      <c r="AC1893" s="836"/>
      <c r="AD1893" s="1186">
        <f t="shared" si="151"/>
        <v>0</v>
      </c>
      <c r="AE1893" s="637">
        <f t="shared" si="152"/>
        <v>0</v>
      </c>
      <c r="AF1893" s="638">
        <f t="shared" si="150"/>
        <v>983</v>
      </c>
    </row>
    <row r="1894" spans="1:32" x14ac:dyDescent="0.3">
      <c r="A1894" s="381" t="s">
        <v>759</v>
      </c>
      <c r="B1894" s="1021" t="s">
        <v>2127</v>
      </c>
      <c r="C1894" s="530"/>
      <c r="D1894" s="836"/>
      <c r="E1894" s="836"/>
      <c r="F1894" s="836"/>
      <c r="G1894" s="836"/>
      <c r="H1894" s="836"/>
      <c r="I1894" s="836"/>
      <c r="J1894" s="836"/>
      <c r="K1894" s="836"/>
      <c r="L1894" s="836"/>
      <c r="M1894" s="836"/>
      <c r="N1894" s="836"/>
      <c r="O1894" s="836"/>
      <c r="P1894" s="1497">
        <f t="shared" si="153"/>
        <v>0</v>
      </c>
      <c r="Q1894" s="1186">
        <f t="shared" si="154"/>
        <v>0</v>
      </c>
      <c r="R1894" s="835"/>
      <c r="S1894" s="836"/>
      <c r="T1894" s="836">
        <v>0</v>
      </c>
      <c r="U1894" s="836">
        <v>0</v>
      </c>
      <c r="V1894" s="836">
        <v>0</v>
      </c>
      <c r="W1894" s="836">
        <v>0</v>
      </c>
      <c r="X1894" s="836">
        <v>0</v>
      </c>
      <c r="Y1894" s="836">
        <v>0</v>
      </c>
      <c r="Z1894" s="836"/>
      <c r="AA1894" s="836"/>
      <c r="AB1894" s="836"/>
      <c r="AC1894" s="836"/>
      <c r="AD1894" s="1186">
        <f t="shared" si="151"/>
        <v>0</v>
      </c>
      <c r="AE1894" s="637">
        <f t="shared" si="152"/>
        <v>0</v>
      </c>
      <c r="AF1894" s="638">
        <f t="shared" si="150"/>
        <v>983</v>
      </c>
    </row>
    <row r="1895" spans="1:32" x14ac:dyDescent="0.3">
      <c r="A1895" s="381" t="s">
        <v>759</v>
      </c>
      <c r="B1895" s="1021" t="s">
        <v>2353</v>
      </c>
      <c r="C1895" s="530"/>
      <c r="D1895" s="836" t="s">
        <v>251</v>
      </c>
      <c r="E1895" s="836"/>
      <c r="F1895" s="836"/>
      <c r="G1895" s="836" t="s">
        <v>251</v>
      </c>
      <c r="H1895" s="836" t="s">
        <v>251</v>
      </c>
      <c r="I1895" s="836" t="s">
        <v>251</v>
      </c>
      <c r="J1895" s="836"/>
      <c r="K1895" s="836"/>
      <c r="L1895" s="836"/>
      <c r="M1895" s="836"/>
      <c r="N1895" s="836"/>
      <c r="O1895" s="836">
        <v>202800</v>
      </c>
      <c r="P1895" s="1497">
        <f t="shared" si="153"/>
        <v>0</v>
      </c>
      <c r="Q1895" s="1186">
        <f t="shared" si="154"/>
        <v>202800</v>
      </c>
      <c r="R1895" s="835">
        <v>1329100</v>
      </c>
      <c r="S1895" s="836">
        <v>756650</v>
      </c>
      <c r="T1895" s="836">
        <v>48000</v>
      </c>
      <c r="U1895" s="836">
        <v>90000</v>
      </c>
      <c r="V1895" s="836">
        <v>0</v>
      </c>
      <c r="W1895" s="836">
        <v>0</v>
      </c>
      <c r="X1895" s="836">
        <v>552600</v>
      </c>
      <c r="Y1895" s="836">
        <v>9900</v>
      </c>
      <c r="Z1895" s="836"/>
      <c r="AA1895" s="836"/>
      <c r="AB1895" s="836"/>
      <c r="AC1895" s="836"/>
      <c r="AD1895" s="1186">
        <f t="shared" si="151"/>
        <v>2786250</v>
      </c>
      <c r="AE1895" s="637">
        <f t="shared" si="152"/>
        <v>1</v>
      </c>
      <c r="AF1895" s="638">
        <f t="shared" si="150"/>
        <v>161</v>
      </c>
    </row>
    <row r="1896" spans="1:32" x14ac:dyDescent="0.3">
      <c r="A1896" s="381" t="s">
        <v>759</v>
      </c>
      <c r="B1896" s="1021" t="s">
        <v>2401</v>
      </c>
      <c r="C1896" s="530"/>
      <c r="D1896" s="836" t="s">
        <v>251</v>
      </c>
      <c r="E1896" s="836"/>
      <c r="F1896" s="836"/>
      <c r="G1896" s="836" t="s">
        <v>251</v>
      </c>
      <c r="H1896" s="836" t="s">
        <v>251</v>
      </c>
      <c r="I1896" s="836" t="s">
        <v>251</v>
      </c>
      <c r="J1896" s="836"/>
      <c r="K1896" s="836"/>
      <c r="L1896" s="836"/>
      <c r="M1896" s="836"/>
      <c r="N1896" s="836"/>
      <c r="O1896" s="836">
        <v>330000</v>
      </c>
      <c r="P1896" s="1497">
        <f t="shared" si="153"/>
        <v>0</v>
      </c>
      <c r="Q1896" s="1186">
        <f t="shared" si="154"/>
        <v>330000</v>
      </c>
      <c r="R1896" s="835"/>
      <c r="S1896" s="836"/>
      <c r="T1896" s="836"/>
      <c r="U1896" s="836"/>
      <c r="V1896" s="836"/>
      <c r="W1896" s="836"/>
      <c r="X1896" s="836"/>
      <c r="Y1896" s="836"/>
      <c r="Z1896" s="836"/>
      <c r="AA1896" s="836"/>
      <c r="AB1896" s="836"/>
      <c r="AC1896" s="836"/>
      <c r="AD1896" s="1186">
        <f t="shared" si="151"/>
        <v>0</v>
      </c>
      <c r="AE1896" s="637">
        <f t="shared" si="152"/>
        <v>0</v>
      </c>
      <c r="AF1896" s="638">
        <f t="shared" si="150"/>
        <v>983</v>
      </c>
    </row>
    <row r="1897" spans="1:32" x14ac:dyDescent="0.3">
      <c r="A1897" s="381" t="s">
        <v>759</v>
      </c>
      <c r="B1897" s="1021" t="s">
        <v>1385</v>
      </c>
      <c r="C1897" s="530"/>
      <c r="D1897" s="836" t="s">
        <v>251</v>
      </c>
      <c r="E1897" s="836"/>
      <c r="F1897" s="836"/>
      <c r="G1897" s="836" t="s">
        <v>251</v>
      </c>
      <c r="H1897" s="836" t="s">
        <v>251</v>
      </c>
      <c r="I1897" s="836" t="s">
        <v>251</v>
      </c>
      <c r="J1897" s="836"/>
      <c r="K1897" s="836"/>
      <c r="L1897" s="836"/>
      <c r="M1897" s="836"/>
      <c r="N1897" s="836"/>
      <c r="O1897" s="836">
        <v>255000</v>
      </c>
      <c r="P1897" s="1497">
        <f t="shared" si="153"/>
        <v>0</v>
      </c>
      <c r="Q1897" s="1186">
        <f t="shared" si="154"/>
        <v>255000</v>
      </c>
      <c r="R1897" s="835"/>
      <c r="S1897" s="836"/>
      <c r="T1897" s="836"/>
      <c r="U1897" s="836"/>
      <c r="V1897" s="836"/>
      <c r="W1897" s="836"/>
      <c r="X1897" s="836"/>
      <c r="Y1897" s="836"/>
      <c r="Z1897" s="836"/>
      <c r="AA1897" s="836"/>
      <c r="AB1897" s="836"/>
      <c r="AC1897" s="836"/>
      <c r="AD1897" s="1186">
        <f t="shared" si="151"/>
        <v>0</v>
      </c>
      <c r="AE1897" s="637">
        <f t="shared" si="152"/>
        <v>0</v>
      </c>
      <c r="AF1897" s="638">
        <f t="shared" si="150"/>
        <v>983</v>
      </c>
    </row>
    <row r="1898" spans="1:32" x14ac:dyDescent="0.3">
      <c r="A1898" s="381" t="s">
        <v>759</v>
      </c>
      <c r="B1898" s="1021" t="s">
        <v>2402</v>
      </c>
      <c r="C1898" s="530"/>
      <c r="D1898" s="836" t="s">
        <v>251</v>
      </c>
      <c r="E1898" s="836"/>
      <c r="F1898" s="836"/>
      <c r="G1898" s="836" t="s">
        <v>251</v>
      </c>
      <c r="H1898" s="836" t="s">
        <v>251</v>
      </c>
      <c r="I1898" s="836" t="s">
        <v>251</v>
      </c>
      <c r="J1898" s="836"/>
      <c r="K1898" s="836"/>
      <c r="L1898" s="836"/>
      <c r="M1898" s="836"/>
      <c r="N1898" s="836"/>
      <c r="O1898" s="836">
        <v>59000</v>
      </c>
      <c r="P1898" s="1497">
        <f t="shared" si="153"/>
        <v>0</v>
      </c>
      <c r="Q1898" s="1186">
        <f t="shared" si="154"/>
        <v>59000</v>
      </c>
      <c r="R1898" s="835"/>
      <c r="S1898" s="836"/>
      <c r="T1898" s="836"/>
      <c r="U1898" s="836"/>
      <c r="V1898" s="836"/>
      <c r="W1898" s="836"/>
      <c r="X1898" s="836"/>
      <c r="Y1898" s="836"/>
      <c r="Z1898" s="836"/>
      <c r="AA1898" s="836"/>
      <c r="AB1898" s="836"/>
      <c r="AC1898" s="836"/>
      <c r="AD1898" s="1186">
        <f t="shared" si="151"/>
        <v>0</v>
      </c>
      <c r="AE1898" s="637">
        <f t="shared" si="152"/>
        <v>0</v>
      </c>
      <c r="AF1898" s="638">
        <f t="shared" si="150"/>
        <v>983</v>
      </c>
    </row>
    <row r="1899" spans="1:32" x14ac:dyDescent="0.3">
      <c r="A1899" s="381" t="s">
        <v>759</v>
      </c>
      <c r="B1899" s="1021" t="s">
        <v>2403</v>
      </c>
      <c r="C1899" s="530"/>
      <c r="D1899" s="836" t="s">
        <v>251</v>
      </c>
      <c r="E1899" s="836"/>
      <c r="F1899" s="836"/>
      <c r="G1899" s="836" t="s">
        <v>251</v>
      </c>
      <c r="H1899" s="836" t="s">
        <v>251</v>
      </c>
      <c r="I1899" s="836" t="s">
        <v>251</v>
      </c>
      <c r="J1899" s="836"/>
      <c r="K1899" s="836"/>
      <c r="L1899" s="836"/>
      <c r="M1899" s="836"/>
      <c r="N1899" s="836"/>
      <c r="O1899" s="836">
        <v>35000</v>
      </c>
      <c r="P1899" s="1497">
        <f t="shared" si="153"/>
        <v>0</v>
      </c>
      <c r="Q1899" s="1186">
        <f t="shared" si="154"/>
        <v>35000</v>
      </c>
      <c r="R1899" s="835"/>
      <c r="S1899" s="836"/>
      <c r="T1899" s="836"/>
      <c r="U1899" s="836"/>
      <c r="V1899" s="836"/>
      <c r="W1899" s="836"/>
      <c r="X1899" s="836"/>
      <c r="Y1899" s="836"/>
      <c r="Z1899" s="836"/>
      <c r="AA1899" s="836"/>
      <c r="AB1899" s="836"/>
      <c r="AC1899" s="836"/>
      <c r="AD1899" s="1186">
        <f t="shared" si="151"/>
        <v>0</v>
      </c>
      <c r="AE1899" s="637">
        <f t="shared" si="152"/>
        <v>0</v>
      </c>
      <c r="AF1899" s="638">
        <f t="shared" si="150"/>
        <v>983</v>
      </c>
    </row>
    <row r="1900" spans="1:32" x14ac:dyDescent="0.3">
      <c r="A1900" s="381" t="s">
        <v>759</v>
      </c>
      <c r="B1900" s="1021" t="s">
        <v>1985</v>
      </c>
      <c r="C1900" s="530"/>
      <c r="D1900" s="836" t="s">
        <v>251</v>
      </c>
      <c r="E1900" s="836"/>
      <c r="F1900" s="836"/>
      <c r="G1900" s="836" t="s">
        <v>251</v>
      </c>
      <c r="H1900" s="836" t="s">
        <v>251</v>
      </c>
      <c r="I1900" s="836" t="s">
        <v>251</v>
      </c>
      <c r="J1900" s="836"/>
      <c r="K1900" s="836"/>
      <c r="L1900" s="836"/>
      <c r="M1900" s="836"/>
      <c r="N1900" s="836"/>
      <c r="O1900" s="836">
        <v>22600</v>
      </c>
      <c r="P1900" s="1497">
        <f t="shared" si="153"/>
        <v>0</v>
      </c>
      <c r="Q1900" s="1186">
        <f t="shared" si="154"/>
        <v>22600</v>
      </c>
      <c r="R1900" s="835"/>
      <c r="S1900" s="836"/>
      <c r="T1900" s="836"/>
      <c r="U1900" s="836"/>
      <c r="V1900" s="836"/>
      <c r="W1900" s="836"/>
      <c r="X1900" s="836"/>
      <c r="Y1900" s="836"/>
      <c r="Z1900" s="836"/>
      <c r="AA1900" s="836"/>
      <c r="AB1900" s="836"/>
      <c r="AC1900" s="836"/>
      <c r="AD1900" s="1186">
        <f t="shared" si="151"/>
        <v>0</v>
      </c>
      <c r="AE1900" s="637">
        <f t="shared" si="152"/>
        <v>0</v>
      </c>
      <c r="AF1900" s="638">
        <f t="shared" si="150"/>
        <v>983</v>
      </c>
    </row>
    <row r="1901" spans="1:32" x14ac:dyDescent="0.3">
      <c r="A1901" s="381" t="s">
        <v>759</v>
      </c>
      <c r="B1901" s="1021" t="s">
        <v>2404</v>
      </c>
      <c r="C1901" s="530"/>
      <c r="D1901" s="836" t="s">
        <v>251</v>
      </c>
      <c r="E1901" s="836"/>
      <c r="F1901" s="836"/>
      <c r="G1901" s="836" t="s">
        <v>251</v>
      </c>
      <c r="H1901" s="836" t="s">
        <v>251</v>
      </c>
      <c r="I1901" s="836" t="s">
        <v>251</v>
      </c>
      <c r="J1901" s="836"/>
      <c r="K1901" s="836"/>
      <c r="L1901" s="836"/>
      <c r="M1901" s="836"/>
      <c r="N1901" s="836"/>
      <c r="O1901" s="836">
        <v>17000</v>
      </c>
      <c r="P1901" s="1497">
        <f t="shared" si="153"/>
        <v>0</v>
      </c>
      <c r="Q1901" s="1186">
        <f t="shared" si="154"/>
        <v>17000</v>
      </c>
      <c r="R1901" s="835"/>
      <c r="S1901" s="836"/>
      <c r="T1901" s="836"/>
      <c r="U1901" s="836">
        <v>31000</v>
      </c>
      <c r="V1901" s="836">
        <v>0</v>
      </c>
      <c r="W1901" s="836">
        <v>0</v>
      </c>
      <c r="X1901" s="836">
        <v>0</v>
      </c>
      <c r="Y1901" s="836">
        <v>0</v>
      </c>
      <c r="Z1901" s="836"/>
      <c r="AA1901" s="836"/>
      <c r="AB1901" s="836"/>
      <c r="AC1901" s="836"/>
      <c r="AD1901" s="1186">
        <f t="shared" si="151"/>
        <v>31000</v>
      </c>
      <c r="AE1901" s="637">
        <f t="shared" si="152"/>
        <v>1</v>
      </c>
      <c r="AF1901" s="638">
        <f t="shared" si="150"/>
        <v>891</v>
      </c>
    </row>
    <row r="1902" spans="1:32" x14ac:dyDescent="0.3">
      <c r="A1902" s="381" t="s">
        <v>759</v>
      </c>
      <c r="B1902" s="1021" t="s">
        <v>2515</v>
      </c>
      <c r="C1902" s="530"/>
      <c r="D1902" s="836" t="s">
        <v>251</v>
      </c>
      <c r="E1902" s="836"/>
      <c r="F1902" s="836">
        <v>0</v>
      </c>
      <c r="G1902" s="836" t="s">
        <v>251</v>
      </c>
      <c r="H1902" s="836" t="s">
        <v>251</v>
      </c>
      <c r="I1902" s="836" t="s">
        <v>251</v>
      </c>
      <c r="J1902" s="836">
        <v>0</v>
      </c>
      <c r="K1902" s="836"/>
      <c r="L1902" s="836">
        <v>0</v>
      </c>
      <c r="M1902" s="836">
        <v>0</v>
      </c>
      <c r="N1902" s="836"/>
      <c r="O1902" s="836">
        <v>12200</v>
      </c>
      <c r="P1902" s="1497">
        <f t="shared" si="153"/>
        <v>0</v>
      </c>
      <c r="Q1902" s="1186">
        <f t="shared" si="154"/>
        <v>12200</v>
      </c>
      <c r="R1902" s="835">
        <v>57000</v>
      </c>
      <c r="S1902" s="836">
        <v>46000</v>
      </c>
      <c r="T1902" s="836">
        <v>0</v>
      </c>
      <c r="U1902" s="836">
        <v>0</v>
      </c>
      <c r="V1902" s="836">
        <v>0</v>
      </c>
      <c r="W1902" s="836">
        <v>0</v>
      </c>
      <c r="X1902" s="836">
        <v>0</v>
      </c>
      <c r="Y1902" s="836">
        <v>0</v>
      </c>
      <c r="Z1902" s="836"/>
      <c r="AA1902" s="836"/>
      <c r="AB1902" s="836"/>
      <c r="AC1902" s="836"/>
      <c r="AD1902" s="1186">
        <f t="shared" si="151"/>
        <v>103000</v>
      </c>
      <c r="AE1902" s="637">
        <f t="shared" si="152"/>
        <v>1</v>
      </c>
      <c r="AF1902" s="638">
        <f t="shared" si="150"/>
        <v>736</v>
      </c>
    </row>
    <row r="1903" spans="1:32" x14ac:dyDescent="0.3">
      <c r="A1903" s="381" t="s">
        <v>759</v>
      </c>
      <c r="B1903" s="1021" t="s">
        <v>2549</v>
      </c>
      <c r="C1903" s="530"/>
      <c r="D1903" s="836"/>
      <c r="E1903" s="836"/>
      <c r="F1903" s="836"/>
      <c r="G1903" s="836"/>
      <c r="H1903" s="836"/>
      <c r="I1903" s="836"/>
      <c r="J1903" s="836"/>
      <c r="K1903" s="836"/>
      <c r="L1903" s="836"/>
      <c r="M1903" s="836"/>
      <c r="N1903" s="836"/>
      <c r="O1903" s="836"/>
      <c r="P1903" s="1497">
        <f t="shared" si="153"/>
        <v>0</v>
      </c>
      <c r="Q1903" s="1186">
        <f t="shared" si="154"/>
        <v>0</v>
      </c>
      <c r="R1903" s="835">
        <v>172000</v>
      </c>
      <c r="S1903" s="836"/>
      <c r="T1903" s="836">
        <v>0</v>
      </c>
      <c r="U1903" s="836">
        <v>331000</v>
      </c>
      <c r="V1903" s="836">
        <v>35000</v>
      </c>
      <c r="W1903" s="836">
        <v>214000</v>
      </c>
      <c r="X1903" s="836">
        <v>0</v>
      </c>
      <c r="Y1903" s="836">
        <v>0</v>
      </c>
      <c r="Z1903" s="836"/>
      <c r="AA1903" s="836"/>
      <c r="AB1903" s="836"/>
      <c r="AC1903" s="836"/>
      <c r="AD1903" s="1186">
        <f t="shared" si="151"/>
        <v>752000</v>
      </c>
      <c r="AE1903" s="637">
        <f t="shared" si="152"/>
        <v>1</v>
      </c>
      <c r="AF1903" s="638">
        <f t="shared" si="150"/>
        <v>363</v>
      </c>
    </row>
    <row r="1904" spans="1:32" x14ac:dyDescent="0.3">
      <c r="A1904" s="381" t="s">
        <v>759</v>
      </c>
      <c r="B1904" s="1021" t="s">
        <v>2550</v>
      </c>
      <c r="C1904" s="530"/>
      <c r="D1904" s="836"/>
      <c r="E1904" s="836"/>
      <c r="F1904" s="836"/>
      <c r="G1904" s="836"/>
      <c r="H1904" s="836"/>
      <c r="I1904" s="836"/>
      <c r="J1904" s="836"/>
      <c r="K1904" s="836"/>
      <c r="L1904" s="836"/>
      <c r="M1904" s="836"/>
      <c r="N1904" s="836"/>
      <c r="O1904" s="836"/>
      <c r="P1904" s="1497">
        <f t="shared" si="153"/>
        <v>0</v>
      </c>
      <c r="Q1904" s="1186">
        <f t="shared" si="154"/>
        <v>0</v>
      </c>
      <c r="R1904" s="835">
        <v>78000</v>
      </c>
      <c r="S1904" s="836"/>
      <c r="T1904" s="836">
        <v>0</v>
      </c>
      <c r="U1904" s="836">
        <v>0</v>
      </c>
      <c r="V1904" s="836">
        <v>78000</v>
      </c>
      <c r="W1904" s="836">
        <v>0</v>
      </c>
      <c r="X1904" s="836">
        <v>0</v>
      </c>
      <c r="Y1904" s="836">
        <v>0</v>
      </c>
      <c r="Z1904" s="836"/>
      <c r="AA1904" s="836"/>
      <c r="AB1904" s="836"/>
      <c r="AC1904" s="836"/>
      <c r="AD1904" s="1186">
        <f t="shared" si="151"/>
        <v>156000</v>
      </c>
      <c r="AE1904" s="637">
        <f t="shared" si="152"/>
        <v>1</v>
      </c>
      <c r="AF1904" s="638">
        <f t="shared" si="150"/>
        <v>668</v>
      </c>
    </row>
    <row r="1905" spans="1:32" x14ac:dyDescent="0.3">
      <c r="A1905" s="381" t="s">
        <v>759</v>
      </c>
      <c r="B1905" s="1021" t="s">
        <v>2551</v>
      </c>
      <c r="C1905" s="530"/>
      <c r="D1905" s="836"/>
      <c r="E1905" s="836"/>
      <c r="F1905" s="836"/>
      <c r="G1905" s="836"/>
      <c r="H1905" s="836"/>
      <c r="I1905" s="836"/>
      <c r="J1905" s="836"/>
      <c r="K1905" s="836"/>
      <c r="L1905" s="836"/>
      <c r="M1905" s="836"/>
      <c r="N1905" s="836"/>
      <c r="O1905" s="836"/>
      <c r="P1905" s="1497">
        <f t="shared" si="153"/>
        <v>0</v>
      </c>
      <c r="Q1905" s="1186">
        <f t="shared" si="154"/>
        <v>0</v>
      </c>
      <c r="R1905" s="835">
        <v>29000</v>
      </c>
      <c r="S1905" s="836">
        <v>285000</v>
      </c>
      <c r="T1905" s="836">
        <v>0</v>
      </c>
      <c r="U1905" s="836">
        <v>0</v>
      </c>
      <c r="V1905" s="836">
        <v>0</v>
      </c>
      <c r="W1905" s="836">
        <v>0</v>
      </c>
      <c r="X1905" s="836">
        <v>0</v>
      </c>
      <c r="Y1905" s="836">
        <v>0</v>
      </c>
      <c r="Z1905" s="836"/>
      <c r="AA1905" s="836"/>
      <c r="AB1905" s="836"/>
      <c r="AC1905" s="836"/>
      <c r="AD1905" s="1186">
        <f t="shared" si="151"/>
        <v>314000</v>
      </c>
      <c r="AE1905" s="637">
        <f t="shared" si="152"/>
        <v>1</v>
      </c>
      <c r="AF1905" s="638">
        <f t="shared" si="150"/>
        <v>524</v>
      </c>
    </row>
    <row r="1906" spans="1:32" x14ac:dyDescent="0.3">
      <c r="A1906" s="381" t="s">
        <v>759</v>
      </c>
      <c r="B1906" s="1021" t="s">
        <v>2552</v>
      </c>
      <c r="C1906" s="530"/>
      <c r="D1906" s="836"/>
      <c r="E1906" s="836"/>
      <c r="F1906" s="836"/>
      <c r="G1906" s="836"/>
      <c r="H1906" s="836"/>
      <c r="I1906" s="836"/>
      <c r="J1906" s="836"/>
      <c r="K1906" s="836"/>
      <c r="L1906" s="836"/>
      <c r="M1906" s="836"/>
      <c r="N1906" s="836"/>
      <c r="O1906" s="836"/>
      <c r="P1906" s="1497">
        <f t="shared" si="153"/>
        <v>0</v>
      </c>
      <c r="Q1906" s="1186">
        <f t="shared" si="154"/>
        <v>0</v>
      </c>
      <c r="R1906" s="835">
        <v>28000</v>
      </c>
      <c r="S1906" s="836"/>
      <c r="T1906" s="836">
        <v>48000</v>
      </c>
      <c r="U1906" s="836">
        <v>73000</v>
      </c>
      <c r="V1906" s="836">
        <v>0</v>
      </c>
      <c r="W1906" s="836">
        <v>48000</v>
      </c>
      <c r="X1906" s="836">
        <v>0</v>
      </c>
      <c r="Y1906" s="836">
        <v>0</v>
      </c>
      <c r="Z1906" s="836"/>
      <c r="AA1906" s="836"/>
      <c r="AB1906" s="836"/>
      <c r="AC1906" s="836"/>
      <c r="AD1906" s="1186">
        <f t="shared" si="151"/>
        <v>197000</v>
      </c>
      <c r="AE1906" s="637">
        <f t="shared" si="152"/>
        <v>1</v>
      </c>
      <c r="AF1906" s="638">
        <f t="shared" si="150"/>
        <v>615</v>
      </c>
    </row>
    <row r="1907" spans="1:32" x14ac:dyDescent="0.3">
      <c r="A1907" s="1412" t="s">
        <v>759</v>
      </c>
      <c r="B1907" s="1407" t="s">
        <v>2569</v>
      </c>
      <c r="C1907" s="1028"/>
      <c r="D1907" s="1408"/>
      <c r="E1907" s="1408"/>
      <c r="F1907" s="1408"/>
      <c r="G1907" s="1408"/>
      <c r="H1907" s="1408"/>
      <c r="I1907" s="1408"/>
      <c r="J1907" s="1408"/>
      <c r="K1907" s="1408"/>
      <c r="L1907" s="1408"/>
      <c r="M1907" s="1408"/>
      <c r="N1907" s="1408"/>
      <c r="O1907" s="1408"/>
      <c r="P1907" s="1497">
        <f t="shared" si="153"/>
        <v>0</v>
      </c>
      <c r="Q1907" s="1186">
        <f t="shared" si="154"/>
        <v>0</v>
      </c>
      <c r="R1907" s="1409"/>
      <c r="S1907" s="1408">
        <v>225000</v>
      </c>
      <c r="T1907" s="1408">
        <v>0</v>
      </c>
      <c r="U1907" s="1408">
        <v>0</v>
      </c>
      <c r="V1907" s="1408">
        <v>0</v>
      </c>
      <c r="W1907" s="1408">
        <v>0</v>
      </c>
      <c r="X1907" s="1408">
        <v>0</v>
      </c>
      <c r="Y1907" s="1408">
        <v>0</v>
      </c>
      <c r="Z1907" s="1408"/>
      <c r="AA1907" s="1408"/>
      <c r="AB1907" s="1408"/>
      <c r="AC1907" s="1408"/>
      <c r="AD1907" s="1186">
        <f t="shared" si="151"/>
        <v>225000</v>
      </c>
      <c r="AE1907" s="637">
        <f t="shared" si="152"/>
        <v>1</v>
      </c>
      <c r="AF1907" s="638">
        <f t="shared" si="150"/>
        <v>588</v>
      </c>
    </row>
    <row r="1908" spans="1:32" x14ac:dyDescent="0.3">
      <c r="A1908" s="1412" t="s">
        <v>759</v>
      </c>
      <c r="B1908" s="1407" t="s">
        <v>2570</v>
      </c>
      <c r="C1908" s="1028"/>
      <c r="D1908" s="1408"/>
      <c r="E1908" s="1408"/>
      <c r="F1908" s="1408"/>
      <c r="G1908" s="1408"/>
      <c r="H1908" s="1408"/>
      <c r="I1908" s="1408"/>
      <c r="J1908" s="1408"/>
      <c r="K1908" s="1408"/>
      <c r="L1908" s="1408"/>
      <c r="M1908" s="1408"/>
      <c r="N1908" s="1408"/>
      <c r="O1908" s="1408"/>
      <c r="P1908" s="1497">
        <f t="shared" si="153"/>
        <v>0</v>
      </c>
      <c r="Q1908" s="1186">
        <f t="shared" si="154"/>
        <v>0</v>
      </c>
      <c r="R1908" s="1409"/>
      <c r="S1908" s="1408">
        <v>190000</v>
      </c>
      <c r="T1908" s="1408">
        <v>0</v>
      </c>
      <c r="U1908" s="1408">
        <v>0</v>
      </c>
      <c r="V1908" s="1408">
        <v>0</v>
      </c>
      <c r="W1908" s="1408">
        <v>0</v>
      </c>
      <c r="X1908" s="1408">
        <v>0</v>
      </c>
      <c r="Y1908" s="1408">
        <v>0</v>
      </c>
      <c r="Z1908" s="1408"/>
      <c r="AA1908" s="1408"/>
      <c r="AB1908" s="1408"/>
      <c r="AC1908" s="1408"/>
      <c r="AD1908" s="1186">
        <f t="shared" si="151"/>
        <v>190000</v>
      </c>
      <c r="AE1908" s="637">
        <f t="shared" si="152"/>
        <v>1</v>
      </c>
      <c r="AF1908" s="638">
        <f t="shared" si="150"/>
        <v>622</v>
      </c>
    </row>
    <row r="1909" spans="1:32" x14ac:dyDescent="0.3">
      <c r="A1909" s="1412" t="s">
        <v>759</v>
      </c>
      <c r="B1909" s="1407" t="s">
        <v>2559</v>
      </c>
      <c r="C1909" s="1028"/>
      <c r="D1909" s="1408"/>
      <c r="E1909" s="1408"/>
      <c r="F1909" s="1408"/>
      <c r="G1909" s="1408"/>
      <c r="H1909" s="1408"/>
      <c r="I1909" s="1408"/>
      <c r="J1909" s="1408"/>
      <c r="K1909" s="1408"/>
      <c r="L1909" s="1408"/>
      <c r="M1909" s="1408"/>
      <c r="N1909" s="1408"/>
      <c r="O1909" s="1408"/>
      <c r="P1909" s="1497">
        <f t="shared" si="153"/>
        <v>0</v>
      </c>
      <c r="Q1909" s="1186">
        <f t="shared" si="154"/>
        <v>0</v>
      </c>
      <c r="R1909" s="1409"/>
      <c r="S1909" s="1408">
        <v>155000</v>
      </c>
      <c r="T1909" s="1408">
        <v>0</v>
      </c>
      <c r="U1909" s="1408">
        <v>0</v>
      </c>
      <c r="V1909" s="1408">
        <v>0</v>
      </c>
      <c r="W1909" s="1408">
        <v>10000</v>
      </c>
      <c r="X1909" s="1408">
        <v>0</v>
      </c>
      <c r="Y1909" s="1408">
        <v>0</v>
      </c>
      <c r="Z1909" s="1408"/>
      <c r="AA1909" s="1408"/>
      <c r="AB1909" s="1408"/>
      <c r="AC1909" s="1408"/>
      <c r="AD1909" s="1186">
        <f t="shared" si="151"/>
        <v>165000</v>
      </c>
      <c r="AE1909" s="637">
        <f t="shared" si="152"/>
        <v>1</v>
      </c>
      <c r="AF1909" s="638">
        <f t="shared" si="150"/>
        <v>655</v>
      </c>
    </row>
    <row r="1910" spans="1:32" x14ac:dyDescent="0.3">
      <c r="A1910" s="1412" t="s">
        <v>759</v>
      </c>
      <c r="B1910" s="1407" t="s">
        <v>643</v>
      </c>
      <c r="C1910" s="1028"/>
      <c r="D1910" s="1408"/>
      <c r="E1910" s="1408"/>
      <c r="F1910" s="1408"/>
      <c r="G1910" s="1408"/>
      <c r="H1910" s="1408"/>
      <c r="I1910" s="1408"/>
      <c r="J1910" s="1408"/>
      <c r="K1910" s="1408"/>
      <c r="L1910" s="1408"/>
      <c r="M1910" s="1408"/>
      <c r="N1910" s="1408"/>
      <c r="O1910" s="1408"/>
      <c r="P1910" s="1497">
        <f t="shared" si="153"/>
        <v>0</v>
      </c>
      <c r="Q1910" s="1186">
        <f t="shared" si="154"/>
        <v>0</v>
      </c>
      <c r="R1910" s="1409"/>
      <c r="S1910" s="1408">
        <v>58750</v>
      </c>
      <c r="T1910" s="1408">
        <v>15000</v>
      </c>
      <c r="U1910" s="1408">
        <v>15000</v>
      </c>
      <c r="V1910" s="1408">
        <v>39500</v>
      </c>
      <c r="W1910" s="1408">
        <v>67000</v>
      </c>
      <c r="X1910" s="1408">
        <v>48500</v>
      </c>
      <c r="Y1910" s="1408">
        <v>0</v>
      </c>
      <c r="Z1910" s="1408"/>
      <c r="AA1910" s="1408"/>
      <c r="AB1910" s="1408"/>
      <c r="AC1910" s="1408"/>
      <c r="AD1910" s="1186">
        <f t="shared" si="151"/>
        <v>243750</v>
      </c>
      <c r="AE1910" s="637">
        <f t="shared" si="152"/>
        <v>1</v>
      </c>
      <c r="AF1910" s="638">
        <f t="shared" si="150"/>
        <v>574</v>
      </c>
    </row>
    <row r="1911" spans="1:32" x14ac:dyDescent="0.3">
      <c r="A1911" s="1412" t="s">
        <v>759</v>
      </c>
      <c r="B1911" s="1407" t="s">
        <v>2571</v>
      </c>
      <c r="C1911" s="1028"/>
      <c r="D1911" s="1408"/>
      <c r="E1911" s="1408"/>
      <c r="F1911" s="1408"/>
      <c r="G1911" s="1408"/>
      <c r="H1911" s="1408"/>
      <c r="I1911" s="1408"/>
      <c r="J1911" s="1408"/>
      <c r="K1911" s="1408"/>
      <c r="L1911" s="1408"/>
      <c r="M1911" s="1408"/>
      <c r="N1911" s="1408"/>
      <c r="O1911" s="1408"/>
      <c r="P1911" s="1497">
        <f t="shared" si="153"/>
        <v>0</v>
      </c>
      <c r="Q1911" s="1186">
        <f t="shared" si="154"/>
        <v>0</v>
      </c>
      <c r="R1911" s="1409"/>
      <c r="S1911" s="1408">
        <v>125000</v>
      </c>
      <c r="T1911" s="1408">
        <v>362000</v>
      </c>
      <c r="U1911" s="1408">
        <v>0</v>
      </c>
      <c r="V1911" s="1408">
        <v>0</v>
      </c>
      <c r="W1911" s="1408">
        <v>0</v>
      </c>
      <c r="X1911" s="1408">
        <v>0</v>
      </c>
      <c r="Y1911" s="1408">
        <v>0</v>
      </c>
      <c r="Z1911" s="1408"/>
      <c r="AA1911" s="1408"/>
      <c r="AB1911" s="1408"/>
      <c r="AC1911" s="1408"/>
      <c r="AD1911" s="1186">
        <f t="shared" si="151"/>
        <v>487000</v>
      </c>
      <c r="AE1911" s="637">
        <f t="shared" si="152"/>
        <v>1</v>
      </c>
      <c r="AF1911" s="638">
        <f t="shared" si="150"/>
        <v>447</v>
      </c>
    </row>
    <row r="1912" spans="1:32" x14ac:dyDescent="0.3">
      <c r="A1912" s="1412" t="s">
        <v>759</v>
      </c>
      <c r="B1912" s="1407" t="s">
        <v>2572</v>
      </c>
      <c r="C1912" s="1028"/>
      <c r="D1912" s="1408"/>
      <c r="E1912" s="1408"/>
      <c r="F1912" s="1408"/>
      <c r="G1912" s="1408"/>
      <c r="H1912" s="1408"/>
      <c r="I1912" s="1408"/>
      <c r="J1912" s="1408"/>
      <c r="K1912" s="1408"/>
      <c r="L1912" s="1408"/>
      <c r="M1912" s="1408"/>
      <c r="N1912" s="1408"/>
      <c r="O1912" s="1408"/>
      <c r="P1912" s="1497">
        <f t="shared" si="153"/>
        <v>0</v>
      </c>
      <c r="Q1912" s="1186">
        <f t="shared" si="154"/>
        <v>0</v>
      </c>
      <c r="R1912" s="1409"/>
      <c r="S1912" s="1408">
        <v>119000</v>
      </c>
      <c r="T1912" s="1408">
        <v>0</v>
      </c>
      <c r="U1912" s="1408">
        <v>0</v>
      </c>
      <c r="V1912" s="1408">
        <v>0</v>
      </c>
      <c r="W1912" s="1408">
        <v>119000</v>
      </c>
      <c r="X1912" s="1408">
        <v>0</v>
      </c>
      <c r="Y1912" s="1408">
        <v>0</v>
      </c>
      <c r="Z1912" s="1408"/>
      <c r="AA1912" s="1408"/>
      <c r="AB1912" s="1408"/>
      <c r="AC1912" s="1408"/>
      <c r="AD1912" s="1186">
        <f t="shared" si="151"/>
        <v>238000</v>
      </c>
      <c r="AE1912" s="637">
        <f t="shared" si="152"/>
        <v>1</v>
      </c>
      <c r="AF1912" s="638">
        <f t="shared" si="150"/>
        <v>579</v>
      </c>
    </row>
    <row r="1913" spans="1:32" x14ac:dyDescent="0.3">
      <c r="A1913" s="1412" t="s">
        <v>759</v>
      </c>
      <c r="B1913" s="1407" t="s">
        <v>2573</v>
      </c>
      <c r="C1913" s="1028"/>
      <c r="D1913" s="1408"/>
      <c r="E1913" s="1408"/>
      <c r="F1913" s="1408"/>
      <c r="G1913" s="1408"/>
      <c r="H1913" s="1408"/>
      <c r="I1913" s="1408"/>
      <c r="J1913" s="1408"/>
      <c r="K1913" s="1408"/>
      <c r="L1913" s="1408"/>
      <c r="M1913" s="1408"/>
      <c r="N1913" s="1408"/>
      <c r="O1913" s="1408"/>
      <c r="P1913" s="1497">
        <f t="shared" si="153"/>
        <v>0</v>
      </c>
      <c r="Q1913" s="1186">
        <f t="shared" si="154"/>
        <v>0</v>
      </c>
      <c r="R1913" s="1409"/>
      <c r="S1913" s="1408">
        <v>62000</v>
      </c>
      <c r="T1913" s="1408">
        <v>0</v>
      </c>
      <c r="U1913" s="1408">
        <v>0</v>
      </c>
      <c r="V1913" s="1408">
        <v>0</v>
      </c>
      <c r="W1913" s="1408">
        <v>0</v>
      </c>
      <c r="X1913" s="1408">
        <v>0</v>
      </c>
      <c r="Y1913" s="1408">
        <v>0</v>
      </c>
      <c r="Z1913" s="1408"/>
      <c r="AA1913" s="1408"/>
      <c r="AB1913" s="1408"/>
      <c r="AC1913" s="1408"/>
      <c r="AD1913" s="1186">
        <f t="shared" si="151"/>
        <v>62000</v>
      </c>
      <c r="AE1913" s="637">
        <f t="shared" si="152"/>
        <v>1</v>
      </c>
      <c r="AF1913" s="638">
        <f t="shared" si="150"/>
        <v>814</v>
      </c>
    </row>
    <row r="1914" spans="1:32" x14ac:dyDescent="0.3">
      <c r="A1914" s="1412" t="s">
        <v>759</v>
      </c>
      <c r="B1914" s="1407" t="s">
        <v>2574</v>
      </c>
      <c r="C1914" s="1028"/>
      <c r="D1914" s="1408"/>
      <c r="E1914" s="1408"/>
      <c r="F1914" s="1408"/>
      <c r="G1914" s="1408"/>
      <c r="H1914" s="1408"/>
      <c r="I1914" s="1408"/>
      <c r="J1914" s="1408"/>
      <c r="K1914" s="1408"/>
      <c r="L1914" s="1408"/>
      <c r="M1914" s="1408"/>
      <c r="N1914" s="1408"/>
      <c r="O1914" s="1408"/>
      <c r="P1914" s="1497">
        <f t="shared" si="153"/>
        <v>0</v>
      </c>
      <c r="Q1914" s="1186">
        <f t="shared" si="154"/>
        <v>0</v>
      </c>
      <c r="R1914" s="1409"/>
      <c r="S1914" s="1408">
        <v>55000</v>
      </c>
      <c r="T1914" s="1408">
        <v>0</v>
      </c>
      <c r="U1914" s="1408">
        <v>0</v>
      </c>
      <c r="V1914" s="1408">
        <v>0</v>
      </c>
      <c r="W1914" s="1408">
        <v>0</v>
      </c>
      <c r="X1914" s="1408">
        <v>0</v>
      </c>
      <c r="Y1914" s="1408">
        <v>0</v>
      </c>
      <c r="Z1914" s="1408"/>
      <c r="AA1914" s="1408"/>
      <c r="AB1914" s="1408"/>
      <c r="AC1914" s="1408"/>
      <c r="AD1914" s="1186">
        <f t="shared" si="151"/>
        <v>55000</v>
      </c>
      <c r="AE1914" s="637">
        <f t="shared" si="152"/>
        <v>1</v>
      </c>
      <c r="AF1914" s="638">
        <f t="shared" si="150"/>
        <v>828</v>
      </c>
    </row>
    <row r="1915" spans="1:32" x14ac:dyDescent="0.3">
      <c r="A1915" s="1412" t="s">
        <v>759</v>
      </c>
      <c r="B1915" s="1407" t="s">
        <v>1318</v>
      </c>
      <c r="C1915" s="1028"/>
      <c r="D1915" s="1408"/>
      <c r="E1915" s="1408"/>
      <c r="F1915" s="1408"/>
      <c r="G1915" s="1408"/>
      <c r="H1915" s="1408"/>
      <c r="I1915" s="1408"/>
      <c r="J1915" s="1408"/>
      <c r="K1915" s="1408"/>
      <c r="L1915" s="1408"/>
      <c r="M1915" s="1408"/>
      <c r="N1915" s="1408"/>
      <c r="O1915" s="1408"/>
      <c r="P1915" s="1497">
        <f t="shared" si="153"/>
        <v>0</v>
      </c>
      <c r="Q1915" s="1186">
        <f t="shared" si="154"/>
        <v>0</v>
      </c>
      <c r="R1915" s="1409"/>
      <c r="S1915" s="1408">
        <v>17000</v>
      </c>
      <c r="T1915" s="1408">
        <v>50000</v>
      </c>
      <c r="U1915" s="1408">
        <v>0</v>
      </c>
      <c r="V1915" s="1408">
        <v>0</v>
      </c>
      <c r="W1915" s="1408">
        <v>0</v>
      </c>
      <c r="X1915" s="1408">
        <v>0</v>
      </c>
      <c r="Y1915" s="1408">
        <v>0</v>
      </c>
      <c r="Z1915" s="1408"/>
      <c r="AA1915" s="1408"/>
      <c r="AB1915" s="1408"/>
      <c r="AC1915" s="1408"/>
      <c r="AD1915" s="1186">
        <f t="shared" si="151"/>
        <v>67000</v>
      </c>
      <c r="AE1915" s="637">
        <f t="shared" si="152"/>
        <v>1</v>
      </c>
      <c r="AF1915" s="638">
        <f t="shared" si="150"/>
        <v>805</v>
      </c>
    </row>
    <row r="1916" spans="1:32" x14ac:dyDescent="0.3">
      <c r="A1916" s="1412" t="s">
        <v>759</v>
      </c>
      <c r="B1916" s="1407" t="s">
        <v>2575</v>
      </c>
      <c r="C1916" s="1028"/>
      <c r="D1916" s="1408"/>
      <c r="E1916" s="1408"/>
      <c r="F1916" s="1408"/>
      <c r="G1916" s="1408"/>
      <c r="H1916" s="1408"/>
      <c r="I1916" s="1408"/>
      <c r="J1916" s="1408"/>
      <c r="K1916" s="1408"/>
      <c r="L1916" s="1408"/>
      <c r="M1916" s="1408"/>
      <c r="N1916" s="1408"/>
      <c r="O1916" s="1408"/>
      <c r="P1916" s="1497">
        <f t="shared" si="153"/>
        <v>0</v>
      </c>
      <c r="Q1916" s="1186">
        <f t="shared" si="154"/>
        <v>0</v>
      </c>
      <c r="R1916" s="1409"/>
      <c r="S1916" s="1408">
        <v>20000</v>
      </c>
      <c r="T1916" s="1408">
        <v>0</v>
      </c>
      <c r="U1916" s="1408">
        <v>0</v>
      </c>
      <c r="V1916" s="1408">
        <v>0</v>
      </c>
      <c r="W1916" s="1408">
        <v>0</v>
      </c>
      <c r="X1916" s="1408">
        <v>0</v>
      </c>
      <c r="Y1916" s="1408">
        <v>0</v>
      </c>
      <c r="Z1916" s="1408"/>
      <c r="AA1916" s="1408"/>
      <c r="AB1916" s="1408"/>
      <c r="AC1916" s="1408"/>
      <c r="AD1916" s="1186">
        <f t="shared" si="151"/>
        <v>20000</v>
      </c>
      <c r="AE1916" s="637">
        <f t="shared" si="152"/>
        <v>1</v>
      </c>
      <c r="AF1916" s="638">
        <f t="shared" si="150"/>
        <v>921</v>
      </c>
    </row>
    <row r="1917" spans="1:32" x14ac:dyDescent="0.3">
      <c r="A1917" s="1412" t="s">
        <v>759</v>
      </c>
      <c r="B1917" s="1407" t="s">
        <v>646</v>
      </c>
      <c r="C1917" s="1028"/>
      <c r="D1917" s="1408"/>
      <c r="E1917" s="1408"/>
      <c r="F1917" s="1408"/>
      <c r="G1917" s="1408"/>
      <c r="H1917" s="1408"/>
      <c r="I1917" s="1408"/>
      <c r="J1917" s="1408"/>
      <c r="K1917" s="1408"/>
      <c r="L1917" s="1408"/>
      <c r="M1917" s="1408"/>
      <c r="N1917" s="1408"/>
      <c r="O1917" s="1408"/>
      <c r="P1917" s="1497">
        <f t="shared" si="153"/>
        <v>0</v>
      </c>
      <c r="Q1917" s="1186">
        <f t="shared" si="154"/>
        <v>0</v>
      </c>
      <c r="R1917" s="1409"/>
      <c r="S1917" s="1408">
        <v>10500</v>
      </c>
      <c r="T1917" s="1408">
        <v>25500</v>
      </c>
      <c r="U1917" s="1408">
        <v>0</v>
      </c>
      <c r="V1917" s="1408">
        <v>31500</v>
      </c>
      <c r="W1917" s="1408">
        <v>0</v>
      </c>
      <c r="X1917" s="1408">
        <v>10500</v>
      </c>
      <c r="Y1917" s="1408">
        <v>16000</v>
      </c>
      <c r="Z1917" s="1408"/>
      <c r="AA1917" s="1408"/>
      <c r="AB1917" s="1408"/>
      <c r="AC1917" s="1408"/>
      <c r="AD1917" s="1186">
        <f t="shared" si="151"/>
        <v>94000</v>
      </c>
      <c r="AE1917" s="637">
        <f t="shared" si="152"/>
        <v>1</v>
      </c>
      <c r="AF1917" s="638">
        <f t="shared" si="150"/>
        <v>753</v>
      </c>
    </row>
    <row r="1918" spans="1:32" x14ac:dyDescent="0.3">
      <c r="A1918" s="1412" t="s">
        <v>759</v>
      </c>
      <c r="B1918" s="1407" t="s">
        <v>2581</v>
      </c>
      <c r="C1918" s="1028"/>
      <c r="D1918" s="1440"/>
      <c r="E1918" s="1440"/>
      <c r="F1918" s="1440"/>
      <c r="G1918" s="1440"/>
      <c r="H1918" s="1440"/>
      <c r="I1918" s="1440"/>
      <c r="J1918" s="1440"/>
      <c r="K1918" s="1440"/>
      <c r="L1918" s="1440"/>
      <c r="M1918" s="1440"/>
      <c r="N1918" s="1440"/>
      <c r="O1918" s="1440"/>
      <c r="P1918" s="1497">
        <f t="shared" si="153"/>
        <v>0</v>
      </c>
      <c r="Q1918" s="1186">
        <f t="shared" si="154"/>
        <v>0</v>
      </c>
      <c r="R1918" s="1409"/>
      <c r="S1918" s="1440">
        <v>196900</v>
      </c>
      <c r="T1918" s="1440">
        <v>0</v>
      </c>
      <c r="U1918" s="1440">
        <v>0</v>
      </c>
      <c r="V1918" s="1440">
        <v>0</v>
      </c>
      <c r="W1918" s="1440">
        <v>0</v>
      </c>
      <c r="X1918" s="1440">
        <v>0</v>
      </c>
      <c r="Y1918" s="1440">
        <v>0</v>
      </c>
      <c r="Z1918" s="1440"/>
      <c r="AA1918" s="1440"/>
      <c r="AB1918" s="1440"/>
      <c r="AC1918" s="1440"/>
      <c r="AD1918" s="1186">
        <f t="shared" si="151"/>
        <v>196900</v>
      </c>
      <c r="AE1918" s="637">
        <f t="shared" si="152"/>
        <v>1</v>
      </c>
      <c r="AF1918" s="638">
        <f t="shared" si="150"/>
        <v>616</v>
      </c>
    </row>
    <row r="1919" spans="1:32" x14ac:dyDescent="0.3">
      <c r="A1919" s="1412" t="s">
        <v>759</v>
      </c>
      <c r="B1919" s="1407" t="s">
        <v>2582</v>
      </c>
      <c r="C1919" s="1028"/>
      <c r="D1919" s="1440"/>
      <c r="E1919" s="1440"/>
      <c r="F1919" s="1440"/>
      <c r="G1919" s="1440"/>
      <c r="H1919" s="1440"/>
      <c r="I1919" s="1440"/>
      <c r="J1919" s="1440"/>
      <c r="K1919" s="1440"/>
      <c r="L1919" s="1440"/>
      <c r="M1919" s="1440"/>
      <c r="N1919" s="1440"/>
      <c r="O1919" s="1440"/>
      <c r="P1919" s="1497">
        <f t="shared" si="153"/>
        <v>0</v>
      </c>
      <c r="Q1919" s="1186">
        <f t="shared" si="154"/>
        <v>0</v>
      </c>
      <c r="R1919" s="1409"/>
      <c r="S1919" s="1440">
        <v>116550</v>
      </c>
      <c r="T1919" s="1440">
        <v>0</v>
      </c>
      <c r="U1919" s="1440">
        <v>0</v>
      </c>
      <c r="V1919" s="1440">
        <v>0</v>
      </c>
      <c r="W1919" s="1440">
        <v>0</v>
      </c>
      <c r="X1919" s="1440">
        <v>0</v>
      </c>
      <c r="Y1919" s="1440">
        <v>0</v>
      </c>
      <c r="Z1919" s="1440"/>
      <c r="AA1919" s="1440"/>
      <c r="AB1919" s="1440"/>
      <c r="AC1919" s="1440"/>
      <c r="AD1919" s="1186">
        <f t="shared" si="151"/>
        <v>116550</v>
      </c>
      <c r="AE1919" s="637">
        <f t="shared" si="152"/>
        <v>1</v>
      </c>
      <c r="AF1919" s="638">
        <f t="shared" si="150"/>
        <v>719</v>
      </c>
    </row>
    <row r="1920" spans="1:32" x14ac:dyDescent="0.3">
      <c r="A1920" s="1412" t="s">
        <v>759</v>
      </c>
      <c r="B1920" s="1407" t="s">
        <v>2583</v>
      </c>
      <c r="C1920" s="1028"/>
      <c r="D1920" s="1440"/>
      <c r="E1920" s="1440"/>
      <c r="F1920" s="1440"/>
      <c r="G1920" s="1440"/>
      <c r="H1920" s="1440"/>
      <c r="I1920" s="1440"/>
      <c r="J1920" s="1440"/>
      <c r="K1920" s="1440"/>
      <c r="L1920" s="1440"/>
      <c r="M1920" s="1440"/>
      <c r="N1920" s="1440"/>
      <c r="O1920" s="1440"/>
      <c r="P1920" s="1497">
        <f t="shared" si="153"/>
        <v>0</v>
      </c>
      <c r="Q1920" s="1186">
        <f t="shared" si="154"/>
        <v>0</v>
      </c>
      <c r="R1920" s="1409"/>
      <c r="S1920" s="1440">
        <v>73800</v>
      </c>
      <c r="T1920" s="1440">
        <v>0</v>
      </c>
      <c r="U1920" s="1440">
        <v>0</v>
      </c>
      <c r="V1920" s="1440">
        <v>0</v>
      </c>
      <c r="W1920" s="1440">
        <v>0</v>
      </c>
      <c r="X1920" s="1440">
        <v>0</v>
      </c>
      <c r="Y1920" s="1440">
        <v>0</v>
      </c>
      <c r="Z1920" s="1440"/>
      <c r="AA1920" s="1440"/>
      <c r="AB1920" s="1440"/>
      <c r="AC1920" s="1440"/>
      <c r="AD1920" s="1186">
        <f t="shared" si="151"/>
        <v>73800</v>
      </c>
      <c r="AE1920" s="637">
        <f t="shared" si="152"/>
        <v>1</v>
      </c>
      <c r="AF1920" s="638">
        <f t="shared" si="150"/>
        <v>790</v>
      </c>
    </row>
    <row r="1921" spans="1:32" x14ac:dyDescent="0.3">
      <c r="A1921" s="1412" t="s">
        <v>759</v>
      </c>
      <c r="B1921" s="1407" t="s">
        <v>2622</v>
      </c>
      <c r="C1921" s="1028"/>
      <c r="D1921" s="1440"/>
      <c r="E1921" s="1440"/>
      <c r="F1921" s="1440"/>
      <c r="G1921" s="1440"/>
      <c r="H1921" s="1440"/>
      <c r="I1921" s="1440"/>
      <c r="J1921" s="1440"/>
      <c r="K1921" s="1440"/>
      <c r="L1921" s="1440"/>
      <c r="M1921" s="1440"/>
      <c r="N1921" s="1440"/>
      <c r="O1921" s="1440"/>
      <c r="P1921" s="1497">
        <f t="shared" si="153"/>
        <v>0</v>
      </c>
      <c r="Q1921" s="1186">
        <f t="shared" si="154"/>
        <v>0</v>
      </c>
      <c r="R1921" s="1409"/>
      <c r="S1921" s="1440"/>
      <c r="T1921" s="1440">
        <v>175000</v>
      </c>
      <c r="U1921" s="1440">
        <v>0</v>
      </c>
      <c r="V1921" s="1440">
        <v>0</v>
      </c>
      <c r="W1921" s="1440">
        <v>0</v>
      </c>
      <c r="X1921" s="1440">
        <v>0</v>
      </c>
      <c r="Y1921" s="1440">
        <v>0</v>
      </c>
      <c r="Z1921" s="1440"/>
      <c r="AA1921" s="1440"/>
      <c r="AB1921" s="1440"/>
      <c r="AC1921" s="1440"/>
      <c r="AD1921" s="1186">
        <f t="shared" si="151"/>
        <v>175000</v>
      </c>
      <c r="AE1921" s="637">
        <f t="shared" si="152"/>
        <v>1</v>
      </c>
      <c r="AF1921" s="638">
        <f t="shared" si="150"/>
        <v>646</v>
      </c>
    </row>
    <row r="1922" spans="1:32" x14ac:dyDescent="0.3">
      <c r="A1922" s="1412" t="s">
        <v>759</v>
      </c>
      <c r="B1922" s="1407" t="s">
        <v>2623</v>
      </c>
      <c r="C1922" s="1028"/>
      <c r="D1922" s="1440"/>
      <c r="E1922" s="1440"/>
      <c r="F1922" s="1440"/>
      <c r="G1922" s="1440"/>
      <c r="H1922" s="1440"/>
      <c r="I1922" s="1440"/>
      <c r="J1922" s="1440"/>
      <c r="K1922" s="1440"/>
      <c r="L1922" s="1440"/>
      <c r="M1922" s="1440"/>
      <c r="N1922" s="1440"/>
      <c r="O1922" s="1440"/>
      <c r="P1922" s="1497">
        <f t="shared" si="153"/>
        <v>0</v>
      </c>
      <c r="Q1922" s="1186">
        <f t="shared" si="154"/>
        <v>0</v>
      </c>
      <c r="R1922" s="1409"/>
      <c r="S1922" s="1440"/>
      <c r="T1922" s="1440">
        <v>137000</v>
      </c>
      <c r="U1922" s="1440">
        <v>0</v>
      </c>
      <c r="V1922" s="1440">
        <v>47000</v>
      </c>
      <c r="W1922" s="1440">
        <v>0</v>
      </c>
      <c r="X1922" s="1440">
        <v>0</v>
      </c>
      <c r="Y1922" s="1440">
        <v>0</v>
      </c>
      <c r="Z1922" s="1440"/>
      <c r="AA1922" s="1440"/>
      <c r="AB1922" s="1440"/>
      <c r="AC1922" s="1440"/>
      <c r="AD1922" s="1186">
        <f t="shared" si="151"/>
        <v>184000</v>
      </c>
      <c r="AE1922" s="637">
        <f t="shared" si="152"/>
        <v>1</v>
      </c>
      <c r="AF1922" s="638">
        <f t="shared" si="150"/>
        <v>629</v>
      </c>
    </row>
    <row r="1923" spans="1:32" x14ac:dyDescent="0.3">
      <c r="A1923" s="1412" t="s">
        <v>759</v>
      </c>
      <c r="B1923" s="1407" t="s">
        <v>2624</v>
      </c>
      <c r="C1923" s="1028"/>
      <c r="D1923" s="1440"/>
      <c r="E1923" s="1440"/>
      <c r="F1923" s="1440"/>
      <c r="G1923" s="1440"/>
      <c r="H1923" s="1440"/>
      <c r="I1923" s="1440"/>
      <c r="J1923" s="1440"/>
      <c r="K1923" s="1440"/>
      <c r="L1923" s="1440"/>
      <c r="M1923" s="1440"/>
      <c r="N1923" s="1440"/>
      <c r="O1923" s="1440"/>
      <c r="P1923" s="1497">
        <f t="shared" si="153"/>
        <v>0</v>
      </c>
      <c r="Q1923" s="1186">
        <f t="shared" si="154"/>
        <v>0</v>
      </c>
      <c r="R1923" s="1409"/>
      <c r="S1923" s="1440"/>
      <c r="T1923" s="1440">
        <v>223500</v>
      </c>
      <c r="U1923" s="1440">
        <v>0</v>
      </c>
      <c r="V1923" s="1440">
        <v>95000</v>
      </c>
      <c r="W1923" s="1440">
        <v>96000</v>
      </c>
      <c r="X1923" s="1440">
        <v>0</v>
      </c>
      <c r="Y1923" s="1440">
        <v>0</v>
      </c>
      <c r="Z1923" s="1440"/>
      <c r="AA1923" s="1440"/>
      <c r="AB1923" s="1440"/>
      <c r="AC1923" s="1440"/>
      <c r="AD1923" s="1186">
        <f t="shared" si="151"/>
        <v>414500</v>
      </c>
      <c r="AE1923" s="637">
        <f t="shared" si="152"/>
        <v>1</v>
      </c>
      <c r="AF1923" s="638">
        <f t="shared" si="150"/>
        <v>475</v>
      </c>
    </row>
    <row r="1924" spans="1:32" x14ac:dyDescent="0.3">
      <c r="A1924" s="1412" t="s">
        <v>759</v>
      </c>
      <c r="B1924" s="1407" t="s">
        <v>2625</v>
      </c>
      <c r="C1924" s="1028"/>
      <c r="D1924" s="1440"/>
      <c r="E1924" s="1440"/>
      <c r="F1924" s="1440"/>
      <c r="G1924" s="1440"/>
      <c r="H1924" s="1440"/>
      <c r="I1924" s="1440"/>
      <c r="J1924" s="1440"/>
      <c r="K1924" s="1440"/>
      <c r="L1924" s="1440"/>
      <c r="M1924" s="1440"/>
      <c r="N1924" s="1440"/>
      <c r="O1924" s="1440"/>
      <c r="P1924" s="1497">
        <f t="shared" si="153"/>
        <v>0</v>
      </c>
      <c r="Q1924" s="1186">
        <f t="shared" si="154"/>
        <v>0</v>
      </c>
      <c r="R1924" s="1409"/>
      <c r="S1924" s="1440"/>
      <c r="T1924" s="1440">
        <v>972200</v>
      </c>
      <c r="U1924" s="1440">
        <v>330000</v>
      </c>
      <c r="V1924" s="1440">
        <v>0</v>
      </c>
      <c r="W1924" s="1440">
        <v>0</v>
      </c>
      <c r="X1924" s="1440">
        <v>0</v>
      </c>
      <c r="Y1924" s="1440">
        <v>0</v>
      </c>
      <c r="Z1924" s="1440"/>
      <c r="AA1924" s="1440"/>
      <c r="AB1924" s="1440"/>
      <c r="AC1924" s="1440"/>
      <c r="AD1924" s="1186">
        <f t="shared" si="151"/>
        <v>1302200</v>
      </c>
      <c r="AE1924" s="637">
        <f t="shared" si="152"/>
        <v>1</v>
      </c>
      <c r="AF1924" s="638">
        <f t="shared" si="150"/>
        <v>268</v>
      </c>
    </row>
    <row r="1925" spans="1:32" x14ac:dyDescent="0.3">
      <c r="A1925" s="1412" t="s">
        <v>759</v>
      </c>
      <c r="B1925" s="1407" t="s">
        <v>2626</v>
      </c>
      <c r="C1925" s="1028"/>
      <c r="D1925" s="1440"/>
      <c r="E1925" s="1440"/>
      <c r="F1925" s="1440"/>
      <c r="G1925" s="1440"/>
      <c r="H1925" s="1440"/>
      <c r="I1925" s="1440"/>
      <c r="J1925" s="1440"/>
      <c r="K1925" s="1440"/>
      <c r="L1925" s="1440"/>
      <c r="M1925" s="1440"/>
      <c r="N1925" s="1440"/>
      <c r="O1925" s="1440"/>
      <c r="P1925" s="1497">
        <f t="shared" si="153"/>
        <v>0</v>
      </c>
      <c r="Q1925" s="1186">
        <f t="shared" si="154"/>
        <v>0</v>
      </c>
      <c r="R1925" s="1409"/>
      <c r="S1925" s="1440"/>
      <c r="T1925" s="1440">
        <v>65000</v>
      </c>
      <c r="U1925" s="1440">
        <v>0</v>
      </c>
      <c r="V1925" s="1440">
        <v>0</v>
      </c>
      <c r="W1925" s="1440">
        <v>0</v>
      </c>
      <c r="X1925" s="1440">
        <v>0</v>
      </c>
      <c r="Y1925" s="1440">
        <v>0</v>
      </c>
      <c r="Z1925" s="1440"/>
      <c r="AA1925" s="1440"/>
      <c r="AB1925" s="1440"/>
      <c r="AC1925" s="1440"/>
      <c r="AD1925" s="1186">
        <f t="shared" si="151"/>
        <v>65000</v>
      </c>
      <c r="AE1925" s="637">
        <f t="shared" si="152"/>
        <v>1</v>
      </c>
      <c r="AF1925" s="638">
        <f t="shared" si="150"/>
        <v>808</v>
      </c>
    </row>
    <row r="1926" spans="1:32" x14ac:dyDescent="0.3">
      <c r="A1926" s="1412" t="s">
        <v>759</v>
      </c>
      <c r="B1926" s="1407" t="s">
        <v>2627</v>
      </c>
      <c r="C1926" s="1028"/>
      <c r="D1926" s="1440"/>
      <c r="E1926" s="1440"/>
      <c r="F1926" s="1440"/>
      <c r="G1926" s="1440"/>
      <c r="H1926" s="1440"/>
      <c r="I1926" s="1440"/>
      <c r="J1926" s="1440"/>
      <c r="K1926" s="1440"/>
      <c r="L1926" s="1440"/>
      <c r="M1926" s="1440"/>
      <c r="N1926" s="1440"/>
      <c r="O1926" s="1440"/>
      <c r="P1926" s="1497">
        <f t="shared" si="153"/>
        <v>0</v>
      </c>
      <c r="Q1926" s="1186">
        <f t="shared" si="154"/>
        <v>0</v>
      </c>
      <c r="R1926" s="1409"/>
      <c r="S1926" s="1440"/>
      <c r="T1926" s="1440">
        <v>55000</v>
      </c>
      <c r="U1926" s="1440">
        <v>0</v>
      </c>
      <c r="V1926" s="1440">
        <v>0</v>
      </c>
      <c r="W1926" s="1440">
        <v>0</v>
      </c>
      <c r="X1926" s="1440">
        <v>0</v>
      </c>
      <c r="Y1926" s="1440">
        <v>0</v>
      </c>
      <c r="Z1926" s="1440"/>
      <c r="AA1926" s="1440"/>
      <c r="AB1926" s="1440"/>
      <c r="AC1926" s="1440"/>
      <c r="AD1926" s="1186">
        <f t="shared" si="151"/>
        <v>55000</v>
      </c>
      <c r="AE1926" s="637">
        <f t="shared" si="152"/>
        <v>1</v>
      </c>
      <c r="AF1926" s="638">
        <f t="shared" si="150"/>
        <v>828</v>
      </c>
    </row>
    <row r="1927" spans="1:32" x14ac:dyDescent="0.3">
      <c r="A1927" s="1412" t="s">
        <v>759</v>
      </c>
      <c r="B1927" s="1407" t="s">
        <v>2628</v>
      </c>
      <c r="C1927" s="1028"/>
      <c r="D1927" s="1440"/>
      <c r="E1927" s="1440"/>
      <c r="F1927" s="1440"/>
      <c r="G1927" s="1440"/>
      <c r="H1927" s="1440"/>
      <c r="I1927" s="1440"/>
      <c r="J1927" s="1440"/>
      <c r="K1927" s="1440"/>
      <c r="L1927" s="1440"/>
      <c r="M1927" s="1440"/>
      <c r="N1927" s="1440"/>
      <c r="O1927" s="1440"/>
      <c r="P1927" s="1497">
        <f t="shared" si="153"/>
        <v>0</v>
      </c>
      <c r="Q1927" s="1186">
        <f t="shared" si="154"/>
        <v>0</v>
      </c>
      <c r="R1927" s="1409"/>
      <c r="S1927" s="1440"/>
      <c r="T1927" s="1440">
        <v>67000</v>
      </c>
      <c r="U1927" s="1440">
        <v>0</v>
      </c>
      <c r="V1927" s="1440">
        <v>0</v>
      </c>
      <c r="W1927" s="1440">
        <v>0</v>
      </c>
      <c r="X1927" s="1440">
        <v>0</v>
      </c>
      <c r="Y1927" s="1440">
        <v>0</v>
      </c>
      <c r="Z1927" s="1440"/>
      <c r="AA1927" s="1440"/>
      <c r="AB1927" s="1440"/>
      <c r="AC1927" s="1440"/>
      <c r="AD1927" s="1186">
        <f t="shared" si="151"/>
        <v>67000</v>
      </c>
      <c r="AE1927" s="637">
        <f t="shared" si="152"/>
        <v>1</v>
      </c>
      <c r="AF1927" s="638">
        <f t="shared" ref="AF1927:AF1990" si="155">IFERROR(_xlfn.RANK.EQ(AD1927, $AD$2:$AD$2064), "")</f>
        <v>805</v>
      </c>
    </row>
    <row r="1928" spans="1:32" x14ac:dyDescent="0.3">
      <c r="A1928" s="1412" t="s">
        <v>759</v>
      </c>
      <c r="B1928" s="1407" t="s">
        <v>2629</v>
      </c>
      <c r="C1928" s="1028"/>
      <c r="D1928" s="1440"/>
      <c r="E1928" s="1440"/>
      <c r="F1928" s="1440"/>
      <c r="G1928" s="1440"/>
      <c r="H1928" s="1440"/>
      <c r="I1928" s="1440"/>
      <c r="J1928" s="1440"/>
      <c r="K1928" s="1440"/>
      <c r="L1928" s="1440"/>
      <c r="M1928" s="1440"/>
      <c r="N1928" s="1440"/>
      <c r="O1928" s="1440"/>
      <c r="P1928" s="1497">
        <f t="shared" si="153"/>
        <v>0</v>
      </c>
      <c r="Q1928" s="1186">
        <f t="shared" si="154"/>
        <v>0</v>
      </c>
      <c r="R1928" s="1409"/>
      <c r="S1928" s="1440"/>
      <c r="T1928" s="1440">
        <v>40000</v>
      </c>
      <c r="U1928" s="1440">
        <v>0</v>
      </c>
      <c r="V1928" s="1440">
        <v>0</v>
      </c>
      <c r="W1928" s="1440">
        <v>55000</v>
      </c>
      <c r="X1928" s="1440">
        <v>0</v>
      </c>
      <c r="Y1928" s="1440">
        <v>0</v>
      </c>
      <c r="Z1928" s="1440"/>
      <c r="AA1928" s="1440"/>
      <c r="AB1928" s="1440"/>
      <c r="AC1928" s="1440"/>
      <c r="AD1928" s="1186">
        <f t="shared" si="151"/>
        <v>95000</v>
      </c>
      <c r="AE1928" s="637">
        <f t="shared" si="152"/>
        <v>1</v>
      </c>
      <c r="AF1928" s="638">
        <f t="shared" si="155"/>
        <v>749</v>
      </c>
    </row>
    <row r="1929" spans="1:32" x14ac:dyDescent="0.3">
      <c r="A1929" s="1412" t="s">
        <v>759</v>
      </c>
      <c r="B1929" s="1407" t="s">
        <v>2630</v>
      </c>
      <c r="C1929" s="1028"/>
      <c r="D1929" s="1440"/>
      <c r="E1929" s="1440"/>
      <c r="F1929" s="1440"/>
      <c r="G1929" s="1440"/>
      <c r="H1929" s="1440"/>
      <c r="I1929" s="1440"/>
      <c r="J1929" s="1440"/>
      <c r="K1929" s="1440"/>
      <c r="L1929" s="1440"/>
      <c r="M1929" s="1440"/>
      <c r="N1929" s="1440"/>
      <c r="O1929" s="1440"/>
      <c r="P1929" s="1497">
        <f t="shared" si="153"/>
        <v>0</v>
      </c>
      <c r="Q1929" s="1186">
        <f t="shared" si="154"/>
        <v>0</v>
      </c>
      <c r="R1929" s="1409"/>
      <c r="S1929" s="1440"/>
      <c r="T1929" s="1440">
        <v>40000</v>
      </c>
      <c r="U1929" s="1440">
        <v>17000</v>
      </c>
      <c r="V1929" s="1440">
        <v>0</v>
      </c>
      <c r="W1929" s="1440">
        <v>0</v>
      </c>
      <c r="X1929" s="1440">
        <v>0</v>
      </c>
      <c r="Y1929" s="1440">
        <v>0</v>
      </c>
      <c r="Z1929" s="1440"/>
      <c r="AA1929" s="1440"/>
      <c r="AB1929" s="1440"/>
      <c r="AC1929" s="1440"/>
      <c r="AD1929" s="1186">
        <f t="shared" si="151"/>
        <v>57000</v>
      </c>
      <c r="AE1929" s="637">
        <f t="shared" si="152"/>
        <v>1</v>
      </c>
      <c r="AF1929" s="638">
        <f t="shared" si="155"/>
        <v>826</v>
      </c>
    </row>
    <row r="1930" spans="1:32" x14ac:dyDescent="0.3">
      <c r="A1930" s="1412" t="s">
        <v>759</v>
      </c>
      <c r="B1930" s="1407" t="s">
        <v>2631</v>
      </c>
      <c r="C1930" s="1028"/>
      <c r="D1930" s="1440"/>
      <c r="E1930" s="1440"/>
      <c r="F1930" s="1440"/>
      <c r="G1930" s="1440"/>
      <c r="H1930" s="1440"/>
      <c r="I1930" s="1440"/>
      <c r="J1930" s="1440"/>
      <c r="K1930" s="1440"/>
      <c r="L1930" s="1440"/>
      <c r="M1930" s="1440"/>
      <c r="N1930" s="1440"/>
      <c r="O1930" s="1440"/>
      <c r="P1930" s="1497">
        <f t="shared" si="153"/>
        <v>0</v>
      </c>
      <c r="Q1930" s="1186">
        <f t="shared" si="154"/>
        <v>0</v>
      </c>
      <c r="R1930" s="1409"/>
      <c r="S1930" s="1440"/>
      <c r="T1930" s="1440">
        <v>60000</v>
      </c>
      <c r="U1930" s="1440">
        <v>0</v>
      </c>
      <c r="V1930" s="1440">
        <v>0</v>
      </c>
      <c r="W1930" s="1440">
        <v>0</v>
      </c>
      <c r="X1930" s="1440">
        <v>0</v>
      </c>
      <c r="Y1930" s="1440">
        <v>0</v>
      </c>
      <c r="Z1930" s="1440"/>
      <c r="AA1930" s="1440"/>
      <c r="AB1930" s="1440"/>
      <c r="AC1930" s="1440"/>
      <c r="AD1930" s="1186">
        <f t="shared" si="151"/>
        <v>60000</v>
      </c>
      <c r="AE1930" s="637">
        <f t="shared" si="152"/>
        <v>1</v>
      </c>
      <c r="AF1930" s="638">
        <f t="shared" si="155"/>
        <v>817</v>
      </c>
    </row>
    <row r="1931" spans="1:32" x14ac:dyDescent="0.3">
      <c r="A1931" s="1412" t="s">
        <v>759</v>
      </c>
      <c r="B1931" s="1407" t="s">
        <v>678</v>
      </c>
      <c r="C1931" s="1028"/>
      <c r="D1931" s="1440"/>
      <c r="E1931" s="1440"/>
      <c r="F1931" s="1440"/>
      <c r="G1931" s="1440"/>
      <c r="H1931" s="1440"/>
      <c r="I1931" s="1440"/>
      <c r="J1931" s="1440"/>
      <c r="K1931" s="1440"/>
      <c r="L1931" s="1440"/>
      <c r="M1931" s="1440"/>
      <c r="N1931" s="1440"/>
      <c r="O1931" s="1440"/>
      <c r="P1931" s="1497">
        <f t="shared" si="153"/>
        <v>0</v>
      </c>
      <c r="Q1931" s="1186">
        <f t="shared" si="154"/>
        <v>0</v>
      </c>
      <c r="R1931" s="1409"/>
      <c r="S1931" s="1440"/>
      <c r="T1931" s="1440">
        <v>10000</v>
      </c>
      <c r="U1931" s="1440">
        <v>95000</v>
      </c>
      <c r="V1931" s="1440">
        <v>0</v>
      </c>
      <c r="W1931" s="1440">
        <v>0</v>
      </c>
      <c r="X1931" s="1440">
        <v>0</v>
      </c>
      <c r="Y1931" s="1440">
        <v>0</v>
      </c>
      <c r="Z1931" s="1440"/>
      <c r="AA1931" s="1440"/>
      <c r="AB1931" s="1440"/>
      <c r="AC1931" s="1440"/>
      <c r="AD1931" s="1186">
        <f t="shared" si="151"/>
        <v>105000</v>
      </c>
      <c r="AE1931" s="637">
        <f t="shared" si="152"/>
        <v>1</v>
      </c>
      <c r="AF1931" s="638">
        <f t="shared" si="155"/>
        <v>732</v>
      </c>
    </row>
    <row r="1932" spans="1:32" x14ac:dyDescent="0.3">
      <c r="A1932" s="1412" t="s">
        <v>759</v>
      </c>
      <c r="B1932" s="1407" t="s">
        <v>1224</v>
      </c>
      <c r="C1932" s="1028"/>
      <c r="D1932" s="1440"/>
      <c r="E1932" s="1440"/>
      <c r="F1932" s="1440"/>
      <c r="G1932" s="1440"/>
      <c r="H1932" s="1440"/>
      <c r="I1932" s="1440"/>
      <c r="J1932" s="1440"/>
      <c r="K1932" s="1440"/>
      <c r="L1932" s="1440"/>
      <c r="M1932" s="1440"/>
      <c r="N1932" s="1440"/>
      <c r="O1932" s="1440"/>
      <c r="P1932" s="1497">
        <f t="shared" si="153"/>
        <v>0</v>
      </c>
      <c r="Q1932" s="1186">
        <f t="shared" si="154"/>
        <v>0</v>
      </c>
      <c r="R1932" s="1409"/>
      <c r="S1932" s="1440"/>
      <c r="T1932" s="1440"/>
      <c r="U1932" s="1440">
        <v>0</v>
      </c>
      <c r="V1932" s="1440"/>
      <c r="W1932" s="1440"/>
      <c r="X1932" s="1440">
        <v>100000</v>
      </c>
      <c r="Y1932" s="1440">
        <v>0</v>
      </c>
      <c r="Z1932" s="1440"/>
      <c r="AA1932" s="1440"/>
      <c r="AB1932" s="1440"/>
      <c r="AC1932" s="1440"/>
      <c r="AD1932" s="1186">
        <f t="shared" si="151"/>
        <v>100000</v>
      </c>
      <c r="AE1932" s="637">
        <f t="shared" si="152"/>
        <v>1</v>
      </c>
      <c r="AF1932" s="638">
        <f t="shared" si="155"/>
        <v>740</v>
      </c>
    </row>
    <row r="1933" spans="1:32" x14ac:dyDescent="0.3">
      <c r="A1933" s="1412" t="s">
        <v>759</v>
      </c>
      <c r="B1933" s="1407" t="s">
        <v>1229</v>
      </c>
      <c r="C1933" s="1028"/>
      <c r="D1933" s="1440"/>
      <c r="E1933" s="1440"/>
      <c r="F1933" s="1440"/>
      <c r="G1933" s="1440"/>
      <c r="H1933" s="1440"/>
      <c r="I1933" s="1440"/>
      <c r="J1933" s="1440"/>
      <c r="K1933" s="1440"/>
      <c r="L1933" s="1440"/>
      <c r="M1933" s="1440"/>
      <c r="N1933" s="1440"/>
      <c r="O1933" s="1440"/>
      <c r="P1933" s="1497">
        <f t="shared" si="153"/>
        <v>0</v>
      </c>
      <c r="Q1933" s="1186">
        <f t="shared" si="154"/>
        <v>0</v>
      </c>
      <c r="R1933" s="1409"/>
      <c r="S1933" s="1440"/>
      <c r="T1933" s="1440"/>
      <c r="U1933" s="1440">
        <v>0</v>
      </c>
      <c r="V1933" s="1440"/>
      <c r="W1933" s="1440"/>
      <c r="X1933" s="1440"/>
      <c r="Y1933" s="1440"/>
      <c r="Z1933" s="1440"/>
      <c r="AA1933" s="1440"/>
      <c r="AB1933" s="1440"/>
      <c r="AC1933" s="1440"/>
      <c r="AD1933" s="1186">
        <f t="shared" si="151"/>
        <v>0</v>
      </c>
      <c r="AE1933" s="637">
        <f t="shared" si="152"/>
        <v>0</v>
      </c>
      <c r="AF1933" s="638">
        <f t="shared" si="155"/>
        <v>983</v>
      </c>
    </row>
    <row r="1934" spans="1:32" x14ac:dyDescent="0.3">
      <c r="A1934" s="1412" t="s">
        <v>759</v>
      </c>
      <c r="B1934" s="1407" t="s">
        <v>1300</v>
      </c>
      <c r="C1934" s="1028"/>
      <c r="D1934" s="1440"/>
      <c r="E1934" s="1440"/>
      <c r="F1934" s="1440"/>
      <c r="G1934" s="1440"/>
      <c r="H1934" s="1440"/>
      <c r="I1934" s="1440"/>
      <c r="J1934" s="1440"/>
      <c r="K1934" s="1440"/>
      <c r="L1934" s="1440"/>
      <c r="M1934" s="1440"/>
      <c r="N1934" s="1440"/>
      <c r="O1934" s="1440"/>
      <c r="P1934" s="1497">
        <f t="shared" si="153"/>
        <v>0</v>
      </c>
      <c r="Q1934" s="1186">
        <f t="shared" si="154"/>
        <v>0</v>
      </c>
      <c r="R1934" s="1409"/>
      <c r="S1934" s="1440"/>
      <c r="T1934" s="1440">
        <v>390000</v>
      </c>
      <c r="U1934" s="1440">
        <v>15000</v>
      </c>
      <c r="V1934" s="1440">
        <v>0</v>
      </c>
      <c r="W1934" s="1440">
        <v>0</v>
      </c>
      <c r="X1934" s="1440">
        <v>0</v>
      </c>
      <c r="Y1934" s="1440">
        <v>0</v>
      </c>
      <c r="Z1934" s="1440"/>
      <c r="AA1934" s="1440"/>
      <c r="AB1934" s="1440"/>
      <c r="AC1934" s="1440"/>
      <c r="AD1934" s="1186">
        <f t="shared" si="151"/>
        <v>405000</v>
      </c>
      <c r="AE1934" s="637">
        <f t="shared" si="152"/>
        <v>1</v>
      </c>
      <c r="AF1934" s="638">
        <f t="shared" si="155"/>
        <v>478</v>
      </c>
    </row>
    <row r="1935" spans="1:32" x14ac:dyDescent="0.3">
      <c r="A1935" s="1412" t="s">
        <v>759</v>
      </c>
      <c r="B1935" s="1407" t="s">
        <v>2648</v>
      </c>
      <c r="C1935" s="1028"/>
      <c r="D1935" s="1440"/>
      <c r="E1935" s="1440"/>
      <c r="F1935" s="1440"/>
      <c r="G1935" s="1440"/>
      <c r="H1935" s="1440"/>
      <c r="I1935" s="1440"/>
      <c r="J1935" s="1440"/>
      <c r="K1935" s="1440"/>
      <c r="L1935" s="1440"/>
      <c r="M1935" s="1440"/>
      <c r="N1935" s="1440"/>
      <c r="O1935" s="1440"/>
      <c r="P1935" s="1497">
        <f t="shared" si="153"/>
        <v>0</v>
      </c>
      <c r="Q1935" s="1186">
        <f t="shared" si="154"/>
        <v>0</v>
      </c>
      <c r="R1935" s="1409"/>
      <c r="S1935" s="1440"/>
      <c r="T1935" s="1440">
        <v>560000</v>
      </c>
      <c r="U1935" s="1440">
        <v>0</v>
      </c>
      <c r="V1935" s="1440">
        <v>0</v>
      </c>
      <c r="W1935" s="1440">
        <v>0</v>
      </c>
      <c r="X1935" s="1440">
        <v>0</v>
      </c>
      <c r="Y1935" s="1440">
        <v>0</v>
      </c>
      <c r="Z1935" s="1440"/>
      <c r="AA1935" s="1440"/>
      <c r="AB1935" s="1440"/>
      <c r="AC1935" s="1440"/>
      <c r="AD1935" s="1186">
        <f t="shared" ref="AD1935:AD1998" si="156">SUM(R1935:AC1935)</f>
        <v>560000</v>
      </c>
      <c r="AE1935" s="637">
        <f t="shared" ref="AE1935:AE1998" si="157">IF(OR(AD1935="", P1935=""), 0, IFERROR((AD1935-P1935)/P1935, IF(AD1935&lt;&gt;0, 1, 0)))</f>
        <v>1</v>
      </c>
      <c r="AF1935" s="638">
        <f t="shared" si="155"/>
        <v>417</v>
      </c>
    </row>
    <row r="1936" spans="1:32" x14ac:dyDescent="0.3">
      <c r="A1936" s="1412" t="s">
        <v>759</v>
      </c>
      <c r="B1936" s="1407" t="s">
        <v>2395</v>
      </c>
      <c r="C1936" s="1028"/>
      <c r="D1936" s="1440"/>
      <c r="E1936" s="1440"/>
      <c r="F1936" s="1440"/>
      <c r="G1936" s="1440"/>
      <c r="H1936" s="1440"/>
      <c r="I1936" s="1440"/>
      <c r="J1936" s="1440"/>
      <c r="K1936" s="1440"/>
      <c r="L1936" s="1440"/>
      <c r="M1936" s="1440"/>
      <c r="N1936" s="1440"/>
      <c r="O1936" s="1440"/>
      <c r="P1936" s="1497">
        <f t="shared" si="153"/>
        <v>0</v>
      </c>
      <c r="Q1936" s="1186">
        <f t="shared" si="154"/>
        <v>0</v>
      </c>
      <c r="R1936" s="1409"/>
      <c r="S1936" s="1440"/>
      <c r="T1936" s="1440">
        <v>514000</v>
      </c>
      <c r="U1936" s="1440">
        <v>968000</v>
      </c>
      <c r="V1936" s="1440">
        <v>0</v>
      </c>
      <c r="W1936" s="1440">
        <v>0</v>
      </c>
      <c r="X1936" s="1440">
        <v>0</v>
      </c>
      <c r="Y1936" s="1440">
        <v>0</v>
      </c>
      <c r="Z1936" s="1440"/>
      <c r="AA1936" s="1440"/>
      <c r="AB1936" s="1440"/>
      <c r="AC1936" s="1440"/>
      <c r="AD1936" s="1186">
        <f t="shared" si="156"/>
        <v>1482000</v>
      </c>
      <c r="AE1936" s="637">
        <f t="shared" si="157"/>
        <v>1</v>
      </c>
      <c r="AF1936" s="638">
        <f t="shared" si="155"/>
        <v>250</v>
      </c>
    </row>
    <row r="1937" spans="1:32" x14ac:dyDescent="0.3">
      <c r="A1937" s="1412" t="s">
        <v>759</v>
      </c>
      <c r="B1937" s="1407" t="s">
        <v>2620</v>
      </c>
      <c r="C1937" s="1028"/>
      <c r="D1937" s="1440"/>
      <c r="E1937" s="1440"/>
      <c r="F1937" s="1440"/>
      <c r="G1937" s="1440"/>
      <c r="H1937" s="1440"/>
      <c r="I1937" s="1440"/>
      <c r="J1937" s="1440"/>
      <c r="K1937" s="1440"/>
      <c r="L1937" s="1440"/>
      <c r="M1937" s="1440"/>
      <c r="N1937" s="1440"/>
      <c r="O1937" s="1440"/>
      <c r="P1937" s="1497">
        <f t="shared" si="153"/>
        <v>0</v>
      </c>
      <c r="Q1937" s="1186">
        <f t="shared" si="154"/>
        <v>0</v>
      </c>
      <c r="R1937" s="1409"/>
      <c r="S1937" s="1440"/>
      <c r="T1937" s="1440">
        <v>367400</v>
      </c>
      <c r="U1937" s="1440">
        <v>4408800</v>
      </c>
      <c r="V1937" s="1440">
        <v>0</v>
      </c>
      <c r="W1937" s="1440">
        <v>2939200</v>
      </c>
      <c r="X1937" s="1440">
        <v>0</v>
      </c>
      <c r="Y1937" s="1440">
        <v>0</v>
      </c>
      <c r="Z1937" s="1440"/>
      <c r="AA1937" s="1440"/>
      <c r="AB1937" s="1440"/>
      <c r="AC1937" s="1440"/>
      <c r="AD1937" s="1186">
        <f t="shared" si="156"/>
        <v>7715400</v>
      </c>
      <c r="AE1937" s="637">
        <f t="shared" si="157"/>
        <v>1</v>
      </c>
      <c r="AF1937" s="638">
        <f t="shared" si="155"/>
        <v>52</v>
      </c>
    </row>
    <row r="1938" spans="1:32" x14ac:dyDescent="0.3">
      <c r="A1938" s="1412" t="s">
        <v>759</v>
      </c>
      <c r="B1938" s="1407" t="s">
        <v>1333</v>
      </c>
      <c r="C1938" s="1028"/>
      <c r="D1938" s="1440"/>
      <c r="E1938" s="1440"/>
      <c r="F1938" s="1440"/>
      <c r="G1938" s="1440"/>
      <c r="H1938" s="1440"/>
      <c r="I1938" s="1440"/>
      <c r="J1938" s="1440"/>
      <c r="K1938" s="1440"/>
      <c r="L1938" s="1440"/>
      <c r="M1938" s="1440"/>
      <c r="N1938" s="1440"/>
      <c r="O1938" s="1440"/>
      <c r="P1938" s="1497">
        <f t="shared" si="153"/>
        <v>0</v>
      </c>
      <c r="Q1938" s="1186">
        <f t="shared" si="154"/>
        <v>0</v>
      </c>
      <c r="R1938" s="1409"/>
      <c r="S1938" s="1440"/>
      <c r="T1938" s="1440">
        <v>22500</v>
      </c>
      <c r="U1938" s="1440">
        <v>0</v>
      </c>
      <c r="V1938" s="1440">
        <v>0</v>
      </c>
      <c r="W1938" s="1440">
        <v>0</v>
      </c>
      <c r="X1938" s="1440">
        <v>0</v>
      </c>
      <c r="Y1938" s="1440">
        <v>0</v>
      </c>
      <c r="Z1938" s="1440"/>
      <c r="AA1938" s="1440"/>
      <c r="AB1938" s="1440"/>
      <c r="AC1938" s="1440"/>
      <c r="AD1938" s="1186">
        <f t="shared" si="156"/>
        <v>22500</v>
      </c>
      <c r="AE1938" s="637">
        <f t="shared" si="157"/>
        <v>1</v>
      </c>
      <c r="AF1938" s="638">
        <f t="shared" si="155"/>
        <v>915</v>
      </c>
    </row>
    <row r="1939" spans="1:32" x14ac:dyDescent="0.3">
      <c r="A1939" s="1412" t="s">
        <v>759</v>
      </c>
      <c r="B1939" s="1407" t="s">
        <v>2649</v>
      </c>
      <c r="C1939" s="1028"/>
      <c r="D1939" s="1440"/>
      <c r="E1939" s="1440"/>
      <c r="F1939" s="1440"/>
      <c r="G1939" s="1440"/>
      <c r="H1939" s="1440"/>
      <c r="I1939" s="1440"/>
      <c r="J1939" s="1440"/>
      <c r="K1939" s="1440"/>
      <c r="L1939" s="1440"/>
      <c r="M1939" s="1440"/>
      <c r="N1939" s="1440"/>
      <c r="O1939" s="1440"/>
      <c r="P1939" s="1497">
        <f t="shared" si="153"/>
        <v>0</v>
      </c>
      <c r="Q1939" s="1186">
        <f t="shared" si="154"/>
        <v>0</v>
      </c>
      <c r="R1939" s="1409"/>
      <c r="S1939" s="1440"/>
      <c r="T1939" s="1440">
        <v>97050</v>
      </c>
      <c r="U1939" s="1440">
        <v>0</v>
      </c>
      <c r="V1939" s="1440">
        <v>0</v>
      </c>
      <c r="W1939" s="1440">
        <v>0</v>
      </c>
      <c r="X1939" s="1440">
        <v>0</v>
      </c>
      <c r="Y1939" s="1440">
        <v>0</v>
      </c>
      <c r="Z1939" s="1440"/>
      <c r="AA1939" s="1440"/>
      <c r="AB1939" s="1440"/>
      <c r="AC1939" s="1440"/>
      <c r="AD1939" s="1186">
        <f t="shared" si="156"/>
        <v>97050</v>
      </c>
      <c r="AE1939" s="637">
        <f t="shared" si="157"/>
        <v>1</v>
      </c>
      <c r="AF1939" s="638">
        <f t="shared" si="155"/>
        <v>746</v>
      </c>
    </row>
    <row r="1940" spans="1:32" x14ac:dyDescent="0.3">
      <c r="A1940" s="1412" t="s">
        <v>759</v>
      </c>
      <c r="B1940" s="1407" t="s">
        <v>2644</v>
      </c>
      <c r="C1940" s="1028"/>
      <c r="D1940" s="1440"/>
      <c r="E1940" s="1440"/>
      <c r="F1940" s="1440"/>
      <c r="G1940" s="1440"/>
      <c r="H1940" s="1440"/>
      <c r="I1940" s="1440"/>
      <c r="J1940" s="1440"/>
      <c r="K1940" s="1440"/>
      <c r="L1940" s="1440"/>
      <c r="M1940" s="1440"/>
      <c r="N1940" s="1440"/>
      <c r="O1940" s="1440"/>
      <c r="P1940" s="1497">
        <f t="shared" si="153"/>
        <v>0</v>
      </c>
      <c r="Q1940" s="1186">
        <f t="shared" si="154"/>
        <v>0</v>
      </c>
      <c r="R1940" s="1409"/>
      <c r="S1940" s="1440"/>
      <c r="T1940" s="1440">
        <v>84500</v>
      </c>
      <c r="U1940" s="1440">
        <v>0</v>
      </c>
      <c r="V1940" s="1440">
        <v>0</v>
      </c>
      <c r="W1940" s="1440">
        <v>0</v>
      </c>
      <c r="X1940" s="1440">
        <v>0</v>
      </c>
      <c r="Y1940" s="1440">
        <v>0</v>
      </c>
      <c r="Z1940" s="1440"/>
      <c r="AA1940" s="1440"/>
      <c r="AB1940" s="1440"/>
      <c r="AC1940" s="1440"/>
      <c r="AD1940" s="1186">
        <f t="shared" si="156"/>
        <v>84500</v>
      </c>
      <c r="AE1940" s="637">
        <f t="shared" si="157"/>
        <v>1</v>
      </c>
      <c r="AF1940" s="638">
        <f t="shared" si="155"/>
        <v>764</v>
      </c>
    </row>
    <row r="1941" spans="1:32" x14ac:dyDescent="0.3">
      <c r="A1941" s="1412" t="s">
        <v>759</v>
      </c>
      <c r="B1941" s="1407" t="s">
        <v>2650</v>
      </c>
      <c r="C1941" s="1028"/>
      <c r="D1941" s="1440"/>
      <c r="E1941" s="1440"/>
      <c r="F1941" s="1440"/>
      <c r="G1941" s="1440"/>
      <c r="H1941" s="1440"/>
      <c r="I1941" s="1440"/>
      <c r="J1941" s="1440"/>
      <c r="K1941" s="1440"/>
      <c r="L1941" s="1440"/>
      <c r="M1941" s="1440"/>
      <c r="N1941" s="1440"/>
      <c r="O1941" s="1440"/>
      <c r="P1941" s="1497">
        <f t="shared" si="153"/>
        <v>0</v>
      </c>
      <c r="Q1941" s="1186">
        <f t="shared" si="154"/>
        <v>0</v>
      </c>
      <c r="R1941" s="1409"/>
      <c r="S1941" s="1440"/>
      <c r="T1941" s="1440">
        <v>90000</v>
      </c>
      <c r="U1941" s="1440">
        <v>0</v>
      </c>
      <c r="V1941" s="1440">
        <v>90000</v>
      </c>
      <c r="W1941" s="1440">
        <v>0</v>
      </c>
      <c r="X1941" s="1440">
        <v>0</v>
      </c>
      <c r="Y1941" s="1440">
        <v>0</v>
      </c>
      <c r="Z1941" s="1440"/>
      <c r="AA1941" s="1440"/>
      <c r="AB1941" s="1440"/>
      <c r="AC1941" s="1440"/>
      <c r="AD1941" s="1186">
        <f t="shared" si="156"/>
        <v>180000</v>
      </c>
      <c r="AE1941" s="637">
        <f t="shared" si="157"/>
        <v>1</v>
      </c>
      <c r="AF1941" s="638">
        <f t="shared" si="155"/>
        <v>634</v>
      </c>
    </row>
    <row r="1942" spans="1:32" x14ac:dyDescent="0.3">
      <c r="A1942" s="1412" t="s">
        <v>759</v>
      </c>
      <c r="B1942" s="1407" t="s">
        <v>2651</v>
      </c>
      <c r="C1942" s="1028"/>
      <c r="D1942" s="1440"/>
      <c r="E1942" s="1440"/>
      <c r="F1942" s="1440"/>
      <c r="G1942" s="1440"/>
      <c r="H1942" s="1440"/>
      <c r="I1942" s="1440"/>
      <c r="J1942" s="1440"/>
      <c r="K1942" s="1440"/>
      <c r="L1942" s="1440"/>
      <c r="M1942" s="1440"/>
      <c r="N1942" s="1440"/>
      <c r="O1942" s="1440"/>
      <c r="P1942" s="1497">
        <f t="shared" ref="P1942:P2005" si="158">SUM(C1942:I1942,K1942)</f>
        <v>0</v>
      </c>
      <c r="Q1942" s="1186">
        <f t="shared" ref="Q1942:Q2005" si="159">SUM(C1942:J1942,L1942:O1942)</f>
        <v>0</v>
      </c>
      <c r="R1942" s="1409"/>
      <c r="S1942" s="1440"/>
      <c r="T1942" s="1440">
        <v>62000</v>
      </c>
      <c r="U1942" s="1440">
        <v>0</v>
      </c>
      <c r="V1942" s="1440">
        <v>0</v>
      </c>
      <c r="W1942" s="1440">
        <v>0</v>
      </c>
      <c r="X1942" s="1440">
        <v>0</v>
      </c>
      <c r="Y1942" s="1440">
        <v>0</v>
      </c>
      <c r="Z1942" s="1440"/>
      <c r="AA1942" s="1440"/>
      <c r="AB1942" s="1440"/>
      <c r="AC1942" s="1440"/>
      <c r="AD1942" s="1186">
        <f t="shared" si="156"/>
        <v>62000</v>
      </c>
      <c r="AE1942" s="637">
        <f t="shared" si="157"/>
        <v>1</v>
      </c>
      <c r="AF1942" s="638">
        <f t="shared" si="155"/>
        <v>814</v>
      </c>
    </row>
    <row r="1943" spans="1:32" x14ac:dyDescent="0.3">
      <c r="A1943" s="1412" t="s">
        <v>759</v>
      </c>
      <c r="B1943" s="1407" t="s">
        <v>2652</v>
      </c>
      <c r="C1943" s="1028"/>
      <c r="D1943" s="1440"/>
      <c r="E1943" s="1440"/>
      <c r="F1943" s="1440"/>
      <c r="G1943" s="1440"/>
      <c r="H1943" s="1440"/>
      <c r="I1943" s="1440"/>
      <c r="J1943" s="1440"/>
      <c r="K1943" s="1440"/>
      <c r="L1943" s="1440"/>
      <c r="M1943" s="1440"/>
      <c r="N1943" s="1440"/>
      <c r="O1943" s="1440"/>
      <c r="P1943" s="1497">
        <f t="shared" si="158"/>
        <v>0</v>
      </c>
      <c r="Q1943" s="1186">
        <f t="shared" si="159"/>
        <v>0</v>
      </c>
      <c r="R1943" s="1409"/>
      <c r="S1943" s="1440"/>
      <c r="T1943" s="1440">
        <v>50500</v>
      </c>
      <c r="U1943" s="1440">
        <v>0</v>
      </c>
      <c r="V1943" s="1440">
        <v>0</v>
      </c>
      <c r="W1943" s="1440">
        <v>0</v>
      </c>
      <c r="X1943" s="1440">
        <v>115000</v>
      </c>
      <c r="Y1943" s="1440">
        <v>0</v>
      </c>
      <c r="Z1943" s="1440"/>
      <c r="AA1943" s="1440"/>
      <c r="AB1943" s="1440"/>
      <c r="AC1943" s="1440"/>
      <c r="AD1943" s="1186">
        <f t="shared" si="156"/>
        <v>165500</v>
      </c>
      <c r="AE1943" s="637">
        <f t="shared" si="157"/>
        <v>1</v>
      </c>
      <c r="AF1943" s="638">
        <f t="shared" si="155"/>
        <v>654</v>
      </c>
    </row>
    <row r="1944" spans="1:32" x14ac:dyDescent="0.3">
      <c r="A1944" s="1412" t="s">
        <v>759</v>
      </c>
      <c r="B1944" s="1407" t="s">
        <v>2653</v>
      </c>
      <c r="C1944" s="1028"/>
      <c r="D1944" s="1440"/>
      <c r="E1944" s="1440"/>
      <c r="F1944" s="1440"/>
      <c r="G1944" s="1440"/>
      <c r="H1944" s="1440"/>
      <c r="I1944" s="1440"/>
      <c r="J1944" s="1440"/>
      <c r="K1944" s="1440"/>
      <c r="L1944" s="1440"/>
      <c r="M1944" s="1440"/>
      <c r="N1944" s="1440"/>
      <c r="O1944" s="1440"/>
      <c r="P1944" s="1497">
        <f t="shared" si="158"/>
        <v>0</v>
      </c>
      <c r="Q1944" s="1186">
        <f t="shared" si="159"/>
        <v>0</v>
      </c>
      <c r="R1944" s="1409"/>
      <c r="S1944" s="1440"/>
      <c r="T1944" s="1440">
        <v>47500</v>
      </c>
      <c r="U1944" s="1440">
        <v>0</v>
      </c>
      <c r="V1944" s="1440">
        <v>0</v>
      </c>
      <c r="W1944" s="1440">
        <v>0</v>
      </c>
      <c r="X1944" s="1440">
        <v>0</v>
      </c>
      <c r="Y1944" s="1440">
        <v>0</v>
      </c>
      <c r="Z1944" s="1440"/>
      <c r="AA1944" s="1440"/>
      <c r="AB1944" s="1440"/>
      <c r="AC1944" s="1440"/>
      <c r="AD1944" s="1186">
        <f t="shared" si="156"/>
        <v>47500</v>
      </c>
      <c r="AE1944" s="637">
        <f t="shared" si="157"/>
        <v>1</v>
      </c>
      <c r="AF1944" s="638">
        <f t="shared" si="155"/>
        <v>847</v>
      </c>
    </row>
    <row r="1945" spans="1:32" x14ac:dyDescent="0.3">
      <c r="A1945" s="1412" t="s">
        <v>759</v>
      </c>
      <c r="B1945" s="1407" t="s">
        <v>2654</v>
      </c>
      <c r="C1945" s="1028"/>
      <c r="D1945" s="1440"/>
      <c r="E1945" s="1440"/>
      <c r="F1945" s="1440"/>
      <c r="G1945" s="1440"/>
      <c r="H1945" s="1440"/>
      <c r="I1945" s="1440"/>
      <c r="J1945" s="1440"/>
      <c r="K1945" s="1440"/>
      <c r="L1945" s="1440"/>
      <c r="M1945" s="1440"/>
      <c r="N1945" s="1440"/>
      <c r="O1945" s="1440"/>
      <c r="P1945" s="1497">
        <f t="shared" si="158"/>
        <v>0</v>
      </c>
      <c r="Q1945" s="1186">
        <f t="shared" si="159"/>
        <v>0</v>
      </c>
      <c r="R1945" s="1409"/>
      <c r="S1945" s="1440"/>
      <c r="T1945" s="1440">
        <v>41000</v>
      </c>
      <c r="U1945" s="1440">
        <v>0</v>
      </c>
      <c r="V1945" s="1440">
        <v>0</v>
      </c>
      <c r="W1945" s="1440">
        <v>0</v>
      </c>
      <c r="X1945" s="1440">
        <v>0</v>
      </c>
      <c r="Y1945" s="1440">
        <v>0</v>
      </c>
      <c r="Z1945" s="1440"/>
      <c r="AA1945" s="1440"/>
      <c r="AB1945" s="1440"/>
      <c r="AC1945" s="1440"/>
      <c r="AD1945" s="1186">
        <f t="shared" si="156"/>
        <v>41000</v>
      </c>
      <c r="AE1945" s="637">
        <f t="shared" si="157"/>
        <v>1</v>
      </c>
      <c r="AF1945" s="638">
        <f t="shared" si="155"/>
        <v>864</v>
      </c>
    </row>
    <row r="1946" spans="1:32" x14ac:dyDescent="0.3">
      <c r="A1946" s="1412" t="s">
        <v>759</v>
      </c>
      <c r="B1946" s="1407" t="s">
        <v>2176</v>
      </c>
      <c r="C1946" s="1028"/>
      <c r="D1946" s="1440"/>
      <c r="E1946" s="1440"/>
      <c r="F1946" s="1440"/>
      <c r="G1946" s="1440"/>
      <c r="H1946" s="1440"/>
      <c r="I1946" s="1440"/>
      <c r="J1946" s="1440"/>
      <c r="K1946" s="1440"/>
      <c r="L1946" s="1440"/>
      <c r="M1946" s="1440"/>
      <c r="N1946" s="1440"/>
      <c r="O1946" s="1440"/>
      <c r="P1946" s="1497">
        <f t="shared" si="158"/>
        <v>0</v>
      </c>
      <c r="Q1946" s="1186">
        <f t="shared" si="159"/>
        <v>0</v>
      </c>
      <c r="R1946" s="1409"/>
      <c r="S1946" s="1440"/>
      <c r="T1946" s="1440">
        <v>34000</v>
      </c>
      <c r="U1946" s="1440">
        <v>0</v>
      </c>
      <c r="V1946" s="1440">
        <v>0</v>
      </c>
      <c r="W1946" s="1440">
        <v>0</v>
      </c>
      <c r="X1946" s="1440">
        <v>0</v>
      </c>
      <c r="Y1946" s="1440">
        <v>0</v>
      </c>
      <c r="Z1946" s="1440"/>
      <c r="AA1946" s="1440"/>
      <c r="AB1946" s="1440"/>
      <c r="AC1946" s="1440"/>
      <c r="AD1946" s="1186">
        <f t="shared" si="156"/>
        <v>34000</v>
      </c>
      <c r="AE1946" s="637">
        <f t="shared" si="157"/>
        <v>1</v>
      </c>
      <c r="AF1946" s="638">
        <f t="shared" si="155"/>
        <v>885</v>
      </c>
    </row>
    <row r="1947" spans="1:32" x14ac:dyDescent="0.3">
      <c r="A1947" s="1412" t="s">
        <v>759</v>
      </c>
      <c r="B1947" s="1407" t="s">
        <v>1591</v>
      </c>
      <c r="C1947" s="1028"/>
      <c r="D1947" s="1440"/>
      <c r="E1947" s="1440"/>
      <c r="F1947" s="1440"/>
      <c r="G1947" s="1440"/>
      <c r="H1947" s="1440"/>
      <c r="I1947" s="1440"/>
      <c r="J1947" s="1440"/>
      <c r="K1947" s="1440"/>
      <c r="L1947" s="1440"/>
      <c r="M1947" s="1440"/>
      <c r="N1947" s="1440"/>
      <c r="O1947" s="1440"/>
      <c r="P1947" s="1497">
        <f t="shared" si="158"/>
        <v>0</v>
      </c>
      <c r="Q1947" s="1186">
        <f t="shared" si="159"/>
        <v>0</v>
      </c>
      <c r="R1947" s="1409"/>
      <c r="S1947" s="1440"/>
      <c r="T1947" s="1440">
        <v>1829000</v>
      </c>
      <c r="U1947" s="1440"/>
      <c r="V1947" s="1440"/>
      <c r="W1947" s="1440"/>
      <c r="X1947" s="1440"/>
      <c r="Y1947" s="1440"/>
      <c r="Z1947" s="1440"/>
      <c r="AA1947" s="1440"/>
      <c r="AB1947" s="1440"/>
      <c r="AC1947" s="1440"/>
      <c r="AD1947" s="1186">
        <f t="shared" si="156"/>
        <v>1829000</v>
      </c>
      <c r="AE1947" s="637">
        <f t="shared" si="157"/>
        <v>1</v>
      </c>
      <c r="AF1947" s="638">
        <f t="shared" si="155"/>
        <v>224</v>
      </c>
    </row>
    <row r="1948" spans="1:32" x14ac:dyDescent="0.3">
      <c r="A1948" s="1412" t="s">
        <v>759</v>
      </c>
      <c r="B1948" s="1407" t="s">
        <v>1180</v>
      </c>
      <c r="C1948" s="1028"/>
      <c r="D1948" s="1440"/>
      <c r="E1948" s="1440"/>
      <c r="F1948" s="1440"/>
      <c r="G1948" s="1440"/>
      <c r="H1948" s="1440"/>
      <c r="I1948" s="1440"/>
      <c r="J1948" s="1440"/>
      <c r="K1948" s="1440"/>
      <c r="L1948" s="1440"/>
      <c r="M1948" s="1440"/>
      <c r="N1948" s="1440"/>
      <c r="O1948" s="1440"/>
      <c r="P1948" s="1497">
        <f t="shared" si="158"/>
        <v>0</v>
      </c>
      <c r="Q1948" s="1186">
        <f t="shared" si="159"/>
        <v>0</v>
      </c>
      <c r="R1948" s="1409"/>
      <c r="S1948" s="1440"/>
      <c r="T1948" s="1440">
        <v>11000</v>
      </c>
      <c r="U1948" s="1440"/>
      <c r="V1948" s="1440"/>
      <c r="W1948" s="1440"/>
      <c r="X1948" s="1440"/>
      <c r="Y1948" s="1440"/>
      <c r="Z1948" s="1440"/>
      <c r="AA1948" s="1440"/>
      <c r="AB1948" s="1440"/>
      <c r="AC1948" s="1440"/>
      <c r="AD1948" s="1186">
        <f t="shared" si="156"/>
        <v>11000</v>
      </c>
      <c r="AE1948" s="637">
        <f t="shared" si="157"/>
        <v>1</v>
      </c>
      <c r="AF1948" s="638">
        <f t="shared" si="155"/>
        <v>950</v>
      </c>
    </row>
    <row r="1949" spans="1:32" x14ac:dyDescent="0.3">
      <c r="A1949" s="1412" t="s">
        <v>759</v>
      </c>
      <c r="B1949" s="1407" t="s">
        <v>1224</v>
      </c>
      <c r="C1949" s="1028"/>
      <c r="D1949" s="1440"/>
      <c r="E1949" s="1440"/>
      <c r="F1949" s="1440"/>
      <c r="G1949" s="1440"/>
      <c r="H1949" s="1440"/>
      <c r="I1949" s="1440"/>
      <c r="J1949" s="1440"/>
      <c r="K1949" s="1440"/>
      <c r="L1949" s="1440"/>
      <c r="M1949" s="1440"/>
      <c r="N1949" s="1440"/>
      <c r="O1949" s="1440"/>
      <c r="P1949" s="1497">
        <f t="shared" si="158"/>
        <v>0</v>
      </c>
      <c r="Q1949" s="1186">
        <f t="shared" si="159"/>
        <v>0</v>
      </c>
      <c r="R1949" s="1409"/>
      <c r="S1949" s="1440"/>
      <c r="T1949" s="1440">
        <v>155000</v>
      </c>
      <c r="U1949" s="1440"/>
      <c r="V1949" s="1440"/>
      <c r="W1949" s="1440"/>
      <c r="X1949" s="1440"/>
      <c r="Y1949" s="1440"/>
      <c r="Z1949" s="1440"/>
      <c r="AA1949" s="1440"/>
      <c r="AB1949" s="1440"/>
      <c r="AC1949" s="1440"/>
      <c r="AD1949" s="1186">
        <f t="shared" si="156"/>
        <v>155000</v>
      </c>
      <c r="AE1949" s="637">
        <f t="shared" si="157"/>
        <v>1</v>
      </c>
      <c r="AF1949" s="638">
        <f t="shared" si="155"/>
        <v>669</v>
      </c>
    </row>
    <row r="1950" spans="1:32" x14ac:dyDescent="0.3">
      <c r="A1950" s="1412" t="s">
        <v>759</v>
      </c>
      <c r="B1950" s="1407" t="s">
        <v>1229</v>
      </c>
      <c r="C1950" s="1028"/>
      <c r="D1950" s="1440"/>
      <c r="E1950" s="1440"/>
      <c r="F1950" s="1440"/>
      <c r="G1950" s="1440"/>
      <c r="H1950" s="1440"/>
      <c r="I1950" s="1440"/>
      <c r="J1950" s="1440"/>
      <c r="K1950" s="1440"/>
      <c r="L1950" s="1440"/>
      <c r="M1950" s="1440"/>
      <c r="N1950" s="1440"/>
      <c r="O1950" s="1440"/>
      <c r="P1950" s="1497">
        <f t="shared" si="158"/>
        <v>0</v>
      </c>
      <c r="Q1950" s="1186">
        <f t="shared" si="159"/>
        <v>0</v>
      </c>
      <c r="R1950" s="1409"/>
      <c r="S1950" s="1440"/>
      <c r="T1950" s="1440">
        <v>155000</v>
      </c>
      <c r="U1950" s="1440"/>
      <c r="V1950" s="1440"/>
      <c r="W1950" s="1440"/>
      <c r="X1950" s="1440"/>
      <c r="Y1950" s="1440"/>
      <c r="Z1950" s="1440"/>
      <c r="AA1950" s="1440"/>
      <c r="AB1950" s="1440"/>
      <c r="AC1950" s="1440"/>
      <c r="AD1950" s="1186">
        <f t="shared" si="156"/>
        <v>155000</v>
      </c>
      <c r="AE1950" s="637">
        <f t="shared" si="157"/>
        <v>1</v>
      </c>
      <c r="AF1950" s="638">
        <f t="shared" si="155"/>
        <v>669</v>
      </c>
    </row>
    <row r="1951" spans="1:32" x14ac:dyDescent="0.3">
      <c r="A1951" s="1412" t="s">
        <v>759</v>
      </c>
      <c r="B1951" s="1407" t="s">
        <v>1405</v>
      </c>
      <c r="C1951" s="1028"/>
      <c r="D1951" s="1440"/>
      <c r="E1951" s="1440"/>
      <c r="F1951" s="1440"/>
      <c r="G1951" s="1440"/>
      <c r="H1951" s="1440"/>
      <c r="I1951" s="1440"/>
      <c r="J1951" s="1440"/>
      <c r="K1951" s="1440"/>
      <c r="L1951" s="1440"/>
      <c r="M1951" s="1440"/>
      <c r="N1951" s="1440"/>
      <c r="O1951" s="1440"/>
      <c r="P1951" s="1497">
        <f t="shared" si="158"/>
        <v>0</v>
      </c>
      <c r="Q1951" s="1186">
        <f t="shared" si="159"/>
        <v>0</v>
      </c>
      <c r="R1951" s="1409"/>
      <c r="S1951" s="1440"/>
      <c r="T1951" s="1440"/>
      <c r="U1951" s="1440">
        <v>30000</v>
      </c>
      <c r="V1951" s="1440">
        <v>0</v>
      </c>
      <c r="W1951" s="1440">
        <v>0</v>
      </c>
      <c r="X1951" s="1440">
        <v>0</v>
      </c>
      <c r="Y1951" s="1440">
        <v>0</v>
      </c>
      <c r="Z1951" s="1440"/>
      <c r="AA1951" s="1440"/>
      <c r="AB1951" s="1440"/>
      <c r="AC1951" s="1440"/>
      <c r="AD1951" s="1186">
        <f t="shared" si="156"/>
        <v>30000</v>
      </c>
      <c r="AE1951" s="637">
        <f t="shared" si="157"/>
        <v>1</v>
      </c>
      <c r="AF1951" s="638">
        <f t="shared" si="155"/>
        <v>894</v>
      </c>
    </row>
    <row r="1952" spans="1:32" x14ac:dyDescent="0.3">
      <c r="A1952" s="1412" t="s">
        <v>759</v>
      </c>
      <c r="B1952" s="1407" t="s">
        <v>642</v>
      </c>
      <c r="C1952" s="1028"/>
      <c r="D1952" s="1440"/>
      <c r="E1952" s="1440"/>
      <c r="F1952" s="1440"/>
      <c r="G1952" s="1440"/>
      <c r="H1952" s="1440"/>
      <c r="I1952" s="1440"/>
      <c r="J1952" s="1440"/>
      <c r="K1952" s="1440"/>
      <c r="L1952" s="1440"/>
      <c r="M1952" s="1440"/>
      <c r="N1952" s="1440"/>
      <c r="O1952" s="1440"/>
      <c r="P1952" s="1497">
        <f t="shared" si="158"/>
        <v>0</v>
      </c>
      <c r="Q1952" s="1186">
        <f t="shared" si="159"/>
        <v>0</v>
      </c>
      <c r="R1952" s="1409"/>
      <c r="S1952" s="1440"/>
      <c r="T1952" s="1440"/>
      <c r="U1952" s="1440">
        <v>2670000</v>
      </c>
      <c r="V1952" s="1440">
        <v>0</v>
      </c>
      <c r="W1952" s="1440"/>
      <c r="X1952" s="1440">
        <v>0</v>
      </c>
      <c r="Y1952" s="1440">
        <v>0</v>
      </c>
      <c r="Z1952" s="1440"/>
      <c r="AA1952" s="1440"/>
      <c r="AB1952" s="1440"/>
      <c r="AC1952" s="1440"/>
      <c r="AD1952" s="1186">
        <f t="shared" si="156"/>
        <v>2670000</v>
      </c>
      <c r="AE1952" s="637">
        <f t="shared" si="157"/>
        <v>1</v>
      </c>
      <c r="AF1952" s="638">
        <f t="shared" si="155"/>
        <v>165</v>
      </c>
    </row>
    <row r="1953" spans="1:32" x14ac:dyDescent="0.3">
      <c r="A1953" s="1412" t="s">
        <v>759</v>
      </c>
      <c r="B1953" s="1407" t="s">
        <v>2679</v>
      </c>
      <c r="C1953" s="1028"/>
      <c r="D1953" s="1440"/>
      <c r="E1953" s="1440"/>
      <c r="F1953" s="1440"/>
      <c r="G1953" s="1440"/>
      <c r="H1953" s="1440"/>
      <c r="I1953" s="1440"/>
      <c r="J1953" s="1440"/>
      <c r="K1953" s="1440">
        <v>0</v>
      </c>
      <c r="L1953" s="1440"/>
      <c r="M1953" s="1440"/>
      <c r="N1953" s="1440"/>
      <c r="O1953" s="1440"/>
      <c r="P1953" s="1497">
        <f t="shared" si="158"/>
        <v>0</v>
      </c>
      <c r="Q1953" s="1186">
        <f t="shared" si="159"/>
        <v>0</v>
      </c>
      <c r="R1953" s="1409"/>
      <c r="S1953" s="1440"/>
      <c r="T1953" s="1440"/>
      <c r="U1953" s="1440">
        <v>10000</v>
      </c>
      <c r="V1953" s="1440">
        <v>0</v>
      </c>
      <c r="W1953" s="1440"/>
      <c r="X1953" s="1440">
        <v>10000</v>
      </c>
      <c r="Y1953" s="1440">
        <v>13500</v>
      </c>
      <c r="Z1953" s="1440"/>
      <c r="AA1953" s="1440"/>
      <c r="AB1953" s="1440"/>
      <c r="AC1953" s="1440"/>
      <c r="AD1953" s="1186">
        <f t="shared" si="156"/>
        <v>33500</v>
      </c>
      <c r="AE1953" s="637">
        <f t="shared" si="157"/>
        <v>1</v>
      </c>
      <c r="AF1953" s="638">
        <f t="shared" si="155"/>
        <v>886</v>
      </c>
    </row>
    <row r="1954" spans="1:32" x14ac:dyDescent="0.3">
      <c r="A1954" s="1412" t="s">
        <v>759</v>
      </c>
      <c r="B1954" s="1407" t="s">
        <v>2694</v>
      </c>
      <c r="C1954" s="1028"/>
      <c r="D1954" s="1440"/>
      <c r="E1954" s="1440"/>
      <c r="F1954" s="1440"/>
      <c r="G1954" s="1440"/>
      <c r="H1954" s="1440"/>
      <c r="I1954" s="1440"/>
      <c r="J1954" s="1440"/>
      <c r="K1954" s="1440"/>
      <c r="L1954" s="1440"/>
      <c r="M1954" s="1440"/>
      <c r="N1954" s="1440"/>
      <c r="O1954" s="1440"/>
      <c r="P1954" s="1497">
        <f t="shared" si="158"/>
        <v>0</v>
      </c>
      <c r="Q1954" s="1186">
        <f t="shared" si="159"/>
        <v>0</v>
      </c>
      <c r="R1954" s="1409"/>
      <c r="S1954" s="1440"/>
      <c r="T1954" s="1440"/>
      <c r="U1954" s="1440">
        <v>711000</v>
      </c>
      <c r="V1954" s="1440">
        <v>300000</v>
      </c>
      <c r="W1954" s="1440">
        <v>5000</v>
      </c>
      <c r="X1954" s="1440">
        <v>29000</v>
      </c>
      <c r="Y1954" s="1440">
        <v>23000</v>
      </c>
      <c r="Z1954" s="1440"/>
      <c r="AA1954" s="1440"/>
      <c r="AB1954" s="1440"/>
      <c r="AC1954" s="1440"/>
      <c r="AD1954" s="1186">
        <f t="shared" si="156"/>
        <v>1068000</v>
      </c>
      <c r="AE1954" s="637">
        <f t="shared" si="157"/>
        <v>1</v>
      </c>
      <c r="AF1954" s="638">
        <f t="shared" si="155"/>
        <v>307</v>
      </c>
    </row>
    <row r="1955" spans="1:32" x14ac:dyDescent="0.3">
      <c r="A1955" s="1412" t="s">
        <v>759</v>
      </c>
      <c r="B1955" s="1407" t="s">
        <v>639</v>
      </c>
      <c r="C1955" s="1028"/>
      <c r="D1955" s="1440"/>
      <c r="E1955" s="1440"/>
      <c r="F1955" s="1440"/>
      <c r="G1955" s="1440"/>
      <c r="H1955" s="1440"/>
      <c r="I1955" s="1440"/>
      <c r="J1955" s="1440"/>
      <c r="K1955" s="1440"/>
      <c r="L1955" s="1440"/>
      <c r="M1955" s="1440"/>
      <c r="N1955" s="1440"/>
      <c r="O1955" s="1440"/>
      <c r="P1955" s="1497">
        <f t="shared" si="158"/>
        <v>0</v>
      </c>
      <c r="Q1955" s="1186">
        <f t="shared" si="159"/>
        <v>0</v>
      </c>
      <c r="R1955" s="1409"/>
      <c r="S1955" s="1440"/>
      <c r="T1955" s="1440"/>
      <c r="U1955" s="1440">
        <v>10000</v>
      </c>
      <c r="V1955" s="1440">
        <v>0</v>
      </c>
      <c r="W1955" s="1440">
        <v>0</v>
      </c>
      <c r="X1955" s="1440">
        <v>0</v>
      </c>
      <c r="Y1955" s="1440">
        <v>0</v>
      </c>
      <c r="Z1955" s="1440"/>
      <c r="AA1955" s="1440"/>
      <c r="AB1955" s="1440"/>
      <c r="AC1955" s="1440"/>
      <c r="AD1955" s="1186">
        <f t="shared" si="156"/>
        <v>10000</v>
      </c>
      <c r="AE1955" s="637">
        <f t="shared" si="157"/>
        <v>1</v>
      </c>
      <c r="AF1955" s="638">
        <f t="shared" si="155"/>
        <v>958</v>
      </c>
    </row>
    <row r="1956" spans="1:32" x14ac:dyDescent="0.3">
      <c r="A1956" s="1412" t="s">
        <v>759</v>
      </c>
      <c r="B1956" s="1407" t="s">
        <v>1206</v>
      </c>
      <c r="C1956" s="1028"/>
      <c r="D1956" s="1440"/>
      <c r="E1956" s="1440"/>
      <c r="F1956" s="1440"/>
      <c r="G1956" s="1440"/>
      <c r="H1956" s="1440"/>
      <c r="I1956" s="1440"/>
      <c r="J1956" s="1440"/>
      <c r="K1956" s="1440"/>
      <c r="L1956" s="1440"/>
      <c r="M1956" s="1440"/>
      <c r="N1956" s="1440"/>
      <c r="O1956" s="1440"/>
      <c r="P1956" s="1497">
        <f t="shared" si="158"/>
        <v>0</v>
      </c>
      <c r="Q1956" s="1186">
        <f t="shared" si="159"/>
        <v>0</v>
      </c>
      <c r="R1956" s="1409"/>
      <c r="S1956" s="1440"/>
      <c r="T1956" s="1440"/>
      <c r="U1956" s="1440">
        <v>487000</v>
      </c>
      <c r="V1956" s="1440">
        <v>0</v>
      </c>
      <c r="W1956" s="1440">
        <v>0</v>
      </c>
      <c r="X1956" s="1440">
        <v>0</v>
      </c>
      <c r="Y1956" s="1440">
        <v>0</v>
      </c>
      <c r="Z1956" s="1440"/>
      <c r="AA1956" s="1440"/>
      <c r="AB1956" s="1440"/>
      <c r="AC1956" s="1440"/>
      <c r="AD1956" s="1186">
        <f t="shared" si="156"/>
        <v>487000</v>
      </c>
      <c r="AE1956" s="637">
        <f t="shared" si="157"/>
        <v>1</v>
      </c>
      <c r="AF1956" s="638">
        <f t="shared" si="155"/>
        <v>447</v>
      </c>
    </row>
    <row r="1957" spans="1:32" x14ac:dyDescent="0.3">
      <c r="A1957" s="1412" t="s">
        <v>759</v>
      </c>
      <c r="B1957" s="1407" t="s">
        <v>2621</v>
      </c>
      <c r="C1957" s="1028"/>
      <c r="D1957" s="1440"/>
      <c r="E1957" s="1440"/>
      <c r="F1957" s="1440"/>
      <c r="G1957" s="1440"/>
      <c r="H1957" s="1440"/>
      <c r="I1957" s="1440"/>
      <c r="J1957" s="1440"/>
      <c r="K1957" s="1440"/>
      <c r="L1957" s="1440"/>
      <c r="M1957" s="1440"/>
      <c r="N1957" s="1440"/>
      <c r="O1957" s="1440"/>
      <c r="P1957" s="1497">
        <f t="shared" si="158"/>
        <v>0</v>
      </c>
      <c r="Q1957" s="1186">
        <f t="shared" si="159"/>
        <v>0</v>
      </c>
      <c r="R1957" s="1409"/>
      <c r="S1957" s="1440"/>
      <c r="T1957" s="1440"/>
      <c r="U1957" s="1440">
        <v>0</v>
      </c>
      <c r="V1957" s="1440">
        <v>0</v>
      </c>
      <c r="W1957" s="1440">
        <v>119600</v>
      </c>
      <c r="X1957" s="1440">
        <v>202000</v>
      </c>
      <c r="Y1957" s="1440">
        <v>607900</v>
      </c>
      <c r="Z1957" s="1440"/>
      <c r="AA1957" s="1440"/>
      <c r="AB1957" s="1440"/>
      <c r="AC1957" s="1440"/>
      <c r="AD1957" s="1186">
        <f t="shared" si="156"/>
        <v>929500</v>
      </c>
      <c r="AE1957" s="637">
        <f t="shared" si="157"/>
        <v>1</v>
      </c>
      <c r="AF1957" s="638">
        <f t="shared" si="155"/>
        <v>331</v>
      </c>
    </row>
    <row r="1958" spans="1:32" x14ac:dyDescent="0.3">
      <c r="A1958" s="1412" t="s">
        <v>759</v>
      </c>
      <c r="B1958" s="1407" t="s">
        <v>1872</v>
      </c>
      <c r="C1958" s="1028"/>
      <c r="D1958" s="1440"/>
      <c r="E1958" s="1440"/>
      <c r="F1958" s="1440"/>
      <c r="G1958" s="1440"/>
      <c r="H1958" s="1440"/>
      <c r="I1958" s="1440"/>
      <c r="J1958" s="1440"/>
      <c r="K1958" s="1440"/>
      <c r="L1958" s="1440"/>
      <c r="M1958" s="1440"/>
      <c r="N1958" s="1440"/>
      <c r="O1958" s="1440"/>
      <c r="P1958" s="1497">
        <f t="shared" si="158"/>
        <v>0</v>
      </c>
      <c r="Q1958" s="1186">
        <f t="shared" si="159"/>
        <v>0</v>
      </c>
      <c r="R1958" s="1409"/>
      <c r="S1958" s="1440"/>
      <c r="T1958" s="1440"/>
      <c r="U1958" s="1440">
        <v>209000</v>
      </c>
      <c r="V1958" s="1440">
        <v>1050000</v>
      </c>
      <c r="W1958" s="1440">
        <v>0</v>
      </c>
      <c r="X1958" s="1440">
        <v>0</v>
      </c>
      <c r="Y1958" s="1440">
        <v>0</v>
      </c>
      <c r="Z1958" s="1440"/>
      <c r="AA1958" s="1440"/>
      <c r="AB1958" s="1440"/>
      <c r="AC1958" s="1440"/>
      <c r="AD1958" s="1186">
        <f t="shared" si="156"/>
        <v>1259000</v>
      </c>
      <c r="AE1958" s="637">
        <f t="shared" si="157"/>
        <v>1</v>
      </c>
      <c r="AF1958" s="638">
        <f t="shared" si="155"/>
        <v>273</v>
      </c>
    </row>
    <row r="1959" spans="1:32" x14ac:dyDescent="0.3">
      <c r="A1959" s="1412" t="s">
        <v>759</v>
      </c>
      <c r="B1959" s="1407" t="s">
        <v>2695</v>
      </c>
      <c r="C1959" s="1028"/>
      <c r="D1959" s="1440"/>
      <c r="E1959" s="1440"/>
      <c r="F1959" s="1440"/>
      <c r="G1959" s="1440"/>
      <c r="H1959" s="1440"/>
      <c r="I1959" s="1440"/>
      <c r="J1959" s="1440"/>
      <c r="K1959" s="1440"/>
      <c r="L1959" s="1440"/>
      <c r="M1959" s="1440"/>
      <c r="N1959" s="1440"/>
      <c r="O1959" s="1440"/>
      <c r="P1959" s="1497">
        <f t="shared" si="158"/>
        <v>0</v>
      </c>
      <c r="Q1959" s="1186">
        <f t="shared" si="159"/>
        <v>0</v>
      </c>
      <c r="R1959" s="1409"/>
      <c r="S1959" s="1440"/>
      <c r="T1959" s="1440"/>
      <c r="U1959" s="1440">
        <v>135000</v>
      </c>
      <c r="V1959" s="1440">
        <v>22500</v>
      </c>
      <c r="W1959" s="1440">
        <v>47500</v>
      </c>
      <c r="X1959" s="1440">
        <v>0</v>
      </c>
      <c r="Y1959" s="1440">
        <v>0</v>
      </c>
      <c r="Z1959" s="1440"/>
      <c r="AA1959" s="1440"/>
      <c r="AB1959" s="1440"/>
      <c r="AC1959" s="1440"/>
      <c r="AD1959" s="1186">
        <f t="shared" si="156"/>
        <v>205000</v>
      </c>
      <c r="AE1959" s="637">
        <f t="shared" si="157"/>
        <v>1</v>
      </c>
      <c r="AF1959" s="638">
        <f t="shared" si="155"/>
        <v>608</v>
      </c>
    </row>
    <row r="1960" spans="1:32" x14ac:dyDescent="0.3">
      <c r="A1960" s="1412" t="s">
        <v>759</v>
      </c>
      <c r="B1960" s="1407" t="s">
        <v>2696</v>
      </c>
      <c r="C1960" s="1028"/>
      <c r="D1960" s="1440"/>
      <c r="E1960" s="1440"/>
      <c r="F1960" s="1440"/>
      <c r="G1960" s="1440"/>
      <c r="H1960" s="1440"/>
      <c r="I1960" s="1440"/>
      <c r="J1960" s="1440"/>
      <c r="K1960" s="1440"/>
      <c r="L1960" s="1440"/>
      <c r="M1960" s="1440"/>
      <c r="N1960" s="1440"/>
      <c r="O1960" s="1440"/>
      <c r="P1960" s="1497">
        <f t="shared" si="158"/>
        <v>0</v>
      </c>
      <c r="Q1960" s="1186">
        <f t="shared" si="159"/>
        <v>0</v>
      </c>
      <c r="R1960" s="1409"/>
      <c r="S1960" s="1440"/>
      <c r="T1960" s="1440"/>
      <c r="U1960" s="1440">
        <v>97500</v>
      </c>
      <c r="V1960" s="1440">
        <v>0</v>
      </c>
      <c r="W1960" s="1440">
        <v>0</v>
      </c>
      <c r="X1960" s="1440">
        <v>0</v>
      </c>
      <c r="Y1960" s="1440">
        <v>0</v>
      </c>
      <c r="Z1960" s="1440"/>
      <c r="AA1960" s="1440"/>
      <c r="AB1960" s="1440"/>
      <c r="AC1960" s="1440"/>
      <c r="AD1960" s="1186">
        <f t="shared" si="156"/>
        <v>97500</v>
      </c>
      <c r="AE1960" s="637">
        <f t="shared" si="157"/>
        <v>1</v>
      </c>
      <c r="AF1960" s="638">
        <f t="shared" si="155"/>
        <v>745</v>
      </c>
    </row>
    <row r="1961" spans="1:32" x14ac:dyDescent="0.3">
      <c r="A1961" s="1412" t="s">
        <v>759</v>
      </c>
      <c r="B1961" s="1407" t="s">
        <v>2697</v>
      </c>
      <c r="C1961" s="1028"/>
      <c r="D1961" s="1440"/>
      <c r="E1961" s="1440"/>
      <c r="F1961" s="1440"/>
      <c r="G1961" s="1440"/>
      <c r="H1961" s="1440"/>
      <c r="I1961" s="1440"/>
      <c r="J1961" s="1440"/>
      <c r="K1961" s="1440"/>
      <c r="L1961" s="1440"/>
      <c r="M1961" s="1440"/>
      <c r="N1961" s="1440"/>
      <c r="O1961" s="1440"/>
      <c r="P1961" s="1497">
        <f t="shared" si="158"/>
        <v>0</v>
      </c>
      <c r="Q1961" s="1186">
        <f t="shared" si="159"/>
        <v>0</v>
      </c>
      <c r="R1961" s="1409"/>
      <c r="S1961" s="1440"/>
      <c r="T1961" s="1440"/>
      <c r="U1961" s="1440">
        <v>95000</v>
      </c>
      <c r="V1961" s="1440">
        <v>0</v>
      </c>
      <c r="W1961" s="1440">
        <v>110000</v>
      </c>
      <c r="X1961" s="1440">
        <v>0</v>
      </c>
      <c r="Y1961" s="1440">
        <v>0</v>
      </c>
      <c r="Z1961" s="1440"/>
      <c r="AA1961" s="1440"/>
      <c r="AB1961" s="1440"/>
      <c r="AC1961" s="1440"/>
      <c r="AD1961" s="1186">
        <f t="shared" si="156"/>
        <v>205000</v>
      </c>
      <c r="AE1961" s="637">
        <f t="shared" si="157"/>
        <v>1</v>
      </c>
      <c r="AF1961" s="638">
        <f t="shared" si="155"/>
        <v>608</v>
      </c>
    </row>
    <row r="1962" spans="1:32" x14ac:dyDescent="0.3">
      <c r="A1962" s="1412" t="s">
        <v>759</v>
      </c>
      <c r="B1962" s="1407" t="s">
        <v>2698</v>
      </c>
      <c r="C1962" s="1028"/>
      <c r="D1962" s="1440"/>
      <c r="E1962" s="1440"/>
      <c r="F1962" s="1440"/>
      <c r="G1962" s="1440"/>
      <c r="H1962" s="1440"/>
      <c r="I1962" s="1440"/>
      <c r="J1962" s="1440"/>
      <c r="K1962" s="1440"/>
      <c r="L1962" s="1440"/>
      <c r="M1962" s="1440"/>
      <c r="N1962" s="1440"/>
      <c r="O1962" s="1440"/>
      <c r="P1962" s="1497">
        <f t="shared" si="158"/>
        <v>0</v>
      </c>
      <c r="Q1962" s="1186">
        <f t="shared" si="159"/>
        <v>0</v>
      </c>
      <c r="R1962" s="1409"/>
      <c r="S1962" s="1440"/>
      <c r="T1962" s="1440"/>
      <c r="U1962" s="1440">
        <v>176500</v>
      </c>
      <c r="V1962" s="1440">
        <v>55000</v>
      </c>
      <c r="W1962" s="1440">
        <v>0</v>
      </c>
      <c r="X1962" s="1440">
        <v>0</v>
      </c>
      <c r="Y1962" s="1440">
        <v>0</v>
      </c>
      <c r="Z1962" s="1440"/>
      <c r="AA1962" s="1440"/>
      <c r="AB1962" s="1440"/>
      <c r="AC1962" s="1440"/>
      <c r="AD1962" s="1186">
        <f t="shared" si="156"/>
        <v>231500</v>
      </c>
      <c r="AE1962" s="637">
        <f t="shared" si="157"/>
        <v>1</v>
      </c>
      <c r="AF1962" s="638">
        <f t="shared" si="155"/>
        <v>583</v>
      </c>
    </row>
    <row r="1963" spans="1:32" x14ac:dyDescent="0.3">
      <c r="A1963" s="1412" t="s">
        <v>759</v>
      </c>
      <c r="B1963" s="1407" t="s">
        <v>2699</v>
      </c>
      <c r="C1963" s="1028"/>
      <c r="D1963" s="1440"/>
      <c r="E1963" s="1440"/>
      <c r="F1963" s="1440"/>
      <c r="G1963" s="1440"/>
      <c r="H1963" s="1440"/>
      <c r="I1963" s="1440"/>
      <c r="J1963" s="1440"/>
      <c r="K1963" s="1440"/>
      <c r="L1963" s="1440"/>
      <c r="M1963" s="1440"/>
      <c r="N1963" s="1440"/>
      <c r="O1963" s="1440"/>
      <c r="P1963" s="1497">
        <f t="shared" si="158"/>
        <v>0</v>
      </c>
      <c r="Q1963" s="1186">
        <f t="shared" si="159"/>
        <v>0</v>
      </c>
      <c r="R1963" s="1409"/>
      <c r="S1963" s="1440"/>
      <c r="T1963" s="1440"/>
      <c r="U1963" s="1440">
        <v>55000</v>
      </c>
      <c r="V1963" s="1440">
        <v>55000</v>
      </c>
      <c r="W1963" s="1440">
        <v>55000</v>
      </c>
      <c r="X1963" s="1440">
        <v>0</v>
      </c>
      <c r="Y1963" s="1440">
        <v>110000</v>
      </c>
      <c r="Z1963" s="1440"/>
      <c r="AA1963" s="1440"/>
      <c r="AB1963" s="1440"/>
      <c r="AC1963" s="1440"/>
      <c r="AD1963" s="1186">
        <f t="shared" si="156"/>
        <v>275000</v>
      </c>
      <c r="AE1963" s="637">
        <f t="shared" si="157"/>
        <v>1</v>
      </c>
      <c r="AF1963" s="638">
        <f t="shared" si="155"/>
        <v>546</v>
      </c>
    </row>
    <row r="1964" spans="1:32" x14ac:dyDescent="0.3">
      <c r="A1964" s="1412" t="s">
        <v>759</v>
      </c>
      <c r="B1964" s="1407" t="s">
        <v>2700</v>
      </c>
      <c r="C1964" s="1028"/>
      <c r="D1964" s="1440"/>
      <c r="E1964" s="1440"/>
      <c r="F1964" s="1440"/>
      <c r="G1964" s="1440"/>
      <c r="H1964" s="1440"/>
      <c r="I1964" s="1440"/>
      <c r="J1964" s="1440"/>
      <c r="K1964" s="1440"/>
      <c r="L1964" s="1440"/>
      <c r="M1964" s="1440"/>
      <c r="N1964" s="1440"/>
      <c r="O1964" s="1440"/>
      <c r="P1964" s="1497">
        <f t="shared" si="158"/>
        <v>0</v>
      </c>
      <c r="Q1964" s="1186">
        <f t="shared" si="159"/>
        <v>0</v>
      </c>
      <c r="R1964" s="1409"/>
      <c r="S1964" s="1440"/>
      <c r="T1964" s="1440"/>
      <c r="U1964" s="1440">
        <v>47000</v>
      </c>
      <c r="V1964" s="1440">
        <v>0</v>
      </c>
      <c r="W1964" s="1440">
        <v>0</v>
      </c>
      <c r="X1964" s="1440">
        <v>0</v>
      </c>
      <c r="Y1964" s="1440">
        <v>0</v>
      </c>
      <c r="Z1964" s="1440"/>
      <c r="AA1964" s="1440"/>
      <c r="AB1964" s="1440"/>
      <c r="AC1964" s="1440"/>
      <c r="AD1964" s="1186">
        <f t="shared" si="156"/>
        <v>47000</v>
      </c>
      <c r="AE1964" s="637">
        <f t="shared" si="157"/>
        <v>1</v>
      </c>
      <c r="AF1964" s="638">
        <f t="shared" si="155"/>
        <v>851</v>
      </c>
    </row>
    <row r="1965" spans="1:32" x14ac:dyDescent="0.3">
      <c r="A1965" s="1412" t="s">
        <v>759</v>
      </c>
      <c r="B1965" s="1407" t="s">
        <v>2701</v>
      </c>
      <c r="C1965" s="1028"/>
      <c r="D1965" s="1440"/>
      <c r="E1965" s="1440"/>
      <c r="F1965" s="1440"/>
      <c r="G1965" s="1440"/>
      <c r="H1965" s="1440"/>
      <c r="I1965" s="1440"/>
      <c r="J1965" s="1440"/>
      <c r="K1965" s="1440"/>
      <c r="L1965" s="1440"/>
      <c r="M1965" s="1440"/>
      <c r="N1965" s="1440"/>
      <c r="O1965" s="1440"/>
      <c r="P1965" s="1497">
        <f t="shared" si="158"/>
        <v>0</v>
      </c>
      <c r="Q1965" s="1186">
        <f t="shared" si="159"/>
        <v>0</v>
      </c>
      <c r="R1965" s="1409"/>
      <c r="S1965" s="1440"/>
      <c r="T1965" s="1440"/>
      <c r="U1965" s="1440">
        <v>26000</v>
      </c>
      <c r="V1965" s="1440">
        <v>0</v>
      </c>
      <c r="W1965" s="1440">
        <v>38200</v>
      </c>
      <c r="X1965" s="1440">
        <v>0</v>
      </c>
      <c r="Y1965" s="1440">
        <v>788000</v>
      </c>
      <c r="Z1965" s="1440"/>
      <c r="AA1965" s="1440"/>
      <c r="AB1965" s="1440"/>
      <c r="AC1965" s="1440"/>
      <c r="AD1965" s="1186">
        <f t="shared" si="156"/>
        <v>852200</v>
      </c>
      <c r="AE1965" s="637">
        <f t="shared" si="157"/>
        <v>1</v>
      </c>
      <c r="AF1965" s="638">
        <f t="shared" si="155"/>
        <v>347</v>
      </c>
    </row>
    <row r="1966" spans="1:32" x14ac:dyDescent="0.3">
      <c r="A1966" s="1412" t="s">
        <v>759</v>
      </c>
      <c r="B1966" s="1407" t="s">
        <v>1800</v>
      </c>
      <c r="C1966" s="1028"/>
      <c r="D1966" s="1440"/>
      <c r="E1966" s="1440"/>
      <c r="F1966" s="1440"/>
      <c r="G1966" s="1440"/>
      <c r="H1966" s="1440"/>
      <c r="I1966" s="1440"/>
      <c r="J1966" s="1440"/>
      <c r="K1966" s="1440"/>
      <c r="L1966" s="1440"/>
      <c r="M1966" s="1440"/>
      <c r="N1966" s="1440"/>
      <c r="O1966" s="1440"/>
      <c r="P1966" s="1497">
        <f t="shared" si="158"/>
        <v>0</v>
      </c>
      <c r="Q1966" s="1186">
        <f t="shared" si="159"/>
        <v>0</v>
      </c>
      <c r="R1966" s="1409"/>
      <c r="S1966" s="1440"/>
      <c r="T1966" s="1440"/>
      <c r="U1966" s="1440">
        <v>5000</v>
      </c>
      <c r="V1966" s="1440">
        <v>0</v>
      </c>
      <c r="W1966" s="1440">
        <v>5000</v>
      </c>
      <c r="X1966" s="1440">
        <v>0</v>
      </c>
      <c r="Y1966" s="1440">
        <v>0</v>
      </c>
      <c r="Z1966" s="1440"/>
      <c r="AA1966" s="1440"/>
      <c r="AB1966" s="1440"/>
      <c r="AC1966" s="1440"/>
      <c r="AD1966" s="1186">
        <f t="shared" si="156"/>
        <v>10000</v>
      </c>
      <c r="AE1966" s="637">
        <f t="shared" si="157"/>
        <v>1</v>
      </c>
      <c r="AF1966" s="638">
        <f t="shared" si="155"/>
        <v>958</v>
      </c>
    </row>
    <row r="1967" spans="1:32" x14ac:dyDescent="0.3">
      <c r="A1967" s="1412" t="s">
        <v>759</v>
      </c>
      <c r="B1967" s="1407" t="s">
        <v>2707</v>
      </c>
      <c r="C1967" s="1028"/>
      <c r="D1967" s="1440"/>
      <c r="E1967" s="1440"/>
      <c r="F1967" s="1440"/>
      <c r="G1967" s="1440"/>
      <c r="H1967" s="1440"/>
      <c r="I1967" s="1440"/>
      <c r="J1967" s="1440"/>
      <c r="K1967" s="1440"/>
      <c r="L1967" s="1440"/>
      <c r="M1967" s="1440"/>
      <c r="N1967" s="1440"/>
      <c r="O1967" s="1440"/>
      <c r="P1967" s="1497">
        <f t="shared" si="158"/>
        <v>0</v>
      </c>
      <c r="Q1967" s="1186">
        <f t="shared" si="159"/>
        <v>0</v>
      </c>
      <c r="R1967" s="1409"/>
      <c r="S1967" s="1440"/>
      <c r="T1967" s="1440"/>
      <c r="U1967" s="1440">
        <v>106650</v>
      </c>
      <c r="V1967" s="1440">
        <v>0</v>
      </c>
      <c r="W1967" s="1440">
        <v>0</v>
      </c>
      <c r="X1967" s="1440">
        <v>0</v>
      </c>
      <c r="Y1967" s="1440">
        <v>0</v>
      </c>
      <c r="Z1967" s="1440"/>
      <c r="AA1967" s="1440"/>
      <c r="AB1967" s="1440"/>
      <c r="AC1967" s="1440"/>
      <c r="AD1967" s="1186">
        <f t="shared" si="156"/>
        <v>106650</v>
      </c>
      <c r="AE1967" s="637">
        <f t="shared" si="157"/>
        <v>1</v>
      </c>
      <c r="AF1967" s="638">
        <f t="shared" si="155"/>
        <v>730</v>
      </c>
    </row>
    <row r="1968" spans="1:32" x14ac:dyDescent="0.3">
      <c r="A1968" s="1412" t="s">
        <v>759</v>
      </c>
      <c r="B1968" s="1407" t="s">
        <v>2708</v>
      </c>
      <c r="C1968" s="1028"/>
      <c r="D1968" s="1440"/>
      <c r="E1968" s="1440"/>
      <c r="F1968" s="1440"/>
      <c r="G1968" s="1440"/>
      <c r="H1968" s="1440"/>
      <c r="I1968" s="1440"/>
      <c r="J1968" s="1440"/>
      <c r="K1968" s="1440"/>
      <c r="L1968" s="1440"/>
      <c r="M1968" s="1440"/>
      <c r="N1968" s="1440"/>
      <c r="O1968" s="1440"/>
      <c r="P1968" s="1497">
        <f t="shared" si="158"/>
        <v>0</v>
      </c>
      <c r="Q1968" s="1186">
        <f t="shared" si="159"/>
        <v>0</v>
      </c>
      <c r="R1968" s="1409"/>
      <c r="S1968" s="1440"/>
      <c r="T1968" s="1440"/>
      <c r="U1968" s="1440">
        <v>46000</v>
      </c>
      <c r="V1968" s="1440">
        <v>0</v>
      </c>
      <c r="W1968" s="1440">
        <v>0</v>
      </c>
      <c r="X1968" s="1440">
        <v>0</v>
      </c>
      <c r="Y1968" s="1440">
        <v>0</v>
      </c>
      <c r="Z1968" s="1440"/>
      <c r="AA1968" s="1440"/>
      <c r="AB1968" s="1440"/>
      <c r="AC1968" s="1440"/>
      <c r="AD1968" s="1186">
        <f t="shared" si="156"/>
        <v>46000</v>
      </c>
      <c r="AE1968" s="637">
        <f t="shared" si="157"/>
        <v>1</v>
      </c>
      <c r="AF1968" s="638">
        <f t="shared" si="155"/>
        <v>855</v>
      </c>
    </row>
    <row r="1969" spans="1:32" x14ac:dyDescent="0.3">
      <c r="A1969" s="1412" t="s">
        <v>759</v>
      </c>
      <c r="B1969" s="1407" t="s">
        <v>1192</v>
      </c>
      <c r="C1969" s="1028"/>
      <c r="D1969" s="1440"/>
      <c r="E1969" s="1440"/>
      <c r="F1969" s="1440"/>
      <c r="G1969" s="1440"/>
      <c r="H1969" s="1440"/>
      <c r="I1969" s="1440"/>
      <c r="J1969" s="1440"/>
      <c r="K1969" s="1440"/>
      <c r="L1969" s="1440"/>
      <c r="M1969" s="1440"/>
      <c r="N1969" s="1440"/>
      <c r="O1969" s="1440"/>
      <c r="P1969" s="1497">
        <f t="shared" si="158"/>
        <v>0</v>
      </c>
      <c r="Q1969" s="1186">
        <f t="shared" si="159"/>
        <v>0</v>
      </c>
      <c r="R1969" s="1409"/>
      <c r="S1969" s="1440"/>
      <c r="T1969" s="1440"/>
      <c r="U1969" s="1440">
        <v>249000</v>
      </c>
      <c r="V1969" s="1440">
        <v>404600</v>
      </c>
      <c r="W1969" s="1440">
        <v>2557800</v>
      </c>
      <c r="X1969" s="1440">
        <v>2778720</v>
      </c>
      <c r="Y1969" s="1440">
        <v>1328050</v>
      </c>
      <c r="Z1969" s="1440"/>
      <c r="AA1969" s="1440"/>
      <c r="AB1969" s="1440"/>
      <c r="AC1969" s="1440"/>
      <c r="AD1969" s="1186">
        <f t="shared" si="156"/>
        <v>7318170</v>
      </c>
      <c r="AE1969" s="637">
        <f t="shared" si="157"/>
        <v>1</v>
      </c>
      <c r="AF1969" s="638">
        <f t="shared" si="155"/>
        <v>57</v>
      </c>
    </row>
    <row r="1970" spans="1:32" x14ac:dyDescent="0.3">
      <c r="A1970" s="1412" t="s">
        <v>759</v>
      </c>
      <c r="B1970" s="1407" t="s">
        <v>629</v>
      </c>
      <c r="C1970" s="1028"/>
      <c r="D1970" s="1440"/>
      <c r="E1970" s="1440"/>
      <c r="F1970" s="1440"/>
      <c r="G1970" s="1440"/>
      <c r="H1970" s="1440"/>
      <c r="I1970" s="1440"/>
      <c r="J1970" s="1440"/>
      <c r="K1970" s="1440"/>
      <c r="L1970" s="1440"/>
      <c r="M1970" s="1440"/>
      <c r="N1970" s="1440"/>
      <c r="O1970" s="1440"/>
      <c r="P1970" s="1497">
        <f t="shared" si="158"/>
        <v>0</v>
      </c>
      <c r="Q1970" s="1186">
        <f t="shared" si="159"/>
        <v>0</v>
      </c>
      <c r="R1970" s="1409"/>
      <c r="S1970" s="1440"/>
      <c r="T1970" s="1440"/>
      <c r="U1970" s="1440">
        <v>20000</v>
      </c>
      <c r="V1970" s="1440">
        <v>0</v>
      </c>
      <c r="W1970" s="1440">
        <v>0</v>
      </c>
      <c r="X1970" s="1440">
        <v>0</v>
      </c>
      <c r="Y1970" s="1440">
        <v>0</v>
      </c>
      <c r="Z1970" s="1440"/>
      <c r="AA1970" s="1440"/>
      <c r="AB1970" s="1440"/>
      <c r="AC1970" s="1440"/>
      <c r="AD1970" s="1186">
        <f t="shared" si="156"/>
        <v>20000</v>
      </c>
      <c r="AE1970" s="637">
        <f t="shared" si="157"/>
        <v>1</v>
      </c>
      <c r="AF1970" s="638">
        <f t="shared" si="155"/>
        <v>921</v>
      </c>
    </row>
    <row r="1971" spans="1:32" x14ac:dyDescent="0.3">
      <c r="A1971" s="1412" t="s">
        <v>759</v>
      </c>
      <c r="B1971" s="1407" t="s">
        <v>2749</v>
      </c>
      <c r="C1971" s="1028"/>
      <c r="D1971" s="1440"/>
      <c r="E1971" s="1440"/>
      <c r="F1971" s="1440"/>
      <c r="G1971" s="1440"/>
      <c r="H1971" s="1440"/>
      <c r="I1971" s="1440"/>
      <c r="J1971" s="1440"/>
      <c r="K1971" s="1440"/>
      <c r="L1971" s="1440"/>
      <c r="M1971" s="1440"/>
      <c r="N1971" s="1440"/>
      <c r="O1971" s="1440"/>
      <c r="P1971" s="1497">
        <f t="shared" si="158"/>
        <v>0</v>
      </c>
      <c r="Q1971" s="1186">
        <f t="shared" si="159"/>
        <v>0</v>
      </c>
      <c r="R1971" s="1409"/>
      <c r="S1971" s="1440"/>
      <c r="T1971" s="1440"/>
      <c r="U1971" s="1440">
        <v>372400</v>
      </c>
      <c r="V1971" s="1440">
        <v>0</v>
      </c>
      <c r="W1971" s="1440">
        <v>0</v>
      </c>
      <c r="X1971" s="1440">
        <v>0</v>
      </c>
      <c r="Y1971" s="1440">
        <v>0</v>
      </c>
      <c r="Z1971" s="1440"/>
      <c r="AA1971" s="1440"/>
      <c r="AB1971" s="1440"/>
      <c r="AC1971" s="1440"/>
      <c r="AD1971" s="1186">
        <f t="shared" si="156"/>
        <v>372400</v>
      </c>
      <c r="AE1971" s="637">
        <f t="shared" si="157"/>
        <v>1</v>
      </c>
      <c r="AF1971" s="638">
        <f t="shared" si="155"/>
        <v>492</v>
      </c>
    </row>
    <row r="1972" spans="1:32" x14ac:dyDescent="0.3">
      <c r="A1972" s="1412" t="s">
        <v>759</v>
      </c>
      <c r="B1972" s="1407" t="s">
        <v>2748</v>
      </c>
      <c r="C1972" s="1028"/>
      <c r="D1972" s="1440"/>
      <c r="E1972" s="1440"/>
      <c r="F1972" s="1440"/>
      <c r="G1972" s="1440"/>
      <c r="H1972" s="1440"/>
      <c r="I1972" s="1440"/>
      <c r="J1972" s="1440"/>
      <c r="K1972" s="1440"/>
      <c r="L1972" s="1440"/>
      <c r="M1972" s="1440"/>
      <c r="N1972" s="1440"/>
      <c r="O1972" s="1440"/>
      <c r="P1972" s="1497">
        <f t="shared" si="158"/>
        <v>0</v>
      </c>
      <c r="Q1972" s="1186">
        <f t="shared" si="159"/>
        <v>0</v>
      </c>
      <c r="R1972" s="1409"/>
      <c r="S1972" s="1440"/>
      <c r="T1972" s="1440"/>
      <c r="U1972" s="1440">
        <v>189800</v>
      </c>
      <c r="V1972" s="1440">
        <v>1320600</v>
      </c>
      <c r="W1972" s="1440">
        <v>0</v>
      </c>
      <c r="X1972" s="1440">
        <v>0</v>
      </c>
      <c r="Y1972" s="1440">
        <v>0</v>
      </c>
      <c r="Z1972" s="1440"/>
      <c r="AA1972" s="1440"/>
      <c r="AB1972" s="1440"/>
      <c r="AC1972" s="1440"/>
      <c r="AD1972" s="1186">
        <f t="shared" si="156"/>
        <v>1510400</v>
      </c>
      <c r="AE1972" s="637">
        <f t="shared" si="157"/>
        <v>1</v>
      </c>
      <c r="AF1972" s="638">
        <f t="shared" si="155"/>
        <v>247</v>
      </c>
    </row>
    <row r="1973" spans="1:32" x14ac:dyDescent="0.3">
      <c r="A1973" s="1412" t="s">
        <v>759</v>
      </c>
      <c r="B1973" s="1407" t="s">
        <v>2750</v>
      </c>
      <c r="C1973" s="1028"/>
      <c r="D1973" s="1440"/>
      <c r="E1973" s="1440"/>
      <c r="F1973" s="1440"/>
      <c r="G1973" s="1440"/>
      <c r="H1973" s="1440"/>
      <c r="I1973" s="1440"/>
      <c r="J1973" s="1440"/>
      <c r="K1973" s="1440"/>
      <c r="L1973" s="1440"/>
      <c r="M1973" s="1440"/>
      <c r="N1973" s="1440"/>
      <c r="O1973" s="1440"/>
      <c r="P1973" s="1497">
        <f t="shared" si="158"/>
        <v>0</v>
      </c>
      <c r="Q1973" s="1186">
        <f t="shared" si="159"/>
        <v>0</v>
      </c>
      <c r="R1973" s="1409"/>
      <c r="S1973" s="1440"/>
      <c r="T1973" s="1440"/>
      <c r="U1973" s="1440">
        <v>17000</v>
      </c>
      <c r="V1973" s="1440">
        <v>0</v>
      </c>
      <c r="W1973" s="1440">
        <v>0</v>
      </c>
      <c r="X1973" s="1440">
        <v>0</v>
      </c>
      <c r="Y1973" s="1440">
        <v>0</v>
      </c>
      <c r="Z1973" s="1440"/>
      <c r="AA1973" s="1440"/>
      <c r="AB1973" s="1440"/>
      <c r="AC1973" s="1440"/>
      <c r="AD1973" s="1186">
        <f t="shared" si="156"/>
        <v>17000</v>
      </c>
      <c r="AE1973" s="637">
        <f t="shared" si="157"/>
        <v>1</v>
      </c>
      <c r="AF1973" s="638">
        <f t="shared" si="155"/>
        <v>935</v>
      </c>
    </row>
    <row r="1974" spans="1:32" x14ac:dyDescent="0.3">
      <c r="A1974" s="1412" t="s">
        <v>759</v>
      </c>
      <c r="B1974" s="1407" t="s">
        <v>1230</v>
      </c>
      <c r="C1974" s="1028"/>
      <c r="D1974" s="1440"/>
      <c r="E1974" s="1440"/>
      <c r="F1974" s="1440"/>
      <c r="G1974" s="1440"/>
      <c r="H1974" s="1440"/>
      <c r="I1974" s="1440"/>
      <c r="J1974" s="1440"/>
      <c r="K1974" s="1440"/>
      <c r="L1974" s="1440"/>
      <c r="M1974" s="1440"/>
      <c r="N1974" s="1440"/>
      <c r="O1974" s="1440"/>
      <c r="P1974" s="1497">
        <f t="shared" si="158"/>
        <v>0</v>
      </c>
      <c r="Q1974" s="1186">
        <f t="shared" si="159"/>
        <v>0</v>
      </c>
      <c r="R1974" s="1409"/>
      <c r="S1974" s="1440"/>
      <c r="T1974" s="1440"/>
      <c r="U1974" s="1440">
        <v>80100</v>
      </c>
      <c r="V1974" s="1440"/>
      <c r="W1974" s="1440"/>
      <c r="X1974" s="1440"/>
      <c r="Y1974" s="1440"/>
      <c r="Z1974" s="1440"/>
      <c r="AA1974" s="1440"/>
      <c r="AB1974" s="1440"/>
      <c r="AC1974" s="1440"/>
      <c r="AD1974" s="1186">
        <f t="shared" si="156"/>
        <v>80100</v>
      </c>
      <c r="AE1974" s="637">
        <f t="shared" si="157"/>
        <v>1</v>
      </c>
      <c r="AF1974" s="638">
        <f t="shared" si="155"/>
        <v>772</v>
      </c>
    </row>
    <row r="1975" spans="1:32" x14ac:dyDescent="0.3">
      <c r="A1975" s="1412" t="s">
        <v>759</v>
      </c>
      <c r="B1975" s="1407" t="s">
        <v>2260</v>
      </c>
      <c r="C1975" s="1028"/>
      <c r="D1975" s="1440"/>
      <c r="E1975" s="1440"/>
      <c r="F1975" s="1440"/>
      <c r="G1975" s="1440"/>
      <c r="H1975" s="1440"/>
      <c r="I1975" s="1440"/>
      <c r="J1975" s="1440"/>
      <c r="K1975" s="1440"/>
      <c r="L1975" s="1440"/>
      <c r="M1975" s="1440"/>
      <c r="N1975" s="1440"/>
      <c r="O1975" s="1440"/>
      <c r="P1975" s="1497">
        <f t="shared" si="158"/>
        <v>0</v>
      </c>
      <c r="Q1975" s="1186">
        <f t="shared" si="159"/>
        <v>0</v>
      </c>
      <c r="R1975" s="1409"/>
      <c r="S1975" s="1440"/>
      <c r="T1975" s="1440"/>
      <c r="U1975" s="1440"/>
      <c r="V1975" s="1440"/>
      <c r="W1975" s="1440"/>
      <c r="X1975" s="1440"/>
      <c r="Y1975" s="1440"/>
      <c r="Z1975" s="1440"/>
      <c r="AA1975" s="1440"/>
      <c r="AB1975" s="1440"/>
      <c r="AC1975" s="1440"/>
      <c r="AD1975" s="1186">
        <f t="shared" si="156"/>
        <v>0</v>
      </c>
      <c r="AE1975" s="637">
        <f t="shared" si="157"/>
        <v>0</v>
      </c>
      <c r="AF1975" s="638">
        <f t="shared" si="155"/>
        <v>983</v>
      </c>
    </row>
    <row r="1976" spans="1:32" x14ac:dyDescent="0.3">
      <c r="A1976" s="1412" t="s">
        <v>759</v>
      </c>
      <c r="B1976" s="1407" t="s">
        <v>2182</v>
      </c>
      <c r="C1976" s="1028"/>
      <c r="D1976" s="1440"/>
      <c r="E1976" s="1440"/>
      <c r="F1976" s="1440"/>
      <c r="G1976" s="1440"/>
      <c r="H1976" s="1440"/>
      <c r="I1976" s="1440"/>
      <c r="J1976" s="1440"/>
      <c r="K1976" s="1440"/>
      <c r="L1976" s="1440"/>
      <c r="M1976" s="1440"/>
      <c r="N1976" s="1440"/>
      <c r="O1976" s="1440"/>
      <c r="P1976" s="1497">
        <f t="shared" si="158"/>
        <v>0</v>
      </c>
      <c r="Q1976" s="1186">
        <f t="shared" si="159"/>
        <v>0</v>
      </c>
      <c r="R1976" s="1409"/>
      <c r="S1976" s="1440"/>
      <c r="T1976" s="1440"/>
      <c r="U1976" s="1440"/>
      <c r="V1976" s="1440"/>
      <c r="W1976" s="1440"/>
      <c r="X1976" s="1440"/>
      <c r="Y1976" s="1440"/>
      <c r="Z1976" s="1440"/>
      <c r="AA1976" s="1440"/>
      <c r="AB1976" s="1440"/>
      <c r="AC1976" s="1440"/>
      <c r="AD1976" s="1186">
        <f t="shared" si="156"/>
        <v>0</v>
      </c>
      <c r="AE1976" s="637">
        <f t="shared" si="157"/>
        <v>0</v>
      </c>
      <c r="AF1976" s="638">
        <f t="shared" si="155"/>
        <v>983</v>
      </c>
    </row>
    <row r="1977" spans="1:32" x14ac:dyDescent="0.3">
      <c r="A1977" s="1412" t="s">
        <v>759</v>
      </c>
      <c r="B1977" s="1407" t="s">
        <v>1488</v>
      </c>
      <c r="C1977" s="1028"/>
      <c r="D1977" s="1440"/>
      <c r="E1977" s="1440"/>
      <c r="F1977" s="1440"/>
      <c r="G1977" s="1440"/>
      <c r="H1977" s="1440"/>
      <c r="I1977" s="1440"/>
      <c r="J1977" s="1440"/>
      <c r="K1977" s="1440"/>
      <c r="L1977" s="1440"/>
      <c r="M1977" s="1440"/>
      <c r="N1977" s="1440"/>
      <c r="O1977" s="1440"/>
      <c r="P1977" s="1497">
        <f t="shared" si="158"/>
        <v>0</v>
      </c>
      <c r="Q1977" s="1186">
        <f t="shared" si="159"/>
        <v>0</v>
      </c>
      <c r="R1977" s="1409"/>
      <c r="S1977" s="1440"/>
      <c r="T1977" s="1440"/>
      <c r="U1977" s="1440"/>
      <c r="V1977" s="1440"/>
      <c r="W1977" s="1440"/>
      <c r="X1977" s="1440"/>
      <c r="Y1977" s="1440"/>
      <c r="Z1977" s="1440"/>
      <c r="AA1977" s="1440"/>
      <c r="AB1977" s="1440"/>
      <c r="AC1977" s="1440"/>
      <c r="AD1977" s="1186">
        <f t="shared" si="156"/>
        <v>0</v>
      </c>
      <c r="AE1977" s="637">
        <f t="shared" si="157"/>
        <v>0</v>
      </c>
      <c r="AF1977" s="638">
        <f t="shared" si="155"/>
        <v>983</v>
      </c>
    </row>
    <row r="1978" spans="1:32" x14ac:dyDescent="0.3">
      <c r="A1978" s="1412" t="s">
        <v>759</v>
      </c>
      <c r="B1978" s="1407" t="s">
        <v>2689</v>
      </c>
      <c r="C1978" s="1028"/>
      <c r="D1978" s="1440"/>
      <c r="E1978" s="1440"/>
      <c r="F1978" s="1440"/>
      <c r="G1978" s="1440"/>
      <c r="H1978" s="1440"/>
      <c r="I1978" s="1440"/>
      <c r="J1978" s="1440"/>
      <c r="K1978" s="1440"/>
      <c r="L1978" s="1440"/>
      <c r="M1978" s="1440"/>
      <c r="N1978" s="1440"/>
      <c r="O1978" s="1440"/>
      <c r="P1978" s="1497">
        <f t="shared" si="158"/>
        <v>0</v>
      </c>
      <c r="Q1978" s="1186">
        <f t="shared" si="159"/>
        <v>0</v>
      </c>
      <c r="R1978" s="1409"/>
      <c r="S1978" s="1440"/>
      <c r="T1978" s="1440"/>
      <c r="U1978" s="1440">
        <v>225600</v>
      </c>
      <c r="V1978" s="1440"/>
      <c r="W1978" s="1440"/>
      <c r="X1978" s="1440"/>
      <c r="Y1978" s="1440"/>
      <c r="Z1978" s="1440"/>
      <c r="AA1978" s="1440"/>
      <c r="AB1978" s="1440"/>
      <c r="AC1978" s="1440"/>
      <c r="AD1978" s="1186">
        <f t="shared" si="156"/>
        <v>225600</v>
      </c>
      <c r="AE1978" s="637">
        <f t="shared" si="157"/>
        <v>1</v>
      </c>
      <c r="AF1978" s="638">
        <f t="shared" si="155"/>
        <v>586</v>
      </c>
    </row>
    <row r="1979" spans="1:32" x14ac:dyDescent="0.3">
      <c r="A1979" s="1412" t="s">
        <v>759</v>
      </c>
      <c r="B1979" s="1407" t="s">
        <v>2707</v>
      </c>
      <c r="C1979" s="1028"/>
      <c r="D1979" s="1440"/>
      <c r="E1979" s="1440"/>
      <c r="F1979" s="1440"/>
      <c r="G1979" s="1440"/>
      <c r="H1979" s="1440"/>
      <c r="I1979" s="1440"/>
      <c r="J1979" s="1440"/>
      <c r="K1979" s="1440"/>
      <c r="L1979" s="1440"/>
      <c r="M1979" s="1440"/>
      <c r="N1979" s="1440"/>
      <c r="O1979" s="1440"/>
      <c r="P1979" s="1497">
        <f t="shared" si="158"/>
        <v>0</v>
      </c>
      <c r="Q1979" s="1186">
        <f t="shared" si="159"/>
        <v>0</v>
      </c>
      <c r="R1979" s="1409"/>
      <c r="S1979" s="1440"/>
      <c r="T1979" s="1440"/>
      <c r="U1979" s="1440"/>
      <c r="V1979" s="1440"/>
      <c r="W1979" s="1440"/>
      <c r="X1979" s="1440"/>
      <c r="Y1979" s="1440"/>
      <c r="Z1979" s="1440"/>
      <c r="AA1979" s="1440"/>
      <c r="AB1979" s="1440"/>
      <c r="AC1979" s="1440"/>
      <c r="AD1979" s="1186">
        <f t="shared" si="156"/>
        <v>0</v>
      </c>
      <c r="AE1979" s="637">
        <f t="shared" si="157"/>
        <v>0</v>
      </c>
      <c r="AF1979" s="638">
        <f t="shared" si="155"/>
        <v>983</v>
      </c>
    </row>
    <row r="1980" spans="1:32" x14ac:dyDescent="0.3">
      <c r="A1980" s="1412" t="s">
        <v>759</v>
      </c>
      <c r="B1980" s="1407" t="s">
        <v>805</v>
      </c>
      <c r="C1980" s="1028"/>
      <c r="D1980" s="1440"/>
      <c r="E1980" s="1440"/>
      <c r="F1980" s="1440"/>
      <c r="G1980" s="1440"/>
      <c r="H1980" s="1440"/>
      <c r="I1980" s="1440"/>
      <c r="J1980" s="1440"/>
      <c r="K1980" s="1440"/>
      <c r="L1980" s="1440"/>
      <c r="M1980" s="1440"/>
      <c r="N1980" s="1440"/>
      <c r="O1980" s="1440"/>
      <c r="P1980" s="1497">
        <f t="shared" si="158"/>
        <v>0</v>
      </c>
      <c r="Q1980" s="1186">
        <f t="shared" si="159"/>
        <v>0</v>
      </c>
      <c r="R1980" s="1409"/>
      <c r="S1980" s="1440"/>
      <c r="T1980" s="1440"/>
      <c r="U1980" s="1440"/>
      <c r="V1980" s="1440"/>
      <c r="W1980" s="1440"/>
      <c r="X1980" s="1440"/>
      <c r="Y1980" s="1440"/>
      <c r="Z1980" s="1440"/>
      <c r="AA1980" s="1440"/>
      <c r="AB1980" s="1440"/>
      <c r="AC1980" s="1440"/>
      <c r="AD1980" s="1186">
        <f t="shared" si="156"/>
        <v>0</v>
      </c>
      <c r="AE1980" s="637">
        <f t="shared" si="157"/>
        <v>0</v>
      </c>
      <c r="AF1980" s="638">
        <f t="shared" si="155"/>
        <v>983</v>
      </c>
    </row>
    <row r="1981" spans="1:32" x14ac:dyDescent="0.3">
      <c r="A1981" s="1412" t="s">
        <v>759</v>
      </c>
      <c r="B1981" s="1407" t="s">
        <v>851</v>
      </c>
      <c r="C1981" s="1028"/>
      <c r="D1981" s="1440"/>
      <c r="E1981" s="1440"/>
      <c r="F1981" s="1440"/>
      <c r="G1981" s="1440"/>
      <c r="H1981" s="1440"/>
      <c r="I1981" s="1440"/>
      <c r="J1981" s="1440"/>
      <c r="K1981" s="1440"/>
      <c r="L1981" s="1440"/>
      <c r="M1981" s="1440"/>
      <c r="N1981" s="1440"/>
      <c r="O1981" s="1440"/>
      <c r="P1981" s="1497">
        <f t="shared" si="158"/>
        <v>0</v>
      </c>
      <c r="Q1981" s="1186">
        <f t="shared" si="159"/>
        <v>0</v>
      </c>
      <c r="R1981" s="1409"/>
      <c r="S1981" s="1440"/>
      <c r="T1981" s="1440"/>
      <c r="U1981" s="1440">
        <v>41300</v>
      </c>
      <c r="V1981" s="1440"/>
      <c r="W1981" s="1440"/>
      <c r="X1981" s="1440"/>
      <c r="Y1981" s="1440"/>
      <c r="Z1981" s="1440"/>
      <c r="AA1981" s="1440"/>
      <c r="AB1981" s="1440"/>
      <c r="AC1981" s="1440"/>
      <c r="AD1981" s="1186">
        <f t="shared" si="156"/>
        <v>41300</v>
      </c>
      <c r="AE1981" s="637">
        <f t="shared" si="157"/>
        <v>1</v>
      </c>
      <c r="AF1981" s="638">
        <f t="shared" si="155"/>
        <v>863</v>
      </c>
    </row>
    <row r="1982" spans="1:32" x14ac:dyDescent="0.3">
      <c r="A1982" s="1412" t="s">
        <v>759</v>
      </c>
      <c r="B1982" s="1407" t="s">
        <v>2708</v>
      </c>
      <c r="C1982" s="1028"/>
      <c r="D1982" s="1440"/>
      <c r="E1982" s="1440"/>
      <c r="F1982" s="1440"/>
      <c r="G1982" s="1440"/>
      <c r="H1982" s="1440"/>
      <c r="I1982" s="1440"/>
      <c r="J1982" s="1440"/>
      <c r="K1982" s="1440"/>
      <c r="L1982" s="1440"/>
      <c r="M1982" s="1440"/>
      <c r="N1982" s="1440"/>
      <c r="O1982" s="1440"/>
      <c r="P1982" s="1497">
        <f t="shared" si="158"/>
        <v>0</v>
      </c>
      <c r="Q1982" s="1186">
        <f t="shared" si="159"/>
        <v>0</v>
      </c>
      <c r="R1982" s="1409"/>
      <c r="S1982" s="1440"/>
      <c r="T1982" s="1440"/>
      <c r="U1982" s="1440"/>
      <c r="V1982" s="1440"/>
      <c r="W1982" s="1440"/>
      <c r="X1982" s="1440"/>
      <c r="Y1982" s="1440"/>
      <c r="Z1982" s="1440"/>
      <c r="AA1982" s="1440"/>
      <c r="AB1982" s="1440"/>
      <c r="AC1982" s="1440"/>
      <c r="AD1982" s="1186">
        <f t="shared" si="156"/>
        <v>0</v>
      </c>
      <c r="AE1982" s="637">
        <f t="shared" si="157"/>
        <v>0</v>
      </c>
      <c r="AF1982" s="638">
        <f t="shared" si="155"/>
        <v>983</v>
      </c>
    </row>
    <row r="1983" spans="1:32" x14ac:dyDescent="0.3">
      <c r="A1983" s="1412" t="s">
        <v>759</v>
      </c>
      <c r="B1983" s="1407" t="s">
        <v>2404</v>
      </c>
      <c r="C1983" s="1028"/>
      <c r="D1983" s="1440"/>
      <c r="E1983" s="1440"/>
      <c r="F1983" s="1440"/>
      <c r="G1983" s="1440"/>
      <c r="H1983" s="1440"/>
      <c r="I1983" s="1440"/>
      <c r="J1983" s="1440"/>
      <c r="K1983" s="1440"/>
      <c r="L1983" s="1440"/>
      <c r="M1983" s="1440"/>
      <c r="N1983" s="1440"/>
      <c r="O1983" s="1440"/>
      <c r="P1983" s="1497">
        <f t="shared" si="158"/>
        <v>0</v>
      </c>
      <c r="Q1983" s="1186">
        <f t="shared" si="159"/>
        <v>0</v>
      </c>
      <c r="R1983" s="1409"/>
      <c r="S1983" s="1440"/>
      <c r="T1983" s="1440"/>
      <c r="U1983" s="1440"/>
      <c r="V1983" s="1440"/>
      <c r="W1983" s="1440"/>
      <c r="X1983" s="1440"/>
      <c r="Y1983" s="1440"/>
      <c r="Z1983" s="1440"/>
      <c r="AA1983" s="1440"/>
      <c r="AB1983" s="1440"/>
      <c r="AC1983" s="1440"/>
      <c r="AD1983" s="1186">
        <f t="shared" si="156"/>
        <v>0</v>
      </c>
      <c r="AE1983" s="637">
        <f t="shared" si="157"/>
        <v>0</v>
      </c>
      <c r="AF1983" s="638">
        <f t="shared" si="155"/>
        <v>983</v>
      </c>
    </row>
    <row r="1984" spans="1:32" x14ac:dyDescent="0.3">
      <c r="A1984" s="1412" t="s">
        <v>759</v>
      </c>
      <c r="B1984" s="1407" t="s">
        <v>2752</v>
      </c>
      <c r="C1984" s="1028"/>
      <c r="D1984" s="1440"/>
      <c r="E1984" s="1440"/>
      <c r="F1984" s="1440"/>
      <c r="G1984" s="1440"/>
      <c r="H1984" s="1440"/>
      <c r="I1984" s="1440"/>
      <c r="J1984" s="1440"/>
      <c r="K1984" s="1440"/>
      <c r="L1984" s="1440"/>
      <c r="M1984" s="1440"/>
      <c r="N1984" s="1440"/>
      <c r="O1984" s="1440"/>
      <c r="P1984" s="1497">
        <f t="shared" si="158"/>
        <v>0</v>
      </c>
      <c r="Q1984" s="1186">
        <f t="shared" si="159"/>
        <v>0</v>
      </c>
      <c r="R1984" s="1409"/>
      <c r="S1984" s="1440"/>
      <c r="T1984" s="1440"/>
      <c r="U1984" s="1440">
        <v>28000</v>
      </c>
      <c r="V1984" s="1440">
        <v>0</v>
      </c>
      <c r="W1984" s="1440">
        <v>0</v>
      </c>
      <c r="X1984" s="1440">
        <v>0</v>
      </c>
      <c r="Y1984" s="1440">
        <v>0</v>
      </c>
      <c r="Z1984" s="1440"/>
      <c r="AA1984" s="1440"/>
      <c r="AB1984" s="1440"/>
      <c r="AC1984" s="1440"/>
      <c r="AD1984" s="1186">
        <f t="shared" si="156"/>
        <v>28000</v>
      </c>
      <c r="AE1984" s="637">
        <f t="shared" si="157"/>
        <v>1</v>
      </c>
      <c r="AF1984" s="638">
        <f t="shared" si="155"/>
        <v>900</v>
      </c>
    </row>
    <row r="1985" spans="1:32" x14ac:dyDescent="0.3">
      <c r="A1985" s="1412" t="s">
        <v>759</v>
      </c>
      <c r="B1985" s="1407" t="s">
        <v>672</v>
      </c>
      <c r="C1985" s="1028"/>
      <c r="D1985" s="1440"/>
      <c r="E1985" s="1440"/>
      <c r="F1985" s="1440"/>
      <c r="G1985" s="1440"/>
      <c r="H1985" s="1440"/>
      <c r="I1985" s="1440"/>
      <c r="J1985" s="1440"/>
      <c r="K1985" s="1440"/>
      <c r="L1985" s="1440"/>
      <c r="M1985" s="1440"/>
      <c r="N1985" s="1440"/>
      <c r="O1985" s="1440"/>
      <c r="P1985" s="1497">
        <f t="shared" si="158"/>
        <v>0</v>
      </c>
      <c r="Q1985" s="1186">
        <f t="shared" si="159"/>
        <v>0</v>
      </c>
      <c r="R1985" s="1409"/>
      <c r="S1985" s="1440"/>
      <c r="T1985" s="1440"/>
      <c r="U1985" s="1440">
        <v>10000</v>
      </c>
      <c r="V1985" s="1440">
        <v>0</v>
      </c>
      <c r="W1985" s="1440">
        <v>0</v>
      </c>
      <c r="X1985" s="1440">
        <v>0</v>
      </c>
      <c r="Y1985" s="1440">
        <v>0</v>
      </c>
      <c r="Z1985" s="1440"/>
      <c r="AA1985" s="1440"/>
      <c r="AB1985" s="1440"/>
      <c r="AC1985" s="1440"/>
      <c r="AD1985" s="1186">
        <f t="shared" si="156"/>
        <v>10000</v>
      </c>
      <c r="AE1985" s="637">
        <f t="shared" si="157"/>
        <v>1</v>
      </c>
      <c r="AF1985" s="638">
        <f t="shared" si="155"/>
        <v>958</v>
      </c>
    </row>
    <row r="1986" spans="1:32" x14ac:dyDescent="0.3">
      <c r="A1986" s="1412" t="s">
        <v>759</v>
      </c>
      <c r="B1986" s="1407" t="s">
        <v>2787</v>
      </c>
      <c r="C1986" s="1028"/>
      <c r="D1986" s="1440"/>
      <c r="E1986" s="1440"/>
      <c r="F1986" s="1440"/>
      <c r="G1986" s="1440"/>
      <c r="H1986" s="1440"/>
      <c r="I1986" s="1440"/>
      <c r="J1986" s="1440"/>
      <c r="K1986" s="1440"/>
      <c r="L1986" s="1440"/>
      <c r="M1986" s="1440"/>
      <c r="N1986" s="1440"/>
      <c r="O1986" s="1440"/>
      <c r="P1986" s="1497">
        <f t="shared" si="158"/>
        <v>0</v>
      </c>
      <c r="Q1986" s="1186">
        <f t="shared" si="159"/>
        <v>0</v>
      </c>
      <c r="R1986" s="1409"/>
      <c r="S1986" s="1440"/>
      <c r="T1986" s="1440"/>
      <c r="U1986" s="1440"/>
      <c r="V1986" s="1440">
        <v>635000</v>
      </c>
      <c r="W1986" s="1440">
        <v>0</v>
      </c>
      <c r="X1986" s="1440">
        <v>0</v>
      </c>
      <c r="Y1986" s="1440">
        <v>0</v>
      </c>
      <c r="Z1986" s="1440"/>
      <c r="AA1986" s="1440"/>
      <c r="AB1986" s="1440"/>
      <c r="AC1986" s="1440"/>
      <c r="AD1986" s="1186">
        <f t="shared" si="156"/>
        <v>635000</v>
      </c>
      <c r="AE1986" s="637">
        <f t="shared" si="157"/>
        <v>1</v>
      </c>
      <c r="AF1986" s="638">
        <f t="shared" si="155"/>
        <v>398</v>
      </c>
    </row>
    <row r="1987" spans="1:32" x14ac:dyDescent="0.3">
      <c r="A1987" s="1412" t="s">
        <v>759</v>
      </c>
      <c r="B1987" s="1407" t="s">
        <v>1161</v>
      </c>
      <c r="C1987" s="1028"/>
      <c r="D1987" s="1440"/>
      <c r="E1987" s="1440"/>
      <c r="F1987" s="1440"/>
      <c r="G1987" s="1440"/>
      <c r="H1987" s="1440"/>
      <c r="I1987" s="1440"/>
      <c r="J1987" s="1440"/>
      <c r="K1987" s="1440"/>
      <c r="L1987" s="1440"/>
      <c r="M1987" s="1440"/>
      <c r="N1987" s="1440"/>
      <c r="O1987" s="1440"/>
      <c r="P1987" s="1497">
        <f t="shared" si="158"/>
        <v>0</v>
      </c>
      <c r="Q1987" s="1186">
        <f t="shared" si="159"/>
        <v>0</v>
      </c>
      <c r="R1987" s="1409"/>
      <c r="S1987" s="1440"/>
      <c r="T1987" s="1440"/>
      <c r="U1987" s="1440"/>
      <c r="V1987" s="1440">
        <v>252500</v>
      </c>
      <c r="W1987" s="1440">
        <v>0</v>
      </c>
      <c r="X1987" s="1440">
        <v>0</v>
      </c>
      <c r="Y1987" s="1440">
        <v>34800</v>
      </c>
      <c r="Z1987" s="1440"/>
      <c r="AA1987" s="1440"/>
      <c r="AB1987" s="1440"/>
      <c r="AC1987" s="1440"/>
      <c r="AD1987" s="1186">
        <f t="shared" si="156"/>
        <v>287300</v>
      </c>
      <c r="AE1987" s="637">
        <f t="shared" si="157"/>
        <v>1</v>
      </c>
      <c r="AF1987" s="638">
        <f t="shared" si="155"/>
        <v>540</v>
      </c>
    </row>
    <row r="1988" spans="1:32" x14ac:dyDescent="0.3">
      <c r="A1988" s="1412" t="s">
        <v>759</v>
      </c>
      <c r="B1988" s="1407" t="s">
        <v>2788</v>
      </c>
      <c r="C1988" s="1028"/>
      <c r="D1988" s="1440"/>
      <c r="E1988" s="1440"/>
      <c r="F1988" s="1440"/>
      <c r="G1988" s="1440"/>
      <c r="H1988" s="1440"/>
      <c r="I1988" s="1440"/>
      <c r="J1988" s="1440"/>
      <c r="K1988" s="1440"/>
      <c r="L1988" s="1440"/>
      <c r="M1988" s="1440"/>
      <c r="N1988" s="1440"/>
      <c r="O1988" s="1440"/>
      <c r="P1988" s="1497">
        <f t="shared" si="158"/>
        <v>0</v>
      </c>
      <c r="Q1988" s="1186">
        <f t="shared" si="159"/>
        <v>0</v>
      </c>
      <c r="R1988" s="1409"/>
      <c r="S1988" s="1440"/>
      <c r="T1988" s="1440"/>
      <c r="U1988" s="1440"/>
      <c r="V1988" s="1440">
        <v>240000</v>
      </c>
      <c r="W1988" s="1440">
        <v>0</v>
      </c>
      <c r="X1988" s="1440">
        <v>0</v>
      </c>
      <c r="Y1988" s="1440">
        <v>0</v>
      </c>
      <c r="Z1988" s="1440"/>
      <c r="AA1988" s="1440"/>
      <c r="AB1988" s="1440"/>
      <c r="AC1988" s="1440"/>
      <c r="AD1988" s="1186">
        <f t="shared" si="156"/>
        <v>240000</v>
      </c>
      <c r="AE1988" s="637">
        <f t="shared" si="157"/>
        <v>1</v>
      </c>
      <c r="AF1988" s="638">
        <f t="shared" si="155"/>
        <v>576</v>
      </c>
    </row>
    <row r="1989" spans="1:32" x14ac:dyDescent="0.3">
      <c r="A1989" s="1412" t="s">
        <v>759</v>
      </c>
      <c r="B1989" s="1407" t="s">
        <v>2789</v>
      </c>
      <c r="C1989" s="1028"/>
      <c r="D1989" s="1440"/>
      <c r="E1989" s="1440"/>
      <c r="F1989" s="1440"/>
      <c r="G1989" s="1440"/>
      <c r="H1989" s="1440"/>
      <c r="I1989" s="1440"/>
      <c r="J1989" s="1440"/>
      <c r="K1989" s="1440"/>
      <c r="L1989" s="1440"/>
      <c r="M1989" s="1440"/>
      <c r="N1989" s="1440"/>
      <c r="O1989" s="1440"/>
      <c r="P1989" s="1497">
        <f t="shared" si="158"/>
        <v>0</v>
      </c>
      <c r="Q1989" s="1186">
        <f t="shared" si="159"/>
        <v>0</v>
      </c>
      <c r="R1989" s="1409"/>
      <c r="S1989" s="1440"/>
      <c r="T1989" s="1440"/>
      <c r="U1989" s="1440"/>
      <c r="V1989" s="1440">
        <v>601000</v>
      </c>
      <c r="W1989" s="1440">
        <v>385000</v>
      </c>
      <c r="X1989" s="1440">
        <v>0</v>
      </c>
      <c r="Y1989" s="1440">
        <v>0</v>
      </c>
      <c r="Z1989" s="1440"/>
      <c r="AA1989" s="1440"/>
      <c r="AB1989" s="1440"/>
      <c r="AC1989" s="1440"/>
      <c r="AD1989" s="1186">
        <f t="shared" si="156"/>
        <v>986000</v>
      </c>
      <c r="AE1989" s="637">
        <f t="shared" si="157"/>
        <v>1</v>
      </c>
      <c r="AF1989" s="638">
        <f t="shared" si="155"/>
        <v>320</v>
      </c>
    </row>
    <row r="1990" spans="1:32" x14ac:dyDescent="0.3">
      <c r="A1990" s="1412" t="s">
        <v>759</v>
      </c>
      <c r="B1990" s="1407" t="s">
        <v>2790</v>
      </c>
      <c r="C1990" s="1028"/>
      <c r="D1990" s="1440"/>
      <c r="E1990" s="1440"/>
      <c r="F1990" s="1440"/>
      <c r="G1990" s="1440"/>
      <c r="H1990" s="1440"/>
      <c r="I1990" s="1440"/>
      <c r="J1990" s="1440"/>
      <c r="K1990" s="1440"/>
      <c r="L1990" s="1440"/>
      <c r="M1990" s="1440"/>
      <c r="N1990" s="1440"/>
      <c r="O1990" s="1440"/>
      <c r="P1990" s="1497">
        <f t="shared" si="158"/>
        <v>0</v>
      </c>
      <c r="Q1990" s="1186">
        <f t="shared" si="159"/>
        <v>0</v>
      </c>
      <c r="R1990" s="1409"/>
      <c r="S1990" s="1440"/>
      <c r="T1990" s="1440"/>
      <c r="U1990" s="1440"/>
      <c r="V1990" s="1440">
        <v>79000</v>
      </c>
      <c r="W1990" s="1440">
        <v>1490000</v>
      </c>
      <c r="X1990" s="1440">
        <v>295000</v>
      </c>
      <c r="Y1990" s="1440">
        <v>0</v>
      </c>
      <c r="Z1990" s="1440"/>
      <c r="AA1990" s="1440"/>
      <c r="AB1990" s="1440"/>
      <c r="AC1990" s="1440"/>
      <c r="AD1990" s="1186">
        <f t="shared" si="156"/>
        <v>1864000</v>
      </c>
      <c r="AE1990" s="637">
        <f t="shared" si="157"/>
        <v>1</v>
      </c>
      <c r="AF1990" s="638">
        <f t="shared" si="155"/>
        <v>221</v>
      </c>
    </row>
    <row r="1991" spans="1:32" x14ac:dyDescent="0.3">
      <c r="A1991" s="1412" t="s">
        <v>759</v>
      </c>
      <c r="B1991" s="1407" t="s">
        <v>364</v>
      </c>
      <c r="C1991" s="1028"/>
      <c r="D1991" s="1440"/>
      <c r="E1991" s="1440"/>
      <c r="F1991" s="1440"/>
      <c r="G1991" s="1440"/>
      <c r="H1991" s="1440"/>
      <c r="I1991" s="1440"/>
      <c r="J1991" s="1440"/>
      <c r="K1991" s="1440"/>
      <c r="L1991" s="1440"/>
      <c r="M1991" s="1440"/>
      <c r="N1991" s="1440"/>
      <c r="O1991" s="1440"/>
      <c r="P1991" s="1497">
        <f t="shared" si="158"/>
        <v>0</v>
      </c>
      <c r="Q1991" s="1186">
        <f t="shared" si="159"/>
        <v>0</v>
      </c>
      <c r="R1991" s="1409"/>
      <c r="S1991" s="1440"/>
      <c r="T1991" s="1440"/>
      <c r="U1991" s="1440"/>
      <c r="V1991" s="1440">
        <v>35000</v>
      </c>
      <c r="W1991" s="1440">
        <v>0</v>
      </c>
      <c r="X1991" s="1440">
        <v>18500</v>
      </c>
      <c r="Y1991" s="1440">
        <v>37000</v>
      </c>
      <c r="Z1991" s="1440"/>
      <c r="AA1991" s="1440"/>
      <c r="AB1991" s="1440"/>
      <c r="AC1991" s="1440"/>
      <c r="AD1991" s="1186">
        <f t="shared" si="156"/>
        <v>90500</v>
      </c>
      <c r="AE1991" s="637">
        <f t="shared" si="157"/>
        <v>1</v>
      </c>
      <c r="AF1991" s="638">
        <f t="shared" ref="AF1991:AF2054" si="160">IFERROR(_xlfn.RANK.EQ(AD1991, $AD$2:$AD$2064), "")</f>
        <v>758</v>
      </c>
    </row>
    <row r="1992" spans="1:32" x14ac:dyDescent="0.3">
      <c r="A1992" s="1412" t="s">
        <v>759</v>
      </c>
      <c r="B1992" s="1407" t="s">
        <v>2791</v>
      </c>
      <c r="C1992" s="1028"/>
      <c r="D1992" s="1440"/>
      <c r="E1992" s="1440"/>
      <c r="F1992" s="1440"/>
      <c r="G1992" s="1440"/>
      <c r="H1992" s="1440"/>
      <c r="I1992" s="1440"/>
      <c r="J1992" s="1440"/>
      <c r="K1992" s="1440"/>
      <c r="L1992" s="1440"/>
      <c r="M1992" s="1440"/>
      <c r="N1992" s="1440"/>
      <c r="O1992" s="1440"/>
      <c r="P1992" s="1497">
        <f t="shared" si="158"/>
        <v>0</v>
      </c>
      <c r="Q1992" s="1186">
        <f t="shared" si="159"/>
        <v>0</v>
      </c>
      <c r="R1992" s="1409"/>
      <c r="S1992" s="1440"/>
      <c r="T1992" s="1440"/>
      <c r="U1992" s="1440"/>
      <c r="V1992" s="1440">
        <v>16000</v>
      </c>
      <c r="W1992" s="1440">
        <v>0</v>
      </c>
      <c r="X1992" s="1440">
        <v>0</v>
      </c>
      <c r="Y1992" s="1440">
        <v>0</v>
      </c>
      <c r="Z1992" s="1440"/>
      <c r="AA1992" s="1440"/>
      <c r="AB1992" s="1440"/>
      <c r="AC1992" s="1440"/>
      <c r="AD1992" s="1186">
        <f t="shared" si="156"/>
        <v>16000</v>
      </c>
      <c r="AE1992" s="637">
        <f t="shared" si="157"/>
        <v>1</v>
      </c>
      <c r="AF1992" s="638">
        <f t="shared" si="160"/>
        <v>936</v>
      </c>
    </row>
    <row r="1993" spans="1:32" x14ac:dyDescent="0.3">
      <c r="A1993" s="1412" t="s">
        <v>759</v>
      </c>
      <c r="B1993" s="1407" t="s">
        <v>2603</v>
      </c>
      <c r="C1993" s="1028"/>
      <c r="D1993" s="1440"/>
      <c r="E1993" s="1440"/>
      <c r="F1993" s="1440"/>
      <c r="G1993" s="1440"/>
      <c r="H1993" s="1440"/>
      <c r="I1993" s="1440"/>
      <c r="J1993" s="1440"/>
      <c r="K1993" s="1440"/>
      <c r="L1993" s="1440"/>
      <c r="M1993" s="1440"/>
      <c r="N1993" s="1440"/>
      <c r="O1993" s="1440"/>
      <c r="P1993" s="1497">
        <f t="shared" si="158"/>
        <v>0</v>
      </c>
      <c r="Q1993" s="1186">
        <f t="shared" si="159"/>
        <v>0</v>
      </c>
      <c r="R1993" s="1409"/>
      <c r="S1993" s="1440"/>
      <c r="T1993" s="1440"/>
      <c r="U1993" s="1440"/>
      <c r="V1993" s="1440">
        <v>25000</v>
      </c>
      <c r="W1993" s="1440">
        <v>5000</v>
      </c>
      <c r="X1993" s="1440">
        <v>0</v>
      </c>
      <c r="Y1993" s="1440">
        <v>10000</v>
      </c>
      <c r="Z1993" s="1440"/>
      <c r="AA1993" s="1440"/>
      <c r="AB1993" s="1440"/>
      <c r="AC1993" s="1440"/>
      <c r="AD1993" s="1186">
        <f t="shared" si="156"/>
        <v>40000</v>
      </c>
      <c r="AE1993" s="637">
        <f t="shared" si="157"/>
        <v>1</v>
      </c>
      <c r="AF1993" s="638">
        <f t="shared" si="160"/>
        <v>866</v>
      </c>
    </row>
    <row r="1994" spans="1:32" x14ac:dyDescent="0.3">
      <c r="A1994" s="1412" t="s">
        <v>759</v>
      </c>
      <c r="B1994" s="1407" t="s">
        <v>2818</v>
      </c>
      <c r="C1994" s="1028"/>
      <c r="D1994" s="1440"/>
      <c r="E1994" s="1440"/>
      <c r="F1994" s="1440"/>
      <c r="G1994" s="1440"/>
      <c r="H1994" s="1440"/>
      <c r="I1994" s="1440"/>
      <c r="J1994" s="1440"/>
      <c r="K1994" s="1440"/>
      <c r="L1994" s="1440"/>
      <c r="M1994" s="1440"/>
      <c r="N1994" s="1440"/>
      <c r="O1994" s="1440"/>
      <c r="P1994" s="1497">
        <f t="shared" si="158"/>
        <v>0</v>
      </c>
      <c r="Q1994" s="1186">
        <f t="shared" si="159"/>
        <v>0</v>
      </c>
      <c r="R1994" s="1409"/>
      <c r="S1994" s="1440"/>
      <c r="T1994" s="1440"/>
      <c r="U1994" s="1440"/>
      <c r="V1994" s="1440">
        <v>1300000</v>
      </c>
      <c r="W1994" s="1440">
        <v>0</v>
      </c>
      <c r="X1994" s="1440">
        <v>0</v>
      </c>
      <c r="Y1994" s="1440">
        <v>0</v>
      </c>
      <c r="Z1994" s="1440"/>
      <c r="AA1994" s="1440"/>
      <c r="AB1994" s="1440"/>
      <c r="AC1994" s="1440"/>
      <c r="AD1994" s="1186">
        <f t="shared" si="156"/>
        <v>1300000</v>
      </c>
      <c r="AE1994" s="637">
        <f t="shared" si="157"/>
        <v>1</v>
      </c>
      <c r="AF1994" s="638">
        <f t="shared" si="160"/>
        <v>270</v>
      </c>
    </row>
    <row r="1995" spans="1:32" x14ac:dyDescent="0.3">
      <c r="A1995" s="1412" t="s">
        <v>759</v>
      </c>
      <c r="B1995" s="1407" t="s">
        <v>2819</v>
      </c>
      <c r="C1995" s="1028"/>
      <c r="D1995" s="1440"/>
      <c r="E1995" s="1440"/>
      <c r="F1995" s="1440"/>
      <c r="G1995" s="1440"/>
      <c r="H1995" s="1440"/>
      <c r="I1995" s="1440"/>
      <c r="J1995" s="1440"/>
      <c r="K1995" s="1440"/>
      <c r="L1995" s="1440"/>
      <c r="M1995" s="1440"/>
      <c r="N1995" s="1440"/>
      <c r="O1995" s="1440"/>
      <c r="P1995" s="1497">
        <f t="shared" si="158"/>
        <v>0</v>
      </c>
      <c r="Q1995" s="1186">
        <f t="shared" si="159"/>
        <v>0</v>
      </c>
      <c r="R1995" s="1409"/>
      <c r="S1995" s="1440"/>
      <c r="T1995" s="1440"/>
      <c r="U1995" s="1440"/>
      <c r="V1995" s="1440">
        <v>40000</v>
      </c>
      <c r="W1995" s="1440">
        <v>22500</v>
      </c>
      <c r="X1995" s="1440">
        <v>0</v>
      </c>
      <c r="Y1995" s="1440">
        <v>0</v>
      </c>
      <c r="Z1995" s="1440"/>
      <c r="AA1995" s="1440"/>
      <c r="AB1995" s="1440"/>
      <c r="AC1995" s="1440"/>
      <c r="AD1995" s="1186">
        <f t="shared" si="156"/>
        <v>62500</v>
      </c>
      <c r="AE1995" s="637">
        <f t="shared" si="157"/>
        <v>1</v>
      </c>
      <c r="AF1995" s="638">
        <f t="shared" si="160"/>
        <v>811</v>
      </c>
    </row>
    <row r="1996" spans="1:32" x14ac:dyDescent="0.3">
      <c r="A1996" s="1412" t="s">
        <v>759</v>
      </c>
      <c r="B1996" s="1407" t="s">
        <v>1337</v>
      </c>
      <c r="C1996" s="1028"/>
      <c r="D1996" s="1440"/>
      <c r="E1996" s="1440"/>
      <c r="F1996" s="1440"/>
      <c r="G1996" s="1440"/>
      <c r="H1996" s="1440"/>
      <c r="I1996" s="1440"/>
      <c r="J1996" s="1440"/>
      <c r="K1996" s="1440"/>
      <c r="L1996" s="1440"/>
      <c r="M1996" s="1440"/>
      <c r="N1996" s="1440"/>
      <c r="O1996" s="1440"/>
      <c r="P1996" s="1497">
        <f t="shared" si="158"/>
        <v>0</v>
      </c>
      <c r="Q1996" s="1186">
        <f t="shared" si="159"/>
        <v>0</v>
      </c>
      <c r="R1996" s="1409"/>
      <c r="S1996" s="1440"/>
      <c r="T1996" s="1440"/>
      <c r="U1996" s="1440"/>
      <c r="V1996" s="1440">
        <v>18000</v>
      </c>
      <c r="W1996" s="1440">
        <v>0</v>
      </c>
      <c r="X1996" s="1440">
        <v>16000</v>
      </c>
      <c r="Y1996" s="1440">
        <v>9000</v>
      </c>
      <c r="Z1996" s="1440"/>
      <c r="AA1996" s="1440"/>
      <c r="AB1996" s="1440"/>
      <c r="AC1996" s="1440"/>
      <c r="AD1996" s="1186">
        <f t="shared" si="156"/>
        <v>43000</v>
      </c>
      <c r="AE1996" s="637">
        <f t="shared" si="157"/>
        <v>1</v>
      </c>
      <c r="AF1996" s="638">
        <f t="shared" si="160"/>
        <v>860</v>
      </c>
    </row>
    <row r="1997" spans="1:32" x14ac:dyDescent="0.3">
      <c r="A1997" s="1412" t="s">
        <v>759</v>
      </c>
      <c r="B1997" s="1407" t="s">
        <v>2865</v>
      </c>
      <c r="C1997" s="1028"/>
      <c r="D1997" s="1440"/>
      <c r="E1997" s="1440"/>
      <c r="F1997" s="1440"/>
      <c r="G1997" s="1440"/>
      <c r="H1997" s="1440"/>
      <c r="I1997" s="1440"/>
      <c r="J1997" s="1440"/>
      <c r="K1997" s="1440"/>
      <c r="L1997" s="1440"/>
      <c r="M1997" s="1440"/>
      <c r="N1997" s="1440"/>
      <c r="O1997" s="1440"/>
      <c r="P1997" s="1497">
        <f t="shared" si="158"/>
        <v>0</v>
      </c>
      <c r="Q1997" s="1186">
        <f t="shared" si="159"/>
        <v>0</v>
      </c>
      <c r="R1997" s="1409"/>
      <c r="S1997" s="1440"/>
      <c r="T1997" s="1440"/>
      <c r="U1997" s="1440"/>
      <c r="V1997" s="1440"/>
      <c r="W1997" s="1440">
        <v>5681000</v>
      </c>
      <c r="X1997" s="1440">
        <v>0</v>
      </c>
      <c r="Y1997" s="1440">
        <v>0</v>
      </c>
      <c r="Z1997" s="1440"/>
      <c r="AA1997" s="1440"/>
      <c r="AB1997" s="1440"/>
      <c r="AC1997" s="1440"/>
      <c r="AD1997" s="1186">
        <f t="shared" si="156"/>
        <v>5681000</v>
      </c>
      <c r="AE1997" s="637">
        <f t="shared" si="157"/>
        <v>1</v>
      </c>
      <c r="AF1997" s="638">
        <f t="shared" si="160"/>
        <v>74</v>
      </c>
    </row>
    <row r="1998" spans="1:32" x14ac:dyDescent="0.3">
      <c r="A1998" s="1412" t="s">
        <v>759</v>
      </c>
      <c r="B1998" s="1407" t="s">
        <v>1105</v>
      </c>
      <c r="C1998" s="1028"/>
      <c r="D1998" s="1440"/>
      <c r="E1998" s="1440"/>
      <c r="F1998" s="1440"/>
      <c r="G1998" s="1440"/>
      <c r="H1998" s="1440"/>
      <c r="I1998" s="1440"/>
      <c r="J1998" s="1440"/>
      <c r="K1998" s="1440"/>
      <c r="L1998" s="1440"/>
      <c r="M1998" s="1440"/>
      <c r="N1998" s="1440"/>
      <c r="O1998" s="1440"/>
      <c r="P1998" s="1497">
        <f t="shared" si="158"/>
        <v>0</v>
      </c>
      <c r="Q1998" s="1186">
        <f t="shared" si="159"/>
        <v>0</v>
      </c>
      <c r="R1998" s="1409"/>
      <c r="S1998" s="1440"/>
      <c r="T1998" s="1440"/>
      <c r="U1998" s="1440"/>
      <c r="V1998" s="1440"/>
      <c r="W1998" s="1440">
        <v>11000</v>
      </c>
      <c r="X1998" s="1440">
        <v>0</v>
      </c>
      <c r="Y1998" s="1440">
        <v>0</v>
      </c>
      <c r="Z1998" s="1440"/>
      <c r="AA1998" s="1440"/>
      <c r="AB1998" s="1440"/>
      <c r="AC1998" s="1440"/>
      <c r="AD1998" s="1186">
        <f t="shared" si="156"/>
        <v>11000</v>
      </c>
      <c r="AE1998" s="637">
        <f t="shared" si="157"/>
        <v>1</v>
      </c>
      <c r="AF1998" s="638">
        <f t="shared" si="160"/>
        <v>950</v>
      </c>
    </row>
    <row r="1999" spans="1:32" x14ac:dyDescent="0.3">
      <c r="A1999" s="1412" t="s">
        <v>759</v>
      </c>
      <c r="B1999" s="1407" t="s">
        <v>2866</v>
      </c>
      <c r="C1999" s="1028"/>
      <c r="D1999" s="1440"/>
      <c r="E1999" s="1440"/>
      <c r="F1999" s="1440"/>
      <c r="G1999" s="1440"/>
      <c r="H1999" s="1440"/>
      <c r="I1999" s="1440"/>
      <c r="J1999" s="1440"/>
      <c r="K1999" s="1440"/>
      <c r="L1999" s="1440"/>
      <c r="M1999" s="1440"/>
      <c r="N1999" s="1440"/>
      <c r="O1999" s="1440"/>
      <c r="P1999" s="1497">
        <f t="shared" si="158"/>
        <v>0</v>
      </c>
      <c r="Q1999" s="1186">
        <f t="shared" si="159"/>
        <v>0</v>
      </c>
      <c r="R1999" s="1409"/>
      <c r="S1999" s="1440"/>
      <c r="T1999" s="1440"/>
      <c r="U1999" s="1440"/>
      <c r="V1999" s="1440"/>
      <c r="W1999" s="1440">
        <v>916000</v>
      </c>
      <c r="X1999" s="1440">
        <v>329000</v>
      </c>
      <c r="Y1999" s="1440">
        <v>0</v>
      </c>
      <c r="Z1999" s="1440"/>
      <c r="AA1999" s="1440"/>
      <c r="AB1999" s="1440"/>
      <c r="AC1999" s="1440"/>
      <c r="AD1999" s="1186">
        <f t="shared" ref="AD1999:AD2062" si="161">SUM(R1999:AC1999)</f>
        <v>1245000</v>
      </c>
      <c r="AE1999" s="637">
        <f t="shared" ref="AE1999:AE2065" si="162">IF(OR(AD1999="", P1999=""), 0, IFERROR((AD1999-P1999)/P1999, IF(AD1999&lt;&gt;0, 1, 0)))</f>
        <v>1</v>
      </c>
      <c r="AF1999" s="638">
        <f t="shared" si="160"/>
        <v>274</v>
      </c>
    </row>
    <row r="2000" spans="1:32" x14ac:dyDescent="0.3">
      <c r="A2000" s="1412" t="s">
        <v>759</v>
      </c>
      <c r="B2000" s="1407" t="s">
        <v>2867</v>
      </c>
      <c r="C2000" s="1028"/>
      <c r="D2000" s="1440"/>
      <c r="E2000" s="1440"/>
      <c r="F2000" s="1440"/>
      <c r="G2000" s="1440"/>
      <c r="H2000" s="1440"/>
      <c r="I2000" s="1440"/>
      <c r="J2000" s="1440"/>
      <c r="K2000" s="1440"/>
      <c r="L2000" s="1440"/>
      <c r="M2000" s="1440"/>
      <c r="N2000" s="1440"/>
      <c r="O2000" s="1440"/>
      <c r="P2000" s="1497">
        <f t="shared" si="158"/>
        <v>0</v>
      </c>
      <c r="Q2000" s="1186">
        <f t="shared" si="159"/>
        <v>0</v>
      </c>
      <c r="R2000" s="1409"/>
      <c r="S2000" s="1440"/>
      <c r="T2000" s="1440"/>
      <c r="U2000" s="1440"/>
      <c r="V2000" s="1440"/>
      <c r="W2000" s="1440">
        <v>692500</v>
      </c>
      <c r="X2000" s="1440">
        <v>0</v>
      </c>
      <c r="Y2000" s="1440">
        <v>0</v>
      </c>
      <c r="Z2000" s="1440"/>
      <c r="AA2000" s="1440"/>
      <c r="AB2000" s="1440"/>
      <c r="AC2000" s="1440"/>
      <c r="AD2000" s="1186">
        <f t="shared" si="161"/>
        <v>692500</v>
      </c>
      <c r="AE2000" s="637">
        <f t="shared" si="162"/>
        <v>1</v>
      </c>
      <c r="AF2000" s="638">
        <f t="shared" si="160"/>
        <v>382</v>
      </c>
    </row>
    <row r="2001" spans="1:32" x14ac:dyDescent="0.3">
      <c r="A2001" s="1412" t="s">
        <v>759</v>
      </c>
      <c r="B2001" s="1407" t="s">
        <v>2868</v>
      </c>
      <c r="C2001" s="1028"/>
      <c r="D2001" s="1440"/>
      <c r="E2001" s="1440"/>
      <c r="F2001" s="1440"/>
      <c r="G2001" s="1440"/>
      <c r="H2001" s="1440"/>
      <c r="I2001" s="1440"/>
      <c r="J2001" s="1440"/>
      <c r="K2001" s="1440"/>
      <c r="L2001" s="1440"/>
      <c r="M2001" s="1440"/>
      <c r="N2001" s="1440"/>
      <c r="O2001" s="1440"/>
      <c r="P2001" s="1497">
        <f t="shared" si="158"/>
        <v>0</v>
      </c>
      <c r="Q2001" s="1186">
        <f t="shared" si="159"/>
        <v>0</v>
      </c>
      <c r="R2001" s="1409"/>
      <c r="S2001" s="1440"/>
      <c r="T2001" s="1440"/>
      <c r="U2001" s="1440"/>
      <c r="V2001" s="1440"/>
      <c r="W2001" s="1440">
        <v>205000</v>
      </c>
      <c r="X2001" s="1440">
        <v>0</v>
      </c>
      <c r="Y2001" s="1440">
        <v>0</v>
      </c>
      <c r="Z2001" s="1440"/>
      <c r="AA2001" s="1440"/>
      <c r="AB2001" s="1440"/>
      <c r="AC2001" s="1440"/>
      <c r="AD2001" s="1186">
        <f t="shared" si="161"/>
        <v>205000</v>
      </c>
      <c r="AE2001" s="637">
        <f t="shared" si="162"/>
        <v>1</v>
      </c>
      <c r="AF2001" s="638">
        <f t="shared" si="160"/>
        <v>608</v>
      </c>
    </row>
    <row r="2002" spans="1:32" x14ac:dyDescent="0.3">
      <c r="A2002" s="1412" t="s">
        <v>759</v>
      </c>
      <c r="B2002" s="1407" t="s">
        <v>2869</v>
      </c>
      <c r="C2002" s="1028"/>
      <c r="D2002" s="1440"/>
      <c r="E2002" s="1440"/>
      <c r="F2002" s="1440"/>
      <c r="G2002" s="1440"/>
      <c r="H2002" s="1440"/>
      <c r="I2002" s="1440"/>
      <c r="J2002" s="1440"/>
      <c r="K2002" s="1440"/>
      <c r="L2002" s="1440"/>
      <c r="M2002" s="1440"/>
      <c r="N2002" s="1440"/>
      <c r="O2002" s="1440"/>
      <c r="P2002" s="1497">
        <f t="shared" si="158"/>
        <v>0</v>
      </c>
      <c r="Q2002" s="1186">
        <f t="shared" si="159"/>
        <v>0</v>
      </c>
      <c r="R2002" s="1409"/>
      <c r="S2002" s="1440"/>
      <c r="T2002" s="1440"/>
      <c r="U2002" s="1440"/>
      <c r="V2002" s="1440"/>
      <c r="W2002" s="1440">
        <v>175000</v>
      </c>
      <c r="X2002" s="1440">
        <v>0</v>
      </c>
      <c r="Y2002" s="1440">
        <v>210000</v>
      </c>
      <c r="Z2002" s="1440"/>
      <c r="AA2002" s="1440"/>
      <c r="AB2002" s="1440"/>
      <c r="AC2002" s="1440"/>
      <c r="AD2002" s="1186">
        <f t="shared" si="161"/>
        <v>385000</v>
      </c>
      <c r="AE2002" s="637">
        <f t="shared" si="162"/>
        <v>1</v>
      </c>
      <c r="AF2002" s="638">
        <f t="shared" si="160"/>
        <v>488</v>
      </c>
    </row>
    <row r="2003" spans="1:32" x14ac:dyDescent="0.3">
      <c r="A2003" s="1412" t="s">
        <v>759</v>
      </c>
      <c r="B2003" s="1407" t="s">
        <v>2870</v>
      </c>
      <c r="C2003" s="1028"/>
      <c r="D2003" s="1440"/>
      <c r="E2003" s="1440"/>
      <c r="F2003" s="1440"/>
      <c r="G2003" s="1440"/>
      <c r="H2003" s="1440"/>
      <c r="I2003" s="1440"/>
      <c r="J2003" s="1440"/>
      <c r="K2003" s="1440"/>
      <c r="L2003" s="1440"/>
      <c r="M2003" s="1440"/>
      <c r="N2003" s="1440"/>
      <c r="O2003" s="1440"/>
      <c r="P2003" s="1497">
        <f t="shared" si="158"/>
        <v>0</v>
      </c>
      <c r="Q2003" s="1186">
        <f t="shared" si="159"/>
        <v>0</v>
      </c>
      <c r="R2003" s="1409"/>
      <c r="S2003" s="1440"/>
      <c r="T2003" s="1440"/>
      <c r="U2003" s="1440"/>
      <c r="V2003" s="1440"/>
      <c r="W2003" s="1440">
        <v>143000</v>
      </c>
      <c r="X2003" s="1440">
        <v>0</v>
      </c>
      <c r="Y2003" s="1440">
        <v>0</v>
      </c>
      <c r="Z2003" s="1440"/>
      <c r="AA2003" s="1440"/>
      <c r="AB2003" s="1440"/>
      <c r="AC2003" s="1440"/>
      <c r="AD2003" s="1186">
        <f t="shared" si="161"/>
        <v>143000</v>
      </c>
      <c r="AE2003" s="637">
        <f t="shared" si="162"/>
        <v>1</v>
      </c>
      <c r="AF2003" s="638">
        <f t="shared" si="160"/>
        <v>680</v>
      </c>
    </row>
    <row r="2004" spans="1:32" x14ac:dyDescent="0.3">
      <c r="A2004" s="1412" t="s">
        <v>759</v>
      </c>
      <c r="B2004" s="1407" t="s">
        <v>1057</v>
      </c>
      <c r="C2004" s="1028"/>
      <c r="D2004" s="1440"/>
      <c r="E2004" s="1440"/>
      <c r="F2004" s="1440"/>
      <c r="G2004" s="1440"/>
      <c r="H2004" s="1440"/>
      <c r="I2004" s="1440"/>
      <c r="J2004" s="1440"/>
      <c r="K2004" s="1440"/>
      <c r="L2004" s="1440"/>
      <c r="M2004" s="1440"/>
      <c r="N2004" s="1440"/>
      <c r="O2004" s="1440"/>
      <c r="P2004" s="1497">
        <f t="shared" si="158"/>
        <v>0</v>
      </c>
      <c r="Q2004" s="1186">
        <f t="shared" si="159"/>
        <v>0</v>
      </c>
      <c r="R2004" s="1409"/>
      <c r="S2004" s="1440"/>
      <c r="T2004" s="1440"/>
      <c r="U2004" s="1440"/>
      <c r="V2004" s="1440"/>
      <c r="W2004" s="1440">
        <v>171000</v>
      </c>
      <c r="X2004" s="1440">
        <v>0</v>
      </c>
      <c r="Y2004" s="1440">
        <v>0</v>
      </c>
      <c r="Z2004" s="1440"/>
      <c r="AA2004" s="1440"/>
      <c r="AB2004" s="1440"/>
      <c r="AC2004" s="1440"/>
      <c r="AD2004" s="1186">
        <f t="shared" si="161"/>
        <v>171000</v>
      </c>
      <c r="AE2004" s="637">
        <f t="shared" si="162"/>
        <v>1</v>
      </c>
      <c r="AF2004" s="638">
        <f t="shared" si="160"/>
        <v>649</v>
      </c>
    </row>
    <row r="2005" spans="1:32" x14ac:dyDescent="0.3">
      <c r="A2005" s="1412" t="s">
        <v>759</v>
      </c>
      <c r="B2005" s="1407" t="s">
        <v>2871</v>
      </c>
      <c r="C2005" s="1028"/>
      <c r="D2005" s="1440"/>
      <c r="E2005" s="1440"/>
      <c r="F2005" s="1440"/>
      <c r="G2005" s="1440"/>
      <c r="H2005" s="1440"/>
      <c r="I2005" s="1440"/>
      <c r="J2005" s="1440"/>
      <c r="K2005" s="1440"/>
      <c r="L2005" s="1440"/>
      <c r="M2005" s="1440"/>
      <c r="N2005" s="1440"/>
      <c r="O2005" s="1440"/>
      <c r="P2005" s="1497">
        <f t="shared" si="158"/>
        <v>0</v>
      </c>
      <c r="Q2005" s="1186">
        <f t="shared" si="159"/>
        <v>0</v>
      </c>
      <c r="R2005" s="1409"/>
      <c r="S2005" s="1440"/>
      <c r="T2005" s="1440"/>
      <c r="U2005" s="1440"/>
      <c r="V2005" s="1440"/>
      <c r="W2005" s="1440">
        <v>125000</v>
      </c>
      <c r="X2005" s="1440">
        <v>0</v>
      </c>
      <c r="Y2005" s="1440">
        <v>0</v>
      </c>
      <c r="Z2005" s="1440"/>
      <c r="AA2005" s="1440"/>
      <c r="AB2005" s="1440"/>
      <c r="AC2005" s="1440"/>
      <c r="AD2005" s="1186">
        <f t="shared" si="161"/>
        <v>125000</v>
      </c>
      <c r="AE2005" s="637">
        <f t="shared" si="162"/>
        <v>1</v>
      </c>
      <c r="AF2005" s="638">
        <f t="shared" si="160"/>
        <v>705</v>
      </c>
    </row>
    <row r="2006" spans="1:32" x14ac:dyDescent="0.3">
      <c r="A2006" s="1412" t="s">
        <v>759</v>
      </c>
      <c r="B2006" s="1407" t="s">
        <v>2872</v>
      </c>
      <c r="C2006" s="1028"/>
      <c r="D2006" s="1440"/>
      <c r="E2006" s="1440"/>
      <c r="F2006" s="1440"/>
      <c r="G2006" s="1440"/>
      <c r="H2006" s="1440"/>
      <c r="I2006" s="1440"/>
      <c r="J2006" s="1440"/>
      <c r="K2006" s="1440"/>
      <c r="L2006" s="1440"/>
      <c r="M2006" s="1440"/>
      <c r="N2006" s="1440"/>
      <c r="O2006" s="1440"/>
      <c r="P2006" s="1497">
        <f t="shared" ref="P2006:P2064" si="163">SUM(C2006:I2006,K2006)</f>
        <v>0</v>
      </c>
      <c r="Q2006" s="1186">
        <f t="shared" ref="Q2006:Q2064" si="164">SUM(C2006:J2006,L2006:O2006)</f>
        <v>0</v>
      </c>
      <c r="R2006" s="1409"/>
      <c r="S2006" s="1440"/>
      <c r="T2006" s="1440"/>
      <c r="U2006" s="1440"/>
      <c r="V2006" s="1440"/>
      <c r="W2006" s="1440">
        <v>55000</v>
      </c>
      <c r="X2006" s="1440">
        <v>80000</v>
      </c>
      <c r="Y2006" s="1440">
        <v>0</v>
      </c>
      <c r="Z2006" s="1440"/>
      <c r="AA2006" s="1440"/>
      <c r="AB2006" s="1440"/>
      <c r="AC2006" s="1440"/>
      <c r="AD2006" s="1186">
        <f t="shared" si="161"/>
        <v>135000</v>
      </c>
      <c r="AE2006" s="637">
        <f t="shared" si="162"/>
        <v>1</v>
      </c>
      <c r="AF2006" s="638">
        <f t="shared" si="160"/>
        <v>692</v>
      </c>
    </row>
    <row r="2007" spans="1:32" x14ac:dyDescent="0.3">
      <c r="A2007" s="1412" t="s">
        <v>759</v>
      </c>
      <c r="B2007" s="1407" t="s">
        <v>2873</v>
      </c>
      <c r="C2007" s="1028"/>
      <c r="D2007" s="1440"/>
      <c r="E2007" s="1440"/>
      <c r="F2007" s="1440"/>
      <c r="G2007" s="1440"/>
      <c r="H2007" s="1440"/>
      <c r="I2007" s="1440"/>
      <c r="J2007" s="1440"/>
      <c r="K2007" s="1440"/>
      <c r="L2007" s="1440"/>
      <c r="M2007" s="1440"/>
      <c r="N2007" s="1440"/>
      <c r="O2007" s="1440"/>
      <c r="P2007" s="1497">
        <f t="shared" si="163"/>
        <v>0</v>
      </c>
      <c r="Q2007" s="1186">
        <f t="shared" si="164"/>
        <v>0</v>
      </c>
      <c r="R2007" s="1409"/>
      <c r="S2007" s="1440"/>
      <c r="T2007" s="1440"/>
      <c r="U2007" s="1440"/>
      <c r="V2007" s="1440"/>
      <c r="W2007" s="1440">
        <v>30000</v>
      </c>
      <c r="X2007" s="1440">
        <v>0</v>
      </c>
      <c r="Y2007" s="1440">
        <v>0</v>
      </c>
      <c r="Z2007" s="1440"/>
      <c r="AA2007" s="1440"/>
      <c r="AB2007" s="1440"/>
      <c r="AC2007" s="1440"/>
      <c r="AD2007" s="1186">
        <f t="shared" si="161"/>
        <v>30000</v>
      </c>
      <c r="AE2007" s="637">
        <f t="shared" si="162"/>
        <v>1</v>
      </c>
      <c r="AF2007" s="638">
        <f t="shared" si="160"/>
        <v>894</v>
      </c>
    </row>
    <row r="2008" spans="1:32" x14ac:dyDescent="0.3">
      <c r="A2008" s="1412" t="s">
        <v>759</v>
      </c>
      <c r="B2008" s="1407" t="s">
        <v>2874</v>
      </c>
      <c r="C2008" s="1028"/>
      <c r="D2008" s="1440"/>
      <c r="E2008" s="1440"/>
      <c r="F2008" s="1440"/>
      <c r="G2008" s="1440"/>
      <c r="H2008" s="1440"/>
      <c r="I2008" s="1440"/>
      <c r="J2008" s="1440"/>
      <c r="K2008" s="1440"/>
      <c r="L2008" s="1440"/>
      <c r="M2008" s="1440"/>
      <c r="N2008" s="1440"/>
      <c r="O2008" s="1440"/>
      <c r="P2008" s="1497">
        <f t="shared" si="163"/>
        <v>0</v>
      </c>
      <c r="Q2008" s="1186">
        <f t="shared" si="164"/>
        <v>0</v>
      </c>
      <c r="R2008" s="1409"/>
      <c r="S2008" s="1440"/>
      <c r="T2008" s="1440"/>
      <c r="U2008" s="1440"/>
      <c r="V2008" s="1440"/>
      <c r="W2008" s="1440">
        <v>11000</v>
      </c>
      <c r="X2008" s="1440">
        <v>0</v>
      </c>
      <c r="Y2008" s="1440">
        <v>0</v>
      </c>
      <c r="Z2008" s="1440"/>
      <c r="AA2008" s="1440"/>
      <c r="AB2008" s="1440"/>
      <c r="AC2008" s="1440"/>
      <c r="AD2008" s="1186">
        <f t="shared" si="161"/>
        <v>11000</v>
      </c>
      <c r="AE2008" s="637">
        <f t="shared" si="162"/>
        <v>1</v>
      </c>
      <c r="AF2008" s="638">
        <f t="shared" si="160"/>
        <v>950</v>
      </c>
    </row>
    <row r="2009" spans="1:32" x14ac:dyDescent="0.3">
      <c r="A2009" s="1412" t="s">
        <v>759</v>
      </c>
      <c r="B2009" s="1407" t="s">
        <v>2875</v>
      </c>
      <c r="C2009" s="1028"/>
      <c r="D2009" s="1440"/>
      <c r="E2009" s="1440"/>
      <c r="F2009" s="1440"/>
      <c r="G2009" s="1440"/>
      <c r="H2009" s="1440"/>
      <c r="I2009" s="1440"/>
      <c r="J2009" s="1440"/>
      <c r="K2009" s="1440"/>
      <c r="L2009" s="1440"/>
      <c r="M2009" s="1440"/>
      <c r="N2009" s="1440"/>
      <c r="O2009" s="1440"/>
      <c r="P2009" s="1497">
        <f t="shared" si="163"/>
        <v>0</v>
      </c>
      <c r="Q2009" s="1186">
        <f t="shared" si="164"/>
        <v>0</v>
      </c>
      <c r="R2009" s="1409"/>
      <c r="S2009" s="1440"/>
      <c r="T2009" s="1440"/>
      <c r="U2009" s="1440"/>
      <c r="V2009" s="1440"/>
      <c r="W2009" s="1440">
        <v>20000</v>
      </c>
      <c r="X2009" s="1440">
        <v>0</v>
      </c>
      <c r="Y2009" s="1440">
        <v>0</v>
      </c>
      <c r="Z2009" s="1440"/>
      <c r="AA2009" s="1440"/>
      <c r="AB2009" s="1440"/>
      <c r="AC2009" s="1440"/>
      <c r="AD2009" s="1186">
        <f t="shared" si="161"/>
        <v>20000</v>
      </c>
      <c r="AE2009" s="637">
        <f t="shared" si="162"/>
        <v>1</v>
      </c>
      <c r="AF2009" s="638">
        <f t="shared" si="160"/>
        <v>921</v>
      </c>
    </row>
    <row r="2010" spans="1:32" x14ac:dyDescent="0.3">
      <c r="A2010" s="1412" t="s">
        <v>759</v>
      </c>
      <c r="B2010" s="1407" t="s">
        <v>2876</v>
      </c>
      <c r="C2010" s="1028"/>
      <c r="D2010" s="1440"/>
      <c r="E2010" s="1440"/>
      <c r="F2010" s="1440"/>
      <c r="G2010" s="1440"/>
      <c r="H2010" s="1440"/>
      <c r="I2010" s="1440"/>
      <c r="J2010" s="1440"/>
      <c r="K2010" s="1440"/>
      <c r="L2010" s="1440"/>
      <c r="M2010" s="1440"/>
      <c r="N2010" s="1440"/>
      <c r="O2010" s="1440"/>
      <c r="P2010" s="1497">
        <f t="shared" si="163"/>
        <v>0</v>
      </c>
      <c r="Q2010" s="1186">
        <f t="shared" si="164"/>
        <v>0</v>
      </c>
      <c r="R2010" s="1409"/>
      <c r="S2010" s="1440"/>
      <c r="T2010" s="1440"/>
      <c r="U2010" s="1440"/>
      <c r="V2010" s="1440"/>
      <c r="W2010" s="1440">
        <v>20000</v>
      </c>
      <c r="X2010" s="1440">
        <v>5000</v>
      </c>
      <c r="Y2010" s="1440">
        <v>0</v>
      </c>
      <c r="Z2010" s="1440"/>
      <c r="AA2010" s="1440"/>
      <c r="AB2010" s="1440"/>
      <c r="AC2010" s="1440"/>
      <c r="AD2010" s="1186">
        <f t="shared" si="161"/>
        <v>25000</v>
      </c>
      <c r="AE2010" s="637">
        <f t="shared" si="162"/>
        <v>1</v>
      </c>
      <c r="AF2010" s="638">
        <f t="shared" si="160"/>
        <v>906</v>
      </c>
    </row>
    <row r="2011" spans="1:32" x14ac:dyDescent="0.3">
      <c r="A2011" s="1412" t="s">
        <v>759</v>
      </c>
      <c r="B2011" s="1407" t="s">
        <v>2877</v>
      </c>
      <c r="C2011" s="1028"/>
      <c r="D2011" s="1440"/>
      <c r="E2011" s="1440"/>
      <c r="F2011" s="1440"/>
      <c r="G2011" s="1440"/>
      <c r="H2011" s="1440"/>
      <c r="I2011" s="1440"/>
      <c r="J2011" s="1440"/>
      <c r="K2011" s="1440"/>
      <c r="L2011" s="1440"/>
      <c r="M2011" s="1440"/>
      <c r="N2011" s="1440"/>
      <c r="O2011" s="1440"/>
      <c r="P2011" s="1497">
        <f t="shared" si="163"/>
        <v>0</v>
      </c>
      <c r="Q2011" s="1186">
        <f t="shared" si="164"/>
        <v>0</v>
      </c>
      <c r="R2011" s="1409"/>
      <c r="S2011" s="1440"/>
      <c r="T2011" s="1440"/>
      <c r="U2011" s="1440"/>
      <c r="V2011" s="1440"/>
      <c r="W2011" s="1440">
        <v>85000</v>
      </c>
      <c r="X2011" s="1440">
        <v>0</v>
      </c>
      <c r="Y2011" s="1440">
        <v>0</v>
      </c>
      <c r="Z2011" s="1440"/>
      <c r="AA2011" s="1440"/>
      <c r="AB2011" s="1440"/>
      <c r="AC2011" s="1440"/>
      <c r="AD2011" s="1186">
        <f t="shared" si="161"/>
        <v>85000</v>
      </c>
      <c r="AE2011" s="637">
        <f t="shared" si="162"/>
        <v>1</v>
      </c>
      <c r="AF2011" s="638">
        <f t="shared" si="160"/>
        <v>761</v>
      </c>
    </row>
    <row r="2012" spans="1:32" x14ac:dyDescent="0.3">
      <c r="A2012" s="1412" t="s">
        <v>759</v>
      </c>
      <c r="B2012" s="1407" t="s">
        <v>1061</v>
      </c>
      <c r="C2012" s="1028"/>
      <c r="D2012" s="1440"/>
      <c r="E2012" s="1440"/>
      <c r="F2012" s="1440"/>
      <c r="G2012" s="1440"/>
      <c r="H2012" s="1440"/>
      <c r="I2012" s="1440"/>
      <c r="J2012" s="1440"/>
      <c r="K2012" s="1440"/>
      <c r="L2012" s="1440"/>
      <c r="M2012" s="1440"/>
      <c r="N2012" s="1440"/>
      <c r="O2012" s="1440"/>
      <c r="P2012" s="1497">
        <f t="shared" si="163"/>
        <v>0</v>
      </c>
      <c r="Q2012" s="1186">
        <f t="shared" si="164"/>
        <v>0</v>
      </c>
      <c r="R2012" s="1409"/>
      <c r="S2012" s="1440"/>
      <c r="T2012" s="1440"/>
      <c r="U2012" s="1440"/>
      <c r="V2012" s="1440"/>
      <c r="W2012" s="1440">
        <v>2780000</v>
      </c>
      <c r="X2012" s="1440">
        <v>2850000</v>
      </c>
      <c r="Y2012" s="1440">
        <v>2190000</v>
      </c>
      <c r="Z2012" s="1440"/>
      <c r="AA2012" s="1440"/>
      <c r="AB2012" s="1440"/>
      <c r="AC2012" s="1440"/>
      <c r="AD2012" s="1186">
        <f t="shared" si="161"/>
        <v>7820000</v>
      </c>
      <c r="AE2012" s="637">
        <f t="shared" si="162"/>
        <v>1</v>
      </c>
      <c r="AF2012" s="638">
        <f t="shared" si="160"/>
        <v>51</v>
      </c>
    </row>
    <row r="2013" spans="1:32" x14ac:dyDescent="0.3">
      <c r="A2013" s="1412" t="s">
        <v>759</v>
      </c>
      <c r="B2013" s="1407" t="s">
        <v>980</v>
      </c>
      <c r="C2013" s="1028"/>
      <c r="D2013" s="1440"/>
      <c r="E2013" s="1440"/>
      <c r="F2013" s="1440"/>
      <c r="G2013" s="1440"/>
      <c r="H2013" s="1440"/>
      <c r="I2013" s="1440"/>
      <c r="J2013" s="1440"/>
      <c r="K2013" s="1440"/>
      <c r="L2013" s="1440"/>
      <c r="M2013" s="1440"/>
      <c r="N2013" s="1440"/>
      <c r="O2013" s="1440"/>
      <c r="P2013" s="1497">
        <f t="shared" si="163"/>
        <v>0</v>
      </c>
      <c r="Q2013" s="1186">
        <f t="shared" si="164"/>
        <v>0</v>
      </c>
      <c r="R2013" s="1409"/>
      <c r="S2013" s="1440"/>
      <c r="T2013" s="1440"/>
      <c r="U2013" s="1440"/>
      <c r="V2013" s="1440"/>
      <c r="W2013" s="1440">
        <v>71200</v>
      </c>
      <c r="X2013" s="1440">
        <v>0</v>
      </c>
      <c r="Y2013" s="1440">
        <v>0</v>
      </c>
      <c r="Z2013" s="1440"/>
      <c r="AA2013" s="1440"/>
      <c r="AB2013" s="1440"/>
      <c r="AC2013" s="1440"/>
      <c r="AD2013" s="1186">
        <f t="shared" si="161"/>
        <v>71200</v>
      </c>
      <c r="AE2013" s="637">
        <f t="shared" si="162"/>
        <v>1</v>
      </c>
      <c r="AF2013" s="638">
        <f t="shared" si="160"/>
        <v>795</v>
      </c>
    </row>
    <row r="2014" spans="1:32" x14ac:dyDescent="0.3">
      <c r="A2014" s="1412" t="s">
        <v>759</v>
      </c>
      <c r="B2014" s="1407" t="s">
        <v>2850</v>
      </c>
      <c r="C2014" s="1028"/>
      <c r="D2014" s="1440"/>
      <c r="E2014" s="1440"/>
      <c r="F2014" s="1440"/>
      <c r="G2014" s="1440"/>
      <c r="H2014" s="1440"/>
      <c r="I2014" s="1440"/>
      <c r="J2014" s="1440"/>
      <c r="K2014" s="1440"/>
      <c r="L2014" s="1440"/>
      <c r="M2014" s="1440"/>
      <c r="N2014" s="1440"/>
      <c r="O2014" s="1440"/>
      <c r="P2014" s="1497">
        <f t="shared" si="163"/>
        <v>0</v>
      </c>
      <c r="Q2014" s="1186">
        <f t="shared" si="164"/>
        <v>0</v>
      </c>
      <c r="R2014" s="1409"/>
      <c r="S2014" s="1440"/>
      <c r="T2014" s="1440"/>
      <c r="U2014" s="1440"/>
      <c r="V2014" s="1440"/>
      <c r="W2014" s="1440">
        <v>1078500</v>
      </c>
      <c r="X2014" s="1440">
        <v>0</v>
      </c>
      <c r="Y2014" s="1440">
        <v>0</v>
      </c>
      <c r="Z2014" s="1440"/>
      <c r="AA2014" s="1440"/>
      <c r="AB2014" s="1440"/>
      <c r="AC2014" s="1440"/>
      <c r="AD2014" s="1186">
        <f t="shared" si="161"/>
        <v>1078500</v>
      </c>
      <c r="AE2014" s="637">
        <f t="shared" si="162"/>
        <v>1</v>
      </c>
      <c r="AF2014" s="638">
        <f t="shared" si="160"/>
        <v>306</v>
      </c>
    </row>
    <row r="2015" spans="1:32" x14ac:dyDescent="0.3">
      <c r="A2015" s="1412" t="s">
        <v>759</v>
      </c>
      <c r="B2015" s="1407" t="s">
        <v>2851</v>
      </c>
      <c r="C2015" s="1028"/>
      <c r="D2015" s="1440"/>
      <c r="E2015" s="1440"/>
      <c r="F2015" s="1440"/>
      <c r="G2015" s="1440"/>
      <c r="H2015" s="1440"/>
      <c r="I2015" s="1440"/>
      <c r="J2015" s="1440"/>
      <c r="K2015" s="1440"/>
      <c r="L2015" s="1440"/>
      <c r="M2015" s="1440"/>
      <c r="N2015" s="1440"/>
      <c r="O2015" s="1440"/>
      <c r="P2015" s="1497">
        <f t="shared" si="163"/>
        <v>0</v>
      </c>
      <c r="Q2015" s="1186">
        <f t="shared" si="164"/>
        <v>0</v>
      </c>
      <c r="R2015" s="1409"/>
      <c r="S2015" s="1440"/>
      <c r="T2015" s="1440"/>
      <c r="U2015" s="1440"/>
      <c r="V2015" s="1440"/>
      <c r="W2015" s="1440">
        <v>518940</v>
      </c>
      <c r="X2015" s="1440">
        <v>0</v>
      </c>
      <c r="Y2015" s="1440">
        <v>0</v>
      </c>
      <c r="Z2015" s="1440"/>
      <c r="AA2015" s="1440"/>
      <c r="AB2015" s="1440"/>
      <c r="AC2015" s="1440"/>
      <c r="AD2015" s="1186">
        <f t="shared" si="161"/>
        <v>518940</v>
      </c>
      <c r="AE2015" s="637">
        <f t="shared" si="162"/>
        <v>1</v>
      </c>
      <c r="AF2015" s="638">
        <f t="shared" si="160"/>
        <v>426</v>
      </c>
    </row>
    <row r="2016" spans="1:32" x14ac:dyDescent="0.3">
      <c r="A2016" s="1412" t="s">
        <v>759</v>
      </c>
      <c r="B2016" s="1407" t="s">
        <v>2852</v>
      </c>
      <c r="C2016" s="1028"/>
      <c r="D2016" s="1440"/>
      <c r="E2016" s="1440"/>
      <c r="F2016" s="1440"/>
      <c r="G2016" s="1440"/>
      <c r="H2016" s="1440"/>
      <c r="I2016" s="1440"/>
      <c r="J2016" s="1440"/>
      <c r="K2016" s="1440"/>
      <c r="L2016" s="1440"/>
      <c r="M2016" s="1440"/>
      <c r="N2016" s="1440"/>
      <c r="O2016" s="1440"/>
      <c r="P2016" s="1497">
        <f t="shared" si="163"/>
        <v>0</v>
      </c>
      <c r="Q2016" s="1186">
        <f t="shared" si="164"/>
        <v>0</v>
      </c>
      <c r="R2016" s="1409"/>
      <c r="S2016" s="1440"/>
      <c r="T2016" s="1440"/>
      <c r="U2016" s="1440"/>
      <c r="V2016" s="1440"/>
      <c r="W2016" s="1440">
        <v>175300</v>
      </c>
      <c r="X2016" s="1440">
        <v>0</v>
      </c>
      <c r="Y2016" s="1440">
        <v>0</v>
      </c>
      <c r="Z2016" s="1440"/>
      <c r="AA2016" s="1440"/>
      <c r="AB2016" s="1440"/>
      <c r="AC2016" s="1440"/>
      <c r="AD2016" s="1186">
        <f t="shared" si="161"/>
        <v>175300</v>
      </c>
      <c r="AE2016" s="637">
        <f t="shared" si="162"/>
        <v>1</v>
      </c>
      <c r="AF2016" s="638">
        <f t="shared" si="160"/>
        <v>644</v>
      </c>
    </row>
    <row r="2017" spans="1:32" x14ac:dyDescent="0.3">
      <c r="A2017" s="1412" t="s">
        <v>759</v>
      </c>
      <c r="B2017" s="1407" t="s">
        <v>2906</v>
      </c>
      <c r="C2017" s="1028"/>
      <c r="D2017" s="1440"/>
      <c r="E2017" s="1440"/>
      <c r="F2017" s="1440"/>
      <c r="G2017" s="1440"/>
      <c r="H2017" s="1440"/>
      <c r="I2017" s="1440"/>
      <c r="J2017" s="1440"/>
      <c r="K2017" s="1440"/>
      <c r="L2017" s="1440"/>
      <c r="M2017" s="1440"/>
      <c r="N2017" s="1440"/>
      <c r="O2017" s="1440"/>
      <c r="P2017" s="1497">
        <f t="shared" si="163"/>
        <v>0</v>
      </c>
      <c r="Q2017" s="1186">
        <f t="shared" si="164"/>
        <v>0</v>
      </c>
      <c r="R2017" s="1409"/>
      <c r="S2017" s="1440"/>
      <c r="T2017" s="1440"/>
      <c r="U2017" s="1440"/>
      <c r="V2017" s="1440"/>
      <c r="W2017" s="1440">
        <v>147800</v>
      </c>
      <c r="X2017" s="1440">
        <v>0</v>
      </c>
      <c r="Y2017" s="1440">
        <v>0</v>
      </c>
      <c r="Z2017" s="1440"/>
      <c r="AA2017" s="1440"/>
      <c r="AB2017" s="1440"/>
      <c r="AC2017" s="1440"/>
      <c r="AD2017" s="1186">
        <f t="shared" si="161"/>
        <v>147800</v>
      </c>
      <c r="AE2017" s="637">
        <f t="shared" si="162"/>
        <v>1</v>
      </c>
      <c r="AF2017" s="638">
        <f t="shared" si="160"/>
        <v>676</v>
      </c>
    </row>
    <row r="2018" spans="1:32" x14ac:dyDescent="0.3">
      <c r="A2018" s="1412" t="s">
        <v>759</v>
      </c>
      <c r="B2018" s="1407" t="s">
        <v>2907</v>
      </c>
      <c r="C2018" s="1028"/>
      <c r="D2018" s="1440"/>
      <c r="E2018" s="1440"/>
      <c r="F2018" s="1440"/>
      <c r="G2018" s="1440"/>
      <c r="H2018" s="1440"/>
      <c r="I2018" s="1440"/>
      <c r="J2018" s="1440"/>
      <c r="K2018" s="1440"/>
      <c r="L2018" s="1440"/>
      <c r="M2018" s="1440"/>
      <c r="N2018" s="1440"/>
      <c r="O2018" s="1440"/>
      <c r="P2018" s="1497">
        <f t="shared" si="163"/>
        <v>0</v>
      </c>
      <c r="Q2018" s="1186">
        <f t="shared" si="164"/>
        <v>0</v>
      </c>
      <c r="R2018" s="1409"/>
      <c r="S2018" s="1440"/>
      <c r="T2018" s="1440"/>
      <c r="U2018" s="1440"/>
      <c r="V2018" s="1440"/>
      <c r="W2018" s="1440">
        <v>91000</v>
      </c>
      <c r="X2018" s="1440">
        <v>0</v>
      </c>
      <c r="Y2018" s="1440">
        <v>0</v>
      </c>
      <c r="Z2018" s="1440"/>
      <c r="AA2018" s="1440"/>
      <c r="AB2018" s="1440"/>
      <c r="AC2018" s="1440"/>
      <c r="AD2018" s="1186">
        <f t="shared" si="161"/>
        <v>91000</v>
      </c>
      <c r="AE2018" s="637">
        <f t="shared" si="162"/>
        <v>1</v>
      </c>
      <c r="AF2018" s="638">
        <f t="shared" si="160"/>
        <v>757</v>
      </c>
    </row>
    <row r="2019" spans="1:32" x14ac:dyDescent="0.3">
      <c r="A2019" s="1412" t="s">
        <v>759</v>
      </c>
      <c r="B2019" s="1407" t="s">
        <v>2908</v>
      </c>
      <c r="C2019" s="1028"/>
      <c r="D2019" s="1440"/>
      <c r="E2019" s="1440"/>
      <c r="F2019" s="1440"/>
      <c r="G2019" s="1440"/>
      <c r="H2019" s="1440"/>
      <c r="I2019" s="1440"/>
      <c r="J2019" s="1440"/>
      <c r="K2019" s="1440"/>
      <c r="L2019" s="1440"/>
      <c r="M2019" s="1440"/>
      <c r="N2019" s="1440"/>
      <c r="O2019" s="1440"/>
      <c r="P2019" s="1497">
        <f t="shared" si="163"/>
        <v>0</v>
      </c>
      <c r="Q2019" s="1186">
        <f t="shared" si="164"/>
        <v>0</v>
      </c>
      <c r="R2019" s="1409"/>
      <c r="S2019" s="1440"/>
      <c r="T2019" s="1440"/>
      <c r="U2019" s="1440"/>
      <c r="V2019" s="1440"/>
      <c r="W2019" s="1440">
        <v>85000</v>
      </c>
      <c r="X2019" s="1440">
        <v>0</v>
      </c>
      <c r="Y2019" s="1440">
        <v>20000</v>
      </c>
      <c r="Z2019" s="1440"/>
      <c r="AA2019" s="1440"/>
      <c r="AB2019" s="1440"/>
      <c r="AC2019" s="1440"/>
      <c r="AD2019" s="1186">
        <f t="shared" si="161"/>
        <v>105000</v>
      </c>
      <c r="AE2019" s="637">
        <f t="shared" si="162"/>
        <v>1</v>
      </c>
      <c r="AF2019" s="638">
        <f t="shared" si="160"/>
        <v>732</v>
      </c>
    </row>
    <row r="2020" spans="1:32" x14ac:dyDescent="0.3">
      <c r="A2020" s="1412" t="s">
        <v>759</v>
      </c>
      <c r="B2020" s="1407" t="s">
        <v>2909</v>
      </c>
      <c r="C2020" s="1028"/>
      <c r="D2020" s="1440"/>
      <c r="E2020" s="1440"/>
      <c r="F2020" s="1440"/>
      <c r="G2020" s="1440"/>
      <c r="H2020" s="1440"/>
      <c r="I2020" s="1440"/>
      <c r="J2020" s="1440"/>
      <c r="K2020" s="1440"/>
      <c r="L2020" s="1440"/>
      <c r="M2020" s="1440"/>
      <c r="N2020" s="1440"/>
      <c r="O2020" s="1440"/>
      <c r="P2020" s="1497">
        <f t="shared" si="163"/>
        <v>0</v>
      </c>
      <c r="Q2020" s="1186">
        <f t="shared" si="164"/>
        <v>0</v>
      </c>
      <c r="R2020" s="1409"/>
      <c r="S2020" s="1440"/>
      <c r="T2020" s="1440"/>
      <c r="U2020" s="1440"/>
      <c r="V2020" s="1440"/>
      <c r="W2020" s="1440">
        <v>12000</v>
      </c>
      <c r="X2020" s="1440">
        <v>12000</v>
      </c>
      <c r="Y2020" s="1440">
        <v>12000</v>
      </c>
      <c r="Z2020" s="1440"/>
      <c r="AA2020" s="1440"/>
      <c r="AB2020" s="1440"/>
      <c r="AC2020" s="1440"/>
      <c r="AD2020" s="1186">
        <f t="shared" si="161"/>
        <v>36000</v>
      </c>
      <c r="AE2020" s="637">
        <f t="shared" si="162"/>
        <v>1</v>
      </c>
      <c r="AF2020" s="638">
        <f t="shared" si="160"/>
        <v>878</v>
      </c>
    </row>
    <row r="2021" spans="1:32" x14ac:dyDescent="0.3">
      <c r="A2021" s="1412" t="s">
        <v>759</v>
      </c>
      <c r="B2021" s="1407" t="s">
        <v>2686</v>
      </c>
      <c r="C2021" s="1028"/>
      <c r="D2021" s="1440"/>
      <c r="E2021" s="1440"/>
      <c r="F2021" s="1440"/>
      <c r="G2021" s="1440"/>
      <c r="H2021" s="1440"/>
      <c r="I2021" s="1440"/>
      <c r="J2021" s="1440"/>
      <c r="K2021" s="1440"/>
      <c r="L2021" s="1440"/>
      <c r="M2021" s="1440"/>
      <c r="N2021" s="1440"/>
      <c r="O2021" s="1440"/>
      <c r="P2021" s="1497">
        <f t="shared" si="163"/>
        <v>0</v>
      </c>
      <c r="Q2021" s="1186">
        <f t="shared" si="164"/>
        <v>0</v>
      </c>
      <c r="R2021" s="1409"/>
      <c r="S2021" s="1440"/>
      <c r="T2021" s="1440"/>
      <c r="U2021" s="1440"/>
      <c r="V2021" s="1440"/>
      <c r="W2021" s="1440">
        <v>5000</v>
      </c>
      <c r="X2021" s="1440">
        <v>0</v>
      </c>
      <c r="Y2021" s="1440">
        <v>0</v>
      </c>
      <c r="Z2021" s="1440"/>
      <c r="AA2021" s="1440"/>
      <c r="AB2021" s="1440"/>
      <c r="AC2021" s="1440"/>
      <c r="AD2021" s="1186">
        <f t="shared" si="161"/>
        <v>5000</v>
      </c>
      <c r="AE2021" s="637">
        <f t="shared" si="162"/>
        <v>1</v>
      </c>
      <c r="AF2021" s="638">
        <f t="shared" si="160"/>
        <v>972</v>
      </c>
    </row>
    <row r="2022" spans="1:32" x14ac:dyDescent="0.3">
      <c r="A2022" s="1412" t="s">
        <v>759</v>
      </c>
      <c r="B2022" s="1407" t="s">
        <v>2926</v>
      </c>
      <c r="C2022" s="1028"/>
      <c r="D2022" s="1440"/>
      <c r="E2022" s="1440"/>
      <c r="F2022" s="1440"/>
      <c r="G2022" s="1440"/>
      <c r="H2022" s="1440"/>
      <c r="I2022" s="1440"/>
      <c r="J2022" s="1440"/>
      <c r="K2022" s="1440"/>
      <c r="L2022" s="1440"/>
      <c r="M2022" s="1440"/>
      <c r="N2022" s="1440"/>
      <c r="O2022" s="1440"/>
      <c r="P2022" s="1497">
        <f t="shared" si="163"/>
        <v>0</v>
      </c>
      <c r="Q2022" s="1186">
        <f t="shared" si="164"/>
        <v>0</v>
      </c>
      <c r="R2022" s="1409"/>
      <c r="S2022" s="1440"/>
      <c r="T2022" s="1440"/>
      <c r="U2022" s="1440"/>
      <c r="V2022" s="1440"/>
      <c r="W2022" s="1440"/>
      <c r="X2022" s="1440">
        <v>5000</v>
      </c>
      <c r="Y2022" s="1440">
        <v>0</v>
      </c>
      <c r="Z2022" s="1440"/>
      <c r="AA2022" s="1440"/>
      <c r="AB2022" s="1440"/>
      <c r="AC2022" s="1440"/>
      <c r="AD2022" s="1186">
        <f t="shared" si="161"/>
        <v>5000</v>
      </c>
      <c r="AE2022" s="637">
        <f t="shared" si="162"/>
        <v>1</v>
      </c>
      <c r="AF2022" s="638">
        <f t="shared" si="160"/>
        <v>972</v>
      </c>
    </row>
    <row r="2023" spans="1:32" x14ac:dyDescent="0.3">
      <c r="A2023" s="1412" t="s">
        <v>759</v>
      </c>
      <c r="B2023" s="1407" t="s">
        <v>1121</v>
      </c>
      <c r="C2023" s="1028"/>
      <c r="D2023" s="1440"/>
      <c r="E2023" s="1440"/>
      <c r="F2023" s="1440"/>
      <c r="G2023" s="1440"/>
      <c r="H2023" s="1440"/>
      <c r="I2023" s="1440"/>
      <c r="J2023" s="1440"/>
      <c r="K2023" s="1440"/>
      <c r="L2023" s="1440"/>
      <c r="M2023" s="1440"/>
      <c r="N2023" s="1440"/>
      <c r="O2023" s="1440"/>
      <c r="P2023" s="1497">
        <f t="shared" si="163"/>
        <v>0</v>
      </c>
      <c r="Q2023" s="1186">
        <f t="shared" si="164"/>
        <v>0</v>
      </c>
      <c r="R2023" s="1409"/>
      <c r="S2023" s="1440"/>
      <c r="T2023" s="1440"/>
      <c r="U2023" s="1440"/>
      <c r="V2023" s="1440"/>
      <c r="W2023" s="1440"/>
      <c r="X2023" s="1440">
        <v>9400</v>
      </c>
      <c r="Y2023" s="1440">
        <v>0</v>
      </c>
      <c r="Z2023" s="1440"/>
      <c r="AA2023" s="1440"/>
      <c r="AB2023" s="1440"/>
      <c r="AC2023" s="1440"/>
      <c r="AD2023" s="1186">
        <f t="shared" si="161"/>
        <v>9400</v>
      </c>
      <c r="AE2023" s="637">
        <f t="shared" si="162"/>
        <v>1</v>
      </c>
      <c r="AF2023" s="638">
        <f t="shared" si="160"/>
        <v>968</v>
      </c>
    </row>
    <row r="2024" spans="1:32" x14ac:dyDescent="0.3">
      <c r="A2024" s="1412" t="s">
        <v>759</v>
      </c>
      <c r="B2024" s="1407" t="s">
        <v>2785</v>
      </c>
      <c r="C2024" s="1028"/>
      <c r="D2024" s="1440"/>
      <c r="E2024" s="1440"/>
      <c r="F2024" s="1440"/>
      <c r="G2024" s="1440"/>
      <c r="H2024" s="1440"/>
      <c r="I2024" s="1440"/>
      <c r="J2024" s="1440"/>
      <c r="K2024" s="1440"/>
      <c r="L2024" s="1440"/>
      <c r="M2024" s="1440"/>
      <c r="N2024" s="1440"/>
      <c r="O2024" s="1440"/>
      <c r="P2024" s="1497">
        <f t="shared" si="163"/>
        <v>0</v>
      </c>
      <c r="Q2024" s="1186">
        <f t="shared" si="164"/>
        <v>0</v>
      </c>
      <c r="R2024" s="1409"/>
      <c r="S2024" s="1440"/>
      <c r="T2024" s="1440"/>
      <c r="U2024" s="1440"/>
      <c r="V2024" s="1440"/>
      <c r="W2024" s="1440"/>
      <c r="X2024" s="1440">
        <v>121000</v>
      </c>
      <c r="Y2024" s="1440">
        <v>384000</v>
      </c>
      <c r="Z2024" s="1440"/>
      <c r="AA2024" s="1440"/>
      <c r="AB2024" s="1440"/>
      <c r="AC2024" s="1440"/>
      <c r="AD2024" s="1186">
        <f t="shared" si="161"/>
        <v>505000</v>
      </c>
      <c r="AE2024" s="637">
        <f t="shared" si="162"/>
        <v>1</v>
      </c>
      <c r="AF2024" s="638">
        <f t="shared" si="160"/>
        <v>437</v>
      </c>
    </row>
    <row r="2025" spans="1:32" x14ac:dyDescent="0.3">
      <c r="A2025" s="1412" t="s">
        <v>759</v>
      </c>
      <c r="B2025" s="1407" t="s">
        <v>1014</v>
      </c>
      <c r="C2025" s="1028"/>
      <c r="D2025" s="1440"/>
      <c r="E2025" s="1440"/>
      <c r="F2025" s="1440"/>
      <c r="G2025" s="1440"/>
      <c r="H2025" s="1440"/>
      <c r="I2025" s="1440"/>
      <c r="J2025" s="1440"/>
      <c r="K2025" s="1440"/>
      <c r="L2025" s="1440"/>
      <c r="M2025" s="1440"/>
      <c r="N2025" s="1440"/>
      <c r="O2025" s="1440"/>
      <c r="P2025" s="1497">
        <f t="shared" si="163"/>
        <v>0</v>
      </c>
      <c r="Q2025" s="1186">
        <f t="shared" si="164"/>
        <v>0</v>
      </c>
      <c r="R2025" s="1409"/>
      <c r="S2025" s="1440"/>
      <c r="T2025" s="1440"/>
      <c r="U2025" s="1440"/>
      <c r="V2025" s="1440"/>
      <c r="W2025" s="1440"/>
      <c r="X2025" s="1440"/>
      <c r="Y2025" s="1440">
        <v>0</v>
      </c>
      <c r="Z2025" s="1440"/>
      <c r="AA2025" s="1440"/>
      <c r="AB2025" s="1440"/>
      <c r="AC2025" s="1440"/>
      <c r="AD2025" s="1186">
        <f t="shared" si="161"/>
        <v>0</v>
      </c>
      <c r="AE2025" s="637">
        <f t="shared" si="162"/>
        <v>0</v>
      </c>
      <c r="AF2025" s="638">
        <f t="shared" si="160"/>
        <v>983</v>
      </c>
    </row>
    <row r="2026" spans="1:32" x14ac:dyDescent="0.3">
      <c r="A2026" s="1412" t="s">
        <v>759</v>
      </c>
      <c r="B2026" s="1407" t="s">
        <v>2964</v>
      </c>
      <c r="C2026" s="1028"/>
      <c r="D2026" s="1440"/>
      <c r="E2026" s="1440"/>
      <c r="F2026" s="1440"/>
      <c r="G2026" s="1440"/>
      <c r="H2026" s="1440"/>
      <c r="I2026" s="1440"/>
      <c r="J2026" s="1440"/>
      <c r="K2026" s="1440"/>
      <c r="L2026" s="1440"/>
      <c r="M2026" s="1440"/>
      <c r="N2026" s="1440"/>
      <c r="O2026" s="1440"/>
      <c r="P2026" s="1497">
        <f t="shared" si="163"/>
        <v>0</v>
      </c>
      <c r="Q2026" s="1186">
        <f t="shared" si="164"/>
        <v>0</v>
      </c>
      <c r="R2026" s="1409"/>
      <c r="S2026" s="1440"/>
      <c r="T2026" s="1440"/>
      <c r="U2026" s="1440"/>
      <c r="V2026" s="1440"/>
      <c r="W2026" s="1440"/>
      <c r="X2026" s="1440">
        <v>640000</v>
      </c>
      <c r="Y2026" s="1440">
        <v>0</v>
      </c>
      <c r="Z2026" s="1440"/>
      <c r="AA2026" s="1440"/>
      <c r="AB2026" s="1440"/>
      <c r="AC2026" s="1440"/>
      <c r="AD2026" s="1186">
        <f t="shared" si="161"/>
        <v>640000</v>
      </c>
      <c r="AE2026" s="637">
        <f t="shared" si="162"/>
        <v>1</v>
      </c>
      <c r="AF2026" s="638">
        <f t="shared" si="160"/>
        <v>396</v>
      </c>
    </row>
    <row r="2027" spans="1:32" x14ac:dyDescent="0.3">
      <c r="A2027" s="1412" t="s">
        <v>759</v>
      </c>
      <c r="B2027" s="1407" t="s">
        <v>1284</v>
      </c>
      <c r="C2027" s="1028"/>
      <c r="D2027" s="1440"/>
      <c r="E2027" s="1440"/>
      <c r="F2027" s="1440"/>
      <c r="G2027" s="1440"/>
      <c r="H2027" s="1440"/>
      <c r="I2027" s="1440"/>
      <c r="J2027" s="1440"/>
      <c r="K2027" s="1440"/>
      <c r="L2027" s="1440"/>
      <c r="M2027" s="1440"/>
      <c r="N2027" s="1440"/>
      <c r="O2027" s="1440"/>
      <c r="P2027" s="1497">
        <f t="shared" si="163"/>
        <v>0</v>
      </c>
      <c r="Q2027" s="1186">
        <f t="shared" si="164"/>
        <v>0</v>
      </c>
      <c r="R2027" s="1409"/>
      <c r="S2027" s="1440"/>
      <c r="T2027" s="1440"/>
      <c r="U2027" s="1440"/>
      <c r="V2027" s="1440"/>
      <c r="W2027" s="1440"/>
      <c r="X2027" s="1440">
        <v>207000</v>
      </c>
      <c r="Y2027" s="1440">
        <v>0</v>
      </c>
      <c r="Z2027" s="1440"/>
      <c r="AA2027" s="1440"/>
      <c r="AB2027" s="1440"/>
      <c r="AC2027" s="1440"/>
      <c r="AD2027" s="1186">
        <f t="shared" si="161"/>
        <v>207000</v>
      </c>
      <c r="AE2027" s="637">
        <f t="shared" si="162"/>
        <v>1</v>
      </c>
      <c r="AF2027" s="638">
        <f t="shared" si="160"/>
        <v>605</v>
      </c>
    </row>
    <row r="2028" spans="1:32" x14ac:dyDescent="0.3">
      <c r="A2028" s="1412" t="s">
        <v>759</v>
      </c>
      <c r="B2028" s="1407" t="s">
        <v>1283</v>
      </c>
      <c r="C2028" s="1028"/>
      <c r="D2028" s="1440"/>
      <c r="E2028" s="1440"/>
      <c r="F2028" s="1440"/>
      <c r="G2028" s="1440"/>
      <c r="H2028" s="1440"/>
      <c r="I2028" s="1440"/>
      <c r="J2028" s="1440"/>
      <c r="K2028" s="1440"/>
      <c r="L2028" s="1440"/>
      <c r="M2028" s="1440"/>
      <c r="N2028" s="1440"/>
      <c r="O2028" s="1440"/>
      <c r="P2028" s="1497">
        <f t="shared" si="163"/>
        <v>0</v>
      </c>
      <c r="Q2028" s="1186">
        <f t="shared" si="164"/>
        <v>0</v>
      </c>
      <c r="R2028" s="1409"/>
      <c r="S2028" s="1440"/>
      <c r="T2028" s="1440"/>
      <c r="U2028" s="1440"/>
      <c r="V2028" s="1440"/>
      <c r="W2028" s="1440"/>
      <c r="X2028" s="1440">
        <v>60000</v>
      </c>
      <c r="Y2028" s="1440">
        <v>203000</v>
      </c>
      <c r="Z2028" s="1440"/>
      <c r="AA2028" s="1440"/>
      <c r="AB2028" s="1440"/>
      <c r="AC2028" s="1440"/>
      <c r="AD2028" s="1186">
        <f t="shared" si="161"/>
        <v>263000</v>
      </c>
      <c r="AE2028" s="637">
        <f t="shared" si="162"/>
        <v>1</v>
      </c>
      <c r="AF2028" s="638">
        <f t="shared" si="160"/>
        <v>555</v>
      </c>
    </row>
    <row r="2029" spans="1:32" x14ac:dyDescent="0.3">
      <c r="A2029" s="1412" t="s">
        <v>759</v>
      </c>
      <c r="B2029" s="1407" t="s">
        <v>2965</v>
      </c>
      <c r="C2029" s="1028"/>
      <c r="D2029" s="1440"/>
      <c r="E2029" s="1440"/>
      <c r="F2029" s="1440"/>
      <c r="G2029" s="1440"/>
      <c r="H2029" s="1440"/>
      <c r="I2029" s="1440"/>
      <c r="J2029" s="1440"/>
      <c r="K2029" s="1440"/>
      <c r="L2029" s="1440"/>
      <c r="M2029" s="1440"/>
      <c r="N2029" s="1440"/>
      <c r="O2029" s="1440"/>
      <c r="P2029" s="1497">
        <f t="shared" si="163"/>
        <v>0</v>
      </c>
      <c r="Q2029" s="1186">
        <f t="shared" si="164"/>
        <v>0</v>
      </c>
      <c r="R2029" s="1409"/>
      <c r="S2029" s="1440"/>
      <c r="T2029" s="1440"/>
      <c r="U2029" s="1440"/>
      <c r="V2029" s="1440"/>
      <c r="W2029" s="1440"/>
      <c r="X2029" s="1440"/>
      <c r="Y2029" s="1440"/>
      <c r="Z2029" s="1440"/>
      <c r="AA2029" s="1440"/>
      <c r="AB2029" s="1440"/>
      <c r="AC2029" s="1440"/>
      <c r="AD2029" s="1186">
        <f t="shared" si="161"/>
        <v>0</v>
      </c>
      <c r="AE2029" s="637">
        <f t="shared" si="162"/>
        <v>0</v>
      </c>
      <c r="AF2029" s="638">
        <f t="shared" si="160"/>
        <v>983</v>
      </c>
    </row>
    <row r="2030" spans="1:32" x14ac:dyDescent="0.3">
      <c r="A2030" s="1412" t="s">
        <v>759</v>
      </c>
      <c r="B2030" s="1407" t="s">
        <v>225</v>
      </c>
      <c r="C2030" s="1028"/>
      <c r="D2030" s="1440"/>
      <c r="E2030" s="1440"/>
      <c r="F2030" s="1440"/>
      <c r="G2030" s="1440"/>
      <c r="H2030" s="1440"/>
      <c r="I2030" s="1440"/>
      <c r="J2030" s="1440"/>
      <c r="K2030" s="1440"/>
      <c r="L2030" s="1440"/>
      <c r="M2030" s="1440"/>
      <c r="N2030" s="1440"/>
      <c r="O2030" s="1440"/>
      <c r="P2030" s="1497">
        <f t="shared" si="163"/>
        <v>0</v>
      </c>
      <c r="Q2030" s="1186">
        <f t="shared" si="164"/>
        <v>0</v>
      </c>
      <c r="R2030" s="1409"/>
      <c r="S2030" s="1440"/>
      <c r="T2030" s="1440"/>
      <c r="U2030" s="1440"/>
      <c r="V2030" s="1440"/>
      <c r="W2030" s="1440"/>
      <c r="X2030" s="1440">
        <v>135000</v>
      </c>
      <c r="Y2030" s="1440">
        <v>0</v>
      </c>
      <c r="Z2030" s="1440"/>
      <c r="AA2030" s="1440"/>
      <c r="AB2030" s="1440"/>
      <c r="AC2030" s="1440"/>
      <c r="AD2030" s="1186">
        <f t="shared" si="161"/>
        <v>135000</v>
      </c>
      <c r="AE2030" s="637">
        <f t="shared" si="162"/>
        <v>1</v>
      </c>
      <c r="AF2030" s="638">
        <f t="shared" si="160"/>
        <v>692</v>
      </c>
    </row>
    <row r="2031" spans="1:32" x14ac:dyDescent="0.3">
      <c r="A2031" s="1412" t="s">
        <v>759</v>
      </c>
      <c r="B2031" s="1407" t="s">
        <v>2966</v>
      </c>
      <c r="C2031" s="1028"/>
      <c r="D2031" s="1440"/>
      <c r="E2031" s="1440"/>
      <c r="F2031" s="1440"/>
      <c r="G2031" s="1440"/>
      <c r="H2031" s="1440"/>
      <c r="I2031" s="1440"/>
      <c r="J2031" s="1440"/>
      <c r="K2031" s="1440"/>
      <c r="L2031" s="1440"/>
      <c r="M2031" s="1440"/>
      <c r="N2031" s="1440"/>
      <c r="O2031" s="1440"/>
      <c r="P2031" s="1497">
        <f t="shared" si="163"/>
        <v>0</v>
      </c>
      <c r="Q2031" s="1186">
        <f t="shared" si="164"/>
        <v>0</v>
      </c>
      <c r="R2031" s="1409"/>
      <c r="S2031" s="1440"/>
      <c r="T2031" s="1440"/>
      <c r="U2031" s="1440"/>
      <c r="V2031" s="1440"/>
      <c r="W2031" s="1440"/>
      <c r="X2031" s="1440">
        <v>55000</v>
      </c>
      <c r="Y2031" s="1440">
        <v>0</v>
      </c>
      <c r="Z2031" s="1440"/>
      <c r="AA2031" s="1440"/>
      <c r="AB2031" s="1440"/>
      <c r="AC2031" s="1440"/>
      <c r="AD2031" s="1186">
        <f t="shared" si="161"/>
        <v>55000</v>
      </c>
      <c r="AE2031" s="637">
        <f t="shared" si="162"/>
        <v>1</v>
      </c>
      <c r="AF2031" s="638">
        <f t="shared" si="160"/>
        <v>828</v>
      </c>
    </row>
    <row r="2032" spans="1:32" x14ac:dyDescent="0.3">
      <c r="A2032" s="1412" t="s">
        <v>759</v>
      </c>
      <c r="B2032" s="1407" t="s">
        <v>2967</v>
      </c>
      <c r="C2032" s="1028"/>
      <c r="D2032" s="1440"/>
      <c r="E2032" s="1440"/>
      <c r="F2032" s="1440"/>
      <c r="G2032" s="1440"/>
      <c r="H2032" s="1440"/>
      <c r="I2032" s="1440"/>
      <c r="J2032" s="1440"/>
      <c r="K2032" s="1440"/>
      <c r="L2032" s="1440"/>
      <c r="M2032" s="1440"/>
      <c r="N2032" s="1440"/>
      <c r="O2032" s="1440"/>
      <c r="P2032" s="1497">
        <f t="shared" si="163"/>
        <v>0</v>
      </c>
      <c r="Q2032" s="1186">
        <f t="shared" si="164"/>
        <v>0</v>
      </c>
      <c r="R2032" s="1409"/>
      <c r="S2032" s="1440"/>
      <c r="T2032" s="1440"/>
      <c r="U2032" s="1440"/>
      <c r="V2032" s="1440"/>
      <c r="W2032" s="1440"/>
      <c r="X2032" s="1440"/>
      <c r="Y2032" s="1440">
        <v>0</v>
      </c>
      <c r="Z2032" s="1440"/>
      <c r="AA2032" s="1440"/>
      <c r="AB2032" s="1440"/>
      <c r="AC2032" s="1440"/>
      <c r="AD2032" s="1186">
        <f t="shared" si="161"/>
        <v>0</v>
      </c>
      <c r="AE2032" s="637">
        <f t="shared" si="162"/>
        <v>0</v>
      </c>
      <c r="AF2032" s="638">
        <f t="shared" si="160"/>
        <v>983</v>
      </c>
    </row>
    <row r="2033" spans="1:32" x14ac:dyDescent="0.3">
      <c r="A2033" s="1412" t="s">
        <v>759</v>
      </c>
      <c r="B2033" s="1407" t="s">
        <v>2968</v>
      </c>
      <c r="C2033" s="1028"/>
      <c r="D2033" s="1440"/>
      <c r="E2033" s="1440"/>
      <c r="F2033" s="1440"/>
      <c r="G2033" s="1440"/>
      <c r="H2033" s="1440"/>
      <c r="I2033" s="1440"/>
      <c r="J2033" s="1440"/>
      <c r="K2033" s="1440"/>
      <c r="L2033" s="1440"/>
      <c r="M2033" s="1440"/>
      <c r="N2033" s="1440"/>
      <c r="O2033" s="1440"/>
      <c r="P2033" s="1497">
        <f t="shared" si="163"/>
        <v>0</v>
      </c>
      <c r="Q2033" s="1186">
        <f t="shared" si="164"/>
        <v>0</v>
      </c>
      <c r="R2033" s="1409"/>
      <c r="S2033" s="1440"/>
      <c r="T2033" s="1440"/>
      <c r="U2033" s="1440"/>
      <c r="V2033" s="1440"/>
      <c r="W2033" s="1440"/>
      <c r="X2033" s="1440">
        <v>32000</v>
      </c>
      <c r="Y2033" s="1440">
        <v>0</v>
      </c>
      <c r="Z2033" s="1440"/>
      <c r="AA2033" s="1440"/>
      <c r="AB2033" s="1440"/>
      <c r="AC2033" s="1440"/>
      <c r="AD2033" s="1186">
        <f t="shared" si="161"/>
        <v>32000</v>
      </c>
      <c r="AE2033" s="637">
        <f t="shared" si="162"/>
        <v>1</v>
      </c>
      <c r="AF2033" s="638">
        <f t="shared" si="160"/>
        <v>887</v>
      </c>
    </row>
    <row r="2034" spans="1:32" x14ac:dyDescent="0.3">
      <c r="A2034" s="1412" t="s">
        <v>759</v>
      </c>
      <c r="B2034" s="1407" t="s">
        <v>2969</v>
      </c>
      <c r="C2034" s="1028"/>
      <c r="D2034" s="1440"/>
      <c r="E2034" s="1440"/>
      <c r="F2034" s="1440"/>
      <c r="G2034" s="1440"/>
      <c r="H2034" s="1440"/>
      <c r="I2034" s="1440"/>
      <c r="J2034" s="1440"/>
      <c r="K2034" s="1440"/>
      <c r="L2034" s="1440"/>
      <c r="M2034" s="1440"/>
      <c r="N2034" s="1440"/>
      <c r="O2034" s="1440"/>
      <c r="P2034" s="1497">
        <f t="shared" si="163"/>
        <v>0</v>
      </c>
      <c r="Q2034" s="1186">
        <f t="shared" si="164"/>
        <v>0</v>
      </c>
      <c r="R2034" s="1409"/>
      <c r="S2034" s="1440"/>
      <c r="T2034" s="1440"/>
      <c r="U2034" s="1440"/>
      <c r="V2034" s="1440"/>
      <c r="W2034" s="1440"/>
      <c r="X2034" s="1440"/>
      <c r="Y2034" s="1440">
        <v>0</v>
      </c>
      <c r="Z2034" s="1440"/>
      <c r="AA2034" s="1440"/>
      <c r="AB2034" s="1440"/>
      <c r="AC2034" s="1440"/>
      <c r="AD2034" s="1186">
        <f t="shared" si="161"/>
        <v>0</v>
      </c>
      <c r="AE2034" s="637">
        <f t="shared" si="162"/>
        <v>0</v>
      </c>
      <c r="AF2034" s="638">
        <f t="shared" si="160"/>
        <v>983</v>
      </c>
    </row>
    <row r="2035" spans="1:32" x14ac:dyDescent="0.3">
      <c r="A2035" s="1412" t="s">
        <v>759</v>
      </c>
      <c r="B2035" s="1407" t="s">
        <v>2970</v>
      </c>
      <c r="C2035" s="1028"/>
      <c r="D2035" s="1440"/>
      <c r="E2035" s="1440"/>
      <c r="F2035" s="1440"/>
      <c r="G2035" s="1440"/>
      <c r="H2035" s="1440"/>
      <c r="I2035" s="1440"/>
      <c r="J2035" s="1440"/>
      <c r="K2035" s="1440"/>
      <c r="L2035" s="1440"/>
      <c r="M2035" s="1440"/>
      <c r="N2035" s="1440"/>
      <c r="O2035" s="1440"/>
      <c r="P2035" s="1497">
        <f t="shared" si="163"/>
        <v>0</v>
      </c>
      <c r="Q2035" s="1186">
        <f t="shared" si="164"/>
        <v>0</v>
      </c>
      <c r="R2035" s="1409"/>
      <c r="S2035" s="1440"/>
      <c r="T2035" s="1440"/>
      <c r="U2035" s="1440"/>
      <c r="V2035" s="1440"/>
      <c r="W2035" s="1440"/>
      <c r="X2035" s="1440"/>
      <c r="Y2035" s="1440">
        <v>0</v>
      </c>
      <c r="Z2035" s="1440"/>
      <c r="AA2035" s="1440"/>
      <c r="AB2035" s="1440"/>
      <c r="AC2035" s="1440"/>
      <c r="AD2035" s="1186">
        <f t="shared" si="161"/>
        <v>0</v>
      </c>
      <c r="AE2035" s="637">
        <f t="shared" si="162"/>
        <v>0</v>
      </c>
      <c r="AF2035" s="638">
        <f t="shared" si="160"/>
        <v>983</v>
      </c>
    </row>
    <row r="2036" spans="1:32" x14ac:dyDescent="0.3">
      <c r="A2036" s="1412" t="s">
        <v>759</v>
      </c>
      <c r="B2036" s="1407" t="s">
        <v>763</v>
      </c>
      <c r="C2036" s="1028"/>
      <c r="D2036" s="1440"/>
      <c r="E2036" s="1440"/>
      <c r="F2036" s="1440"/>
      <c r="G2036" s="1440"/>
      <c r="H2036" s="1440"/>
      <c r="I2036" s="1440"/>
      <c r="J2036" s="1440"/>
      <c r="K2036" s="1440"/>
      <c r="L2036" s="1440"/>
      <c r="M2036" s="1440"/>
      <c r="N2036" s="1440"/>
      <c r="O2036" s="1440"/>
      <c r="P2036" s="1497">
        <f t="shared" si="163"/>
        <v>0</v>
      </c>
      <c r="Q2036" s="1186">
        <f t="shared" si="164"/>
        <v>0</v>
      </c>
      <c r="R2036" s="1409"/>
      <c r="S2036" s="1440"/>
      <c r="T2036" s="1440"/>
      <c r="U2036" s="1440"/>
      <c r="V2036" s="1440"/>
      <c r="W2036" s="1440"/>
      <c r="X2036" s="1440">
        <v>10100</v>
      </c>
      <c r="Y2036" s="1440">
        <v>0</v>
      </c>
      <c r="Z2036" s="1440"/>
      <c r="AA2036" s="1440"/>
      <c r="AB2036" s="1440"/>
      <c r="AC2036" s="1440"/>
      <c r="AD2036" s="1186">
        <f t="shared" si="161"/>
        <v>10100</v>
      </c>
      <c r="AE2036" s="637">
        <f t="shared" si="162"/>
        <v>1</v>
      </c>
      <c r="AF2036" s="638">
        <f t="shared" si="160"/>
        <v>957</v>
      </c>
    </row>
    <row r="2037" spans="1:32" x14ac:dyDescent="0.3">
      <c r="A2037" s="1412" t="s">
        <v>759</v>
      </c>
      <c r="B2037" s="1407" t="s">
        <v>2994</v>
      </c>
      <c r="C2037" s="1028"/>
      <c r="D2037" s="1440"/>
      <c r="E2037" s="1440"/>
      <c r="F2037" s="1440"/>
      <c r="G2037" s="1440"/>
      <c r="H2037" s="1440"/>
      <c r="I2037" s="1440"/>
      <c r="J2037" s="1440"/>
      <c r="K2037" s="1440"/>
      <c r="L2037" s="1440"/>
      <c r="M2037" s="1440"/>
      <c r="N2037" s="1440"/>
      <c r="O2037" s="1440"/>
      <c r="P2037" s="1497">
        <f t="shared" si="163"/>
        <v>0</v>
      </c>
      <c r="Q2037" s="1186">
        <f t="shared" si="164"/>
        <v>0</v>
      </c>
      <c r="R2037" s="1409"/>
      <c r="S2037" s="1440"/>
      <c r="T2037" s="1440"/>
      <c r="U2037" s="1440"/>
      <c r="V2037" s="1440"/>
      <c r="W2037" s="1440"/>
      <c r="X2037" s="1440">
        <v>480000</v>
      </c>
      <c r="Y2037" s="1440">
        <v>0</v>
      </c>
      <c r="Z2037" s="1440"/>
      <c r="AA2037" s="1440"/>
      <c r="AB2037" s="1440"/>
      <c r="AC2037" s="1440"/>
      <c r="AD2037" s="1186">
        <f t="shared" si="161"/>
        <v>480000</v>
      </c>
      <c r="AE2037" s="637">
        <f t="shared" si="162"/>
        <v>1</v>
      </c>
      <c r="AF2037" s="638">
        <f t="shared" si="160"/>
        <v>450</v>
      </c>
    </row>
    <row r="2038" spans="1:32" x14ac:dyDescent="0.3">
      <c r="A2038" s="1412" t="s">
        <v>759</v>
      </c>
      <c r="B2038" s="1407" t="s">
        <v>2995</v>
      </c>
      <c r="C2038" s="1028"/>
      <c r="D2038" s="1440"/>
      <c r="E2038" s="1440"/>
      <c r="F2038" s="1440"/>
      <c r="G2038" s="1440"/>
      <c r="H2038" s="1440"/>
      <c r="I2038" s="1440"/>
      <c r="J2038" s="1440"/>
      <c r="K2038" s="1440"/>
      <c r="L2038" s="1440"/>
      <c r="M2038" s="1440"/>
      <c r="N2038" s="1440"/>
      <c r="O2038" s="1440"/>
      <c r="P2038" s="1497">
        <f t="shared" si="163"/>
        <v>0</v>
      </c>
      <c r="Q2038" s="1186">
        <f t="shared" si="164"/>
        <v>0</v>
      </c>
      <c r="R2038" s="1409"/>
      <c r="S2038" s="1440"/>
      <c r="T2038" s="1440"/>
      <c r="U2038" s="1440"/>
      <c r="V2038" s="1440"/>
      <c r="W2038" s="1440"/>
      <c r="X2038" s="1440">
        <v>216000</v>
      </c>
      <c r="Y2038" s="1440">
        <v>19000</v>
      </c>
      <c r="Z2038" s="1440"/>
      <c r="AA2038" s="1440"/>
      <c r="AB2038" s="1440"/>
      <c r="AC2038" s="1440"/>
      <c r="AD2038" s="1186">
        <f t="shared" si="161"/>
        <v>235000</v>
      </c>
      <c r="AE2038" s="637">
        <f t="shared" si="162"/>
        <v>1</v>
      </c>
      <c r="AF2038" s="638">
        <f t="shared" si="160"/>
        <v>580</v>
      </c>
    </row>
    <row r="2039" spans="1:32" x14ac:dyDescent="0.3">
      <c r="A2039" s="1412" t="s">
        <v>759</v>
      </c>
      <c r="B2039" s="1407" t="s">
        <v>2996</v>
      </c>
      <c r="C2039" s="1028"/>
      <c r="D2039" s="1440"/>
      <c r="E2039" s="1440"/>
      <c r="F2039" s="1440"/>
      <c r="G2039" s="1440"/>
      <c r="H2039" s="1440"/>
      <c r="I2039" s="1440"/>
      <c r="J2039" s="1440"/>
      <c r="K2039" s="1440"/>
      <c r="L2039" s="1440"/>
      <c r="M2039" s="1440"/>
      <c r="N2039" s="1440"/>
      <c r="O2039" s="1440"/>
      <c r="P2039" s="1497">
        <f t="shared" si="163"/>
        <v>0</v>
      </c>
      <c r="Q2039" s="1186">
        <f t="shared" si="164"/>
        <v>0</v>
      </c>
      <c r="R2039" s="1409"/>
      <c r="S2039" s="1440"/>
      <c r="T2039" s="1440"/>
      <c r="U2039" s="1440"/>
      <c r="V2039" s="1440"/>
      <c r="W2039" s="1440"/>
      <c r="X2039" s="1440">
        <v>180000</v>
      </c>
      <c r="Y2039" s="1440">
        <v>0</v>
      </c>
      <c r="Z2039" s="1440"/>
      <c r="AA2039" s="1440"/>
      <c r="AB2039" s="1440"/>
      <c r="AC2039" s="1440"/>
      <c r="AD2039" s="1186">
        <f t="shared" si="161"/>
        <v>180000</v>
      </c>
      <c r="AE2039" s="637">
        <f t="shared" si="162"/>
        <v>1</v>
      </c>
      <c r="AF2039" s="638">
        <f t="shared" si="160"/>
        <v>634</v>
      </c>
    </row>
    <row r="2040" spans="1:32" x14ac:dyDescent="0.3">
      <c r="A2040" s="1412" t="s">
        <v>759</v>
      </c>
      <c r="B2040" s="1407" t="s">
        <v>2997</v>
      </c>
      <c r="C2040" s="1028"/>
      <c r="D2040" s="1440"/>
      <c r="E2040" s="1440"/>
      <c r="F2040" s="1440"/>
      <c r="G2040" s="1440"/>
      <c r="H2040" s="1440"/>
      <c r="I2040" s="1440"/>
      <c r="J2040" s="1440"/>
      <c r="K2040" s="1440"/>
      <c r="L2040" s="1440"/>
      <c r="M2040" s="1440"/>
      <c r="N2040" s="1440"/>
      <c r="O2040" s="1440"/>
      <c r="P2040" s="1497">
        <f t="shared" si="163"/>
        <v>0</v>
      </c>
      <c r="Q2040" s="1186">
        <f t="shared" si="164"/>
        <v>0</v>
      </c>
      <c r="R2040" s="1409"/>
      <c r="S2040" s="1440"/>
      <c r="T2040" s="1440"/>
      <c r="U2040" s="1440"/>
      <c r="V2040" s="1440"/>
      <c r="W2040" s="1440"/>
      <c r="X2040" s="1440">
        <v>160000</v>
      </c>
      <c r="Y2040" s="1440"/>
      <c r="Z2040" s="1440"/>
      <c r="AA2040" s="1440"/>
      <c r="AB2040" s="1440"/>
      <c r="AC2040" s="1440"/>
      <c r="AD2040" s="1186">
        <f t="shared" si="161"/>
        <v>160000</v>
      </c>
      <c r="AE2040" s="637">
        <f t="shared" si="162"/>
        <v>1</v>
      </c>
      <c r="AF2040" s="638">
        <f t="shared" si="160"/>
        <v>660</v>
      </c>
    </row>
    <row r="2041" spans="1:32" x14ac:dyDescent="0.3">
      <c r="A2041" s="1412" t="s">
        <v>759</v>
      </c>
      <c r="B2041" s="1407" t="s">
        <v>2998</v>
      </c>
      <c r="C2041" s="1028"/>
      <c r="D2041" s="1440"/>
      <c r="E2041" s="1440"/>
      <c r="F2041" s="1440"/>
      <c r="G2041" s="1440"/>
      <c r="H2041" s="1440"/>
      <c r="I2041" s="1440"/>
      <c r="J2041" s="1440"/>
      <c r="K2041" s="1440"/>
      <c r="L2041" s="1440"/>
      <c r="M2041" s="1440"/>
      <c r="N2041" s="1440"/>
      <c r="O2041" s="1440"/>
      <c r="P2041" s="1497">
        <f t="shared" si="163"/>
        <v>0</v>
      </c>
      <c r="Q2041" s="1186">
        <f t="shared" si="164"/>
        <v>0</v>
      </c>
      <c r="R2041" s="1409"/>
      <c r="S2041" s="1440"/>
      <c r="T2041" s="1440"/>
      <c r="U2041" s="1440"/>
      <c r="V2041" s="1440"/>
      <c r="W2041" s="1440"/>
      <c r="X2041" s="1440">
        <v>55000</v>
      </c>
      <c r="Y2041" s="1440">
        <v>0</v>
      </c>
      <c r="Z2041" s="1440"/>
      <c r="AA2041" s="1440"/>
      <c r="AB2041" s="1440"/>
      <c r="AC2041" s="1440"/>
      <c r="AD2041" s="1186">
        <f t="shared" si="161"/>
        <v>55000</v>
      </c>
      <c r="AE2041" s="637">
        <f t="shared" si="162"/>
        <v>1</v>
      </c>
      <c r="AF2041" s="638">
        <f t="shared" si="160"/>
        <v>828</v>
      </c>
    </row>
    <row r="2042" spans="1:32" x14ac:dyDescent="0.3">
      <c r="A2042" s="1412" t="s">
        <v>759</v>
      </c>
      <c r="B2042" s="1407" t="s">
        <v>2156</v>
      </c>
      <c r="C2042" s="1028"/>
      <c r="D2042" s="1440"/>
      <c r="E2042" s="1440"/>
      <c r="F2042" s="1440"/>
      <c r="G2042" s="1440"/>
      <c r="H2042" s="1440"/>
      <c r="I2042" s="1440"/>
      <c r="J2042" s="1440"/>
      <c r="K2042" s="1440"/>
      <c r="L2042" s="1440"/>
      <c r="M2042" s="1440"/>
      <c r="N2042" s="1440"/>
      <c r="O2042" s="1440"/>
      <c r="P2042" s="1497">
        <f t="shared" si="163"/>
        <v>0</v>
      </c>
      <c r="Q2042" s="1186">
        <f t="shared" si="164"/>
        <v>0</v>
      </c>
      <c r="R2042" s="1409"/>
      <c r="S2042" s="1440"/>
      <c r="T2042" s="1440"/>
      <c r="U2042" s="1440"/>
      <c r="V2042" s="1440"/>
      <c r="W2042" s="1440"/>
      <c r="X2042" s="1440">
        <v>31170</v>
      </c>
      <c r="Y2042" s="1440"/>
      <c r="Z2042" s="1440"/>
      <c r="AA2042" s="1440"/>
      <c r="AB2042" s="1440"/>
      <c r="AC2042" s="1440"/>
      <c r="AD2042" s="1186">
        <f t="shared" si="161"/>
        <v>31170</v>
      </c>
      <c r="AE2042" s="637">
        <f t="shared" si="162"/>
        <v>1</v>
      </c>
      <c r="AF2042" s="638">
        <f t="shared" si="160"/>
        <v>890</v>
      </c>
    </row>
    <row r="2043" spans="1:32" x14ac:dyDescent="0.3">
      <c r="A2043" s="1412" t="s">
        <v>759</v>
      </c>
      <c r="B2043" s="1407" t="s">
        <v>1110</v>
      </c>
      <c r="C2043" s="1028"/>
      <c r="D2043" s="1440"/>
      <c r="E2043" s="1440"/>
      <c r="F2043" s="1440"/>
      <c r="G2043" s="1440"/>
      <c r="H2043" s="1440"/>
      <c r="I2043" s="1440"/>
      <c r="J2043" s="1440"/>
      <c r="K2043" s="1440"/>
      <c r="L2043" s="1440"/>
      <c r="M2043" s="1440"/>
      <c r="N2043" s="1440"/>
      <c r="O2043" s="1440"/>
      <c r="P2043" s="1497">
        <f t="shared" si="163"/>
        <v>0</v>
      </c>
      <c r="Q2043" s="1186">
        <f t="shared" si="164"/>
        <v>0</v>
      </c>
      <c r="R2043" s="1409"/>
      <c r="S2043" s="1440"/>
      <c r="T2043" s="1440"/>
      <c r="U2043" s="1440"/>
      <c r="V2043" s="1440"/>
      <c r="W2043" s="1440"/>
      <c r="X2043" s="1440">
        <v>37000</v>
      </c>
      <c r="Y2043" s="1440"/>
      <c r="Z2043" s="1440"/>
      <c r="AA2043" s="1440"/>
      <c r="AB2043" s="1440"/>
      <c r="AC2043" s="1440"/>
      <c r="AD2043" s="1186">
        <f t="shared" si="161"/>
        <v>37000</v>
      </c>
      <c r="AE2043" s="637">
        <f t="shared" si="162"/>
        <v>1</v>
      </c>
      <c r="AF2043" s="638">
        <f t="shared" si="160"/>
        <v>876</v>
      </c>
    </row>
    <row r="2044" spans="1:32" x14ac:dyDescent="0.3">
      <c r="A2044" s="1412" t="s">
        <v>759</v>
      </c>
      <c r="B2044" s="1407" t="s">
        <v>1014</v>
      </c>
      <c r="C2044" s="1028"/>
      <c r="D2044" s="1440"/>
      <c r="E2044" s="1440"/>
      <c r="F2044" s="1440"/>
      <c r="G2044" s="1440"/>
      <c r="H2044" s="1440"/>
      <c r="I2044" s="1440"/>
      <c r="J2044" s="1440"/>
      <c r="K2044" s="1440"/>
      <c r="L2044" s="1440"/>
      <c r="M2044" s="1440"/>
      <c r="N2044" s="1440"/>
      <c r="O2044" s="1440"/>
      <c r="P2044" s="1497">
        <f t="shared" si="163"/>
        <v>0</v>
      </c>
      <c r="Q2044" s="1186">
        <f t="shared" si="164"/>
        <v>0</v>
      </c>
      <c r="R2044" s="1409"/>
      <c r="S2044" s="1440"/>
      <c r="T2044" s="1440"/>
      <c r="U2044" s="1440"/>
      <c r="V2044" s="1440"/>
      <c r="W2044" s="1440"/>
      <c r="X2044" s="1440">
        <v>976500</v>
      </c>
      <c r="Y2044" s="1440"/>
      <c r="Z2044" s="1440"/>
      <c r="AA2044" s="1440"/>
      <c r="AB2044" s="1440"/>
      <c r="AC2044" s="1440"/>
      <c r="AD2044" s="1186">
        <f t="shared" si="161"/>
        <v>976500</v>
      </c>
      <c r="AE2044" s="637">
        <f t="shared" si="162"/>
        <v>1</v>
      </c>
      <c r="AF2044" s="638">
        <f t="shared" si="160"/>
        <v>325</v>
      </c>
    </row>
    <row r="2045" spans="1:32" x14ac:dyDescent="0.3">
      <c r="A2045" s="1412" t="s">
        <v>759</v>
      </c>
      <c r="B2045" s="1407" t="s">
        <v>2999</v>
      </c>
      <c r="C2045" s="1028"/>
      <c r="D2045" s="1440"/>
      <c r="E2045" s="1440"/>
      <c r="F2045" s="1440"/>
      <c r="G2045" s="1440"/>
      <c r="H2045" s="1440"/>
      <c r="I2045" s="1440"/>
      <c r="J2045" s="1440"/>
      <c r="K2045" s="1440"/>
      <c r="L2045" s="1440"/>
      <c r="M2045" s="1440"/>
      <c r="N2045" s="1440"/>
      <c r="O2045" s="1440"/>
      <c r="P2045" s="1497">
        <f t="shared" si="163"/>
        <v>0</v>
      </c>
      <c r="Q2045" s="1186">
        <f t="shared" si="164"/>
        <v>0</v>
      </c>
      <c r="R2045" s="1409"/>
      <c r="S2045" s="1440"/>
      <c r="T2045" s="1440"/>
      <c r="U2045" s="1440"/>
      <c r="V2045" s="1440"/>
      <c r="W2045" s="1440"/>
      <c r="X2045" s="1440">
        <v>228000</v>
      </c>
      <c r="Y2045" s="1440">
        <v>0</v>
      </c>
      <c r="Z2045" s="1440"/>
      <c r="AA2045" s="1440"/>
      <c r="AB2045" s="1440"/>
      <c r="AC2045" s="1440"/>
      <c r="AD2045" s="1186">
        <f t="shared" si="161"/>
        <v>228000</v>
      </c>
      <c r="AE2045" s="637">
        <f t="shared" si="162"/>
        <v>1</v>
      </c>
      <c r="AF2045" s="638">
        <f t="shared" si="160"/>
        <v>584</v>
      </c>
    </row>
    <row r="2046" spans="1:32" x14ac:dyDescent="0.3">
      <c r="A2046" s="1412" t="s">
        <v>759</v>
      </c>
      <c r="B2046" s="1407" t="s">
        <v>3000</v>
      </c>
      <c r="C2046" s="1028"/>
      <c r="D2046" s="1440"/>
      <c r="E2046" s="1440"/>
      <c r="F2046" s="1440"/>
      <c r="G2046" s="1440"/>
      <c r="H2046" s="1440"/>
      <c r="I2046" s="1440"/>
      <c r="J2046" s="1440"/>
      <c r="K2046" s="1440"/>
      <c r="L2046" s="1440"/>
      <c r="M2046" s="1440"/>
      <c r="N2046" s="1440"/>
      <c r="O2046" s="1440"/>
      <c r="P2046" s="1497">
        <f t="shared" si="163"/>
        <v>0</v>
      </c>
      <c r="Q2046" s="1186">
        <f t="shared" si="164"/>
        <v>0</v>
      </c>
      <c r="R2046" s="1409"/>
      <c r="S2046" s="1440"/>
      <c r="T2046" s="1440"/>
      <c r="U2046" s="1440"/>
      <c r="V2046" s="1440"/>
      <c r="W2046" s="1440"/>
      <c r="X2046" s="1440">
        <v>131750</v>
      </c>
      <c r="Y2046" s="1440">
        <v>0</v>
      </c>
      <c r="Z2046" s="1440"/>
      <c r="AA2046" s="1440"/>
      <c r="AB2046" s="1440"/>
      <c r="AC2046" s="1440"/>
      <c r="AD2046" s="1186">
        <f t="shared" si="161"/>
        <v>131750</v>
      </c>
      <c r="AE2046" s="637">
        <f t="shared" si="162"/>
        <v>1</v>
      </c>
      <c r="AF2046" s="638">
        <f t="shared" si="160"/>
        <v>697</v>
      </c>
    </row>
    <row r="2047" spans="1:32" x14ac:dyDescent="0.3">
      <c r="A2047" s="1412" t="s">
        <v>759</v>
      </c>
      <c r="B2047" s="1407" t="s">
        <v>3001</v>
      </c>
      <c r="C2047" s="1028"/>
      <c r="D2047" s="1440"/>
      <c r="E2047" s="1440"/>
      <c r="F2047" s="1440"/>
      <c r="G2047" s="1440"/>
      <c r="H2047" s="1440"/>
      <c r="I2047" s="1440"/>
      <c r="J2047" s="1440"/>
      <c r="K2047" s="1440"/>
      <c r="L2047" s="1440"/>
      <c r="M2047" s="1440"/>
      <c r="N2047" s="1440"/>
      <c r="O2047" s="1440"/>
      <c r="P2047" s="1497">
        <f t="shared" si="163"/>
        <v>0</v>
      </c>
      <c r="Q2047" s="1186">
        <f t="shared" si="164"/>
        <v>0</v>
      </c>
      <c r="R2047" s="1409"/>
      <c r="S2047" s="1440"/>
      <c r="T2047" s="1440"/>
      <c r="U2047" s="1440"/>
      <c r="V2047" s="1440"/>
      <c r="W2047" s="1440"/>
      <c r="X2047" s="1440">
        <v>122500</v>
      </c>
      <c r="Y2047" s="1440">
        <v>0</v>
      </c>
      <c r="Z2047" s="1440"/>
      <c r="AA2047" s="1440"/>
      <c r="AB2047" s="1440"/>
      <c r="AC2047" s="1440"/>
      <c r="AD2047" s="1186">
        <f t="shared" si="161"/>
        <v>122500</v>
      </c>
      <c r="AE2047" s="637">
        <f t="shared" si="162"/>
        <v>1</v>
      </c>
      <c r="AF2047" s="638">
        <f t="shared" si="160"/>
        <v>710</v>
      </c>
    </row>
    <row r="2048" spans="1:32" x14ac:dyDescent="0.3">
      <c r="A2048" s="1412" t="s">
        <v>759</v>
      </c>
      <c r="B2048" s="1407" t="s">
        <v>2967</v>
      </c>
      <c r="C2048" s="1028"/>
      <c r="D2048" s="1440"/>
      <c r="E2048" s="1440"/>
      <c r="F2048" s="1440"/>
      <c r="G2048" s="1440"/>
      <c r="H2048" s="1440"/>
      <c r="I2048" s="1440"/>
      <c r="J2048" s="1440"/>
      <c r="K2048" s="1440"/>
      <c r="L2048" s="1440"/>
      <c r="M2048" s="1440"/>
      <c r="N2048" s="1440"/>
      <c r="O2048" s="1440"/>
      <c r="P2048" s="1497">
        <f t="shared" si="163"/>
        <v>0</v>
      </c>
      <c r="Q2048" s="1186">
        <f t="shared" si="164"/>
        <v>0</v>
      </c>
      <c r="R2048" s="1409"/>
      <c r="S2048" s="1440"/>
      <c r="T2048" s="1440"/>
      <c r="U2048" s="1440"/>
      <c r="V2048" s="1440"/>
      <c r="W2048" s="1440"/>
      <c r="X2048" s="1440">
        <v>67000</v>
      </c>
      <c r="Y2048" s="1440"/>
      <c r="Z2048" s="1440"/>
      <c r="AA2048" s="1440"/>
      <c r="AB2048" s="1440"/>
      <c r="AC2048" s="1440"/>
      <c r="AD2048" s="1186">
        <f t="shared" si="161"/>
        <v>67000</v>
      </c>
      <c r="AE2048" s="637">
        <f t="shared" si="162"/>
        <v>1</v>
      </c>
      <c r="AF2048" s="638">
        <f t="shared" si="160"/>
        <v>805</v>
      </c>
    </row>
    <row r="2049" spans="1:32" x14ac:dyDescent="0.3">
      <c r="A2049" s="1412" t="s">
        <v>759</v>
      </c>
      <c r="B2049" s="1407" t="s">
        <v>2970</v>
      </c>
      <c r="C2049" s="1028"/>
      <c r="D2049" s="1440"/>
      <c r="E2049" s="1440"/>
      <c r="F2049" s="1440"/>
      <c r="G2049" s="1440"/>
      <c r="H2049" s="1440"/>
      <c r="I2049" s="1440"/>
      <c r="J2049" s="1440"/>
      <c r="K2049" s="1440"/>
      <c r="L2049" s="1440"/>
      <c r="M2049" s="1440"/>
      <c r="N2049" s="1440"/>
      <c r="O2049" s="1440"/>
      <c r="P2049" s="1497">
        <f t="shared" si="163"/>
        <v>0</v>
      </c>
      <c r="Q2049" s="1186">
        <f t="shared" si="164"/>
        <v>0</v>
      </c>
      <c r="R2049" s="1409"/>
      <c r="S2049" s="1440"/>
      <c r="T2049" s="1440"/>
      <c r="U2049" s="1440"/>
      <c r="V2049" s="1440"/>
      <c r="W2049" s="1440"/>
      <c r="X2049" s="1440">
        <v>26000</v>
      </c>
      <c r="Y2049" s="1440"/>
      <c r="Z2049" s="1440"/>
      <c r="AA2049" s="1440"/>
      <c r="AB2049" s="1440"/>
      <c r="AC2049" s="1440"/>
      <c r="AD2049" s="1186">
        <f t="shared" si="161"/>
        <v>26000</v>
      </c>
      <c r="AE2049" s="637">
        <f t="shared" si="162"/>
        <v>1</v>
      </c>
      <c r="AF2049" s="638">
        <f t="shared" si="160"/>
        <v>904</v>
      </c>
    </row>
    <row r="2050" spans="1:32" x14ac:dyDescent="0.3">
      <c r="A2050" s="1412" t="s">
        <v>759</v>
      </c>
      <c r="B2050" s="1407" t="s">
        <v>3002</v>
      </c>
      <c r="C2050" s="1028"/>
      <c r="D2050" s="1440"/>
      <c r="E2050" s="1440"/>
      <c r="F2050" s="1440"/>
      <c r="G2050" s="1440"/>
      <c r="H2050" s="1440"/>
      <c r="I2050" s="1440"/>
      <c r="J2050" s="1440"/>
      <c r="K2050" s="1440"/>
      <c r="L2050" s="1440"/>
      <c r="M2050" s="1440"/>
      <c r="N2050" s="1440"/>
      <c r="O2050" s="1440"/>
      <c r="P2050" s="1497">
        <f t="shared" si="163"/>
        <v>0</v>
      </c>
      <c r="Q2050" s="1186">
        <f t="shared" si="164"/>
        <v>0</v>
      </c>
      <c r="R2050" s="1409"/>
      <c r="S2050" s="1440"/>
      <c r="T2050" s="1440"/>
      <c r="U2050" s="1440"/>
      <c r="V2050" s="1440"/>
      <c r="W2050" s="1440"/>
      <c r="X2050" s="1440">
        <v>24000</v>
      </c>
      <c r="Y2050" s="1440">
        <v>0</v>
      </c>
      <c r="Z2050" s="1440"/>
      <c r="AA2050" s="1440"/>
      <c r="AB2050" s="1440"/>
      <c r="AC2050" s="1440"/>
      <c r="AD2050" s="1186">
        <f t="shared" si="161"/>
        <v>24000</v>
      </c>
      <c r="AE2050" s="637">
        <f t="shared" si="162"/>
        <v>1</v>
      </c>
      <c r="AF2050" s="638">
        <f t="shared" si="160"/>
        <v>910</v>
      </c>
    </row>
    <row r="2051" spans="1:32" x14ac:dyDescent="0.3">
      <c r="A2051" s="1412" t="s">
        <v>759</v>
      </c>
      <c r="B2051" s="1407" t="s">
        <v>2969</v>
      </c>
      <c r="C2051" s="1028"/>
      <c r="D2051" s="1440"/>
      <c r="E2051" s="1440"/>
      <c r="F2051" s="1440"/>
      <c r="G2051" s="1440"/>
      <c r="H2051" s="1440"/>
      <c r="I2051" s="1440"/>
      <c r="J2051" s="1440"/>
      <c r="K2051" s="1440"/>
      <c r="L2051" s="1440"/>
      <c r="M2051" s="1440"/>
      <c r="N2051" s="1440"/>
      <c r="O2051" s="1440"/>
      <c r="P2051" s="1497">
        <f t="shared" si="163"/>
        <v>0</v>
      </c>
      <c r="Q2051" s="1186">
        <f t="shared" si="164"/>
        <v>0</v>
      </c>
      <c r="R2051" s="1409"/>
      <c r="S2051" s="1440"/>
      <c r="T2051" s="1440"/>
      <c r="U2051" s="1440"/>
      <c r="V2051" s="1440"/>
      <c r="W2051" s="1440"/>
      <c r="X2051" s="1440">
        <v>14000</v>
      </c>
      <c r="Y2051" s="1440"/>
      <c r="Z2051" s="1440"/>
      <c r="AA2051" s="1440"/>
      <c r="AB2051" s="1440"/>
      <c r="AC2051" s="1440"/>
      <c r="AD2051" s="1186">
        <f t="shared" si="161"/>
        <v>14000</v>
      </c>
      <c r="AE2051" s="637">
        <f t="shared" si="162"/>
        <v>1</v>
      </c>
      <c r="AF2051" s="638">
        <f t="shared" si="160"/>
        <v>944</v>
      </c>
    </row>
    <row r="2052" spans="1:32" x14ac:dyDescent="0.3">
      <c r="A2052" s="1412" t="s">
        <v>759</v>
      </c>
      <c r="B2052" s="1407" t="s">
        <v>1188</v>
      </c>
      <c r="C2052" s="1028"/>
      <c r="D2052" s="1440"/>
      <c r="E2052" s="1440"/>
      <c r="F2052" s="1440"/>
      <c r="G2052" s="1440"/>
      <c r="H2052" s="1440"/>
      <c r="I2052" s="1440"/>
      <c r="J2052" s="1440"/>
      <c r="K2052" s="1440"/>
      <c r="L2052" s="1440"/>
      <c r="M2052" s="1440"/>
      <c r="N2052" s="1440"/>
      <c r="O2052" s="1440"/>
      <c r="P2052" s="1497">
        <f t="shared" si="163"/>
        <v>0</v>
      </c>
      <c r="Q2052" s="1186">
        <f t="shared" si="164"/>
        <v>0</v>
      </c>
      <c r="R2052" s="1409"/>
      <c r="S2052" s="1440"/>
      <c r="T2052" s="1440"/>
      <c r="U2052" s="1440"/>
      <c r="V2052" s="1440"/>
      <c r="W2052" s="1440"/>
      <c r="X2052" s="1440"/>
      <c r="Y2052" s="1440">
        <v>768340</v>
      </c>
      <c r="Z2052" s="1440"/>
      <c r="AA2052" s="1440"/>
      <c r="AB2052" s="1440"/>
      <c r="AC2052" s="1440"/>
      <c r="AD2052" s="1186">
        <f t="shared" si="161"/>
        <v>768340</v>
      </c>
      <c r="AE2052" s="637">
        <f t="shared" si="162"/>
        <v>1</v>
      </c>
      <c r="AF2052" s="638">
        <f t="shared" si="160"/>
        <v>362</v>
      </c>
    </row>
    <row r="2053" spans="1:32" x14ac:dyDescent="0.3">
      <c r="A2053" s="1412" t="s">
        <v>759</v>
      </c>
      <c r="B2053" s="1407" t="s">
        <v>641</v>
      </c>
      <c r="C2053" s="1028"/>
      <c r="D2053" s="1440"/>
      <c r="E2053" s="1440"/>
      <c r="F2053" s="1440"/>
      <c r="G2053" s="1440"/>
      <c r="H2053" s="1440"/>
      <c r="I2053" s="1440"/>
      <c r="J2053" s="1440"/>
      <c r="K2053" s="1440"/>
      <c r="L2053" s="1440"/>
      <c r="M2053" s="1440"/>
      <c r="N2053" s="1440"/>
      <c r="O2053" s="1440"/>
      <c r="P2053" s="1497">
        <f t="shared" si="163"/>
        <v>0</v>
      </c>
      <c r="Q2053" s="1186">
        <f t="shared" si="164"/>
        <v>0</v>
      </c>
      <c r="R2053" s="1409"/>
      <c r="S2053" s="1440"/>
      <c r="T2053" s="1440"/>
      <c r="U2053" s="1440"/>
      <c r="V2053" s="1440"/>
      <c r="W2053" s="1440"/>
      <c r="X2053" s="1440"/>
      <c r="Y2053" s="1440">
        <v>10000</v>
      </c>
      <c r="Z2053" s="1440"/>
      <c r="AA2053" s="1440"/>
      <c r="AB2053" s="1440"/>
      <c r="AC2053" s="1440"/>
      <c r="AD2053" s="1186">
        <f t="shared" si="161"/>
        <v>10000</v>
      </c>
      <c r="AE2053" s="637">
        <f t="shared" si="162"/>
        <v>1</v>
      </c>
      <c r="AF2053" s="638">
        <f t="shared" si="160"/>
        <v>958</v>
      </c>
    </row>
    <row r="2054" spans="1:32" x14ac:dyDescent="0.3">
      <c r="A2054" s="1412" t="s">
        <v>759</v>
      </c>
      <c r="B2054" s="1407" t="s">
        <v>740</v>
      </c>
      <c r="C2054" s="1028"/>
      <c r="D2054" s="1440"/>
      <c r="E2054" s="1440"/>
      <c r="F2054" s="1440"/>
      <c r="G2054" s="1440"/>
      <c r="H2054" s="1440"/>
      <c r="I2054" s="1440"/>
      <c r="J2054" s="1440"/>
      <c r="K2054" s="1440"/>
      <c r="L2054" s="1440"/>
      <c r="M2054" s="1440"/>
      <c r="N2054" s="1440"/>
      <c r="O2054" s="1440"/>
      <c r="P2054" s="1497">
        <f t="shared" si="163"/>
        <v>0</v>
      </c>
      <c r="Q2054" s="1186">
        <f t="shared" si="164"/>
        <v>0</v>
      </c>
      <c r="R2054" s="1409"/>
      <c r="S2054" s="1440"/>
      <c r="T2054" s="1440"/>
      <c r="U2054" s="1440"/>
      <c r="V2054" s="1440"/>
      <c r="W2054" s="1440"/>
      <c r="X2054" s="1440"/>
      <c r="Y2054" s="1440">
        <v>53000</v>
      </c>
      <c r="Z2054" s="1440"/>
      <c r="AA2054" s="1440"/>
      <c r="AB2054" s="1440"/>
      <c r="AC2054" s="1440"/>
      <c r="AD2054" s="1186">
        <f t="shared" si="161"/>
        <v>53000</v>
      </c>
      <c r="AE2054" s="637">
        <f t="shared" si="162"/>
        <v>1</v>
      </c>
      <c r="AF2054" s="638">
        <f t="shared" si="160"/>
        <v>839</v>
      </c>
    </row>
    <row r="2055" spans="1:32" x14ac:dyDescent="0.3">
      <c r="A2055" s="1412" t="s">
        <v>759</v>
      </c>
      <c r="B2055" s="1407" t="s">
        <v>3029</v>
      </c>
      <c r="C2055" s="1028"/>
      <c r="D2055" s="1440"/>
      <c r="E2055" s="1440"/>
      <c r="F2055" s="1440"/>
      <c r="G2055" s="1440"/>
      <c r="H2055" s="1440"/>
      <c r="I2055" s="1440"/>
      <c r="J2055" s="1440"/>
      <c r="K2055" s="1440"/>
      <c r="L2055" s="1440"/>
      <c r="M2055" s="1440"/>
      <c r="N2055" s="1440"/>
      <c r="O2055" s="1440"/>
      <c r="P2055" s="1497">
        <f t="shared" si="163"/>
        <v>0</v>
      </c>
      <c r="Q2055" s="1186">
        <f t="shared" si="164"/>
        <v>0</v>
      </c>
      <c r="R2055" s="1409"/>
      <c r="S2055" s="1440"/>
      <c r="T2055" s="1440"/>
      <c r="U2055" s="1440"/>
      <c r="V2055" s="1440"/>
      <c r="W2055" s="1440"/>
      <c r="X2055" s="1440"/>
      <c r="Y2055" s="1440">
        <v>257000</v>
      </c>
      <c r="Z2055" s="1440"/>
      <c r="AA2055" s="1440"/>
      <c r="AB2055" s="1440"/>
      <c r="AC2055" s="1440"/>
      <c r="AD2055" s="1186">
        <f t="shared" si="161"/>
        <v>257000</v>
      </c>
      <c r="AE2055" s="637">
        <f t="shared" si="162"/>
        <v>1</v>
      </c>
      <c r="AF2055" s="638">
        <f t="shared" ref="AF2055:AF2064" si="165">IFERROR(_xlfn.RANK.EQ(AD2055, $AD$2:$AD$2064), "")</f>
        <v>560</v>
      </c>
    </row>
    <row r="2056" spans="1:32" x14ac:dyDescent="0.3">
      <c r="A2056" s="1412" t="s">
        <v>759</v>
      </c>
      <c r="B2056" s="1407" t="s">
        <v>676</v>
      </c>
      <c r="C2056" s="1028"/>
      <c r="D2056" s="1440"/>
      <c r="E2056" s="1440"/>
      <c r="F2056" s="1440"/>
      <c r="G2056" s="1440"/>
      <c r="H2056" s="1440"/>
      <c r="I2056" s="1440"/>
      <c r="J2056" s="1440"/>
      <c r="K2056" s="1440"/>
      <c r="L2056" s="1440"/>
      <c r="M2056" s="1440"/>
      <c r="N2056" s="1440"/>
      <c r="O2056" s="1440"/>
      <c r="P2056" s="1497">
        <f t="shared" si="163"/>
        <v>0</v>
      </c>
      <c r="Q2056" s="1186">
        <f t="shared" si="164"/>
        <v>0</v>
      </c>
      <c r="R2056" s="1409"/>
      <c r="S2056" s="1440"/>
      <c r="T2056" s="1440"/>
      <c r="U2056" s="1440"/>
      <c r="V2056" s="1440"/>
      <c r="W2056" s="1440"/>
      <c r="X2056" s="1440"/>
      <c r="Y2056" s="1440">
        <v>183200</v>
      </c>
      <c r="Z2056" s="1440"/>
      <c r="AA2056" s="1440"/>
      <c r="AB2056" s="1440"/>
      <c r="AC2056" s="1440"/>
      <c r="AD2056" s="1186">
        <f t="shared" si="161"/>
        <v>183200</v>
      </c>
      <c r="AE2056" s="637">
        <f t="shared" si="162"/>
        <v>1</v>
      </c>
      <c r="AF2056" s="638">
        <f t="shared" si="165"/>
        <v>630</v>
      </c>
    </row>
    <row r="2057" spans="1:32" x14ac:dyDescent="0.3">
      <c r="A2057" s="1412" t="s">
        <v>759</v>
      </c>
      <c r="B2057" s="1407" t="s">
        <v>3030</v>
      </c>
      <c r="C2057" s="1028"/>
      <c r="D2057" s="1440"/>
      <c r="E2057" s="1440"/>
      <c r="F2057" s="1440"/>
      <c r="G2057" s="1440"/>
      <c r="H2057" s="1440"/>
      <c r="I2057" s="1440"/>
      <c r="J2057" s="1440"/>
      <c r="K2057" s="1440"/>
      <c r="L2057" s="1440"/>
      <c r="M2057" s="1440"/>
      <c r="N2057" s="1440"/>
      <c r="O2057" s="1440"/>
      <c r="P2057" s="1497">
        <f t="shared" si="163"/>
        <v>0</v>
      </c>
      <c r="Q2057" s="1186">
        <f t="shared" si="164"/>
        <v>0</v>
      </c>
      <c r="R2057" s="1409"/>
      <c r="S2057" s="1440"/>
      <c r="T2057" s="1440"/>
      <c r="U2057" s="1440"/>
      <c r="V2057" s="1440"/>
      <c r="W2057" s="1440"/>
      <c r="X2057" s="1440"/>
      <c r="Y2057" s="1440">
        <v>55000</v>
      </c>
      <c r="Z2057" s="1440"/>
      <c r="AA2057" s="1440"/>
      <c r="AB2057" s="1440"/>
      <c r="AC2057" s="1440"/>
      <c r="AD2057" s="1186">
        <f t="shared" si="161"/>
        <v>55000</v>
      </c>
      <c r="AE2057" s="637">
        <f t="shared" si="162"/>
        <v>1</v>
      </c>
      <c r="AF2057" s="638">
        <f t="shared" si="165"/>
        <v>828</v>
      </c>
    </row>
    <row r="2058" spans="1:32" x14ac:dyDescent="0.3">
      <c r="A2058" s="1412" t="s">
        <v>759</v>
      </c>
      <c r="B2058" s="1407" t="s">
        <v>3031</v>
      </c>
      <c r="C2058" s="1028"/>
      <c r="D2058" s="1440"/>
      <c r="E2058" s="1440"/>
      <c r="F2058" s="1440"/>
      <c r="G2058" s="1440"/>
      <c r="H2058" s="1440"/>
      <c r="I2058" s="1440"/>
      <c r="J2058" s="1440"/>
      <c r="K2058" s="1440"/>
      <c r="L2058" s="1440"/>
      <c r="M2058" s="1440"/>
      <c r="N2058" s="1440"/>
      <c r="O2058" s="1440"/>
      <c r="P2058" s="1497">
        <f t="shared" si="163"/>
        <v>0</v>
      </c>
      <c r="Q2058" s="1186">
        <f t="shared" si="164"/>
        <v>0</v>
      </c>
      <c r="R2058" s="1409"/>
      <c r="S2058" s="1440"/>
      <c r="T2058" s="1440"/>
      <c r="U2058" s="1440"/>
      <c r="V2058" s="1440"/>
      <c r="W2058" s="1440"/>
      <c r="X2058" s="1440"/>
      <c r="Y2058" s="1440">
        <v>40000</v>
      </c>
      <c r="Z2058" s="1440"/>
      <c r="AA2058" s="1440"/>
      <c r="AB2058" s="1440"/>
      <c r="AC2058" s="1440"/>
      <c r="AD2058" s="1186">
        <f t="shared" si="161"/>
        <v>40000</v>
      </c>
      <c r="AE2058" s="637">
        <f t="shared" si="162"/>
        <v>1</v>
      </c>
      <c r="AF2058" s="638">
        <f t="shared" si="165"/>
        <v>866</v>
      </c>
    </row>
    <row r="2059" spans="1:32" x14ac:dyDescent="0.3">
      <c r="A2059" s="1412" t="s">
        <v>759</v>
      </c>
      <c r="B2059" s="1407" t="s">
        <v>3032</v>
      </c>
      <c r="C2059" s="1028"/>
      <c r="D2059" s="1440"/>
      <c r="E2059" s="1440"/>
      <c r="F2059" s="1440"/>
      <c r="G2059" s="1440"/>
      <c r="H2059" s="1440"/>
      <c r="I2059" s="1440"/>
      <c r="J2059" s="1440"/>
      <c r="K2059" s="1440"/>
      <c r="L2059" s="1440"/>
      <c r="M2059" s="1440"/>
      <c r="N2059" s="1440"/>
      <c r="O2059" s="1440"/>
      <c r="P2059" s="1497">
        <f t="shared" si="163"/>
        <v>0</v>
      </c>
      <c r="Q2059" s="1186">
        <f t="shared" si="164"/>
        <v>0</v>
      </c>
      <c r="R2059" s="1409"/>
      <c r="S2059" s="1440"/>
      <c r="T2059" s="1440"/>
      <c r="U2059" s="1440"/>
      <c r="V2059" s="1440"/>
      <c r="W2059" s="1440"/>
      <c r="X2059" s="1440"/>
      <c r="Y2059" s="1440">
        <v>22000</v>
      </c>
      <c r="Z2059" s="1440"/>
      <c r="AA2059" s="1440"/>
      <c r="AB2059" s="1440"/>
      <c r="AC2059" s="1440"/>
      <c r="AD2059" s="1186">
        <f t="shared" si="161"/>
        <v>22000</v>
      </c>
      <c r="AE2059" s="637">
        <f t="shared" si="162"/>
        <v>1</v>
      </c>
      <c r="AF2059" s="638">
        <f t="shared" si="165"/>
        <v>916</v>
      </c>
    </row>
    <row r="2060" spans="1:32" x14ac:dyDescent="0.3">
      <c r="A2060" s="1412" t="s">
        <v>759</v>
      </c>
      <c r="B2060" s="1407" t="s">
        <v>3033</v>
      </c>
      <c r="C2060" s="1028"/>
      <c r="D2060" s="1440"/>
      <c r="E2060" s="1440"/>
      <c r="F2060" s="1440"/>
      <c r="G2060" s="1440"/>
      <c r="H2060" s="1440"/>
      <c r="I2060" s="1440"/>
      <c r="J2060" s="1440"/>
      <c r="K2060" s="1440"/>
      <c r="L2060" s="1440"/>
      <c r="M2060" s="1440"/>
      <c r="N2060" s="1440"/>
      <c r="O2060" s="1440"/>
      <c r="P2060" s="1497">
        <f t="shared" si="163"/>
        <v>0</v>
      </c>
      <c r="Q2060" s="1186">
        <f t="shared" si="164"/>
        <v>0</v>
      </c>
      <c r="R2060" s="1409"/>
      <c r="S2060" s="1440"/>
      <c r="T2060" s="1440"/>
      <c r="U2060" s="1440"/>
      <c r="V2060" s="1440"/>
      <c r="W2060" s="1440"/>
      <c r="X2060" s="1440"/>
      <c r="Y2060" s="1440">
        <v>18500</v>
      </c>
      <c r="Z2060" s="1440"/>
      <c r="AA2060" s="1440"/>
      <c r="AB2060" s="1440"/>
      <c r="AC2060" s="1440"/>
      <c r="AD2060" s="1186">
        <f t="shared" si="161"/>
        <v>18500</v>
      </c>
      <c r="AE2060" s="637">
        <f t="shared" si="162"/>
        <v>1</v>
      </c>
      <c r="AF2060" s="638">
        <f t="shared" si="165"/>
        <v>929</v>
      </c>
    </row>
    <row r="2061" spans="1:32" x14ac:dyDescent="0.3">
      <c r="A2061" s="1412" t="s">
        <v>759</v>
      </c>
      <c r="B2061" s="1407" t="s">
        <v>3034</v>
      </c>
      <c r="C2061" s="1028"/>
      <c r="D2061" s="1440"/>
      <c r="E2061" s="1440"/>
      <c r="F2061" s="1440"/>
      <c r="G2061" s="1440"/>
      <c r="H2061" s="1440"/>
      <c r="I2061" s="1440"/>
      <c r="J2061" s="1440"/>
      <c r="K2061" s="1440"/>
      <c r="L2061" s="1440"/>
      <c r="M2061" s="1440"/>
      <c r="N2061" s="1440"/>
      <c r="O2061" s="1440"/>
      <c r="P2061" s="1497">
        <f t="shared" si="163"/>
        <v>0</v>
      </c>
      <c r="Q2061" s="1186">
        <f t="shared" si="164"/>
        <v>0</v>
      </c>
      <c r="R2061" s="1409"/>
      <c r="S2061" s="1440"/>
      <c r="T2061" s="1440"/>
      <c r="U2061" s="1440"/>
      <c r="V2061" s="1440"/>
      <c r="W2061" s="1440"/>
      <c r="X2061" s="1440"/>
      <c r="Y2061" s="1440">
        <v>12000</v>
      </c>
      <c r="Z2061" s="1440"/>
      <c r="AA2061" s="1440"/>
      <c r="AB2061" s="1440"/>
      <c r="AC2061" s="1440"/>
      <c r="AD2061" s="1186">
        <f t="shared" si="161"/>
        <v>12000</v>
      </c>
      <c r="AE2061" s="637">
        <f t="shared" si="162"/>
        <v>1</v>
      </c>
      <c r="AF2061" s="638">
        <f t="shared" si="165"/>
        <v>947</v>
      </c>
    </row>
    <row r="2062" spans="1:32" x14ac:dyDescent="0.3">
      <c r="A2062" s="1412" t="s">
        <v>759</v>
      </c>
      <c r="B2062" s="1407" t="s">
        <v>3044</v>
      </c>
      <c r="C2062" s="1028"/>
      <c r="D2062" s="1440"/>
      <c r="E2062" s="1440"/>
      <c r="F2062" s="1440"/>
      <c r="G2062" s="1440"/>
      <c r="H2062" s="1440"/>
      <c r="I2062" s="1440"/>
      <c r="J2062" s="1440"/>
      <c r="K2062" s="1440"/>
      <c r="L2062" s="1440"/>
      <c r="M2062" s="1440"/>
      <c r="N2062" s="1440"/>
      <c r="O2062" s="1440"/>
      <c r="P2062" s="1497">
        <f t="shared" si="163"/>
        <v>0</v>
      </c>
      <c r="Q2062" s="1186">
        <f t="shared" si="164"/>
        <v>0</v>
      </c>
      <c r="R2062" s="1409"/>
      <c r="S2062" s="1440"/>
      <c r="T2062" s="1440"/>
      <c r="U2062" s="1440"/>
      <c r="V2062" s="1440"/>
      <c r="W2062" s="1440"/>
      <c r="X2062" s="1440"/>
      <c r="Y2062" s="1440">
        <v>180000</v>
      </c>
      <c r="Z2062" s="1440"/>
      <c r="AA2062" s="1440"/>
      <c r="AB2062" s="1440"/>
      <c r="AC2062" s="1440"/>
      <c r="AD2062" s="1186">
        <f t="shared" si="161"/>
        <v>180000</v>
      </c>
      <c r="AE2062" s="637">
        <f t="shared" si="162"/>
        <v>1</v>
      </c>
      <c r="AF2062" s="638">
        <f t="shared" si="165"/>
        <v>634</v>
      </c>
    </row>
    <row r="2063" spans="1:32" x14ac:dyDescent="0.3">
      <c r="A2063" s="1412" t="s">
        <v>759</v>
      </c>
      <c r="B2063" s="1407" t="s">
        <v>3045</v>
      </c>
      <c r="C2063" s="1028"/>
      <c r="D2063" s="1440"/>
      <c r="E2063" s="1440"/>
      <c r="F2063" s="1440"/>
      <c r="G2063" s="1440"/>
      <c r="H2063" s="1440"/>
      <c r="I2063" s="1440"/>
      <c r="J2063" s="1440"/>
      <c r="K2063" s="1440"/>
      <c r="L2063" s="1440"/>
      <c r="M2063" s="1440"/>
      <c r="N2063" s="1440"/>
      <c r="O2063" s="1440"/>
      <c r="P2063" s="1497">
        <f t="shared" si="163"/>
        <v>0</v>
      </c>
      <c r="Q2063" s="1186">
        <f t="shared" si="164"/>
        <v>0</v>
      </c>
      <c r="R2063" s="1409"/>
      <c r="S2063" s="1440"/>
      <c r="T2063" s="1440"/>
      <c r="U2063" s="1440"/>
      <c r="V2063" s="1440"/>
      <c r="W2063" s="1440"/>
      <c r="X2063" s="1440"/>
      <c r="Y2063" s="1440">
        <v>17600</v>
      </c>
      <c r="Z2063" s="1440"/>
      <c r="AA2063" s="1440"/>
      <c r="AB2063" s="1440"/>
      <c r="AC2063" s="1440"/>
      <c r="AD2063" s="1186">
        <f t="shared" ref="AD2063:AD2064" si="166">SUM(R2063:AC2063)</f>
        <v>17600</v>
      </c>
      <c r="AE2063" s="637">
        <f t="shared" si="162"/>
        <v>1</v>
      </c>
      <c r="AF2063" s="638">
        <f t="shared" si="165"/>
        <v>932</v>
      </c>
    </row>
    <row r="2064" spans="1:32" x14ac:dyDescent="0.3">
      <c r="A2064" s="1412" t="s">
        <v>759</v>
      </c>
      <c r="B2064" s="1407" t="s">
        <v>3046</v>
      </c>
      <c r="C2064" s="1028"/>
      <c r="D2064" s="1440"/>
      <c r="E2064" s="1440"/>
      <c r="F2064" s="1440"/>
      <c r="G2064" s="1440"/>
      <c r="H2064" s="1440"/>
      <c r="I2064" s="1440"/>
      <c r="J2064" s="1440"/>
      <c r="K2064" s="1440"/>
      <c r="L2064" s="1440"/>
      <c r="M2064" s="1440"/>
      <c r="N2064" s="1440"/>
      <c r="O2064" s="1440"/>
      <c r="P2064" s="1497">
        <f t="shared" si="163"/>
        <v>0</v>
      </c>
      <c r="Q2064" s="1186">
        <f t="shared" si="164"/>
        <v>0</v>
      </c>
      <c r="R2064" s="1409"/>
      <c r="S2064" s="1440"/>
      <c r="T2064" s="1440"/>
      <c r="U2064" s="1440"/>
      <c r="V2064" s="1440"/>
      <c r="W2064" s="1440"/>
      <c r="X2064" s="1440"/>
      <c r="Y2064" s="1440">
        <v>10000</v>
      </c>
      <c r="Z2064" s="1440"/>
      <c r="AA2064" s="1440"/>
      <c r="AB2064" s="1440"/>
      <c r="AC2064" s="1440"/>
      <c r="AD2064" s="1186">
        <f t="shared" si="166"/>
        <v>10000</v>
      </c>
      <c r="AE2064" s="637">
        <f t="shared" si="162"/>
        <v>1</v>
      </c>
      <c r="AF2064" s="638">
        <f t="shared" si="165"/>
        <v>958</v>
      </c>
    </row>
    <row r="2065" spans="1:32" ht="16.5" customHeight="1" thickBot="1" x14ac:dyDescent="0.35">
      <c r="A2065" s="531" t="s">
        <v>2379</v>
      </c>
      <c r="B2065" s="641"/>
      <c r="C2065" s="1296">
        <f>SUM(C2:C2064)</f>
        <v>186662170</v>
      </c>
      <c r="D2065" s="1296">
        <f t="shared" ref="D2065:AD2065" si="167">SUM(D2:D2064)</f>
        <v>308555890</v>
      </c>
      <c r="E2065" s="1296">
        <f t="shared" si="167"/>
        <v>238367540</v>
      </c>
      <c r="F2065" s="1296">
        <f t="shared" si="167"/>
        <v>185065930</v>
      </c>
      <c r="G2065" s="1296">
        <f t="shared" si="167"/>
        <v>171794360</v>
      </c>
      <c r="H2065" s="1296">
        <f t="shared" si="167"/>
        <v>172629330</v>
      </c>
      <c r="I2065" s="1296">
        <f t="shared" si="167"/>
        <v>268237380</v>
      </c>
      <c r="J2065" s="1296">
        <f t="shared" si="167"/>
        <v>216930880</v>
      </c>
      <c r="K2065" s="1296">
        <f t="shared" si="167"/>
        <v>185882010</v>
      </c>
      <c r="L2065" s="1296">
        <f t="shared" si="167"/>
        <v>219296940</v>
      </c>
      <c r="M2065" s="1296">
        <f t="shared" si="167"/>
        <v>162049300</v>
      </c>
      <c r="N2065" s="1296">
        <f t="shared" si="167"/>
        <v>228785960</v>
      </c>
      <c r="O2065" s="1296">
        <f t="shared" si="167"/>
        <v>304098820</v>
      </c>
      <c r="P2065" s="1296">
        <f t="shared" si="167"/>
        <v>1717194610</v>
      </c>
      <c r="Q2065" s="1296">
        <f t="shared" si="167"/>
        <v>2662474500</v>
      </c>
      <c r="R2065" s="1296">
        <f t="shared" si="167"/>
        <v>324004660</v>
      </c>
      <c r="S2065" s="1296">
        <f t="shared" si="167"/>
        <v>99542420</v>
      </c>
      <c r="T2065" s="1296">
        <f t="shared" si="167"/>
        <v>246455950</v>
      </c>
      <c r="U2065" s="1296">
        <f t="shared" si="167"/>
        <v>277199790</v>
      </c>
      <c r="V2065" s="1296">
        <f t="shared" si="167"/>
        <v>188107390</v>
      </c>
      <c r="W2065" s="1296">
        <f t="shared" si="167"/>
        <v>262810100</v>
      </c>
      <c r="X2065" s="1296">
        <f t="shared" si="167"/>
        <v>266857350</v>
      </c>
      <c r="Y2065" s="1296">
        <f t="shared" si="167"/>
        <v>203008910</v>
      </c>
      <c r="Z2065" s="1296">
        <f t="shared" si="167"/>
        <v>0</v>
      </c>
      <c r="AA2065" s="1296">
        <f t="shared" si="167"/>
        <v>0</v>
      </c>
      <c r="AB2065" s="1296">
        <f t="shared" si="167"/>
        <v>0</v>
      </c>
      <c r="AC2065" s="1296">
        <f t="shared" si="167"/>
        <v>0</v>
      </c>
      <c r="AD2065" s="1296">
        <f t="shared" si="167"/>
        <v>1867986570</v>
      </c>
      <c r="AE2065" s="1499">
        <f t="shared" si="162"/>
        <v>8.7812970715066482E-2</v>
      </c>
      <c r="AF2065" s="1022"/>
    </row>
    <row r="2066" spans="1:32" x14ac:dyDescent="0.3">
      <c r="D2066" s="1024"/>
      <c r="F2066" s="1024"/>
      <c r="G2066" s="1024"/>
      <c r="H2066" s="1024"/>
      <c r="I2066" s="1024"/>
      <c r="J2066" s="1024"/>
      <c r="K2066" s="1024"/>
      <c r="L2066" s="1024"/>
      <c r="M2066" s="1024"/>
      <c r="O2066" s="1024"/>
      <c r="P2066" s="102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FFFF-24CA-41E1-BDF1-254FE57874DA}">
  <dimension ref="A1:AM680"/>
  <sheetViews>
    <sheetView tabSelected="1" topLeftCell="R1" zoomScale="70" zoomScaleNormal="70" workbookViewId="0">
      <selection activeCell="AI25" sqref="AI25"/>
    </sheetView>
  </sheetViews>
  <sheetFormatPr defaultRowHeight="16.5" x14ac:dyDescent="0.3"/>
  <cols>
    <col min="1" max="1" width="23.5" style="1" customWidth="1"/>
    <col min="2" max="2" width="54.625" style="1" customWidth="1"/>
    <col min="3" max="10" width="13.625" style="1" customWidth="1"/>
    <col min="11" max="11" width="13.625" style="1" hidden="1" customWidth="1"/>
    <col min="12" max="15" width="13.625" style="1" customWidth="1"/>
    <col min="16" max="16" width="13.625" style="1" hidden="1" customWidth="1"/>
    <col min="17" max="30" width="13.625" style="2" customWidth="1"/>
    <col min="31" max="31" width="11.375" customWidth="1"/>
    <col min="34" max="34" width="23.375" customWidth="1"/>
    <col min="35" max="38" width="20.625" customWidth="1"/>
    <col min="39" max="39" width="11.75" bestFit="1" customWidth="1"/>
  </cols>
  <sheetData>
    <row r="1" spans="1:39" ht="33.75" thickBot="1" x14ac:dyDescent="0.35">
      <c r="A1" s="35" t="s">
        <v>0</v>
      </c>
      <c r="B1" s="647" t="s">
        <v>1</v>
      </c>
      <c r="C1" s="715" t="s">
        <v>2366</v>
      </c>
      <c r="D1" s="715" t="s">
        <v>2367</v>
      </c>
      <c r="E1" s="715" t="s">
        <v>2368</v>
      </c>
      <c r="F1" s="715" t="s">
        <v>2369</v>
      </c>
      <c r="G1" s="715" t="s">
        <v>2370</v>
      </c>
      <c r="H1" s="715" t="s">
        <v>2371</v>
      </c>
      <c r="I1" s="715" t="s">
        <v>2372</v>
      </c>
      <c r="J1" s="715" t="s">
        <v>2373</v>
      </c>
      <c r="K1" s="1406" t="s">
        <v>3035</v>
      </c>
      <c r="L1" s="715" t="s">
        <v>2374</v>
      </c>
      <c r="M1" s="715" t="s">
        <v>2375</v>
      </c>
      <c r="N1" s="715" t="s">
        <v>2376</v>
      </c>
      <c r="O1" s="715" t="s">
        <v>2377</v>
      </c>
      <c r="P1" s="1495" t="s">
        <v>3037</v>
      </c>
      <c r="Q1" s="716" t="s">
        <v>2378</v>
      </c>
      <c r="R1" s="1366" t="s">
        <v>2527</v>
      </c>
      <c r="S1" s="1366" t="s">
        <v>2577</v>
      </c>
      <c r="T1" s="1366" t="s">
        <v>2634</v>
      </c>
      <c r="U1" s="1366" t="s">
        <v>2727</v>
      </c>
      <c r="V1" s="1366" t="s">
        <v>2805</v>
      </c>
      <c r="W1" s="1406" t="s">
        <v>2891</v>
      </c>
      <c r="X1" s="1366" t="s">
        <v>2979</v>
      </c>
      <c r="Y1" s="1406" t="s">
        <v>3038</v>
      </c>
      <c r="Z1" s="1031" t="s">
        <v>2407</v>
      </c>
      <c r="AA1" s="1031" t="s">
        <v>2408</v>
      </c>
      <c r="AB1" s="1031" t="s">
        <v>2409</v>
      </c>
      <c r="AC1" s="1031" t="s">
        <v>2410</v>
      </c>
      <c r="AD1" s="1036" t="s">
        <v>2411</v>
      </c>
      <c r="AE1" s="713" t="s">
        <v>515</v>
      </c>
      <c r="AF1" s="714" t="s">
        <v>516</v>
      </c>
    </row>
    <row r="2" spans="1:39" ht="17.25" thickBot="1" x14ac:dyDescent="0.35">
      <c r="A2" s="543" t="s">
        <v>618</v>
      </c>
      <c r="B2" s="676" t="s">
        <v>619</v>
      </c>
      <c r="C2" s="503">
        <v>700940</v>
      </c>
      <c r="D2" s="504">
        <v>18360</v>
      </c>
      <c r="E2" s="504">
        <v>505800</v>
      </c>
      <c r="F2" s="504">
        <v>30981430</v>
      </c>
      <c r="G2" s="504">
        <v>38344860</v>
      </c>
      <c r="H2" s="504">
        <v>9811350</v>
      </c>
      <c r="I2" s="504">
        <v>21828510</v>
      </c>
      <c r="J2" s="504">
        <v>2932830</v>
      </c>
      <c r="K2" s="504">
        <v>2932830</v>
      </c>
      <c r="L2" s="504">
        <v>22383180</v>
      </c>
      <c r="M2" s="504">
        <v>35108060</v>
      </c>
      <c r="N2" s="504">
        <v>31878540</v>
      </c>
      <c r="O2" s="504">
        <v>26404470</v>
      </c>
      <c r="P2" s="1498">
        <f>SUM(C2:I2,K2)</f>
        <v>105124080</v>
      </c>
      <c r="Q2" s="694">
        <f>SUM(C2:J2,L2:O2)</f>
        <v>220898330</v>
      </c>
      <c r="R2" s="1066">
        <v>54466090</v>
      </c>
      <c r="S2" s="1067">
        <v>3550320</v>
      </c>
      <c r="T2" s="1067">
        <v>17626120</v>
      </c>
      <c r="U2" s="1067">
        <v>25364400</v>
      </c>
      <c r="V2" s="1067">
        <v>15984590</v>
      </c>
      <c r="W2" s="1067">
        <v>28017360</v>
      </c>
      <c r="X2" s="1067">
        <v>19386820</v>
      </c>
      <c r="Y2" s="1067">
        <v>2088580</v>
      </c>
      <c r="Z2" s="1067"/>
      <c r="AA2" s="1067"/>
      <c r="AB2" s="1067"/>
      <c r="AC2" s="1067"/>
      <c r="AD2" s="1068">
        <f>SUM(R2:AC2)</f>
        <v>166484280</v>
      </c>
      <c r="AE2" s="605">
        <f>IF(OR(AD2="", P2=""), 0, IFERROR((AD2-P2)/P2, IF(AD2&lt;&gt;0, 1, 0)))</f>
        <v>0.58369309866968633</v>
      </c>
      <c r="AF2" s="606">
        <f>IFERROR(_xlfn.RANK.EQ(AD2, $AD$2:$AD$677), "")</f>
        <v>1</v>
      </c>
    </row>
    <row r="3" spans="1:39" x14ac:dyDescent="0.3">
      <c r="A3" s="543" t="s">
        <v>618</v>
      </c>
      <c r="B3" s="676" t="s">
        <v>620</v>
      </c>
      <c r="C3" s="503"/>
      <c r="D3" s="504">
        <v>1425600</v>
      </c>
      <c r="E3" s="504">
        <v>12718260</v>
      </c>
      <c r="F3" s="504">
        <v>6757200</v>
      </c>
      <c r="G3" s="504">
        <v>550800</v>
      </c>
      <c r="H3" s="504">
        <v>118800</v>
      </c>
      <c r="I3" s="504">
        <v>0</v>
      </c>
      <c r="J3" s="504">
        <v>1384200</v>
      </c>
      <c r="K3" s="504">
        <v>1384200</v>
      </c>
      <c r="L3" s="504">
        <v>18046440</v>
      </c>
      <c r="M3" s="504">
        <v>5625540</v>
      </c>
      <c r="N3" s="504">
        <v>734400</v>
      </c>
      <c r="O3" s="504">
        <v>2750040</v>
      </c>
      <c r="P3" s="1498">
        <f t="shared" ref="P3:P66" si="0">SUM(C3:I3,K3)</f>
        <v>22954860</v>
      </c>
      <c r="Q3" s="694">
        <f t="shared" ref="Q3:Q66" si="1">SUM(C3:J3,L3:O3)</f>
        <v>50111280</v>
      </c>
      <c r="R3" s="1069">
        <v>81000</v>
      </c>
      <c r="S3" s="1070">
        <v>363250</v>
      </c>
      <c r="T3" s="1070">
        <v>5807490</v>
      </c>
      <c r="U3" s="1070">
        <v>10170810</v>
      </c>
      <c r="V3" s="1070">
        <v>5169830</v>
      </c>
      <c r="W3" s="1070">
        <v>1624150</v>
      </c>
      <c r="X3" s="1070">
        <v>1234350</v>
      </c>
      <c r="Y3" s="1070">
        <v>843720</v>
      </c>
      <c r="Z3" s="1070"/>
      <c r="AA3" s="1070"/>
      <c r="AB3" s="1070"/>
      <c r="AC3" s="1070"/>
      <c r="AD3" s="1071">
        <f>SUM(R3:AC3)</f>
        <v>25294600</v>
      </c>
      <c r="AE3" s="605">
        <f t="shared" ref="AE3:AE65" si="2">IF(OR(AD3="", P3=""), 0, IFERROR((AD3-P3)/P3, IF(AD3&lt;&gt;0, 1, 0)))</f>
        <v>0.10192787061214924</v>
      </c>
      <c r="AF3" s="606">
        <f t="shared" ref="AF3:AF66" si="3">IFERROR(_xlfn.RANK.EQ(AD3, $AD$2:$AD$677), "")</f>
        <v>15</v>
      </c>
      <c r="AH3" s="1386" t="s">
        <v>2477</v>
      </c>
      <c r="AI3" s="1387" t="s">
        <v>2479</v>
      </c>
      <c r="AJ3" s="1387" t="s">
        <v>2480</v>
      </c>
      <c r="AK3" s="1368" t="s">
        <v>784</v>
      </c>
      <c r="AL3" s="1369" t="s">
        <v>515</v>
      </c>
    </row>
    <row r="4" spans="1:39" x14ac:dyDescent="0.3">
      <c r="A4" s="543" t="s">
        <v>618</v>
      </c>
      <c r="B4" s="676" t="s">
        <v>621</v>
      </c>
      <c r="C4" s="503"/>
      <c r="D4" s="504">
        <v>550260</v>
      </c>
      <c r="E4" s="504">
        <v>9234140</v>
      </c>
      <c r="F4" s="504">
        <v>5994540</v>
      </c>
      <c r="G4" s="504">
        <v>2167560</v>
      </c>
      <c r="H4" s="504">
        <v>4327740</v>
      </c>
      <c r="I4" s="504">
        <v>1251360</v>
      </c>
      <c r="J4" s="504">
        <v>4216860</v>
      </c>
      <c r="K4" s="504">
        <v>945180</v>
      </c>
      <c r="L4" s="504">
        <v>14324760</v>
      </c>
      <c r="M4" s="504">
        <v>1386720</v>
      </c>
      <c r="N4" s="504">
        <v>3360240</v>
      </c>
      <c r="O4" s="504">
        <v>2222280</v>
      </c>
      <c r="P4" s="1498">
        <f t="shared" si="0"/>
        <v>24470780</v>
      </c>
      <c r="Q4" s="694">
        <f t="shared" si="1"/>
        <v>49036460</v>
      </c>
      <c r="R4" s="1069">
        <v>345600</v>
      </c>
      <c r="S4" s="1070" t="s">
        <v>251</v>
      </c>
      <c r="T4" s="1070">
        <v>2641860</v>
      </c>
      <c r="U4" s="1070">
        <v>5477550</v>
      </c>
      <c r="V4" s="1070">
        <v>1134900</v>
      </c>
      <c r="W4" s="1070">
        <v>2675400</v>
      </c>
      <c r="X4" s="1070">
        <v>1341990</v>
      </c>
      <c r="Y4" s="1070">
        <v>2184100</v>
      </c>
      <c r="Z4" s="1070"/>
      <c r="AA4" s="1070"/>
      <c r="AB4" s="1070"/>
      <c r="AC4" s="1070"/>
      <c r="AD4" s="1071">
        <f t="shared" ref="AD4:AD67" si="4">SUM(R4:AC4)</f>
        <v>15801400</v>
      </c>
      <c r="AE4" s="605">
        <f t="shared" si="2"/>
        <v>-0.35427477178904798</v>
      </c>
      <c r="AF4" s="606">
        <f t="shared" si="3"/>
        <v>30</v>
      </c>
      <c r="AH4" s="1370" t="s">
        <v>675</v>
      </c>
      <c r="AI4" s="1391">
        <v>539474470</v>
      </c>
      <c r="AJ4" s="1391">
        <v>771305270</v>
      </c>
      <c r="AK4" s="1391">
        <f>AJ4-AI4</f>
        <v>231830800</v>
      </c>
      <c r="AL4" s="1030">
        <f>IFERROR((AJ4-AI4)/AI4, 0)</f>
        <v>0.42973451551840813</v>
      </c>
    </row>
    <row r="5" spans="1:39" x14ac:dyDescent="0.3">
      <c r="A5" s="543" t="s">
        <v>618</v>
      </c>
      <c r="B5" s="676" t="s">
        <v>622</v>
      </c>
      <c r="C5" s="503">
        <v>361800</v>
      </c>
      <c r="D5" s="504">
        <v>50400</v>
      </c>
      <c r="E5" s="504">
        <v>8762760</v>
      </c>
      <c r="F5" s="504">
        <v>4306680</v>
      </c>
      <c r="G5" s="504">
        <v>3084410</v>
      </c>
      <c r="H5" s="504">
        <v>523570</v>
      </c>
      <c r="I5" s="504">
        <v>651540</v>
      </c>
      <c r="J5" s="504">
        <v>15114960</v>
      </c>
      <c r="K5" s="504"/>
      <c r="L5" s="504">
        <v>8478180</v>
      </c>
      <c r="M5" s="504">
        <v>7015320</v>
      </c>
      <c r="N5" s="504">
        <v>5198760</v>
      </c>
      <c r="O5" s="504">
        <v>7517520</v>
      </c>
      <c r="P5" s="1498">
        <f t="shared" si="0"/>
        <v>17741160</v>
      </c>
      <c r="Q5" s="694">
        <f t="shared" si="1"/>
        <v>61065900</v>
      </c>
      <c r="R5" s="1069">
        <v>293400</v>
      </c>
      <c r="S5" s="1070">
        <v>306000</v>
      </c>
      <c r="T5" s="1070">
        <v>4459050</v>
      </c>
      <c r="U5" s="1070"/>
      <c r="V5" s="1070"/>
      <c r="W5" s="1070"/>
      <c r="X5" s="1070"/>
      <c r="Y5" s="1070"/>
      <c r="Z5" s="1070"/>
      <c r="AA5" s="1070"/>
      <c r="AB5" s="1070"/>
      <c r="AC5" s="1070"/>
      <c r="AD5" s="1071">
        <f t="shared" si="4"/>
        <v>5058450</v>
      </c>
      <c r="AE5" s="605">
        <f t="shared" si="2"/>
        <v>-0.71487490107749441</v>
      </c>
      <c r="AF5" s="606">
        <f t="shared" si="3"/>
        <v>84</v>
      </c>
      <c r="AH5" s="1370" t="s">
        <v>618</v>
      </c>
      <c r="AI5" s="1391">
        <v>444138010</v>
      </c>
      <c r="AJ5" s="1391">
        <v>682746620</v>
      </c>
      <c r="AK5" s="1391">
        <f t="shared" ref="AK5:AK23" si="5">AJ5-AI5</f>
        <v>238608610</v>
      </c>
      <c r="AL5" s="1030">
        <f t="shared" ref="AL5:AL23" si="6">IFERROR((AJ5-AI5)/AI5, 0)</f>
        <v>0.53723978724541055</v>
      </c>
    </row>
    <row r="6" spans="1:39" x14ac:dyDescent="0.3">
      <c r="A6" s="543" t="s">
        <v>618</v>
      </c>
      <c r="B6" s="676" t="s">
        <v>623</v>
      </c>
      <c r="C6" s="503">
        <v>1030950</v>
      </c>
      <c r="D6" s="504">
        <v>593640</v>
      </c>
      <c r="E6" s="504">
        <v>4317840</v>
      </c>
      <c r="F6" s="504">
        <v>3559020</v>
      </c>
      <c r="G6" s="504">
        <v>4270930</v>
      </c>
      <c r="H6" s="504">
        <v>25116840</v>
      </c>
      <c r="I6" s="504">
        <v>15044710</v>
      </c>
      <c r="J6" s="504">
        <v>6386850</v>
      </c>
      <c r="K6" s="504">
        <v>5440320</v>
      </c>
      <c r="L6" s="504">
        <v>10154110</v>
      </c>
      <c r="M6" s="504">
        <v>18573060</v>
      </c>
      <c r="N6" s="504">
        <v>20781460</v>
      </c>
      <c r="O6" s="504">
        <v>11223180</v>
      </c>
      <c r="P6" s="1498">
        <f t="shared" si="0"/>
        <v>59374250</v>
      </c>
      <c r="Q6" s="694">
        <f t="shared" si="1"/>
        <v>121052590</v>
      </c>
      <c r="R6" s="1069">
        <v>1426860</v>
      </c>
      <c r="S6" s="1070">
        <v>139620</v>
      </c>
      <c r="T6" s="1070">
        <v>3328250</v>
      </c>
      <c r="U6" s="1070">
        <v>3010190</v>
      </c>
      <c r="V6" s="1070">
        <v>7563470</v>
      </c>
      <c r="W6" s="1070">
        <v>32114290</v>
      </c>
      <c r="X6" s="1070">
        <v>21154650</v>
      </c>
      <c r="Y6" s="1070">
        <v>13480720</v>
      </c>
      <c r="Z6" s="1070"/>
      <c r="AA6" s="1070"/>
      <c r="AB6" s="1070"/>
      <c r="AC6" s="1070"/>
      <c r="AD6" s="1071">
        <f t="shared" si="4"/>
        <v>82218050</v>
      </c>
      <c r="AE6" s="605">
        <f t="shared" si="2"/>
        <v>0.38474254411634673</v>
      </c>
      <c r="AF6" s="606">
        <f t="shared" si="3"/>
        <v>2</v>
      </c>
      <c r="AH6" s="1370" t="s">
        <v>759</v>
      </c>
      <c r="AI6" s="1391">
        <v>32271770</v>
      </c>
      <c r="AJ6" s="1391">
        <v>138093980</v>
      </c>
      <c r="AK6" s="1391">
        <f t="shared" si="5"/>
        <v>105822210</v>
      </c>
      <c r="AL6" s="1030">
        <f t="shared" si="6"/>
        <v>3.2790953207710638</v>
      </c>
      <c r="AM6" s="639"/>
    </row>
    <row r="7" spans="1:39" ht="17.25" customHeight="1" x14ac:dyDescent="0.3">
      <c r="A7" s="543" t="s">
        <v>618</v>
      </c>
      <c r="B7" s="676" t="s">
        <v>1819</v>
      </c>
      <c r="C7" s="503">
        <v>2129760</v>
      </c>
      <c r="D7" s="504">
        <v>1324800</v>
      </c>
      <c r="E7" s="504">
        <v>2525760</v>
      </c>
      <c r="F7" s="504">
        <v>2644200</v>
      </c>
      <c r="G7" s="504">
        <v>2685600</v>
      </c>
      <c r="H7" s="504">
        <v>813600</v>
      </c>
      <c r="I7" s="504">
        <v>0</v>
      </c>
      <c r="J7" s="504">
        <v>0</v>
      </c>
      <c r="K7" s="504">
        <v>0</v>
      </c>
      <c r="L7" s="504">
        <v>610200</v>
      </c>
      <c r="M7" s="504">
        <v>374400</v>
      </c>
      <c r="N7" s="504">
        <v>0</v>
      </c>
      <c r="O7" s="504">
        <v>0</v>
      </c>
      <c r="P7" s="1498">
        <f t="shared" si="0"/>
        <v>12123720</v>
      </c>
      <c r="Q7" s="694">
        <f t="shared" si="1"/>
        <v>13108320</v>
      </c>
      <c r="R7" s="1069" t="s">
        <v>251</v>
      </c>
      <c r="S7" s="1070" t="s">
        <v>251</v>
      </c>
      <c r="T7" s="1070"/>
      <c r="U7" s="1070"/>
      <c r="V7" s="1070"/>
      <c r="W7" s="1070"/>
      <c r="X7" s="1070"/>
      <c r="Y7" s="1070"/>
      <c r="Z7" s="1070"/>
      <c r="AA7" s="1070"/>
      <c r="AB7" s="1070"/>
      <c r="AC7" s="1070"/>
      <c r="AD7" s="1071">
        <f t="shared" si="4"/>
        <v>0</v>
      </c>
      <c r="AE7" s="605">
        <f t="shared" si="2"/>
        <v>-1</v>
      </c>
      <c r="AF7" s="606">
        <f t="shared" si="3"/>
        <v>394</v>
      </c>
      <c r="AH7" s="1370" t="s">
        <v>1873</v>
      </c>
      <c r="AI7" s="1391">
        <v>4808060</v>
      </c>
      <c r="AJ7" s="1391">
        <v>96060360</v>
      </c>
      <c r="AK7" s="1391">
        <f t="shared" si="5"/>
        <v>91252300</v>
      </c>
      <c r="AL7" s="1030">
        <f t="shared" si="6"/>
        <v>18.979026884023909</v>
      </c>
    </row>
    <row r="8" spans="1:39" x14ac:dyDescent="0.3">
      <c r="A8" s="543" t="s">
        <v>618</v>
      </c>
      <c r="B8" s="676" t="s">
        <v>625</v>
      </c>
      <c r="C8" s="503"/>
      <c r="D8" s="504"/>
      <c r="E8" s="504">
        <v>0</v>
      </c>
      <c r="F8" s="504">
        <v>8960400</v>
      </c>
      <c r="G8" s="504">
        <v>812250</v>
      </c>
      <c r="H8" s="504">
        <v>10861650</v>
      </c>
      <c r="I8" s="504">
        <v>3353850</v>
      </c>
      <c r="J8" s="504">
        <v>2351340</v>
      </c>
      <c r="K8" s="504">
        <v>2351340</v>
      </c>
      <c r="L8" s="504">
        <v>0</v>
      </c>
      <c r="M8" s="504">
        <v>5553000</v>
      </c>
      <c r="N8" s="504">
        <v>3527820</v>
      </c>
      <c r="O8" s="504">
        <v>5072400</v>
      </c>
      <c r="P8" s="1498">
        <f t="shared" si="0"/>
        <v>26339490</v>
      </c>
      <c r="Q8" s="694">
        <f t="shared" si="1"/>
        <v>40492710</v>
      </c>
      <c r="R8" s="1069" t="s">
        <v>251</v>
      </c>
      <c r="S8" s="1070" t="s">
        <v>251</v>
      </c>
      <c r="T8" s="1070"/>
      <c r="U8" s="1070">
        <v>1341600</v>
      </c>
      <c r="V8" s="1070">
        <v>10714470</v>
      </c>
      <c r="W8" s="1070">
        <v>15160850</v>
      </c>
      <c r="X8" s="1070">
        <v>7857870</v>
      </c>
      <c r="Y8" s="1070">
        <v>4408190</v>
      </c>
      <c r="Z8" s="1070"/>
      <c r="AA8" s="1070"/>
      <c r="AB8" s="1070"/>
      <c r="AC8" s="1070"/>
      <c r="AD8" s="1071">
        <f t="shared" si="4"/>
        <v>39482980</v>
      </c>
      <c r="AE8" s="605">
        <f t="shared" si="2"/>
        <v>0.49900320773105328</v>
      </c>
      <c r="AF8" s="606">
        <f t="shared" si="3"/>
        <v>8</v>
      </c>
      <c r="AH8" s="1370" t="s">
        <v>688</v>
      </c>
      <c r="AI8" s="1391">
        <v>43972830</v>
      </c>
      <c r="AJ8" s="1391">
        <v>89990230</v>
      </c>
      <c r="AK8" s="1391">
        <f t="shared" si="5"/>
        <v>46017400</v>
      </c>
      <c r="AL8" s="1030">
        <f t="shared" si="6"/>
        <v>1.0464962114105461</v>
      </c>
    </row>
    <row r="9" spans="1:39" x14ac:dyDescent="0.3">
      <c r="A9" s="543" t="s">
        <v>618</v>
      </c>
      <c r="B9" s="676" t="s">
        <v>626</v>
      </c>
      <c r="C9" s="503"/>
      <c r="D9" s="504"/>
      <c r="E9" s="504">
        <v>4839480</v>
      </c>
      <c r="F9" s="504">
        <v>2986560</v>
      </c>
      <c r="G9" s="504">
        <v>1752840</v>
      </c>
      <c r="H9" s="504">
        <v>2519010</v>
      </c>
      <c r="I9" s="504">
        <v>897120</v>
      </c>
      <c r="J9" s="504">
        <v>5111280</v>
      </c>
      <c r="K9" s="504">
        <v>3975480</v>
      </c>
      <c r="L9" s="504">
        <v>7392600</v>
      </c>
      <c r="M9" s="504">
        <v>1014840</v>
      </c>
      <c r="N9" s="504">
        <v>1224000</v>
      </c>
      <c r="O9" s="504">
        <v>4941450</v>
      </c>
      <c r="P9" s="1498">
        <f t="shared" si="0"/>
        <v>16970490</v>
      </c>
      <c r="Q9" s="694">
        <f t="shared" si="1"/>
        <v>32679180</v>
      </c>
      <c r="R9" s="1069">
        <v>302040</v>
      </c>
      <c r="S9" s="1070">
        <v>809320</v>
      </c>
      <c r="T9" s="1070">
        <v>0</v>
      </c>
      <c r="U9" s="1070">
        <v>1060400</v>
      </c>
      <c r="V9" s="1070">
        <v>4444400</v>
      </c>
      <c r="W9" s="1070">
        <v>16300380</v>
      </c>
      <c r="X9" s="1070">
        <v>29479790</v>
      </c>
      <c r="Y9" s="1070">
        <v>10888120</v>
      </c>
      <c r="Z9" s="1070"/>
      <c r="AA9" s="1070"/>
      <c r="AB9" s="1070"/>
      <c r="AC9" s="1070"/>
      <c r="AD9" s="1071">
        <f t="shared" si="4"/>
        <v>63284450</v>
      </c>
      <c r="AE9" s="605">
        <f t="shared" si="2"/>
        <v>2.7290879638714025</v>
      </c>
      <c r="AF9" s="606">
        <f t="shared" si="3"/>
        <v>5</v>
      </c>
      <c r="AH9" s="1370" t="s">
        <v>693</v>
      </c>
      <c r="AI9" s="1391">
        <v>26407850</v>
      </c>
      <c r="AJ9" s="1391">
        <v>70337730</v>
      </c>
      <c r="AK9" s="1391">
        <f t="shared" si="5"/>
        <v>43929880</v>
      </c>
      <c r="AL9" s="1030">
        <f t="shared" si="6"/>
        <v>1.6635159621097515</v>
      </c>
    </row>
    <row r="10" spans="1:39" x14ac:dyDescent="0.3">
      <c r="A10" s="543" t="s">
        <v>618</v>
      </c>
      <c r="B10" s="676" t="s">
        <v>627</v>
      </c>
      <c r="C10" s="503"/>
      <c r="D10" s="504"/>
      <c r="E10" s="504">
        <v>0</v>
      </c>
      <c r="F10" s="504">
        <v>2752920</v>
      </c>
      <c r="G10" s="504">
        <v>6115860</v>
      </c>
      <c r="H10" s="504">
        <v>284970</v>
      </c>
      <c r="I10" s="504">
        <v>0</v>
      </c>
      <c r="J10" s="504">
        <v>0</v>
      </c>
      <c r="K10" s="504">
        <v>0</v>
      </c>
      <c r="L10" s="504">
        <v>0</v>
      </c>
      <c r="M10" s="504">
        <v>0</v>
      </c>
      <c r="N10" s="504">
        <v>0</v>
      </c>
      <c r="O10" s="504">
        <v>0</v>
      </c>
      <c r="P10" s="1498">
        <f t="shared" si="0"/>
        <v>9153750</v>
      </c>
      <c r="Q10" s="694">
        <f t="shared" si="1"/>
        <v>9153750</v>
      </c>
      <c r="R10" s="1069" t="s">
        <v>251</v>
      </c>
      <c r="S10" s="1070" t="s">
        <v>251</v>
      </c>
      <c r="T10" s="1070"/>
      <c r="U10" s="1070"/>
      <c r="V10" s="1070"/>
      <c r="W10" s="1070"/>
      <c r="X10" s="1070"/>
      <c r="Y10" s="1070"/>
      <c r="Z10" s="1070"/>
      <c r="AA10" s="1070"/>
      <c r="AB10" s="1070"/>
      <c r="AC10" s="1070"/>
      <c r="AD10" s="1071">
        <f t="shared" si="4"/>
        <v>0</v>
      </c>
      <c r="AE10" s="605">
        <f t="shared" si="2"/>
        <v>-1</v>
      </c>
      <c r="AF10" s="606">
        <f t="shared" si="3"/>
        <v>394</v>
      </c>
      <c r="AH10" s="1370" t="s">
        <v>727</v>
      </c>
      <c r="AI10" s="1391">
        <v>13741120</v>
      </c>
      <c r="AJ10" s="1391">
        <v>12987820</v>
      </c>
      <c r="AK10" s="1391">
        <f t="shared" si="5"/>
        <v>-753300</v>
      </c>
      <c r="AL10" s="1030">
        <f t="shared" si="6"/>
        <v>-5.4820858852844601E-2</v>
      </c>
    </row>
    <row r="11" spans="1:39" x14ac:dyDescent="0.3">
      <c r="A11" s="543" t="s">
        <v>618</v>
      </c>
      <c r="B11" s="676" t="s">
        <v>628</v>
      </c>
      <c r="C11" s="503"/>
      <c r="D11" s="504">
        <v>37800</v>
      </c>
      <c r="E11" s="504">
        <v>4045140</v>
      </c>
      <c r="F11" s="504">
        <v>2942820</v>
      </c>
      <c r="G11" s="504">
        <v>1073520</v>
      </c>
      <c r="H11" s="504">
        <v>59400</v>
      </c>
      <c r="I11" s="504">
        <v>385560</v>
      </c>
      <c r="J11" s="504">
        <v>3191400</v>
      </c>
      <c r="K11" s="504">
        <v>3191400</v>
      </c>
      <c r="L11" s="504">
        <v>1437480</v>
      </c>
      <c r="M11" s="504">
        <v>1249200</v>
      </c>
      <c r="N11" s="504">
        <v>295200</v>
      </c>
      <c r="O11" s="504">
        <v>896760</v>
      </c>
      <c r="P11" s="1498">
        <f t="shared" si="0"/>
        <v>11735640</v>
      </c>
      <c r="Q11" s="694">
        <f t="shared" si="1"/>
        <v>15614280</v>
      </c>
      <c r="R11" s="1069">
        <v>16200</v>
      </c>
      <c r="S11" s="1070" t="s">
        <v>251</v>
      </c>
      <c r="T11" s="1070">
        <v>3347370</v>
      </c>
      <c r="U11" s="1070">
        <v>1711320</v>
      </c>
      <c r="V11" s="1070">
        <v>659100</v>
      </c>
      <c r="W11" s="1070">
        <v>1561170</v>
      </c>
      <c r="X11" s="1070">
        <v>711750</v>
      </c>
      <c r="Y11" s="1070">
        <v>0</v>
      </c>
      <c r="Z11" s="1070"/>
      <c r="AA11" s="1070"/>
      <c r="AB11" s="1070"/>
      <c r="AC11" s="1070"/>
      <c r="AD11" s="1071">
        <f t="shared" si="4"/>
        <v>8006910</v>
      </c>
      <c r="AE11" s="605">
        <f t="shared" si="2"/>
        <v>-0.3177270263914026</v>
      </c>
      <c r="AF11" s="606">
        <f t="shared" si="3"/>
        <v>58</v>
      </c>
      <c r="AH11" s="1370" t="s">
        <v>691</v>
      </c>
      <c r="AI11" s="1391">
        <v>2836980</v>
      </c>
      <c r="AJ11" s="1391">
        <v>10539980</v>
      </c>
      <c r="AK11" s="1391">
        <f t="shared" si="5"/>
        <v>7703000</v>
      </c>
      <c r="AL11" s="1030">
        <f t="shared" si="6"/>
        <v>2.7152112457613375</v>
      </c>
    </row>
    <row r="12" spans="1:39" x14ac:dyDescent="0.3">
      <c r="A12" s="543" t="s">
        <v>618</v>
      </c>
      <c r="B12" s="676" t="s">
        <v>629</v>
      </c>
      <c r="C12" s="503">
        <v>43920</v>
      </c>
      <c r="D12" s="504"/>
      <c r="E12" s="504">
        <v>3205800</v>
      </c>
      <c r="F12" s="504">
        <v>2796930</v>
      </c>
      <c r="G12" s="504">
        <v>688410</v>
      </c>
      <c r="H12" s="504">
        <v>8207730</v>
      </c>
      <c r="I12" s="504">
        <v>292860</v>
      </c>
      <c r="J12" s="504">
        <v>647280</v>
      </c>
      <c r="K12" s="504">
        <v>0</v>
      </c>
      <c r="L12" s="504">
        <v>2961720</v>
      </c>
      <c r="M12" s="504">
        <v>2404800</v>
      </c>
      <c r="N12" s="504">
        <v>4583610</v>
      </c>
      <c r="O12" s="504">
        <v>4870260</v>
      </c>
      <c r="P12" s="1498">
        <f t="shared" si="0"/>
        <v>15235650</v>
      </c>
      <c r="Q12" s="694">
        <f t="shared" si="1"/>
        <v>30703320</v>
      </c>
      <c r="R12" s="1069">
        <v>1175220</v>
      </c>
      <c r="S12" s="1070" t="s">
        <v>251</v>
      </c>
      <c r="T12" s="1070">
        <v>656370</v>
      </c>
      <c r="U12" s="1070">
        <v>2283830</v>
      </c>
      <c r="V12" s="1070">
        <v>541320</v>
      </c>
      <c r="W12" s="1070">
        <v>7235080</v>
      </c>
      <c r="X12" s="1070">
        <v>1394040</v>
      </c>
      <c r="Y12" s="1070">
        <v>1275600</v>
      </c>
      <c r="Z12" s="1070"/>
      <c r="AA12" s="1070"/>
      <c r="AB12" s="1070"/>
      <c r="AC12" s="1070"/>
      <c r="AD12" s="1071">
        <f t="shared" si="4"/>
        <v>14561460</v>
      </c>
      <c r="AE12" s="605">
        <f t="shared" si="2"/>
        <v>-4.4250819623711496E-2</v>
      </c>
      <c r="AF12" s="606">
        <f t="shared" si="3"/>
        <v>33</v>
      </c>
      <c r="AH12" s="1370" t="s">
        <v>695</v>
      </c>
      <c r="AI12" s="1391">
        <v>16013950</v>
      </c>
      <c r="AJ12" s="1391">
        <v>5705660</v>
      </c>
      <c r="AK12" s="1391">
        <f t="shared" si="5"/>
        <v>-10308290</v>
      </c>
      <c r="AL12" s="1030">
        <f t="shared" si="6"/>
        <v>-0.64370689305261974</v>
      </c>
    </row>
    <row r="13" spans="1:39" x14ac:dyDescent="0.3">
      <c r="A13" s="543" t="s">
        <v>618</v>
      </c>
      <c r="B13" s="676" t="s">
        <v>630</v>
      </c>
      <c r="C13" s="503">
        <v>589050</v>
      </c>
      <c r="D13" s="504">
        <v>102060</v>
      </c>
      <c r="E13" s="504">
        <v>459860</v>
      </c>
      <c r="F13" s="504">
        <v>2813760</v>
      </c>
      <c r="G13" s="504">
        <v>2144880</v>
      </c>
      <c r="H13" s="504">
        <v>2298240</v>
      </c>
      <c r="I13" s="504">
        <v>0</v>
      </c>
      <c r="J13" s="504">
        <v>960120</v>
      </c>
      <c r="K13" s="504">
        <v>667800</v>
      </c>
      <c r="L13" s="504">
        <v>3473640</v>
      </c>
      <c r="M13" s="504">
        <v>0</v>
      </c>
      <c r="N13" s="504">
        <v>219240</v>
      </c>
      <c r="O13" s="504">
        <v>264600</v>
      </c>
      <c r="P13" s="1498">
        <f t="shared" si="0"/>
        <v>9075650</v>
      </c>
      <c r="Q13" s="694">
        <f t="shared" si="1"/>
        <v>13325450</v>
      </c>
      <c r="R13" s="1069" t="s">
        <v>251</v>
      </c>
      <c r="S13" s="1070">
        <v>399750</v>
      </c>
      <c r="T13" s="1070">
        <v>1265550</v>
      </c>
      <c r="U13" s="1070">
        <v>1575400</v>
      </c>
      <c r="V13" s="1070">
        <v>799500</v>
      </c>
      <c r="W13" s="1070">
        <v>623610</v>
      </c>
      <c r="X13" s="1070">
        <v>1527630</v>
      </c>
      <c r="Y13" s="1070">
        <v>910650</v>
      </c>
      <c r="Z13" s="1070"/>
      <c r="AA13" s="1070"/>
      <c r="AB13" s="1070"/>
      <c r="AC13" s="1070"/>
      <c r="AD13" s="1071">
        <f t="shared" si="4"/>
        <v>7102090</v>
      </c>
      <c r="AE13" s="605">
        <f t="shared" si="2"/>
        <v>-0.21745660090461841</v>
      </c>
      <c r="AF13" s="606">
        <f t="shared" si="3"/>
        <v>66</v>
      </c>
      <c r="AH13" s="1370" t="s">
        <v>1344</v>
      </c>
      <c r="AI13" s="1391">
        <v>11947560</v>
      </c>
      <c r="AJ13" s="1391">
        <v>5298070</v>
      </c>
      <c r="AK13" s="1391">
        <f t="shared" si="5"/>
        <v>-6649490</v>
      </c>
      <c r="AL13" s="1030">
        <f t="shared" si="6"/>
        <v>-0.55655631777534498</v>
      </c>
    </row>
    <row r="14" spans="1:39" x14ac:dyDescent="0.3">
      <c r="A14" s="543" t="s">
        <v>618</v>
      </c>
      <c r="B14" s="676" t="s">
        <v>631</v>
      </c>
      <c r="C14" s="503"/>
      <c r="D14" s="504"/>
      <c r="E14" s="504">
        <v>0</v>
      </c>
      <c r="F14" s="504">
        <v>0</v>
      </c>
      <c r="G14" s="504">
        <v>5738040</v>
      </c>
      <c r="H14" s="504">
        <v>6650100</v>
      </c>
      <c r="I14" s="504">
        <v>3523500</v>
      </c>
      <c r="J14" s="504">
        <v>0</v>
      </c>
      <c r="K14" s="504">
        <v>0</v>
      </c>
      <c r="L14" s="504">
        <v>431280</v>
      </c>
      <c r="M14" s="504">
        <v>126000</v>
      </c>
      <c r="N14" s="504">
        <v>2741680</v>
      </c>
      <c r="O14" s="504">
        <v>4039200</v>
      </c>
      <c r="P14" s="1498">
        <f t="shared" si="0"/>
        <v>15911640</v>
      </c>
      <c r="Q14" s="694">
        <f t="shared" si="1"/>
        <v>23249800</v>
      </c>
      <c r="R14" s="1069">
        <v>1666440</v>
      </c>
      <c r="S14" s="1070" t="s">
        <v>251</v>
      </c>
      <c r="T14" s="1070">
        <v>0</v>
      </c>
      <c r="U14" s="1070">
        <v>0</v>
      </c>
      <c r="V14" s="1070">
        <v>0</v>
      </c>
      <c r="W14" s="1070">
        <v>0</v>
      </c>
      <c r="X14" s="1070">
        <v>0</v>
      </c>
      <c r="Y14" s="1070">
        <v>0</v>
      </c>
      <c r="Z14" s="1070"/>
      <c r="AA14" s="1070"/>
      <c r="AB14" s="1070"/>
      <c r="AC14" s="1070"/>
      <c r="AD14" s="1071">
        <f t="shared" si="4"/>
        <v>1666440</v>
      </c>
      <c r="AE14" s="605">
        <f t="shared" si="2"/>
        <v>-0.89526912373583112</v>
      </c>
      <c r="AF14" s="606">
        <f t="shared" si="3"/>
        <v>160</v>
      </c>
      <c r="AH14" s="1370" t="s">
        <v>1958</v>
      </c>
      <c r="AI14" s="1391">
        <v>0</v>
      </c>
      <c r="AJ14" s="1391">
        <v>4890700</v>
      </c>
      <c r="AK14" s="1391">
        <f t="shared" si="5"/>
        <v>4890700</v>
      </c>
      <c r="AL14" s="1030">
        <f t="shared" si="6"/>
        <v>0</v>
      </c>
    </row>
    <row r="15" spans="1:39" x14ac:dyDescent="0.3">
      <c r="A15" s="543" t="s">
        <v>618</v>
      </c>
      <c r="B15" s="676" t="s">
        <v>632</v>
      </c>
      <c r="C15" s="503"/>
      <c r="D15" s="504"/>
      <c r="E15" s="504">
        <v>2714400</v>
      </c>
      <c r="F15" s="504">
        <v>2987640</v>
      </c>
      <c r="G15" s="504">
        <v>135360</v>
      </c>
      <c r="H15" s="504">
        <v>0</v>
      </c>
      <c r="I15" s="504">
        <v>0</v>
      </c>
      <c r="J15" s="504">
        <v>0</v>
      </c>
      <c r="K15" s="504">
        <v>0</v>
      </c>
      <c r="L15" s="504">
        <v>1705320</v>
      </c>
      <c r="M15" s="504">
        <v>140760</v>
      </c>
      <c r="N15" s="504">
        <v>0</v>
      </c>
      <c r="O15" s="504">
        <v>0</v>
      </c>
      <c r="P15" s="1498">
        <f t="shared" si="0"/>
        <v>5837400</v>
      </c>
      <c r="Q15" s="694">
        <f t="shared" si="1"/>
        <v>7683480</v>
      </c>
      <c r="R15" s="1069">
        <v>249120</v>
      </c>
      <c r="S15" s="1070">
        <v>212940</v>
      </c>
      <c r="T15" s="1070">
        <v>388830</v>
      </c>
      <c r="U15" s="1070">
        <v>3164070</v>
      </c>
      <c r="V15" s="1070">
        <v>834210</v>
      </c>
      <c r="W15" s="1070">
        <v>285480</v>
      </c>
      <c r="X15" s="1070">
        <v>0</v>
      </c>
      <c r="Y15" s="1070">
        <v>0</v>
      </c>
      <c r="Z15" s="1070"/>
      <c r="AA15" s="1070"/>
      <c r="AB15" s="1070"/>
      <c r="AC15" s="1070"/>
      <c r="AD15" s="1071">
        <f t="shared" si="4"/>
        <v>5134650</v>
      </c>
      <c r="AE15" s="605">
        <f t="shared" si="2"/>
        <v>-0.12038750128481858</v>
      </c>
      <c r="AF15" s="606">
        <f t="shared" si="3"/>
        <v>81</v>
      </c>
      <c r="AH15" s="1370" t="s">
        <v>743</v>
      </c>
      <c r="AI15" s="1391">
        <v>712550</v>
      </c>
      <c r="AJ15" s="1391">
        <v>764190</v>
      </c>
      <c r="AK15" s="1391">
        <f t="shared" si="5"/>
        <v>51640</v>
      </c>
      <c r="AL15" s="1030">
        <f t="shared" si="6"/>
        <v>7.2472107220545923E-2</v>
      </c>
    </row>
    <row r="16" spans="1:39" x14ac:dyDescent="0.3">
      <c r="A16" s="543" t="s">
        <v>618</v>
      </c>
      <c r="B16" s="676" t="s">
        <v>633</v>
      </c>
      <c r="C16" s="503"/>
      <c r="D16" s="504"/>
      <c r="E16" s="504">
        <v>5068440</v>
      </c>
      <c r="F16" s="504">
        <v>672480</v>
      </c>
      <c r="G16" s="504">
        <v>0</v>
      </c>
      <c r="H16" s="504">
        <v>0</v>
      </c>
      <c r="I16" s="504">
        <v>0</v>
      </c>
      <c r="J16" s="504">
        <v>4413780</v>
      </c>
      <c r="K16" s="504">
        <v>4413780</v>
      </c>
      <c r="L16" s="504">
        <v>0</v>
      </c>
      <c r="M16" s="504">
        <v>0</v>
      </c>
      <c r="N16" s="504">
        <v>0</v>
      </c>
      <c r="O16" s="504">
        <v>0</v>
      </c>
      <c r="P16" s="1498">
        <f t="shared" si="0"/>
        <v>10154700</v>
      </c>
      <c r="Q16" s="694">
        <f t="shared" si="1"/>
        <v>10154700</v>
      </c>
      <c r="R16" s="1069" t="s">
        <v>251</v>
      </c>
      <c r="S16" s="1070" t="s">
        <v>251</v>
      </c>
      <c r="T16" s="1070"/>
      <c r="U16" s="1070">
        <v>7641660</v>
      </c>
      <c r="V16" s="1070">
        <v>565500</v>
      </c>
      <c r="W16" s="1070">
        <v>0</v>
      </c>
      <c r="X16" s="1070">
        <v>0</v>
      </c>
      <c r="Y16" s="1070">
        <v>2337000</v>
      </c>
      <c r="Z16" s="1070"/>
      <c r="AA16" s="1070"/>
      <c r="AB16" s="1070"/>
      <c r="AC16" s="1070"/>
      <c r="AD16" s="1071">
        <f t="shared" si="4"/>
        <v>10544160</v>
      </c>
      <c r="AE16" s="605">
        <f t="shared" si="2"/>
        <v>3.8352683978847231E-2</v>
      </c>
      <c r="AF16" s="606">
        <f t="shared" si="3"/>
        <v>43</v>
      </c>
      <c r="AH16" s="1370" t="s">
        <v>954</v>
      </c>
      <c r="AI16" s="1391">
        <v>108000</v>
      </c>
      <c r="AJ16" s="1391">
        <v>210600</v>
      </c>
      <c r="AK16" s="1391">
        <f t="shared" si="5"/>
        <v>102600</v>
      </c>
      <c r="AL16" s="1030">
        <f t="shared" si="6"/>
        <v>0.95</v>
      </c>
    </row>
    <row r="17" spans="1:38" x14ac:dyDescent="0.3">
      <c r="A17" s="543" t="s">
        <v>618</v>
      </c>
      <c r="B17" s="676" t="s">
        <v>634</v>
      </c>
      <c r="C17" s="503"/>
      <c r="D17" s="504">
        <v>453600</v>
      </c>
      <c r="E17" s="504">
        <v>3763440</v>
      </c>
      <c r="F17" s="504">
        <v>775800</v>
      </c>
      <c r="G17" s="504">
        <v>0</v>
      </c>
      <c r="H17" s="504">
        <v>86400</v>
      </c>
      <c r="I17" s="504">
        <v>0</v>
      </c>
      <c r="J17" s="504">
        <v>4821300</v>
      </c>
      <c r="K17" s="504">
        <v>4821300</v>
      </c>
      <c r="L17" s="504">
        <v>6523200</v>
      </c>
      <c r="M17" s="504">
        <v>293400</v>
      </c>
      <c r="N17" s="504">
        <v>0</v>
      </c>
      <c r="O17" s="504">
        <v>607320</v>
      </c>
      <c r="P17" s="1498">
        <f t="shared" si="0"/>
        <v>9900540</v>
      </c>
      <c r="Q17" s="694">
        <f t="shared" si="1"/>
        <v>17324460</v>
      </c>
      <c r="R17" s="1069">
        <v>622080</v>
      </c>
      <c r="S17" s="1070" t="s">
        <v>251</v>
      </c>
      <c r="T17" s="1070">
        <v>2192280</v>
      </c>
      <c r="U17" s="1070">
        <v>1773280</v>
      </c>
      <c r="V17" s="1070">
        <v>1317390</v>
      </c>
      <c r="W17" s="1070">
        <v>2287700</v>
      </c>
      <c r="X17" s="1070">
        <v>0</v>
      </c>
      <c r="Y17" s="1070">
        <v>3475000</v>
      </c>
      <c r="Z17" s="1070"/>
      <c r="AA17" s="1070"/>
      <c r="AB17" s="1070"/>
      <c r="AC17" s="1070"/>
      <c r="AD17" s="1071">
        <f t="shared" si="4"/>
        <v>11667730</v>
      </c>
      <c r="AE17" s="605">
        <f t="shared" si="2"/>
        <v>0.1784943043510758</v>
      </c>
      <c r="AF17" s="606">
        <f t="shared" si="3"/>
        <v>36</v>
      </c>
      <c r="AH17" s="1370" t="s">
        <v>754</v>
      </c>
      <c r="AI17" s="1391">
        <v>282220</v>
      </c>
      <c r="AJ17" s="1391">
        <v>188250</v>
      </c>
      <c r="AK17" s="1391">
        <f t="shared" si="5"/>
        <v>-93970</v>
      </c>
      <c r="AL17" s="1030">
        <f t="shared" si="6"/>
        <v>-0.33296718871802139</v>
      </c>
    </row>
    <row r="18" spans="1:38" x14ac:dyDescent="0.3">
      <c r="A18" s="543" t="s">
        <v>618</v>
      </c>
      <c r="B18" s="676" t="s">
        <v>635</v>
      </c>
      <c r="C18" s="503">
        <v>525600</v>
      </c>
      <c r="D18" s="504"/>
      <c r="E18" s="504">
        <v>2542680</v>
      </c>
      <c r="F18" s="504">
        <v>1497240</v>
      </c>
      <c r="G18" s="504">
        <v>438480</v>
      </c>
      <c r="H18" s="504">
        <v>32400</v>
      </c>
      <c r="I18" s="504">
        <v>21600</v>
      </c>
      <c r="J18" s="504">
        <v>1040400</v>
      </c>
      <c r="K18" s="504">
        <v>833400</v>
      </c>
      <c r="L18" s="504">
        <v>5590020</v>
      </c>
      <c r="M18" s="504">
        <v>1931400</v>
      </c>
      <c r="N18" s="504">
        <v>920160</v>
      </c>
      <c r="O18" s="504">
        <v>426960</v>
      </c>
      <c r="P18" s="1498">
        <f t="shared" si="0"/>
        <v>5891400</v>
      </c>
      <c r="Q18" s="694">
        <f t="shared" si="1"/>
        <v>14966940</v>
      </c>
      <c r="R18" s="1069" t="s">
        <v>251</v>
      </c>
      <c r="S18" s="1070" t="s">
        <v>251</v>
      </c>
      <c r="T18" s="1070">
        <v>4438980</v>
      </c>
      <c r="U18" s="1070">
        <v>5284500</v>
      </c>
      <c r="V18" s="1070">
        <v>1874130</v>
      </c>
      <c r="W18" s="1070">
        <v>2009670</v>
      </c>
      <c r="X18" s="1070">
        <v>1404390</v>
      </c>
      <c r="Y18" s="1070">
        <v>983000</v>
      </c>
      <c r="Z18" s="1070"/>
      <c r="AA18" s="1070"/>
      <c r="AB18" s="1070"/>
      <c r="AC18" s="1070"/>
      <c r="AD18" s="1071">
        <f t="shared" si="4"/>
        <v>15994670</v>
      </c>
      <c r="AE18" s="605">
        <f t="shared" si="2"/>
        <v>1.7149183555691347</v>
      </c>
      <c r="AF18" s="606">
        <f t="shared" si="3"/>
        <v>29</v>
      </c>
      <c r="AH18" s="1370" t="s">
        <v>2717</v>
      </c>
      <c r="AI18" s="1391">
        <v>0</v>
      </c>
      <c r="AJ18" s="1391">
        <v>12970</v>
      </c>
      <c r="AK18" s="1391">
        <f t="shared" si="5"/>
        <v>12970</v>
      </c>
      <c r="AL18" s="1030">
        <f t="shared" si="6"/>
        <v>0</v>
      </c>
    </row>
    <row r="19" spans="1:38" x14ac:dyDescent="0.3">
      <c r="A19" s="543" t="s">
        <v>618</v>
      </c>
      <c r="B19" s="676" t="s">
        <v>636</v>
      </c>
      <c r="C19" s="503"/>
      <c r="D19" s="504"/>
      <c r="E19" s="504">
        <v>1735200</v>
      </c>
      <c r="F19" s="504">
        <v>1568160</v>
      </c>
      <c r="G19" s="504">
        <v>1060380</v>
      </c>
      <c r="H19" s="504">
        <v>4380130</v>
      </c>
      <c r="I19" s="504">
        <v>4399290</v>
      </c>
      <c r="J19" s="504">
        <v>730440</v>
      </c>
      <c r="K19" s="504">
        <v>546480</v>
      </c>
      <c r="L19" s="504">
        <v>331920</v>
      </c>
      <c r="M19" s="504">
        <v>504000</v>
      </c>
      <c r="N19" s="504">
        <v>7676820</v>
      </c>
      <c r="O19" s="504">
        <v>2970000</v>
      </c>
      <c r="P19" s="1498">
        <f t="shared" si="0"/>
        <v>13689640</v>
      </c>
      <c r="Q19" s="694">
        <f t="shared" si="1"/>
        <v>25356340</v>
      </c>
      <c r="R19" s="1069">
        <v>288720</v>
      </c>
      <c r="S19" s="1070" t="s">
        <v>251</v>
      </c>
      <c r="T19" s="1070">
        <v>357630</v>
      </c>
      <c r="U19" s="1070">
        <v>246090</v>
      </c>
      <c r="V19" s="1070">
        <v>0</v>
      </c>
      <c r="W19" s="1070">
        <v>0</v>
      </c>
      <c r="X19" s="1070">
        <v>0</v>
      </c>
      <c r="Y19" s="1070">
        <v>0</v>
      </c>
      <c r="Z19" s="1070"/>
      <c r="AA19" s="1070"/>
      <c r="AB19" s="1070"/>
      <c r="AC19" s="1070"/>
      <c r="AD19" s="1071">
        <f t="shared" si="4"/>
        <v>892440</v>
      </c>
      <c r="AE19" s="605">
        <f t="shared" si="2"/>
        <v>-0.93480909651386013</v>
      </c>
      <c r="AF19" s="606">
        <f t="shared" si="3"/>
        <v>207</v>
      </c>
      <c r="AH19" s="1370" t="s">
        <v>733</v>
      </c>
      <c r="AI19" s="1391">
        <v>2993760</v>
      </c>
      <c r="AJ19" s="1391">
        <v>0</v>
      </c>
      <c r="AK19" s="1391">
        <f t="shared" si="5"/>
        <v>-2993760</v>
      </c>
      <c r="AL19" s="1030">
        <f t="shared" si="6"/>
        <v>-1</v>
      </c>
    </row>
    <row r="20" spans="1:38" x14ac:dyDescent="0.3">
      <c r="A20" s="543" t="s">
        <v>618</v>
      </c>
      <c r="B20" s="676" t="s">
        <v>637</v>
      </c>
      <c r="C20" s="503"/>
      <c r="D20" s="504"/>
      <c r="E20" s="504">
        <v>0</v>
      </c>
      <c r="F20" s="504">
        <v>3923640</v>
      </c>
      <c r="G20" s="504">
        <v>0</v>
      </c>
      <c r="H20" s="504">
        <v>1236600</v>
      </c>
      <c r="I20" s="504">
        <v>0</v>
      </c>
      <c r="J20" s="504">
        <v>97200</v>
      </c>
      <c r="K20" s="504">
        <v>97200</v>
      </c>
      <c r="L20" s="504">
        <v>1785600</v>
      </c>
      <c r="M20" s="504">
        <v>31500</v>
      </c>
      <c r="N20" s="504">
        <v>0</v>
      </c>
      <c r="O20" s="504">
        <v>0</v>
      </c>
      <c r="P20" s="1498">
        <f t="shared" si="0"/>
        <v>5257440</v>
      </c>
      <c r="Q20" s="694">
        <f t="shared" si="1"/>
        <v>7074540</v>
      </c>
      <c r="R20" s="1069">
        <v>16200</v>
      </c>
      <c r="S20" s="1070" t="s">
        <v>251</v>
      </c>
      <c r="T20" s="1070">
        <v>160290</v>
      </c>
      <c r="U20" s="1070">
        <v>3006310</v>
      </c>
      <c r="V20" s="1070">
        <v>951000</v>
      </c>
      <c r="W20" s="1070">
        <v>0</v>
      </c>
      <c r="X20" s="1070">
        <v>0</v>
      </c>
      <c r="Y20" s="1070">
        <v>0</v>
      </c>
      <c r="Z20" s="1070"/>
      <c r="AA20" s="1070"/>
      <c r="AB20" s="1070"/>
      <c r="AC20" s="1070"/>
      <c r="AD20" s="1071">
        <f t="shared" si="4"/>
        <v>4133800</v>
      </c>
      <c r="AE20" s="605">
        <f t="shared" si="2"/>
        <v>-0.21372378952493989</v>
      </c>
      <c r="AF20" s="606">
        <f t="shared" si="3"/>
        <v>93</v>
      </c>
      <c r="AH20" s="1370" t="s">
        <v>752</v>
      </c>
      <c r="AI20" s="1391">
        <v>0</v>
      </c>
      <c r="AJ20" s="1391">
        <v>0</v>
      </c>
      <c r="AK20" s="1391">
        <f t="shared" si="5"/>
        <v>0</v>
      </c>
      <c r="AL20" s="1030">
        <f t="shared" si="6"/>
        <v>0</v>
      </c>
    </row>
    <row r="21" spans="1:38" x14ac:dyDescent="0.3">
      <c r="A21" s="543" t="s">
        <v>618</v>
      </c>
      <c r="B21" s="676" t="s">
        <v>638</v>
      </c>
      <c r="C21" s="503"/>
      <c r="D21" s="504"/>
      <c r="E21" s="504">
        <v>779400</v>
      </c>
      <c r="F21" s="504">
        <v>1022400</v>
      </c>
      <c r="G21" s="504">
        <v>1270450</v>
      </c>
      <c r="H21" s="504">
        <v>0</v>
      </c>
      <c r="I21" s="504">
        <v>0</v>
      </c>
      <c r="J21" s="504">
        <v>0</v>
      </c>
      <c r="K21" s="504">
        <v>0</v>
      </c>
      <c r="L21" s="504">
        <v>2142000</v>
      </c>
      <c r="M21" s="504">
        <v>252000</v>
      </c>
      <c r="N21" s="504">
        <v>126000</v>
      </c>
      <c r="O21" s="504">
        <v>756000</v>
      </c>
      <c r="P21" s="1498">
        <f t="shared" si="0"/>
        <v>3072250</v>
      </c>
      <c r="Q21" s="694">
        <f t="shared" si="1"/>
        <v>6348250</v>
      </c>
      <c r="R21" s="1069" t="s">
        <v>251</v>
      </c>
      <c r="S21" s="1070" t="s">
        <v>251</v>
      </c>
      <c r="T21" s="1070"/>
      <c r="U21" s="1070">
        <v>3412500</v>
      </c>
      <c r="V21" s="1070">
        <v>1365000</v>
      </c>
      <c r="W21" s="1070">
        <v>682500</v>
      </c>
      <c r="X21" s="1070">
        <v>0</v>
      </c>
      <c r="Y21" s="1070">
        <v>0</v>
      </c>
      <c r="Z21" s="1070"/>
      <c r="AA21" s="1070"/>
      <c r="AB21" s="1070"/>
      <c r="AC21" s="1070"/>
      <c r="AD21" s="1071">
        <f t="shared" si="4"/>
        <v>5460000</v>
      </c>
      <c r="AE21" s="605">
        <f t="shared" si="2"/>
        <v>0.77719912116526979</v>
      </c>
      <c r="AF21" s="606">
        <f t="shared" si="3"/>
        <v>76</v>
      </c>
      <c r="AH21" s="1370" t="s">
        <v>1347</v>
      </c>
      <c r="AI21" s="1391">
        <v>0</v>
      </c>
      <c r="AJ21" s="1391">
        <v>0</v>
      </c>
      <c r="AK21" s="1391">
        <f t="shared" si="5"/>
        <v>0</v>
      </c>
      <c r="AL21" s="1030">
        <f t="shared" si="6"/>
        <v>0</v>
      </c>
    </row>
    <row r="22" spans="1:38" x14ac:dyDescent="0.3">
      <c r="A22" s="543" t="s">
        <v>618</v>
      </c>
      <c r="B22" s="676" t="s">
        <v>639</v>
      </c>
      <c r="C22" s="503"/>
      <c r="D22" s="504"/>
      <c r="E22" s="504">
        <v>604800</v>
      </c>
      <c r="F22" s="504">
        <v>0</v>
      </c>
      <c r="G22" s="504">
        <v>1816020</v>
      </c>
      <c r="H22" s="504">
        <v>210600</v>
      </c>
      <c r="I22" s="504">
        <v>0</v>
      </c>
      <c r="J22" s="504">
        <v>0</v>
      </c>
      <c r="K22" s="504">
        <v>0</v>
      </c>
      <c r="L22" s="504">
        <v>957600</v>
      </c>
      <c r="M22" s="504">
        <v>743400</v>
      </c>
      <c r="N22" s="504">
        <v>0</v>
      </c>
      <c r="O22" s="504">
        <v>323370</v>
      </c>
      <c r="P22" s="1498">
        <f t="shared" si="0"/>
        <v>2631420</v>
      </c>
      <c r="Q22" s="694">
        <f t="shared" si="1"/>
        <v>4655790</v>
      </c>
      <c r="R22" s="1069" t="s">
        <v>251</v>
      </c>
      <c r="S22" s="1070">
        <v>23400</v>
      </c>
      <c r="T22" s="1070">
        <v>1575210</v>
      </c>
      <c r="U22" s="1070">
        <v>2854390</v>
      </c>
      <c r="V22" s="1070">
        <v>729020</v>
      </c>
      <c r="W22" s="1070">
        <v>2274070</v>
      </c>
      <c r="X22" s="1070">
        <v>19500</v>
      </c>
      <c r="Y22" s="1070">
        <v>0</v>
      </c>
      <c r="Z22" s="1070"/>
      <c r="AA22" s="1070"/>
      <c r="AB22" s="1070"/>
      <c r="AC22" s="1070"/>
      <c r="AD22" s="1071">
        <f t="shared" si="4"/>
        <v>7475590</v>
      </c>
      <c r="AE22" s="605">
        <f t="shared" si="2"/>
        <v>1.8408957901057224</v>
      </c>
      <c r="AF22" s="606">
        <f t="shared" si="3"/>
        <v>62</v>
      </c>
      <c r="AH22" s="1370" t="s">
        <v>758</v>
      </c>
      <c r="AI22" s="1391">
        <v>0</v>
      </c>
      <c r="AJ22" s="1391">
        <v>0</v>
      </c>
      <c r="AK22" s="1391">
        <f t="shared" si="5"/>
        <v>0</v>
      </c>
      <c r="AL22" s="1030">
        <f t="shared" si="6"/>
        <v>0</v>
      </c>
    </row>
    <row r="23" spans="1:38" x14ac:dyDescent="0.3">
      <c r="A23" s="543" t="s">
        <v>618</v>
      </c>
      <c r="B23" s="676" t="s">
        <v>640</v>
      </c>
      <c r="C23" s="503"/>
      <c r="D23" s="504"/>
      <c r="E23" s="504">
        <v>0</v>
      </c>
      <c r="F23" s="504">
        <v>1941840</v>
      </c>
      <c r="G23" s="504">
        <v>418320</v>
      </c>
      <c r="H23" s="504">
        <v>0</v>
      </c>
      <c r="I23" s="504">
        <v>0</v>
      </c>
      <c r="J23" s="504">
        <v>0</v>
      </c>
      <c r="K23" s="504">
        <v>0</v>
      </c>
      <c r="L23" s="504">
        <v>2638080</v>
      </c>
      <c r="M23" s="504">
        <v>0</v>
      </c>
      <c r="N23" s="504">
        <v>0</v>
      </c>
      <c r="O23" s="504">
        <v>700560</v>
      </c>
      <c r="P23" s="1498">
        <f t="shared" si="0"/>
        <v>2360160</v>
      </c>
      <c r="Q23" s="694">
        <f t="shared" si="1"/>
        <v>5698800</v>
      </c>
      <c r="R23" s="1069">
        <v>21600</v>
      </c>
      <c r="S23" s="1070" t="s">
        <v>251</v>
      </c>
      <c r="T23" s="1070">
        <v>0</v>
      </c>
      <c r="U23" s="1070">
        <v>3318510</v>
      </c>
      <c r="V23" s="1070">
        <v>0</v>
      </c>
      <c r="W23" s="1070">
        <v>0</v>
      </c>
      <c r="X23" s="1070">
        <v>0</v>
      </c>
      <c r="Y23" s="1070">
        <v>0</v>
      </c>
      <c r="Z23" s="1070"/>
      <c r="AA23" s="1070"/>
      <c r="AB23" s="1070"/>
      <c r="AC23" s="1070"/>
      <c r="AD23" s="1071">
        <f t="shared" si="4"/>
        <v>3340110</v>
      </c>
      <c r="AE23" s="605">
        <f t="shared" si="2"/>
        <v>0.41520490136261951</v>
      </c>
      <c r="AF23" s="606">
        <f t="shared" si="3"/>
        <v>114</v>
      </c>
      <c r="AH23" s="1370" t="s">
        <v>253</v>
      </c>
      <c r="AI23" s="1391">
        <v>621520</v>
      </c>
      <c r="AJ23" s="1391">
        <v>0</v>
      </c>
      <c r="AK23" s="1391">
        <f t="shared" si="5"/>
        <v>-621520</v>
      </c>
      <c r="AL23" s="1030">
        <f t="shared" si="6"/>
        <v>-1</v>
      </c>
    </row>
    <row r="24" spans="1:38" ht="17.25" thickBot="1" x14ac:dyDescent="0.35">
      <c r="A24" s="543" t="s">
        <v>618</v>
      </c>
      <c r="B24" s="676" t="s">
        <v>641</v>
      </c>
      <c r="C24" s="503"/>
      <c r="D24" s="504"/>
      <c r="E24" s="504">
        <v>846000</v>
      </c>
      <c r="F24" s="504">
        <v>1255500</v>
      </c>
      <c r="G24" s="504">
        <v>97200</v>
      </c>
      <c r="H24" s="504">
        <v>0</v>
      </c>
      <c r="I24" s="504">
        <v>280800</v>
      </c>
      <c r="J24" s="504">
        <v>442800</v>
      </c>
      <c r="K24" s="504">
        <v>442800</v>
      </c>
      <c r="L24" s="504">
        <v>1692000</v>
      </c>
      <c r="M24" s="504">
        <v>324000</v>
      </c>
      <c r="N24" s="504">
        <v>0</v>
      </c>
      <c r="O24" s="504">
        <v>262800</v>
      </c>
      <c r="P24" s="1498">
        <f t="shared" si="0"/>
        <v>2922300</v>
      </c>
      <c r="Q24" s="694">
        <f t="shared" si="1"/>
        <v>5201100</v>
      </c>
      <c r="R24" s="1069">
        <v>113400</v>
      </c>
      <c r="S24" s="1070" t="s">
        <v>251</v>
      </c>
      <c r="T24" s="1070">
        <v>696150</v>
      </c>
      <c r="U24" s="1070">
        <v>0</v>
      </c>
      <c r="V24" s="1070">
        <v>70200</v>
      </c>
      <c r="W24" s="1070">
        <v>0</v>
      </c>
      <c r="X24" s="1070">
        <v>271050</v>
      </c>
      <c r="Y24" s="1070">
        <v>0</v>
      </c>
      <c r="Z24" s="1070"/>
      <c r="AA24" s="1070"/>
      <c r="AB24" s="1070"/>
      <c r="AC24" s="1070"/>
      <c r="AD24" s="1071">
        <f t="shared" si="4"/>
        <v>1150800</v>
      </c>
      <c r="AE24" s="605">
        <f t="shared" si="2"/>
        <v>-0.60620059542141469</v>
      </c>
      <c r="AF24" s="606">
        <f t="shared" si="3"/>
        <v>187</v>
      </c>
      <c r="AH24" s="1388" t="s">
        <v>783</v>
      </c>
      <c r="AI24" s="1392">
        <f>SUM(AI4:AI23)</f>
        <v>1140330650</v>
      </c>
      <c r="AJ24" s="1392">
        <v>1889132430</v>
      </c>
      <c r="AK24" s="1393">
        <f t="shared" ref="AK24" si="7">AJ24-AI24</f>
        <v>748801780</v>
      </c>
      <c r="AL24" s="1367">
        <f>IFERROR((AJ24-AI24)/AI24, 0)</f>
        <v>0.65665320843564101</v>
      </c>
    </row>
    <row r="25" spans="1:38" x14ac:dyDescent="0.3">
      <c r="A25" s="543" t="s">
        <v>618</v>
      </c>
      <c r="B25" s="676" t="s">
        <v>642</v>
      </c>
      <c r="C25" s="503">
        <v>562500</v>
      </c>
      <c r="D25" s="504">
        <v>910800</v>
      </c>
      <c r="E25" s="504">
        <v>423000</v>
      </c>
      <c r="F25" s="504">
        <v>497700</v>
      </c>
      <c r="G25" s="504">
        <v>18900</v>
      </c>
      <c r="H25" s="504">
        <v>0</v>
      </c>
      <c r="I25" s="504">
        <v>0</v>
      </c>
      <c r="J25" s="504">
        <v>0</v>
      </c>
      <c r="K25" s="504">
        <v>0</v>
      </c>
      <c r="L25" s="504">
        <v>0</v>
      </c>
      <c r="M25" s="504">
        <v>0</v>
      </c>
      <c r="N25" s="504">
        <v>0</v>
      </c>
      <c r="O25" s="504">
        <v>0</v>
      </c>
      <c r="P25" s="1498">
        <f t="shared" si="0"/>
        <v>2412900</v>
      </c>
      <c r="Q25" s="694">
        <f t="shared" si="1"/>
        <v>2412900</v>
      </c>
      <c r="R25" s="1069" t="s">
        <v>251</v>
      </c>
      <c r="S25" s="1070" t="s">
        <v>251</v>
      </c>
      <c r="T25" s="1070">
        <v>3201450</v>
      </c>
      <c r="U25" s="1070">
        <v>259350</v>
      </c>
      <c r="V25" s="1070">
        <v>0</v>
      </c>
      <c r="W25" s="1070">
        <v>0</v>
      </c>
      <c r="X25" s="1070">
        <v>0</v>
      </c>
      <c r="Y25" s="1070">
        <v>0</v>
      </c>
      <c r="Z25" s="1070"/>
      <c r="AA25" s="1070"/>
      <c r="AB25" s="1070"/>
      <c r="AC25" s="1070"/>
      <c r="AD25" s="1071">
        <f t="shared" si="4"/>
        <v>3460800</v>
      </c>
      <c r="AE25" s="605">
        <f t="shared" si="2"/>
        <v>0.43429068755439515</v>
      </c>
      <c r="AF25" s="606">
        <f t="shared" si="3"/>
        <v>111</v>
      </c>
      <c r="AI25" s="30"/>
      <c r="AJ25" s="30"/>
    </row>
    <row r="26" spans="1:38" x14ac:dyDescent="0.3">
      <c r="A26" s="543" t="s">
        <v>618</v>
      </c>
      <c r="B26" s="676" t="s">
        <v>643</v>
      </c>
      <c r="C26" s="503">
        <v>102600</v>
      </c>
      <c r="D26" s="504"/>
      <c r="E26" s="504">
        <v>0</v>
      </c>
      <c r="F26" s="504">
        <v>587520</v>
      </c>
      <c r="G26" s="504">
        <v>1297800</v>
      </c>
      <c r="H26" s="504">
        <v>957240</v>
      </c>
      <c r="I26" s="504">
        <v>168300</v>
      </c>
      <c r="J26" s="504">
        <v>0</v>
      </c>
      <c r="K26" s="504">
        <v>0</v>
      </c>
      <c r="L26" s="504">
        <v>1475280</v>
      </c>
      <c r="M26" s="504">
        <v>194400</v>
      </c>
      <c r="N26" s="504">
        <v>246960</v>
      </c>
      <c r="O26" s="504">
        <v>1968840</v>
      </c>
      <c r="P26" s="1498">
        <f t="shared" si="0"/>
        <v>3113460</v>
      </c>
      <c r="Q26" s="694">
        <f t="shared" si="1"/>
        <v>6998940</v>
      </c>
      <c r="R26" s="1069">
        <v>607320</v>
      </c>
      <c r="S26" s="1070">
        <v>535680</v>
      </c>
      <c r="T26" s="1070">
        <v>365770</v>
      </c>
      <c r="U26" s="1070">
        <v>1415520</v>
      </c>
      <c r="V26" s="1070">
        <v>4746420</v>
      </c>
      <c r="W26" s="1070">
        <v>2308010</v>
      </c>
      <c r="X26" s="1070">
        <v>295420</v>
      </c>
      <c r="Y26" s="1070">
        <v>717060</v>
      </c>
      <c r="Z26" s="1070"/>
      <c r="AA26" s="1070"/>
      <c r="AB26" s="1070"/>
      <c r="AC26" s="1070"/>
      <c r="AD26" s="1071">
        <f t="shared" si="4"/>
        <v>10991200</v>
      </c>
      <c r="AE26" s="605">
        <f t="shared" si="2"/>
        <v>2.5302203978853108</v>
      </c>
      <c r="AF26" s="606">
        <f t="shared" si="3"/>
        <v>39</v>
      </c>
    </row>
    <row r="27" spans="1:38" x14ac:dyDescent="0.3">
      <c r="A27" s="543" t="s">
        <v>618</v>
      </c>
      <c r="B27" s="676" t="s">
        <v>644</v>
      </c>
      <c r="C27" s="503">
        <v>352800</v>
      </c>
      <c r="D27" s="504">
        <v>97200</v>
      </c>
      <c r="E27" s="504">
        <v>669600</v>
      </c>
      <c r="F27" s="504">
        <v>498960</v>
      </c>
      <c r="G27" s="504">
        <v>0</v>
      </c>
      <c r="H27" s="504">
        <v>0</v>
      </c>
      <c r="I27" s="504">
        <v>0</v>
      </c>
      <c r="J27" s="504">
        <v>180000</v>
      </c>
      <c r="K27" s="504">
        <v>180000</v>
      </c>
      <c r="L27" s="504">
        <v>684720</v>
      </c>
      <c r="M27" s="504">
        <v>0</v>
      </c>
      <c r="N27" s="504">
        <v>0</v>
      </c>
      <c r="O27" s="504">
        <v>0</v>
      </c>
      <c r="P27" s="1498">
        <f t="shared" si="0"/>
        <v>1798560</v>
      </c>
      <c r="Q27" s="694">
        <f t="shared" si="1"/>
        <v>2483280</v>
      </c>
      <c r="R27" s="1069" t="s">
        <v>251</v>
      </c>
      <c r="S27" s="1070" t="s">
        <v>251</v>
      </c>
      <c r="T27" s="1070"/>
      <c r="U27" s="1070"/>
      <c r="V27" s="1070"/>
      <c r="W27" s="1070"/>
      <c r="X27" s="1070"/>
      <c r="Y27" s="1070">
        <v>333800</v>
      </c>
      <c r="Z27" s="1070"/>
      <c r="AA27" s="1070"/>
      <c r="AB27" s="1070"/>
      <c r="AC27" s="1070"/>
      <c r="AD27" s="1071">
        <f t="shared" si="4"/>
        <v>333800</v>
      </c>
      <c r="AE27" s="605">
        <f t="shared" si="2"/>
        <v>-0.81440708122053196</v>
      </c>
      <c r="AF27" s="606">
        <f t="shared" si="3"/>
        <v>286</v>
      </c>
    </row>
    <row r="28" spans="1:38" x14ac:dyDescent="0.3">
      <c r="A28" s="543" t="s">
        <v>618</v>
      </c>
      <c r="B28" s="676" t="s">
        <v>645</v>
      </c>
      <c r="C28" s="503"/>
      <c r="D28" s="504"/>
      <c r="E28" s="504">
        <v>621000</v>
      </c>
      <c r="F28" s="504">
        <v>0</v>
      </c>
      <c r="G28" s="504">
        <v>770400</v>
      </c>
      <c r="H28" s="504">
        <v>75600</v>
      </c>
      <c r="I28" s="504">
        <v>0</v>
      </c>
      <c r="J28" s="504">
        <v>1134000</v>
      </c>
      <c r="K28" s="504">
        <v>0</v>
      </c>
      <c r="L28" s="504">
        <v>525600</v>
      </c>
      <c r="M28" s="504">
        <v>262800</v>
      </c>
      <c r="N28" s="504">
        <v>0</v>
      </c>
      <c r="O28" s="504">
        <v>0</v>
      </c>
      <c r="P28" s="1498">
        <f t="shared" si="0"/>
        <v>1467000</v>
      </c>
      <c r="Q28" s="694">
        <f t="shared" si="1"/>
        <v>3389400</v>
      </c>
      <c r="R28" s="1069" t="s">
        <v>251</v>
      </c>
      <c r="S28" s="1070" t="s">
        <v>251</v>
      </c>
      <c r="T28" s="1070"/>
      <c r="U28" s="1070"/>
      <c r="V28" s="1070"/>
      <c r="W28" s="1070"/>
      <c r="X28" s="1070"/>
      <c r="Y28" s="1070"/>
      <c r="Z28" s="1070"/>
      <c r="AA28" s="1070"/>
      <c r="AB28" s="1070"/>
      <c r="AC28" s="1070"/>
      <c r="AD28" s="1071">
        <f t="shared" si="4"/>
        <v>0</v>
      </c>
      <c r="AE28" s="605">
        <f t="shared" si="2"/>
        <v>-1</v>
      </c>
      <c r="AF28" s="606">
        <f t="shared" si="3"/>
        <v>394</v>
      </c>
    </row>
    <row r="29" spans="1:38" x14ac:dyDescent="0.3">
      <c r="A29" s="543" t="s">
        <v>618</v>
      </c>
      <c r="B29" s="676" t="s">
        <v>646</v>
      </c>
      <c r="C29" s="503"/>
      <c r="D29" s="504"/>
      <c r="E29" s="504">
        <v>0</v>
      </c>
      <c r="F29" s="504">
        <v>654480</v>
      </c>
      <c r="G29" s="504">
        <v>694930</v>
      </c>
      <c r="H29" s="504">
        <v>0</v>
      </c>
      <c r="I29" s="504">
        <v>0</v>
      </c>
      <c r="J29" s="504">
        <v>0</v>
      </c>
      <c r="K29" s="504">
        <v>0</v>
      </c>
      <c r="L29" s="504">
        <v>2628390</v>
      </c>
      <c r="M29" s="504">
        <v>0</v>
      </c>
      <c r="N29" s="504">
        <v>0</v>
      </c>
      <c r="O29" s="504">
        <v>0</v>
      </c>
      <c r="P29" s="1498">
        <f t="shared" si="0"/>
        <v>1349410</v>
      </c>
      <c r="Q29" s="694">
        <f t="shared" si="1"/>
        <v>3977800</v>
      </c>
      <c r="R29" s="1069" t="s">
        <v>251</v>
      </c>
      <c r="S29" s="1070" t="s">
        <v>251</v>
      </c>
      <c r="T29" s="1070"/>
      <c r="U29" s="1070">
        <v>976560</v>
      </c>
      <c r="V29" s="1070">
        <v>898950</v>
      </c>
      <c r="W29" s="1070">
        <v>14040</v>
      </c>
      <c r="X29" s="1070">
        <v>0</v>
      </c>
      <c r="Y29" s="1070">
        <v>0</v>
      </c>
      <c r="Z29" s="1070"/>
      <c r="AA29" s="1070"/>
      <c r="AB29" s="1070"/>
      <c r="AC29" s="1070"/>
      <c r="AD29" s="1071">
        <f t="shared" si="4"/>
        <v>1889550</v>
      </c>
      <c r="AE29" s="605">
        <f t="shared" si="2"/>
        <v>0.40027864029464727</v>
      </c>
      <c r="AF29" s="606">
        <f t="shared" si="3"/>
        <v>154</v>
      </c>
    </row>
    <row r="30" spans="1:38" x14ac:dyDescent="0.3">
      <c r="A30" s="543" t="s">
        <v>618</v>
      </c>
      <c r="B30" s="676" t="s">
        <v>647</v>
      </c>
      <c r="C30" s="503"/>
      <c r="D30" s="504"/>
      <c r="E30" s="504">
        <v>1144800</v>
      </c>
      <c r="F30" s="504">
        <v>0</v>
      </c>
      <c r="G30" s="504">
        <v>0</v>
      </c>
      <c r="H30" s="504">
        <v>0</v>
      </c>
      <c r="I30" s="504">
        <v>0</v>
      </c>
      <c r="J30" s="504">
        <v>0</v>
      </c>
      <c r="K30" s="504">
        <v>0</v>
      </c>
      <c r="L30" s="504">
        <v>0</v>
      </c>
      <c r="M30" s="504">
        <v>0</v>
      </c>
      <c r="N30" s="504">
        <v>0</v>
      </c>
      <c r="O30" s="504">
        <v>0</v>
      </c>
      <c r="P30" s="1498">
        <f t="shared" si="0"/>
        <v>1144800</v>
      </c>
      <c r="Q30" s="694">
        <f t="shared" si="1"/>
        <v>1144800</v>
      </c>
      <c r="R30" s="1069" t="s">
        <v>251</v>
      </c>
      <c r="S30" s="1070" t="s">
        <v>251</v>
      </c>
      <c r="T30" s="1070"/>
      <c r="U30" s="1070"/>
      <c r="V30" s="1070"/>
      <c r="W30" s="1070"/>
      <c r="X30" s="1070"/>
      <c r="Y30" s="1070"/>
      <c r="Z30" s="1070"/>
      <c r="AA30" s="1070"/>
      <c r="AB30" s="1070"/>
      <c r="AC30" s="1070"/>
      <c r="AD30" s="1071">
        <f t="shared" si="4"/>
        <v>0</v>
      </c>
      <c r="AE30" s="605">
        <f t="shared" si="2"/>
        <v>-1</v>
      </c>
      <c r="AF30" s="606">
        <f t="shared" si="3"/>
        <v>394</v>
      </c>
    </row>
    <row r="31" spans="1:38" x14ac:dyDescent="0.3">
      <c r="A31" s="543" t="s">
        <v>618</v>
      </c>
      <c r="B31" s="676" t="s">
        <v>648</v>
      </c>
      <c r="C31" s="503"/>
      <c r="D31" s="504"/>
      <c r="E31" s="504">
        <v>0</v>
      </c>
      <c r="F31" s="504">
        <v>0</v>
      </c>
      <c r="G31" s="504">
        <v>811800</v>
      </c>
      <c r="H31" s="504">
        <v>1263600</v>
      </c>
      <c r="I31" s="504">
        <v>1057180</v>
      </c>
      <c r="J31" s="504">
        <v>0</v>
      </c>
      <c r="K31" s="504">
        <v>0</v>
      </c>
      <c r="L31" s="504">
        <v>0</v>
      </c>
      <c r="M31" s="504">
        <v>0</v>
      </c>
      <c r="N31" s="504">
        <v>158560</v>
      </c>
      <c r="O31" s="504">
        <v>733920</v>
      </c>
      <c r="P31" s="1498">
        <f t="shared" si="0"/>
        <v>3132580</v>
      </c>
      <c r="Q31" s="694">
        <f t="shared" si="1"/>
        <v>4025060</v>
      </c>
      <c r="R31" s="1069">
        <v>819720</v>
      </c>
      <c r="S31" s="1070" t="s">
        <v>251</v>
      </c>
      <c r="T31" s="1070">
        <v>0</v>
      </c>
      <c r="U31" s="1070">
        <v>26130</v>
      </c>
      <c r="V31" s="1070">
        <v>0</v>
      </c>
      <c r="W31" s="1070">
        <v>0</v>
      </c>
      <c r="X31" s="1070">
        <v>0</v>
      </c>
      <c r="Y31" s="1070">
        <v>0</v>
      </c>
      <c r="Z31" s="1070"/>
      <c r="AA31" s="1070"/>
      <c r="AB31" s="1070"/>
      <c r="AC31" s="1070"/>
      <c r="AD31" s="1071">
        <f t="shared" si="4"/>
        <v>845850</v>
      </c>
      <c r="AE31" s="605">
        <f t="shared" si="2"/>
        <v>-0.72998295334835828</v>
      </c>
      <c r="AF31" s="606">
        <f t="shared" si="3"/>
        <v>214</v>
      </c>
    </row>
    <row r="32" spans="1:38" x14ac:dyDescent="0.3">
      <c r="A32" s="543" t="s">
        <v>618</v>
      </c>
      <c r="B32" s="676" t="s">
        <v>649</v>
      </c>
      <c r="C32" s="503"/>
      <c r="D32" s="504">
        <v>108000</v>
      </c>
      <c r="E32" s="504">
        <v>667980</v>
      </c>
      <c r="F32" s="504">
        <v>0</v>
      </c>
      <c r="G32" s="504">
        <v>0</v>
      </c>
      <c r="H32" s="504">
        <v>0</v>
      </c>
      <c r="I32" s="504">
        <v>0</v>
      </c>
      <c r="J32" s="504">
        <v>446400</v>
      </c>
      <c r="K32" s="504">
        <v>0</v>
      </c>
      <c r="L32" s="504">
        <v>27000</v>
      </c>
      <c r="M32" s="504">
        <v>0</v>
      </c>
      <c r="N32" s="504">
        <v>0</v>
      </c>
      <c r="O32" s="504">
        <v>0</v>
      </c>
      <c r="P32" s="1498">
        <f t="shared" si="0"/>
        <v>775980</v>
      </c>
      <c r="Q32" s="694">
        <f t="shared" si="1"/>
        <v>1249380</v>
      </c>
      <c r="R32" s="1069" t="s">
        <v>251</v>
      </c>
      <c r="S32" s="1070" t="s">
        <v>251</v>
      </c>
      <c r="T32" s="1070">
        <v>296590</v>
      </c>
      <c r="U32" s="1070">
        <v>888410</v>
      </c>
      <c r="V32" s="1070">
        <v>0</v>
      </c>
      <c r="W32" s="1070">
        <v>0</v>
      </c>
      <c r="X32" s="1070">
        <v>0</v>
      </c>
      <c r="Y32" s="1070">
        <v>0</v>
      </c>
      <c r="Z32" s="1070"/>
      <c r="AA32" s="1070"/>
      <c r="AB32" s="1070"/>
      <c r="AC32" s="1070"/>
      <c r="AD32" s="1071">
        <f t="shared" si="4"/>
        <v>1185000</v>
      </c>
      <c r="AE32" s="605">
        <f t="shared" si="2"/>
        <v>0.52710121394881315</v>
      </c>
      <c r="AF32" s="606">
        <f t="shared" si="3"/>
        <v>184</v>
      </c>
    </row>
    <row r="33" spans="1:32" x14ac:dyDescent="0.3">
      <c r="A33" s="543" t="s">
        <v>618</v>
      </c>
      <c r="B33" s="676" t="s">
        <v>650</v>
      </c>
      <c r="C33" s="503"/>
      <c r="D33" s="504"/>
      <c r="E33" s="504">
        <v>234360</v>
      </c>
      <c r="F33" s="504">
        <v>78120</v>
      </c>
      <c r="G33" s="504">
        <v>324000</v>
      </c>
      <c r="H33" s="504">
        <v>410400</v>
      </c>
      <c r="I33" s="504">
        <v>173520</v>
      </c>
      <c r="J33" s="504">
        <v>0</v>
      </c>
      <c r="K33" s="504">
        <v>0</v>
      </c>
      <c r="L33" s="504">
        <v>642240</v>
      </c>
      <c r="M33" s="504">
        <v>0</v>
      </c>
      <c r="N33" s="504">
        <v>0</v>
      </c>
      <c r="O33" s="504">
        <v>0</v>
      </c>
      <c r="P33" s="1498">
        <f t="shared" si="0"/>
        <v>1220400</v>
      </c>
      <c r="Q33" s="694">
        <f t="shared" si="1"/>
        <v>1862640</v>
      </c>
      <c r="R33" s="1069">
        <v>86760</v>
      </c>
      <c r="S33" s="1070" t="s">
        <v>251</v>
      </c>
      <c r="T33" s="1070">
        <v>0</v>
      </c>
      <c r="U33" s="1070">
        <v>592800</v>
      </c>
      <c r="V33" s="1070">
        <v>8190</v>
      </c>
      <c r="W33" s="1070">
        <v>0</v>
      </c>
      <c r="X33" s="1070">
        <v>659490</v>
      </c>
      <c r="Y33" s="1070">
        <v>719300</v>
      </c>
      <c r="Z33" s="1070"/>
      <c r="AA33" s="1070"/>
      <c r="AB33" s="1070"/>
      <c r="AC33" s="1070"/>
      <c r="AD33" s="1071">
        <f t="shared" si="4"/>
        <v>2066540</v>
      </c>
      <c r="AE33" s="605">
        <f t="shared" si="2"/>
        <v>0.69333005571943629</v>
      </c>
      <c r="AF33" s="606">
        <f t="shared" si="3"/>
        <v>143</v>
      </c>
    </row>
    <row r="34" spans="1:32" x14ac:dyDescent="0.3">
      <c r="A34" s="543" t="s">
        <v>618</v>
      </c>
      <c r="B34" s="676" t="s">
        <v>651</v>
      </c>
      <c r="C34" s="503"/>
      <c r="D34" s="504"/>
      <c r="E34" s="504">
        <v>520560</v>
      </c>
      <c r="F34" s="504">
        <v>86760</v>
      </c>
      <c r="G34" s="504">
        <v>0</v>
      </c>
      <c r="H34" s="504">
        <v>0</v>
      </c>
      <c r="I34" s="504">
        <v>86760</v>
      </c>
      <c r="J34" s="504">
        <v>86760</v>
      </c>
      <c r="K34" s="504">
        <v>86760</v>
      </c>
      <c r="L34" s="504">
        <v>607320</v>
      </c>
      <c r="M34" s="504">
        <v>0</v>
      </c>
      <c r="N34" s="504">
        <v>0</v>
      </c>
      <c r="O34" s="504">
        <v>0</v>
      </c>
      <c r="P34" s="1498">
        <f t="shared" si="0"/>
        <v>780840</v>
      </c>
      <c r="Q34" s="694">
        <f t="shared" si="1"/>
        <v>1388160</v>
      </c>
      <c r="R34" s="1069" t="s">
        <v>251</v>
      </c>
      <c r="S34" s="1070" t="s">
        <v>251</v>
      </c>
      <c r="T34" s="1070">
        <v>566460</v>
      </c>
      <c r="U34" s="1070">
        <v>524550</v>
      </c>
      <c r="V34" s="1070">
        <v>187980</v>
      </c>
      <c r="W34" s="1070">
        <v>93990</v>
      </c>
      <c r="X34" s="1070">
        <v>544440</v>
      </c>
      <c r="Y34" s="1070">
        <v>172600</v>
      </c>
      <c r="Z34" s="1070"/>
      <c r="AA34" s="1070"/>
      <c r="AB34" s="1070"/>
      <c r="AC34" s="1070"/>
      <c r="AD34" s="1071">
        <f t="shared" si="4"/>
        <v>2090020</v>
      </c>
      <c r="AE34" s="605">
        <f t="shared" si="2"/>
        <v>1.6766302955791199</v>
      </c>
      <c r="AF34" s="606">
        <f t="shared" si="3"/>
        <v>141</v>
      </c>
    </row>
    <row r="35" spans="1:32" x14ac:dyDescent="0.3">
      <c r="A35" s="543" t="s">
        <v>618</v>
      </c>
      <c r="B35" s="676" t="s">
        <v>652</v>
      </c>
      <c r="C35" s="503"/>
      <c r="D35" s="504"/>
      <c r="E35" s="504">
        <v>527760</v>
      </c>
      <c r="F35" s="504">
        <v>0</v>
      </c>
      <c r="G35" s="504">
        <v>0</v>
      </c>
      <c r="H35" s="504">
        <v>0</v>
      </c>
      <c r="I35" s="504">
        <v>0</v>
      </c>
      <c r="J35" s="504">
        <v>0</v>
      </c>
      <c r="K35" s="504">
        <v>0</v>
      </c>
      <c r="L35" s="504">
        <v>257400</v>
      </c>
      <c r="M35" s="504">
        <v>0</v>
      </c>
      <c r="N35" s="504">
        <v>0</v>
      </c>
      <c r="O35" s="504">
        <v>688410</v>
      </c>
      <c r="P35" s="1498">
        <f t="shared" si="0"/>
        <v>527760</v>
      </c>
      <c r="Q35" s="694">
        <f t="shared" si="1"/>
        <v>1473570</v>
      </c>
      <c r="R35" s="1069">
        <v>2642490</v>
      </c>
      <c r="S35" s="1070">
        <v>9707900</v>
      </c>
      <c r="T35" s="1070">
        <v>8992540</v>
      </c>
      <c r="U35" s="1070">
        <v>731240</v>
      </c>
      <c r="V35" s="1070">
        <v>4334840</v>
      </c>
      <c r="W35" s="1070">
        <v>20639730</v>
      </c>
      <c r="X35" s="1070">
        <v>10772730</v>
      </c>
      <c r="Y35" s="1070">
        <v>16358950</v>
      </c>
      <c r="Z35" s="1070"/>
      <c r="AA35" s="1070"/>
      <c r="AB35" s="1070"/>
      <c r="AC35" s="1070"/>
      <c r="AD35" s="1071">
        <f t="shared" si="4"/>
        <v>74180420</v>
      </c>
      <c r="AE35" s="605">
        <f t="shared" si="2"/>
        <v>139.55710929210247</v>
      </c>
      <c r="AF35" s="606">
        <f t="shared" si="3"/>
        <v>3</v>
      </c>
    </row>
    <row r="36" spans="1:32" x14ac:dyDescent="0.3">
      <c r="A36" s="543" t="s">
        <v>618</v>
      </c>
      <c r="B36" s="676" t="s">
        <v>653</v>
      </c>
      <c r="C36" s="503"/>
      <c r="D36" s="504"/>
      <c r="E36" s="504">
        <v>0</v>
      </c>
      <c r="F36" s="504">
        <v>322200</v>
      </c>
      <c r="G36" s="504">
        <v>171000</v>
      </c>
      <c r="H36" s="504">
        <v>0</v>
      </c>
      <c r="I36" s="504">
        <v>0</v>
      </c>
      <c r="J36" s="504">
        <v>0</v>
      </c>
      <c r="K36" s="504">
        <v>0</v>
      </c>
      <c r="L36" s="504">
        <v>0</v>
      </c>
      <c r="M36" s="504">
        <v>0</v>
      </c>
      <c r="N36" s="504">
        <v>0</v>
      </c>
      <c r="O36" s="504">
        <v>0</v>
      </c>
      <c r="P36" s="1498">
        <f t="shared" si="0"/>
        <v>493200</v>
      </c>
      <c r="Q36" s="694">
        <f t="shared" si="1"/>
        <v>493200</v>
      </c>
      <c r="R36" s="1069" t="s">
        <v>251</v>
      </c>
      <c r="S36" s="1070" t="s">
        <v>251</v>
      </c>
      <c r="T36" s="1070"/>
      <c r="U36" s="1070"/>
      <c r="V36" s="1070"/>
      <c r="W36" s="1070"/>
      <c r="X36" s="1070"/>
      <c r="Y36" s="1070"/>
      <c r="Z36" s="1070"/>
      <c r="AA36" s="1070"/>
      <c r="AB36" s="1070"/>
      <c r="AC36" s="1070"/>
      <c r="AD36" s="1071">
        <f t="shared" si="4"/>
        <v>0</v>
      </c>
      <c r="AE36" s="605">
        <f t="shared" si="2"/>
        <v>-1</v>
      </c>
      <c r="AF36" s="606">
        <f t="shared" si="3"/>
        <v>394</v>
      </c>
    </row>
    <row r="37" spans="1:32" x14ac:dyDescent="0.3">
      <c r="A37" s="543" t="s">
        <v>618</v>
      </c>
      <c r="B37" s="676" t="s">
        <v>654</v>
      </c>
      <c r="C37" s="503"/>
      <c r="D37" s="504"/>
      <c r="E37" s="504">
        <v>0</v>
      </c>
      <c r="F37" s="504">
        <v>492840</v>
      </c>
      <c r="G37" s="504">
        <v>0</v>
      </c>
      <c r="H37" s="504">
        <v>0</v>
      </c>
      <c r="I37" s="504">
        <v>0</v>
      </c>
      <c r="J37" s="504">
        <v>0</v>
      </c>
      <c r="K37" s="504">
        <v>0</v>
      </c>
      <c r="L37" s="504">
        <v>0</v>
      </c>
      <c r="M37" s="504">
        <v>186840</v>
      </c>
      <c r="N37" s="504">
        <v>0</v>
      </c>
      <c r="O37" s="504">
        <v>0</v>
      </c>
      <c r="P37" s="1498">
        <f t="shared" si="0"/>
        <v>492840</v>
      </c>
      <c r="Q37" s="694">
        <f t="shared" si="1"/>
        <v>679680</v>
      </c>
      <c r="R37" s="1069" t="s">
        <v>251</v>
      </c>
      <c r="S37" s="1070" t="s">
        <v>251</v>
      </c>
      <c r="T37" s="1070"/>
      <c r="U37" s="1070">
        <v>372060</v>
      </c>
      <c r="V37" s="1070">
        <v>0</v>
      </c>
      <c r="W37" s="1070">
        <v>0</v>
      </c>
      <c r="X37" s="1070">
        <v>0</v>
      </c>
      <c r="Y37" s="1070">
        <v>0</v>
      </c>
      <c r="Z37" s="1070"/>
      <c r="AA37" s="1070"/>
      <c r="AB37" s="1070"/>
      <c r="AC37" s="1070"/>
      <c r="AD37" s="1071">
        <f t="shared" si="4"/>
        <v>372060</v>
      </c>
      <c r="AE37" s="605">
        <f t="shared" si="2"/>
        <v>-0.24506939371804237</v>
      </c>
      <c r="AF37" s="606">
        <f t="shared" si="3"/>
        <v>279</v>
      </c>
    </row>
    <row r="38" spans="1:32" x14ac:dyDescent="0.3">
      <c r="A38" s="543" t="s">
        <v>618</v>
      </c>
      <c r="B38" s="676" t="s">
        <v>655</v>
      </c>
      <c r="C38" s="503"/>
      <c r="D38" s="504"/>
      <c r="E38" s="504">
        <v>0</v>
      </c>
      <c r="F38" s="504">
        <v>0</v>
      </c>
      <c r="G38" s="504">
        <v>375120</v>
      </c>
      <c r="H38" s="504">
        <v>0</v>
      </c>
      <c r="I38" s="504">
        <v>0</v>
      </c>
      <c r="J38" s="504">
        <v>0</v>
      </c>
      <c r="K38" s="504">
        <v>0</v>
      </c>
      <c r="L38" s="504">
        <v>0</v>
      </c>
      <c r="M38" s="504">
        <v>0</v>
      </c>
      <c r="N38" s="504">
        <v>0</v>
      </c>
      <c r="O38" s="504">
        <v>0</v>
      </c>
      <c r="P38" s="1498">
        <f t="shared" si="0"/>
        <v>375120</v>
      </c>
      <c r="Q38" s="694">
        <f t="shared" si="1"/>
        <v>375120</v>
      </c>
      <c r="R38" s="1069" t="s">
        <v>251</v>
      </c>
      <c r="S38" s="1070" t="s">
        <v>251</v>
      </c>
      <c r="T38" s="1070">
        <v>1417650</v>
      </c>
      <c r="U38" s="1070">
        <v>0</v>
      </c>
      <c r="V38" s="1070">
        <v>0</v>
      </c>
      <c r="W38" s="1070">
        <v>0</v>
      </c>
      <c r="X38" s="1070">
        <v>0</v>
      </c>
      <c r="Y38" s="1070">
        <v>0</v>
      </c>
      <c r="Z38" s="1070"/>
      <c r="AA38" s="1070"/>
      <c r="AB38" s="1070"/>
      <c r="AC38" s="1070"/>
      <c r="AD38" s="1071">
        <f t="shared" si="4"/>
        <v>1417650</v>
      </c>
      <c r="AE38" s="605">
        <f t="shared" si="2"/>
        <v>2.7791906589891235</v>
      </c>
      <c r="AF38" s="606">
        <f t="shared" si="3"/>
        <v>174</v>
      </c>
    </row>
    <row r="39" spans="1:32" x14ac:dyDescent="0.3">
      <c r="A39" s="543" t="s">
        <v>618</v>
      </c>
      <c r="B39" s="676" t="s">
        <v>656</v>
      </c>
      <c r="C39" s="503"/>
      <c r="D39" s="504"/>
      <c r="E39" s="504">
        <v>0</v>
      </c>
      <c r="F39" s="504">
        <v>0</v>
      </c>
      <c r="G39" s="504">
        <v>345600</v>
      </c>
      <c r="H39" s="504">
        <v>0</v>
      </c>
      <c r="I39" s="504">
        <v>0</v>
      </c>
      <c r="J39" s="504">
        <v>0</v>
      </c>
      <c r="K39" s="504">
        <v>0</v>
      </c>
      <c r="L39" s="504">
        <v>270000</v>
      </c>
      <c r="M39" s="504">
        <v>0</v>
      </c>
      <c r="N39" s="504">
        <v>0</v>
      </c>
      <c r="O39" s="504">
        <v>0</v>
      </c>
      <c r="P39" s="1498">
        <f t="shared" si="0"/>
        <v>345600</v>
      </c>
      <c r="Q39" s="694">
        <f t="shared" si="1"/>
        <v>615600</v>
      </c>
      <c r="R39" s="1069" t="s">
        <v>251</v>
      </c>
      <c r="S39" s="1070" t="s">
        <v>251</v>
      </c>
      <c r="T39" s="1070"/>
      <c r="U39" s="1070"/>
      <c r="V39" s="1070"/>
      <c r="W39" s="1070"/>
      <c r="X39" s="1070"/>
      <c r="Y39" s="1070"/>
      <c r="Z39" s="1070"/>
      <c r="AA39" s="1070"/>
      <c r="AB39" s="1070"/>
      <c r="AC39" s="1070"/>
      <c r="AD39" s="1071">
        <f t="shared" si="4"/>
        <v>0</v>
      </c>
      <c r="AE39" s="605">
        <f t="shared" si="2"/>
        <v>-1</v>
      </c>
      <c r="AF39" s="606">
        <f t="shared" si="3"/>
        <v>394</v>
      </c>
    </row>
    <row r="40" spans="1:32" x14ac:dyDescent="0.3">
      <c r="A40" s="543" t="s">
        <v>618</v>
      </c>
      <c r="B40" s="676" t="s">
        <v>657</v>
      </c>
      <c r="C40" s="503">
        <v>287640</v>
      </c>
      <c r="D40" s="504"/>
      <c r="E40" s="504">
        <v>0</v>
      </c>
      <c r="F40" s="504">
        <v>0</v>
      </c>
      <c r="G40" s="504">
        <v>0</v>
      </c>
      <c r="H40" s="504">
        <v>0</v>
      </c>
      <c r="I40" s="504">
        <v>0</v>
      </c>
      <c r="J40" s="504">
        <v>1634400</v>
      </c>
      <c r="K40" s="504">
        <v>1593900</v>
      </c>
      <c r="L40" s="504">
        <v>2180770</v>
      </c>
      <c r="M40" s="504">
        <v>654210</v>
      </c>
      <c r="N40" s="504">
        <v>1058400</v>
      </c>
      <c r="O40" s="504">
        <v>659700</v>
      </c>
      <c r="P40" s="1498">
        <f t="shared" si="0"/>
        <v>1881540</v>
      </c>
      <c r="Q40" s="694">
        <f t="shared" si="1"/>
        <v>6475120</v>
      </c>
      <c r="R40" s="1069">
        <v>1339290</v>
      </c>
      <c r="S40" s="1070">
        <v>40320</v>
      </c>
      <c r="T40" s="1070">
        <v>9553620</v>
      </c>
      <c r="U40" s="1070">
        <v>2055870</v>
      </c>
      <c r="V40" s="1070">
        <v>725400</v>
      </c>
      <c r="W40" s="1070">
        <v>504070</v>
      </c>
      <c r="X40" s="1070">
        <v>236040</v>
      </c>
      <c r="Y40" s="1070">
        <v>3504800</v>
      </c>
      <c r="Z40" s="1070"/>
      <c r="AA40" s="1070"/>
      <c r="AB40" s="1070"/>
      <c r="AC40" s="1070"/>
      <c r="AD40" s="1071">
        <f t="shared" si="4"/>
        <v>17959410</v>
      </c>
      <c r="AE40" s="605">
        <f t="shared" si="2"/>
        <v>8.5450588347842729</v>
      </c>
      <c r="AF40" s="606">
        <f t="shared" si="3"/>
        <v>23</v>
      </c>
    </row>
    <row r="41" spans="1:32" x14ac:dyDescent="0.3">
      <c r="A41" s="543" t="s">
        <v>618</v>
      </c>
      <c r="B41" s="676" t="s">
        <v>658</v>
      </c>
      <c r="C41" s="503"/>
      <c r="D41" s="504"/>
      <c r="E41" s="504">
        <v>43920</v>
      </c>
      <c r="F41" s="504">
        <v>219960</v>
      </c>
      <c r="G41" s="504">
        <v>0</v>
      </c>
      <c r="H41" s="504">
        <v>776880</v>
      </c>
      <c r="I41" s="504">
        <v>0</v>
      </c>
      <c r="J41" s="504">
        <v>610560</v>
      </c>
      <c r="K41" s="504">
        <v>610560</v>
      </c>
      <c r="L41" s="504">
        <v>0</v>
      </c>
      <c r="M41" s="504">
        <v>0</v>
      </c>
      <c r="N41" s="504">
        <v>0</v>
      </c>
      <c r="O41" s="504">
        <v>0</v>
      </c>
      <c r="P41" s="1498">
        <f t="shared" si="0"/>
        <v>1651320</v>
      </c>
      <c r="Q41" s="694">
        <f t="shared" si="1"/>
        <v>1651320</v>
      </c>
      <c r="R41" s="1069" t="s">
        <v>251</v>
      </c>
      <c r="S41" s="1070" t="s">
        <v>251</v>
      </c>
      <c r="T41" s="1070"/>
      <c r="U41" s="1070"/>
      <c r="V41" s="1070"/>
      <c r="W41" s="1070"/>
      <c r="X41" s="1070"/>
      <c r="Y41" s="1070"/>
      <c r="Z41" s="1070"/>
      <c r="AA41" s="1070"/>
      <c r="AB41" s="1070"/>
      <c r="AC41" s="1070"/>
      <c r="AD41" s="1071">
        <f t="shared" si="4"/>
        <v>0</v>
      </c>
      <c r="AE41" s="605">
        <f t="shared" si="2"/>
        <v>-1</v>
      </c>
      <c r="AF41" s="606">
        <f t="shared" si="3"/>
        <v>394</v>
      </c>
    </row>
    <row r="42" spans="1:32" x14ac:dyDescent="0.3">
      <c r="A42" s="543" t="s">
        <v>618</v>
      </c>
      <c r="B42" s="676" t="s">
        <v>659</v>
      </c>
      <c r="C42" s="503"/>
      <c r="D42" s="504"/>
      <c r="E42" s="504">
        <v>0</v>
      </c>
      <c r="F42" s="504">
        <v>0</v>
      </c>
      <c r="G42" s="504">
        <v>135000</v>
      </c>
      <c r="H42" s="504">
        <v>0</v>
      </c>
      <c r="I42" s="504">
        <v>0</v>
      </c>
      <c r="J42" s="504">
        <v>0</v>
      </c>
      <c r="K42" s="504">
        <v>0</v>
      </c>
      <c r="L42" s="504">
        <v>0</v>
      </c>
      <c r="M42" s="504">
        <v>0</v>
      </c>
      <c r="N42" s="504">
        <v>0</v>
      </c>
      <c r="O42" s="504">
        <v>0</v>
      </c>
      <c r="P42" s="1498">
        <f t="shared" si="0"/>
        <v>135000</v>
      </c>
      <c r="Q42" s="694">
        <f t="shared" si="1"/>
        <v>135000</v>
      </c>
      <c r="R42" s="1069" t="s">
        <v>251</v>
      </c>
      <c r="S42" s="1070" t="s">
        <v>251</v>
      </c>
      <c r="T42" s="1070"/>
      <c r="U42" s="1070"/>
      <c r="V42" s="1070"/>
      <c r="W42" s="1070"/>
      <c r="X42" s="1070"/>
      <c r="Y42" s="1070"/>
      <c r="Z42" s="1070"/>
      <c r="AA42" s="1070"/>
      <c r="AB42" s="1070"/>
      <c r="AC42" s="1070"/>
      <c r="AD42" s="1071">
        <f t="shared" si="4"/>
        <v>0</v>
      </c>
      <c r="AE42" s="605">
        <f t="shared" si="2"/>
        <v>-1</v>
      </c>
      <c r="AF42" s="606">
        <f t="shared" si="3"/>
        <v>394</v>
      </c>
    </row>
    <row r="43" spans="1:32" x14ac:dyDescent="0.3">
      <c r="A43" s="543" t="s">
        <v>618</v>
      </c>
      <c r="B43" s="676" t="s">
        <v>660</v>
      </c>
      <c r="C43" s="503"/>
      <c r="D43" s="504"/>
      <c r="E43" s="504">
        <v>0</v>
      </c>
      <c r="F43" s="504">
        <v>86400</v>
      </c>
      <c r="G43" s="504">
        <v>0</v>
      </c>
      <c r="H43" s="504">
        <v>0</v>
      </c>
      <c r="I43" s="504">
        <v>0</v>
      </c>
      <c r="J43" s="504">
        <v>0</v>
      </c>
      <c r="K43" s="504">
        <v>0</v>
      </c>
      <c r="L43" s="504">
        <v>0</v>
      </c>
      <c r="M43" s="504">
        <v>0</v>
      </c>
      <c r="N43" s="504">
        <v>0</v>
      </c>
      <c r="O43" s="504">
        <v>0</v>
      </c>
      <c r="P43" s="1498">
        <f t="shared" si="0"/>
        <v>86400</v>
      </c>
      <c r="Q43" s="694">
        <f t="shared" si="1"/>
        <v>86400</v>
      </c>
      <c r="R43" s="1069" t="s">
        <v>251</v>
      </c>
      <c r="S43" s="1070" t="s">
        <v>251</v>
      </c>
      <c r="T43" s="1070"/>
      <c r="U43" s="1070"/>
      <c r="V43" s="1070"/>
      <c r="W43" s="1070"/>
      <c r="X43" s="1070"/>
      <c r="Y43" s="1070"/>
      <c r="Z43" s="1070"/>
      <c r="AA43" s="1070"/>
      <c r="AB43" s="1070"/>
      <c r="AC43" s="1070"/>
      <c r="AD43" s="1071">
        <f t="shared" si="4"/>
        <v>0</v>
      </c>
      <c r="AE43" s="605">
        <f t="shared" si="2"/>
        <v>-1</v>
      </c>
      <c r="AF43" s="606">
        <f t="shared" si="3"/>
        <v>394</v>
      </c>
    </row>
    <row r="44" spans="1:32" x14ac:dyDescent="0.3">
      <c r="A44" s="543" t="s">
        <v>618</v>
      </c>
      <c r="B44" s="676" t="s">
        <v>661</v>
      </c>
      <c r="C44" s="503"/>
      <c r="D44" s="504"/>
      <c r="E44" s="504">
        <v>86400</v>
      </c>
      <c r="F44" s="504">
        <v>0</v>
      </c>
      <c r="G44" s="504">
        <v>0</v>
      </c>
      <c r="H44" s="504">
        <v>0</v>
      </c>
      <c r="I44" s="504">
        <v>0</v>
      </c>
      <c r="J44" s="504">
        <v>0</v>
      </c>
      <c r="K44" s="504">
        <v>0</v>
      </c>
      <c r="L44" s="504">
        <v>0</v>
      </c>
      <c r="M44" s="504">
        <v>0</v>
      </c>
      <c r="N44" s="504">
        <v>0</v>
      </c>
      <c r="O44" s="504">
        <v>0</v>
      </c>
      <c r="P44" s="1498">
        <f t="shared" si="0"/>
        <v>86400</v>
      </c>
      <c r="Q44" s="694">
        <f t="shared" si="1"/>
        <v>86400</v>
      </c>
      <c r="R44" s="1069" t="s">
        <v>251</v>
      </c>
      <c r="S44" s="1070" t="s">
        <v>251</v>
      </c>
      <c r="T44" s="1070"/>
      <c r="U44" s="1070"/>
      <c r="V44" s="1070"/>
      <c r="W44" s="1070">
        <v>1930690</v>
      </c>
      <c r="X44" s="1070">
        <v>0</v>
      </c>
      <c r="Y44" s="1070">
        <v>0</v>
      </c>
      <c r="Z44" s="1070"/>
      <c r="AA44" s="1070"/>
      <c r="AB44" s="1070"/>
      <c r="AC44" s="1070"/>
      <c r="AD44" s="1071">
        <f t="shared" si="4"/>
        <v>1930690</v>
      </c>
      <c r="AE44" s="605">
        <f t="shared" si="2"/>
        <v>21.345949074074074</v>
      </c>
      <c r="AF44" s="606">
        <f t="shared" si="3"/>
        <v>148</v>
      </c>
    </row>
    <row r="45" spans="1:32" x14ac:dyDescent="0.3">
      <c r="A45" s="543" t="s">
        <v>618</v>
      </c>
      <c r="B45" s="676" t="s">
        <v>662</v>
      </c>
      <c r="C45" s="503"/>
      <c r="D45" s="504"/>
      <c r="E45" s="504" t="s">
        <v>251</v>
      </c>
      <c r="F45" s="504" t="s">
        <v>251</v>
      </c>
      <c r="G45" s="504" t="s">
        <v>251</v>
      </c>
      <c r="H45" s="504" t="s">
        <v>251</v>
      </c>
      <c r="I45" s="504" t="s">
        <v>251</v>
      </c>
      <c r="J45" s="504" t="s">
        <v>251</v>
      </c>
      <c r="K45" s="504"/>
      <c r="L45" s="504" t="s">
        <v>251</v>
      </c>
      <c r="M45" s="504" t="s">
        <v>251</v>
      </c>
      <c r="N45" s="504" t="s">
        <v>251</v>
      </c>
      <c r="O45" s="504" t="s">
        <v>251</v>
      </c>
      <c r="P45" s="1498">
        <f t="shared" si="0"/>
        <v>0</v>
      </c>
      <c r="Q45" s="694">
        <f t="shared" si="1"/>
        <v>0</v>
      </c>
      <c r="R45" s="1069" t="s">
        <v>251</v>
      </c>
      <c r="S45" s="1070" t="s">
        <v>251</v>
      </c>
      <c r="T45" s="1070"/>
      <c r="U45" s="1070"/>
      <c r="V45" s="1070"/>
      <c r="W45" s="1070"/>
      <c r="X45" s="1070"/>
      <c r="Y45" s="1070"/>
      <c r="Z45" s="1070"/>
      <c r="AA45" s="1070"/>
      <c r="AB45" s="1070"/>
      <c r="AC45" s="1070"/>
      <c r="AD45" s="1071">
        <f t="shared" si="4"/>
        <v>0</v>
      </c>
      <c r="AE45" s="605">
        <f t="shared" si="2"/>
        <v>0</v>
      </c>
      <c r="AF45" s="606">
        <f t="shared" si="3"/>
        <v>394</v>
      </c>
    </row>
    <row r="46" spans="1:32" x14ac:dyDescent="0.3">
      <c r="A46" s="543" t="s">
        <v>618</v>
      </c>
      <c r="B46" s="676" t="s">
        <v>663</v>
      </c>
      <c r="C46" s="503"/>
      <c r="D46" s="504"/>
      <c r="E46" s="504" t="s">
        <v>251</v>
      </c>
      <c r="F46" s="504" t="s">
        <v>251</v>
      </c>
      <c r="G46" s="504" t="s">
        <v>251</v>
      </c>
      <c r="H46" s="504" t="s">
        <v>251</v>
      </c>
      <c r="I46" s="504" t="s">
        <v>251</v>
      </c>
      <c r="J46" s="504" t="s">
        <v>251</v>
      </c>
      <c r="K46" s="504"/>
      <c r="L46" s="504" t="s">
        <v>251</v>
      </c>
      <c r="M46" s="504" t="s">
        <v>251</v>
      </c>
      <c r="N46" s="504" t="s">
        <v>251</v>
      </c>
      <c r="O46" s="504" t="s">
        <v>251</v>
      </c>
      <c r="P46" s="1498">
        <f t="shared" si="0"/>
        <v>0</v>
      </c>
      <c r="Q46" s="694">
        <f t="shared" si="1"/>
        <v>0</v>
      </c>
      <c r="R46" s="1069" t="s">
        <v>251</v>
      </c>
      <c r="S46" s="1070" t="s">
        <v>251</v>
      </c>
      <c r="T46" s="1070"/>
      <c r="U46" s="1070"/>
      <c r="V46" s="1070"/>
      <c r="W46" s="1070"/>
      <c r="X46" s="1070"/>
      <c r="Y46" s="1070"/>
      <c r="Z46" s="1070"/>
      <c r="AA46" s="1070"/>
      <c r="AB46" s="1070"/>
      <c r="AC46" s="1070"/>
      <c r="AD46" s="1071">
        <f t="shared" si="4"/>
        <v>0</v>
      </c>
      <c r="AE46" s="605">
        <f t="shared" si="2"/>
        <v>0</v>
      </c>
      <c r="AF46" s="606">
        <f t="shared" si="3"/>
        <v>394</v>
      </c>
    </row>
    <row r="47" spans="1:32" x14ac:dyDescent="0.3">
      <c r="A47" s="543" t="s">
        <v>618</v>
      </c>
      <c r="B47" s="676" t="s">
        <v>664</v>
      </c>
      <c r="C47" s="503"/>
      <c r="D47" s="504"/>
      <c r="E47" s="504" t="s">
        <v>251</v>
      </c>
      <c r="F47" s="504" t="s">
        <v>251</v>
      </c>
      <c r="G47" s="504" t="s">
        <v>251</v>
      </c>
      <c r="H47" s="504" t="s">
        <v>251</v>
      </c>
      <c r="I47" s="504" t="s">
        <v>251</v>
      </c>
      <c r="J47" s="504" t="s">
        <v>251</v>
      </c>
      <c r="K47" s="504"/>
      <c r="L47" s="504" t="s">
        <v>251</v>
      </c>
      <c r="M47" s="504" t="s">
        <v>251</v>
      </c>
      <c r="N47" s="504" t="s">
        <v>251</v>
      </c>
      <c r="O47" s="504" t="s">
        <v>251</v>
      </c>
      <c r="P47" s="1498">
        <f t="shared" si="0"/>
        <v>0</v>
      </c>
      <c r="Q47" s="694">
        <f t="shared" si="1"/>
        <v>0</v>
      </c>
      <c r="R47" s="1069" t="s">
        <v>251</v>
      </c>
      <c r="S47" s="1070" t="s">
        <v>251</v>
      </c>
      <c r="T47" s="1070"/>
      <c r="U47" s="1070"/>
      <c r="V47" s="1070"/>
      <c r="W47" s="1070"/>
      <c r="X47" s="1070"/>
      <c r="Y47" s="1070"/>
      <c r="Z47" s="1070"/>
      <c r="AA47" s="1070"/>
      <c r="AB47" s="1070"/>
      <c r="AC47" s="1070"/>
      <c r="AD47" s="1071">
        <f t="shared" si="4"/>
        <v>0</v>
      </c>
      <c r="AE47" s="605">
        <f t="shared" si="2"/>
        <v>0</v>
      </c>
      <c r="AF47" s="606">
        <f t="shared" si="3"/>
        <v>394</v>
      </c>
    </row>
    <row r="48" spans="1:32" x14ac:dyDescent="0.3">
      <c r="A48" s="543" t="s">
        <v>618</v>
      </c>
      <c r="B48" s="676" t="s">
        <v>267</v>
      </c>
      <c r="C48" s="503"/>
      <c r="D48" s="504"/>
      <c r="E48" s="504">
        <v>0</v>
      </c>
      <c r="F48" s="504">
        <v>0</v>
      </c>
      <c r="G48" s="504">
        <v>0</v>
      </c>
      <c r="H48" s="504">
        <v>0</v>
      </c>
      <c r="I48" s="504">
        <v>0</v>
      </c>
      <c r="J48" s="504">
        <v>0</v>
      </c>
      <c r="K48" s="504"/>
      <c r="L48" s="504">
        <v>677880</v>
      </c>
      <c r="M48" s="504">
        <v>0</v>
      </c>
      <c r="N48" s="504">
        <v>0</v>
      </c>
      <c r="O48" s="504">
        <v>0</v>
      </c>
      <c r="P48" s="1498">
        <f t="shared" si="0"/>
        <v>0</v>
      </c>
      <c r="Q48" s="694">
        <f t="shared" si="1"/>
        <v>677880</v>
      </c>
      <c r="R48" s="1069" t="s">
        <v>251</v>
      </c>
      <c r="S48" s="1070" t="s">
        <v>251</v>
      </c>
      <c r="T48" s="1070"/>
      <c r="U48" s="1070"/>
      <c r="V48" s="1070"/>
      <c r="W48" s="1070"/>
      <c r="X48" s="1070"/>
      <c r="Y48" s="1070"/>
      <c r="Z48" s="1070"/>
      <c r="AA48" s="1070"/>
      <c r="AB48" s="1070"/>
      <c r="AC48" s="1070"/>
      <c r="AD48" s="1071">
        <f t="shared" si="4"/>
        <v>0</v>
      </c>
      <c r="AE48" s="605">
        <f t="shared" si="2"/>
        <v>0</v>
      </c>
      <c r="AF48" s="606">
        <f t="shared" si="3"/>
        <v>394</v>
      </c>
    </row>
    <row r="49" spans="1:32" x14ac:dyDescent="0.3">
      <c r="A49" s="543" t="s">
        <v>618</v>
      </c>
      <c r="B49" s="676" t="s">
        <v>665</v>
      </c>
      <c r="C49" s="503" t="s">
        <v>251</v>
      </c>
      <c r="D49" s="504"/>
      <c r="E49" s="504" t="s">
        <v>251</v>
      </c>
      <c r="F49" s="504" t="s">
        <v>251</v>
      </c>
      <c r="G49" s="504" t="s">
        <v>251</v>
      </c>
      <c r="H49" s="504" t="s">
        <v>251</v>
      </c>
      <c r="I49" s="504" t="s">
        <v>251</v>
      </c>
      <c r="J49" s="504" t="s">
        <v>251</v>
      </c>
      <c r="K49" s="504"/>
      <c r="L49" s="504" t="s">
        <v>251</v>
      </c>
      <c r="M49" s="504" t="s">
        <v>251</v>
      </c>
      <c r="N49" s="504" t="s">
        <v>251</v>
      </c>
      <c r="O49" s="504" t="s">
        <v>251</v>
      </c>
      <c r="P49" s="1498">
        <f t="shared" si="0"/>
        <v>0</v>
      </c>
      <c r="Q49" s="694">
        <f t="shared" si="1"/>
        <v>0</v>
      </c>
      <c r="R49" s="1069" t="s">
        <v>251</v>
      </c>
      <c r="S49" s="1070" t="s">
        <v>251</v>
      </c>
      <c r="T49" s="1070"/>
      <c r="U49" s="1070"/>
      <c r="V49" s="1070"/>
      <c r="W49" s="1070"/>
      <c r="X49" s="1070"/>
      <c r="Y49" s="1070"/>
      <c r="Z49" s="1070"/>
      <c r="AA49" s="1070"/>
      <c r="AB49" s="1070"/>
      <c r="AC49" s="1070"/>
      <c r="AD49" s="1071">
        <f t="shared" si="4"/>
        <v>0</v>
      </c>
      <c r="AE49" s="605">
        <f t="shared" si="2"/>
        <v>0</v>
      </c>
      <c r="AF49" s="606">
        <f t="shared" si="3"/>
        <v>394</v>
      </c>
    </row>
    <row r="50" spans="1:32" x14ac:dyDescent="0.3">
      <c r="A50" s="543" t="s">
        <v>618</v>
      </c>
      <c r="B50" s="676" t="s">
        <v>666</v>
      </c>
      <c r="C50" s="503" t="s">
        <v>251</v>
      </c>
      <c r="D50" s="504"/>
      <c r="E50" s="504" t="s">
        <v>251</v>
      </c>
      <c r="F50" s="504" t="s">
        <v>251</v>
      </c>
      <c r="G50" s="504" t="s">
        <v>251</v>
      </c>
      <c r="H50" s="504" t="s">
        <v>251</v>
      </c>
      <c r="I50" s="504" t="s">
        <v>251</v>
      </c>
      <c r="J50" s="504" t="s">
        <v>251</v>
      </c>
      <c r="K50" s="504"/>
      <c r="L50" s="504" t="s">
        <v>251</v>
      </c>
      <c r="M50" s="504" t="s">
        <v>251</v>
      </c>
      <c r="N50" s="504" t="s">
        <v>251</v>
      </c>
      <c r="O50" s="504" t="s">
        <v>251</v>
      </c>
      <c r="P50" s="1498">
        <f t="shared" si="0"/>
        <v>0</v>
      </c>
      <c r="Q50" s="694">
        <f t="shared" si="1"/>
        <v>0</v>
      </c>
      <c r="R50" s="1069" t="s">
        <v>251</v>
      </c>
      <c r="S50" s="1070" t="s">
        <v>251</v>
      </c>
      <c r="T50" s="1070"/>
      <c r="U50" s="1070"/>
      <c r="V50" s="1070"/>
      <c r="W50" s="1070"/>
      <c r="X50" s="1070"/>
      <c r="Y50" s="1070"/>
      <c r="Z50" s="1070"/>
      <c r="AA50" s="1070"/>
      <c r="AB50" s="1070"/>
      <c r="AC50" s="1070"/>
      <c r="AD50" s="1071">
        <f t="shared" si="4"/>
        <v>0</v>
      </c>
      <c r="AE50" s="605">
        <f t="shared" si="2"/>
        <v>0</v>
      </c>
      <c r="AF50" s="606">
        <f t="shared" si="3"/>
        <v>394</v>
      </c>
    </row>
    <row r="51" spans="1:32" x14ac:dyDescent="0.3">
      <c r="A51" s="543" t="s">
        <v>618</v>
      </c>
      <c r="B51" s="676" t="s">
        <v>667</v>
      </c>
      <c r="C51" s="503" t="s">
        <v>251</v>
      </c>
      <c r="D51" s="504"/>
      <c r="E51" s="504" t="s">
        <v>251</v>
      </c>
      <c r="F51" s="504" t="s">
        <v>251</v>
      </c>
      <c r="G51" s="504" t="s">
        <v>251</v>
      </c>
      <c r="H51" s="504" t="s">
        <v>251</v>
      </c>
      <c r="I51" s="504" t="s">
        <v>251</v>
      </c>
      <c r="J51" s="504" t="s">
        <v>251</v>
      </c>
      <c r="K51" s="504"/>
      <c r="L51" s="504" t="s">
        <v>251</v>
      </c>
      <c r="M51" s="504" t="s">
        <v>251</v>
      </c>
      <c r="N51" s="504" t="s">
        <v>251</v>
      </c>
      <c r="O51" s="504" t="s">
        <v>251</v>
      </c>
      <c r="P51" s="1498">
        <f t="shared" si="0"/>
        <v>0</v>
      </c>
      <c r="Q51" s="694">
        <f t="shared" si="1"/>
        <v>0</v>
      </c>
      <c r="R51" s="1069" t="s">
        <v>251</v>
      </c>
      <c r="S51" s="1070" t="s">
        <v>251</v>
      </c>
      <c r="T51" s="1070"/>
      <c r="U51" s="1070"/>
      <c r="V51" s="1070"/>
      <c r="W51" s="1070"/>
      <c r="X51" s="1070"/>
      <c r="Y51" s="1070"/>
      <c r="Z51" s="1070"/>
      <c r="AA51" s="1070"/>
      <c r="AB51" s="1070"/>
      <c r="AC51" s="1070"/>
      <c r="AD51" s="1071">
        <f t="shared" si="4"/>
        <v>0</v>
      </c>
      <c r="AE51" s="605">
        <f t="shared" si="2"/>
        <v>0</v>
      </c>
      <c r="AF51" s="606">
        <f t="shared" si="3"/>
        <v>394</v>
      </c>
    </row>
    <row r="52" spans="1:32" x14ac:dyDescent="0.3">
      <c r="A52" s="543" t="s">
        <v>618</v>
      </c>
      <c r="B52" s="676" t="s">
        <v>668</v>
      </c>
      <c r="C52" s="503" t="s">
        <v>251</v>
      </c>
      <c r="D52" s="504"/>
      <c r="E52" s="504" t="s">
        <v>251</v>
      </c>
      <c r="F52" s="504" t="s">
        <v>251</v>
      </c>
      <c r="G52" s="504" t="s">
        <v>251</v>
      </c>
      <c r="H52" s="504" t="s">
        <v>251</v>
      </c>
      <c r="I52" s="504" t="s">
        <v>251</v>
      </c>
      <c r="J52" s="504" t="s">
        <v>251</v>
      </c>
      <c r="K52" s="504"/>
      <c r="L52" s="504" t="s">
        <v>251</v>
      </c>
      <c r="M52" s="504" t="s">
        <v>251</v>
      </c>
      <c r="N52" s="504" t="s">
        <v>251</v>
      </c>
      <c r="O52" s="504" t="s">
        <v>251</v>
      </c>
      <c r="P52" s="1498">
        <f t="shared" si="0"/>
        <v>0</v>
      </c>
      <c r="Q52" s="694">
        <f t="shared" si="1"/>
        <v>0</v>
      </c>
      <c r="R52" s="1069" t="s">
        <v>251</v>
      </c>
      <c r="S52" s="1070" t="s">
        <v>251</v>
      </c>
      <c r="T52" s="1070"/>
      <c r="U52" s="1070"/>
      <c r="V52" s="1070"/>
      <c r="W52" s="1070"/>
      <c r="X52" s="1070"/>
      <c r="Y52" s="1070"/>
      <c r="Z52" s="1070"/>
      <c r="AA52" s="1070"/>
      <c r="AB52" s="1070"/>
      <c r="AC52" s="1070"/>
      <c r="AD52" s="1071">
        <f t="shared" si="4"/>
        <v>0</v>
      </c>
      <c r="AE52" s="605">
        <f t="shared" si="2"/>
        <v>0</v>
      </c>
      <c r="AF52" s="606">
        <f t="shared" si="3"/>
        <v>394</v>
      </c>
    </row>
    <row r="53" spans="1:32" x14ac:dyDescent="0.3">
      <c r="A53" s="543" t="s">
        <v>618</v>
      </c>
      <c r="B53" s="676" t="s">
        <v>669</v>
      </c>
      <c r="C53" s="503" t="s">
        <v>251</v>
      </c>
      <c r="D53" s="504"/>
      <c r="E53" s="504" t="s">
        <v>251</v>
      </c>
      <c r="F53" s="504" t="s">
        <v>251</v>
      </c>
      <c r="G53" s="504" t="s">
        <v>251</v>
      </c>
      <c r="H53" s="504" t="s">
        <v>251</v>
      </c>
      <c r="I53" s="504" t="s">
        <v>251</v>
      </c>
      <c r="J53" s="504" t="s">
        <v>251</v>
      </c>
      <c r="K53" s="504"/>
      <c r="L53" s="504" t="s">
        <v>251</v>
      </c>
      <c r="M53" s="504" t="s">
        <v>251</v>
      </c>
      <c r="N53" s="504" t="s">
        <v>251</v>
      </c>
      <c r="O53" s="504" t="s">
        <v>251</v>
      </c>
      <c r="P53" s="1498">
        <f t="shared" si="0"/>
        <v>0</v>
      </c>
      <c r="Q53" s="694">
        <f t="shared" si="1"/>
        <v>0</v>
      </c>
      <c r="R53" s="1069" t="s">
        <v>251</v>
      </c>
      <c r="S53" s="1070" t="s">
        <v>251</v>
      </c>
      <c r="T53" s="1070"/>
      <c r="U53" s="1070"/>
      <c r="V53" s="1070"/>
      <c r="W53" s="1070"/>
      <c r="X53" s="1070"/>
      <c r="Y53" s="1070"/>
      <c r="Z53" s="1070"/>
      <c r="AA53" s="1070"/>
      <c r="AB53" s="1070"/>
      <c r="AC53" s="1070"/>
      <c r="AD53" s="1071">
        <f t="shared" si="4"/>
        <v>0</v>
      </c>
      <c r="AE53" s="605">
        <f t="shared" si="2"/>
        <v>0</v>
      </c>
      <c r="AF53" s="606">
        <f t="shared" si="3"/>
        <v>394</v>
      </c>
    </row>
    <row r="54" spans="1:32" x14ac:dyDescent="0.3">
      <c r="A54" s="543" t="s">
        <v>618</v>
      </c>
      <c r="B54" s="676" t="s">
        <v>670</v>
      </c>
      <c r="C54" s="503" t="s">
        <v>251</v>
      </c>
      <c r="D54" s="504"/>
      <c r="E54" s="504" t="s">
        <v>251</v>
      </c>
      <c r="F54" s="504" t="s">
        <v>251</v>
      </c>
      <c r="G54" s="504" t="s">
        <v>251</v>
      </c>
      <c r="H54" s="504" t="s">
        <v>251</v>
      </c>
      <c r="I54" s="504" t="s">
        <v>251</v>
      </c>
      <c r="J54" s="504" t="s">
        <v>251</v>
      </c>
      <c r="K54" s="504"/>
      <c r="L54" s="504" t="s">
        <v>251</v>
      </c>
      <c r="M54" s="504" t="s">
        <v>251</v>
      </c>
      <c r="N54" s="504" t="s">
        <v>251</v>
      </c>
      <c r="O54" s="504" t="s">
        <v>251</v>
      </c>
      <c r="P54" s="1498">
        <f t="shared" si="0"/>
        <v>0</v>
      </c>
      <c r="Q54" s="694">
        <f t="shared" si="1"/>
        <v>0</v>
      </c>
      <c r="R54" s="1069" t="s">
        <v>251</v>
      </c>
      <c r="S54" s="1070" t="s">
        <v>251</v>
      </c>
      <c r="T54" s="1070"/>
      <c r="U54" s="1070"/>
      <c r="V54" s="1070"/>
      <c r="W54" s="1070"/>
      <c r="X54" s="1070"/>
      <c r="Y54" s="1070"/>
      <c r="Z54" s="1070"/>
      <c r="AA54" s="1070"/>
      <c r="AB54" s="1070"/>
      <c r="AC54" s="1070"/>
      <c r="AD54" s="1071">
        <f t="shared" si="4"/>
        <v>0</v>
      </c>
      <c r="AE54" s="605">
        <f t="shared" si="2"/>
        <v>0</v>
      </c>
      <c r="AF54" s="606">
        <f t="shared" si="3"/>
        <v>394</v>
      </c>
    </row>
    <row r="55" spans="1:32" x14ac:dyDescent="0.3">
      <c r="A55" s="543" t="s">
        <v>618</v>
      </c>
      <c r="B55" s="676" t="s">
        <v>671</v>
      </c>
      <c r="C55" s="503" t="s">
        <v>251</v>
      </c>
      <c r="D55" s="504"/>
      <c r="E55" s="504" t="s">
        <v>251</v>
      </c>
      <c r="F55" s="504" t="s">
        <v>251</v>
      </c>
      <c r="G55" s="504" t="s">
        <v>251</v>
      </c>
      <c r="H55" s="504" t="s">
        <v>251</v>
      </c>
      <c r="I55" s="504" t="s">
        <v>251</v>
      </c>
      <c r="J55" s="504" t="s">
        <v>251</v>
      </c>
      <c r="K55" s="504"/>
      <c r="L55" s="504" t="s">
        <v>251</v>
      </c>
      <c r="M55" s="504" t="s">
        <v>251</v>
      </c>
      <c r="N55" s="504" t="s">
        <v>251</v>
      </c>
      <c r="O55" s="504" t="s">
        <v>251</v>
      </c>
      <c r="P55" s="1498">
        <f t="shared" si="0"/>
        <v>0</v>
      </c>
      <c r="Q55" s="694">
        <f t="shared" si="1"/>
        <v>0</v>
      </c>
      <c r="R55" s="1069" t="s">
        <v>251</v>
      </c>
      <c r="S55" s="1070" t="s">
        <v>251</v>
      </c>
      <c r="T55" s="1070"/>
      <c r="U55" s="1070"/>
      <c r="V55" s="1070"/>
      <c r="W55" s="1070"/>
      <c r="X55" s="1070"/>
      <c r="Y55" s="1070"/>
      <c r="Z55" s="1070"/>
      <c r="AA55" s="1070"/>
      <c r="AB55" s="1070"/>
      <c r="AC55" s="1070"/>
      <c r="AD55" s="1071">
        <f t="shared" si="4"/>
        <v>0</v>
      </c>
      <c r="AE55" s="605">
        <f t="shared" si="2"/>
        <v>0</v>
      </c>
      <c r="AF55" s="606">
        <f t="shared" si="3"/>
        <v>394</v>
      </c>
    </row>
    <row r="56" spans="1:32" x14ac:dyDescent="0.3">
      <c r="A56" s="543" t="s">
        <v>618</v>
      </c>
      <c r="B56" s="676" t="s">
        <v>672</v>
      </c>
      <c r="C56" s="503" t="s">
        <v>251</v>
      </c>
      <c r="D56" s="504"/>
      <c r="E56" s="504" t="s">
        <v>251</v>
      </c>
      <c r="F56" s="504" t="s">
        <v>251</v>
      </c>
      <c r="G56" s="504" t="s">
        <v>251</v>
      </c>
      <c r="H56" s="504" t="s">
        <v>251</v>
      </c>
      <c r="I56" s="504" t="s">
        <v>251</v>
      </c>
      <c r="J56" s="504" t="s">
        <v>251</v>
      </c>
      <c r="K56" s="504"/>
      <c r="L56" s="504" t="s">
        <v>251</v>
      </c>
      <c r="M56" s="504" t="s">
        <v>251</v>
      </c>
      <c r="N56" s="504" t="s">
        <v>251</v>
      </c>
      <c r="O56" s="504" t="s">
        <v>251</v>
      </c>
      <c r="P56" s="1498">
        <f t="shared" si="0"/>
        <v>0</v>
      </c>
      <c r="Q56" s="694">
        <f t="shared" si="1"/>
        <v>0</v>
      </c>
      <c r="R56" s="1069" t="s">
        <v>251</v>
      </c>
      <c r="S56" s="1070" t="s">
        <v>251</v>
      </c>
      <c r="T56" s="1070"/>
      <c r="U56" s="1070"/>
      <c r="V56" s="1070"/>
      <c r="W56" s="1070"/>
      <c r="X56" s="1070"/>
      <c r="Y56" s="1070"/>
      <c r="Z56" s="1070"/>
      <c r="AA56" s="1070"/>
      <c r="AB56" s="1070"/>
      <c r="AC56" s="1070"/>
      <c r="AD56" s="1071">
        <f t="shared" si="4"/>
        <v>0</v>
      </c>
      <c r="AE56" s="605">
        <f t="shared" si="2"/>
        <v>0</v>
      </c>
      <c r="AF56" s="606">
        <f t="shared" si="3"/>
        <v>394</v>
      </c>
    </row>
    <row r="57" spans="1:32" x14ac:dyDescent="0.3">
      <c r="A57" s="543" t="s">
        <v>618</v>
      </c>
      <c r="B57" s="676" t="s">
        <v>673</v>
      </c>
      <c r="C57" s="503" t="s">
        <v>251</v>
      </c>
      <c r="D57" s="504"/>
      <c r="E57" s="504" t="s">
        <v>251</v>
      </c>
      <c r="F57" s="504" t="s">
        <v>251</v>
      </c>
      <c r="G57" s="504" t="s">
        <v>251</v>
      </c>
      <c r="H57" s="504" t="s">
        <v>251</v>
      </c>
      <c r="I57" s="504" t="s">
        <v>251</v>
      </c>
      <c r="J57" s="504" t="s">
        <v>251</v>
      </c>
      <c r="K57" s="504"/>
      <c r="L57" s="504" t="s">
        <v>251</v>
      </c>
      <c r="M57" s="504" t="s">
        <v>251</v>
      </c>
      <c r="N57" s="504" t="s">
        <v>251</v>
      </c>
      <c r="O57" s="504" t="s">
        <v>251</v>
      </c>
      <c r="P57" s="1498">
        <f t="shared" si="0"/>
        <v>0</v>
      </c>
      <c r="Q57" s="694">
        <f t="shared" si="1"/>
        <v>0</v>
      </c>
      <c r="R57" s="1069" t="s">
        <v>251</v>
      </c>
      <c r="S57" s="1070" t="s">
        <v>251</v>
      </c>
      <c r="T57" s="1070"/>
      <c r="U57" s="1070"/>
      <c r="V57" s="1070"/>
      <c r="W57" s="1070"/>
      <c r="X57" s="1070"/>
      <c r="Y57" s="1070"/>
      <c r="Z57" s="1070"/>
      <c r="AA57" s="1070"/>
      <c r="AB57" s="1070"/>
      <c r="AC57" s="1070"/>
      <c r="AD57" s="1071">
        <f t="shared" si="4"/>
        <v>0</v>
      </c>
      <c r="AE57" s="605">
        <f t="shared" si="2"/>
        <v>0</v>
      </c>
      <c r="AF57" s="606">
        <f t="shared" si="3"/>
        <v>394</v>
      </c>
    </row>
    <row r="58" spans="1:32" x14ac:dyDescent="0.3">
      <c r="A58" s="543" t="s">
        <v>618</v>
      </c>
      <c r="B58" s="676" t="s">
        <v>674</v>
      </c>
      <c r="C58" s="503" t="s">
        <v>251</v>
      </c>
      <c r="D58" s="504"/>
      <c r="E58" s="504" t="s">
        <v>251</v>
      </c>
      <c r="F58" s="504" t="s">
        <v>251</v>
      </c>
      <c r="G58" s="504" t="s">
        <v>251</v>
      </c>
      <c r="H58" s="504" t="s">
        <v>251</v>
      </c>
      <c r="I58" s="504" t="s">
        <v>251</v>
      </c>
      <c r="J58" s="504" t="s">
        <v>251</v>
      </c>
      <c r="K58" s="504"/>
      <c r="L58" s="504" t="s">
        <v>251</v>
      </c>
      <c r="M58" s="504" t="s">
        <v>251</v>
      </c>
      <c r="N58" s="504" t="s">
        <v>251</v>
      </c>
      <c r="O58" s="504" t="s">
        <v>251</v>
      </c>
      <c r="P58" s="1498">
        <f t="shared" si="0"/>
        <v>0</v>
      </c>
      <c r="Q58" s="694">
        <f t="shared" si="1"/>
        <v>0</v>
      </c>
      <c r="R58" s="1069" t="s">
        <v>251</v>
      </c>
      <c r="S58" s="1070" t="s">
        <v>251</v>
      </c>
      <c r="T58" s="1070"/>
      <c r="U58" s="1070"/>
      <c r="V58" s="1070"/>
      <c r="W58" s="1070"/>
      <c r="X58" s="1070"/>
      <c r="Y58" s="1070"/>
      <c r="Z58" s="1070"/>
      <c r="AA58" s="1070"/>
      <c r="AB58" s="1070"/>
      <c r="AC58" s="1070"/>
      <c r="AD58" s="1071">
        <f t="shared" si="4"/>
        <v>0</v>
      </c>
      <c r="AE58" s="605">
        <f t="shared" si="2"/>
        <v>0</v>
      </c>
      <c r="AF58" s="606">
        <f t="shared" si="3"/>
        <v>394</v>
      </c>
    </row>
    <row r="59" spans="1:32" x14ac:dyDescent="0.3">
      <c r="A59" s="543" t="s">
        <v>618</v>
      </c>
      <c r="B59" s="676" t="s">
        <v>1799</v>
      </c>
      <c r="C59" s="503"/>
      <c r="D59" s="504"/>
      <c r="E59" s="504" t="s">
        <v>251</v>
      </c>
      <c r="F59" s="504" t="s">
        <v>251</v>
      </c>
      <c r="G59" s="504" t="s">
        <v>251</v>
      </c>
      <c r="H59" s="504" t="s">
        <v>251</v>
      </c>
      <c r="I59" s="504" t="s">
        <v>251</v>
      </c>
      <c r="J59" s="504" t="s">
        <v>251</v>
      </c>
      <c r="K59" s="504"/>
      <c r="L59" s="504" t="s">
        <v>251</v>
      </c>
      <c r="M59" s="504" t="s">
        <v>251</v>
      </c>
      <c r="N59" s="504" t="s">
        <v>251</v>
      </c>
      <c r="O59" s="504" t="s">
        <v>251</v>
      </c>
      <c r="P59" s="1498">
        <f t="shared" si="0"/>
        <v>0</v>
      </c>
      <c r="Q59" s="694">
        <f t="shared" si="1"/>
        <v>0</v>
      </c>
      <c r="R59" s="1069" t="s">
        <v>251</v>
      </c>
      <c r="S59" s="1070" t="s">
        <v>251</v>
      </c>
      <c r="T59" s="1070"/>
      <c r="U59" s="1070"/>
      <c r="V59" s="1070"/>
      <c r="W59" s="1070"/>
      <c r="X59" s="1070"/>
      <c r="Y59" s="1070"/>
      <c r="Z59" s="1070"/>
      <c r="AA59" s="1070"/>
      <c r="AB59" s="1070"/>
      <c r="AC59" s="1070"/>
      <c r="AD59" s="1071">
        <f t="shared" si="4"/>
        <v>0</v>
      </c>
      <c r="AE59" s="605">
        <f t="shared" si="2"/>
        <v>0</v>
      </c>
      <c r="AF59" s="606">
        <f t="shared" si="3"/>
        <v>394</v>
      </c>
    </row>
    <row r="60" spans="1:32" x14ac:dyDescent="0.3">
      <c r="A60" s="543" t="s">
        <v>618</v>
      </c>
      <c r="B60" s="676" t="s">
        <v>1800</v>
      </c>
      <c r="C60" s="503"/>
      <c r="D60" s="504"/>
      <c r="E60" s="504">
        <v>0</v>
      </c>
      <c r="F60" s="504">
        <v>0</v>
      </c>
      <c r="G60" s="504">
        <v>0</v>
      </c>
      <c r="H60" s="504">
        <v>0</v>
      </c>
      <c r="I60" s="504">
        <v>0</v>
      </c>
      <c r="J60" s="504">
        <v>0</v>
      </c>
      <c r="K60" s="504"/>
      <c r="L60" s="504">
        <v>1001880</v>
      </c>
      <c r="M60" s="504">
        <v>27000</v>
      </c>
      <c r="N60" s="504">
        <v>0</v>
      </c>
      <c r="O60" s="504">
        <v>0</v>
      </c>
      <c r="P60" s="1498">
        <f t="shared" si="0"/>
        <v>0</v>
      </c>
      <c r="Q60" s="694">
        <f t="shared" si="1"/>
        <v>1028880</v>
      </c>
      <c r="R60" s="1069" t="s">
        <v>251</v>
      </c>
      <c r="S60" s="1070" t="s">
        <v>251</v>
      </c>
      <c r="T60" s="1070"/>
      <c r="U60" s="1070"/>
      <c r="V60" s="1070"/>
      <c r="W60" s="1070"/>
      <c r="X60" s="1070"/>
      <c r="Y60" s="1070"/>
      <c r="Z60" s="1070"/>
      <c r="AA60" s="1070"/>
      <c r="AB60" s="1070"/>
      <c r="AC60" s="1070"/>
      <c r="AD60" s="1071">
        <f t="shared" si="4"/>
        <v>0</v>
      </c>
      <c r="AE60" s="605">
        <f t="shared" si="2"/>
        <v>0</v>
      </c>
      <c r="AF60" s="606">
        <f t="shared" si="3"/>
        <v>394</v>
      </c>
    </row>
    <row r="61" spans="1:32" x14ac:dyDescent="0.3">
      <c r="A61" s="543" t="s">
        <v>618</v>
      </c>
      <c r="B61" s="676" t="s">
        <v>1801</v>
      </c>
      <c r="C61" s="503"/>
      <c r="D61" s="504"/>
      <c r="E61" s="504" t="s">
        <v>251</v>
      </c>
      <c r="F61" s="504" t="s">
        <v>251</v>
      </c>
      <c r="G61" s="504" t="s">
        <v>251</v>
      </c>
      <c r="H61" s="504" t="s">
        <v>251</v>
      </c>
      <c r="I61" s="504" t="s">
        <v>251</v>
      </c>
      <c r="J61" s="504" t="s">
        <v>251</v>
      </c>
      <c r="K61" s="504"/>
      <c r="L61" s="504" t="s">
        <v>251</v>
      </c>
      <c r="M61" s="504" t="s">
        <v>251</v>
      </c>
      <c r="N61" s="504" t="s">
        <v>251</v>
      </c>
      <c r="O61" s="504" t="s">
        <v>251</v>
      </c>
      <c r="P61" s="1498">
        <f t="shared" si="0"/>
        <v>0</v>
      </c>
      <c r="Q61" s="694">
        <f t="shared" si="1"/>
        <v>0</v>
      </c>
      <c r="R61" s="1069" t="s">
        <v>251</v>
      </c>
      <c r="S61" s="1070" t="s">
        <v>251</v>
      </c>
      <c r="T61" s="1070"/>
      <c r="U61" s="1070"/>
      <c r="V61" s="1070"/>
      <c r="W61" s="1070"/>
      <c r="X61" s="1070"/>
      <c r="Y61" s="1070"/>
      <c r="Z61" s="1070"/>
      <c r="AA61" s="1070"/>
      <c r="AB61" s="1070"/>
      <c r="AC61" s="1070"/>
      <c r="AD61" s="1071">
        <f t="shared" si="4"/>
        <v>0</v>
      </c>
      <c r="AE61" s="605">
        <f t="shared" si="2"/>
        <v>0</v>
      </c>
      <c r="AF61" s="606">
        <f t="shared" si="3"/>
        <v>394</v>
      </c>
    </row>
    <row r="62" spans="1:32" x14ac:dyDescent="0.3">
      <c r="A62" s="543" t="s">
        <v>618</v>
      </c>
      <c r="B62" s="676" t="s">
        <v>1802</v>
      </c>
      <c r="C62" s="503"/>
      <c r="D62" s="504"/>
      <c r="E62" s="504" t="s">
        <v>251</v>
      </c>
      <c r="F62" s="504" t="s">
        <v>251</v>
      </c>
      <c r="G62" s="504" t="s">
        <v>251</v>
      </c>
      <c r="H62" s="504" t="s">
        <v>251</v>
      </c>
      <c r="I62" s="504" t="s">
        <v>251</v>
      </c>
      <c r="J62" s="504" t="s">
        <v>251</v>
      </c>
      <c r="K62" s="504"/>
      <c r="L62" s="504" t="s">
        <v>251</v>
      </c>
      <c r="M62" s="504" t="s">
        <v>251</v>
      </c>
      <c r="N62" s="504" t="s">
        <v>251</v>
      </c>
      <c r="O62" s="504" t="s">
        <v>251</v>
      </c>
      <c r="P62" s="1498">
        <f t="shared" si="0"/>
        <v>0</v>
      </c>
      <c r="Q62" s="694">
        <f t="shared" si="1"/>
        <v>0</v>
      </c>
      <c r="R62" s="1069" t="s">
        <v>251</v>
      </c>
      <c r="S62" s="1070" t="s">
        <v>251</v>
      </c>
      <c r="T62" s="1070"/>
      <c r="U62" s="1070"/>
      <c r="V62" s="1070"/>
      <c r="W62" s="1070"/>
      <c r="X62" s="1070"/>
      <c r="Y62" s="1070"/>
      <c r="Z62" s="1070"/>
      <c r="AA62" s="1070"/>
      <c r="AB62" s="1070"/>
      <c r="AC62" s="1070"/>
      <c r="AD62" s="1071">
        <f t="shared" si="4"/>
        <v>0</v>
      </c>
      <c r="AE62" s="605">
        <f t="shared" si="2"/>
        <v>0</v>
      </c>
      <c r="AF62" s="606">
        <f t="shared" si="3"/>
        <v>394</v>
      </c>
    </row>
    <row r="63" spans="1:32" x14ac:dyDescent="0.3">
      <c r="A63" s="543" t="s">
        <v>618</v>
      </c>
      <c r="B63" s="676" t="s">
        <v>701</v>
      </c>
      <c r="C63" s="503"/>
      <c r="D63" s="504"/>
      <c r="E63" s="504" t="s">
        <v>251</v>
      </c>
      <c r="F63" s="504" t="s">
        <v>251</v>
      </c>
      <c r="G63" s="504" t="s">
        <v>251</v>
      </c>
      <c r="H63" s="504" t="s">
        <v>251</v>
      </c>
      <c r="I63" s="504" t="s">
        <v>251</v>
      </c>
      <c r="J63" s="504" t="s">
        <v>251</v>
      </c>
      <c r="K63" s="504"/>
      <c r="L63" s="504" t="s">
        <v>251</v>
      </c>
      <c r="M63" s="504" t="s">
        <v>251</v>
      </c>
      <c r="N63" s="504" t="s">
        <v>251</v>
      </c>
      <c r="O63" s="504" t="s">
        <v>251</v>
      </c>
      <c r="P63" s="1498">
        <f t="shared" si="0"/>
        <v>0</v>
      </c>
      <c r="Q63" s="694">
        <f t="shared" si="1"/>
        <v>0</v>
      </c>
      <c r="R63" s="1069" t="s">
        <v>251</v>
      </c>
      <c r="S63" s="1070" t="s">
        <v>251</v>
      </c>
      <c r="T63" s="1070"/>
      <c r="U63" s="1070"/>
      <c r="V63" s="1070"/>
      <c r="W63" s="1070"/>
      <c r="X63" s="1070"/>
      <c r="Y63" s="1070"/>
      <c r="Z63" s="1070"/>
      <c r="AA63" s="1070"/>
      <c r="AB63" s="1070"/>
      <c r="AC63" s="1070"/>
      <c r="AD63" s="1071">
        <f t="shared" si="4"/>
        <v>0</v>
      </c>
      <c r="AE63" s="605">
        <f t="shared" si="2"/>
        <v>0</v>
      </c>
      <c r="AF63" s="606">
        <f t="shared" si="3"/>
        <v>394</v>
      </c>
    </row>
    <row r="64" spans="1:32" x14ac:dyDescent="0.3">
      <c r="A64" s="543" t="s">
        <v>618</v>
      </c>
      <c r="B64" s="676" t="s">
        <v>1807</v>
      </c>
      <c r="C64" s="503"/>
      <c r="D64" s="504"/>
      <c r="E64" s="504" t="s">
        <v>251</v>
      </c>
      <c r="F64" s="504" t="s">
        <v>251</v>
      </c>
      <c r="G64" s="504" t="s">
        <v>251</v>
      </c>
      <c r="H64" s="504" t="s">
        <v>251</v>
      </c>
      <c r="I64" s="504" t="s">
        <v>251</v>
      </c>
      <c r="J64" s="504" t="s">
        <v>251</v>
      </c>
      <c r="K64" s="504"/>
      <c r="L64" s="504" t="s">
        <v>251</v>
      </c>
      <c r="M64" s="504" t="s">
        <v>251</v>
      </c>
      <c r="N64" s="504" t="s">
        <v>251</v>
      </c>
      <c r="O64" s="504" t="s">
        <v>251</v>
      </c>
      <c r="P64" s="1498">
        <f t="shared" si="0"/>
        <v>0</v>
      </c>
      <c r="Q64" s="694">
        <f t="shared" si="1"/>
        <v>0</v>
      </c>
      <c r="R64" s="1069" t="s">
        <v>251</v>
      </c>
      <c r="S64" s="1070" t="s">
        <v>251</v>
      </c>
      <c r="T64" s="1070"/>
      <c r="U64" s="1070"/>
      <c r="V64" s="1070"/>
      <c r="W64" s="1070"/>
      <c r="X64" s="1070"/>
      <c r="Y64" s="1070"/>
      <c r="Z64" s="1070"/>
      <c r="AA64" s="1070"/>
      <c r="AB64" s="1070"/>
      <c r="AC64" s="1070"/>
      <c r="AD64" s="1071">
        <f t="shared" si="4"/>
        <v>0</v>
      </c>
      <c r="AE64" s="605">
        <f t="shared" si="2"/>
        <v>0</v>
      </c>
      <c r="AF64" s="606">
        <f t="shared" si="3"/>
        <v>394</v>
      </c>
    </row>
    <row r="65" spans="1:32" x14ac:dyDescent="0.3">
      <c r="A65" s="543" t="s">
        <v>618</v>
      </c>
      <c r="B65" s="676" t="s">
        <v>1842</v>
      </c>
      <c r="C65" s="503"/>
      <c r="D65" s="504"/>
      <c r="E65" s="504">
        <v>0</v>
      </c>
      <c r="F65" s="504">
        <v>0</v>
      </c>
      <c r="G65" s="504">
        <v>0</v>
      </c>
      <c r="H65" s="504">
        <v>315360</v>
      </c>
      <c r="I65" s="504">
        <v>812340</v>
      </c>
      <c r="J65" s="504">
        <v>0</v>
      </c>
      <c r="K65" s="504">
        <v>0</v>
      </c>
      <c r="L65" s="504">
        <v>0</v>
      </c>
      <c r="M65" s="504">
        <v>0</v>
      </c>
      <c r="N65" s="504">
        <v>0</v>
      </c>
      <c r="O65" s="504">
        <v>0</v>
      </c>
      <c r="P65" s="1498">
        <f t="shared" si="0"/>
        <v>1127700</v>
      </c>
      <c r="Q65" s="694">
        <f t="shared" si="1"/>
        <v>1127700</v>
      </c>
      <c r="R65" s="1069" t="s">
        <v>251</v>
      </c>
      <c r="S65" s="1070" t="s">
        <v>251</v>
      </c>
      <c r="T65" s="1070"/>
      <c r="U65" s="1070"/>
      <c r="V65" s="1070"/>
      <c r="W65" s="1070"/>
      <c r="X65" s="1070"/>
      <c r="Y65" s="1070"/>
      <c r="Z65" s="1070"/>
      <c r="AA65" s="1070"/>
      <c r="AB65" s="1070"/>
      <c r="AC65" s="1070"/>
      <c r="AD65" s="1071">
        <f t="shared" si="4"/>
        <v>0</v>
      </c>
      <c r="AE65" s="605">
        <f t="shared" si="2"/>
        <v>-1</v>
      </c>
      <c r="AF65" s="606">
        <f t="shared" si="3"/>
        <v>394</v>
      </c>
    </row>
    <row r="66" spans="1:32" x14ac:dyDescent="0.3">
      <c r="A66" s="543" t="s">
        <v>618</v>
      </c>
      <c r="B66" s="676" t="s">
        <v>681</v>
      </c>
      <c r="C66" s="503"/>
      <c r="D66" s="504"/>
      <c r="E66" s="504">
        <v>0</v>
      </c>
      <c r="F66" s="504">
        <v>0</v>
      </c>
      <c r="G66" s="504">
        <v>0</v>
      </c>
      <c r="H66" s="504">
        <v>0</v>
      </c>
      <c r="I66" s="504">
        <v>94770</v>
      </c>
      <c r="J66" s="504">
        <v>0</v>
      </c>
      <c r="K66" s="504">
        <v>0</v>
      </c>
      <c r="L66" s="504">
        <v>0</v>
      </c>
      <c r="M66" s="504">
        <v>0</v>
      </c>
      <c r="N66" s="504">
        <v>0</v>
      </c>
      <c r="O66" s="504">
        <v>0</v>
      </c>
      <c r="P66" s="1498">
        <f t="shared" si="0"/>
        <v>94770</v>
      </c>
      <c r="Q66" s="694">
        <f t="shared" si="1"/>
        <v>94770</v>
      </c>
      <c r="R66" s="1069" t="s">
        <v>251</v>
      </c>
      <c r="S66" s="1070" t="s">
        <v>251</v>
      </c>
      <c r="T66" s="1070"/>
      <c r="U66" s="1070"/>
      <c r="V66" s="1070"/>
      <c r="W66" s="1070"/>
      <c r="X66" s="1070"/>
      <c r="Y66" s="1070"/>
      <c r="Z66" s="1070"/>
      <c r="AA66" s="1070"/>
      <c r="AB66" s="1070"/>
      <c r="AC66" s="1070"/>
      <c r="AD66" s="1071">
        <f t="shared" si="4"/>
        <v>0</v>
      </c>
      <c r="AE66" s="605">
        <f t="shared" ref="AE66:AE133" si="8">IF(OR(AD66="", P66=""), 0, IFERROR((AD66-P66)/P66, IF(AD66&lt;&gt;0, 1, 0)))</f>
        <v>-1</v>
      </c>
      <c r="AF66" s="606">
        <f t="shared" si="3"/>
        <v>394</v>
      </c>
    </row>
    <row r="67" spans="1:32" x14ac:dyDescent="0.3">
      <c r="A67" s="543" t="s">
        <v>618</v>
      </c>
      <c r="B67" s="676" t="s">
        <v>679</v>
      </c>
      <c r="C67" s="503"/>
      <c r="D67" s="504"/>
      <c r="E67" s="504">
        <v>0</v>
      </c>
      <c r="F67" s="504">
        <v>0</v>
      </c>
      <c r="G67" s="504">
        <v>0</v>
      </c>
      <c r="H67" s="504">
        <v>0</v>
      </c>
      <c r="I67" s="504">
        <v>561600</v>
      </c>
      <c r="J67" s="504">
        <v>0</v>
      </c>
      <c r="K67" s="504">
        <v>0</v>
      </c>
      <c r="L67" s="504">
        <v>0</v>
      </c>
      <c r="M67" s="504">
        <v>0</v>
      </c>
      <c r="N67" s="504">
        <v>0</v>
      </c>
      <c r="O67" s="504">
        <v>0</v>
      </c>
      <c r="P67" s="1498">
        <f t="shared" ref="P67:P130" si="9">SUM(C67:I67,K67)</f>
        <v>561600</v>
      </c>
      <c r="Q67" s="694">
        <f t="shared" ref="Q67:Q88" si="10">SUM(C67:J67,L67:O67)</f>
        <v>561600</v>
      </c>
      <c r="R67" s="1069" t="s">
        <v>251</v>
      </c>
      <c r="S67" s="1070" t="s">
        <v>251</v>
      </c>
      <c r="T67" s="1070"/>
      <c r="U67" s="1070"/>
      <c r="V67" s="1070"/>
      <c r="W67" s="1070"/>
      <c r="X67" s="1070"/>
      <c r="Y67" s="1070"/>
      <c r="Z67" s="1070"/>
      <c r="AA67" s="1070"/>
      <c r="AB67" s="1070"/>
      <c r="AC67" s="1070"/>
      <c r="AD67" s="1071">
        <f t="shared" si="4"/>
        <v>0</v>
      </c>
      <c r="AE67" s="605">
        <f t="shared" si="8"/>
        <v>-1</v>
      </c>
      <c r="AF67" s="606">
        <f t="shared" ref="AF67:AF89" si="11">IFERROR(_xlfn.RANK.EQ(AD67, $AD$2:$AD$677), "")</f>
        <v>394</v>
      </c>
    </row>
    <row r="68" spans="1:32" x14ac:dyDescent="0.3">
      <c r="A68" s="543" t="s">
        <v>618</v>
      </c>
      <c r="B68" s="676" t="s">
        <v>1792</v>
      </c>
      <c r="C68" s="503"/>
      <c r="D68" s="504"/>
      <c r="E68" s="504">
        <v>0</v>
      </c>
      <c r="F68" s="504">
        <v>0</v>
      </c>
      <c r="G68" s="504">
        <v>0</v>
      </c>
      <c r="H68" s="504">
        <v>0</v>
      </c>
      <c r="I68" s="504">
        <v>0</v>
      </c>
      <c r="J68" s="504">
        <v>312660</v>
      </c>
      <c r="K68" s="504"/>
      <c r="L68" s="504">
        <v>0</v>
      </c>
      <c r="M68" s="504">
        <v>0</v>
      </c>
      <c r="N68" s="504">
        <v>0</v>
      </c>
      <c r="O68" s="504">
        <v>0</v>
      </c>
      <c r="P68" s="1498">
        <f t="shared" si="9"/>
        <v>0</v>
      </c>
      <c r="Q68" s="694">
        <f t="shared" si="10"/>
        <v>312660</v>
      </c>
      <c r="R68" s="1069" t="s">
        <v>251</v>
      </c>
      <c r="S68" s="1070" t="s">
        <v>251</v>
      </c>
      <c r="T68" s="1070"/>
      <c r="U68" s="1070"/>
      <c r="V68" s="1070"/>
      <c r="W68" s="1070"/>
      <c r="X68" s="1070"/>
      <c r="Y68" s="1070"/>
      <c r="Z68" s="1070"/>
      <c r="AA68" s="1070"/>
      <c r="AB68" s="1070"/>
      <c r="AC68" s="1070"/>
      <c r="AD68" s="1071">
        <f t="shared" ref="AD68:AD89" si="12">SUM(R68:AC68)</f>
        <v>0</v>
      </c>
      <c r="AE68" s="605">
        <f t="shared" si="8"/>
        <v>0</v>
      </c>
      <c r="AF68" s="606">
        <f t="shared" si="11"/>
        <v>394</v>
      </c>
    </row>
    <row r="69" spans="1:32" x14ac:dyDescent="0.3">
      <c r="A69" s="543" t="s">
        <v>618</v>
      </c>
      <c r="B69" s="676" t="s">
        <v>1803</v>
      </c>
      <c r="C69" s="503"/>
      <c r="D69" s="504"/>
      <c r="E69" s="504">
        <v>0</v>
      </c>
      <c r="F69" s="504">
        <v>0</v>
      </c>
      <c r="G69" s="504">
        <v>0</v>
      </c>
      <c r="H69" s="504">
        <v>0</v>
      </c>
      <c r="I69" s="504">
        <v>0</v>
      </c>
      <c r="J69" s="504">
        <v>0</v>
      </c>
      <c r="K69" s="504"/>
      <c r="L69" s="504">
        <v>64800</v>
      </c>
      <c r="M69" s="504">
        <v>0</v>
      </c>
      <c r="N69" s="504">
        <v>0</v>
      </c>
      <c r="O69" s="504">
        <v>0</v>
      </c>
      <c r="P69" s="1498">
        <f t="shared" si="9"/>
        <v>0</v>
      </c>
      <c r="Q69" s="694">
        <f t="shared" si="10"/>
        <v>64800</v>
      </c>
      <c r="R69" s="1069" t="s">
        <v>251</v>
      </c>
      <c r="S69" s="1070" t="s">
        <v>251</v>
      </c>
      <c r="T69" s="1070"/>
      <c r="U69" s="1070"/>
      <c r="V69" s="1070"/>
      <c r="W69" s="1070"/>
      <c r="X69" s="1070"/>
      <c r="Y69" s="1070"/>
      <c r="Z69" s="1070"/>
      <c r="AA69" s="1070"/>
      <c r="AB69" s="1070"/>
      <c r="AC69" s="1070"/>
      <c r="AD69" s="1071">
        <f t="shared" si="12"/>
        <v>0</v>
      </c>
      <c r="AE69" s="605">
        <f t="shared" si="8"/>
        <v>0</v>
      </c>
      <c r="AF69" s="606">
        <f t="shared" si="11"/>
        <v>394</v>
      </c>
    </row>
    <row r="70" spans="1:32" x14ac:dyDescent="0.3">
      <c r="A70" s="543" t="s">
        <v>618</v>
      </c>
      <c r="B70" s="676" t="s">
        <v>1900</v>
      </c>
      <c r="C70" s="503"/>
      <c r="D70" s="504"/>
      <c r="E70" s="504">
        <v>0</v>
      </c>
      <c r="F70" s="504">
        <v>0</v>
      </c>
      <c r="G70" s="504">
        <v>0</v>
      </c>
      <c r="H70" s="504">
        <v>0</v>
      </c>
      <c r="I70" s="504">
        <v>0</v>
      </c>
      <c r="J70" s="504">
        <v>0</v>
      </c>
      <c r="K70" s="504"/>
      <c r="L70" s="504">
        <v>2147400</v>
      </c>
      <c r="M70" s="504">
        <v>3308400</v>
      </c>
      <c r="N70" s="504">
        <v>707400</v>
      </c>
      <c r="O70" s="504">
        <v>0</v>
      </c>
      <c r="P70" s="1498">
        <f t="shared" si="9"/>
        <v>0</v>
      </c>
      <c r="Q70" s="694">
        <f t="shared" si="10"/>
        <v>6163200</v>
      </c>
      <c r="R70" s="1069">
        <v>702000</v>
      </c>
      <c r="S70" s="1070">
        <v>484380</v>
      </c>
      <c r="T70" s="1070"/>
      <c r="U70" s="1070"/>
      <c r="V70" s="1070"/>
      <c r="W70" s="1070"/>
      <c r="X70" s="1070"/>
      <c r="Y70" s="1070"/>
      <c r="Z70" s="1070"/>
      <c r="AA70" s="1070"/>
      <c r="AB70" s="1070"/>
      <c r="AC70" s="1070"/>
      <c r="AD70" s="1071">
        <f t="shared" si="12"/>
        <v>1186380</v>
      </c>
      <c r="AE70" s="605">
        <f t="shared" si="8"/>
        <v>1</v>
      </c>
      <c r="AF70" s="606">
        <f t="shared" si="11"/>
        <v>183</v>
      </c>
    </row>
    <row r="71" spans="1:32" x14ac:dyDescent="0.3">
      <c r="A71" s="543" t="s">
        <v>618</v>
      </c>
      <c r="B71" s="676" t="s">
        <v>1901</v>
      </c>
      <c r="C71" s="503"/>
      <c r="D71" s="504"/>
      <c r="E71" s="504">
        <v>0</v>
      </c>
      <c r="F71" s="504">
        <v>0</v>
      </c>
      <c r="G71" s="504">
        <v>0</v>
      </c>
      <c r="H71" s="504">
        <v>0</v>
      </c>
      <c r="I71" s="504">
        <v>0</v>
      </c>
      <c r="J71" s="504">
        <v>0</v>
      </c>
      <c r="K71" s="504"/>
      <c r="L71" s="504">
        <v>486900</v>
      </c>
      <c r="M71" s="504">
        <v>0</v>
      </c>
      <c r="N71" s="504">
        <v>0</v>
      </c>
      <c r="O71" s="504">
        <v>0</v>
      </c>
      <c r="P71" s="1498">
        <f t="shared" si="9"/>
        <v>0</v>
      </c>
      <c r="Q71" s="694">
        <f t="shared" si="10"/>
        <v>486900</v>
      </c>
      <c r="R71" s="1069" t="s">
        <v>251</v>
      </c>
      <c r="S71" s="1070" t="s">
        <v>251</v>
      </c>
      <c r="T71" s="1070"/>
      <c r="U71" s="1070"/>
      <c r="V71" s="1070"/>
      <c r="W71" s="1070"/>
      <c r="X71" s="1070"/>
      <c r="Y71" s="1070"/>
      <c r="Z71" s="1070"/>
      <c r="AA71" s="1070"/>
      <c r="AB71" s="1070"/>
      <c r="AC71" s="1070"/>
      <c r="AD71" s="1071">
        <f t="shared" si="12"/>
        <v>0</v>
      </c>
      <c r="AE71" s="605">
        <f t="shared" si="8"/>
        <v>0</v>
      </c>
      <c r="AF71" s="606">
        <f t="shared" si="11"/>
        <v>394</v>
      </c>
    </row>
    <row r="72" spans="1:32" x14ac:dyDescent="0.3">
      <c r="A72" s="543" t="s">
        <v>618</v>
      </c>
      <c r="B72" s="676" t="s">
        <v>1332</v>
      </c>
      <c r="C72" s="503"/>
      <c r="D72" s="504"/>
      <c r="E72" s="504">
        <v>0</v>
      </c>
      <c r="F72" s="504">
        <v>0</v>
      </c>
      <c r="G72" s="504">
        <v>0</v>
      </c>
      <c r="H72" s="504">
        <v>0</v>
      </c>
      <c r="I72" s="504">
        <v>0</v>
      </c>
      <c r="J72" s="504">
        <v>0</v>
      </c>
      <c r="K72" s="504"/>
      <c r="L72" s="504">
        <v>466200</v>
      </c>
      <c r="M72" s="504">
        <v>0</v>
      </c>
      <c r="N72" s="504">
        <v>0</v>
      </c>
      <c r="O72" s="504">
        <v>0</v>
      </c>
      <c r="P72" s="1498">
        <f t="shared" si="9"/>
        <v>0</v>
      </c>
      <c r="Q72" s="694">
        <f t="shared" si="10"/>
        <v>466200</v>
      </c>
      <c r="R72" s="1069" t="s">
        <v>251</v>
      </c>
      <c r="S72" s="1070" t="s">
        <v>251</v>
      </c>
      <c r="T72" s="1070"/>
      <c r="U72" s="1070"/>
      <c r="V72" s="1070"/>
      <c r="W72" s="1070"/>
      <c r="X72" s="1070"/>
      <c r="Y72" s="1070"/>
      <c r="Z72" s="1070"/>
      <c r="AA72" s="1070"/>
      <c r="AB72" s="1070"/>
      <c r="AC72" s="1070"/>
      <c r="AD72" s="1071">
        <f t="shared" si="12"/>
        <v>0</v>
      </c>
      <c r="AE72" s="605">
        <f t="shared" si="8"/>
        <v>0</v>
      </c>
      <c r="AF72" s="606">
        <f t="shared" si="11"/>
        <v>394</v>
      </c>
    </row>
    <row r="73" spans="1:32" x14ac:dyDescent="0.3">
      <c r="A73" s="543" t="s">
        <v>618</v>
      </c>
      <c r="B73" s="676" t="s">
        <v>1902</v>
      </c>
      <c r="C73" s="503"/>
      <c r="D73" s="504"/>
      <c r="E73" s="504">
        <v>0</v>
      </c>
      <c r="F73" s="504">
        <v>0</v>
      </c>
      <c r="G73" s="504">
        <v>0</v>
      </c>
      <c r="H73" s="504">
        <v>0</v>
      </c>
      <c r="I73" s="504">
        <v>0</v>
      </c>
      <c r="J73" s="504">
        <v>0</v>
      </c>
      <c r="K73" s="504"/>
      <c r="L73" s="504">
        <v>225360</v>
      </c>
      <c r="M73" s="504">
        <v>0</v>
      </c>
      <c r="N73" s="504">
        <v>0</v>
      </c>
      <c r="O73" s="504">
        <v>360000</v>
      </c>
      <c r="P73" s="1498">
        <f t="shared" si="9"/>
        <v>0</v>
      </c>
      <c r="Q73" s="694">
        <f t="shared" si="10"/>
        <v>585360</v>
      </c>
      <c r="R73" s="1069" t="s">
        <v>251</v>
      </c>
      <c r="S73" s="1070" t="s">
        <v>251</v>
      </c>
      <c r="T73" s="1070">
        <v>1277250</v>
      </c>
      <c r="U73" s="1070">
        <v>204750</v>
      </c>
      <c r="V73" s="1070">
        <v>0</v>
      </c>
      <c r="W73" s="1070">
        <v>0</v>
      </c>
      <c r="X73" s="1070">
        <v>0</v>
      </c>
      <c r="Y73" s="1070">
        <v>0</v>
      </c>
      <c r="Z73" s="1070"/>
      <c r="AA73" s="1070"/>
      <c r="AB73" s="1070"/>
      <c r="AC73" s="1070"/>
      <c r="AD73" s="1071">
        <f t="shared" si="12"/>
        <v>1482000</v>
      </c>
      <c r="AE73" s="605">
        <f t="shared" si="8"/>
        <v>1</v>
      </c>
      <c r="AF73" s="606">
        <f t="shared" si="11"/>
        <v>168</v>
      </c>
    </row>
    <row r="74" spans="1:32" x14ac:dyDescent="0.3">
      <c r="A74" s="543" t="s">
        <v>618</v>
      </c>
      <c r="B74" s="676" t="s">
        <v>1959</v>
      </c>
      <c r="C74" s="503"/>
      <c r="D74" s="504"/>
      <c r="E74" s="504">
        <v>0</v>
      </c>
      <c r="F74" s="504">
        <v>0</v>
      </c>
      <c r="G74" s="504">
        <v>0</v>
      </c>
      <c r="H74" s="504">
        <v>0</v>
      </c>
      <c r="I74" s="504">
        <v>0</v>
      </c>
      <c r="J74" s="504">
        <v>0</v>
      </c>
      <c r="K74" s="504"/>
      <c r="L74" s="504">
        <v>0</v>
      </c>
      <c r="M74" s="504">
        <v>0</v>
      </c>
      <c r="N74" s="504">
        <v>523800</v>
      </c>
      <c r="O74" s="504">
        <v>0</v>
      </c>
      <c r="P74" s="1498">
        <f t="shared" si="9"/>
        <v>0</v>
      </c>
      <c r="Q74" s="694">
        <f t="shared" si="10"/>
        <v>523800</v>
      </c>
      <c r="R74" s="1069" t="s">
        <v>251</v>
      </c>
      <c r="S74" s="1070" t="s">
        <v>251</v>
      </c>
      <c r="T74" s="1070"/>
      <c r="U74" s="1070">
        <v>828360</v>
      </c>
      <c r="V74" s="1070">
        <v>191490</v>
      </c>
      <c r="W74" s="1070">
        <v>0</v>
      </c>
      <c r="X74" s="1070">
        <v>0</v>
      </c>
      <c r="Y74" s="1070">
        <v>0</v>
      </c>
      <c r="Z74" s="1070"/>
      <c r="AA74" s="1070"/>
      <c r="AB74" s="1070"/>
      <c r="AC74" s="1070"/>
      <c r="AD74" s="1071">
        <f t="shared" si="12"/>
        <v>1019850</v>
      </c>
      <c r="AE74" s="605">
        <f t="shared" si="8"/>
        <v>1</v>
      </c>
      <c r="AF74" s="606">
        <f t="shared" si="11"/>
        <v>197</v>
      </c>
    </row>
    <row r="75" spans="1:32" x14ac:dyDescent="0.3">
      <c r="A75" s="543" t="s">
        <v>618</v>
      </c>
      <c r="B75" s="676" t="s">
        <v>2604</v>
      </c>
      <c r="C75" s="503"/>
      <c r="D75" s="504"/>
      <c r="E75" s="504"/>
      <c r="F75" s="504"/>
      <c r="G75" s="504"/>
      <c r="H75" s="504"/>
      <c r="I75" s="504"/>
      <c r="J75" s="504"/>
      <c r="K75" s="504"/>
      <c r="L75" s="504"/>
      <c r="M75" s="504"/>
      <c r="N75" s="504"/>
      <c r="O75" s="504"/>
      <c r="P75" s="1498">
        <f t="shared" si="9"/>
        <v>0</v>
      </c>
      <c r="Q75" s="694">
        <f t="shared" si="10"/>
        <v>0</v>
      </c>
      <c r="R75" s="1069"/>
      <c r="S75" s="1070"/>
      <c r="T75" s="1070">
        <v>235950</v>
      </c>
      <c r="U75" s="1070">
        <v>17550</v>
      </c>
      <c r="V75" s="1070">
        <v>235950</v>
      </c>
      <c r="W75" s="1070">
        <v>0</v>
      </c>
      <c r="X75" s="1070">
        <v>0</v>
      </c>
      <c r="Y75" s="1070">
        <v>0</v>
      </c>
      <c r="Z75" s="1070"/>
      <c r="AA75" s="1070"/>
      <c r="AB75" s="1070"/>
      <c r="AC75" s="1070"/>
      <c r="AD75" s="1071">
        <f t="shared" si="12"/>
        <v>489450</v>
      </c>
      <c r="AE75" s="605">
        <f t="shared" si="8"/>
        <v>1</v>
      </c>
      <c r="AF75" s="606">
        <f t="shared" si="11"/>
        <v>259</v>
      </c>
    </row>
    <row r="76" spans="1:32" x14ac:dyDescent="0.3">
      <c r="A76" s="543" t="s">
        <v>618</v>
      </c>
      <c r="B76" s="676" t="s">
        <v>2641</v>
      </c>
      <c r="C76" s="503"/>
      <c r="D76" s="504"/>
      <c r="E76" s="504"/>
      <c r="F76" s="504"/>
      <c r="G76" s="504"/>
      <c r="H76" s="504"/>
      <c r="I76" s="504"/>
      <c r="J76" s="504"/>
      <c r="K76" s="504"/>
      <c r="L76" s="504"/>
      <c r="M76" s="504"/>
      <c r="N76" s="504"/>
      <c r="O76" s="504"/>
      <c r="P76" s="1498">
        <f t="shared" si="9"/>
        <v>0</v>
      </c>
      <c r="Q76" s="694">
        <f t="shared" si="10"/>
        <v>0</v>
      </c>
      <c r="R76" s="1069"/>
      <c r="S76" s="1070"/>
      <c r="T76" s="1070">
        <v>530200</v>
      </c>
      <c r="U76" s="1070">
        <v>0</v>
      </c>
      <c r="V76" s="1070">
        <v>0</v>
      </c>
      <c r="W76" s="1070">
        <v>0</v>
      </c>
      <c r="X76" s="1070">
        <v>0</v>
      </c>
      <c r="Y76" s="1070">
        <v>0</v>
      </c>
      <c r="Z76" s="1070"/>
      <c r="AA76" s="1070"/>
      <c r="AB76" s="1070"/>
      <c r="AC76" s="1070"/>
      <c r="AD76" s="1071">
        <f t="shared" si="12"/>
        <v>530200</v>
      </c>
      <c r="AE76" s="605">
        <f t="shared" si="8"/>
        <v>1</v>
      </c>
      <c r="AF76" s="606">
        <f t="shared" si="11"/>
        <v>252</v>
      </c>
    </row>
    <row r="77" spans="1:32" x14ac:dyDescent="0.3">
      <c r="A77" s="543" t="s">
        <v>618</v>
      </c>
      <c r="B77" s="676" t="s">
        <v>739</v>
      </c>
      <c r="C77" s="503"/>
      <c r="D77" s="504"/>
      <c r="E77" s="504"/>
      <c r="F77" s="504"/>
      <c r="G77" s="504"/>
      <c r="H77" s="504"/>
      <c r="I77" s="504"/>
      <c r="J77" s="504"/>
      <c r="K77" s="504"/>
      <c r="L77" s="504"/>
      <c r="M77" s="504"/>
      <c r="N77" s="504"/>
      <c r="O77" s="504"/>
      <c r="P77" s="1498">
        <f t="shared" si="9"/>
        <v>0</v>
      </c>
      <c r="Q77" s="694">
        <f t="shared" si="10"/>
        <v>0</v>
      </c>
      <c r="R77" s="1069"/>
      <c r="S77" s="1070"/>
      <c r="T77" s="1070">
        <v>282750</v>
      </c>
      <c r="U77" s="1070">
        <v>0</v>
      </c>
      <c r="V77" s="1070">
        <v>58500</v>
      </c>
      <c r="W77" s="1070">
        <v>562570</v>
      </c>
      <c r="X77" s="1070">
        <v>234390</v>
      </c>
      <c r="Y77" s="1070">
        <v>0</v>
      </c>
      <c r="Z77" s="1070"/>
      <c r="AA77" s="1070"/>
      <c r="AB77" s="1070"/>
      <c r="AC77" s="1070"/>
      <c r="AD77" s="1071">
        <f t="shared" si="12"/>
        <v>1138210</v>
      </c>
      <c r="AE77" s="605">
        <f t="shared" si="8"/>
        <v>1</v>
      </c>
      <c r="AF77" s="606">
        <f t="shared" si="11"/>
        <v>188</v>
      </c>
    </row>
    <row r="78" spans="1:32" x14ac:dyDescent="0.3">
      <c r="A78" s="543" t="s">
        <v>618</v>
      </c>
      <c r="B78" s="676" t="s">
        <v>2679</v>
      </c>
      <c r="C78" s="503"/>
      <c r="D78" s="504"/>
      <c r="E78" s="504"/>
      <c r="F78" s="504"/>
      <c r="G78" s="504"/>
      <c r="H78" s="504"/>
      <c r="I78" s="504"/>
      <c r="J78" s="504"/>
      <c r="K78" s="504">
        <v>10870560</v>
      </c>
      <c r="L78" s="504"/>
      <c r="M78" s="504"/>
      <c r="N78" s="504"/>
      <c r="O78" s="504"/>
      <c r="P78" s="1498">
        <f t="shared" si="9"/>
        <v>10870560</v>
      </c>
      <c r="Q78" s="694">
        <f t="shared" si="10"/>
        <v>0</v>
      </c>
      <c r="R78" s="1069"/>
      <c r="S78" s="1070"/>
      <c r="T78" s="1070"/>
      <c r="U78" s="1070">
        <v>9346740</v>
      </c>
      <c r="V78" s="1070">
        <v>5571140</v>
      </c>
      <c r="W78" s="1070">
        <v>2684760</v>
      </c>
      <c r="X78" s="1070">
        <v>6146790</v>
      </c>
      <c r="Y78" s="1070">
        <v>3421400</v>
      </c>
      <c r="Z78" s="1070"/>
      <c r="AA78" s="1070"/>
      <c r="AB78" s="1070"/>
      <c r="AC78" s="1070"/>
      <c r="AD78" s="1071">
        <f t="shared" si="12"/>
        <v>27170830</v>
      </c>
      <c r="AE78" s="605">
        <f t="shared" si="8"/>
        <v>1.4994876068942171</v>
      </c>
      <c r="AF78" s="606">
        <f t="shared" si="11"/>
        <v>14</v>
      </c>
    </row>
    <row r="79" spans="1:32" x14ac:dyDescent="0.3">
      <c r="A79" s="543" t="s">
        <v>618</v>
      </c>
      <c r="B79" s="676" t="s">
        <v>2680</v>
      </c>
      <c r="C79" s="503"/>
      <c r="D79" s="504"/>
      <c r="E79" s="504"/>
      <c r="F79" s="504"/>
      <c r="G79" s="504"/>
      <c r="H79" s="504"/>
      <c r="I79" s="504"/>
      <c r="J79" s="504"/>
      <c r="K79" s="504"/>
      <c r="L79" s="504"/>
      <c r="M79" s="504"/>
      <c r="N79" s="504"/>
      <c r="O79" s="504"/>
      <c r="P79" s="1498">
        <f t="shared" si="9"/>
        <v>0</v>
      </c>
      <c r="Q79" s="694">
        <f t="shared" si="10"/>
        <v>0</v>
      </c>
      <c r="R79" s="1069"/>
      <c r="S79" s="1070"/>
      <c r="T79" s="1070"/>
      <c r="U79" s="1070">
        <v>1984710</v>
      </c>
      <c r="V79" s="1070">
        <v>22030</v>
      </c>
      <c r="W79" s="1070">
        <v>0</v>
      </c>
      <c r="X79" s="1070">
        <v>0</v>
      </c>
      <c r="Y79" s="1070">
        <v>0</v>
      </c>
      <c r="Z79" s="1070"/>
      <c r="AA79" s="1070"/>
      <c r="AB79" s="1070"/>
      <c r="AC79" s="1070"/>
      <c r="AD79" s="1071">
        <f t="shared" si="12"/>
        <v>2006740</v>
      </c>
      <c r="AE79" s="605">
        <f t="shared" si="8"/>
        <v>1</v>
      </c>
      <c r="AF79" s="606">
        <f t="shared" si="11"/>
        <v>146</v>
      </c>
    </row>
    <row r="80" spans="1:32" x14ac:dyDescent="0.3">
      <c r="A80" s="543" t="s">
        <v>618</v>
      </c>
      <c r="B80" s="676" t="s">
        <v>2681</v>
      </c>
      <c r="C80" s="503"/>
      <c r="D80" s="504"/>
      <c r="E80" s="504"/>
      <c r="F80" s="504"/>
      <c r="G80" s="504"/>
      <c r="H80" s="504"/>
      <c r="I80" s="504"/>
      <c r="J80" s="504"/>
      <c r="K80" s="504"/>
      <c r="L80" s="504"/>
      <c r="M80" s="504"/>
      <c r="N80" s="504"/>
      <c r="O80" s="504"/>
      <c r="P80" s="1498">
        <f t="shared" si="9"/>
        <v>0</v>
      </c>
      <c r="Q80" s="694">
        <f t="shared" si="10"/>
        <v>0</v>
      </c>
      <c r="R80" s="1069"/>
      <c r="S80" s="1070"/>
      <c r="T80" s="1070"/>
      <c r="U80" s="1070">
        <v>1756950</v>
      </c>
      <c r="V80" s="1070">
        <v>0</v>
      </c>
      <c r="W80" s="1070">
        <v>0</v>
      </c>
      <c r="X80" s="1070">
        <v>0</v>
      </c>
      <c r="Y80" s="1070">
        <v>0</v>
      </c>
      <c r="Z80" s="1070"/>
      <c r="AA80" s="1070"/>
      <c r="AB80" s="1070"/>
      <c r="AC80" s="1070"/>
      <c r="AD80" s="1071">
        <f t="shared" si="12"/>
        <v>1756950</v>
      </c>
      <c r="AE80" s="605">
        <f t="shared" si="8"/>
        <v>1</v>
      </c>
      <c r="AF80" s="606">
        <f t="shared" si="11"/>
        <v>157</v>
      </c>
    </row>
    <row r="81" spans="1:32" x14ac:dyDescent="0.3">
      <c r="A81" s="543" t="s">
        <v>618</v>
      </c>
      <c r="B81" s="676" t="s">
        <v>2662</v>
      </c>
      <c r="C81" s="503"/>
      <c r="D81" s="504"/>
      <c r="E81" s="504"/>
      <c r="F81" s="504"/>
      <c r="G81" s="504"/>
      <c r="H81" s="504"/>
      <c r="I81" s="504"/>
      <c r="J81" s="504"/>
      <c r="K81" s="504"/>
      <c r="L81" s="504"/>
      <c r="M81" s="504"/>
      <c r="N81" s="504"/>
      <c r="O81" s="504"/>
      <c r="P81" s="1498">
        <f t="shared" si="9"/>
        <v>0</v>
      </c>
      <c r="Q81" s="694">
        <f t="shared" si="10"/>
        <v>0</v>
      </c>
      <c r="R81" s="1069"/>
      <c r="S81" s="1070"/>
      <c r="T81" s="1070"/>
      <c r="U81" s="1070">
        <v>0</v>
      </c>
      <c r="V81" s="1070">
        <v>0</v>
      </c>
      <c r="W81" s="1070">
        <v>0</v>
      </c>
      <c r="X81" s="1070">
        <v>3900</v>
      </c>
      <c r="Y81" s="1070">
        <v>0</v>
      </c>
      <c r="Z81" s="1070"/>
      <c r="AA81" s="1070"/>
      <c r="AB81" s="1070"/>
      <c r="AC81" s="1070"/>
      <c r="AD81" s="1071">
        <f t="shared" si="12"/>
        <v>3900</v>
      </c>
      <c r="AE81" s="605">
        <f t="shared" si="8"/>
        <v>1</v>
      </c>
      <c r="AF81" s="606">
        <f t="shared" si="11"/>
        <v>393</v>
      </c>
    </row>
    <row r="82" spans="1:32" x14ac:dyDescent="0.3">
      <c r="A82" s="543" t="s">
        <v>618</v>
      </c>
      <c r="B82" s="676" t="s">
        <v>1933</v>
      </c>
      <c r="C82" s="503"/>
      <c r="D82" s="504"/>
      <c r="E82" s="504"/>
      <c r="F82" s="504"/>
      <c r="G82" s="504"/>
      <c r="H82" s="504"/>
      <c r="I82" s="504"/>
      <c r="J82" s="504"/>
      <c r="K82" s="504">
        <v>283860</v>
      </c>
      <c r="L82" s="504"/>
      <c r="M82" s="504"/>
      <c r="N82" s="504"/>
      <c r="O82" s="504"/>
      <c r="P82" s="1498">
        <f t="shared" si="9"/>
        <v>283860</v>
      </c>
      <c r="Q82" s="694">
        <f t="shared" si="10"/>
        <v>0</v>
      </c>
      <c r="R82" s="1069"/>
      <c r="S82" s="1070"/>
      <c r="T82" s="1070"/>
      <c r="U82" s="1070">
        <v>376350</v>
      </c>
      <c r="V82" s="1070">
        <v>0</v>
      </c>
      <c r="W82" s="1070">
        <v>0</v>
      </c>
      <c r="X82" s="1070">
        <v>0</v>
      </c>
      <c r="Y82" s="1070">
        <v>0</v>
      </c>
      <c r="Z82" s="1070"/>
      <c r="AA82" s="1070"/>
      <c r="AB82" s="1070"/>
      <c r="AC82" s="1070"/>
      <c r="AD82" s="1071">
        <f t="shared" si="12"/>
        <v>376350</v>
      </c>
      <c r="AE82" s="605">
        <f t="shared" si="8"/>
        <v>0.3258296343267808</v>
      </c>
      <c r="AF82" s="606">
        <f t="shared" si="11"/>
        <v>278</v>
      </c>
    </row>
    <row r="83" spans="1:32" x14ac:dyDescent="0.3">
      <c r="A83" s="543" t="s">
        <v>618</v>
      </c>
      <c r="B83" s="676" t="s">
        <v>2242</v>
      </c>
      <c r="C83" s="503"/>
      <c r="D83" s="504"/>
      <c r="E83" s="504"/>
      <c r="F83" s="504"/>
      <c r="G83" s="504"/>
      <c r="H83" s="504"/>
      <c r="I83" s="504"/>
      <c r="J83" s="504"/>
      <c r="K83" s="504"/>
      <c r="L83" s="504"/>
      <c r="M83" s="504"/>
      <c r="N83" s="504"/>
      <c r="O83" s="504"/>
      <c r="P83" s="1498">
        <f t="shared" si="9"/>
        <v>0</v>
      </c>
      <c r="Q83" s="694">
        <f t="shared" si="10"/>
        <v>0</v>
      </c>
      <c r="R83" s="1069"/>
      <c r="S83" s="1070"/>
      <c r="T83" s="1070"/>
      <c r="U83" s="1070">
        <v>603720</v>
      </c>
      <c r="V83" s="1070">
        <v>0</v>
      </c>
      <c r="W83" s="1070">
        <v>0</v>
      </c>
      <c r="X83" s="1070">
        <v>0</v>
      </c>
      <c r="Y83" s="1070">
        <v>0</v>
      </c>
      <c r="Z83" s="1070"/>
      <c r="AA83" s="1070"/>
      <c r="AB83" s="1070"/>
      <c r="AC83" s="1070"/>
      <c r="AD83" s="1071">
        <f t="shared" si="12"/>
        <v>603720</v>
      </c>
      <c r="AE83" s="605">
        <f t="shared" si="8"/>
        <v>1</v>
      </c>
      <c r="AF83" s="606">
        <f t="shared" si="11"/>
        <v>242</v>
      </c>
    </row>
    <row r="84" spans="1:32" x14ac:dyDescent="0.3">
      <c r="A84" s="543" t="s">
        <v>618</v>
      </c>
      <c r="B84" s="676" t="s">
        <v>2777</v>
      </c>
      <c r="C84" s="503"/>
      <c r="D84" s="504"/>
      <c r="E84" s="504"/>
      <c r="F84" s="504"/>
      <c r="G84" s="504"/>
      <c r="H84" s="504"/>
      <c r="I84" s="504"/>
      <c r="J84" s="504"/>
      <c r="K84" s="504"/>
      <c r="L84" s="504"/>
      <c r="M84" s="504"/>
      <c r="N84" s="504"/>
      <c r="O84" s="504"/>
      <c r="P84" s="1498">
        <f t="shared" si="9"/>
        <v>0</v>
      </c>
      <c r="Q84" s="694">
        <f t="shared" si="10"/>
        <v>0</v>
      </c>
      <c r="R84" s="1069"/>
      <c r="S84" s="1070"/>
      <c r="T84" s="1070"/>
      <c r="U84" s="1070"/>
      <c r="V84" s="1070">
        <v>4210050</v>
      </c>
      <c r="W84" s="1070">
        <v>3683310</v>
      </c>
      <c r="X84" s="1070">
        <v>12054600</v>
      </c>
      <c r="Y84" s="1070">
        <v>166720</v>
      </c>
      <c r="Z84" s="1070"/>
      <c r="AA84" s="1070"/>
      <c r="AB84" s="1070"/>
      <c r="AC84" s="1070"/>
      <c r="AD84" s="1071">
        <f t="shared" si="12"/>
        <v>20114680</v>
      </c>
      <c r="AE84" s="605">
        <f t="shared" si="8"/>
        <v>1</v>
      </c>
      <c r="AF84" s="606">
        <f t="shared" si="11"/>
        <v>19</v>
      </c>
    </row>
    <row r="85" spans="1:32" x14ac:dyDescent="0.3">
      <c r="A85" s="543" t="s">
        <v>618</v>
      </c>
      <c r="B85" s="676" t="s">
        <v>2778</v>
      </c>
      <c r="C85" s="503"/>
      <c r="D85" s="504"/>
      <c r="E85" s="504"/>
      <c r="F85" s="504"/>
      <c r="G85" s="504"/>
      <c r="H85" s="504"/>
      <c r="I85" s="504"/>
      <c r="J85" s="504"/>
      <c r="K85" s="504"/>
      <c r="L85" s="504"/>
      <c r="M85" s="504"/>
      <c r="N85" s="504"/>
      <c r="O85" s="504"/>
      <c r="P85" s="1498">
        <f t="shared" si="9"/>
        <v>0</v>
      </c>
      <c r="Q85" s="694">
        <f t="shared" si="10"/>
        <v>0</v>
      </c>
      <c r="R85" s="1069"/>
      <c r="S85" s="1070"/>
      <c r="T85" s="1070"/>
      <c r="U85" s="1070"/>
      <c r="V85" s="1070">
        <v>782140</v>
      </c>
      <c r="W85" s="1070">
        <v>7105540</v>
      </c>
      <c r="X85" s="1070">
        <v>909560</v>
      </c>
      <c r="Y85" s="1070">
        <v>468800</v>
      </c>
      <c r="Z85" s="1070"/>
      <c r="AA85" s="1070"/>
      <c r="AB85" s="1070"/>
      <c r="AC85" s="1070"/>
      <c r="AD85" s="1071">
        <f t="shared" si="12"/>
        <v>9266040</v>
      </c>
      <c r="AE85" s="605">
        <f t="shared" si="8"/>
        <v>1</v>
      </c>
      <c r="AF85" s="606">
        <f t="shared" si="11"/>
        <v>48</v>
      </c>
    </row>
    <row r="86" spans="1:32" x14ac:dyDescent="0.3">
      <c r="A86" s="543" t="s">
        <v>618</v>
      </c>
      <c r="B86" s="676" t="s">
        <v>741</v>
      </c>
      <c r="C86" s="503"/>
      <c r="D86" s="504"/>
      <c r="E86" s="504"/>
      <c r="F86" s="504"/>
      <c r="G86" s="504"/>
      <c r="H86" s="504"/>
      <c r="I86" s="504"/>
      <c r="J86" s="504"/>
      <c r="K86" s="504"/>
      <c r="L86" s="504"/>
      <c r="M86" s="504"/>
      <c r="N86" s="504"/>
      <c r="O86" s="504"/>
      <c r="P86" s="1498">
        <f t="shared" si="9"/>
        <v>0</v>
      </c>
      <c r="Q86" s="694">
        <f t="shared" si="10"/>
        <v>0</v>
      </c>
      <c r="R86" s="1069"/>
      <c r="S86" s="1070"/>
      <c r="T86" s="1070"/>
      <c r="U86" s="1070"/>
      <c r="V86" s="1070"/>
      <c r="W86" s="1070">
        <v>370500</v>
      </c>
      <c r="X86" s="1070">
        <v>0</v>
      </c>
      <c r="Y86" s="1070">
        <v>0</v>
      </c>
      <c r="Z86" s="1070"/>
      <c r="AA86" s="1070"/>
      <c r="AB86" s="1070"/>
      <c r="AC86" s="1070"/>
      <c r="AD86" s="1071">
        <f t="shared" si="12"/>
        <v>370500</v>
      </c>
      <c r="AE86" s="605">
        <f t="shared" si="8"/>
        <v>1</v>
      </c>
      <c r="AF86" s="606">
        <f t="shared" si="11"/>
        <v>280</v>
      </c>
    </row>
    <row r="87" spans="1:32" x14ac:dyDescent="0.3">
      <c r="A87" s="543" t="s">
        <v>618</v>
      </c>
      <c r="B87" s="676" t="s">
        <v>225</v>
      </c>
      <c r="C87" s="503"/>
      <c r="D87" s="504"/>
      <c r="E87" s="504"/>
      <c r="F87" s="504"/>
      <c r="G87" s="504"/>
      <c r="H87" s="504"/>
      <c r="I87" s="504"/>
      <c r="J87" s="504"/>
      <c r="K87" s="504"/>
      <c r="L87" s="504"/>
      <c r="M87" s="504"/>
      <c r="N87" s="504"/>
      <c r="O87" s="504"/>
      <c r="P87" s="1498">
        <f t="shared" si="9"/>
        <v>0</v>
      </c>
      <c r="Q87" s="694">
        <f t="shared" si="10"/>
        <v>0</v>
      </c>
      <c r="R87" s="1069"/>
      <c r="S87" s="1070"/>
      <c r="T87" s="1070"/>
      <c r="U87" s="1070"/>
      <c r="V87" s="1070"/>
      <c r="W87" s="1070">
        <v>232440</v>
      </c>
      <c r="X87" s="1070">
        <v>875160</v>
      </c>
      <c r="Y87" s="1070">
        <v>0</v>
      </c>
      <c r="Z87" s="1070"/>
      <c r="AA87" s="1070"/>
      <c r="AB87" s="1070"/>
      <c r="AC87" s="1070"/>
      <c r="AD87" s="1071">
        <f t="shared" si="12"/>
        <v>1107600</v>
      </c>
      <c r="AE87" s="605">
        <f t="shared" si="8"/>
        <v>1</v>
      </c>
      <c r="AF87" s="606">
        <f t="shared" si="11"/>
        <v>191</v>
      </c>
    </row>
    <row r="88" spans="1:32" x14ac:dyDescent="0.3">
      <c r="A88" s="543" t="s">
        <v>618</v>
      </c>
      <c r="B88" s="676" t="s">
        <v>2603</v>
      </c>
      <c r="C88" s="503"/>
      <c r="D88" s="504"/>
      <c r="E88" s="504"/>
      <c r="F88" s="504"/>
      <c r="G88" s="504"/>
      <c r="H88" s="504"/>
      <c r="I88" s="504"/>
      <c r="J88" s="504"/>
      <c r="K88" s="504"/>
      <c r="L88" s="504"/>
      <c r="M88" s="504"/>
      <c r="N88" s="504"/>
      <c r="O88" s="504"/>
      <c r="P88" s="1498">
        <f t="shared" si="9"/>
        <v>0</v>
      </c>
      <c r="Q88" s="694">
        <f t="shared" si="10"/>
        <v>0</v>
      </c>
      <c r="R88" s="1069"/>
      <c r="S88" s="1070"/>
      <c r="T88" s="1070"/>
      <c r="U88" s="1070"/>
      <c r="V88" s="1070"/>
      <c r="W88" s="1070"/>
      <c r="X88" s="1070">
        <v>235950</v>
      </c>
      <c r="Y88" s="1070">
        <v>0</v>
      </c>
      <c r="Z88" s="1070"/>
      <c r="AA88" s="1070"/>
      <c r="AB88" s="1070"/>
      <c r="AC88" s="1070"/>
      <c r="AD88" s="1071">
        <f t="shared" si="12"/>
        <v>235950</v>
      </c>
      <c r="AE88" s="605">
        <f t="shared" si="8"/>
        <v>1</v>
      </c>
      <c r="AF88" s="606">
        <f t="shared" si="11"/>
        <v>306</v>
      </c>
    </row>
    <row r="89" spans="1:32" x14ac:dyDescent="0.3">
      <c r="A89" s="543" t="s">
        <v>618</v>
      </c>
      <c r="B89" s="676" t="s">
        <v>2925</v>
      </c>
      <c r="C89" s="503"/>
      <c r="D89" s="504"/>
      <c r="E89" s="504"/>
      <c r="F89" s="504"/>
      <c r="G89" s="504"/>
      <c r="H89" s="504"/>
      <c r="I89" s="504"/>
      <c r="J89" s="504"/>
      <c r="K89" s="504"/>
      <c r="L89" s="504"/>
      <c r="M89" s="504"/>
      <c r="N89" s="504"/>
      <c r="O89" s="504"/>
      <c r="P89" s="1498">
        <f t="shared" si="9"/>
        <v>0</v>
      </c>
      <c r="Q89" s="694">
        <f>SUM(C89:J89,L89:O89)</f>
        <v>0</v>
      </c>
      <c r="R89" s="1069"/>
      <c r="S89" s="1070"/>
      <c r="T89" s="1070"/>
      <c r="U89" s="1070"/>
      <c r="V89" s="1070"/>
      <c r="W89" s="1070"/>
      <c r="X89" s="1070">
        <v>284700</v>
      </c>
      <c r="Y89" s="1070">
        <v>124520</v>
      </c>
      <c r="Z89" s="1070"/>
      <c r="AA89" s="1070"/>
      <c r="AB89" s="1070"/>
      <c r="AC89" s="1070"/>
      <c r="AD89" s="1071">
        <f t="shared" si="12"/>
        <v>409220</v>
      </c>
      <c r="AE89" s="605">
        <f t="shared" si="8"/>
        <v>1</v>
      </c>
      <c r="AF89" s="606">
        <f t="shared" si="11"/>
        <v>275</v>
      </c>
    </row>
    <row r="90" spans="1:32" x14ac:dyDescent="0.3">
      <c r="A90" s="604" t="s">
        <v>1873</v>
      </c>
      <c r="B90" s="677" t="s">
        <v>621</v>
      </c>
      <c r="C90" s="596"/>
      <c r="D90" s="597"/>
      <c r="E90" s="597">
        <v>0</v>
      </c>
      <c r="F90" s="597">
        <v>0</v>
      </c>
      <c r="G90" s="597">
        <v>0</v>
      </c>
      <c r="H90" s="597">
        <v>0</v>
      </c>
      <c r="I90" s="597">
        <v>21600</v>
      </c>
      <c r="J90" s="597">
        <v>0</v>
      </c>
      <c r="K90" s="597"/>
      <c r="L90" s="597">
        <v>0</v>
      </c>
      <c r="M90" s="597">
        <v>0</v>
      </c>
      <c r="N90" s="597">
        <v>1103400</v>
      </c>
      <c r="O90" s="597">
        <v>0</v>
      </c>
      <c r="P90" s="1498">
        <f t="shared" si="9"/>
        <v>21600</v>
      </c>
      <c r="Q90" s="695">
        <f t="shared" ref="Q90:Q153" si="13">SUM(C90:J90,L90:O90)</f>
        <v>1125000</v>
      </c>
      <c r="R90" s="1072" t="s">
        <v>251</v>
      </c>
      <c r="S90" s="1073" t="s">
        <v>251</v>
      </c>
      <c r="T90" s="1073"/>
      <c r="U90" s="1073">
        <v>1491730</v>
      </c>
      <c r="V90" s="1073">
        <v>1777030</v>
      </c>
      <c r="W90" s="1073">
        <v>475800</v>
      </c>
      <c r="X90" s="1073">
        <v>0</v>
      </c>
      <c r="Y90" s="1073">
        <v>0</v>
      </c>
      <c r="Z90" s="1073"/>
      <c r="AA90" s="1073"/>
      <c r="AB90" s="1073"/>
      <c r="AC90" s="1073"/>
      <c r="AD90" s="1074">
        <f>SUM(R90:AC90)</f>
        <v>3744560</v>
      </c>
      <c r="AE90" s="607">
        <f t="shared" si="8"/>
        <v>172.35925925925926</v>
      </c>
      <c r="AF90" s="608">
        <f>IFERROR(_xlfn.RANK.EQ(AD90, $AD$2:$AD$677), "")</f>
        <v>103</v>
      </c>
    </row>
    <row r="91" spans="1:32" x14ac:dyDescent="0.3">
      <c r="A91" s="604" t="s">
        <v>1873</v>
      </c>
      <c r="B91" s="677" t="s">
        <v>648</v>
      </c>
      <c r="C91" s="596"/>
      <c r="D91" s="597"/>
      <c r="E91" s="597">
        <v>0</v>
      </c>
      <c r="F91" s="597">
        <v>0</v>
      </c>
      <c r="G91" s="597">
        <v>0</v>
      </c>
      <c r="H91" s="597">
        <v>0</v>
      </c>
      <c r="I91" s="597">
        <v>2968460</v>
      </c>
      <c r="J91" s="597">
        <v>568980</v>
      </c>
      <c r="K91" s="597"/>
      <c r="L91" s="597">
        <v>569160</v>
      </c>
      <c r="M91" s="597">
        <v>1193760</v>
      </c>
      <c r="N91" s="597">
        <v>2311020</v>
      </c>
      <c r="O91" s="597">
        <v>5414220</v>
      </c>
      <c r="P91" s="1498">
        <f t="shared" si="9"/>
        <v>2968460</v>
      </c>
      <c r="Q91" s="695">
        <f t="shared" si="13"/>
        <v>13025600</v>
      </c>
      <c r="R91" s="1072">
        <v>1392840</v>
      </c>
      <c r="S91" s="1073" t="s">
        <v>251</v>
      </c>
      <c r="T91" s="1073">
        <v>0</v>
      </c>
      <c r="U91" s="1073">
        <v>0</v>
      </c>
      <c r="V91" s="1073">
        <v>3332890</v>
      </c>
      <c r="W91" s="1073">
        <v>4518880</v>
      </c>
      <c r="X91" s="1073">
        <v>11193770</v>
      </c>
      <c r="Y91" s="1073">
        <v>0</v>
      </c>
      <c r="Z91" s="1073"/>
      <c r="AA91" s="1073"/>
      <c r="AB91" s="1073"/>
      <c r="AC91" s="1073"/>
      <c r="AD91" s="1074">
        <f t="shared" ref="AD91:AD158" si="14">SUM(R91:AC91)</f>
        <v>20438380</v>
      </c>
      <c r="AE91" s="607">
        <f t="shared" si="8"/>
        <v>5.8851795206942317</v>
      </c>
      <c r="AF91" s="608">
        <f t="shared" ref="AF91:AF154" si="15">IFERROR(_xlfn.RANK.EQ(AD91, $AD$2:$AD$677), "")</f>
        <v>17</v>
      </c>
    </row>
    <row r="92" spans="1:32" x14ac:dyDescent="0.3">
      <c r="A92" s="604" t="s">
        <v>1873</v>
      </c>
      <c r="B92" s="677" t="s">
        <v>620</v>
      </c>
      <c r="C92" s="596"/>
      <c r="D92" s="597"/>
      <c r="E92" s="597">
        <v>0</v>
      </c>
      <c r="F92" s="597">
        <v>0</v>
      </c>
      <c r="G92" s="597">
        <v>0</v>
      </c>
      <c r="H92" s="597">
        <v>0</v>
      </c>
      <c r="I92" s="597">
        <v>0</v>
      </c>
      <c r="J92" s="597">
        <v>2088000</v>
      </c>
      <c r="K92" s="597"/>
      <c r="L92" s="597">
        <v>4902480</v>
      </c>
      <c r="M92" s="597">
        <v>1501560</v>
      </c>
      <c r="N92" s="597">
        <v>0</v>
      </c>
      <c r="O92" s="597">
        <v>0</v>
      </c>
      <c r="P92" s="1498">
        <f t="shared" si="9"/>
        <v>0</v>
      </c>
      <c r="Q92" s="695">
        <f t="shared" si="13"/>
        <v>8492040</v>
      </c>
      <c r="R92" s="1072" t="s">
        <v>251</v>
      </c>
      <c r="S92" s="1073" t="s">
        <v>251</v>
      </c>
      <c r="T92" s="1073"/>
      <c r="U92" s="1073">
        <v>4715100</v>
      </c>
      <c r="V92" s="1073">
        <v>2624310</v>
      </c>
      <c r="W92" s="1073">
        <v>61420</v>
      </c>
      <c r="X92" s="1073">
        <v>0</v>
      </c>
      <c r="Y92" s="1073">
        <v>0</v>
      </c>
      <c r="Z92" s="1073"/>
      <c r="AA92" s="1073"/>
      <c r="AB92" s="1073"/>
      <c r="AC92" s="1073"/>
      <c r="AD92" s="1074">
        <f t="shared" si="14"/>
        <v>7400830</v>
      </c>
      <c r="AE92" s="607">
        <f t="shared" si="8"/>
        <v>1</v>
      </c>
      <c r="AF92" s="608">
        <f t="shared" si="15"/>
        <v>63</v>
      </c>
    </row>
    <row r="93" spans="1:32" x14ac:dyDescent="0.3">
      <c r="A93" s="604" t="s">
        <v>1873</v>
      </c>
      <c r="B93" s="677" t="s">
        <v>628</v>
      </c>
      <c r="C93" s="596"/>
      <c r="D93" s="597"/>
      <c r="E93" s="597">
        <v>0</v>
      </c>
      <c r="F93" s="597">
        <v>0</v>
      </c>
      <c r="G93" s="597">
        <v>0</v>
      </c>
      <c r="H93" s="597">
        <v>0</v>
      </c>
      <c r="I93" s="597">
        <v>0</v>
      </c>
      <c r="J93" s="597">
        <v>4211640</v>
      </c>
      <c r="K93" s="597"/>
      <c r="L93" s="597">
        <v>56700</v>
      </c>
      <c r="M93" s="597">
        <v>0</v>
      </c>
      <c r="N93" s="597">
        <v>518400</v>
      </c>
      <c r="O93" s="597">
        <v>0</v>
      </c>
      <c r="P93" s="1498">
        <f t="shared" si="9"/>
        <v>0</v>
      </c>
      <c r="Q93" s="695">
        <f t="shared" si="13"/>
        <v>4786740</v>
      </c>
      <c r="R93" s="1072">
        <v>524520</v>
      </c>
      <c r="S93" s="1073" t="s">
        <v>251</v>
      </c>
      <c r="T93" s="1073">
        <v>0</v>
      </c>
      <c r="U93" s="1073">
        <v>0</v>
      </c>
      <c r="V93" s="1073"/>
      <c r="W93" s="1073"/>
      <c r="X93" s="1073"/>
      <c r="Y93" s="1073"/>
      <c r="Z93" s="1073"/>
      <c r="AA93" s="1073"/>
      <c r="AB93" s="1073"/>
      <c r="AC93" s="1073"/>
      <c r="AD93" s="1074">
        <f t="shared" si="14"/>
        <v>524520</v>
      </c>
      <c r="AE93" s="607">
        <f t="shared" si="8"/>
        <v>1</v>
      </c>
      <c r="AF93" s="608">
        <f t="shared" si="15"/>
        <v>253</v>
      </c>
    </row>
    <row r="94" spans="1:32" x14ac:dyDescent="0.3">
      <c r="A94" s="604" t="s">
        <v>1873</v>
      </c>
      <c r="B94" s="677" t="s">
        <v>650</v>
      </c>
      <c r="C94" s="596"/>
      <c r="D94" s="597"/>
      <c r="E94" s="597">
        <v>0</v>
      </c>
      <c r="F94" s="597">
        <v>0</v>
      </c>
      <c r="G94" s="597">
        <v>0</v>
      </c>
      <c r="H94" s="597">
        <v>0</v>
      </c>
      <c r="I94" s="597">
        <v>0</v>
      </c>
      <c r="J94" s="597">
        <v>2223000</v>
      </c>
      <c r="K94" s="597">
        <v>1818000</v>
      </c>
      <c r="L94" s="597">
        <v>1280700</v>
      </c>
      <c r="M94" s="597">
        <v>292320</v>
      </c>
      <c r="N94" s="597">
        <v>153000</v>
      </c>
      <c r="O94" s="597">
        <v>63000</v>
      </c>
      <c r="P94" s="1498">
        <f t="shared" si="9"/>
        <v>1818000</v>
      </c>
      <c r="Q94" s="695">
        <f t="shared" si="13"/>
        <v>4012020</v>
      </c>
      <c r="R94" s="1072" t="s">
        <v>251</v>
      </c>
      <c r="S94" s="1073" t="s">
        <v>251</v>
      </c>
      <c r="T94" s="1073">
        <v>794820</v>
      </c>
      <c r="U94" s="1073">
        <v>1859910</v>
      </c>
      <c r="V94" s="1073">
        <v>753670</v>
      </c>
      <c r="W94" s="1073">
        <v>40950</v>
      </c>
      <c r="X94" s="1073">
        <v>0</v>
      </c>
      <c r="Y94" s="1073">
        <v>0</v>
      </c>
      <c r="Z94" s="1073"/>
      <c r="AA94" s="1073"/>
      <c r="AB94" s="1073"/>
      <c r="AC94" s="1073"/>
      <c r="AD94" s="1074">
        <f t="shared" si="14"/>
        <v>3449350</v>
      </c>
      <c r="AE94" s="607">
        <f t="shared" si="8"/>
        <v>0.89733223322332234</v>
      </c>
      <c r="AF94" s="608">
        <f t="shared" si="15"/>
        <v>112</v>
      </c>
    </row>
    <row r="95" spans="1:32" x14ac:dyDescent="0.3">
      <c r="A95" s="604" t="s">
        <v>1873</v>
      </c>
      <c r="B95" s="677" t="s">
        <v>641</v>
      </c>
      <c r="C95" s="596"/>
      <c r="D95" s="597"/>
      <c r="E95" s="597">
        <v>0</v>
      </c>
      <c r="F95" s="597">
        <v>0</v>
      </c>
      <c r="G95" s="597">
        <v>0</v>
      </c>
      <c r="H95" s="597">
        <v>0</v>
      </c>
      <c r="I95" s="597">
        <v>0</v>
      </c>
      <c r="J95" s="597">
        <v>291600</v>
      </c>
      <c r="K95" s="597"/>
      <c r="L95" s="597">
        <v>0</v>
      </c>
      <c r="M95" s="597">
        <v>31500</v>
      </c>
      <c r="N95" s="597">
        <v>0</v>
      </c>
      <c r="O95" s="597">
        <v>0</v>
      </c>
      <c r="P95" s="1498">
        <f t="shared" si="9"/>
        <v>0</v>
      </c>
      <c r="Q95" s="695">
        <f t="shared" si="13"/>
        <v>323100</v>
      </c>
      <c r="R95" s="1072">
        <v>438480</v>
      </c>
      <c r="S95" s="1073" t="s">
        <v>251</v>
      </c>
      <c r="T95" s="1073">
        <v>199290</v>
      </c>
      <c r="U95" s="1073">
        <v>1002690</v>
      </c>
      <c r="V95" s="1073"/>
      <c r="W95" s="1073"/>
      <c r="X95" s="1073"/>
      <c r="Y95" s="1073"/>
      <c r="Z95" s="1073"/>
      <c r="AA95" s="1073"/>
      <c r="AB95" s="1073"/>
      <c r="AC95" s="1073"/>
      <c r="AD95" s="1074">
        <f t="shared" si="14"/>
        <v>1640460</v>
      </c>
      <c r="AE95" s="607">
        <f t="shared" si="8"/>
        <v>1</v>
      </c>
      <c r="AF95" s="608">
        <f t="shared" si="15"/>
        <v>161</v>
      </c>
    </row>
    <row r="96" spans="1:32" x14ac:dyDescent="0.3">
      <c r="A96" s="604" t="s">
        <v>1873</v>
      </c>
      <c r="B96" s="677" t="s">
        <v>656</v>
      </c>
      <c r="C96" s="596"/>
      <c r="D96" s="597"/>
      <c r="E96" s="597">
        <v>0</v>
      </c>
      <c r="F96" s="597">
        <v>0</v>
      </c>
      <c r="G96" s="597">
        <v>0</v>
      </c>
      <c r="H96" s="597">
        <v>0</v>
      </c>
      <c r="I96" s="597">
        <v>0</v>
      </c>
      <c r="J96" s="597">
        <v>707400</v>
      </c>
      <c r="K96" s="597"/>
      <c r="L96" s="597">
        <v>0</v>
      </c>
      <c r="M96" s="597">
        <v>0</v>
      </c>
      <c r="N96" s="597">
        <v>0</v>
      </c>
      <c r="O96" s="597">
        <v>0</v>
      </c>
      <c r="P96" s="1498">
        <f t="shared" si="9"/>
        <v>0</v>
      </c>
      <c r="Q96" s="695">
        <f t="shared" si="13"/>
        <v>707400</v>
      </c>
      <c r="R96" s="1072" t="s">
        <v>251</v>
      </c>
      <c r="S96" s="1073" t="s">
        <v>251</v>
      </c>
      <c r="T96" s="1073"/>
      <c r="U96" s="1073">
        <v>597870</v>
      </c>
      <c r="V96" s="1073"/>
      <c r="W96" s="1073"/>
      <c r="X96" s="1073"/>
      <c r="Y96" s="1073"/>
      <c r="Z96" s="1073"/>
      <c r="AA96" s="1073"/>
      <c r="AB96" s="1073"/>
      <c r="AC96" s="1073"/>
      <c r="AD96" s="1074">
        <f t="shared" si="14"/>
        <v>597870</v>
      </c>
      <c r="AE96" s="607">
        <f t="shared" si="8"/>
        <v>1</v>
      </c>
      <c r="AF96" s="608">
        <f t="shared" si="15"/>
        <v>245</v>
      </c>
    </row>
    <row r="97" spans="1:32" x14ac:dyDescent="0.3">
      <c r="A97" s="604" t="s">
        <v>1873</v>
      </c>
      <c r="B97" s="677" t="s">
        <v>741</v>
      </c>
      <c r="C97" s="596"/>
      <c r="D97" s="597"/>
      <c r="E97" s="597">
        <v>0</v>
      </c>
      <c r="F97" s="597">
        <v>0</v>
      </c>
      <c r="G97" s="597">
        <v>0</v>
      </c>
      <c r="H97" s="597">
        <v>0</v>
      </c>
      <c r="I97" s="597">
        <v>0</v>
      </c>
      <c r="J97" s="597">
        <v>1548000</v>
      </c>
      <c r="K97" s="597"/>
      <c r="L97" s="597">
        <v>1441800</v>
      </c>
      <c r="M97" s="597">
        <v>43200</v>
      </c>
      <c r="N97" s="597">
        <v>0</v>
      </c>
      <c r="O97" s="597">
        <v>0</v>
      </c>
      <c r="P97" s="1498">
        <f t="shared" si="9"/>
        <v>0</v>
      </c>
      <c r="Q97" s="695">
        <f t="shared" si="13"/>
        <v>3033000</v>
      </c>
      <c r="R97" s="1072" t="s">
        <v>251</v>
      </c>
      <c r="S97" s="1073" t="s">
        <v>251</v>
      </c>
      <c r="T97" s="1073"/>
      <c r="U97" s="1073">
        <v>58500</v>
      </c>
      <c r="V97" s="1073">
        <v>347100</v>
      </c>
      <c r="W97" s="1073">
        <v>191100</v>
      </c>
      <c r="X97" s="1073">
        <v>0</v>
      </c>
      <c r="Y97" s="1073">
        <v>0</v>
      </c>
      <c r="Z97" s="1073"/>
      <c r="AA97" s="1073"/>
      <c r="AB97" s="1073"/>
      <c r="AC97" s="1073"/>
      <c r="AD97" s="1074">
        <f t="shared" si="14"/>
        <v>596700</v>
      </c>
      <c r="AE97" s="607">
        <f t="shared" si="8"/>
        <v>1</v>
      </c>
      <c r="AF97" s="608">
        <f t="shared" si="15"/>
        <v>246</v>
      </c>
    </row>
    <row r="98" spans="1:32" x14ac:dyDescent="0.3">
      <c r="A98" s="604" t="s">
        <v>1873</v>
      </c>
      <c r="B98" s="677" t="s">
        <v>886</v>
      </c>
      <c r="C98" s="596"/>
      <c r="D98" s="597"/>
      <c r="E98" s="597">
        <v>0</v>
      </c>
      <c r="F98" s="597">
        <v>0</v>
      </c>
      <c r="G98" s="597">
        <v>0</v>
      </c>
      <c r="H98" s="597">
        <v>0</v>
      </c>
      <c r="I98" s="597">
        <v>0</v>
      </c>
      <c r="J98" s="597">
        <v>252360</v>
      </c>
      <c r="K98" s="597"/>
      <c r="L98" s="597">
        <v>252360</v>
      </c>
      <c r="M98" s="597">
        <v>0</v>
      </c>
      <c r="N98" s="597">
        <v>0</v>
      </c>
      <c r="O98" s="597">
        <v>0</v>
      </c>
      <c r="P98" s="1498">
        <f t="shared" si="9"/>
        <v>0</v>
      </c>
      <c r="Q98" s="695">
        <f t="shared" si="13"/>
        <v>504720</v>
      </c>
      <c r="R98" s="1072" t="s">
        <v>251</v>
      </c>
      <c r="S98" s="1073" t="s">
        <v>251</v>
      </c>
      <c r="T98" s="1073"/>
      <c r="U98" s="1073"/>
      <c r="V98" s="1073">
        <v>482810</v>
      </c>
      <c r="W98" s="1073">
        <v>0</v>
      </c>
      <c r="X98" s="1073">
        <v>0</v>
      </c>
      <c r="Y98" s="1073">
        <v>0</v>
      </c>
      <c r="Z98" s="1073"/>
      <c r="AA98" s="1073"/>
      <c r="AB98" s="1073"/>
      <c r="AC98" s="1073"/>
      <c r="AD98" s="1074">
        <f t="shared" si="14"/>
        <v>482810</v>
      </c>
      <c r="AE98" s="607">
        <f t="shared" si="8"/>
        <v>1</v>
      </c>
      <c r="AF98" s="608">
        <f t="shared" si="15"/>
        <v>260</v>
      </c>
    </row>
    <row r="99" spans="1:32" x14ac:dyDescent="0.3">
      <c r="A99" s="604" t="s">
        <v>1873</v>
      </c>
      <c r="B99" s="677" t="s">
        <v>1888</v>
      </c>
      <c r="C99" s="596"/>
      <c r="D99" s="597"/>
      <c r="E99" s="597">
        <v>0</v>
      </c>
      <c r="F99" s="597">
        <v>0</v>
      </c>
      <c r="G99" s="597">
        <v>0</v>
      </c>
      <c r="H99" s="597">
        <v>0</v>
      </c>
      <c r="I99" s="597">
        <v>0</v>
      </c>
      <c r="J99" s="597">
        <v>492300</v>
      </c>
      <c r="K99" s="597"/>
      <c r="L99" s="597">
        <v>0</v>
      </c>
      <c r="M99" s="597">
        <v>0</v>
      </c>
      <c r="N99" s="597">
        <v>0</v>
      </c>
      <c r="O99" s="597">
        <v>0</v>
      </c>
      <c r="P99" s="1498">
        <f t="shared" si="9"/>
        <v>0</v>
      </c>
      <c r="Q99" s="695">
        <f t="shared" si="13"/>
        <v>492300</v>
      </c>
      <c r="R99" s="1072">
        <v>2720520</v>
      </c>
      <c r="S99" s="1073" t="s">
        <v>251</v>
      </c>
      <c r="T99" s="1073">
        <v>0</v>
      </c>
      <c r="U99" s="1073">
        <v>0</v>
      </c>
      <c r="V99" s="1073"/>
      <c r="W99" s="1073">
        <v>716130</v>
      </c>
      <c r="X99" s="1073">
        <v>588900</v>
      </c>
      <c r="Y99" s="1073">
        <v>1037550</v>
      </c>
      <c r="Z99" s="1073"/>
      <c r="AA99" s="1073"/>
      <c r="AB99" s="1073"/>
      <c r="AC99" s="1073"/>
      <c r="AD99" s="1074">
        <f t="shared" si="14"/>
        <v>5063100</v>
      </c>
      <c r="AE99" s="607">
        <f t="shared" si="8"/>
        <v>1</v>
      </c>
      <c r="AF99" s="608">
        <f t="shared" si="15"/>
        <v>83</v>
      </c>
    </row>
    <row r="100" spans="1:32" x14ac:dyDescent="0.3">
      <c r="A100" s="604" t="s">
        <v>1873</v>
      </c>
      <c r="B100" s="677" t="s">
        <v>1915</v>
      </c>
      <c r="C100" s="596"/>
      <c r="D100" s="597"/>
      <c r="E100" s="597">
        <v>0</v>
      </c>
      <c r="F100" s="597">
        <v>0</v>
      </c>
      <c r="G100" s="597">
        <v>0</v>
      </c>
      <c r="H100" s="597">
        <v>0</v>
      </c>
      <c r="I100" s="597">
        <v>0</v>
      </c>
      <c r="J100" s="597">
        <v>0</v>
      </c>
      <c r="K100" s="597"/>
      <c r="L100" s="597">
        <v>2826000</v>
      </c>
      <c r="M100" s="597">
        <v>1783800</v>
      </c>
      <c r="N100" s="597">
        <v>1114200</v>
      </c>
      <c r="O100" s="597">
        <v>0</v>
      </c>
      <c r="P100" s="1498">
        <f t="shared" si="9"/>
        <v>0</v>
      </c>
      <c r="Q100" s="695">
        <f t="shared" si="13"/>
        <v>5724000</v>
      </c>
      <c r="R100" s="1072" t="s">
        <v>251</v>
      </c>
      <c r="S100" s="1073" t="s">
        <v>251</v>
      </c>
      <c r="T100" s="1073"/>
      <c r="U100" s="1073"/>
      <c r="V100" s="1073"/>
      <c r="W100" s="1073"/>
      <c r="X100" s="1073"/>
      <c r="Y100" s="1073"/>
      <c r="Z100" s="1073"/>
      <c r="AA100" s="1073"/>
      <c r="AB100" s="1073"/>
      <c r="AC100" s="1073"/>
      <c r="AD100" s="1074">
        <f t="shared" si="14"/>
        <v>0</v>
      </c>
      <c r="AE100" s="607">
        <f t="shared" si="8"/>
        <v>0</v>
      </c>
      <c r="AF100" s="608">
        <f t="shared" si="15"/>
        <v>394</v>
      </c>
    </row>
    <row r="101" spans="1:32" x14ac:dyDescent="0.3">
      <c r="A101" s="604" t="s">
        <v>1873</v>
      </c>
      <c r="B101" s="677" t="s">
        <v>1900</v>
      </c>
      <c r="C101" s="596"/>
      <c r="D101" s="597"/>
      <c r="E101" s="597">
        <v>0</v>
      </c>
      <c r="F101" s="597">
        <v>0</v>
      </c>
      <c r="G101" s="597">
        <v>0</v>
      </c>
      <c r="H101" s="597">
        <v>0</v>
      </c>
      <c r="I101" s="597">
        <v>0</v>
      </c>
      <c r="J101" s="597">
        <v>0</v>
      </c>
      <c r="K101" s="597"/>
      <c r="L101" s="597">
        <v>864000</v>
      </c>
      <c r="M101" s="597">
        <v>6807600</v>
      </c>
      <c r="N101" s="597">
        <v>8803800</v>
      </c>
      <c r="O101" s="597">
        <v>3940200</v>
      </c>
      <c r="P101" s="1498">
        <f t="shared" si="9"/>
        <v>0</v>
      </c>
      <c r="Q101" s="695">
        <f t="shared" si="13"/>
        <v>20415600</v>
      </c>
      <c r="R101" s="1072" t="s">
        <v>251</v>
      </c>
      <c r="S101" s="1073">
        <v>900700</v>
      </c>
      <c r="T101" s="1073">
        <v>2693710</v>
      </c>
      <c r="U101" s="1073">
        <v>0</v>
      </c>
      <c r="V101" s="1073"/>
      <c r="W101" s="1073"/>
      <c r="X101" s="1073"/>
      <c r="Y101" s="1073"/>
      <c r="Z101" s="1073"/>
      <c r="AA101" s="1073"/>
      <c r="AB101" s="1073"/>
      <c r="AC101" s="1073"/>
      <c r="AD101" s="1074">
        <f t="shared" si="14"/>
        <v>3594410</v>
      </c>
      <c r="AE101" s="607">
        <f t="shared" si="8"/>
        <v>1</v>
      </c>
      <c r="AF101" s="608">
        <f t="shared" si="15"/>
        <v>106</v>
      </c>
    </row>
    <row r="102" spans="1:32" x14ac:dyDescent="0.3">
      <c r="A102" s="604" t="s">
        <v>1873</v>
      </c>
      <c r="B102" s="677" t="s">
        <v>635</v>
      </c>
      <c r="C102" s="596"/>
      <c r="D102" s="597"/>
      <c r="E102" s="597">
        <v>0</v>
      </c>
      <c r="F102" s="597">
        <v>0</v>
      </c>
      <c r="G102" s="597">
        <v>0</v>
      </c>
      <c r="H102" s="597">
        <v>0</v>
      </c>
      <c r="I102" s="597">
        <v>0</v>
      </c>
      <c r="J102" s="597">
        <v>0</v>
      </c>
      <c r="K102" s="597"/>
      <c r="L102" s="597">
        <v>2498400</v>
      </c>
      <c r="M102" s="597">
        <v>86400</v>
      </c>
      <c r="N102" s="597">
        <v>0</v>
      </c>
      <c r="O102" s="597">
        <v>0</v>
      </c>
      <c r="P102" s="1498">
        <f t="shared" si="9"/>
        <v>0</v>
      </c>
      <c r="Q102" s="695">
        <f t="shared" si="13"/>
        <v>2584800</v>
      </c>
      <c r="R102" s="1072" t="s">
        <v>251</v>
      </c>
      <c r="S102" s="1073" t="s">
        <v>251</v>
      </c>
      <c r="T102" s="1073">
        <v>627900</v>
      </c>
      <c r="U102" s="1073">
        <v>405600</v>
      </c>
      <c r="V102" s="1073">
        <v>35100</v>
      </c>
      <c r="W102" s="1073">
        <v>35100</v>
      </c>
      <c r="X102" s="1073">
        <v>0</v>
      </c>
      <c r="Y102" s="1073">
        <v>0</v>
      </c>
      <c r="Z102" s="1073"/>
      <c r="AA102" s="1073"/>
      <c r="AB102" s="1073"/>
      <c r="AC102" s="1073"/>
      <c r="AD102" s="1074">
        <f t="shared" si="14"/>
        <v>1103700</v>
      </c>
      <c r="AE102" s="607">
        <f t="shared" si="8"/>
        <v>1</v>
      </c>
      <c r="AF102" s="608">
        <f t="shared" si="15"/>
        <v>192</v>
      </c>
    </row>
    <row r="103" spans="1:32" x14ac:dyDescent="0.3">
      <c r="A103" s="604" t="s">
        <v>1873</v>
      </c>
      <c r="B103" s="677" t="s">
        <v>643</v>
      </c>
      <c r="C103" s="596"/>
      <c r="D103" s="597"/>
      <c r="E103" s="597">
        <v>0</v>
      </c>
      <c r="F103" s="597">
        <v>0</v>
      </c>
      <c r="G103" s="597">
        <v>0</v>
      </c>
      <c r="H103" s="597">
        <v>0</v>
      </c>
      <c r="I103" s="597">
        <v>0</v>
      </c>
      <c r="J103" s="597">
        <v>0</v>
      </c>
      <c r="K103" s="597"/>
      <c r="L103" s="597">
        <v>464400</v>
      </c>
      <c r="M103" s="597">
        <v>0</v>
      </c>
      <c r="N103" s="597">
        <v>2073600</v>
      </c>
      <c r="O103" s="597">
        <v>187200</v>
      </c>
      <c r="P103" s="1498">
        <f t="shared" si="9"/>
        <v>0</v>
      </c>
      <c r="Q103" s="695">
        <f t="shared" si="13"/>
        <v>2725200</v>
      </c>
      <c r="R103" s="1072" t="s">
        <v>251</v>
      </c>
      <c r="S103" s="1073" t="s">
        <v>251</v>
      </c>
      <c r="T103" s="1073">
        <v>401700</v>
      </c>
      <c r="U103" s="1073">
        <v>48750</v>
      </c>
      <c r="V103" s="1073"/>
      <c r="W103" s="1073">
        <v>1575590</v>
      </c>
      <c r="X103" s="1073">
        <v>0</v>
      </c>
      <c r="Y103" s="1073">
        <v>0</v>
      </c>
      <c r="Z103" s="1073"/>
      <c r="AA103" s="1073"/>
      <c r="AB103" s="1073"/>
      <c r="AC103" s="1073"/>
      <c r="AD103" s="1074">
        <f t="shared" si="14"/>
        <v>2026040</v>
      </c>
      <c r="AE103" s="607">
        <f t="shared" si="8"/>
        <v>1</v>
      </c>
      <c r="AF103" s="608">
        <f t="shared" si="15"/>
        <v>145</v>
      </c>
    </row>
    <row r="104" spans="1:32" x14ac:dyDescent="0.3">
      <c r="A104" s="604" t="s">
        <v>1873</v>
      </c>
      <c r="B104" s="677" t="s">
        <v>740</v>
      </c>
      <c r="C104" s="596"/>
      <c r="D104" s="597"/>
      <c r="E104" s="597">
        <v>0</v>
      </c>
      <c r="F104" s="597">
        <v>0</v>
      </c>
      <c r="G104" s="597">
        <v>0</v>
      </c>
      <c r="H104" s="597">
        <v>0</v>
      </c>
      <c r="I104" s="597">
        <v>0</v>
      </c>
      <c r="J104" s="597">
        <v>0</v>
      </c>
      <c r="K104" s="597"/>
      <c r="L104" s="597">
        <v>2336400</v>
      </c>
      <c r="M104" s="597">
        <v>0</v>
      </c>
      <c r="N104" s="597">
        <v>0</v>
      </c>
      <c r="O104" s="597">
        <v>207360</v>
      </c>
      <c r="P104" s="1498">
        <f t="shared" si="9"/>
        <v>0</v>
      </c>
      <c r="Q104" s="695">
        <f t="shared" si="13"/>
        <v>2543760</v>
      </c>
      <c r="R104" s="1072">
        <v>653400</v>
      </c>
      <c r="S104" s="1073" t="s">
        <v>251</v>
      </c>
      <c r="T104" s="1073">
        <v>214500</v>
      </c>
      <c r="U104" s="1073">
        <v>0</v>
      </c>
      <c r="V104" s="1073"/>
      <c r="W104" s="1073"/>
      <c r="X104" s="1073"/>
      <c r="Y104" s="1073"/>
      <c r="Z104" s="1073"/>
      <c r="AA104" s="1073"/>
      <c r="AB104" s="1073"/>
      <c r="AC104" s="1073"/>
      <c r="AD104" s="1074">
        <f t="shared" si="14"/>
        <v>867900</v>
      </c>
      <c r="AE104" s="607">
        <f t="shared" si="8"/>
        <v>1</v>
      </c>
      <c r="AF104" s="608">
        <f t="shared" si="15"/>
        <v>209</v>
      </c>
    </row>
    <row r="105" spans="1:32" x14ac:dyDescent="0.3">
      <c r="A105" s="604" t="s">
        <v>1873</v>
      </c>
      <c r="B105" s="677" t="s">
        <v>659</v>
      </c>
      <c r="C105" s="596"/>
      <c r="D105" s="597"/>
      <c r="E105" s="597">
        <v>0</v>
      </c>
      <c r="F105" s="597">
        <v>0</v>
      </c>
      <c r="G105" s="597">
        <v>0</v>
      </c>
      <c r="H105" s="597">
        <v>0</v>
      </c>
      <c r="I105" s="597">
        <v>0</v>
      </c>
      <c r="J105" s="597">
        <v>0</v>
      </c>
      <c r="K105" s="597"/>
      <c r="L105" s="597">
        <v>658800</v>
      </c>
      <c r="M105" s="597">
        <v>658800</v>
      </c>
      <c r="N105" s="597">
        <v>0</v>
      </c>
      <c r="O105" s="597">
        <v>0</v>
      </c>
      <c r="P105" s="1498">
        <f t="shared" si="9"/>
        <v>0</v>
      </c>
      <c r="Q105" s="695">
        <f t="shared" si="13"/>
        <v>1317600</v>
      </c>
      <c r="R105" s="1072" t="s">
        <v>251</v>
      </c>
      <c r="S105" s="1073" t="s">
        <v>251</v>
      </c>
      <c r="T105" s="1073"/>
      <c r="U105" s="1073"/>
      <c r="V105" s="1073"/>
      <c r="W105" s="1073"/>
      <c r="X105" s="1073"/>
      <c r="Y105" s="1073"/>
      <c r="Z105" s="1073"/>
      <c r="AA105" s="1073"/>
      <c r="AB105" s="1073"/>
      <c r="AC105" s="1073"/>
      <c r="AD105" s="1074">
        <f t="shared" si="14"/>
        <v>0</v>
      </c>
      <c r="AE105" s="607">
        <f t="shared" si="8"/>
        <v>0</v>
      </c>
      <c r="AF105" s="608">
        <f t="shared" si="15"/>
        <v>394</v>
      </c>
    </row>
    <row r="106" spans="1:32" x14ac:dyDescent="0.3">
      <c r="A106" s="604" t="s">
        <v>1873</v>
      </c>
      <c r="B106" s="677" t="s">
        <v>619</v>
      </c>
      <c r="C106" s="596"/>
      <c r="D106" s="597"/>
      <c r="E106" s="597">
        <v>0</v>
      </c>
      <c r="F106" s="597">
        <v>0</v>
      </c>
      <c r="G106" s="597">
        <v>0</v>
      </c>
      <c r="H106" s="597">
        <v>0</v>
      </c>
      <c r="I106" s="597">
        <v>0</v>
      </c>
      <c r="J106" s="597">
        <v>0</v>
      </c>
      <c r="K106" s="597"/>
      <c r="L106" s="597">
        <v>0</v>
      </c>
      <c r="M106" s="597">
        <v>585360</v>
      </c>
      <c r="N106" s="597">
        <v>0</v>
      </c>
      <c r="O106" s="597">
        <v>0</v>
      </c>
      <c r="P106" s="1498">
        <f t="shared" si="9"/>
        <v>0</v>
      </c>
      <c r="Q106" s="695">
        <f t="shared" si="13"/>
        <v>585360</v>
      </c>
      <c r="R106" s="1072" t="s">
        <v>251</v>
      </c>
      <c r="S106" s="1073" t="s">
        <v>251</v>
      </c>
      <c r="T106" s="1073"/>
      <c r="U106" s="1073">
        <v>336960</v>
      </c>
      <c r="V106" s="1073">
        <v>175890</v>
      </c>
      <c r="W106" s="1073">
        <v>0</v>
      </c>
      <c r="X106" s="1073">
        <v>0</v>
      </c>
      <c r="Y106" s="1073">
        <v>0</v>
      </c>
      <c r="Z106" s="1073"/>
      <c r="AA106" s="1073"/>
      <c r="AB106" s="1073"/>
      <c r="AC106" s="1073"/>
      <c r="AD106" s="1074">
        <f t="shared" si="14"/>
        <v>512850</v>
      </c>
      <c r="AE106" s="607">
        <f t="shared" si="8"/>
        <v>1</v>
      </c>
      <c r="AF106" s="608">
        <f t="shared" si="15"/>
        <v>254</v>
      </c>
    </row>
    <row r="107" spans="1:32" x14ac:dyDescent="0.3">
      <c r="A107" s="604" t="s">
        <v>1873</v>
      </c>
      <c r="B107" s="677" t="s">
        <v>624</v>
      </c>
      <c r="C107" s="596"/>
      <c r="D107" s="597"/>
      <c r="E107" s="597">
        <v>0</v>
      </c>
      <c r="F107" s="597">
        <v>0</v>
      </c>
      <c r="G107" s="597">
        <v>0</v>
      </c>
      <c r="H107" s="597">
        <v>0</v>
      </c>
      <c r="I107" s="597">
        <v>0</v>
      </c>
      <c r="J107" s="597">
        <v>0</v>
      </c>
      <c r="K107" s="597"/>
      <c r="L107" s="597">
        <v>0</v>
      </c>
      <c r="M107" s="597">
        <v>397800</v>
      </c>
      <c r="N107" s="597">
        <v>0</v>
      </c>
      <c r="O107" s="597">
        <v>0</v>
      </c>
      <c r="P107" s="1498">
        <f t="shared" si="9"/>
        <v>0</v>
      </c>
      <c r="Q107" s="695">
        <f t="shared" si="13"/>
        <v>397800</v>
      </c>
      <c r="R107" s="1072" t="s">
        <v>251</v>
      </c>
      <c r="S107" s="1073" t="s">
        <v>251</v>
      </c>
      <c r="T107" s="1073"/>
      <c r="U107" s="1073"/>
      <c r="V107" s="1073"/>
      <c r="W107" s="1073"/>
      <c r="X107" s="1073"/>
      <c r="Y107" s="1073"/>
      <c r="Z107" s="1073"/>
      <c r="AA107" s="1073"/>
      <c r="AB107" s="1073"/>
      <c r="AC107" s="1073"/>
      <c r="AD107" s="1074">
        <f t="shared" si="14"/>
        <v>0</v>
      </c>
      <c r="AE107" s="607">
        <f t="shared" si="8"/>
        <v>0</v>
      </c>
      <c r="AF107" s="608">
        <f t="shared" si="15"/>
        <v>394</v>
      </c>
    </row>
    <row r="108" spans="1:32" x14ac:dyDescent="0.3">
      <c r="A108" s="604" t="s">
        <v>1873</v>
      </c>
      <c r="B108" s="677" t="s">
        <v>1920</v>
      </c>
      <c r="C108" s="596"/>
      <c r="D108" s="597"/>
      <c r="E108" s="597">
        <v>0</v>
      </c>
      <c r="F108" s="597">
        <v>0</v>
      </c>
      <c r="G108" s="597">
        <v>0</v>
      </c>
      <c r="H108" s="597">
        <v>0</v>
      </c>
      <c r="I108" s="597">
        <v>0</v>
      </c>
      <c r="J108" s="597">
        <v>0</v>
      </c>
      <c r="K108" s="597"/>
      <c r="L108" s="597">
        <v>0</v>
      </c>
      <c r="M108" s="597">
        <v>1211400</v>
      </c>
      <c r="N108" s="597">
        <v>0</v>
      </c>
      <c r="O108" s="597">
        <v>0</v>
      </c>
      <c r="P108" s="1498">
        <f t="shared" si="9"/>
        <v>0</v>
      </c>
      <c r="Q108" s="695">
        <f t="shared" si="13"/>
        <v>1211400</v>
      </c>
      <c r="R108" s="1072" t="s">
        <v>251</v>
      </c>
      <c r="S108" s="1073" t="s">
        <v>251</v>
      </c>
      <c r="T108" s="1073"/>
      <c r="U108" s="1073"/>
      <c r="V108" s="1073"/>
      <c r="W108" s="1073"/>
      <c r="X108" s="1073"/>
      <c r="Y108" s="1073"/>
      <c r="Z108" s="1073"/>
      <c r="AA108" s="1073"/>
      <c r="AB108" s="1073"/>
      <c r="AC108" s="1073"/>
      <c r="AD108" s="1074">
        <f t="shared" si="14"/>
        <v>0</v>
      </c>
      <c r="AE108" s="607">
        <f t="shared" si="8"/>
        <v>0</v>
      </c>
      <c r="AF108" s="608">
        <f t="shared" si="15"/>
        <v>394</v>
      </c>
    </row>
    <row r="109" spans="1:32" x14ac:dyDescent="0.3">
      <c r="A109" s="604" t="s">
        <v>1873</v>
      </c>
      <c r="B109" s="677" t="s">
        <v>634</v>
      </c>
      <c r="C109" s="596"/>
      <c r="D109" s="597"/>
      <c r="E109" s="597">
        <v>0</v>
      </c>
      <c r="F109" s="597">
        <v>0</v>
      </c>
      <c r="G109" s="597">
        <v>0</v>
      </c>
      <c r="H109" s="597">
        <v>0</v>
      </c>
      <c r="I109" s="597">
        <v>0</v>
      </c>
      <c r="J109" s="597">
        <v>0</v>
      </c>
      <c r="K109" s="597"/>
      <c r="L109" s="597">
        <v>0</v>
      </c>
      <c r="M109" s="597">
        <v>0</v>
      </c>
      <c r="N109" s="597">
        <v>763020</v>
      </c>
      <c r="O109" s="597">
        <v>564480</v>
      </c>
      <c r="P109" s="1498">
        <f t="shared" si="9"/>
        <v>0</v>
      </c>
      <c r="Q109" s="695">
        <f t="shared" si="13"/>
        <v>1327500</v>
      </c>
      <c r="R109" s="1072" t="s">
        <v>251</v>
      </c>
      <c r="S109" s="1073" t="s">
        <v>251</v>
      </c>
      <c r="T109" s="1073"/>
      <c r="U109" s="1073">
        <v>507390</v>
      </c>
      <c r="V109" s="1073"/>
      <c r="W109" s="1073"/>
      <c r="X109" s="1073"/>
      <c r="Y109" s="1073"/>
      <c r="Z109" s="1073"/>
      <c r="AA109" s="1073"/>
      <c r="AB109" s="1073"/>
      <c r="AC109" s="1073"/>
      <c r="AD109" s="1074">
        <f t="shared" si="14"/>
        <v>507390</v>
      </c>
      <c r="AE109" s="607">
        <f t="shared" si="8"/>
        <v>1</v>
      </c>
      <c r="AF109" s="608">
        <f t="shared" si="15"/>
        <v>256</v>
      </c>
    </row>
    <row r="110" spans="1:32" x14ac:dyDescent="0.3">
      <c r="A110" s="604" t="s">
        <v>1873</v>
      </c>
      <c r="B110" s="677" t="s">
        <v>655</v>
      </c>
      <c r="C110" s="596"/>
      <c r="D110" s="597"/>
      <c r="E110" s="597">
        <v>0</v>
      </c>
      <c r="F110" s="597">
        <v>0</v>
      </c>
      <c r="G110" s="597">
        <v>0</v>
      </c>
      <c r="H110" s="597">
        <v>0</v>
      </c>
      <c r="I110" s="597">
        <v>0</v>
      </c>
      <c r="J110" s="597">
        <v>0</v>
      </c>
      <c r="K110" s="597"/>
      <c r="L110" s="597">
        <v>0</v>
      </c>
      <c r="M110" s="597">
        <v>0</v>
      </c>
      <c r="N110" s="597">
        <v>469800</v>
      </c>
      <c r="O110" s="597">
        <v>0</v>
      </c>
      <c r="P110" s="1498">
        <f t="shared" si="9"/>
        <v>0</v>
      </c>
      <c r="Q110" s="695">
        <f t="shared" si="13"/>
        <v>469800</v>
      </c>
      <c r="R110" s="1072" t="s">
        <v>251</v>
      </c>
      <c r="S110" s="1073" t="s">
        <v>251</v>
      </c>
      <c r="T110" s="1073"/>
      <c r="U110" s="1073">
        <v>817440</v>
      </c>
      <c r="V110" s="1073">
        <v>1666080</v>
      </c>
      <c r="W110" s="1073">
        <v>1012040</v>
      </c>
      <c r="X110" s="1073">
        <v>0</v>
      </c>
      <c r="Y110" s="1073">
        <v>0</v>
      </c>
      <c r="Z110" s="1073"/>
      <c r="AA110" s="1073"/>
      <c r="AB110" s="1073"/>
      <c r="AC110" s="1073"/>
      <c r="AD110" s="1074">
        <f t="shared" si="14"/>
        <v>3495560</v>
      </c>
      <c r="AE110" s="607">
        <f t="shared" si="8"/>
        <v>1</v>
      </c>
      <c r="AF110" s="608">
        <f t="shared" si="15"/>
        <v>109</v>
      </c>
    </row>
    <row r="111" spans="1:32" x14ac:dyDescent="0.3">
      <c r="A111" s="604" t="s">
        <v>1873</v>
      </c>
      <c r="B111" s="677" t="s">
        <v>739</v>
      </c>
      <c r="C111" s="596"/>
      <c r="D111" s="597"/>
      <c r="E111" s="597">
        <v>0</v>
      </c>
      <c r="F111" s="597">
        <v>0</v>
      </c>
      <c r="G111" s="597">
        <v>0</v>
      </c>
      <c r="H111" s="597">
        <v>0</v>
      </c>
      <c r="I111" s="597">
        <v>0</v>
      </c>
      <c r="J111" s="597">
        <v>0</v>
      </c>
      <c r="K111" s="597"/>
      <c r="L111" s="597">
        <v>0</v>
      </c>
      <c r="M111" s="597">
        <v>0</v>
      </c>
      <c r="N111" s="597">
        <v>81000</v>
      </c>
      <c r="O111" s="597">
        <v>0</v>
      </c>
      <c r="P111" s="1498">
        <f t="shared" si="9"/>
        <v>0</v>
      </c>
      <c r="Q111" s="695">
        <f t="shared" si="13"/>
        <v>81000</v>
      </c>
      <c r="R111" s="1072" t="s">
        <v>251</v>
      </c>
      <c r="S111" s="1073" t="s">
        <v>251</v>
      </c>
      <c r="T111" s="1073"/>
      <c r="U111" s="1073">
        <v>6019110</v>
      </c>
      <c r="V111" s="1073">
        <v>40950</v>
      </c>
      <c r="W111" s="1073">
        <v>1115980</v>
      </c>
      <c r="X111" s="1073">
        <v>0</v>
      </c>
      <c r="Y111" s="1073">
        <v>0</v>
      </c>
      <c r="Z111" s="1073"/>
      <c r="AA111" s="1073"/>
      <c r="AB111" s="1073"/>
      <c r="AC111" s="1073"/>
      <c r="AD111" s="1074">
        <f t="shared" si="14"/>
        <v>7176040</v>
      </c>
      <c r="AE111" s="607">
        <f t="shared" si="8"/>
        <v>1</v>
      </c>
      <c r="AF111" s="608">
        <f t="shared" si="15"/>
        <v>65</v>
      </c>
    </row>
    <row r="112" spans="1:32" x14ac:dyDescent="0.3">
      <c r="A112" s="604" t="s">
        <v>1873</v>
      </c>
      <c r="B112" s="677" t="s">
        <v>1931</v>
      </c>
      <c r="C112" s="596"/>
      <c r="D112" s="597"/>
      <c r="E112" s="597">
        <v>0</v>
      </c>
      <c r="F112" s="597">
        <v>0</v>
      </c>
      <c r="G112" s="597">
        <v>0</v>
      </c>
      <c r="H112" s="597">
        <v>0</v>
      </c>
      <c r="I112" s="597">
        <v>0</v>
      </c>
      <c r="J112" s="597">
        <v>0</v>
      </c>
      <c r="K112" s="597"/>
      <c r="L112" s="597">
        <v>0</v>
      </c>
      <c r="M112" s="597">
        <v>0</v>
      </c>
      <c r="N112" s="597">
        <v>810000</v>
      </c>
      <c r="O112" s="597">
        <v>1225800</v>
      </c>
      <c r="P112" s="1498">
        <f t="shared" si="9"/>
        <v>0</v>
      </c>
      <c r="Q112" s="695">
        <f t="shared" si="13"/>
        <v>2035800</v>
      </c>
      <c r="R112" s="1072">
        <v>151560</v>
      </c>
      <c r="S112" s="1073" t="s">
        <v>251</v>
      </c>
      <c r="T112" s="1073">
        <v>220350</v>
      </c>
      <c r="U112" s="1073">
        <v>5891720</v>
      </c>
      <c r="V112" s="1073">
        <v>2326350</v>
      </c>
      <c r="W112" s="1073">
        <v>661050</v>
      </c>
      <c r="X112" s="1073">
        <v>290550</v>
      </c>
      <c r="Y112" s="1073">
        <v>410280</v>
      </c>
      <c r="Z112" s="1073"/>
      <c r="AA112" s="1073"/>
      <c r="AB112" s="1073"/>
      <c r="AC112" s="1073"/>
      <c r="AD112" s="1074">
        <f t="shared" si="14"/>
        <v>9951860</v>
      </c>
      <c r="AE112" s="607">
        <f t="shared" si="8"/>
        <v>1</v>
      </c>
      <c r="AF112" s="608">
        <f t="shared" si="15"/>
        <v>46</v>
      </c>
    </row>
    <row r="113" spans="1:32" x14ac:dyDescent="0.3">
      <c r="A113" s="604" t="s">
        <v>1873</v>
      </c>
      <c r="B113" s="677" t="s">
        <v>639</v>
      </c>
      <c r="C113" s="596"/>
      <c r="D113" s="597"/>
      <c r="E113" s="597"/>
      <c r="F113" s="597"/>
      <c r="G113" s="597"/>
      <c r="H113" s="597">
        <v>0</v>
      </c>
      <c r="I113" s="597"/>
      <c r="J113" s="597">
        <v>0</v>
      </c>
      <c r="K113" s="597"/>
      <c r="L113" s="597">
        <v>0</v>
      </c>
      <c r="M113" s="597">
        <v>0</v>
      </c>
      <c r="N113" s="597">
        <v>0</v>
      </c>
      <c r="O113" s="597">
        <v>129960</v>
      </c>
      <c r="P113" s="1498">
        <f t="shared" si="9"/>
        <v>0</v>
      </c>
      <c r="Q113" s="695">
        <f t="shared" si="13"/>
        <v>129960</v>
      </c>
      <c r="R113" s="1072" t="s">
        <v>251</v>
      </c>
      <c r="S113" s="1073" t="s">
        <v>251</v>
      </c>
      <c r="T113" s="1073"/>
      <c r="U113" s="1073"/>
      <c r="V113" s="1073"/>
      <c r="W113" s="1073"/>
      <c r="X113" s="1073"/>
      <c r="Y113" s="1073"/>
      <c r="Z113" s="1073"/>
      <c r="AA113" s="1073"/>
      <c r="AB113" s="1073"/>
      <c r="AC113" s="1073"/>
      <c r="AD113" s="1074">
        <f t="shared" si="14"/>
        <v>0</v>
      </c>
      <c r="AE113" s="607">
        <f t="shared" si="8"/>
        <v>0</v>
      </c>
      <c r="AF113" s="608">
        <f t="shared" si="15"/>
        <v>394</v>
      </c>
    </row>
    <row r="114" spans="1:32" x14ac:dyDescent="0.3">
      <c r="A114" s="604" t="s">
        <v>1873</v>
      </c>
      <c r="B114" s="677" t="s">
        <v>2492</v>
      </c>
      <c r="C114" s="596"/>
      <c r="D114" s="597"/>
      <c r="E114" s="597"/>
      <c r="F114" s="597"/>
      <c r="G114" s="597"/>
      <c r="H114" s="597"/>
      <c r="I114" s="597"/>
      <c r="J114" s="597"/>
      <c r="K114" s="597"/>
      <c r="L114" s="597"/>
      <c r="M114" s="597"/>
      <c r="N114" s="597"/>
      <c r="O114" s="597"/>
      <c r="P114" s="1498">
        <f t="shared" si="9"/>
        <v>0</v>
      </c>
      <c r="Q114" s="695">
        <f t="shared" si="13"/>
        <v>0</v>
      </c>
      <c r="R114" s="1072">
        <v>166410</v>
      </c>
      <c r="S114" s="1073" t="s">
        <v>251</v>
      </c>
      <c r="T114" s="1073">
        <v>0</v>
      </c>
      <c r="U114" s="1073">
        <v>0</v>
      </c>
      <c r="V114" s="1073"/>
      <c r="W114" s="1073"/>
      <c r="X114" s="1073"/>
      <c r="Y114" s="1073"/>
      <c r="Z114" s="1073"/>
      <c r="AA114" s="1073"/>
      <c r="AB114" s="1073"/>
      <c r="AC114" s="1073"/>
      <c r="AD114" s="1074">
        <f t="shared" si="14"/>
        <v>166410</v>
      </c>
      <c r="AE114" s="607">
        <f t="shared" si="8"/>
        <v>1</v>
      </c>
      <c r="AF114" s="608">
        <f t="shared" si="15"/>
        <v>325</v>
      </c>
    </row>
    <row r="115" spans="1:32" x14ac:dyDescent="0.3">
      <c r="A115" s="604" t="s">
        <v>1873</v>
      </c>
      <c r="B115" s="677" t="s">
        <v>1830</v>
      </c>
      <c r="C115" s="596"/>
      <c r="D115" s="597"/>
      <c r="E115" s="597"/>
      <c r="F115" s="597"/>
      <c r="G115" s="597"/>
      <c r="H115" s="597"/>
      <c r="I115" s="597"/>
      <c r="J115" s="597"/>
      <c r="K115" s="597"/>
      <c r="L115" s="597"/>
      <c r="M115" s="597"/>
      <c r="N115" s="597"/>
      <c r="O115" s="597"/>
      <c r="P115" s="1498">
        <f t="shared" si="9"/>
        <v>0</v>
      </c>
      <c r="Q115" s="695">
        <f t="shared" si="13"/>
        <v>0</v>
      </c>
      <c r="R115" s="1072">
        <v>2953800</v>
      </c>
      <c r="S115" s="1073">
        <v>35100</v>
      </c>
      <c r="T115" s="1073">
        <v>0</v>
      </c>
      <c r="U115" s="1073">
        <v>0</v>
      </c>
      <c r="V115" s="1073">
        <v>916680</v>
      </c>
      <c r="W115" s="1073">
        <v>0</v>
      </c>
      <c r="X115" s="1073">
        <v>0</v>
      </c>
      <c r="Y115" s="1073">
        <v>0</v>
      </c>
      <c r="Z115" s="1073"/>
      <c r="AA115" s="1073"/>
      <c r="AB115" s="1073"/>
      <c r="AC115" s="1073"/>
      <c r="AD115" s="1074">
        <f t="shared" si="14"/>
        <v>3905580</v>
      </c>
      <c r="AE115" s="607">
        <f t="shared" si="8"/>
        <v>1</v>
      </c>
      <c r="AF115" s="608">
        <f t="shared" si="15"/>
        <v>98</v>
      </c>
    </row>
    <row r="116" spans="1:32" x14ac:dyDescent="0.3">
      <c r="A116" s="604" t="s">
        <v>1873</v>
      </c>
      <c r="B116" s="677" t="s">
        <v>645</v>
      </c>
      <c r="C116" s="596"/>
      <c r="D116" s="597"/>
      <c r="E116" s="597"/>
      <c r="F116" s="597"/>
      <c r="G116" s="597"/>
      <c r="H116" s="597"/>
      <c r="I116" s="597"/>
      <c r="J116" s="597"/>
      <c r="K116" s="597"/>
      <c r="L116" s="597"/>
      <c r="M116" s="597"/>
      <c r="N116" s="597"/>
      <c r="O116" s="597"/>
      <c r="P116" s="1498">
        <f t="shared" si="9"/>
        <v>0</v>
      </c>
      <c r="Q116" s="695">
        <f t="shared" si="13"/>
        <v>0</v>
      </c>
      <c r="R116" s="1072">
        <v>417600</v>
      </c>
      <c r="S116" s="1073" t="s">
        <v>251</v>
      </c>
      <c r="T116" s="1073">
        <v>0</v>
      </c>
      <c r="U116" s="1073">
        <v>226200</v>
      </c>
      <c r="V116" s="1073"/>
      <c r="W116" s="1073"/>
      <c r="X116" s="1073"/>
      <c r="Y116" s="1073"/>
      <c r="Z116" s="1073"/>
      <c r="AA116" s="1073"/>
      <c r="AB116" s="1073"/>
      <c r="AC116" s="1073"/>
      <c r="AD116" s="1074">
        <f t="shared" si="14"/>
        <v>643800</v>
      </c>
      <c r="AE116" s="607">
        <f t="shared" si="8"/>
        <v>1</v>
      </c>
      <c r="AF116" s="608">
        <f t="shared" si="15"/>
        <v>231</v>
      </c>
    </row>
    <row r="117" spans="1:32" x14ac:dyDescent="0.3">
      <c r="A117" s="604" t="s">
        <v>1873</v>
      </c>
      <c r="B117" s="677" t="s">
        <v>2532</v>
      </c>
      <c r="C117" s="596"/>
      <c r="D117" s="597"/>
      <c r="E117" s="597"/>
      <c r="F117" s="597"/>
      <c r="G117" s="597"/>
      <c r="H117" s="597"/>
      <c r="I117" s="597"/>
      <c r="J117" s="597"/>
      <c r="K117" s="597"/>
      <c r="L117" s="597"/>
      <c r="M117" s="597"/>
      <c r="N117" s="597"/>
      <c r="O117" s="597"/>
      <c r="P117" s="1498">
        <f t="shared" si="9"/>
        <v>0</v>
      </c>
      <c r="Q117" s="695">
        <f t="shared" si="13"/>
        <v>0</v>
      </c>
      <c r="R117" s="1072">
        <v>103500</v>
      </c>
      <c r="S117" s="1073" t="s">
        <v>251</v>
      </c>
      <c r="T117" s="1073">
        <v>0</v>
      </c>
      <c r="U117" s="1073">
        <v>0</v>
      </c>
      <c r="V117" s="1073"/>
      <c r="W117" s="1073"/>
      <c r="X117" s="1073"/>
      <c r="Y117" s="1073"/>
      <c r="Z117" s="1073"/>
      <c r="AA117" s="1073"/>
      <c r="AB117" s="1073"/>
      <c r="AC117" s="1073"/>
      <c r="AD117" s="1074">
        <f t="shared" si="14"/>
        <v>103500</v>
      </c>
      <c r="AE117" s="607">
        <f t="shared" si="8"/>
        <v>1</v>
      </c>
      <c r="AF117" s="608">
        <f t="shared" si="15"/>
        <v>342</v>
      </c>
    </row>
    <row r="118" spans="1:32" x14ac:dyDescent="0.3">
      <c r="A118" s="604" t="s">
        <v>1873</v>
      </c>
      <c r="B118" s="677" t="s">
        <v>2603</v>
      </c>
      <c r="C118" s="596"/>
      <c r="D118" s="597"/>
      <c r="E118" s="597"/>
      <c r="F118" s="597"/>
      <c r="G118" s="597"/>
      <c r="H118" s="597"/>
      <c r="I118" s="597"/>
      <c r="J118" s="597"/>
      <c r="K118" s="597"/>
      <c r="L118" s="597"/>
      <c r="M118" s="597"/>
      <c r="N118" s="597"/>
      <c r="O118" s="597"/>
      <c r="P118" s="1498">
        <f t="shared" si="9"/>
        <v>0</v>
      </c>
      <c r="Q118" s="695">
        <f t="shared" si="13"/>
        <v>0</v>
      </c>
      <c r="R118" s="1072"/>
      <c r="S118" s="1073"/>
      <c r="T118" s="1073">
        <v>3121950</v>
      </c>
      <c r="U118" s="1073">
        <v>6396970</v>
      </c>
      <c r="V118" s="1073">
        <v>3681600</v>
      </c>
      <c r="W118" s="1073">
        <v>0</v>
      </c>
      <c r="X118" s="1073">
        <v>0</v>
      </c>
      <c r="Y118" s="1073">
        <v>250000</v>
      </c>
      <c r="Z118" s="1073"/>
      <c r="AA118" s="1073"/>
      <c r="AB118" s="1073"/>
      <c r="AC118" s="1073"/>
      <c r="AD118" s="1074">
        <f t="shared" si="14"/>
        <v>13450520</v>
      </c>
      <c r="AE118" s="607">
        <f t="shared" si="8"/>
        <v>1</v>
      </c>
      <c r="AF118" s="608">
        <f t="shared" si="15"/>
        <v>35</v>
      </c>
    </row>
    <row r="119" spans="1:32" x14ac:dyDescent="0.3">
      <c r="A119" s="604" t="s">
        <v>1873</v>
      </c>
      <c r="B119" s="677" t="s">
        <v>2679</v>
      </c>
      <c r="C119" s="596"/>
      <c r="D119" s="597"/>
      <c r="E119" s="597"/>
      <c r="F119" s="597"/>
      <c r="G119" s="597"/>
      <c r="H119" s="597"/>
      <c r="I119" s="597"/>
      <c r="J119" s="597"/>
      <c r="K119" s="597"/>
      <c r="L119" s="597"/>
      <c r="M119" s="597"/>
      <c r="N119" s="597"/>
      <c r="O119" s="597"/>
      <c r="P119" s="1498">
        <f t="shared" si="9"/>
        <v>0</v>
      </c>
      <c r="Q119" s="695">
        <f t="shared" si="13"/>
        <v>0</v>
      </c>
      <c r="R119" s="1072"/>
      <c r="S119" s="1073"/>
      <c r="T119" s="1073"/>
      <c r="U119" s="1073">
        <v>440700</v>
      </c>
      <c r="V119" s="1073">
        <v>1269450</v>
      </c>
      <c r="W119" s="1073">
        <v>202800</v>
      </c>
      <c r="X119" s="1073">
        <v>177440</v>
      </c>
      <c r="Y119" s="1073">
        <v>88720</v>
      </c>
      <c r="Z119" s="1073"/>
      <c r="AA119" s="1073"/>
      <c r="AB119" s="1073"/>
      <c r="AC119" s="1073"/>
      <c r="AD119" s="1074">
        <f t="shared" si="14"/>
        <v>2179110</v>
      </c>
      <c r="AE119" s="607">
        <f t="shared" si="8"/>
        <v>1</v>
      </c>
      <c r="AF119" s="608">
        <f t="shared" si="15"/>
        <v>138</v>
      </c>
    </row>
    <row r="120" spans="1:32" x14ac:dyDescent="0.3">
      <c r="A120" s="604" t="s">
        <v>1873</v>
      </c>
      <c r="B120" s="677" t="s">
        <v>1879</v>
      </c>
      <c r="C120" s="596"/>
      <c r="D120" s="597"/>
      <c r="E120" s="597"/>
      <c r="F120" s="597"/>
      <c r="G120" s="597"/>
      <c r="H120" s="597"/>
      <c r="I120" s="597"/>
      <c r="J120" s="597"/>
      <c r="K120" s="597"/>
      <c r="L120" s="597"/>
      <c r="M120" s="597"/>
      <c r="N120" s="597"/>
      <c r="O120" s="597"/>
      <c r="P120" s="1498">
        <f t="shared" si="9"/>
        <v>0</v>
      </c>
      <c r="Q120" s="695">
        <f t="shared" si="13"/>
        <v>0</v>
      </c>
      <c r="R120" s="1072"/>
      <c r="S120" s="1073"/>
      <c r="T120" s="1073"/>
      <c r="U120" s="1073">
        <v>40950</v>
      </c>
      <c r="V120" s="1073"/>
      <c r="W120" s="1073"/>
      <c r="X120" s="1073"/>
      <c r="Y120" s="1073"/>
      <c r="Z120" s="1073"/>
      <c r="AA120" s="1073"/>
      <c r="AB120" s="1073"/>
      <c r="AC120" s="1073"/>
      <c r="AD120" s="1074">
        <f t="shared" si="14"/>
        <v>40950</v>
      </c>
      <c r="AE120" s="607">
        <f t="shared" si="8"/>
        <v>1</v>
      </c>
      <c r="AF120" s="608">
        <f t="shared" si="15"/>
        <v>373</v>
      </c>
    </row>
    <row r="121" spans="1:32" x14ac:dyDescent="0.3">
      <c r="A121" s="604" t="s">
        <v>1873</v>
      </c>
      <c r="B121" s="677" t="s">
        <v>2779</v>
      </c>
      <c r="C121" s="596"/>
      <c r="D121" s="597"/>
      <c r="E121" s="597"/>
      <c r="F121" s="597"/>
      <c r="G121" s="597"/>
      <c r="H121" s="597"/>
      <c r="I121" s="597"/>
      <c r="J121" s="597"/>
      <c r="K121" s="597"/>
      <c r="L121" s="597"/>
      <c r="M121" s="597"/>
      <c r="N121" s="597"/>
      <c r="O121" s="597"/>
      <c r="P121" s="1498">
        <f t="shared" si="9"/>
        <v>0</v>
      </c>
      <c r="Q121" s="695">
        <f t="shared" si="13"/>
        <v>0</v>
      </c>
      <c r="R121" s="1072"/>
      <c r="S121" s="1073"/>
      <c r="T121" s="1073"/>
      <c r="U121" s="1073"/>
      <c r="V121" s="1073">
        <v>616200</v>
      </c>
      <c r="W121" s="1073">
        <v>0</v>
      </c>
      <c r="X121" s="1073">
        <v>0</v>
      </c>
      <c r="Y121" s="1073">
        <v>0</v>
      </c>
      <c r="Z121" s="1073"/>
      <c r="AA121" s="1073"/>
      <c r="AB121" s="1073"/>
      <c r="AC121" s="1073"/>
      <c r="AD121" s="1074">
        <f t="shared" si="14"/>
        <v>616200</v>
      </c>
      <c r="AE121" s="607">
        <f t="shared" si="8"/>
        <v>1</v>
      </c>
      <c r="AF121" s="608">
        <f t="shared" si="15"/>
        <v>239</v>
      </c>
    </row>
    <row r="122" spans="1:32" x14ac:dyDescent="0.3">
      <c r="A122" s="604" t="s">
        <v>1873</v>
      </c>
      <c r="B122" s="677" t="s">
        <v>2559</v>
      </c>
      <c r="C122" s="596"/>
      <c r="D122" s="597"/>
      <c r="E122" s="597"/>
      <c r="F122" s="597"/>
      <c r="G122" s="597"/>
      <c r="H122" s="597"/>
      <c r="I122" s="597"/>
      <c r="J122" s="597"/>
      <c r="K122" s="597"/>
      <c r="L122" s="597"/>
      <c r="M122" s="597"/>
      <c r="N122" s="597"/>
      <c r="O122" s="597"/>
      <c r="P122" s="1498">
        <f t="shared" si="9"/>
        <v>0</v>
      </c>
      <c r="Q122" s="695">
        <f t="shared" si="13"/>
        <v>0</v>
      </c>
      <c r="R122" s="1072"/>
      <c r="S122" s="1073"/>
      <c r="T122" s="1073"/>
      <c r="U122" s="1073"/>
      <c r="V122" s="1073">
        <v>386880</v>
      </c>
      <c r="W122" s="1073">
        <v>355290</v>
      </c>
      <c r="X122" s="1073">
        <v>1037790</v>
      </c>
      <c r="Y122" s="1073">
        <v>0</v>
      </c>
      <c r="Z122" s="1073"/>
      <c r="AA122" s="1073"/>
      <c r="AB122" s="1073"/>
      <c r="AC122" s="1073"/>
      <c r="AD122" s="1074">
        <f t="shared" si="14"/>
        <v>1779960</v>
      </c>
      <c r="AE122" s="607">
        <f t="shared" si="8"/>
        <v>1</v>
      </c>
      <c r="AF122" s="608">
        <f t="shared" si="15"/>
        <v>155</v>
      </c>
    </row>
    <row r="123" spans="1:32" x14ac:dyDescent="0.3">
      <c r="A123" s="544" t="s">
        <v>675</v>
      </c>
      <c r="B123" s="678" t="s">
        <v>676</v>
      </c>
      <c r="C123" s="505"/>
      <c r="D123" s="506"/>
      <c r="E123" s="506">
        <v>0</v>
      </c>
      <c r="F123" s="506">
        <v>0</v>
      </c>
      <c r="G123" s="506">
        <v>9541630</v>
      </c>
      <c r="H123" s="506">
        <v>79520</v>
      </c>
      <c r="I123" s="506">
        <v>6385320</v>
      </c>
      <c r="J123" s="506">
        <v>0</v>
      </c>
      <c r="K123" s="506">
        <v>0</v>
      </c>
      <c r="L123" s="506">
        <v>0</v>
      </c>
      <c r="M123" s="506">
        <v>3589020</v>
      </c>
      <c r="N123" s="506">
        <v>601530</v>
      </c>
      <c r="O123" s="506">
        <v>3428720</v>
      </c>
      <c r="P123" s="1498">
        <f t="shared" si="9"/>
        <v>16006470</v>
      </c>
      <c r="Q123" s="696">
        <f t="shared" si="13"/>
        <v>23625740</v>
      </c>
      <c r="R123" s="1075">
        <v>4950600</v>
      </c>
      <c r="S123" s="1076" t="s">
        <v>251</v>
      </c>
      <c r="T123" s="1076">
        <v>261240</v>
      </c>
      <c r="U123" s="1076">
        <v>1033000</v>
      </c>
      <c r="V123" s="1076">
        <v>0</v>
      </c>
      <c r="W123" s="1076">
        <v>0</v>
      </c>
      <c r="X123" s="1076">
        <v>338740</v>
      </c>
      <c r="Y123" s="1076">
        <v>0</v>
      </c>
      <c r="Z123" s="1076"/>
      <c r="AA123" s="1076"/>
      <c r="AB123" s="1076"/>
      <c r="AC123" s="1076"/>
      <c r="AD123" s="1077">
        <f t="shared" si="14"/>
        <v>6583580</v>
      </c>
      <c r="AE123" s="609">
        <f t="shared" si="8"/>
        <v>-0.58869257244101914</v>
      </c>
      <c r="AF123" s="610">
        <f t="shared" si="15"/>
        <v>70</v>
      </c>
    </row>
    <row r="124" spans="1:32" x14ac:dyDescent="0.3">
      <c r="A124" s="544" t="s">
        <v>675</v>
      </c>
      <c r="B124" s="678" t="s">
        <v>677</v>
      </c>
      <c r="C124" s="505"/>
      <c r="D124" s="506"/>
      <c r="E124" s="506">
        <v>0</v>
      </c>
      <c r="F124" s="506">
        <v>0</v>
      </c>
      <c r="G124" s="506">
        <v>7236850</v>
      </c>
      <c r="H124" s="506">
        <v>956970</v>
      </c>
      <c r="I124" s="506">
        <v>0</v>
      </c>
      <c r="J124" s="506">
        <v>11618200</v>
      </c>
      <c r="K124" s="506">
        <v>10923200</v>
      </c>
      <c r="L124" s="506">
        <v>4429500</v>
      </c>
      <c r="M124" s="506">
        <v>144390</v>
      </c>
      <c r="N124" s="506">
        <v>0</v>
      </c>
      <c r="O124" s="506">
        <v>0</v>
      </c>
      <c r="P124" s="1498">
        <f t="shared" si="9"/>
        <v>19117020</v>
      </c>
      <c r="Q124" s="696">
        <f t="shared" si="13"/>
        <v>24385910</v>
      </c>
      <c r="R124" s="1075">
        <v>4254950</v>
      </c>
      <c r="S124" s="1076" t="s">
        <v>251</v>
      </c>
      <c r="T124" s="1076">
        <v>0</v>
      </c>
      <c r="U124" s="1076">
        <v>0</v>
      </c>
      <c r="V124" s="1076">
        <v>0</v>
      </c>
      <c r="W124" s="1076">
        <v>0</v>
      </c>
      <c r="X124" s="1076">
        <v>0</v>
      </c>
      <c r="Y124" s="1076">
        <v>0</v>
      </c>
      <c r="Z124" s="1076"/>
      <c r="AA124" s="1076"/>
      <c r="AB124" s="1076"/>
      <c r="AC124" s="1076"/>
      <c r="AD124" s="1077">
        <f t="shared" si="14"/>
        <v>4254950</v>
      </c>
      <c r="AE124" s="609">
        <f t="shared" si="8"/>
        <v>-0.77742608419094605</v>
      </c>
      <c r="AF124" s="610">
        <f t="shared" si="15"/>
        <v>90</v>
      </c>
    </row>
    <row r="125" spans="1:32" x14ac:dyDescent="0.3">
      <c r="A125" s="544" t="s">
        <v>675</v>
      </c>
      <c r="B125" s="678" t="s">
        <v>678</v>
      </c>
      <c r="C125" s="505"/>
      <c r="D125" s="506"/>
      <c r="E125" s="506">
        <v>1939870</v>
      </c>
      <c r="F125" s="506">
        <v>3916750</v>
      </c>
      <c r="G125" s="506">
        <v>998760</v>
      </c>
      <c r="H125" s="506">
        <v>508930</v>
      </c>
      <c r="I125" s="506">
        <v>289730</v>
      </c>
      <c r="J125" s="506">
        <v>1292850</v>
      </c>
      <c r="K125" s="506">
        <v>841500</v>
      </c>
      <c r="L125" s="506">
        <v>1408540</v>
      </c>
      <c r="M125" s="506">
        <v>1526670</v>
      </c>
      <c r="N125" s="506">
        <v>1082340</v>
      </c>
      <c r="O125" s="506">
        <v>0</v>
      </c>
      <c r="P125" s="1498">
        <f t="shared" si="9"/>
        <v>8495540</v>
      </c>
      <c r="Q125" s="696">
        <f t="shared" si="13"/>
        <v>12964440</v>
      </c>
      <c r="R125" s="1075">
        <v>3146940</v>
      </c>
      <c r="S125" s="1076">
        <v>38140</v>
      </c>
      <c r="T125" s="1076">
        <v>861970</v>
      </c>
      <c r="U125" s="1076">
        <v>6909600</v>
      </c>
      <c r="V125" s="1076">
        <v>6192400</v>
      </c>
      <c r="W125" s="1076">
        <v>230720</v>
      </c>
      <c r="X125" s="1076">
        <v>289570</v>
      </c>
      <c r="Y125" s="1076">
        <v>263760</v>
      </c>
      <c r="Z125" s="1076"/>
      <c r="AA125" s="1076"/>
      <c r="AB125" s="1076"/>
      <c r="AC125" s="1076"/>
      <c r="AD125" s="1077">
        <f t="shared" si="14"/>
        <v>17933100</v>
      </c>
      <c r="AE125" s="609">
        <f t="shared" si="8"/>
        <v>1.1108840638735149</v>
      </c>
      <c r="AF125" s="610">
        <f t="shared" si="15"/>
        <v>24</v>
      </c>
    </row>
    <row r="126" spans="1:32" x14ac:dyDescent="0.3">
      <c r="A126" s="544" t="s">
        <v>675</v>
      </c>
      <c r="B126" s="678" t="s">
        <v>679</v>
      </c>
      <c r="C126" s="505"/>
      <c r="D126" s="506"/>
      <c r="E126" s="506">
        <v>0</v>
      </c>
      <c r="F126" s="506">
        <v>0</v>
      </c>
      <c r="G126" s="506">
        <v>6957230</v>
      </c>
      <c r="H126" s="506">
        <v>22477930</v>
      </c>
      <c r="I126" s="506">
        <v>27813450</v>
      </c>
      <c r="J126" s="506">
        <v>2381640</v>
      </c>
      <c r="K126" s="506">
        <v>2361440</v>
      </c>
      <c r="L126" s="506">
        <v>808860</v>
      </c>
      <c r="M126" s="506">
        <v>5689010</v>
      </c>
      <c r="N126" s="506">
        <v>6464200</v>
      </c>
      <c r="O126" s="506">
        <v>8287050</v>
      </c>
      <c r="P126" s="1498">
        <f t="shared" si="9"/>
        <v>59610050</v>
      </c>
      <c r="Q126" s="696">
        <f t="shared" si="13"/>
        <v>80879370</v>
      </c>
      <c r="R126" s="1075">
        <v>3454090</v>
      </c>
      <c r="S126" s="1076">
        <v>2404300</v>
      </c>
      <c r="T126" s="1076">
        <v>114180</v>
      </c>
      <c r="U126" s="1076">
        <v>6311600</v>
      </c>
      <c r="V126" s="1076">
        <v>2314400</v>
      </c>
      <c r="W126" s="1076">
        <v>3517000</v>
      </c>
      <c r="X126" s="1076">
        <v>1754740</v>
      </c>
      <c r="Y126" s="1076">
        <v>1628670</v>
      </c>
      <c r="Z126" s="1076"/>
      <c r="AA126" s="1076"/>
      <c r="AB126" s="1076"/>
      <c r="AC126" s="1076"/>
      <c r="AD126" s="1077">
        <f t="shared" si="14"/>
        <v>21498980</v>
      </c>
      <c r="AE126" s="609">
        <f t="shared" si="8"/>
        <v>-0.63933967510512069</v>
      </c>
      <c r="AF126" s="610">
        <f t="shared" si="15"/>
        <v>16</v>
      </c>
    </row>
    <row r="127" spans="1:32" x14ac:dyDescent="0.3">
      <c r="A127" s="544" t="s">
        <v>675</v>
      </c>
      <c r="B127" s="678" t="s">
        <v>680</v>
      </c>
      <c r="C127" s="505"/>
      <c r="D127" s="506"/>
      <c r="E127" s="506">
        <v>0</v>
      </c>
      <c r="F127" s="506">
        <v>0</v>
      </c>
      <c r="G127" s="506">
        <v>4972910</v>
      </c>
      <c r="H127" s="506">
        <v>2623560</v>
      </c>
      <c r="I127" s="506">
        <v>111470</v>
      </c>
      <c r="J127" s="506">
        <v>0</v>
      </c>
      <c r="K127" s="506">
        <v>0</v>
      </c>
      <c r="L127" s="506">
        <v>5704340</v>
      </c>
      <c r="M127" s="506">
        <v>0</v>
      </c>
      <c r="N127" s="506">
        <v>0</v>
      </c>
      <c r="O127" s="506">
        <v>0</v>
      </c>
      <c r="P127" s="1498">
        <f t="shared" si="9"/>
        <v>7707940</v>
      </c>
      <c r="Q127" s="696">
        <f t="shared" si="13"/>
        <v>13412280</v>
      </c>
      <c r="R127" s="1075" t="s">
        <v>251</v>
      </c>
      <c r="S127" s="1076" t="s">
        <v>251</v>
      </c>
      <c r="T127" s="1076">
        <v>1139500</v>
      </c>
      <c r="U127" s="1076">
        <v>2569100</v>
      </c>
      <c r="V127" s="1076">
        <v>0</v>
      </c>
      <c r="W127" s="1076">
        <v>1123520</v>
      </c>
      <c r="X127" s="1076">
        <v>0</v>
      </c>
      <c r="Y127" s="1076">
        <v>0</v>
      </c>
      <c r="Z127" s="1076"/>
      <c r="AA127" s="1076"/>
      <c r="AB127" s="1076"/>
      <c r="AC127" s="1076"/>
      <c r="AD127" s="1077">
        <f t="shared" si="14"/>
        <v>4832120</v>
      </c>
      <c r="AE127" s="609">
        <f t="shared" si="8"/>
        <v>-0.3730983894529537</v>
      </c>
      <c r="AF127" s="610">
        <f t="shared" si="15"/>
        <v>85</v>
      </c>
    </row>
    <row r="128" spans="1:32" x14ac:dyDescent="0.3">
      <c r="A128" s="544" t="s">
        <v>675</v>
      </c>
      <c r="B128" s="678" t="s">
        <v>681</v>
      </c>
      <c r="C128" s="505"/>
      <c r="D128" s="506"/>
      <c r="E128" s="506">
        <v>0</v>
      </c>
      <c r="F128" s="506">
        <v>0</v>
      </c>
      <c r="G128" s="506">
        <v>2932220</v>
      </c>
      <c r="H128" s="506">
        <v>13593880</v>
      </c>
      <c r="I128" s="506">
        <v>31239620</v>
      </c>
      <c r="J128" s="506">
        <v>11618050</v>
      </c>
      <c r="K128" s="506">
        <v>4784380</v>
      </c>
      <c r="L128" s="506">
        <v>10204690</v>
      </c>
      <c r="M128" s="506">
        <v>8566820</v>
      </c>
      <c r="N128" s="506">
        <v>2960710</v>
      </c>
      <c r="O128" s="506">
        <v>42311510</v>
      </c>
      <c r="P128" s="1498">
        <f t="shared" si="9"/>
        <v>52550100</v>
      </c>
      <c r="Q128" s="696">
        <f t="shared" si="13"/>
        <v>123427500</v>
      </c>
      <c r="R128" s="1075">
        <v>13225680</v>
      </c>
      <c r="S128" s="1076">
        <v>9592070</v>
      </c>
      <c r="T128" s="1076">
        <v>11146410</v>
      </c>
      <c r="U128" s="1076">
        <v>9838880</v>
      </c>
      <c r="V128" s="1076">
        <v>6983990</v>
      </c>
      <c r="W128" s="1076">
        <v>6516200</v>
      </c>
      <c r="X128" s="1076">
        <v>3352730</v>
      </c>
      <c r="Y128" s="1076">
        <v>1299430</v>
      </c>
      <c r="Z128" s="1076"/>
      <c r="AA128" s="1076"/>
      <c r="AB128" s="1076"/>
      <c r="AC128" s="1076"/>
      <c r="AD128" s="1077">
        <f t="shared" si="14"/>
        <v>61955390</v>
      </c>
      <c r="AE128" s="609">
        <f t="shared" si="8"/>
        <v>0.17897758519964757</v>
      </c>
      <c r="AF128" s="610">
        <f t="shared" si="15"/>
        <v>6</v>
      </c>
    </row>
    <row r="129" spans="1:32" x14ac:dyDescent="0.3">
      <c r="A129" s="544" t="s">
        <v>675</v>
      </c>
      <c r="B129" s="678" t="s">
        <v>682</v>
      </c>
      <c r="C129" s="505"/>
      <c r="D129" s="506"/>
      <c r="E129" s="506">
        <v>0</v>
      </c>
      <c r="F129" s="506">
        <v>0</v>
      </c>
      <c r="G129" s="506">
        <v>2170690</v>
      </c>
      <c r="H129" s="506">
        <v>510020</v>
      </c>
      <c r="I129" s="506">
        <v>1105600</v>
      </c>
      <c r="J129" s="506">
        <v>0</v>
      </c>
      <c r="K129" s="506">
        <v>0</v>
      </c>
      <c r="L129" s="506">
        <v>0</v>
      </c>
      <c r="M129" s="506">
        <v>0</v>
      </c>
      <c r="N129" s="506">
        <v>0</v>
      </c>
      <c r="O129" s="506">
        <v>0</v>
      </c>
      <c r="P129" s="1498">
        <f t="shared" si="9"/>
        <v>3786310</v>
      </c>
      <c r="Q129" s="696">
        <f t="shared" si="13"/>
        <v>3786310</v>
      </c>
      <c r="R129" s="1075" t="s">
        <v>251</v>
      </c>
      <c r="S129" s="1076" t="s">
        <v>251</v>
      </c>
      <c r="T129" s="1076"/>
      <c r="U129" s="1076">
        <v>935250</v>
      </c>
      <c r="V129" s="1076">
        <v>0</v>
      </c>
      <c r="W129" s="1076">
        <v>0</v>
      </c>
      <c r="X129" s="1076">
        <v>0</v>
      </c>
      <c r="Y129" s="1076">
        <v>0</v>
      </c>
      <c r="Z129" s="1076"/>
      <c r="AA129" s="1076"/>
      <c r="AB129" s="1076"/>
      <c r="AC129" s="1076"/>
      <c r="AD129" s="1077">
        <f t="shared" si="14"/>
        <v>935250</v>
      </c>
      <c r="AE129" s="609">
        <f t="shared" si="8"/>
        <v>-0.7529916990420753</v>
      </c>
      <c r="AF129" s="610">
        <f t="shared" si="15"/>
        <v>205</v>
      </c>
    </row>
    <row r="130" spans="1:32" x14ac:dyDescent="0.3">
      <c r="A130" s="544" t="s">
        <v>675</v>
      </c>
      <c r="B130" s="678" t="s">
        <v>683</v>
      </c>
      <c r="C130" s="505"/>
      <c r="D130" s="506"/>
      <c r="E130" s="506">
        <v>0</v>
      </c>
      <c r="F130" s="506">
        <v>0</v>
      </c>
      <c r="G130" s="506">
        <v>1556990</v>
      </c>
      <c r="H130" s="506">
        <v>3216050</v>
      </c>
      <c r="I130" s="506">
        <v>25139050</v>
      </c>
      <c r="J130" s="506">
        <v>1005380</v>
      </c>
      <c r="K130" s="506">
        <v>807070</v>
      </c>
      <c r="L130" s="506">
        <v>1228300</v>
      </c>
      <c r="M130" s="506">
        <v>459560</v>
      </c>
      <c r="N130" s="506">
        <v>11401280</v>
      </c>
      <c r="O130" s="506">
        <v>6827540</v>
      </c>
      <c r="P130" s="1498">
        <f t="shared" si="9"/>
        <v>30719160</v>
      </c>
      <c r="Q130" s="696">
        <f t="shared" si="13"/>
        <v>50834150</v>
      </c>
      <c r="R130" s="1075">
        <v>6957400</v>
      </c>
      <c r="S130" s="1076">
        <v>5655600</v>
      </c>
      <c r="T130" s="1076">
        <v>7365380</v>
      </c>
      <c r="U130" s="1076">
        <v>6427550</v>
      </c>
      <c r="V130" s="1076">
        <v>4082000</v>
      </c>
      <c r="W130" s="1076">
        <v>134130</v>
      </c>
      <c r="X130" s="1076">
        <v>447270</v>
      </c>
      <c r="Y130" s="1076">
        <v>679630</v>
      </c>
      <c r="Z130" s="1076"/>
      <c r="AA130" s="1076"/>
      <c r="AB130" s="1076"/>
      <c r="AC130" s="1076"/>
      <c r="AD130" s="1077">
        <f t="shared" si="14"/>
        <v>31748960</v>
      </c>
      <c r="AE130" s="609">
        <f t="shared" si="8"/>
        <v>3.3523052062621503E-2</v>
      </c>
      <c r="AF130" s="610">
        <f t="shared" si="15"/>
        <v>10</v>
      </c>
    </row>
    <row r="131" spans="1:32" x14ac:dyDescent="0.3">
      <c r="A131" s="544" t="s">
        <v>675</v>
      </c>
      <c r="B131" s="678" t="s">
        <v>684</v>
      </c>
      <c r="C131" s="505"/>
      <c r="D131" s="506"/>
      <c r="E131" s="506">
        <v>0</v>
      </c>
      <c r="F131" s="506">
        <v>0</v>
      </c>
      <c r="G131" s="506">
        <v>1343480</v>
      </c>
      <c r="H131" s="506">
        <v>4363440</v>
      </c>
      <c r="I131" s="506">
        <v>2797170</v>
      </c>
      <c r="J131" s="506">
        <v>367740</v>
      </c>
      <c r="K131" s="506">
        <v>367740</v>
      </c>
      <c r="L131" s="506">
        <v>4939420</v>
      </c>
      <c r="M131" s="506">
        <v>257820</v>
      </c>
      <c r="N131" s="506">
        <v>0</v>
      </c>
      <c r="O131" s="506">
        <v>135950</v>
      </c>
      <c r="P131" s="1498">
        <f t="shared" ref="P131:P194" si="16">SUM(C131:I131,K131)</f>
        <v>8871830</v>
      </c>
      <c r="Q131" s="696">
        <f t="shared" si="13"/>
        <v>14205020</v>
      </c>
      <c r="R131" s="1075">
        <v>1704650</v>
      </c>
      <c r="S131" s="1076">
        <v>3113710</v>
      </c>
      <c r="T131" s="1076">
        <v>1692240</v>
      </c>
      <c r="U131" s="1076">
        <v>2015840</v>
      </c>
      <c r="V131" s="1076">
        <v>1310940</v>
      </c>
      <c r="W131" s="1076">
        <v>707670</v>
      </c>
      <c r="X131" s="1076">
        <v>0</v>
      </c>
      <c r="Y131" s="1076">
        <v>0</v>
      </c>
      <c r="Z131" s="1076"/>
      <c r="AA131" s="1076"/>
      <c r="AB131" s="1076"/>
      <c r="AC131" s="1076"/>
      <c r="AD131" s="1077">
        <f t="shared" si="14"/>
        <v>10545050</v>
      </c>
      <c r="AE131" s="609">
        <f t="shared" si="8"/>
        <v>0.1885991954309314</v>
      </c>
      <c r="AF131" s="610">
        <f t="shared" si="15"/>
        <v>42</v>
      </c>
    </row>
    <row r="132" spans="1:32" x14ac:dyDescent="0.3">
      <c r="A132" s="544" t="s">
        <v>675</v>
      </c>
      <c r="B132" s="678" t="s">
        <v>685</v>
      </c>
      <c r="C132" s="505"/>
      <c r="D132" s="506"/>
      <c r="E132" s="506">
        <v>0</v>
      </c>
      <c r="F132" s="506">
        <v>0</v>
      </c>
      <c r="G132" s="506">
        <v>1093200</v>
      </c>
      <c r="H132" s="506">
        <v>12854410</v>
      </c>
      <c r="I132" s="506">
        <v>701660</v>
      </c>
      <c r="J132" s="506">
        <v>0</v>
      </c>
      <c r="K132" s="506">
        <v>0</v>
      </c>
      <c r="L132" s="506">
        <v>0</v>
      </c>
      <c r="M132" s="506">
        <v>0</v>
      </c>
      <c r="N132" s="506">
        <v>0</v>
      </c>
      <c r="O132" s="506">
        <v>0</v>
      </c>
      <c r="P132" s="1498">
        <f t="shared" si="16"/>
        <v>14649270</v>
      </c>
      <c r="Q132" s="696">
        <f t="shared" si="13"/>
        <v>14649270</v>
      </c>
      <c r="R132" s="1075" t="s">
        <v>251</v>
      </c>
      <c r="S132" s="1076" t="s">
        <v>251</v>
      </c>
      <c r="T132" s="1076"/>
      <c r="U132" s="1076"/>
      <c r="V132" s="1076"/>
      <c r="W132" s="1076"/>
      <c r="X132" s="1076"/>
      <c r="Y132" s="1076"/>
      <c r="Z132" s="1076"/>
      <c r="AA132" s="1076"/>
      <c r="AB132" s="1076"/>
      <c r="AC132" s="1076"/>
      <c r="AD132" s="1077">
        <f t="shared" si="14"/>
        <v>0</v>
      </c>
      <c r="AE132" s="609">
        <f t="shared" si="8"/>
        <v>-1</v>
      </c>
      <c r="AF132" s="610">
        <f t="shared" si="15"/>
        <v>394</v>
      </c>
    </row>
    <row r="133" spans="1:32" x14ac:dyDescent="0.3">
      <c r="A133" s="544" t="s">
        <v>675</v>
      </c>
      <c r="B133" s="678" t="s">
        <v>686</v>
      </c>
      <c r="C133" s="505"/>
      <c r="D133" s="506"/>
      <c r="E133" s="506">
        <v>0</v>
      </c>
      <c r="F133" s="506">
        <v>0</v>
      </c>
      <c r="G133" s="506">
        <v>534840</v>
      </c>
      <c r="H133" s="506">
        <v>176860</v>
      </c>
      <c r="I133" s="506">
        <v>1139770</v>
      </c>
      <c r="J133" s="506">
        <v>0</v>
      </c>
      <c r="K133" s="506">
        <v>0</v>
      </c>
      <c r="L133" s="506">
        <v>0</v>
      </c>
      <c r="M133" s="506">
        <v>875400</v>
      </c>
      <c r="N133" s="506">
        <v>2049690</v>
      </c>
      <c r="O133" s="506">
        <v>3951950</v>
      </c>
      <c r="P133" s="1498">
        <f t="shared" si="16"/>
        <v>1851470</v>
      </c>
      <c r="Q133" s="696">
        <f t="shared" si="13"/>
        <v>8728510</v>
      </c>
      <c r="R133" s="1075">
        <v>2157790</v>
      </c>
      <c r="S133" s="1076">
        <v>5186450</v>
      </c>
      <c r="T133" s="1076">
        <v>4145890</v>
      </c>
      <c r="U133" s="1076">
        <v>2501300</v>
      </c>
      <c r="V133" s="1076">
        <v>88770</v>
      </c>
      <c r="W133" s="1076">
        <v>684910</v>
      </c>
      <c r="X133" s="1076">
        <v>612520</v>
      </c>
      <c r="Y133" s="1076">
        <v>0</v>
      </c>
      <c r="Z133" s="1076"/>
      <c r="AA133" s="1076"/>
      <c r="AB133" s="1076"/>
      <c r="AC133" s="1076"/>
      <c r="AD133" s="1077">
        <f t="shared" si="14"/>
        <v>15377630</v>
      </c>
      <c r="AE133" s="609">
        <f t="shared" si="8"/>
        <v>7.3056328214877908</v>
      </c>
      <c r="AF133" s="610">
        <f t="shared" si="15"/>
        <v>31</v>
      </c>
    </row>
    <row r="134" spans="1:32" x14ac:dyDescent="0.3">
      <c r="A134" s="544" t="s">
        <v>675</v>
      </c>
      <c r="B134" s="678" t="s">
        <v>658</v>
      </c>
      <c r="C134" s="505"/>
      <c r="D134" s="506"/>
      <c r="E134" s="506">
        <v>0</v>
      </c>
      <c r="F134" s="506">
        <v>0</v>
      </c>
      <c r="G134" s="506">
        <v>356560</v>
      </c>
      <c r="H134" s="506">
        <v>587680</v>
      </c>
      <c r="I134" s="506">
        <v>185010</v>
      </c>
      <c r="J134" s="506">
        <v>0</v>
      </c>
      <c r="K134" s="506">
        <v>0</v>
      </c>
      <c r="L134" s="506">
        <v>0</v>
      </c>
      <c r="M134" s="506">
        <v>188820</v>
      </c>
      <c r="N134" s="506">
        <v>739100</v>
      </c>
      <c r="O134" s="506">
        <v>324450</v>
      </c>
      <c r="P134" s="1498">
        <f t="shared" si="16"/>
        <v>1129250</v>
      </c>
      <c r="Q134" s="696">
        <f t="shared" si="13"/>
        <v>2381620</v>
      </c>
      <c r="R134" s="1075">
        <v>261040</v>
      </c>
      <c r="S134" s="1076" t="s">
        <v>251</v>
      </c>
      <c r="T134" s="1076">
        <v>3209840</v>
      </c>
      <c r="U134" s="1076">
        <v>780530</v>
      </c>
      <c r="V134" s="1076">
        <v>3127560</v>
      </c>
      <c r="W134" s="1076">
        <v>2839310</v>
      </c>
      <c r="X134" s="1076">
        <v>162050</v>
      </c>
      <c r="Y134" s="1076">
        <v>0</v>
      </c>
      <c r="Z134" s="1076"/>
      <c r="AA134" s="1076"/>
      <c r="AB134" s="1076"/>
      <c r="AC134" s="1076"/>
      <c r="AD134" s="1077">
        <f t="shared" si="14"/>
        <v>10380330</v>
      </c>
      <c r="AE134" s="609">
        <f t="shared" ref="AE134:AE197" si="17">IF(OR(AD134="", P134=""), 0, IFERROR((AD134-P134)/P134, IF(AD134&lt;&gt;0, 1, 0)))</f>
        <v>8.192233783484614</v>
      </c>
      <c r="AF134" s="610">
        <f t="shared" si="15"/>
        <v>44</v>
      </c>
    </row>
    <row r="135" spans="1:32" x14ac:dyDescent="0.3">
      <c r="A135" s="544" t="s">
        <v>675</v>
      </c>
      <c r="B135" s="678" t="s">
        <v>687</v>
      </c>
      <c r="C135" s="505"/>
      <c r="D135" s="506"/>
      <c r="E135" s="506">
        <v>0</v>
      </c>
      <c r="F135" s="506">
        <v>0</v>
      </c>
      <c r="G135" s="506">
        <v>276350</v>
      </c>
      <c r="H135" s="506">
        <v>568190</v>
      </c>
      <c r="I135" s="506">
        <v>0</v>
      </c>
      <c r="J135" s="506">
        <v>373810</v>
      </c>
      <c r="K135" s="506">
        <v>362170</v>
      </c>
      <c r="L135" s="506">
        <v>0</v>
      </c>
      <c r="M135" s="506">
        <v>0</v>
      </c>
      <c r="N135" s="506">
        <v>386400</v>
      </c>
      <c r="O135" s="506">
        <v>0</v>
      </c>
      <c r="P135" s="1498">
        <f t="shared" si="16"/>
        <v>1206710</v>
      </c>
      <c r="Q135" s="696">
        <f t="shared" si="13"/>
        <v>1604750</v>
      </c>
      <c r="R135" s="1075" t="s">
        <v>251</v>
      </c>
      <c r="S135" s="1076" t="s">
        <v>251</v>
      </c>
      <c r="T135" s="1076"/>
      <c r="U135" s="1076">
        <v>4361440</v>
      </c>
      <c r="V135" s="1076">
        <v>2642740</v>
      </c>
      <c r="W135" s="1076">
        <v>964860</v>
      </c>
      <c r="X135" s="1076">
        <v>910230</v>
      </c>
      <c r="Y135" s="1076">
        <v>0</v>
      </c>
      <c r="Z135" s="1076"/>
      <c r="AA135" s="1076"/>
      <c r="AB135" s="1076"/>
      <c r="AC135" s="1076"/>
      <c r="AD135" s="1077">
        <f t="shared" si="14"/>
        <v>8879270</v>
      </c>
      <c r="AE135" s="609">
        <f t="shared" si="17"/>
        <v>6.3582468032915944</v>
      </c>
      <c r="AF135" s="610">
        <f t="shared" si="15"/>
        <v>51</v>
      </c>
    </row>
    <row r="136" spans="1:32" x14ac:dyDescent="0.3">
      <c r="A136" s="544" t="s">
        <v>675</v>
      </c>
      <c r="B136" s="678" t="s">
        <v>675</v>
      </c>
      <c r="C136" s="505"/>
      <c r="D136" s="506"/>
      <c r="E136" s="506" t="s">
        <v>251</v>
      </c>
      <c r="F136" s="506" t="s">
        <v>251</v>
      </c>
      <c r="G136" s="506" t="s">
        <v>251</v>
      </c>
      <c r="H136" s="506" t="s">
        <v>251</v>
      </c>
      <c r="I136" s="506" t="s">
        <v>251</v>
      </c>
      <c r="J136" s="506" t="s">
        <v>251</v>
      </c>
      <c r="K136" s="506"/>
      <c r="L136" s="506" t="s">
        <v>251</v>
      </c>
      <c r="M136" s="506" t="s">
        <v>251</v>
      </c>
      <c r="N136" s="506" t="s">
        <v>251</v>
      </c>
      <c r="O136" s="506" t="s">
        <v>251</v>
      </c>
      <c r="P136" s="1498">
        <f t="shared" si="16"/>
        <v>0</v>
      </c>
      <c r="Q136" s="696">
        <f t="shared" si="13"/>
        <v>0</v>
      </c>
      <c r="R136" s="1075" t="s">
        <v>251</v>
      </c>
      <c r="S136" s="1076" t="s">
        <v>251</v>
      </c>
      <c r="T136" s="1076"/>
      <c r="U136" s="1076"/>
      <c r="V136" s="1076"/>
      <c r="W136" s="1076"/>
      <c r="X136" s="1076"/>
      <c r="Y136" s="1076"/>
      <c r="Z136" s="1076"/>
      <c r="AA136" s="1076"/>
      <c r="AB136" s="1076"/>
      <c r="AC136" s="1076"/>
      <c r="AD136" s="1077">
        <f t="shared" si="14"/>
        <v>0</v>
      </c>
      <c r="AE136" s="609">
        <f t="shared" si="17"/>
        <v>0</v>
      </c>
      <c r="AF136" s="610">
        <f t="shared" si="15"/>
        <v>394</v>
      </c>
    </row>
    <row r="137" spans="1:32" x14ac:dyDescent="0.3">
      <c r="A137" s="544" t="s">
        <v>675</v>
      </c>
      <c r="B137" s="678" t="s">
        <v>1817</v>
      </c>
      <c r="C137" s="505"/>
      <c r="D137" s="506"/>
      <c r="E137" s="506">
        <v>0</v>
      </c>
      <c r="F137" s="506">
        <v>0</v>
      </c>
      <c r="G137" s="506">
        <v>0</v>
      </c>
      <c r="H137" s="506">
        <v>3507640</v>
      </c>
      <c r="I137" s="506">
        <v>14407600</v>
      </c>
      <c r="J137" s="506">
        <v>0</v>
      </c>
      <c r="K137" s="506">
        <v>0</v>
      </c>
      <c r="L137" s="506">
        <v>0</v>
      </c>
      <c r="M137" s="506">
        <v>0</v>
      </c>
      <c r="N137" s="506">
        <v>0</v>
      </c>
      <c r="O137" s="506">
        <v>549540</v>
      </c>
      <c r="P137" s="1498">
        <f t="shared" si="16"/>
        <v>17915240</v>
      </c>
      <c r="Q137" s="696">
        <f t="shared" si="13"/>
        <v>18464780</v>
      </c>
      <c r="R137" s="1075" t="s">
        <v>251</v>
      </c>
      <c r="S137" s="1076" t="s">
        <v>251</v>
      </c>
      <c r="T137" s="1076"/>
      <c r="U137" s="1076"/>
      <c r="V137" s="1076"/>
      <c r="W137" s="1076"/>
      <c r="X137" s="1076"/>
      <c r="Y137" s="1076"/>
      <c r="Z137" s="1076"/>
      <c r="AA137" s="1076"/>
      <c r="AB137" s="1076"/>
      <c r="AC137" s="1076"/>
      <c r="AD137" s="1077">
        <f t="shared" si="14"/>
        <v>0</v>
      </c>
      <c r="AE137" s="609">
        <f t="shared" si="17"/>
        <v>-1</v>
      </c>
      <c r="AF137" s="610">
        <f t="shared" si="15"/>
        <v>394</v>
      </c>
    </row>
    <row r="138" spans="1:32" x14ac:dyDescent="0.3">
      <c r="A138" s="544" t="s">
        <v>675</v>
      </c>
      <c r="B138" s="678" t="s">
        <v>657</v>
      </c>
      <c r="C138" s="505"/>
      <c r="D138" s="506"/>
      <c r="E138" s="506">
        <v>0</v>
      </c>
      <c r="F138" s="506">
        <v>0</v>
      </c>
      <c r="G138" s="506">
        <v>0</v>
      </c>
      <c r="H138" s="506">
        <v>1115890</v>
      </c>
      <c r="I138" s="506">
        <v>4114740</v>
      </c>
      <c r="J138" s="506">
        <v>1948310</v>
      </c>
      <c r="K138" s="506">
        <v>1948310</v>
      </c>
      <c r="L138" s="506">
        <v>0</v>
      </c>
      <c r="M138" s="506">
        <v>317080</v>
      </c>
      <c r="N138" s="506">
        <v>879920</v>
      </c>
      <c r="O138" s="506">
        <v>535100</v>
      </c>
      <c r="P138" s="1498">
        <f t="shared" si="16"/>
        <v>7178940</v>
      </c>
      <c r="Q138" s="696">
        <f t="shared" si="13"/>
        <v>8911040</v>
      </c>
      <c r="R138" s="1075">
        <v>1764150</v>
      </c>
      <c r="S138" s="1076">
        <v>715400</v>
      </c>
      <c r="T138" s="1076">
        <v>609380</v>
      </c>
      <c r="U138" s="1076">
        <v>0</v>
      </c>
      <c r="V138" s="1076">
        <v>0</v>
      </c>
      <c r="W138" s="1076">
        <v>0</v>
      </c>
      <c r="X138" s="1076">
        <v>0</v>
      </c>
      <c r="Y138" s="1076">
        <v>0</v>
      </c>
      <c r="Z138" s="1076"/>
      <c r="AA138" s="1076"/>
      <c r="AB138" s="1076"/>
      <c r="AC138" s="1076"/>
      <c r="AD138" s="1077">
        <f t="shared" si="14"/>
        <v>3088930</v>
      </c>
      <c r="AE138" s="609">
        <f t="shared" si="17"/>
        <v>-0.56972338534658318</v>
      </c>
      <c r="AF138" s="610">
        <f t="shared" si="15"/>
        <v>119</v>
      </c>
    </row>
    <row r="139" spans="1:32" x14ac:dyDescent="0.3">
      <c r="A139" s="544" t="s">
        <v>675</v>
      </c>
      <c r="B139" s="678" t="s">
        <v>1818</v>
      </c>
      <c r="C139" s="505"/>
      <c r="D139" s="506"/>
      <c r="E139" s="506">
        <v>0</v>
      </c>
      <c r="F139" s="506">
        <v>0</v>
      </c>
      <c r="G139" s="506">
        <v>0</v>
      </c>
      <c r="H139" s="506">
        <v>1022460</v>
      </c>
      <c r="I139" s="506">
        <v>110670</v>
      </c>
      <c r="J139" s="506">
        <v>0</v>
      </c>
      <c r="K139" s="506">
        <v>0</v>
      </c>
      <c r="L139" s="506">
        <v>832020</v>
      </c>
      <c r="M139" s="506">
        <v>6514440</v>
      </c>
      <c r="N139" s="506">
        <v>6956600</v>
      </c>
      <c r="O139" s="506">
        <v>5169080</v>
      </c>
      <c r="P139" s="1498">
        <f t="shared" si="16"/>
        <v>1133130</v>
      </c>
      <c r="Q139" s="696">
        <f t="shared" si="13"/>
        <v>20605270</v>
      </c>
      <c r="R139" s="1075">
        <v>2477090</v>
      </c>
      <c r="S139" s="1076" t="s">
        <v>251</v>
      </c>
      <c r="T139" s="1076">
        <v>0</v>
      </c>
      <c r="U139" s="1076">
        <v>1806880</v>
      </c>
      <c r="V139" s="1076">
        <v>13978920</v>
      </c>
      <c r="W139" s="1076">
        <v>7947310</v>
      </c>
      <c r="X139" s="1076">
        <v>1385690</v>
      </c>
      <c r="Y139" s="1076">
        <v>0</v>
      </c>
      <c r="Z139" s="1076"/>
      <c r="AA139" s="1076"/>
      <c r="AB139" s="1076"/>
      <c r="AC139" s="1076"/>
      <c r="AD139" s="1077">
        <f t="shared" si="14"/>
        <v>27595890</v>
      </c>
      <c r="AE139" s="609">
        <f t="shared" si="17"/>
        <v>23.353684043313653</v>
      </c>
      <c r="AF139" s="610">
        <f t="shared" si="15"/>
        <v>13</v>
      </c>
    </row>
    <row r="140" spans="1:32" x14ac:dyDescent="0.3">
      <c r="A140" s="544" t="s">
        <v>675</v>
      </c>
      <c r="B140" s="678" t="s">
        <v>1820</v>
      </c>
      <c r="C140" s="505"/>
      <c r="D140" s="506"/>
      <c r="E140" s="506">
        <v>0</v>
      </c>
      <c r="F140" s="506">
        <v>0</v>
      </c>
      <c r="G140" s="506">
        <v>0</v>
      </c>
      <c r="H140" s="506">
        <v>3444770</v>
      </c>
      <c r="I140" s="506">
        <v>9129480</v>
      </c>
      <c r="J140" s="506">
        <v>0</v>
      </c>
      <c r="K140" s="506">
        <v>0</v>
      </c>
      <c r="L140" s="506">
        <v>0</v>
      </c>
      <c r="M140" s="506">
        <v>0</v>
      </c>
      <c r="N140" s="506">
        <v>0</v>
      </c>
      <c r="O140" s="506">
        <v>2493570</v>
      </c>
      <c r="P140" s="1498">
        <f t="shared" si="16"/>
        <v>12574250</v>
      </c>
      <c r="Q140" s="696">
        <f t="shared" si="13"/>
        <v>15067820</v>
      </c>
      <c r="R140" s="1075">
        <v>484180</v>
      </c>
      <c r="S140" s="1076">
        <v>6091970</v>
      </c>
      <c r="T140" s="1076">
        <v>0</v>
      </c>
      <c r="U140" s="1076">
        <v>1480070</v>
      </c>
      <c r="V140" s="1076">
        <v>0</v>
      </c>
      <c r="W140" s="1076">
        <v>0</v>
      </c>
      <c r="X140" s="1076">
        <v>0</v>
      </c>
      <c r="Y140" s="1076">
        <v>0</v>
      </c>
      <c r="Z140" s="1076"/>
      <c r="AA140" s="1076"/>
      <c r="AB140" s="1076"/>
      <c r="AC140" s="1076"/>
      <c r="AD140" s="1077">
        <f t="shared" si="14"/>
        <v>8056220</v>
      </c>
      <c r="AE140" s="609">
        <f t="shared" si="17"/>
        <v>-0.3593081098276239</v>
      </c>
      <c r="AF140" s="610">
        <f t="shared" si="15"/>
        <v>56</v>
      </c>
    </row>
    <row r="141" spans="1:32" x14ac:dyDescent="0.3">
      <c r="A141" s="544" t="s">
        <v>675</v>
      </c>
      <c r="B141" s="678" t="s">
        <v>1821</v>
      </c>
      <c r="C141" s="505"/>
      <c r="D141" s="506"/>
      <c r="E141" s="506">
        <v>0</v>
      </c>
      <c r="F141" s="506">
        <v>0</v>
      </c>
      <c r="G141" s="506">
        <v>0</v>
      </c>
      <c r="H141" s="506">
        <v>10717870</v>
      </c>
      <c r="I141" s="506">
        <v>0</v>
      </c>
      <c r="J141" s="506">
        <v>836950</v>
      </c>
      <c r="K141" s="506">
        <v>0</v>
      </c>
      <c r="L141" s="506">
        <v>0</v>
      </c>
      <c r="M141" s="506">
        <v>558050</v>
      </c>
      <c r="N141" s="506">
        <v>0</v>
      </c>
      <c r="O141" s="506">
        <v>0</v>
      </c>
      <c r="P141" s="1498">
        <f t="shared" si="16"/>
        <v>10717870</v>
      </c>
      <c r="Q141" s="696">
        <f t="shared" si="13"/>
        <v>12112870</v>
      </c>
      <c r="R141" s="1075" t="s">
        <v>251</v>
      </c>
      <c r="S141" s="1076">
        <v>1390980</v>
      </c>
      <c r="T141" s="1076">
        <v>5363990</v>
      </c>
      <c r="U141" s="1076">
        <v>496560</v>
      </c>
      <c r="V141" s="1076">
        <v>0</v>
      </c>
      <c r="W141" s="1076">
        <v>0</v>
      </c>
      <c r="X141" s="1076">
        <v>0</v>
      </c>
      <c r="Y141" s="1076">
        <v>0</v>
      </c>
      <c r="Z141" s="1076"/>
      <c r="AA141" s="1076"/>
      <c r="AB141" s="1076"/>
      <c r="AC141" s="1076"/>
      <c r="AD141" s="1077">
        <f t="shared" si="14"/>
        <v>7251530</v>
      </c>
      <c r="AE141" s="609">
        <f t="shared" si="17"/>
        <v>-0.32341687294210508</v>
      </c>
      <c r="AF141" s="610">
        <f t="shared" si="15"/>
        <v>64</v>
      </c>
    </row>
    <row r="142" spans="1:32" x14ac:dyDescent="0.3">
      <c r="A142" s="544" t="s">
        <v>675</v>
      </c>
      <c r="B142" s="678" t="s">
        <v>1822</v>
      </c>
      <c r="C142" s="505"/>
      <c r="D142" s="506"/>
      <c r="E142" s="506">
        <v>0</v>
      </c>
      <c r="F142" s="506">
        <v>0</v>
      </c>
      <c r="G142" s="506">
        <v>0</v>
      </c>
      <c r="H142" s="506">
        <v>0</v>
      </c>
      <c r="I142" s="506">
        <v>12044370</v>
      </c>
      <c r="J142" s="506">
        <v>0</v>
      </c>
      <c r="K142" s="506">
        <v>0</v>
      </c>
      <c r="L142" s="506">
        <v>0</v>
      </c>
      <c r="M142" s="506">
        <v>0</v>
      </c>
      <c r="N142" s="506">
        <v>0</v>
      </c>
      <c r="O142" s="506">
        <v>0</v>
      </c>
      <c r="P142" s="1498">
        <f t="shared" si="16"/>
        <v>12044370</v>
      </c>
      <c r="Q142" s="696">
        <f t="shared" si="13"/>
        <v>12044370</v>
      </c>
      <c r="R142" s="1075" t="s">
        <v>251</v>
      </c>
      <c r="S142" s="1076" t="s">
        <v>251</v>
      </c>
      <c r="T142" s="1076"/>
      <c r="U142" s="1076"/>
      <c r="V142" s="1076"/>
      <c r="W142" s="1076"/>
      <c r="X142" s="1076"/>
      <c r="Y142" s="1076">
        <v>749400</v>
      </c>
      <c r="Z142" s="1076"/>
      <c r="AA142" s="1076"/>
      <c r="AB142" s="1076"/>
      <c r="AC142" s="1076"/>
      <c r="AD142" s="1077">
        <f t="shared" si="14"/>
        <v>749400</v>
      </c>
      <c r="AE142" s="609">
        <f t="shared" si="17"/>
        <v>-0.93778005823467725</v>
      </c>
      <c r="AF142" s="610">
        <f t="shared" si="15"/>
        <v>223</v>
      </c>
    </row>
    <row r="143" spans="1:32" x14ac:dyDescent="0.3">
      <c r="A143" s="544" t="s">
        <v>675</v>
      </c>
      <c r="B143" s="678" t="s">
        <v>1823</v>
      </c>
      <c r="C143" s="505"/>
      <c r="D143" s="506"/>
      <c r="E143" s="506">
        <v>0</v>
      </c>
      <c r="F143" s="506">
        <v>0</v>
      </c>
      <c r="G143" s="506">
        <v>0</v>
      </c>
      <c r="H143" s="506">
        <v>11948960</v>
      </c>
      <c r="I143" s="506">
        <v>0</v>
      </c>
      <c r="J143" s="506">
        <v>0</v>
      </c>
      <c r="K143" s="506">
        <v>0</v>
      </c>
      <c r="L143" s="506">
        <v>0</v>
      </c>
      <c r="M143" s="506">
        <v>0</v>
      </c>
      <c r="N143" s="506">
        <v>0</v>
      </c>
      <c r="O143" s="506">
        <v>0</v>
      </c>
      <c r="P143" s="1498">
        <f t="shared" si="16"/>
        <v>11948960</v>
      </c>
      <c r="Q143" s="696">
        <f t="shared" si="13"/>
        <v>11948960</v>
      </c>
      <c r="R143" s="1075" t="s">
        <v>251</v>
      </c>
      <c r="S143" s="1076" t="s">
        <v>251</v>
      </c>
      <c r="T143" s="1076">
        <v>3482690</v>
      </c>
      <c r="U143" s="1076">
        <v>209720</v>
      </c>
      <c r="V143" s="1076">
        <v>55070</v>
      </c>
      <c r="W143" s="1076">
        <v>0</v>
      </c>
      <c r="X143" s="1076">
        <v>0</v>
      </c>
      <c r="Y143" s="1076">
        <v>0</v>
      </c>
      <c r="Z143" s="1076"/>
      <c r="AA143" s="1076"/>
      <c r="AB143" s="1076"/>
      <c r="AC143" s="1076"/>
      <c r="AD143" s="1077">
        <f t="shared" si="14"/>
        <v>3747480</v>
      </c>
      <c r="AE143" s="609">
        <f t="shared" si="17"/>
        <v>-0.68637605281129066</v>
      </c>
      <c r="AF143" s="610">
        <f t="shared" si="15"/>
        <v>102</v>
      </c>
    </row>
    <row r="144" spans="1:32" x14ac:dyDescent="0.3">
      <c r="A144" s="544" t="s">
        <v>675</v>
      </c>
      <c r="B144" s="678" t="s">
        <v>1824</v>
      </c>
      <c r="C144" s="505"/>
      <c r="D144" s="506"/>
      <c r="E144" s="506">
        <v>0</v>
      </c>
      <c r="F144" s="506">
        <v>0</v>
      </c>
      <c r="G144" s="506">
        <v>0</v>
      </c>
      <c r="H144" s="506">
        <v>11142630</v>
      </c>
      <c r="I144" s="506">
        <v>216710</v>
      </c>
      <c r="J144" s="506">
        <v>0</v>
      </c>
      <c r="K144" s="506">
        <v>0</v>
      </c>
      <c r="L144" s="506">
        <v>0</v>
      </c>
      <c r="M144" s="506">
        <v>0</v>
      </c>
      <c r="N144" s="506">
        <v>0</v>
      </c>
      <c r="O144" s="506">
        <v>0</v>
      </c>
      <c r="P144" s="1498">
        <f t="shared" si="16"/>
        <v>11359340</v>
      </c>
      <c r="Q144" s="696">
        <f t="shared" si="13"/>
        <v>11359340</v>
      </c>
      <c r="R144" s="1075">
        <v>3522790</v>
      </c>
      <c r="S144" s="1076" t="s">
        <v>251</v>
      </c>
      <c r="T144" s="1076">
        <v>0</v>
      </c>
      <c r="U144" s="1076">
        <v>0</v>
      </c>
      <c r="V144" s="1076">
        <v>0</v>
      </c>
      <c r="W144" s="1076">
        <v>0</v>
      </c>
      <c r="X144" s="1076">
        <v>0</v>
      </c>
      <c r="Y144" s="1076">
        <v>0</v>
      </c>
      <c r="Z144" s="1076"/>
      <c r="AA144" s="1076"/>
      <c r="AB144" s="1076"/>
      <c r="AC144" s="1076"/>
      <c r="AD144" s="1077">
        <f t="shared" si="14"/>
        <v>3522790</v>
      </c>
      <c r="AE144" s="609">
        <f t="shared" si="17"/>
        <v>-0.68987722878265811</v>
      </c>
      <c r="AF144" s="610">
        <f t="shared" si="15"/>
        <v>108</v>
      </c>
    </row>
    <row r="145" spans="1:32" x14ac:dyDescent="0.3">
      <c r="A145" s="544" t="s">
        <v>675</v>
      </c>
      <c r="B145" s="678" t="s">
        <v>1825</v>
      </c>
      <c r="C145" s="505"/>
      <c r="D145" s="506"/>
      <c r="E145" s="506">
        <v>0</v>
      </c>
      <c r="F145" s="506">
        <v>0</v>
      </c>
      <c r="G145" s="506">
        <v>0</v>
      </c>
      <c r="H145" s="506">
        <v>333860</v>
      </c>
      <c r="I145" s="506">
        <v>2263070</v>
      </c>
      <c r="J145" s="506">
        <v>0</v>
      </c>
      <c r="K145" s="506">
        <v>0</v>
      </c>
      <c r="L145" s="506">
        <v>5892130</v>
      </c>
      <c r="M145" s="506">
        <v>2484710</v>
      </c>
      <c r="N145" s="506">
        <v>0</v>
      </c>
      <c r="O145" s="506">
        <v>0</v>
      </c>
      <c r="P145" s="1498">
        <f t="shared" si="16"/>
        <v>2596930</v>
      </c>
      <c r="Q145" s="696">
        <f t="shared" si="13"/>
        <v>10973770</v>
      </c>
      <c r="R145" s="1075" t="s">
        <v>251</v>
      </c>
      <c r="S145" s="1076">
        <v>1688160</v>
      </c>
      <c r="T145" s="1076">
        <v>2134200</v>
      </c>
      <c r="U145" s="1076">
        <v>0</v>
      </c>
      <c r="V145" s="1076">
        <v>0</v>
      </c>
      <c r="W145" s="1076">
        <v>0</v>
      </c>
      <c r="X145" s="1076">
        <v>0</v>
      </c>
      <c r="Y145" s="1076">
        <v>0</v>
      </c>
      <c r="Z145" s="1076"/>
      <c r="AA145" s="1076"/>
      <c r="AB145" s="1076"/>
      <c r="AC145" s="1076"/>
      <c r="AD145" s="1077">
        <f t="shared" si="14"/>
        <v>3822360</v>
      </c>
      <c r="AE145" s="609">
        <f t="shared" si="17"/>
        <v>0.47187640791241964</v>
      </c>
      <c r="AF145" s="610">
        <f t="shared" si="15"/>
        <v>100</v>
      </c>
    </row>
    <row r="146" spans="1:32" x14ac:dyDescent="0.3">
      <c r="A146" s="544" t="s">
        <v>675</v>
      </c>
      <c r="B146" s="678" t="s">
        <v>1826</v>
      </c>
      <c r="C146" s="505"/>
      <c r="D146" s="506"/>
      <c r="E146" s="506">
        <v>0</v>
      </c>
      <c r="F146" s="506">
        <v>0</v>
      </c>
      <c r="G146" s="506">
        <v>0</v>
      </c>
      <c r="H146" s="506">
        <v>6602800</v>
      </c>
      <c r="I146" s="506">
        <v>3198940</v>
      </c>
      <c r="J146" s="506">
        <v>751140</v>
      </c>
      <c r="K146" s="506">
        <v>751140</v>
      </c>
      <c r="L146" s="506">
        <v>0</v>
      </c>
      <c r="M146" s="506">
        <v>0</v>
      </c>
      <c r="N146" s="506">
        <v>0</v>
      </c>
      <c r="O146" s="506">
        <v>0</v>
      </c>
      <c r="P146" s="1498">
        <f t="shared" si="16"/>
        <v>10552880</v>
      </c>
      <c r="Q146" s="696">
        <f t="shared" si="13"/>
        <v>10552880</v>
      </c>
      <c r="R146" s="1075">
        <v>3203950</v>
      </c>
      <c r="S146" s="1076">
        <v>980780</v>
      </c>
      <c r="T146" s="1076">
        <v>5610570</v>
      </c>
      <c r="U146" s="1076">
        <v>294320</v>
      </c>
      <c r="V146" s="1076">
        <v>0</v>
      </c>
      <c r="W146" s="1076">
        <v>0</v>
      </c>
      <c r="X146" s="1076">
        <v>23430700</v>
      </c>
      <c r="Y146" s="1076">
        <v>13702540</v>
      </c>
      <c r="Z146" s="1076"/>
      <c r="AA146" s="1076"/>
      <c r="AB146" s="1076"/>
      <c r="AC146" s="1076"/>
      <c r="AD146" s="1077">
        <f t="shared" si="14"/>
        <v>47222860</v>
      </c>
      <c r="AE146" s="609">
        <f t="shared" si="17"/>
        <v>3.4748788956190158</v>
      </c>
      <c r="AF146" s="610">
        <f t="shared" si="15"/>
        <v>7</v>
      </c>
    </row>
    <row r="147" spans="1:32" x14ac:dyDescent="0.3">
      <c r="A147" s="544" t="s">
        <v>675</v>
      </c>
      <c r="B147" s="678" t="s">
        <v>1403</v>
      </c>
      <c r="C147" s="505"/>
      <c r="D147" s="506"/>
      <c r="E147" s="506">
        <v>0</v>
      </c>
      <c r="F147" s="506">
        <v>0</v>
      </c>
      <c r="G147" s="506">
        <v>0</v>
      </c>
      <c r="H147" s="506">
        <v>2368310</v>
      </c>
      <c r="I147" s="506">
        <v>1815240</v>
      </c>
      <c r="J147" s="506">
        <v>0</v>
      </c>
      <c r="K147" s="506">
        <v>0</v>
      </c>
      <c r="L147" s="506">
        <v>3983490</v>
      </c>
      <c r="M147" s="506">
        <v>0</v>
      </c>
      <c r="N147" s="506">
        <v>0</v>
      </c>
      <c r="O147" s="506">
        <v>247300</v>
      </c>
      <c r="P147" s="1498">
        <f t="shared" si="16"/>
        <v>4183550</v>
      </c>
      <c r="Q147" s="696">
        <f t="shared" si="13"/>
        <v>8414340</v>
      </c>
      <c r="R147" s="1075">
        <v>581820</v>
      </c>
      <c r="S147" s="1076" t="s">
        <v>251</v>
      </c>
      <c r="T147" s="1076">
        <v>3288530</v>
      </c>
      <c r="U147" s="1076">
        <v>558790</v>
      </c>
      <c r="V147" s="1076">
        <v>0</v>
      </c>
      <c r="W147" s="1076">
        <v>0</v>
      </c>
      <c r="X147" s="1076">
        <v>0</v>
      </c>
      <c r="Y147" s="1076">
        <v>0</v>
      </c>
      <c r="Z147" s="1076"/>
      <c r="AA147" s="1076"/>
      <c r="AB147" s="1076"/>
      <c r="AC147" s="1076"/>
      <c r="AD147" s="1077">
        <f t="shared" si="14"/>
        <v>4429140</v>
      </c>
      <c r="AE147" s="609">
        <f t="shared" si="17"/>
        <v>5.8703732476007221E-2</v>
      </c>
      <c r="AF147" s="610">
        <f t="shared" si="15"/>
        <v>88</v>
      </c>
    </row>
    <row r="148" spans="1:32" x14ac:dyDescent="0.3">
      <c r="A148" s="544" t="s">
        <v>675</v>
      </c>
      <c r="B148" s="678" t="s">
        <v>1827</v>
      </c>
      <c r="C148" s="505"/>
      <c r="D148" s="506"/>
      <c r="E148" s="506">
        <v>0</v>
      </c>
      <c r="F148" s="506">
        <v>0</v>
      </c>
      <c r="G148" s="506">
        <v>0</v>
      </c>
      <c r="H148" s="506">
        <v>4335990</v>
      </c>
      <c r="I148" s="506">
        <v>2894970</v>
      </c>
      <c r="J148" s="506">
        <v>0</v>
      </c>
      <c r="K148" s="506">
        <v>0</v>
      </c>
      <c r="L148" s="506">
        <v>0</v>
      </c>
      <c r="M148" s="506">
        <v>0</v>
      </c>
      <c r="N148" s="506">
        <v>0</v>
      </c>
      <c r="O148" s="506">
        <v>0</v>
      </c>
      <c r="P148" s="1498">
        <f t="shared" si="16"/>
        <v>7230960</v>
      </c>
      <c r="Q148" s="696">
        <f t="shared" si="13"/>
        <v>7230960</v>
      </c>
      <c r="R148" s="1075">
        <v>366120</v>
      </c>
      <c r="S148" s="1076" t="s">
        <v>251</v>
      </c>
      <c r="T148" s="1076">
        <v>815110</v>
      </c>
      <c r="U148" s="1076">
        <v>755540</v>
      </c>
      <c r="V148" s="1076">
        <v>0</v>
      </c>
      <c r="W148" s="1076">
        <v>0</v>
      </c>
      <c r="X148" s="1076">
        <v>0</v>
      </c>
      <c r="Y148" s="1076">
        <v>0</v>
      </c>
      <c r="Z148" s="1076"/>
      <c r="AA148" s="1076"/>
      <c r="AB148" s="1076"/>
      <c r="AC148" s="1076"/>
      <c r="AD148" s="1077">
        <f t="shared" si="14"/>
        <v>1936770</v>
      </c>
      <c r="AE148" s="609">
        <f t="shared" si="17"/>
        <v>-0.73215589631252287</v>
      </c>
      <c r="AF148" s="610">
        <f t="shared" si="15"/>
        <v>147</v>
      </c>
    </row>
    <row r="149" spans="1:32" x14ac:dyDescent="0.3">
      <c r="A149" s="544" t="s">
        <v>675</v>
      </c>
      <c r="B149" s="678" t="s">
        <v>1828</v>
      </c>
      <c r="C149" s="505"/>
      <c r="D149" s="506"/>
      <c r="E149" s="506">
        <v>0</v>
      </c>
      <c r="F149" s="506">
        <v>0</v>
      </c>
      <c r="G149" s="506">
        <v>0</v>
      </c>
      <c r="H149" s="506">
        <v>96080</v>
      </c>
      <c r="I149" s="506">
        <v>6442260</v>
      </c>
      <c r="J149" s="506">
        <v>0</v>
      </c>
      <c r="K149" s="506">
        <v>0</v>
      </c>
      <c r="L149" s="506">
        <v>0</v>
      </c>
      <c r="M149" s="506">
        <v>0</v>
      </c>
      <c r="N149" s="506">
        <v>0</v>
      </c>
      <c r="O149" s="506">
        <v>0</v>
      </c>
      <c r="P149" s="1498">
        <f t="shared" si="16"/>
        <v>6538340</v>
      </c>
      <c r="Q149" s="696">
        <f t="shared" si="13"/>
        <v>6538340</v>
      </c>
      <c r="R149" s="1075" t="s">
        <v>251</v>
      </c>
      <c r="S149" s="1076" t="s">
        <v>251</v>
      </c>
      <c r="T149" s="1076"/>
      <c r="U149" s="1076"/>
      <c r="V149" s="1076"/>
      <c r="W149" s="1076"/>
      <c r="X149" s="1076"/>
      <c r="Y149" s="1076"/>
      <c r="Z149" s="1076"/>
      <c r="AA149" s="1076"/>
      <c r="AB149" s="1076"/>
      <c r="AC149" s="1076"/>
      <c r="AD149" s="1077">
        <f t="shared" si="14"/>
        <v>0</v>
      </c>
      <c r="AE149" s="609">
        <f t="shared" si="17"/>
        <v>-1</v>
      </c>
      <c r="AF149" s="610">
        <f t="shared" si="15"/>
        <v>394</v>
      </c>
    </row>
    <row r="150" spans="1:32" x14ac:dyDescent="0.3">
      <c r="A150" s="544" t="s">
        <v>675</v>
      </c>
      <c r="B150" s="678" t="s">
        <v>1829</v>
      </c>
      <c r="C150" s="505"/>
      <c r="D150" s="506"/>
      <c r="E150" s="506">
        <v>0</v>
      </c>
      <c r="F150" s="506">
        <v>0</v>
      </c>
      <c r="G150" s="506">
        <v>0</v>
      </c>
      <c r="H150" s="506">
        <v>2384800</v>
      </c>
      <c r="I150" s="506">
        <v>2447970</v>
      </c>
      <c r="J150" s="506">
        <v>23260</v>
      </c>
      <c r="K150" s="506">
        <v>23260</v>
      </c>
      <c r="L150" s="506">
        <v>0</v>
      </c>
      <c r="M150" s="506">
        <v>1399110</v>
      </c>
      <c r="N150" s="506">
        <v>0</v>
      </c>
      <c r="O150" s="506">
        <v>30710</v>
      </c>
      <c r="P150" s="1498">
        <f t="shared" si="16"/>
        <v>4856030</v>
      </c>
      <c r="Q150" s="696">
        <f t="shared" si="13"/>
        <v>6285850</v>
      </c>
      <c r="R150" s="1075">
        <v>572000</v>
      </c>
      <c r="S150" s="1076" t="s">
        <v>251</v>
      </c>
      <c r="T150" s="1076">
        <v>0</v>
      </c>
      <c r="U150" s="1076">
        <v>0</v>
      </c>
      <c r="V150" s="1076">
        <v>0</v>
      </c>
      <c r="W150" s="1076">
        <v>0</v>
      </c>
      <c r="X150" s="1076">
        <v>0</v>
      </c>
      <c r="Y150" s="1076">
        <v>0</v>
      </c>
      <c r="Z150" s="1076"/>
      <c r="AA150" s="1076"/>
      <c r="AB150" s="1076"/>
      <c r="AC150" s="1076"/>
      <c r="AD150" s="1077">
        <f t="shared" si="14"/>
        <v>572000</v>
      </c>
      <c r="AE150" s="609">
        <f t="shared" si="17"/>
        <v>-0.88220830596186595</v>
      </c>
      <c r="AF150" s="610">
        <f t="shared" si="15"/>
        <v>248</v>
      </c>
    </row>
    <row r="151" spans="1:32" x14ac:dyDescent="0.3">
      <c r="A151" s="544" t="s">
        <v>675</v>
      </c>
      <c r="B151" s="678" t="s">
        <v>1830</v>
      </c>
      <c r="C151" s="505"/>
      <c r="D151" s="506"/>
      <c r="E151" s="506">
        <v>0</v>
      </c>
      <c r="F151" s="506">
        <v>0</v>
      </c>
      <c r="G151" s="506">
        <v>0</v>
      </c>
      <c r="H151" s="506">
        <v>419740</v>
      </c>
      <c r="I151" s="506">
        <v>466150</v>
      </c>
      <c r="J151" s="506">
        <v>0</v>
      </c>
      <c r="K151" s="506">
        <v>0</v>
      </c>
      <c r="L151" s="506">
        <v>0</v>
      </c>
      <c r="M151" s="506">
        <v>0</v>
      </c>
      <c r="N151" s="506">
        <v>4252900</v>
      </c>
      <c r="O151" s="506">
        <v>2072020</v>
      </c>
      <c r="P151" s="1498">
        <f t="shared" si="16"/>
        <v>885890</v>
      </c>
      <c r="Q151" s="696">
        <f t="shared" si="13"/>
        <v>7210810</v>
      </c>
      <c r="R151" s="1075">
        <v>978440</v>
      </c>
      <c r="S151" s="1076">
        <v>977440</v>
      </c>
      <c r="T151" s="1076">
        <v>1381510</v>
      </c>
      <c r="U151" s="1076">
        <v>297740</v>
      </c>
      <c r="V151" s="1076">
        <v>0</v>
      </c>
      <c r="W151" s="1076">
        <v>0</v>
      </c>
      <c r="X151" s="1076">
        <v>0</v>
      </c>
      <c r="Y151" s="1076">
        <v>0</v>
      </c>
      <c r="Z151" s="1076"/>
      <c r="AA151" s="1076"/>
      <c r="AB151" s="1076"/>
      <c r="AC151" s="1076"/>
      <c r="AD151" s="1077">
        <f t="shared" si="14"/>
        <v>3635130</v>
      </c>
      <c r="AE151" s="609">
        <f t="shared" si="17"/>
        <v>3.1033649775931549</v>
      </c>
      <c r="AF151" s="610">
        <f t="shared" si="15"/>
        <v>104</v>
      </c>
    </row>
    <row r="152" spans="1:32" x14ac:dyDescent="0.3">
      <c r="A152" s="544" t="s">
        <v>675</v>
      </c>
      <c r="B152" s="678" t="s">
        <v>1831</v>
      </c>
      <c r="C152" s="505"/>
      <c r="D152" s="506"/>
      <c r="E152" s="506">
        <v>0</v>
      </c>
      <c r="F152" s="506">
        <v>0</v>
      </c>
      <c r="G152" s="506">
        <v>0</v>
      </c>
      <c r="H152" s="506">
        <v>4990010</v>
      </c>
      <c r="I152" s="506">
        <v>0</v>
      </c>
      <c r="J152" s="506">
        <v>0</v>
      </c>
      <c r="K152" s="506">
        <v>0</v>
      </c>
      <c r="L152" s="506">
        <v>0</v>
      </c>
      <c r="M152" s="506">
        <v>0</v>
      </c>
      <c r="N152" s="506">
        <v>0</v>
      </c>
      <c r="O152" s="506">
        <v>0</v>
      </c>
      <c r="P152" s="1498">
        <f t="shared" si="16"/>
        <v>4990010</v>
      </c>
      <c r="Q152" s="696">
        <f t="shared" si="13"/>
        <v>4990010</v>
      </c>
      <c r="R152" s="1075" t="s">
        <v>251</v>
      </c>
      <c r="S152" s="1076" t="s">
        <v>251</v>
      </c>
      <c r="T152" s="1076"/>
      <c r="U152" s="1076"/>
      <c r="V152" s="1076"/>
      <c r="W152" s="1076"/>
      <c r="X152" s="1076"/>
      <c r="Y152" s="1076"/>
      <c r="Z152" s="1076"/>
      <c r="AA152" s="1076"/>
      <c r="AB152" s="1076"/>
      <c r="AC152" s="1076"/>
      <c r="AD152" s="1077">
        <f t="shared" si="14"/>
        <v>0</v>
      </c>
      <c r="AE152" s="609">
        <f t="shared" si="17"/>
        <v>-1</v>
      </c>
      <c r="AF152" s="610">
        <f t="shared" si="15"/>
        <v>394</v>
      </c>
    </row>
    <row r="153" spans="1:32" x14ac:dyDescent="0.3">
      <c r="A153" s="544" t="s">
        <v>675</v>
      </c>
      <c r="B153" s="678" t="s">
        <v>1832</v>
      </c>
      <c r="C153" s="505"/>
      <c r="D153" s="506"/>
      <c r="E153" s="506">
        <v>0</v>
      </c>
      <c r="F153" s="506">
        <v>0</v>
      </c>
      <c r="G153" s="506">
        <v>0</v>
      </c>
      <c r="H153" s="506">
        <v>1132960</v>
      </c>
      <c r="I153" s="506">
        <v>365960</v>
      </c>
      <c r="J153" s="506">
        <v>0</v>
      </c>
      <c r="K153" s="506">
        <v>0</v>
      </c>
      <c r="L153" s="506">
        <v>0</v>
      </c>
      <c r="M153" s="506">
        <v>1826270</v>
      </c>
      <c r="N153" s="506">
        <v>1310760</v>
      </c>
      <c r="O153" s="506">
        <v>0</v>
      </c>
      <c r="P153" s="1498">
        <f t="shared" si="16"/>
        <v>1498920</v>
      </c>
      <c r="Q153" s="696">
        <f t="shared" si="13"/>
        <v>4635950</v>
      </c>
      <c r="R153" s="1075" t="s">
        <v>251</v>
      </c>
      <c r="S153" s="1076" t="s">
        <v>251</v>
      </c>
      <c r="T153" s="1076">
        <v>220080</v>
      </c>
      <c r="U153" s="1076">
        <v>3113390</v>
      </c>
      <c r="V153" s="1076">
        <v>22100</v>
      </c>
      <c r="W153" s="1076">
        <v>0</v>
      </c>
      <c r="X153" s="1076">
        <v>0</v>
      </c>
      <c r="Y153" s="1076">
        <v>0</v>
      </c>
      <c r="Z153" s="1076"/>
      <c r="AA153" s="1076"/>
      <c r="AB153" s="1076"/>
      <c r="AC153" s="1076"/>
      <c r="AD153" s="1077">
        <f t="shared" si="14"/>
        <v>3355570</v>
      </c>
      <c r="AE153" s="609">
        <f t="shared" si="17"/>
        <v>1.2386585007872335</v>
      </c>
      <c r="AF153" s="610">
        <f t="shared" si="15"/>
        <v>113</v>
      </c>
    </row>
    <row r="154" spans="1:32" x14ac:dyDescent="0.3">
      <c r="A154" s="544" t="s">
        <v>675</v>
      </c>
      <c r="B154" s="678" t="s">
        <v>1833</v>
      </c>
      <c r="C154" s="505"/>
      <c r="D154" s="506"/>
      <c r="E154" s="506">
        <v>0</v>
      </c>
      <c r="F154" s="506">
        <v>0</v>
      </c>
      <c r="G154" s="506">
        <v>0</v>
      </c>
      <c r="H154" s="506">
        <v>1744420</v>
      </c>
      <c r="I154" s="506">
        <v>0</v>
      </c>
      <c r="J154" s="506">
        <v>0</v>
      </c>
      <c r="K154" s="506">
        <v>0</v>
      </c>
      <c r="L154" s="506">
        <v>0</v>
      </c>
      <c r="M154" s="506">
        <v>0</v>
      </c>
      <c r="N154" s="506">
        <v>2424040</v>
      </c>
      <c r="O154" s="506">
        <v>0</v>
      </c>
      <c r="P154" s="1498">
        <f t="shared" si="16"/>
        <v>1744420</v>
      </c>
      <c r="Q154" s="696">
        <f t="shared" ref="Q154:Q175" si="18">SUM(C154:J154,L154:O154)</f>
        <v>4168460</v>
      </c>
      <c r="R154" s="1075" t="s">
        <v>251</v>
      </c>
      <c r="S154" s="1076" t="s">
        <v>251</v>
      </c>
      <c r="T154" s="1076"/>
      <c r="U154" s="1076"/>
      <c r="V154" s="1076"/>
      <c r="W154" s="1076"/>
      <c r="X154" s="1076"/>
      <c r="Y154" s="1076"/>
      <c r="Z154" s="1076"/>
      <c r="AA154" s="1076"/>
      <c r="AB154" s="1076"/>
      <c r="AC154" s="1076"/>
      <c r="AD154" s="1077">
        <f t="shared" si="14"/>
        <v>0</v>
      </c>
      <c r="AE154" s="609">
        <f t="shared" si="17"/>
        <v>-1</v>
      </c>
      <c r="AF154" s="610">
        <f t="shared" si="15"/>
        <v>394</v>
      </c>
    </row>
    <row r="155" spans="1:32" x14ac:dyDescent="0.3">
      <c r="A155" s="544" t="s">
        <v>675</v>
      </c>
      <c r="B155" s="678" t="s">
        <v>1834</v>
      </c>
      <c r="C155" s="505"/>
      <c r="D155" s="506"/>
      <c r="E155" s="506">
        <v>0</v>
      </c>
      <c r="F155" s="506">
        <v>0</v>
      </c>
      <c r="G155" s="506">
        <v>0</v>
      </c>
      <c r="H155" s="506">
        <v>421500</v>
      </c>
      <c r="I155" s="506">
        <v>2605740</v>
      </c>
      <c r="J155" s="506">
        <v>0</v>
      </c>
      <c r="K155" s="506">
        <v>0</v>
      </c>
      <c r="L155" s="506">
        <v>0</v>
      </c>
      <c r="M155" s="506">
        <v>0</v>
      </c>
      <c r="N155" s="506">
        <v>0</v>
      </c>
      <c r="O155" s="506">
        <v>0</v>
      </c>
      <c r="P155" s="1498">
        <f t="shared" si="16"/>
        <v>3027240</v>
      </c>
      <c r="Q155" s="696">
        <f t="shared" si="18"/>
        <v>3027240</v>
      </c>
      <c r="R155" s="1075" t="s">
        <v>251</v>
      </c>
      <c r="S155" s="1076" t="s">
        <v>251</v>
      </c>
      <c r="T155" s="1076">
        <v>355160</v>
      </c>
      <c r="U155" s="1076">
        <v>843900</v>
      </c>
      <c r="V155" s="1076">
        <v>359780</v>
      </c>
      <c r="W155" s="1076">
        <v>0</v>
      </c>
      <c r="X155" s="1076">
        <v>662840</v>
      </c>
      <c r="Y155" s="1076">
        <v>0</v>
      </c>
      <c r="Z155" s="1076"/>
      <c r="AA155" s="1076"/>
      <c r="AB155" s="1076"/>
      <c r="AC155" s="1076"/>
      <c r="AD155" s="1077">
        <f t="shared" si="14"/>
        <v>2221680</v>
      </c>
      <c r="AE155" s="609">
        <f t="shared" si="17"/>
        <v>-0.26610377769849763</v>
      </c>
      <c r="AF155" s="610">
        <f t="shared" ref="AF155:AF177" si="19">IFERROR(_xlfn.RANK.EQ(AD155, $AD$2:$AD$677), "")</f>
        <v>137</v>
      </c>
    </row>
    <row r="156" spans="1:32" x14ac:dyDescent="0.3">
      <c r="A156" s="544" t="s">
        <v>675</v>
      </c>
      <c r="B156" s="678" t="s">
        <v>1835</v>
      </c>
      <c r="C156" s="505"/>
      <c r="D156" s="506"/>
      <c r="E156" s="506">
        <v>0</v>
      </c>
      <c r="F156" s="506">
        <v>0</v>
      </c>
      <c r="G156" s="506">
        <v>0</v>
      </c>
      <c r="H156" s="506">
        <v>3015560</v>
      </c>
      <c r="I156" s="506">
        <v>0</v>
      </c>
      <c r="J156" s="506">
        <v>0</v>
      </c>
      <c r="K156" s="506">
        <v>0</v>
      </c>
      <c r="L156" s="506">
        <v>0</v>
      </c>
      <c r="M156" s="506">
        <v>0</v>
      </c>
      <c r="N156" s="506">
        <v>0</v>
      </c>
      <c r="O156" s="506">
        <v>0</v>
      </c>
      <c r="P156" s="1498">
        <f t="shared" si="16"/>
        <v>3015560</v>
      </c>
      <c r="Q156" s="696">
        <f t="shared" si="18"/>
        <v>3015560</v>
      </c>
      <c r="R156" s="1075" t="s">
        <v>251</v>
      </c>
      <c r="S156" s="1076" t="s">
        <v>251</v>
      </c>
      <c r="T156" s="1076"/>
      <c r="U156" s="1076"/>
      <c r="V156" s="1076"/>
      <c r="W156" s="1076"/>
      <c r="X156" s="1076"/>
      <c r="Y156" s="1076"/>
      <c r="Z156" s="1076"/>
      <c r="AA156" s="1076"/>
      <c r="AB156" s="1076"/>
      <c r="AC156" s="1076"/>
      <c r="AD156" s="1077">
        <f t="shared" si="14"/>
        <v>0</v>
      </c>
      <c r="AE156" s="609">
        <f t="shared" si="17"/>
        <v>-1</v>
      </c>
      <c r="AF156" s="610">
        <f t="shared" si="19"/>
        <v>394</v>
      </c>
    </row>
    <row r="157" spans="1:32" x14ac:dyDescent="0.3">
      <c r="A157" s="544" t="s">
        <v>675</v>
      </c>
      <c r="B157" s="678" t="s">
        <v>1836</v>
      </c>
      <c r="C157" s="505"/>
      <c r="D157" s="506"/>
      <c r="E157" s="506">
        <v>0</v>
      </c>
      <c r="F157" s="506">
        <v>0</v>
      </c>
      <c r="G157" s="506">
        <v>0</v>
      </c>
      <c r="H157" s="506">
        <v>635000</v>
      </c>
      <c r="I157" s="506">
        <v>2209230</v>
      </c>
      <c r="J157" s="506">
        <v>0</v>
      </c>
      <c r="K157" s="506">
        <v>0</v>
      </c>
      <c r="L157" s="506">
        <v>0</v>
      </c>
      <c r="M157" s="506">
        <v>0</v>
      </c>
      <c r="N157" s="506">
        <v>0</v>
      </c>
      <c r="O157" s="506">
        <v>0</v>
      </c>
      <c r="P157" s="1498">
        <f t="shared" si="16"/>
        <v>2844230</v>
      </c>
      <c r="Q157" s="696">
        <f t="shared" si="18"/>
        <v>2844230</v>
      </c>
      <c r="R157" s="1075" t="s">
        <v>251</v>
      </c>
      <c r="S157" s="1076" t="s">
        <v>251</v>
      </c>
      <c r="T157" s="1076"/>
      <c r="U157" s="1076"/>
      <c r="V157" s="1076"/>
      <c r="W157" s="1076"/>
      <c r="X157" s="1076"/>
      <c r="Y157" s="1076"/>
      <c r="Z157" s="1076"/>
      <c r="AA157" s="1076"/>
      <c r="AB157" s="1076"/>
      <c r="AC157" s="1076"/>
      <c r="AD157" s="1077">
        <f t="shared" si="14"/>
        <v>0</v>
      </c>
      <c r="AE157" s="609">
        <f t="shared" si="17"/>
        <v>-1</v>
      </c>
      <c r="AF157" s="610">
        <f t="shared" si="19"/>
        <v>394</v>
      </c>
    </row>
    <row r="158" spans="1:32" x14ac:dyDescent="0.3">
      <c r="A158" s="544" t="s">
        <v>675</v>
      </c>
      <c r="B158" s="678" t="s">
        <v>1837</v>
      </c>
      <c r="C158" s="505"/>
      <c r="D158" s="506"/>
      <c r="E158" s="506">
        <v>0</v>
      </c>
      <c r="F158" s="506">
        <v>0</v>
      </c>
      <c r="G158" s="506">
        <v>0</v>
      </c>
      <c r="H158" s="506">
        <v>1082150</v>
      </c>
      <c r="I158" s="506">
        <v>0</v>
      </c>
      <c r="J158" s="506">
        <v>1619540</v>
      </c>
      <c r="K158" s="506">
        <v>1619540</v>
      </c>
      <c r="L158" s="506">
        <v>0</v>
      </c>
      <c r="M158" s="506">
        <v>0</v>
      </c>
      <c r="N158" s="506">
        <v>0</v>
      </c>
      <c r="O158" s="506">
        <v>668340</v>
      </c>
      <c r="P158" s="1498">
        <f t="shared" si="16"/>
        <v>2701690</v>
      </c>
      <c r="Q158" s="696">
        <f t="shared" si="18"/>
        <v>3370030</v>
      </c>
      <c r="R158" s="1075">
        <v>1213520</v>
      </c>
      <c r="S158" s="1076" t="s">
        <v>251</v>
      </c>
      <c r="T158" s="1076">
        <v>0</v>
      </c>
      <c r="U158" s="1076">
        <v>0</v>
      </c>
      <c r="V158" s="1076">
        <v>0</v>
      </c>
      <c r="W158" s="1076">
        <v>0</v>
      </c>
      <c r="X158" s="1076">
        <v>0</v>
      </c>
      <c r="Y158" s="1076">
        <v>321350</v>
      </c>
      <c r="Z158" s="1076"/>
      <c r="AA158" s="1076"/>
      <c r="AB158" s="1076"/>
      <c r="AC158" s="1076"/>
      <c r="AD158" s="1077">
        <f t="shared" si="14"/>
        <v>1534870</v>
      </c>
      <c r="AE158" s="609">
        <f t="shared" si="17"/>
        <v>-0.43188522739470481</v>
      </c>
      <c r="AF158" s="610">
        <f t="shared" si="19"/>
        <v>165</v>
      </c>
    </row>
    <row r="159" spans="1:32" x14ac:dyDescent="0.3">
      <c r="A159" s="544" t="s">
        <v>675</v>
      </c>
      <c r="B159" s="678" t="s">
        <v>1838</v>
      </c>
      <c r="C159" s="505"/>
      <c r="D159" s="506"/>
      <c r="E159" s="506">
        <v>0</v>
      </c>
      <c r="F159" s="506">
        <v>0</v>
      </c>
      <c r="G159" s="506">
        <v>0</v>
      </c>
      <c r="H159" s="506">
        <v>362710</v>
      </c>
      <c r="I159" s="506">
        <v>0</v>
      </c>
      <c r="J159" s="506">
        <v>0</v>
      </c>
      <c r="K159" s="506">
        <v>0</v>
      </c>
      <c r="L159" s="506">
        <v>0</v>
      </c>
      <c r="M159" s="506">
        <v>2166960</v>
      </c>
      <c r="N159" s="506">
        <v>0</v>
      </c>
      <c r="O159" s="506">
        <v>0</v>
      </c>
      <c r="P159" s="1498">
        <f t="shared" si="16"/>
        <v>362710</v>
      </c>
      <c r="Q159" s="696">
        <f t="shared" si="18"/>
        <v>2529670</v>
      </c>
      <c r="R159" s="1075" t="s">
        <v>251</v>
      </c>
      <c r="S159" s="1076" t="s">
        <v>251</v>
      </c>
      <c r="T159" s="1076"/>
      <c r="U159" s="1076"/>
      <c r="V159" s="1076"/>
      <c r="W159" s="1076"/>
      <c r="X159" s="1076"/>
      <c r="Y159" s="1076"/>
      <c r="Z159" s="1076"/>
      <c r="AA159" s="1076"/>
      <c r="AB159" s="1076"/>
      <c r="AC159" s="1076"/>
      <c r="AD159" s="1077">
        <f t="shared" ref="AD159:AD166" si="20">SUM(R159:AC159)</f>
        <v>0</v>
      </c>
      <c r="AE159" s="609">
        <f t="shared" si="17"/>
        <v>-1</v>
      </c>
      <c r="AF159" s="610">
        <f t="shared" si="19"/>
        <v>394</v>
      </c>
    </row>
    <row r="160" spans="1:32" x14ac:dyDescent="0.3">
      <c r="A160" s="544" t="s">
        <v>675</v>
      </c>
      <c r="B160" s="678" t="s">
        <v>354</v>
      </c>
      <c r="C160" s="505"/>
      <c r="D160" s="506"/>
      <c r="E160" s="506">
        <v>0</v>
      </c>
      <c r="F160" s="506">
        <v>0</v>
      </c>
      <c r="G160" s="506">
        <v>0</v>
      </c>
      <c r="H160" s="506">
        <v>1476870</v>
      </c>
      <c r="I160" s="506">
        <v>0</v>
      </c>
      <c r="J160" s="506">
        <v>0</v>
      </c>
      <c r="K160" s="506">
        <v>0</v>
      </c>
      <c r="L160" s="506">
        <v>0</v>
      </c>
      <c r="M160" s="506">
        <v>0</v>
      </c>
      <c r="N160" s="506">
        <v>0</v>
      </c>
      <c r="O160" s="506">
        <v>0</v>
      </c>
      <c r="P160" s="1498">
        <f t="shared" si="16"/>
        <v>1476870</v>
      </c>
      <c r="Q160" s="696">
        <f t="shared" si="18"/>
        <v>1476870</v>
      </c>
      <c r="R160" s="1075" t="s">
        <v>251</v>
      </c>
      <c r="S160" s="1076" t="s">
        <v>251</v>
      </c>
      <c r="T160" s="1076">
        <v>554290</v>
      </c>
      <c r="U160" s="1076">
        <v>919280</v>
      </c>
      <c r="V160" s="1076">
        <v>2919640</v>
      </c>
      <c r="W160" s="1076">
        <v>3027930</v>
      </c>
      <c r="X160" s="1076">
        <v>338780</v>
      </c>
      <c r="Y160" s="1076">
        <v>0</v>
      </c>
      <c r="Z160" s="1076"/>
      <c r="AA160" s="1076"/>
      <c r="AB160" s="1076"/>
      <c r="AC160" s="1076"/>
      <c r="AD160" s="1077">
        <f t="shared" si="20"/>
        <v>7759920</v>
      </c>
      <c r="AE160" s="609">
        <f t="shared" si="17"/>
        <v>4.2543013264539198</v>
      </c>
      <c r="AF160" s="610">
        <f t="shared" si="19"/>
        <v>60</v>
      </c>
    </row>
    <row r="161" spans="1:32" x14ac:dyDescent="0.3">
      <c r="A161" s="544" t="s">
        <v>675</v>
      </c>
      <c r="B161" s="678" t="s">
        <v>1841</v>
      </c>
      <c r="C161" s="505"/>
      <c r="D161" s="506"/>
      <c r="E161" s="506">
        <v>0</v>
      </c>
      <c r="F161" s="506">
        <v>0</v>
      </c>
      <c r="G161" s="506">
        <v>0</v>
      </c>
      <c r="H161" s="506">
        <v>574860</v>
      </c>
      <c r="I161" s="506">
        <v>677780</v>
      </c>
      <c r="J161" s="506">
        <v>0</v>
      </c>
      <c r="K161" s="506">
        <v>0</v>
      </c>
      <c r="L161" s="506">
        <v>0</v>
      </c>
      <c r="M161" s="506">
        <v>0</v>
      </c>
      <c r="N161" s="506">
        <v>0</v>
      </c>
      <c r="O161" s="506">
        <v>0</v>
      </c>
      <c r="P161" s="1498">
        <f t="shared" si="16"/>
        <v>1252640</v>
      </c>
      <c r="Q161" s="696">
        <f t="shared" si="18"/>
        <v>1252640</v>
      </c>
      <c r="R161" s="1075" t="s">
        <v>251</v>
      </c>
      <c r="S161" s="1076" t="s">
        <v>251</v>
      </c>
      <c r="T161" s="1076">
        <v>7094470</v>
      </c>
      <c r="U161" s="1076">
        <v>964650</v>
      </c>
      <c r="V161" s="1076">
        <v>0</v>
      </c>
      <c r="W161" s="1076">
        <v>0</v>
      </c>
      <c r="X161" s="1076">
        <v>0</v>
      </c>
      <c r="Y161" s="1076">
        <v>0</v>
      </c>
      <c r="Z161" s="1076"/>
      <c r="AA161" s="1076"/>
      <c r="AB161" s="1076"/>
      <c r="AC161" s="1076"/>
      <c r="AD161" s="1077">
        <f t="shared" si="20"/>
        <v>8059120</v>
      </c>
      <c r="AE161" s="609">
        <f t="shared" si="17"/>
        <v>5.433708008685656</v>
      </c>
      <c r="AF161" s="610">
        <f t="shared" si="19"/>
        <v>55</v>
      </c>
    </row>
    <row r="162" spans="1:32" x14ac:dyDescent="0.3">
      <c r="A162" s="544" t="s">
        <v>675</v>
      </c>
      <c r="B162" s="678" t="s">
        <v>1843</v>
      </c>
      <c r="C162" s="505"/>
      <c r="D162" s="506"/>
      <c r="E162" s="506">
        <v>0</v>
      </c>
      <c r="F162" s="506">
        <v>0</v>
      </c>
      <c r="G162" s="506">
        <v>0</v>
      </c>
      <c r="H162" s="506">
        <v>423690</v>
      </c>
      <c r="I162" s="506">
        <v>509400</v>
      </c>
      <c r="J162" s="506">
        <v>0</v>
      </c>
      <c r="K162" s="506">
        <v>0</v>
      </c>
      <c r="L162" s="506">
        <v>0</v>
      </c>
      <c r="M162" s="506">
        <v>0</v>
      </c>
      <c r="N162" s="506">
        <v>0</v>
      </c>
      <c r="O162" s="506">
        <v>0</v>
      </c>
      <c r="P162" s="1498">
        <f t="shared" si="16"/>
        <v>933090</v>
      </c>
      <c r="Q162" s="696">
        <f t="shared" si="18"/>
        <v>933090</v>
      </c>
      <c r="R162" s="1075" t="s">
        <v>251</v>
      </c>
      <c r="S162" s="1076" t="s">
        <v>251</v>
      </c>
      <c r="T162" s="1076"/>
      <c r="U162" s="1076"/>
      <c r="V162" s="1076"/>
      <c r="W162" s="1076"/>
      <c r="X162" s="1076"/>
      <c r="Y162" s="1076"/>
      <c r="Z162" s="1076"/>
      <c r="AA162" s="1076"/>
      <c r="AB162" s="1076"/>
      <c r="AC162" s="1076"/>
      <c r="AD162" s="1077">
        <f t="shared" si="20"/>
        <v>0</v>
      </c>
      <c r="AE162" s="609">
        <f t="shared" si="17"/>
        <v>-1</v>
      </c>
      <c r="AF162" s="610">
        <f t="shared" si="19"/>
        <v>394</v>
      </c>
    </row>
    <row r="163" spans="1:32" x14ac:dyDescent="0.3">
      <c r="A163" s="544" t="s">
        <v>675</v>
      </c>
      <c r="B163" s="678" t="s">
        <v>1844</v>
      </c>
      <c r="C163" s="505"/>
      <c r="D163" s="506"/>
      <c r="E163" s="506">
        <v>0</v>
      </c>
      <c r="F163" s="506">
        <v>0</v>
      </c>
      <c r="G163" s="506">
        <v>0</v>
      </c>
      <c r="H163" s="506">
        <v>174820</v>
      </c>
      <c r="I163" s="506">
        <v>0</v>
      </c>
      <c r="J163" s="506">
        <v>0</v>
      </c>
      <c r="K163" s="506">
        <v>0</v>
      </c>
      <c r="L163" s="506">
        <v>0</v>
      </c>
      <c r="M163" s="506">
        <v>0</v>
      </c>
      <c r="N163" s="506">
        <v>596220</v>
      </c>
      <c r="O163" s="506">
        <v>0</v>
      </c>
      <c r="P163" s="1498">
        <f t="shared" si="16"/>
        <v>174820</v>
      </c>
      <c r="Q163" s="696">
        <f t="shared" si="18"/>
        <v>771040</v>
      </c>
      <c r="R163" s="1075" t="s">
        <v>251</v>
      </c>
      <c r="S163" s="1076" t="s">
        <v>251</v>
      </c>
      <c r="T163" s="1076"/>
      <c r="U163" s="1076"/>
      <c r="V163" s="1076"/>
      <c r="W163" s="1076"/>
      <c r="X163" s="1076"/>
      <c r="Y163" s="1076"/>
      <c r="Z163" s="1076"/>
      <c r="AA163" s="1076"/>
      <c r="AB163" s="1076"/>
      <c r="AC163" s="1076"/>
      <c r="AD163" s="1077">
        <f t="shared" si="20"/>
        <v>0</v>
      </c>
      <c r="AE163" s="609">
        <f t="shared" si="17"/>
        <v>-1</v>
      </c>
      <c r="AF163" s="610">
        <f t="shared" si="19"/>
        <v>394</v>
      </c>
    </row>
    <row r="164" spans="1:32" x14ac:dyDescent="0.3">
      <c r="A164" s="544" t="s">
        <v>675</v>
      </c>
      <c r="B164" s="678" t="s">
        <v>1848</v>
      </c>
      <c r="C164" s="505"/>
      <c r="D164" s="506"/>
      <c r="E164" s="506">
        <v>0</v>
      </c>
      <c r="F164" s="506">
        <v>0</v>
      </c>
      <c r="G164" s="506">
        <v>0</v>
      </c>
      <c r="H164" s="506">
        <v>368860</v>
      </c>
      <c r="I164" s="506">
        <v>0</v>
      </c>
      <c r="J164" s="506">
        <v>0</v>
      </c>
      <c r="K164" s="506">
        <v>0</v>
      </c>
      <c r="L164" s="506">
        <v>0</v>
      </c>
      <c r="M164" s="506">
        <v>0</v>
      </c>
      <c r="N164" s="506">
        <v>0</v>
      </c>
      <c r="O164" s="506">
        <v>0</v>
      </c>
      <c r="P164" s="1498">
        <f t="shared" si="16"/>
        <v>368860</v>
      </c>
      <c r="Q164" s="696">
        <f t="shared" si="18"/>
        <v>368860</v>
      </c>
      <c r="R164" s="1075" t="s">
        <v>251</v>
      </c>
      <c r="S164" s="1076" t="s">
        <v>251</v>
      </c>
      <c r="T164" s="1076"/>
      <c r="U164" s="1076">
        <v>652930</v>
      </c>
      <c r="V164" s="1076">
        <v>294520</v>
      </c>
      <c r="W164" s="1076">
        <v>0</v>
      </c>
      <c r="X164" s="1076">
        <v>339660</v>
      </c>
      <c r="Y164" s="1076">
        <v>165410</v>
      </c>
      <c r="Z164" s="1076"/>
      <c r="AA164" s="1076"/>
      <c r="AB164" s="1076"/>
      <c r="AC164" s="1076"/>
      <c r="AD164" s="1077">
        <f t="shared" si="20"/>
        <v>1452520</v>
      </c>
      <c r="AE164" s="609">
        <f t="shared" si="17"/>
        <v>2.9378626036978801</v>
      </c>
      <c r="AF164" s="610">
        <f t="shared" si="19"/>
        <v>173</v>
      </c>
    </row>
    <row r="165" spans="1:32" x14ac:dyDescent="0.3">
      <c r="A165" s="544" t="s">
        <v>675</v>
      </c>
      <c r="B165" s="678" t="s">
        <v>1850</v>
      </c>
      <c r="C165" s="505"/>
      <c r="D165" s="506"/>
      <c r="E165" s="506" t="s">
        <v>251</v>
      </c>
      <c r="F165" s="506" t="s">
        <v>251</v>
      </c>
      <c r="G165" s="506" t="s">
        <v>251</v>
      </c>
      <c r="H165" s="506">
        <v>199530</v>
      </c>
      <c r="I165" s="506" t="s">
        <v>251</v>
      </c>
      <c r="J165" s="506">
        <v>0</v>
      </c>
      <c r="K165" s="506">
        <v>0</v>
      </c>
      <c r="L165" s="506">
        <v>0</v>
      </c>
      <c r="M165" s="506">
        <v>0</v>
      </c>
      <c r="N165" s="506">
        <v>0</v>
      </c>
      <c r="O165" s="506">
        <v>0</v>
      </c>
      <c r="P165" s="1498">
        <f t="shared" si="16"/>
        <v>199530</v>
      </c>
      <c r="Q165" s="696">
        <f t="shared" si="18"/>
        <v>199530</v>
      </c>
      <c r="R165" s="1075" t="s">
        <v>251</v>
      </c>
      <c r="S165" s="1076" t="s">
        <v>251</v>
      </c>
      <c r="T165" s="1076"/>
      <c r="U165" s="1076"/>
      <c r="V165" s="1076">
        <v>725760</v>
      </c>
      <c r="W165" s="1076">
        <v>0</v>
      </c>
      <c r="X165" s="1076">
        <v>0</v>
      </c>
      <c r="Y165" s="1076">
        <v>0</v>
      </c>
      <c r="Z165" s="1076"/>
      <c r="AA165" s="1076"/>
      <c r="AB165" s="1076"/>
      <c r="AC165" s="1076"/>
      <c r="AD165" s="1077">
        <f t="shared" si="20"/>
        <v>725760</v>
      </c>
      <c r="AE165" s="609">
        <f t="shared" si="17"/>
        <v>2.6373477672530448</v>
      </c>
      <c r="AF165" s="610">
        <f t="shared" si="19"/>
        <v>225</v>
      </c>
    </row>
    <row r="166" spans="1:32" x14ac:dyDescent="0.3">
      <c r="A166" s="544" t="s">
        <v>675</v>
      </c>
      <c r="B166" s="678" t="s">
        <v>1851</v>
      </c>
      <c r="C166" s="505"/>
      <c r="D166" s="506"/>
      <c r="E166" s="506">
        <v>0</v>
      </c>
      <c r="F166" s="506">
        <v>0</v>
      </c>
      <c r="G166" s="506">
        <v>0</v>
      </c>
      <c r="H166" s="506">
        <v>135200</v>
      </c>
      <c r="I166" s="506">
        <v>0</v>
      </c>
      <c r="J166" s="506">
        <v>0</v>
      </c>
      <c r="K166" s="506">
        <v>0</v>
      </c>
      <c r="L166" s="506">
        <v>0</v>
      </c>
      <c r="M166" s="506">
        <v>0</v>
      </c>
      <c r="N166" s="506">
        <v>1221580</v>
      </c>
      <c r="O166" s="506">
        <v>665610</v>
      </c>
      <c r="P166" s="1498">
        <f t="shared" si="16"/>
        <v>135200</v>
      </c>
      <c r="Q166" s="696">
        <f t="shared" si="18"/>
        <v>2022390</v>
      </c>
      <c r="R166" s="1075" t="s">
        <v>251</v>
      </c>
      <c r="S166" s="1076">
        <v>271380</v>
      </c>
      <c r="T166" s="1076">
        <v>365630</v>
      </c>
      <c r="U166" s="1076">
        <v>3872400</v>
      </c>
      <c r="V166" s="1076">
        <v>140990</v>
      </c>
      <c r="W166" s="1076">
        <v>0</v>
      </c>
      <c r="X166" s="1076">
        <v>0</v>
      </c>
      <c r="Y166" s="1076">
        <v>14150</v>
      </c>
      <c r="Z166" s="1076"/>
      <c r="AA166" s="1076"/>
      <c r="AB166" s="1076"/>
      <c r="AC166" s="1076"/>
      <c r="AD166" s="1077">
        <f t="shared" si="20"/>
        <v>4664550</v>
      </c>
      <c r="AE166" s="609">
        <f t="shared" si="17"/>
        <v>33.50110946745562</v>
      </c>
      <c r="AF166" s="610">
        <f t="shared" si="19"/>
        <v>87</v>
      </c>
    </row>
    <row r="167" spans="1:32" x14ac:dyDescent="0.3">
      <c r="A167" s="544" t="s">
        <v>675</v>
      </c>
      <c r="B167" s="678" t="s">
        <v>1852</v>
      </c>
      <c r="C167" s="505"/>
      <c r="D167" s="506"/>
      <c r="E167" s="506">
        <v>0</v>
      </c>
      <c r="F167" s="506">
        <v>0</v>
      </c>
      <c r="G167" s="506">
        <v>0</v>
      </c>
      <c r="H167" s="506">
        <v>122940</v>
      </c>
      <c r="I167" s="506">
        <v>0</v>
      </c>
      <c r="J167" s="506">
        <v>0</v>
      </c>
      <c r="K167" s="506">
        <v>0</v>
      </c>
      <c r="L167" s="506">
        <v>0</v>
      </c>
      <c r="M167" s="506">
        <v>0</v>
      </c>
      <c r="N167" s="506">
        <v>0</v>
      </c>
      <c r="O167" s="506">
        <v>0</v>
      </c>
      <c r="P167" s="1498">
        <f t="shared" si="16"/>
        <v>122940</v>
      </c>
      <c r="Q167" s="696">
        <f t="shared" si="18"/>
        <v>122940</v>
      </c>
      <c r="R167" s="1075" t="s">
        <v>251</v>
      </c>
      <c r="S167" s="1076" t="s">
        <v>251</v>
      </c>
      <c r="T167" s="1076"/>
      <c r="U167" s="1076"/>
      <c r="V167" s="1076"/>
      <c r="W167" s="1076"/>
      <c r="X167" s="1076"/>
      <c r="Y167" s="1076"/>
      <c r="Z167" s="1076"/>
      <c r="AA167" s="1076"/>
      <c r="AB167" s="1076"/>
      <c r="AC167" s="1076"/>
      <c r="AD167" s="1077">
        <f>SUM(R167:AC167)</f>
        <v>0</v>
      </c>
      <c r="AE167" s="609">
        <f t="shared" si="17"/>
        <v>-1</v>
      </c>
      <c r="AF167" s="610">
        <f t="shared" si="19"/>
        <v>394</v>
      </c>
    </row>
    <row r="168" spans="1:32" x14ac:dyDescent="0.3">
      <c r="A168" s="544" t="s">
        <v>675</v>
      </c>
      <c r="B168" s="678" t="s">
        <v>622</v>
      </c>
      <c r="C168" s="505"/>
      <c r="D168" s="506"/>
      <c r="E168" s="506">
        <v>0</v>
      </c>
      <c r="F168" s="506">
        <v>0</v>
      </c>
      <c r="G168" s="506">
        <v>0</v>
      </c>
      <c r="H168" s="506">
        <v>0</v>
      </c>
      <c r="I168" s="506">
        <v>62620</v>
      </c>
      <c r="J168" s="506">
        <v>0</v>
      </c>
      <c r="K168" s="506"/>
      <c r="L168" s="506">
        <v>0</v>
      </c>
      <c r="M168" s="506">
        <v>0</v>
      </c>
      <c r="N168" s="506">
        <v>0</v>
      </c>
      <c r="O168" s="506">
        <v>0</v>
      </c>
      <c r="P168" s="1498">
        <f t="shared" si="16"/>
        <v>62620</v>
      </c>
      <c r="Q168" s="696">
        <f t="shared" si="18"/>
        <v>62620</v>
      </c>
      <c r="R168" s="1075" t="s">
        <v>251</v>
      </c>
      <c r="S168" s="1076" t="s">
        <v>251</v>
      </c>
      <c r="T168" s="1076"/>
      <c r="U168" s="1076"/>
      <c r="V168" s="1076"/>
      <c r="W168" s="1076"/>
      <c r="X168" s="1076"/>
      <c r="Y168" s="1076"/>
      <c r="Z168" s="1076"/>
      <c r="AA168" s="1076"/>
      <c r="AB168" s="1076"/>
      <c r="AC168" s="1076"/>
      <c r="AD168" s="1077">
        <f t="shared" ref="AD168:AD231" si="21">SUM(R168:AC168)</f>
        <v>0</v>
      </c>
      <c r="AE168" s="609">
        <f t="shared" si="17"/>
        <v>-1</v>
      </c>
      <c r="AF168" s="610">
        <f t="shared" si="19"/>
        <v>394</v>
      </c>
    </row>
    <row r="169" spans="1:32" x14ac:dyDescent="0.3">
      <c r="A169" s="544" t="s">
        <v>675</v>
      </c>
      <c r="B169" s="678" t="s">
        <v>1855</v>
      </c>
      <c r="C169" s="505"/>
      <c r="D169" s="506"/>
      <c r="E169" s="506">
        <v>0</v>
      </c>
      <c r="F169" s="506">
        <v>0</v>
      </c>
      <c r="G169" s="506">
        <v>0</v>
      </c>
      <c r="H169" s="506">
        <v>0</v>
      </c>
      <c r="I169" s="506">
        <v>41087360</v>
      </c>
      <c r="J169" s="506">
        <v>1796000</v>
      </c>
      <c r="K169" s="506">
        <v>1784380</v>
      </c>
      <c r="L169" s="506">
        <v>133210</v>
      </c>
      <c r="M169" s="506">
        <v>383050</v>
      </c>
      <c r="N169" s="506">
        <v>1929730</v>
      </c>
      <c r="O169" s="506">
        <v>1779150</v>
      </c>
      <c r="P169" s="1498">
        <f t="shared" si="16"/>
        <v>42871740</v>
      </c>
      <c r="Q169" s="696">
        <f t="shared" si="18"/>
        <v>47108500</v>
      </c>
      <c r="R169" s="1075">
        <v>2018750</v>
      </c>
      <c r="S169" s="1076">
        <v>720300</v>
      </c>
      <c r="T169" s="1076">
        <v>1588600</v>
      </c>
      <c r="U169" s="1076">
        <v>181480</v>
      </c>
      <c r="V169" s="1076">
        <v>0</v>
      </c>
      <c r="W169" s="1076">
        <v>0</v>
      </c>
      <c r="X169" s="1076">
        <v>1169460</v>
      </c>
      <c r="Y169" s="1076">
        <v>664710</v>
      </c>
      <c r="Z169" s="1076"/>
      <c r="AA169" s="1076"/>
      <c r="AB169" s="1076"/>
      <c r="AC169" s="1076"/>
      <c r="AD169" s="1077">
        <f t="shared" si="21"/>
        <v>6343300</v>
      </c>
      <c r="AE169" s="609">
        <f t="shared" si="17"/>
        <v>-0.85204006182161018</v>
      </c>
      <c r="AF169" s="610">
        <f t="shared" si="19"/>
        <v>72</v>
      </c>
    </row>
    <row r="170" spans="1:32" x14ac:dyDescent="0.3">
      <c r="A170" s="544" t="s">
        <v>675</v>
      </c>
      <c r="B170" s="678" t="s">
        <v>1856</v>
      </c>
      <c r="C170" s="505"/>
      <c r="D170" s="506"/>
      <c r="E170" s="506">
        <v>0</v>
      </c>
      <c r="F170" s="506">
        <v>0</v>
      </c>
      <c r="G170" s="506">
        <v>0</v>
      </c>
      <c r="H170" s="506">
        <v>0</v>
      </c>
      <c r="I170" s="506">
        <v>23604010</v>
      </c>
      <c r="J170" s="506">
        <v>2552120</v>
      </c>
      <c r="K170" s="506">
        <v>1316210</v>
      </c>
      <c r="L170" s="506">
        <v>1607680</v>
      </c>
      <c r="M170" s="506">
        <v>2595550</v>
      </c>
      <c r="N170" s="506">
        <v>312780</v>
      </c>
      <c r="O170" s="506">
        <v>0</v>
      </c>
      <c r="P170" s="1498">
        <f t="shared" si="16"/>
        <v>24920220</v>
      </c>
      <c r="Q170" s="696">
        <f t="shared" si="18"/>
        <v>30672140</v>
      </c>
      <c r="R170" s="1075">
        <v>3819640</v>
      </c>
      <c r="S170" s="1076">
        <v>1361300</v>
      </c>
      <c r="T170" s="1076">
        <v>0</v>
      </c>
      <c r="U170" s="1076">
        <v>0</v>
      </c>
      <c r="V170" s="1076">
        <v>0</v>
      </c>
      <c r="W170" s="1076">
        <v>0</v>
      </c>
      <c r="X170" s="1076">
        <v>0</v>
      </c>
      <c r="Y170" s="1076">
        <v>0</v>
      </c>
      <c r="Z170" s="1076"/>
      <c r="AA170" s="1076"/>
      <c r="AB170" s="1076"/>
      <c r="AC170" s="1076"/>
      <c r="AD170" s="1077">
        <f t="shared" si="21"/>
        <v>5180940</v>
      </c>
      <c r="AE170" s="609">
        <f t="shared" si="17"/>
        <v>-0.79209894615697618</v>
      </c>
      <c r="AF170" s="610">
        <f t="shared" si="19"/>
        <v>80</v>
      </c>
    </row>
    <row r="171" spans="1:32" x14ac:dyDescent="0.3">
      <c r="A171" s="544" t="s">
        <v>675</v>
      </c>
      <c r="B171" s="678" t="s">
        <v>1857</v>
      </c>
      <c r="C171" s="505"/>
      <c r="D171" s="506"/>
      <c r="E171" s="506">
        <v>0</v>
      </c>
      <c r="F171" s="506">
        <v>0</v>
      </c>
      <c r="G171" s="506">
        <v>0</v>
      </c>
      <c r="H171" s="506">
        <v>0</v>
      </c>
      <c r="I171" s="506">
        <v>7263380</v>
      </c>
      <c r="J171" s="506">
        <v>15296110</v>
      </c>
      <c r="K171" s="506">
        <v>15296110</v>
      </c>
      <c r="L171" s="506">
        <v>1445930</v>
      </c>
      <c r="M171" s="506">
        <v>0</v>
      </c>
      <c r="N171" s="506">
        <v>0</v>
      </c>
      <c r="O171" s="506">
        <v>0</v>
      </c>
      <c r="P171" s="1498">
        <f t="shared" si="16"/>
        <v>22559490</v>
      </c>
      <c r="Q171" s="696">
        <f t="shared" si="18"/>
        <v>24005420</v>
      </c>
      <c r="R171" s="1075">
        <v>6343210</v>
      </c>
      <c r="S171" s="1076">
        <v>218630</v>
      </c>
      <c r="T171" s="1076">
        <v>1217630</v>
      </c>
      <c r="U171" s="1076">
        <v>9634160</v>
      </c>
      <c r="V171" s="1076">
        <v>0</v>
      </c>
      <c r="W171" s="1076">
        <v>0</v>
      </c>
      <c r="X171" s="1076">
        <v>0</v>
      </c>
      <c r="Y171" s="1076">
        <v>13386560</v>
      </c>
      <c r="Z171" s="1076"/>
      <c r="AA171" s="1076"/>
      <c r="AB171" s="1076"/>
      <c r="AC171" s="1076"/>
      <c r="AD171" s="1077">
        <f t="shared" si="21"/>
        <v>30800190</v>
      </c>
      <c r="AE171" s="609">
        <f t="shared" si="17"/>
        <v>0.3652875131485685</v>
      </c>
      <c r="AF171" s="610">
        <f t="shared" si="19"/>
        <v>12</v>
      </c>
    </row>
    <row r="172" spans="1:32" x14ac:dyDescent="0.3">
      <c r="A172" s="544" t="s">
        <v>675</v>
      </c>
      <c r="B172" s="678" t="s">
        <v>648</v>
      </c>
      <c r="C172" s="505"/>
      <c r="D172" s="506"/>
      <c r="E172" s="506">
        <v>0</v>
      </c>
      <c r="F172" s="506">
        <v>0</v>
      </c>
      <c r="G172" s="506">
        <v>0</v>
      </c>
      <c r="H172" s="506">
        <v>0</v>
      </c>
      <c r="I172" s="506">
        <v>327320</v>
      </c>
      <c r="J172" s="506">
        <v>0</v>
      </c>
      <c r="K172" s="506">
        <v>0</v>
      </c>
      <c r="L172" s="506">
        <v>0</v>
      </c>
      <c r="M172" s="506">
        <v>0</v>
      </c>
      <c r="N172" s="506">
        <v>0</v>
      </c>
      <c r="O172" s="506">
        <v>0</v>
      </c>
      <c r="P172" s="1498">
        <f t="shared" si="16"/>
        <v>327320</v>
      </c>
      <c r="Q172" s="696">
        <f t="shared" si="18"/>
        <v>327320</v>
      </c>
      <c r="R172" s="1075" t="s">
        <v>251</v>
      </c>
      <c r="S172" s="1076" t="s">
        <v>251</v>
      </c>
      <c r="T172" s="1076"/>
      <c r="U172" s="1076"/>
      <c r="V172" s="1076"/>
      <c r="W172" s="1076"/>
      <c r="X172" s="1076"/>
      <c r="Y172" s="1076"/>
      <c r="Z172" s="1076"/>
      <c r="AA172" s="1076"/>
      <c r="AB172" s="1076"/>
      <c r="AC172" s="1076"/>
      <c r="AD172" s="1077">
        <f t="shared" si="21"/>
        <v>0</v>
      </c>
      <c r="AE172" s="609">
        <f t="shared" si="17"/>
        <v>-1</v>
      </c>
      <c r="AF172" s="610">
        <f t="shared" si="19"/>
        <v>394</v>
      </c>
    </row>
    <row r="173" spans="1:32" x14ac:dyDescent="0.3">
      <c r="A173" s="544" t="s">
        <v>675</v>
      </c>
      <c r="B173" s="678" t="s">
        <v>1859</v>
      </c>
      <c r="C173" s="505"/>
      <c r="D173" s="506"/>
      <c r="E173" s="506">
        <v>0</v>
      </c>
      <c r="F173" s="506">
        <v>0</v>
      </c>
      <c r="G173" s="506">
        <v>0</v>
      </c>
      <c r="H173" s="506">
        <v>0</v>
      </c>
      <c r="I173" s="506">
        <v>10739100</v>
      </c>
      <c r="J173" s="506">
        <v>93620</v>
      </c>
      <c r="K173" s="506">
        <v>93620</v>
      </c>
      <c r="L173" s="506">
        <v>141450</v>
      </c>
      <c r="M173" s="506">
        <v>0</v>
      </c>
      <c r="N173" s="506">
        <v>0</v>
      </c>
      <c r="O173" s="506">
        <v>0</v>
      </c>
      <c r="P173" s="1498">
        <f t="shared" si="16"/>
        <v>10832720</v>
      </c>
      <c r="Q173" s="696">
        <f t="shared" si="18"/>
        <v>10974170</v>
      </c>
      <c r="R173" s="1075">
        <v>3912720</v>
      </c>
      <c r="S173" s="1076">
        <v>454700</v>
      </c>
      <c r="T173" s="1076">
        <v>0</v>
      </c>
      <c r="U173" s="1076">
        <v>8158280</v>
      </c>
      <c r="V173" s="1076">
        <v>428360</v>
      </c>
      <c r="W173" s="1076">
        <v>1566700</v>
      </c>
      <c r="X173" s="1076">
        <v>87070</v>
      </c>
      <c r="Y173" s="1076">
        <v>2402870</v>
      </c>
      <c r="Z173" s="1076"/>
      <c r="AA173" s="1076"/>
      <c r="AB173" s="1076"/>
      <c r="AC173" s="1076"/>
      <c r="AD173" s="1077">
        <f t="shared" si="21"/>
        <v>17010700</v>
      </c>
      <c r="AE173" s="609">
        <f t="shared" si="17"/>
        <v>0.57030736509390068</v>
      </c>
      <c r="AF173" s="610">
        <f t="shared" si="19"/>
        <v>27</v>
      </c>
    </row>
    <row r="174" spans="1:32" x14ac:dyDescent="0.3">
      <c r="A174" s="544" t="s">
        <v>675</v>
      </c>
      <c r="B174" s="678" t="s">
        <v>1860</v>
      </c>
      <c r="C174" s="505"/>
      <c r="D174" s="506"/>
      <c r="E174" s="506">
        <v>0</v>
      </c>
      <c r="F174" s="506">
        <v>0</v>
      </c>
      <c r="G174" s="506">
        <v>0</v>
      </c>
      <c r="H174" s="506">
        <v>0</v>
      </c>
      <c r="I174" s="506">
        <v>1692250</v>
      </c>
      <c r="J174" s="506">
        <v>1353910</v>
      </c>
      <c r="K174" s="506">
        <v>478640</v>
      </c>
      <c r="L174" s="506">
        <v>4346290</v>
      </c>
      <c r="M174" s="506">
        <v>0</v>
      </c>
      <c r="N174" s="506">
        <v>244200</v>
      </c>
      <c r="O174" s="506">
        <v>0</v>
      </c>
      <c r="P174" s="1498">
        <f t="shared" si="16"/>
        <v>2170890</v>
      </c>
      <c r="Q174" s="696">
        <f t="shared" si="18"/>
        <v>7636650</v>
      </c>
      <c r="R174" s="1075">
        <v>1281850</v>
      </c>
      <c r="S174" s="1076">
        <v>2869850</v>
      </c>
      <c r="T174" s="1076">
        <v>764810</v>
      </c>
      <c r="U174" s="1076">
        <v>311680</v>
      </c>
      <c r="V174" s="1076">
        <v>286150</v>
      </c>
      <c r="W174" s="1076">
        <v>325280</v>
      </c>
      <c r="X174" s="1076">
        <v>1920480</v>
      </c>
      <c r="Y174" s="1076">
        <v>8410</v>
      </c>
      <c r="Z174" s="1076"/>
      <c r="AA174" s="1076"/>
      <c r="AB174" s="1076"/>
      <c r="AC174" s="1076"/>
      <c r="AD174" s="1077">
        <f t="shared" si="21"/>
        <v>7768510</v>
      </c>
      <c r="AE174" s="609">
        <f t="shared" si="17"/>
        <v>2.5784908493751413</v>
      </c>
      <c r="AF174" s="610">
        <f t="shared" si="19"/>
        <v>59</v>
      </c>
    </row>
    <row r="175" spans="1:32" x14ac:dyDescent="0.3">
      <c r="A175" s="544" t="s">
        <v>675</v>
      </c>
      <c r="B175" s="678" t="s">
        <v>1861</v>
      </c>
      <c r="C175" s="505"/>
      <c r="D175" s="506"/>
      <c r="E175" s="506">
        <v>0</v>
      </c>
      <c r="F175" s="506">
        <v>0</v>
      </c>
      <c r="G175" s="506">
        <v>0</v>
      </c>
      <c r="H175" s="506">
        <v>0</v>
      </c>
      <c r="I175" s="506">
        <v>5809370</v>
      </c>
      <c r="J175" s="506">
        <v>0</v>
      </c>
      <c r="K175" s="506">
        <v>0</v>
      </c>
      <c r="L175" s="506">
        <v>0</v>
      </c>
      <c r="M175" s="506">
        <v>0</v>
      </c>
      <c r="N175" s="506">
        <v>299700</v>
      </c>
      <c r="O175" s="506">
        <v>0</v>
      </c>
      <c r="P175" s="1498">
        <f t="shared" si="16"/>
        <v>5809370</v>
      </c>
      <c r="Q175" s="696">
        <f t="shared" si="18"/>
        <v>6109070</v>
      </c>
      <c r="R175" s="1075">
        <v>703160</v>
      </c>
      <c r="S175" s="1076" t="s">
        <v>251</v>
      </c>
      <c r="T175" s="1076">
        <v>0</v>
      </c>
      <c r="U175" s="1076">
        <v>0</v>
      </c>
      <c r="V175" s="1076">
        <v>0</v>
      </c>
      <c r="W175" s="1076">
        <v>0</v>
      </c>
      <c r="X175" s="1076">
        <v>0</v>
      </c>
      <c r="Y175" s="1076">
        <v>0</v>
      </c>
      <c r="Z175" s="1076"/>
      <c r="AA175" s="1076"/>
      <c r="AB175" s="1076"/>
      <c r="AC175" s="1076"/>
      <c r="AD175" s="1077">
        <f t="shared" si="21"/>
        <v>703160</v>
      </c>
      <c r="AE175" s="609">
        <f t="shared" si="17"/>
        <v>-0.87896105773947952</v>
      </c>
      <c r="AF175" s="610">
        <f t="shared" si="19"/>
        <v>226</v>
      </c>
    </row>
    <row r="176" spans="1:32" x14ac:dyDescent="0.3">
      <c r="A176" s="544" t="s">
        <v>675</v>
      </c>
      <c r="B176" s="678" t="s">
        <v>1862</v>
      </c>
      <c r="C176" s="505"/>
      <c r="D176" s="506"/>
      <c r="E176" s="506">
        <v>0</v>
      </c>
      <c r="F176" s="506">
        <v>0</v>
      </c>
      <c r="G176" s="506">
        <v>0</v>
      </c>
      <c r="H176" s="506">
        <v>0</v>
      </c>
      <c r="I176" s="506">
        <v>5384940</v>
      </c>
      <c r="J176" s="506">
        <v>342510</v>
      </c>
      <c r="K176" s="506">
        <v>342510</v>
      </c>
      <c r="L176" s="506">
        <v>0</v>
      </c>
      <c r="M176" s="506">
        <v>0</v>
      </c>
      <c r="N176" s="506">
        <v>0</v>
      </c>
      <c r="O176" s="506">
        <v>0</v>
      </c>
      <c r="P176" s="1498">
        <f t="shared" si="16"/>
        <v>5727450</v>
      </c>
      <c r="Q176" s="696">
        <f>SUM(C176:J176,L176:O176)</f>
        <v>5727450</v>
      </c>
      <c r="R176" s="1075" t="s">
        <v>251</v>
      </c>
      <c r="S176" s="1076" t="s">
        <v>251</v>
      </c>
      <c r="T176" s="1076"/>
      <c r="U176" s="1076">
        <v>1447330</v>
      </c>
      <c r="V176" s="1076">
        <v>1610230</v>
      </c>
      <c r="W176" s="1076">
        <v>0</v>
      </c>
      <c r="X176" s="1076">
        <v>0</v>
      </c>
      <c r="Y176" s="1076">
        <v>0</v>
      </c>
      <c r="Z176" s="1076"/>
      <c r="AA176" s="1076"/>
      <c r="AB176" s="1076"/>
      <c r="AC176" s="1076"/>
      <c r="AD176" s="1077">
        <f t="shared" si="21"/>
        <v>3057560</v>
      </c>
      <c r="AE176" s="609">
        <f t="shared" si="17"/>
        <v>-0.46615684117713818</v>
      </c>
      <c r="AF176" s="610">
        <f t="shared" si="19"/>
        <v>120</v>
      </c>
    </row>
    <row r="177" spans="1:32" x14ac:dyDescent="0.3">
      <c r="A177" s="544" t="s">
        <v>675</v>
      </c>
      <c r="B177" s="678" t="s">
        <v>1858</v>
      </c>
      <c r="C177" s="505"/>
      <c r="D177" s="506"/>
      <c r="E177" s="506">
        <v>0</v>
      </c>
      <c r="F177" s="506">
        <v>0</v>
      </c>
      <c r="G177" s="506">
        <v>0</v>
      </c>
      <c r="H177" s="506">
        <v>0</v>
      </c>
      <c r="I177" s="506">
        <v>581890</v>
      </c>
      <c r="J177" s="506">
        <v>0</v>
      </c>
      <c r="K177" s="506">
        <v>0</v>
      </c>
      <c r="L177" s="506">
        <v>3735230</v>
      </c>
      <c r="M177" s="506">
        <v>746870</v>
      </c>
      <c r="N177" s="506">
        <v>1269070</v>
      </c>
      <c r="O177" s="506">
        <v>1520890</v>
      </c>
      <c r="P177" s="1498">
        <f t="shared" si="16"/>
        <v>581890</v>
      </c>
      <c r="Q177" s="696">
        <f t="shared" ref="Q177:Q240" si="22">SUM(C177:J177,L177:O177)</f>
        <v>7853950</v>
      </c>
      <c r="R177" s="1075">
        <v>628250</v>
      </c>
      <c r="S177" s="1076">
        <v>158220</v>
      </c>
      <c r="T177" s="1076">
        <v>161340</v>
      </c>
      <c r="U177" s="1076">
        <v>2108920</v>
      </c>
      <c r="V177" s="1076">
        <v>337870</v>
      </c>
      <c r="W177" s="1076">
        <v>2003390</v>
      </c>
      <c r="X177" s="1076">
        <v>368760</v>
      </c>
      <c r="Y177" s="1076">
        <v>0</v>
      </c>
      <c r="Z177" s="1076"/>
      <c r="AA177" s="1076"/>
      <c r="AB177" s="1076"/>
      <c r="AC177" s="1076"/>
      <c r="AD177" s="1077">
        <f t="shared" si="21"/>
        <v>5766750</v>
      </c>
      <c r="AE177" s="609">
        <f t="shared" si="17"/>
        <v>8.9103782501847419</v>
      </c>
      <c r="AF177" s="610">
        <f t="shared" si="19"/>
        <v>73</v>
      </c>
    </row>
    <row r="178" spans="1:32" x14ac:dyDescent="0.3">
      <c r="A178" s="544" t="s">
        <v>675</v>
      </c>
      <c r="B178" s="678" t="s">
        <v>1863</v>
      </c>
      <c r="C178" s="505"/>
      <c r="D178" s="506"/>
      <c r="E178" s="506">
        <v>0</v>
      </c>
      <c r="F178" s="506">
        <v>0</v>
      </c>
      <c r="G178" s="506">
        <v>0</v>
      </c>
      <c r="H178" s="506">
        <v>0</v>
      </c>
      <c r="I178" s="506">
        <v>2747720</v>
      </c>
      <c r="J178" s="506">
        <v>1517730</v>
      </c>
      <c r="K178" s="506">
        <v>1342050</v>
      </c>
      <c r="L178" s="506">
        <v>0</v>
      </c>
      <c r="M178" s="506">
        <v>0</v>
      </c>
      <c r="N178" s="506">
        <v>882320</v>
      </c>
      <c r="O178" s="506">
        <v>315030</v>
      </c>
      <c r="P178" s="1498">
        <f t="shared" si="16"/>
        <v>4089770</v>
      </c>
      <c r="Q178" s="696">
        <f t="shared" si="22"/>
        <v>5462800</v>
      </c>
      <c r="R178" s="1075" t="s">
        <v>251</v>
      </c>
      <c r="S178" s="1076" t="s">
        <v>251</v>
      </c>
      <c r="T178" s="1076">
        <v>1743970</v>
      </c>
      <c r="U178" s="1076">
        <v>0</v>
      </c>
      <c r="V178" s="1076">
        <v>0</v>
      </c>
      <c r="W178" s="1076">
        <v>576670</v>
      </c>
      <c r="X178" s="1076">
        <v>81940</v>
      </c>
      <c r="Y178" s="1076">
        <v>0</v>
      </c>
      <c r="Z178" s="1076"/>
      <c r="AA178" s="1076"/>
      <c r="AB178" s="1076"/>
      <c r="AC178" s="1076"/>
      <c r="AD178" s="1077">
        <f t="shared" si="21"/>
        <v>2402580</v>
      </c>
      <c r="AE178" s="609">
        <f t="shared" si="17"/>
        <v>-0.41253909144034995</v>
      </c>
      <c r="AF178" s="610">
        <f>IFERROR(_xlfn.RANK.EQ(AD178, $AD$2:$AD$677), "")</f>
        <v>128</v>
      </c>
    </row>
    <row r="179" spans="1:32" x14ac:dyDescent="0.3">
      <c r="A179" s="544" t="s">
        <v>675</v>
      </c>
      <c r="B179" s="678" t="s">
        <v>1865</v>
      </c>
      <c r="C179" s="505"/>
      <c r="D179" s="506"/>
      <c r="E179" s="506">
        <v>0</v>
      </c>
      <c r="F179" s="506">
        <v>0</v>
      </c>
      <c r="G179" s="506">
        <v>0</v>
      </c>
      <c r="H179" s="506">
        <v>0</v>
      </c>
      <c r="I179" s="506">
        <v>3863690</v>
      </c>
      <c r="J179" s="506">
        <v>94050</v>
      </c>
      <c r="K179" s="506">
        <v>94050</v>
      </c>
      <c r="L179" s="506">
        <v>0</v>
      </c>
      <c r="M179" s="506">
        <v>316140</v>
      </c>
      <c r="N179" s="506">
        <v>1113160</v>
      </c>
      <c r="O179" s="506">
        <v>1132420</v>
      </c>
      <c r="P179" s="1498">
        <f t="shared" si="16"/>
        <v>3957740</v>
      </c>
      <c r="Q179" s="696">
        <f t="shared" si="22"/>
        <v>6519460</v>
      </c>
      <c r="R179" s="1075">
        <v>4125790</v>
      </c>
      <c r="S179" s="1076">
        <v>952120</v>
      </c>
      <c r="T179" s="1076">
        <v>3104780</v>
      </c>
      <c r="U179" s="1076">
        <v>358700</v>
      </c>
      <c r="V179" s="1076">
        <v>11050</v>
      </c>
      <c r="W179" s="1076">
        <v>0</v>
      </c>
      <c r="X179" s="1076">
        <v>0</v>
      </c>
      <c r="Y179" s="1076">
        <v>0</v>
      </c>
      <c r="Z179" s="1076"/>
      <c r="AA179" s="1076"/>
      <c r="AB179" s="1076"/>
      <c r="AC179" s="1076"/>
      <c r="AD179" s="1077">
        <f t="shared" si="21"/>
        <v>8552440</v>
      </c>
      <c r="AE179" s="609">
        <f t="shared" si="17"/>
        <v>1.1609403346354232</v>
      </c>
      <c r="AF179" s="610">
        <f t="shared" ref="AF179:AF242" si="23">IFERROR(_xlfn.RANK.EQ(AD179, $AD$2:$AD$677), "")</f>
        <v>53</v>
      </c>
    </row>
    <row r="180" spans="1:32" x14ac:dyDescent="0.3">
      <c r="A180" s="544" t="s">
        <v>675</v>
      </c>
      <c r="B180" s="678" t="s">
        <v>1866</v>
      </c>
      <c r="C180" s="505"/>
      <c r="D180" s="506"/>
      <c r="E180" s="506">
        <v>0</v>
      </c>
      <c r="F180" s="506">
        <v>0</v>
      </c>
      <c r="G180" s="506">
        <v>0</v>
      </c>
      <c r="H180" s="506">
        <v>0</v>
      </c>
      <c r="I180" s="506">
        <v>1961680</v>
      </c>
      <c r="J180" s="506">
        <v>0</v>
      </c>
      <c r="K180" s="506">
        <v>0</v>
      </c>
      <c r="L180" s="506">
        <v>0</v>
      </c>
      <c r="M180" s="506">
        <v>0</v>
      </c>
      <c r="N180" s="506">
        <v>1393360</v>
      </c>
      <c r="O180" s="506">
        <v>4193670</v>
      </c>
      <c r="P180" s="1498">
        <f t="shared" si="16"/>
        <v>1961680</v>
      </c>
      <c r="Q180" s="696">
        <f t="shared" si="22"/>
        <v>7548710</v>
      </c>
      <c r="R180" s="1075" t="s">
        <v>251</v>
      </c>
      <c r="S180" s="1076" t="s">
        <v>251</v>
      </c>
      <c r="T180" s="1076"/>
      <c r="U180" s="1076"/>
      <c r="V180" s="1076"/>
      <c r="W180" s="1076"/>
      <c r="X180" s="1076"/>
      <c r="Y180" s="1076"/>
      <c r="Z180" s="1076"/>
      <c r="AA180" s="1076"/>
      <c r="AB180" s="1076"/>
      <c r="AC180" s="1076"/>
      <c r="AD180" s="1077">
        <f t="shared" si="21"/>
        <v>0</v>
      </c>
      <c r="AE180" s="609">
        <f t="shared" si="17"/>
        <v>-1</v>
      </c>
      <c r="AF180" s="610">
        <f t="shared" si="23"/>
        <v>394</v>
      </c>
    </row>
    <row r="181" spans="1:32" x14ac:dyDescent="0.3">
      <c r="A181" s="544" t="s">
        <v>675</v>
      </c>
      <c r="B181" s="678" t="s">
        <v>1867</v>
      </c>
      <c r="C181" s="505"/>
      <c r="D181" s="506"/>
      <c r="E181" s="506">
        <v>0</v>
      </c>
      <c r="F181" s="506">
        <v>0</v>
      </c>
      <c r="G181" s="506">
        <v>0</v>
      </c>
      <c r="H181" s="506">
        <v>0</v>
      </c>
      <c r="I181" s="506">
        <v>2321320</v>
      </c>
      <c r="J181" s="506">
        <v>0</v>
      </c>
      <c r="K181" s="506">
        <v>0</v>
      </c>
      <c r="L181" s="506">
        <v>0</v>
      </c>
      <c r="M181" s="506">
        <v>0</v>
      </c>
      <c r="N181" s="506">
        <v>0</v>
      </c>
      <c r="O181" s="506">
        <v>709840</v>
      </c>
      <c r="P181" s="1498">
        <f t="shared" si="16"/>
        <v>2321320</v>
      </c>
      <c r="Q181" s="696">
        <f t="shared" si="22"/>
        <v>3031160</v>
      </c>
      <c r="R181" s="1075">
        <v>1160740</v>
      </c>
      <c r="S181" s="1076" t="s">
        <v>251</v>
      </c>
      <c r="T181" s="1076">
        <v>41640</v>
      </c>
      <c r="U181" s="1076">
        <v>0</v>
      </c>
      <c r="V181" s="1076">
        <v>0</v>
      </c>
      <c r="W181" s="1076">
        <v>0</v>
      </c>
      <c r="X181" s="1076">
        <v>0</v>
      </c>
      <c r="Y181" s="1076">
        <v>0</v>
      </c>
      <c r="Z181" s="1076"/>
      <c r="AA181" s="1076"/>
      <c r="AB181" s="1076"/>
      <c r="AC181" s="1076"/>
      <c r="AD181" s="1077">
        <f t="shared" si="21"/>
        <v>1202380</v>
      </c>
      <c r="AE181" s="609">
        <f t="shared" si="17"/>
        <v>-0.48202746713077044</v>
      </c>
      <c r="AF181" s="610">
        <f t="shared" si="23"/>
        <v>180</v>
      </c>
    </row>
    <row r="182" spans="1:32" x14ac:dyDescent="0.3">
      <c r="A182" s="544" t="s">
        <v>675</v>
      </c>
      <c r="B182" s="678" t="s">
        <v>1868</v>
      </c>
      <c r="C182" s="505"/>
      <c r="D182" s="506"/>
      <c r="E182" s="506">
        <v>0</v>
      </c>
      <c r="F182" s="506">
        <v>0</v>
      </c>
      <c r="G182" s="506">
        <v>0</v>
      </c>
      <c r="H182" s="506">
        <v>0</v>
      </c>
      <c r="I182" s="506">
        <v>2170390</v>
      </c>
      <c r="J182" s="506">
        <v>0</v>
      </c>
      <c r="K182" s="506">
        <v>0</v>
      </c>
      <c r="L182" s="506">
        <v>0</v>
      </c>
      <c r="M182" s="506">
        <v>0</v>
      </c>
      <c r="N182" s="506">
        <v>0</v>
      </c>
      <c r="O182" s="506">
        <v>886200</v>
      </c>
      <c r="P182" s="1498">
        <f t="shared" si="16"/>
        <v>2170390</v>
      </c>
      <c r="Q182" s="696">
        <f t="shared" si="22"/>
        <v>3056590</v>
      </c>
      <c r="R182" s="1075" t="s">
        <v>251</v>
      </c>
      <c r="S182" s="1076">
        <v>588280</v>
      </c>
      <c r="T182" s="1076">
        <v>0</v>
      </c>
      <c r="U182" s="1076">
        <v>791150</v>
      </c>
      <c r="V182" s="1076">
        <v>1109480</v>
      </c>
      <c r="W182" s="1076">
        <v>0</v>
      </c>
      <c r="X182" s="1076">
        <v>0</v>
      </c>
      <c r="Y182" s="1076">
        <v>0</v>
      </c>
      <c r="Z182" s="1076"/>
      <c r="AA182" s="1076"/>
      <c r="AB182" s="1076"/>
      <c r="AC182" s="1076"/>
      <c r="AD182" s="1077">
        <f t="shared" si="21"/>
        <v>2488910</v>
      </c>
      <c r="AE182" s="609">
        <f t="shared" si="17"/>
        <v>0.14675703445002972</v>
      </c>
      <c r="AF182" s="610">
        <f t="shared" si="23"/>
        <v>126</v>
      </c>
    </row>
    <row r="183" spans="1:32" x14ac:dyDescent="0.3">
      <c r="A183" s="544" t="s">
        <v>675</v>
      </c>
      <c r="B183" s="678" t="s">
        <v>1673</v>
      </c>
      <c r="C183" s="505"/>
      <c r="D183" s="506"/>
      <c r="E183" s="506">
        <v>0</v>
      </c>
      <c r="F183" s="506">
        <v>0</v>
      </c>
      <c r="G183" s="506">
        <v>0</v>
      </c>
      <c r="H183" s="506">
        <v>0</v>
      </c>
      <c r="I183" s="506">
        <v>812520</v>
      </c>
      <c r="J183" s="506">
        <v>0</v>
      </c>
      <c r="K183" s="506">
        <v>0</v>
      </c>
      <c r="L183" s="506">
        <v>0</v>
      </c>
      <c r="M183" s="506">
        <v>0</v>
      </c>
      <c r="N183" s="506">
        <v>156220</v>
      </c>
      <c r="O183" s="506">
        <v>0</v>
      </c>
      <c r="P183" s="1498">
        <f t="shared" si="16"/>
        <v>812520</v>
      </c>
      <c r="Q183" s="696">
        <f t="shared" si="22"/>
        <v>968740</v>
      </c>
      <c r="R183" s="1075" t="s">
        <v>251</v>
      </c>
      <c r="S183" s="1076" t="s">
        <v>251</v>
      </c>
      <c r="T183" s="1076"/>
      <c r="U183" s="1076"/>
      <c r="V183" s="1076">
        <v>129700</v>
      </c>
      <c r="W183" s="1076">
        <v>0</v>
      </c>
      <c r="X183" s="1076">
        <v>0</v>
      </c>
      <c r="Y183" s="1076">
        <v>0</v>
      </c>
      <c r="Z183" s="1076"/>
      <c r="AA183" s="1076"/>
      <c r="AB183" s="1076"/>
      <c r="AC183" s="1076"/>
      <c r="AD183" s="1077">
        <f t="shared" si="21"/>
        <v>129700</v>
      </c>
      <c r="AE183" s="609">
        <f t="shared" si="17"/>
        <v>-0.84037316004529117</v>
      </c>
      <c r="AF183" s="610">
        <f t="shared" si="23"/>
        <v>332</v>
      </c>
    </row>
    <row r="184" spans="1:32" x14ac:dyDescent="0.3">
      <c r="A184" s="544" t="s">
        <v>675</v>
      </c>
      <c r="B184" s="678" t="s">
        <v>1869</v>
      </c>
      <c r="C184" s="505"/>
      <c r="D184" s="506"/>
      <c r="E184" s="506">
        <v>0</v>
      </c>
      <c r="F184" s="506">
        <v>0</v>
      </c>
      <c r="G184" s="506">
        <v>0</v>
      </c>
      <c r="H184" s="506">
        <v>0</v>
      </c>
      <c r="I184" s="506">
        <v>1111860</v>
      </c>
      <c r="J184" s="506">
        <v>0</v>
      </c>
      <c r="K184" s="506">
        <v>0</v>
      </c>
      <c r="L184" s="506">
        <v>0</v>
      </c>
      <c r="M184" s="506">
        <v>0</v>
      </c>
      <c r="N184" s="506">
        <v>0</v>
      </c>
      <c r="O184" s="506">
        <v>0</v>
      </c>
      <c r="P184" s="1498">
        <f t="shared" si="16"/>
        <v>1111860</v>
      </c>
      <c r="Q184" s="696">
        <f t="shared" si="22"/>
        <v>1111860</v>
      </c>
      <c r="R184" s="1075" t="s">
        <v>251</v>
      </c>
      <c r="S184" s="1076" t="s">
        <v>251</v>
      </c>
      <c r="T184" s="1076"/>
      <c r="U184" s="1076"/>
      <c r="V184" s="1076"/>
      <c r="W184" s="1076">
        <v>4021320</v>
      </c>
      <c r="X184" s="1076">
        <v>146340</v>
      </c>
      <c r="Y184" s="1076">
        <v>0</v>
      </c>
      <c r="Z184" s="1076"/>
      <c r="AA184" s="1076"/>
      <c r="AB184" s="1076"/>
      <c r="AC184" s="1076"/>
      <c r="AD184" s="1077">
        <f t="shared" si="21"/>
        <v>4167660</v>
      </c>
      <c r="AE184" s="609">
        <f t="shared" si="17"/>
        <v>2.7483676002374398</v>
      </c>
      <c r="AF184" s="610">
        <f t="shared" si="23"/>
        <v>92</v>
      </c>
    </row>
    <row r="185" spans="1:32" x14ac:dyDescent="0.3">
      <c r="A185" s="544" t="s">
        <v>675</v>
      </c>
      <c r="B185" s="678" t="s">
        <v>1870</v>
      </c>
      <c r="C185" s="505"/>
      <c r="D185" s="506"/>
      <c r="E185" s="506">
        <v>0</v>
      </c>
      <c r="F185" s="506">
        <v>0</v>
      </c>
      <c r="G185" s="506">
        <v>0</v>
      </c>
      <c r="H185" s="506">
        <v>0</v>
      </c>
      <c r="I185" s="506">
        <v>258150</v>
      </c>
      <c r="J185" s="506">
        <v>0</v>
      </c>
      <c r="K185" s="506">
        <v>0</v>
      </c>
      <c r="L185" s="506">
        <v>0</v>
      </c>
      <c r="M185" s="506">
        <v>315060</v>
      </c>
      <c r="N185" s="506">
        <v>756660</v>
      </c>
      <c r="O185" s="506">
        <v>457290</v>
      </c>
      <c r="P185" s="1498">
        <f t="shared" si="16"/>
        <v>258150</v>
      </c>
      <c r="Q185" s="696">
        <f t="shared" si="22"/>
        <v>1787160</v>
      </c>
      <c r="R185" s="1075" t="s">
        <v>251</v>
      </c>
      <c r="S185" s="1076" t="s">
        <v>251</v>
      </c>
      <c r="T185" s="1076"/>
      <c r="U185" s="1076"/>
      <c r="V185" s="1076"/>
      <c r="W185" s="1076"/>
      <c r="X185" s="1076"/>
      <c r="Y185" s="1076"/>
      <c r="Z185" s="1076"/>
      <c r="AA185" s="1076"/>
      <c r="AB185" s="1076"/>
      <c r="AC185" s="1076"/>
      <c r="AD185" s="1077">
        <f t="shared" si="21"/>
        <v>0</v>
      </c>
      <c r="AE185" s="609">
        <f t="shared" si="17"/>
        <v>-1</v>
      </c>
      <c r="AF185" s="610">
        <f t="shared" si="23"/>
        <v>394</v>
      </c>
    </row>
    <row r="186" spans="1:32" x14ac:dyDescent="0.3">
      <c r="A186" s="544" t="s">
        <v>675</v>
      </c>
      <c r="B186" s="678" t="s">
        <v>1871</v>
      </c>
      <c r="C186" s="505"/>
      <c r="D186" s="506"/>
      <c r="E186" s="506">
        <v>0</v>
      </c>
      <c r="F186" s="506">
        <v>0</v>
      </c>
      <c r="G186" s="506">
        <v>0</v>
      </c>
      <c r="H186" s="506">
        <v>0</v>
      </c>
      <c r="I186" s="506">
        <v>772900</v>
      </c>
      <c r="J186" s="506">
        <v>37670</v>
      </c>
      <c r="K186" s="506">
        <v>37670</v>
      </c>
      <c r="L186" s="506">
        <v>0</v>
      </c>
      <c r="M186" s="506">
        <v>0</v>
      </c>
      <c r="N186" s="506">
        <v>0</v>
      </c>
      <c r="O186" s="506">
        <v>0</v>
      </c>
      <c r="P186" s="1498">
        <f t="shared" si="16"/>
        <v>810570</v>
      </c>
      <c r="Q186" s="696">
        <f t="shared" si="22"/>
        <v>810570</v>
      </c>
      <c r="R186" s="1075" t="s">
        <v>251</v>
      </c>
      <c r="S186" s="1076" t="s">
        <v>251</v>
      </c>
      <c r="T186" s="1076"/>
      <c r="U186" s="1076"/>
      <c r="V186" s="1076"/>
      <c r="W186" s="1076"/>
      <c r="X186" s="1076"/>
      <c r="Y186" s="1076"/>
      <c r="Z186" s="1076"/>
      <c r="AA186" s="1076"/>
      <c r="AB186" s="1076"/>
      <c r="AC186" s="1076"/>
      <c r="AD186" s="1077">
        <f t="shared" si="21"/>
        <v>0</v>
      </c>
      <c r="AE186" s="609">
        <f t="shared" si="17"/>
        <v>-1</v>
      </c>
      <c r="AF186" s="610">
        <f t="shared" si="23"/>
        <v>394</v>
      </c>
    </row>
    <row r="187" spans="1:32" x14ac:dyDescent="0.3">
      <c r="A187" s="544" t="s">
        <v>675</v>
      </c>
      <c r="B187" s="678" t="s">
        <v>196</v>
      </c>
      <c r="C187" s="505"/>
      <c r="D187" s="506"/>
      <c r="E187" s="506">
        <v>0</v>
      </c>
      <c r="F187" s="506">
        <v>0</v>
      </c>
      <c r="G187" s="506">
        <v>0</v>
      </c>
      <c r="H187" s="506">
        <v>0</v>
      </c>
      <c r="I187" s="506">
        <v>37510</v>
      </c>
      <c r="J187" s="506">
        <v>0</v>
      </c>
      <c r="K187" s="506">
        <v>0</v>
      </c>
      <c r="L187" s="506">
        <v>0</v>
      </c>
      <c r="M187" s="506">
        <v>0</v>
      </c>
      <c r="N187" s="506">
        <v>0</v>
      </c>
      <c r="O187" s="506">
        <v>0</v>
      </c>
      <c r="P187" s="1498">
        <f t="shared" si="16"/>
        <v>37510</v>
      </c>
      <c r="Q187" s="696">
        <f t="shared" si="22"/>
        <v>37510</v>
      </c>
      <c r="R187" s="1075" t="s">
        <v>251</v>
      </c>
      <c r="S187" s="1076" t="s">
        <v>251</v>
      </c>
      <c r="T187" s="1076"/>
      <c r="U187" s="1076"/>
      <c r="V187" s="1076"/>
      <c r="W187" s="1076"/>
      <c r="X187" s="1076"/>
      <c r="Y187" s="1076"/>
      <c r="Z187" s="1076"/>
      <c r="AA187" s="1076"/>
      <c r="AB187" s="1076"/>
      <c r="AC187" s="1076"/>
      <c r="AD187" s="1077">
        <f t="shared" si="21"/>
        <v>0</v>
      </c>
      <c r="AE187" s="609">
        <f t="shared" si="17"/>
        <v>-1</v>
      </c>
      <c r="AF187" s="610">
        <f t="shared" si="23"/>
        <v>394</v>
      </c>
    </row>
    <row r="188" spans="1:32" x14ac:dyDescent="0.3">
      <c r="A188" s="544" t="s">
        <v>675</v>
      </c>
      <c r="B188" s="678" t="s">
        <v>1874</v>
      </c>
      <c r="C188" s="505"/>
      <c r="D188" s="506"/>
      <c r="E188" s="506">
        <v>0</v>
      </c>
      <c r="F188" s="506">
        <v>0</v>
      </c>
      <c r="G188" s="506">
        <v>0</v>
      </c>
      <c r="H188" s="506">
        <v>0</v>
      </c>
      <c r="I188" s="506">
        <v>0</v>
      </c>
      <c r="J188" s="506">
        <v>2530920</v>
      </c>
      <c r="K188" s="506"/>
      <c r="L188" s="506">
        <v>16653300</v>
      </c>
      <c r="M188" s="506">
        <v>8004410</v>
      </c>
      <c r="N188" s="506">
        <v>0</v>
      </c>
      <c r="O188" s="506">
        <v>0</v>
      </c>
      <c r="P188" s="1498">
        <f t="shared" si="16"/>
        <v>0</v>
      </c>
      <c r="Q188" s="696">
        <f t="shared" si="22"/>
        <v>27188630</v>
      </c>
      <c r="R188" s="1075" t="s">
        <v>251</v>
      </c>
      <c r="S188" s="1076" t="s">
        <v>251</v>
      </c>
      <c r="T188" s="1076"/>
      <c r="U188" s="1076"/>
      <c r="V188" s="1076"/>
      <c r="W188" s="1076"/>
      <c r="X188" s="1076"/>
      <c r="Y188" s="1076"/>
      <c r="Z188" s="1076"/>
      <c r="AA188" s="1076"/>
      <c r="AB188" s="1076"/>
      <c r="AC188" s="1076"/>
      <c r="AD188" s="1077">
        <f t="shared" si="21"/>
        <v>0</v>
      </c>
      <c r="AE188" s="609">
        <f t="shared" si="17"/>
        <v>0</v>
      </c>
      <c r="AF188" s="610">
        <f t="shared" si="23"/>
        <v>394</v>
      </c>
    </row>
    <row r="189" spans="1:32" x14ac:dyDescent="0.3">
      <c r="A189" s="544" t="s">
        <v>675</v>
      </c>
      <c r="B189" s="678" t="s">
        <v>1876</v>
      </c>
      <c r="C189" s="505"/>
      <c r="D189" s="506"/>
      <c r="E189" s="506">
        <v>0</v>
      </c>
      <c r="F189" s="506">
        <v>0</v>
      </c>
      <c r="G189" s="506">
        <v>0</v>
      </c>
      <c r="H189" s="506">
        <v>0</v>
      </c>
      <c r="I189" s="506">
        <v>0</v>
      </c>
      <c r="J189" s="506">
        <v>13065760</v>
      </c>
      <c r="K189" s="506">
        <v>11219620</v>
      </c>
      <c r="L189" s="506">
        <v>627690</v>
      </c>
      <c r="M189" s="506">
        <v>1788950</v>
      </c>
      <c r="N189" s="506">
        <v>0</v>
      </c>
      <c r="O189" s="506">
        <v>0</v>
      </c>
      <c r="P189" s="1498">
        <f t="shared" si="16"/>
        <v>11219620</v>
      </c>
      <c r="Q189" s="696">
        <f t="shared" si="22"/>
        <v>15482400</v>
      </c>
      <c r="R189" s="1075">
        <v>358300</v>
      </c>
      <c r="S189" s="1076" t="s">
        <v>251</v>
      </c>
      <c r="T189" s="1076">
        <v>0</v>
      </c>
      <c r="U189" s="1076">
        <v>5267370</v>
      </c>
      <c r="V189" s="1076">
        <v>0</v>
      </c>
      <c r="W189" s="1076">
        <v>0</v>
      </c>
      <c r="X189" s="1076">
        <v>0</v>
      </c>
      <c r="Y189" s="1076">
        <v>0</v>
      </c>
      <c r="Z189" s="1076"/>
      <c r="AA189" s="1076"/>
      <c r="AB189" s="1076"/>
      <c r="AC189" s="1076"/>
      <c r="AD189" s="1077">
        <f t="shared" si="21"/>
        <v>5625670</v>
      </c>
      <c r="AE189" s="609">
        <f t="shared" si="17"/>
        <v>-0.49858640488715306</v>
      </c>
      <c r="AF189" s="610">
        <f t="shared" si="23"/>
        <v>74</v>
      </c>
    </row>
    <row r="190" spans="1:32" x14ac:dyDescent="0.3">
      <c r="A190" s="544" t="s">
        <v>675</v>
      </c>
      <c r="B190" s="678" t="s">
        <v>1877</v>
      </c>
      <c r="C190" s="505"/>
      <c r="D190" s="506"/>
      <c r="E190" s="506">
        <v>0</v>
      </c>
      <c r="F190" s="506">
        <v>0</v>
      </c>
      <c r="G190" s="506">
        <v>0</v>
      </c>
      <c r="H190" s="506">
        <v>0</v>
      </c>
      <c r="I190" s="506">
        <v>0</v>
      </c>
      <c r="J190" s="506">
        <v>4643500</v>
      </c>
      <c r="K190" s="506"/>
      <c r="L190" s="506">
        <v>5377160</v>
      </c>
      <c r="M190" s="506">
        <v>85810</v>
      </c>
      <c r="N190" s="506">
        <v>827970</v>
      </c>
      <c r="O190" s="506">
        <v>400670</v>
      </c>
      <c r="P190" s="1498">
        <f t="shared" si="16"/>
        <v>0</v>
      </c>
      <c r="Q190" s="696">
        <f t="shared" si="22"/>
        <v>11335110</v>
      </c>
      <c r="R190" s="1075" t="s">
        <v>251</v>
      </c>
      <c r="S190" s="1076" t="s">
        <v>251</v>
      </c>
      <c r="T190" s="1076"/>
      <c r="U190" s="1076">
        <v>669050</v>
      </c>
      <c r="V190" s="1076">
        <v>437820</v>
      </c>
      <c r="W190" s="1076">
        <v>843270</v>
      </c>
      <c r="X190" s="1076">
        <v>1417610</v>
      </c>
      <c r="Y190" s="1076">
        <v>972290</v>
      </c>
      <c r="Z190" s="1076"/>
      <c r="AA190" s="1076"/>
      <c r="AB190" s="1076"/>
      <c r="AC190" s="1076"/>
      <c r="AD190" s="1077">
        <f t="shared" si="21"/>
        <v>4340040</v>
      </c>
      <c r="AE190" s="609">
        <f t="shared" si="17"/>
        <v>1</v>
      </c>
      <c r="AF190" s="610">
        <f t="shared" si="23"/>
        <v>89</v>
      </c>
    </row>
    <row r="191" spans="1:32" x14ac:dyDescent="0.3">
      <c r="A191" s="544" t="s">
        <v>675</v>
      </c>
      <c r="B191" s="678" t="s">
        <v>1878</v>
      </c>
      <c r="C191" s="505"/>
      <c r="D191" s="506"/>
      <c r="E191" s="506">
        <v>0</v>
      </c>
      <c r="F191" s="506">
        <v>0</v>
      </c>
      <c r="G191" s="506">
        <v>0</v>
      </c>
      <c r="H191" s="506">
        <v>0</v>
      </c>
      <c r="I191" s="506">
        <v>0</v>
      </c>
      <c r="J191" s="506">
        <v>14115000</v>
      </c>
      <c r="K191" s="506">
        <v>12503280</v>
      </c>
      <c r="L191" s="506">
        <v>171250</v>
      </c>
      <c r="M191" s="506">
        <v>0</v>
      </c>
      <c r="N191" s="506">
        <v>565730</v>
      </c>
      <c r="O191" s="506">
        <v>0</v>
      </c>
      <c r="P191" s="1498">
        <f t="shared" si="16"/>
        <v>12503280</v>
      </c>
      <c r="Q191" s="696">
        <f t="shared" si="22"/>
        <v>14851980</v>
      </c>
      <c r="R191" s="1075">
        <v>1232510</v>
      </c>
      <c r="S191" s="1076">
        <v>27380</v>
      </c>
      <c r="T191" s="1076">
        <v>4576140</v>
      </c>
      <c r="U191" s="1076">
        <v>3995320</v>
      </c>
      <c r="V191" s="1076">
        <v>1426330</v>
      </c>
      <c r="W191" s="1076">
        <v>464640</v>
      </c>
      <c r="X191" s="1076">
        <v>6629490</v>
      </c>
      <c r="Y191" s="1076">
        <v>0</v>
      </c>
      <c r="Z191" s="1076"/>
      <c r="AA191" s="1076"/>
      <c r="AB191" s="1076"/>
      <c r="AC191" s="1076"/>
      <c r="AD191" s="1077">
        <f t="shared" si="21"/>
        <v>18351810</v>
      </c>
      <c r="AE191" s="609">
        <f t="shared" si="17"/>
        <v>0.46775965986525136</v>
      </c>
      <c r="AF191" s="610">
        <f t="shared" si="23"/>
        <v>22</v>
      </c>
    </row>
    <row r="192" spans="1:32" x14ac:dyDescent="0.3">
      <c r="A192" s="544" t="s">
        <v>675</v>
      </c>
      <c r="B192" s="678" t="s">
        <v>1879</v>
      </c>
      <c r="C192" s="505"/>
      <c r="D192" s="506"/>
      <c r="E192" s="506">
        <v>0</v>
      </c>
      <c r="F192" s="506">
        <v>0</v>
      </c>
      <c r="G192" s="506">
        <v>0</v>
      </c>
      <c r="H192" s="506">
        <v>0</v>
      </c>
      <c r="I192" s="506">
        <v>0</v>
      </c>
      <c r="J192" s="506">
        <v>1020490</v>
      </c>
      <c r="K192" s="506">
        <v>1020490</v>
      </c>
      <c r="L192" s="506">
        <v>441000</v>
      </c>
      <c r="M192" s="506">
        <v>3095820</v>
      </c>
      <c r="N192" s="506">
        <v>312440</v>
      </c>
      <c r="O192" s="506">
        <v>157020</v>
      </c>
      <c r="P192" s="1498">
        <f t="shared" si="16"/>
        <v>1020490</v>
      </c>
      <c r="Q192" s="696">
        <f t="shared" si="22"/>
        <v>5026770</v>
      </c>
      <c r="R192" s="1075">
        <v>2124620</v>
      </c>
      <c r="S192" s="1076">
        <v>2898520</v>
      </c>
      <c r="T192" s="1076">
        <v>241540</v>
      </c>
      <c r="U192" s="1076">
        <v>1292440</v>
      </c>
      <c r="V192" s="1076">
        <v>981920</v>
      </c>
      <c r="W192" s="1076">
        <v>0</v>
      </c>
      <c r="X192" s="1076">
        <v>0</v>
      </c>
      <c r="Y192" s="1076">
        <v>470820</v>
      </c>
      <c r="Z192" s="1076"/>
      <c r="AA192" s="1076"/>
      <c r="AB192" s="1076"/>
      <c r="AC192" s="1076"/>
      <c r="AD192" s="1077">
        <f t="shared" si="21"/>
        <v>8009860</v>
      </c>
      <c r="AE192" s="609">
        <f t="shared" si="17"/>
        <v>6.8490333075287362</v>
      </c>
      <c r="AF192" s="610">
        <f t="shared" si="23"/>
        <v>57</v>
      </c>
    </row>
    <row r="193" spans="1:32" x14ac:dyDescent="0.3">
      <c r="A193" s="544" t="s">
        <v>675</v>
      </c>
      <c r="B193" s="678" t="s">
        <v>1880</v>
      </c>
      <c r="C193" s="505"/>
      <c r="D193" s="506"/>
      <c r="E193" s="506">
        <v>0</v>
      </c>
      <c r="F193" s="506">
        <v>0</v>
      </c>
      <c r="G193" s="506">
        <v>0</v>
      </c>
      <c r="H193" s="506">
        <v>0</v>
      </c>
      <c r="I193" s="506">
        <v>0</v>
      </c>
      <c r="J193" s="506">
        <v>3594910</v>
      </c>
      <c r="K193" s="506">
        <v>3594910</v>
      </c>
      <c r="L193" s="506">
        <v>0</v>
      </c>
      <c r="M193" s="506">
        <v>0</v>
      </c>
      <c r="N193" s="506">
        <v>0</v>
      </c>
      <c r="O193" s="506">
        <v>0</v>
      </c>
      <c r="P193" s="1498">
        <f t="shared" si="16"/>
        <v>3594910</v>
      </c>
      <c r="Q193" s="696">
        <f t="shared" si="22"/>
        <v>3594910</v>
      </c>
      <c r="R193" s="1075" t="s">
        <v>251</v>
      </c>
      <c r="S193" s="1076" t="s">
        <v>251</v>
      </c>
      <c r="T193" s="1076"/>
      <c r="U193" s="1076"/>
      <c r="V193" s="1076"/>
      <c r="W193" s="1076"/>
      <c r="X193" s="1076"/>
      <c r="Y193" s="1076">
        <v>547890</v>
      </c>
      <c r="Z193" s="1076"/>
      <c r="AA193" s="1076"/>
      <c r="AB193" s="1076"/>
      <c r="AC193" s="1076"/>
      <c r="AD193" s="1077">
        <f t="shared" si="21"/>
        <v>547890</v>
      </c>
      <c r="AE193" s="609">
        <f t="shared" si="17"/>
        <v>-0.84759284655248668</v>
      </c>
      <c r="AF193" s="610">
        <f t="shared" si="23"/>
        <v>250</v>
      </c>
    </row>
    <row r="194" spans="1:32" x14ac:dyDescent="0.3">
      <c r="A194" s="544" t="s">
        <v>675</v>
      </c>
      <c r="B194" s="678" t="s">
        <v>1881</v>
      </c>
      <c r="C194" s="505"/>
      <c r="D194" s="506"/>
      <c r="E194" s="506">
        <v>0</v>
      </c>
      <c r="F194" s="506">
        <v>0</v>
      </c>
      <c r="G194" s="506">
        <v>0</v>
      </c>
      <c r="H194" s="506">
        <v>0</v>
      </c>
      <c r="I194" s="506">
        <v>0</v>
      </c>
      <c r="J194" s="506">
        <v>1276100</v>
      </c>
      <c r="K194" s="506">
        <v>1276100</v>
      </c>
      <c r="L194" s="506">
        <v>106540</v>
      </c>
      <c r="M194" s="506">
        <v>472040</v>
      </c>
      <c r="N194" s="506">
        <v>909520</v>
      </c>
      <c r="O194" s="506">
        <v>357540</v>
      </c>
      <c r="P194" s="1498">
        <f t="shared" si="16"/>
        <v>1276100</v>
      </c>
      <c r="Q194" s="696">
        <f t="shared" si="22"/>
        <v>3121740</v>
      </c>
      <c r="R194" s="1075">
        <v>354280</v>
      </c>
      <c r="S194" s="1076" t="s">
        <v>251</v>
      </c>
      <c r="T194" s="1076">
        <v>0</v>
      </c>
      <c r="U194" s="1076">
        <v>0</v>
      </c>
      <c r="V194" s="1076">
        <v>0</v>
      </c>
      <c r="W194" s="1076">
        <v>0</v>
      </c>
      <c r="X194" s="1076">
        <v>0</v>
      </c>
      <c r="Y194" s="1076">
        <v>0</v>
      </c>
      <c r="Z194" s="1076"/>
      <c r="AA194" s="1076"/>
      <c r="AB194" s="1076"/>
      <c r="AC194" s="1076"/>
      <c r="AD194" s="1077">
        <f t="shared" si="21"/>
        <v>354280</v>
      </c>
      <c r="AE194" s="609">
        <f t="shared" si="17"/>
        <v>-0.72237285479194424</v>
      </c>
      <c r="AF194" s="610">
        <f t="shared" si="23"/>
        <v>283</v>
      </c>
    </row>
    <row r="195" spans="1:32" x14ac:dyDescent="0.3">
      <c r="A195" s="544" t="s">
        <v>675</v>
      </c>
      <c r="B195" s="678" t="s">
        <v>1882</v>
      </c>
      <c r="C195" s="505"/>
      <c r="D195" s="506"/>
      <c r="E195" s="506">
        <v>0</v>
      </c>
      <c r="F195" s="506">
        <v>0</v>
      </c>
      <c r="G195" s="506">
        <v>0</v>
      </c>
      <c r="H195" s="506">
        <v>0</v>
      </c>
      <c r="I195" s="506">
        <v>0</v>
      </c>
      <c r="J195" s="506">
        <v>274800</v>
      </c>
      <c r="K195" s="506">
        <v>274800</v>
      </c>
      <c r="L195" s="506">
        <v>0</v>
      </c>
      <c r="M195" s="506">
        <v>1100890</v>
      </c>
      <c r="N195" s="506">
        <v>1005340</v>
      </c>
      <c r="O195" s="506">
        <v>551490</v>
      </c>
      <c r="P195" s="1498">
        <f t="shared" ref="P195:P258" si="24">SUM(C195:I195,K195)</f>
        <v>274800</v>
      </c>
      <c r="Q195" s="696">
        <f t="shared" si="22"/>
        <v>2932520</v>
      </c>
      <c r="R195" s="1075" t="s">
        <v>251</v>
      </c>
      <c r="S195" s="1076">
        <v>1882370</v>
      </c>
      <c r="T195" s="1076">
        <v>1857620</v>
      </c>
      <c r="U195" s="1076">
        <v>2056430</v>
      </c>
      <c r="V195" s="1076">
        <v>3961210</v>
      </c>
      <c r="W195" s="1076">
        <v>7504090</v>
      </c>
      <c r="X195" s="1076">
        <v>292020</v>
      </c>
      <c r="Y195" s="1076">
        <v>0</v>
      </c>
      <c r="Z195" s="1076"/>
      <c r="AA195" s="1076"/>
      <c r="AB195" s="1076"/>
      <c r="AC195" s="1076"/>
      <c r="AD195" s="1077">
        <f t="shared" si="21"/>
        <v>17553740</v>
      </c>
      <c r="AE195" s="609">
        <f t="shared" si="17"/>
        <v>62.878238719068413</v>
      </c>
      <c r="AF195" s="610">
        <f t="shared" si="23"/>
        <v>26</v>
      </c>
    </row>
    <row r="196" spans="1:32" x14ac:dyDescent="0.3">
      <c r="A196" s="544" t="s">
        <v>675</v>
      </c>
      <c r="B196" s="678" t="s">
        <v>1883</v>
      </c>
      <c r="C196" s="505"/>
      <c r="D196" s="506"/>
      <c r="E196" s="506">
        <v>0</v>
      </c>
      <c r="F196" s="506">
        <v>0</v>
      </c>
      <c r="G196" s="506">
        <v>0</v>
      </c>
      <c r="H196" s="506">
        <v>0</v>
      </c>
      <c r="I196" s="506">
        <v>0</v>
      </c>
      <c r="J196" s="506">
        <v>441210</v>
      </c>
      <c r="K196" s="506">
        <v>441210</v>
      </c>
      <c r="L196" s="506">
        <v>610340</v>
      </c>
      <c r="M196" s="506">
        <v>0</v>
      </c>
      <c r="N196" s="506">
        <v>0</v>
      </c>
      <c r="O196" s="506">
        <v>0</v>
      </c>
      <c r="P196" s="1498">
        <f t="shared" si="24"/>
        <v>441210</v>
      </c>
      <c r="Q196" s="696">
        <f t="shared" si="22"/>
        <v>1051550</v>
      </c>
      <c r="R196" s="1075" t="s">
        <v>251</v>
      </c>
      <c r="S196" s="1076" t="s">
        <v>251</v>
      </c>
      <c r="T196" s="1076"/>
      <c r="U196" s="1076"/>
      <c r="V196" s="1076"/>
      <c r="W196" s="1076"/>
      <c r="X196" s="1076"/>
      <c r="Y196" s="1076"/>
      <c r="Z196" s="1076"/>
      <c r="AA196" s="1076"/>
      <c r="AB196" s="1076"/>
      <c r="AC196" s="1076"/>
      <c r="AD196" s="1077">
        <f t="shared" si="21"/>
        <v>0</v>
      </c>
      <c r="AE196" s="609">
        <f t="shared" si="17"/>
        <v>-1</v>
      </c>
      <c r="AF196" s="610">
        <f t="shared" si="23"/>
        <v>394</v>
      </c>
    </row>
    <row r="197" spans="1:32" x14ac:dyDescent="0.3">
      <c r="A197" s="544" t="s">
        <v>675</v>
      </c>
      <c r="B197" s="678" t="s">
        <v>1892</v>
      </c>
      <c r="C197" s="505"/>
      <c r="D197" s="506"/>
      <c r="E197" s="506">
        <v>0</v>
      </c>
      <c r="F197" s="506">
        <v>0</v>
      </c>
      <c r="G197" s="506">
        <v>0</v>
      </c>
      <c r="H197" s="506">
        <v>0</v>
      </c>
      <c r="I197" s="506">
        <v>0</v>
      </c>
      <c r="J197" s="506">
        <v>1461470</v>
      </c>
      <c r="K197" s="506">
        <v>1461470</v>
      </c>
      <c r="L197" s="506">
        <v>0</v>
      </c>
      <c r="M197" s="506">
        <v>0</v>
      </c>
      <c r="N197" s="506">
        <v>0</v>
      </c>
      <c r="O197" s="506">
        <v>0</v>
      </c>
      <c r="P197" s="1498">
        <f t="shared" si="24"/>
        <v>1461470</v>
      </c>
      <c r="Q197" s="696">
        <f t="shared" si="22"/>
        <v>1461470</v>
      </c>
      <c r="R197" s="1075" t="s">
        <v>251</v>
      </c>
      <c r="S197" s="1076" t="s">
        <v>251</v>
      </c>
      <c r="T197" s="1076"/>
      <c r="U197" s="1076"/>
      <c r="V197" s="1076"/>
      <c r="W197" s="1076"/>
      <c r="X197" s="1076"/>
      <c r="Y197" s="1076"/>
      <c r="Z197" s="1076"/>
      <c r="AA197" s="1076"/>
      <c r="AB197" s="1076"/>
      <c r="AC197" s="1076"/>
      <c r="AD197" s="1077">
        <f t="shared" si="21"/>
        <v>0</v>
      </c>
      <c r="AE197" s="609">
        <f t="shared" si="17"/>
        <v>-1</v>
      </c>
      <c r="AF197" s="610">
        <f t="shared" si="23"/>
        <v>394</v>
      </c>
    </row>
    <row r="198" spans="1:32" x14ac:dyDescent="0.3">
      <c r="A198" s="544" t="s">
        <v>675</v>
      </c>
      <c r="B198" s="678" t="s">
        <v>1885</v>
      </c>
      <c r="C198" s="505"/>
      <c r="D198" s="506"/>
      <c r="E198" s="506">
        <v>0</v>
      </c>
      <c r="F198" s="506">
        <v>0</v>
      </c>
      <c r="G198" s="506">
        <v>0</v>
      </c>
      <c r="H198" s="506">
        <v>0</v>
      </c>
      <c r="I198" s="506">
        <v>0</v>
      </c>
      <c r="J198" s="506">
        <v>363830</v>
      </c>
      <c r="K198" s="506">
        <v>202610</v>
      </c>
      <c r="L198" s="506">
        <v>669930</v>
      </c>
      <c r="M198" s="506">
        <v>921850</v>
      </c>
      <c r="N198" s="506">
        <v>310390</v>
      </c>
      <c r="O198" s="506">
        <v>0</v>
      </c>
      <c r="P198" s="1498">
        <f t="shared" si="24"/>
        <v>202610</v>
      </c>
      <c r="Q198" s="696">
        <f t="shared" si="22"/>
        <v>2266000</v>
      </c>
      <c r="R198" s="1075" t="s">
        <v>251</v>
      </c>
      <c r="S198" s="1076" t="s">
        <v>251</v>
      </c>
      <c r="T198" s="1076"/>
      <c r="U198" s="1076"/>
      <c r="V198" s="1076"/>
      <c r="W198" s="1076"/>
      <c r="X198" s="1076"/>
      <c r="Y198" s="1076">
        <v>144260</v>
      </c>
      <c r="Z198" s="1076"/>
      <c r="AA198" s="1076"/>
      <c r="AB198" s="1076"/>
      <c r="AC198" s="1076"/>
      <c r="AD198" s="1077">
        <f t="shared" si="21"/>
        <v>144260</v>
      </c>
      <c r="AE198" s="609">
        <f t="shared" ref="AE198:AE261" si="25">IF(OR(AD198="", P198=""), 0, IFERROR((AD198-P198)/P198, IF(AD198&lt;&gt;0, 1, 0)))</f>
        <v>-0.28799170820788705</v>
      </c>
      <c r="AF198" s="610">
        <f t="shared" si="23"/>
        <v>330</v>
      </c>
    </row>
    <row r="199" spans="1:32" x14ac:dyDescent="0.3">
      <c r="A199" s="544" t="s">
        <v>675</v>
      </c>
      <c r="B199" s="678" t="s">
        <v>1886</v>
      </c>
      <c r="C199" s="505"/>
      <c r="D199" s="506"/>
      <c r="E199" s="506">
        <v>0</v>
      </c>
      <c r="F199" s="506">
        <v>0</v>
      </c>
      <c r="G199" s="506">
        <v>0</v>
      </c>
      <c r="H199" s="506">
        <v>0</v>
      </c>
      <c r="I199" s="506">
        <v>0</v>
      </c>
      <c r="J199" s="506">
        <v>734580</v>
      </c>
      <c r="K199" s="506">
        <v>734580</v>
      </c>
      <c r="L199" s="506">
        <v>0</v>
      </c>
      <c r="M199" s="506">
        <v>0</v>
      </c>
      <c r="N199" s="506">
        <v>0</v>
      </c>
      <c r="O199" s="506">
        <v>0</v>
      </c>
      <c r="P199" s="1498">
        <f t="shared" si="24"/>
        <v>734580</v>
      </c>
      <c r="Q199" s="696">
        <f t="shared" si="22"/>
        <v>734580</v>
      </c>
      <c r="R199" s="1075" t="s">
        <v>251</v>
      </c>
      <c r="S199" s="1076" t="s">
        <v>251</v>
      </c>
      <c r="T199" s="1076"/>
      <c r="U199" s="1076"/>
      <c r="V199" s="1076"/>
      <c r="W199" s="1076"/>
      <c r="X199" s="1076"/>
      <c r="Y199" s="1076"/>
      <c r="Z199" s="1076"/>
      <c r="AA199" s="1076"/>
      <c r="AB199" s="1076"/>
      <c r="AC199" s="1076"/>
      <c r="AD199" s="1077">
        <f t="shared" si="21"/>
        <v>0</v>
      </c>
      <c r="AE199" s="609">
        <f t="shared" si="25"/>
        <v>-1</v>
      </c>
      <c r="AF199" s="610">
        <f t="shared" si="23"/>
        <v>394</v>
      </c>
    </row>
    <row r="200" spans="1:32" x14ac:dyDescent="0.3">
      <c r="A200" s="544" t="s">
        <v>675</v>
      </c>
      <c r="B200" s="678" t="s">
        <v>1887</v>
      </c>
      <c r="C200" s="505"/>
      <c r="D200" s="506"/>
      <c r="E200" s="506">
        <v>0</v>
      </c>
      <c r="F200" s="506">
        <v>0</v>
      </c>
      <c r="G200" s="506">
        <v>0</v>
      </c>
      <c r="H200" s="506">
        <v>0</v>
      </c>
      <c r="I200" s="506">
        <v>0</v>
      </c>
      <c r="J200" s="506">
        <v>586620</v>
      </c>
      <c r="K200" s="506">
        <v>586620</v>
      </c>
      <c r="L200" s="506">
        <v>0</v>
      </c>
      <c r="M200" s="506">
        <v>0</v>
      </c>
      <c r="N200" s="506">
        <v>0</v>
      </c>
      <c r="O200" s="506">
        <v>0</v>
      </c>
      <c r="P200" s="1498">
        <f t="shared" si="24"/>
        <v>586620</v>
      </c>
      <c r="Q200" s="696">
        <f t="shared" si="22"/>
        <v>586620</v>
      </c>
      <c r="R200" s="1075" t="s">
        <v>251</v>
      </c>
      <c r="S200" s="1076" t="s">
        <v>251</v>
      </c>
      <c r="T200" s="1076"/>
      <c r="U200" s="1076"/>
      <c r="V200" s="1076"/>
      <c r="W200" s="1076"/>
      <c r="X200" s="1076"/>
      <c r="Y200" s="1076"/>
      <c r="Z200" s="1076"/>
      <c r="AA200" s="1076"/>
      <c r="AB200" s="1076"/>
      <c r="AC200" s="1076"/>
      <c r="AD200" s="1077">
        <f t="shared" si="21"/>
        <v>0</v>
      </c>
      <c r="AE200" s="609">
        <f t="shared" si="25"/>
        <v>-1</v>
      </c>
      <c r="AF200" s="610">
        <f t="shared" si="23"/>
        <v>394</v>
      </c>
    </row>
    <row r="201" spans="1:32" x14ac:dyDescent="0.3">
      <c r="A201" s="544" t="s">
        <v>675</v>
      </c>
      <c r="B201" s="678" t="s">
        <v>1891</v>
      </c>
      <c r="C201" s="505"/>
      <c r="D201" s="506"/>
      <c r="E201" s="506">
        <v>0</v>
      </c>
      <c r="F201" s="506">
        <v>0</v>
      </c>
      <c r="G201" s="506">
        <v>0</v>
      </c>
      <c r="H201" s="506">
        <v>0</v>
      </c>
      <c r="I201" s="506">
        <v>0</v>
      </c>
      <c r="J201" s="506">
        <v>47710</v>
      </c>
      <c r="K201" s="506">
        <v>47710</v>
      </c>
      <c r="L201" s="506">
        <v>0</v>
      </c>
      <c r="M201" s="506">
        <v>0</v>
      </c>
      <c r="N201" s="506">
        <v>0</v>
      </c>
      <c r="O201" s="506">
        <v>0</v>
      </c>
      <c r="P201" s="1498">
        <f t="shared" si="24"/>
        <v>47710</v>
      </c>
      <c r="Q201" s="696">
        <f t="shared" si="22"/>
        <v>47710</v>
      </c>
      <c r="R201" s="1075" t="s">
        <v>251</v>
      </c>
      <c r="S201" s="1076" t="s">
        <v>251</v>
      </c>
      <c r="T201" s="1076"/>
      <c r="U201" s="1076"/>
      <c r="V201" s="1076"/>
      <c r="W201" s="1076"/>
      <c r="X201" s="1076"/>
      <c r="Y201" s="1076"/>
      <c r="Z201" s="1076"/>
      <c r="AA201" s="1076"/>
      <c r="AB201" s="1076"/>
      <c r="AC201" s="1076"/>
      <c r="AD201" s="1077">
        <f t="shared" si="21"/>
        <v>0</v>
      </c>
      <c r="AE201" s="609">
        <f t="shared" si="25"/>
        <v>-1</v>
      </c>
      <c r="AF201" s="610">
        <f t="shared" si="23"/>
        <v>394</v>
      </c>
    </row>
    <row r="202" spans="1:32" x14ac:dyDescent="0.3">
      <c r="A202" s="544" t="s">
        <v>675</v>
      </c>
      <c r="B202" s="678" t="s">
        <v>1803</v>
      </c>
      <c r="C202" s="505"/>
      <c r="D202" s="506"/>
      <c r="E202" s="506">
        <v>0</v>
      </c>
      <c r="F202" s="506">
        <v>0</v>
      </c>
      <c r="G202" s="506">
        <v>0</v>
      </c>
      <c r="H202" s="506">
        <v>0</v>
      </c>
      <c r="I202" s="506">
        <v>0</v>
      </c>
      <c r="J202" s="506">
        <v>0</v>
      </c>
      <c r="K202" s="506"/>
      <c r="L202" s="506">
        <v>224300</v>
      </c>
      <c r="M202" s="506">
        <v>0</v>
      </c>
      <c r="N202" s="506">
        <v>0</v>
      </c>
      <c r="O202" s="506">
        <v>648300</v>
      </c>
      <c r="P202" s="1498">
        <f t="shared" si="24"/>
        <v>0</v>
      </c>
      <c r="Q202" s="696">
        <f t="shared" si="22"/>
        <v>872600</v>
      </c>
      <c r="R202" s="1075">
        <v>640440</v>
      </c>
      <c r="S202" s="1076">
        <v>553540</v>
      </c>
      <c r="T202" s="1076">
        <v>202700</v>
      </c>
      <c r="U202" s="1076">
        <v>0</v>
      </c>
      <c r="V202" s="1076">
        <v>0</v>
      </c>
      <c r="W202" s="1076">
        <v>0</v>
      </c>
      <c r="X202" s="1076"/>
      <c r="Y202" s="1076"/>
      <c r="Z202" s="1076"/>
      <c r="AA202" s="1076"/>
      <c r="AB202" s="1076"/>
      <c r="AC202" s="1076"/>
      <c r="AD202" s="1077">
        <f t="shared" si="21"/>
        <v>1396680</v>
      </c>
      <c r="AE202" s="609">
        <f t="shared" si="25"/>
        <v>1</v>
      </c>
      <c r="AF202" s="610">
        <f t="shared" si="23"/>
        <v>175</v>
      </c>
    </row>
    <row r="203" spans="1:32" x14ac:dyDescent="0.3">
      <c r="A203" s="544" t="s">
        <v>675</v>
      </c>
      <c r="B203" s="678" t="s">
        <v>800</v>
      </c>
      <c r="C203" s="505"/>
      <c r="D203" s="506"/>
      <c r="E203" s="506">
        <v>0</v>
      </c>
      <c r="F203" s="506">
        <v>0</v>
      </c>
      <c r="G203" s="506">
        <v>0</v>
      </c>
      <c r="H203" s="506">
        <v>0</v>
      </c>
      <c r="I203" s="506">
        <v>0</v>
      </c>
      <c r="J203" s="506">
        <v>0</v>
      </c>
      <c r="K203" s="506"/>
      <c r="L203" s="506">
        <v>2018500</v>
      </c>
      <c r="M203" s="506">
        <v>0</v>
      </c>
      <c r="N203" s="506">
        <v>2587110</v>
      </c>
      <c r="O203" s="506">
        <v>1278940</v>
      </c>
      <c r="P203" s="1498">
        <f t="shared" si="24"/>
        <v>0</v>
      </c>
      <c r="Q203" s="696">
        <f t="shared" si="22"/>
        <v>5884550</v>
      </c>
      <c r="R203" s="1075" t="s">
        <v>251</v>
      </c>
      <c r="S203" s="1076" t="s">
        <v>251</v>
      </c>
      <c r="T203" s="1076"/>
      <c r="U203" s="1076">
        <v>1029590</v>
      </c>
      <c r="V203" s="1076">
        <v>177320</v>
      </c>
      <c r="W203" s="1076">
        <v>0</v>
      </c>
      <c r="X203" s="1076">
        <v>0</v>
      </c>
      <c r="Y203" s="1076">
        <v>0</v>
      </c>
      <c r="Z203" s="1076"/>
      <c r="AA203" s="1076"/>
      <c r="AB203" s="1076"/>
      <c r="AC203" s="1076"/>
      <c r="AD203" s="1077">
        <f t="shared" si="21"/>
        <v>1206910</v>
      </c>
      <c r="AE203" s="609">
        <f t="shared" si="25"/>
        <v>1</v>
      </c>
      <c r="AF203" s="610">
        <f t="shared" si="23"/>
        <v>178</v>
      </c>
    </row>
    <row r="204" spans="1:32" x14ac:dyDescent="0.3">
      <c r="A204" s="544" t="s">
        <v>675</v>
      </c>
      <c r="B204" s="678" t="s">
        <v>1905</v>
      </c>
      <c r="C204" s="505"/>
      <c r="D204" s="506"/>
      <c r="E204" s="506">
        <v>0</v>
      </c>
      <c r="F204" s="506">
        <v>0</v>
      </c>
      <c r="G204" s="506">
        <v>0</v>
      </c>
      <c r="H204" s="506">
        <v>0</v>
      </c>
      <c r="I204" s="506">
        <v>0</v>
      </c>
      <c r="J204" s="506">
        <v>0</v>
      </c>
      <c r="K204" s="506"/>
      <c r="L204" s="506">
        <v>2185460</v>
      </c>
      <c r="M204" s="506">
        <v>0</v>
      </c>
      <c r="N204" s="506">
        <v>2547010</v>
      </c>
      <c r="O204" s="506">
        <v>479300</v>
      </c>
      <c r="P204" s="1498">
        <f t="shared" si="24"/>
        <v>0</v>
      </c>
      <c r="Q204" s="696">
        <f t="shared" si="22"/>
        <v>5211770</v>
      </c>
      <c r="R204" s="1075">
        <v>485700</v>
      </c>
      <c r="S204" s="1076" t="s">
        <v>251</v>
      </c>
      <c r="T204" s="1076">
        <v>1700050</v>
      </c>
      <c r="U204" s="1076">
        <v>1250110</v>
      </c>
      <c r="V204" s="1076">
        <v>867950</v>
      </c>
      <c r="W204" s="1076">
        <v>882360</v>
      </c>
      <c r="X204" s="1076">
        <v>0</v>
      </c>
      <c r="Y204" s="1076">
        <v>0</v>
      </c>
      <c r="Z204" s="1076"/>
      <c r="AA204" s="1076"/>
      <c r="AB204" s="1076"/>
      <c r="AC204" s="1076"/>
      <c r="AD204" s="1077">
        <f t="shared" si="21"/>
        <v>5186170</v>
      </c>
      <c r="AE204" s="609">
        <f t="shared" si="25"/>
        <v>1</v>
      </c>
      <c r="AF204" s="610">
        <f t="shared" si="23"/>
        <v>79</v>
      </c>
    </row>
    <row r="205" spans="1:32" x14ac:dyDescent="0.3">
      <c r="A205" s="544" t="s">
        <v>675</v>
      </c>
      <c r="B205" s="678" t="s">
        <v>1906</v>
      </c>
      <c r="C205" s="505"/>
      <c r="D205" s="506"/>
      <c r="E205" s="506">
        <v>0</v>
      </c>
      <c r="F205" s="506">
        <v>0</v>
      </c>
      <c r="G205" s="506">
        <v>0</v>
      </c>
      <c r="H205" s="506">
        <v>0</v>
      </c>
      <c r="I205" s="506">
        <v>0</v>
      </c>
      <c r="J205" s="506">
        <v>0</v>
      </c>
      <c r="K205" s="506"/>
      <c r="L205" s="506">
        <v>472650</v>
      </c>
      <c r="M205" s="506">
        <v>317480</v>
      </c>
      <c r="N205" s="506">
        <v>1109790</v>
      </c>
      <c r="O205" s="506">
        <v>314120</v>
      </c>
      <c r="P205" s="1498">
        <f t="shared" si="24"/>
        <v>0</v>
      </c>
      <c r="Q205" s="696">
        <f t="shared" si="22"/>
        <v>2214040</v>
      </c>
      <c r="R205" s="1075" t="s">
        <v>251</v>
      </c>
      <c r="S205" s="1076" t="s">
        <v>251</v>
      </c>
      <c r="T205" s="1076"/>
      <c r="U205" s="1076">
        <v>2294800</v>
      </c>
      <c r="V205" s="1076">
        <v>841340</v>
      </c>
      <c r="W205" s="1076">
        <v>355720</v>
      </c>
      <c r="X205" s="1076">
        <v>0</v>
      </c>
      <c r="Y205" s="1076">
        <v>0</v>
      </c>
      <c r="Z205" s="1076"/>
      <c r="AA205" s="1076"/>
      <c r="AB205" s="1076"/>
      <c r="AC205" s="1076"/>
      <c r="AD205" s="1077">
        <f t="shared" si="21"/>
        <v>3491860</v>
      </c>
      <c r="AE205" s="609">
        <f t="shared" si="25"/>
        <v>1</v>
      </c>
      <c r="AF205" s="610">
        <f t="shared" si="23"/>
        <v>110</v>
      </c>
    </row>
    <row r="206" spans="1:32" x14ac:dyDescent="0.3">
      <c r="A206" s="544" t="s">
        <v>675</v>
      </c>
      <c r="B206" s="678" t="s">
        <v>1907</v>
      </c>
      <c r="C206" s="505"/>
      <c r="D206" s="506"/>
      <c r="E206" s="506">
        <v>0</v>
      </c>
      <c r="F206" s="506">
        <v>0</v>
      </c>
      <c r="G206" s="506">
        <v>0</v>
      </c>
      <c r="H206" s="506">
        <v>0</v>
      </c>
      <c r="I206" s="506">
        <v>0</v>
      </c>
      <c r="J206" s="506">
        <v>0</v>
      </c>
      <c r="K206" s="506"/>
      <c r="L206" s="506">
        <v>126660</v>
      </c>
      <c r="M206" s="506">
        <v>590280</v>
      </c>
      <c r="N206" s="506">
        <v>299370</v>
      </c>
      <c r="O206" s="506">
        <v>478620</v>
      </c>
      <c r="P206" s="1498">
        <f t="shared" si="24"/>
        <v>0</v>
      </c>
      <c r="Q206" s="696">
        <f t="shared" si="22"/>
        <v>1494930</v>
      </c>
      <c r="R206" s="1075" t="s">
        <v>251</v>
      </c>
      <c r="S206" s="1076" t="s">
        <v>251</v>
      </c>
      <c r="T206" s="1076">
        <v>511410</v>
      </c>
      <c r="U206" s="1076">
        <v>1201530</v>
      </c>
      <c r="V206" s="1076">
        <v>743180</v>
      </c>
      <c r="W206" s="1076">
        <v>521670</v>
      </c>
      <c r="X206" s="1076">
        <v>10800</v>
      </c>
      <c r="Y206" s="1076">
        <v>295080</v>
      </c>
      <c r="Z206" s="1076"/>
      <c r="AA206" s="1076"/>
      <c r="AB206" s="1076"/>
      <c r="AC206" s="1076"/>
      <c r="AD206" s="1077">
        <f t="shared" si="21"/>
        <v>3283670</v>
      </c>
      <c r="AE206" s="609">
        <f t="shared" si="25"/>
        <v>1</v>
      </c>
      <c r="AF206" s="610">
        <f t="shared" si="23"/>
        <v>115</v>
      </c>
    </row>
    <row r="207" spans="1:32" x14ac:dyDescent="0.3">
      <c r="A207" s="544" t="s">
        <v>675</v>
      </c>
      <c r="B207" s="678" t="s">
        <v>1908</v>
      </c>
      <c r="C207" s="505"/>
      <c r="D207" s="506"/>
      <c r="E207" s="506">
        <v>0</v>
      </c>
      <c r="F207" s="506">
        <v>0</v>
      </c>
      <c r="G207" s="506">
        <v>0</v>
      </c>
      <c r="H207" s="506">
        <v>0</v>
      </c>
      <c r="I207" s="506">
        <v>0</v>
      </c>
      <c r="J207" s="506">
        <v>0</v>
      </c>
      <c r="K207" s="506"/>
      <c r="L207" s="506">
        <v>491940</v>
      </c>
      <c r="M207" s="506">
        <v>0</v>
      </c>
      <c r="N207" s="506">
        <v>166930</v>
      </c>
      <c r="O207" s="506">
        <v>314000</v>
      </c>
      <c r="P207" s="1498">
        <f t="shared" si="24"/>
        <v>0</v>
      </c>
      <c r="Q207" s="696">
        <f t="shared" si="22"/>
        <v>972870</v>
      </c>
      <c r="R207" s="1075" t="s">
        <v>251</v>
      </c>
      <c r="S207" s="1076" t="s">
        <v>251</v>
      </c>
      <c r="T207" s="1076"/>
      <c r="U207" s="1076"/>
      <c r="V207" s="1076"/>
      <c r="W207" s="1076"/>
      <c r="X207" s="1076"/>
      <c r="Y207" s="1076"/>
      <c r="Z207" s="1076"/>
      <c r="AA207" s="1076"/>
      <c r="AB207" s="1076"/>
      <c r="AC207" s="1076"/>
      <c r="AD207" s="1077">
        <f t="shared" si="21"/>
        <v>0</v>
      </c>
      <c r="AE207" s="609">
        <f t="shared" si="25"/>
        <v>0</v>
      </c>
      <c r="AF207" s="610">
        <f t="shared" si="23"/>
        <v>394</v>
      </c>
    </row>
    <row r="208" spans="1:32" x14ac:dyDescent="0.3">
      <c r="A208" s="544" t="s">
        <v>675</v>
      </c>
      <c r="B208" s="678" t="s">
        <v>1889</v>
      </c>
      <c r="C208" s="505"/>
      <c r="D208" s="506"/>
      <c r="E208" s="506">
        <v>0</v>
      </c>
      <c r="F208" s="506">
        <v>0</v>
      </c>
      <c r="G208" s="506">
        <v>0</v>
      </c>
      <c r="H208" s="506">
        <v>0</v>
      </c>
      <c r="I208" s="506">
        <v>0</v>
      </c>
      <c r="J208" s="506">
        <v>0</v>
      </c>
      <c r="K208" s="506"/>
      <c r="L208" s="506">
        <v>381000</v>
      </c>
      <c r="M208" s="506">
        <v>162220</v>
      </c>
      <c r="N208" s="506">
        <v>0</v>
      </c>
      <c r="O208" s="506">
        <v>0</v>
      </c>
      <c r="P208" s="1498">
        <f t="shared" si="24"/>
        <v>0</v>
      </c>
      <c r="Q208" s="696">
        <f t="shared" si="22"/>
        <v>543220</v>
      </c>
      <c r="R208" s="1075" t="s">
        <v>251</v>
      </c>
      <c r="S208" s="1076" t="s">
        <v>251</v>
      </c>
      <c r="T208" s="1076"/>
      <c r="U208" s="1076"/>
      <c r="V208" s="1076"/>
      <c r="W208" s="1076"/>
      <c r="X208" s="1076"/>
      <c r="Y208" s="1076"/>
      <c r="Z208" s="1076"/>
      <c r="AA208" s="1076"/>
      <c r="AB208" s="1076"/>
      <c r="AC208" s="1076"/>
      <c r="AD208" s="1077">
        <f t="shared" si="21"/>
        <v>0</v>
      </c>
      <c r="AE208" s="609">
        <f t="shared" si="25"/>
        <v>0</v>
      </c>
      <c r="AF208" s="610">
        <f t="shared" si="23"/>
        <v>394</v>
      </c>
    </row>
    <row r="209" spans="1:32" x14ac:dyDescent="0.3">
      <c r="A209" s="544" t="s">
        <v>675</v>
      </c>
      <c r="B209" s="678" t="s">
        <v>1909</v>
      </c>
      <c r="C209" s="505"/>
      <c r="D209" s="506"/>
      <c r="E209" s="506">
        <v>0</v>
      </c>
      <c r="F209" s="506">
        <v>0</v>
      </c>
      <c r="G209" s="506">
        <v>0</v>
      </c>
      <c r="H209" s="506">
        <v>0</v>
      </c>
      <c r="I209" s="506">
        <v>0</v>
      </c>
      <c r="J209" s="506">
        <v>0</v>
      </c>
      <c r="K209" s="506"/>
      <c r="L209" s="506">
        <v>575020</v>
      </c>
      <c r="M209" s="506">
        <v>0</v>
      </c>
      <c r="N209" s="506">
        <v>0</v>
      </c>
      <c r="O209" s="506">
        <v>1725500</v>
      </c>
      <c r="P209" s="1498">
        <f t="shared" si="24"/>
        <v>0</v>
      </c>
      <c r="Q209" s="696">
        <f t="shared" si="22"/>
        <v>2300520</v>
      </c>
      <c r="R209" s="1075" t="s">
        <v>251</v>
      </c>
      <c r="S209" s="1076" t="s">
        <v>251</v>
      </c>
      <c r="T209" s="1076"/>
      <c r="U209" s="1076"/>
      <c r="V209" s="1076"/>
      <c r="W209" s="1076"/>
      <c r="X209" s="1076"/>
      <c r="Y209" s="1076"/>
      <c r="Z209" s="1076"/>
      <c r="AA209" s="1076"/>
      <c r="AB209" s="1076"/>
      <c r="AC209" s="1076"/>
      <c r="AD209" s="1077">
        <f t="shared" si="21"/>
        <v>0</v>
      </c>
      <c r="AE209" s="609">
        <f t="shared" si="25"/>
        <v>0</v>
      </c>
      <c r="AF209" s="610">
        <f t="shared" si="23"/>
        <v>394</v>
      </c>
    </row>
    <row r="210" spans="1:32" x14ac:dyDescent="0.3">
      <c r="A210" s="544" t="s">
        <v>675</v>
      </c>
      <c r="B210" s="678" t="s">
        <v>1910</v>
      </c>
      <c r="C210" s="505"/>
      <c r="D210" s="506"/>
      <c r="E210" s="506">
        <v>0</v>
      </c>
      <c r="F210" s="506">
        <v>0</v>
      </c>
      <c r="G210" s="506">
        <v>0</v>
      </c>
      <c r="H210" s="506">
        <v>0</v>
      </c>
      <c r="I210" s="506">
        <v>0</v>
      </c>
      <c r="J210" s="506">
        <v>0</v>
      </c>
      <c r="K210" s="506"/>
      <c r="L210" s="506">
        <v>63810</v>
      </c>
      <c r="M210" s="506">
        <v>377730</v>
      </c>
      <c r="N210" s="506">
        <v>0</v>
      </c>
      <c r="O210" s="506">
        <v>0</v>
      </c>
      <c r="P210" s="1498">
        <f t="shared" si="24"/>
        <v>0</v>
      </c>
      <c r="Q210" s="696">
        <f t="shared" si="22"/>
        <v>441540</v>
      </c>
      <c r="R210" s="1075" t="s">
        <v>251</v>
      </c>
      <c r="S210" s="1076" t="s">
        <v>251</v>
      </c>
      <c r="T210" s="1076"/>
      <c r="U210" s="1076"/>
      <c r="V210" s="1076"/>
      <c r="W210" s="1076"/>
      <c r="X210" s="1076"/>
      <c r="Y210" s="1076"/>
      <c r="Z210" s="1076"/>
      <c r="AA210" s="1076"/>
      <c r="AB210" s="1076"/>
      <c r="AC210" s="1076"/>
      <c r="AD210" s="1077">
        <f t="shared" si="21"/>
        <v>0</v>
      </c>
      <c r="AE210" s="609">
        <f t="shared" si="25"/>
        <v>0</v>
      </c>
      <c r="AF210" s="610">
        <f t="shared" si="23"/>
        <v>394</v>
      </c>
    </row>
    <row r="211" spans="1:32" x14ac:dyDescent="0.3">
      <c r="A211" s="544" t="s">
        <v>675</v>
      </c>
      <c r="B211" s="678" t="s">
        <v>1911</v>
      </c>
      <c r="C211" s="505"/>
      <c r="D211" s="506"/>
      <c r="E211" s="506">
        <v>0</v>
      </c>
      <c r="F211" s="506">
        <v>0</v>
      </c>
      <c r="G211" s="506">
        <v>0</v>
      </c>
      <c r="H211" s="506">
        <v>0</v>
      </c>
      <c r="I211" s="506">
        <v>0</v>
      </c>
      <c r="J211" s="506">
        <v>0</v>
      </c>
      <c r="K211" s="506"/>
      <c r="L211" s="506">
        <v>324730</v>
      </c>
      <c r="M211" s="506">
        <v>0</v>
      </c>
      <c r="N211" s="506">
        <v>3053710</v>
      </c>
      <c r="O211" s="506">
        <v>2418410</v>
      </c>
      <c r="P211" s="1498">
        <f t="shared" si="24"/>
        <v>0</v>
      </c>
      <c r="Q211" s="696">
        <f t="shared" si="22"/>
        <v>5796850</v>
      </c>
      <c r="R211" s="1075">
        <v>1460600</v>
      </c>
      <c r="S211" s="1076" t="s">
        <v>251</v>
      </c>
      <c r="T211" s="1076">
        <v>0</v>
      </c>
      <c r="U211" s="1076">
        <v>0</v>
      </c>
      <c r="V211" s="1076">
        <v>0</v>
      </c>
      <c r="W211" s="1076">
        <v>363590</v>
      </c>
      <c r="X211" s="1076">
        <v>324040</v>
      </c>
      <c r="Y211" s="1076">
        <v>0</v>
      </c>
      <c r="Z211" s="1076"/>
      <c r="AA211" s="1076"/>
      <c r="AB211" s="1076"/>
      <c r="AC211" s="1076"/>
      <c r="AD211" s="1077">
        <f t="shared" si="21"/>
        <v>2148230</v>
      </c>
      <c r="AE211" s="609">
        <f t="shared" si="25"/>
        <v>1</v>
      </c>
      <c r="AF211" s="610">
        <f t="shared" si="23"/>
        <v>140</v>
      </c>
    </row>
    <row r="212" spans="1:32" x14ac:dyDescent="0.3">
      <c r="A212" s="544" t="s">
        <v>675</v>
      </c>
      <c r="B212" s="678" t="s">
        <v>1170</v>
      </c>
      <c r="C212" s="505"/>
      <c r="D212" s="506"/>
      <c r="E212" s="506">
        <v>0</v>
      </c>
      <c r="F212" s="506">
        <v>0</v>
      </c>
      <c r="G212" s="506">
        <v>0</v>
      </c>
      <c r="H212" s="506">
        <v>0</v>
      </c>
      <c r="I212" s="506">
        <v>0</v>
      </c>
      <c r="J212" s="506">
        <v>0</v>
      </c>
      <c r="K212" s="506"/>
      <c r="L212" s="506">
        <v>318120</v>
      </c>
      <c r="M212" s="506">
        <v>0</v>
      </c>
      <c r="N212" s="506">
        <v>0</v>
      </c>
      <c r="O212" s="506">
        <v>0</v>
      </c>
      <c r="P212" s="1498">
        <f t="shared" si="24"/>
        <v>0</v>
      </c>
      <c r="Q212" s="696">
        <f t="shared" si="22"/>
        <v>318120</v>
      </c>
      <c r="R212" s="1075" t="s">
        <v>251</v>
      </c>
      <c r="S212" s="1076" t="s">
        <v>251</v>
      </c>
      <c r="T212" s="1076"/>
      <c r="U212" s="1076"/>
      <c r="V212" s="1076"/>
      <c r="W212" s="1076"/>
      <c r="X212" s="1076"/>
      <c r="Y212" s="1076"/>
      <c r="Z212" s="1076"/>
      <c r="AA212" s="1076"/>
      <c r="AB212" s="1076"/>
      <c r="AC212" s="1076"/>
      <c r="AD212" s="1077">
        <f t="shared" si="21"/>
        <v>0</v>
      </c>
      <c r="AE212" s="609">
        <f t="shared" si="25"/>
        <v>0</v>
      </c>
      <c r="AF212" s="610">
        <f t="shared" si="23"/>
        <v>394</v>
      </c>
    </row>
    <row r="213" spans="1:32" x14ac:dyDescent="0.3">
      <c r="A213" s="544" t="s">
        <v>675</v>
      </c>
      <c r="B213" s="678" t="s">
        <v>1912</v>
      </c>
      <c r="C213" s="505"/>
      <c r="D213" s="506"/>
      <c r="E213" s="506">
        <v>0</v>
      </c>
      <c r="F213" s="506">
        <v>0</v>
      </c>
      <c r="G213" s="506">
        <v>0</v>
      </c>
      <c r="H213" s="506">
        <v>0</v>
      </c>
      <c r="I213" s="506">
        <v>0</v>
      </c>
      <c r="J213" s="506">
        <v>0</v>
      </c>
      <c r="K213" s="506"/>
      <c r="L213" s="506">
        <v>164030</v>
      </c>
      <c r="M213" s="506">
        <v>0</v>
      </c>
      <c r="N213" s="506">
        <v>0</v>
      </c>
      <c r="O213" s="506">
        <v>0</v>
      </c>
      <c r="P213" s="1498">
        <f t="shared" si="24"/>
        <v>0</v>
      </c>
      <c r="Q213" s="696">
        <f t="shared" si="22"/>
        <v>164030</v>
      </c>
      <c r="R213" s="1075" t="s">
        <v>251</v>
      </c>
      <c r="S213" s="1076" t="s">
        <v>251</v>
      </c>
      <c r="T213" s="1076"/>
      <c r="U213" s="1076"/>
      <c r="V213" s="1076"/>
      <c r="W213" s="1076"/>
      <c r="X213" s="1076"/>
      <c r="Y213" s="1076"/>
      <c r="Z213" s="1076"/>
      <c r="AA213" s="1076"/>
      <c r="AB213" s="1076"/>
      <c r="AC213" s="1076"/>
      <c r="AD213" s="1077">
        <f t="shared" si="21"/>
        <v>0</v>
      </c>
      <c r="AE213" s="609">
        <f t="shared" si="25"/>
        <v>0</v>
      </c>
      <c r="AF213" s="610">
        <f t="shared" si="23"/>
        <v>394</v>
      </c>
    </row>
    <row r="214" spans="1:32" x14ac:dyDescent="0.3">
      <c r="A214" s="544" t="s">
        <v>675</v>
      </c>
      <c r="B214" s="678" t="s">
        <v>887</v>
      </c>
      <c r="C214" s="505"/>
      <c r="D214" s="506"/>
      <c r="E214" s="506">
        <v>0</v>
      </c>
      <c r="F214" s="506">
        <v>0</v>
      </c>
      <c r="G214" s="506">
        <v>0</v>
      </c>
      <c r="H214" s="506">
        <v>0</v>
      </c>
      <c r="I214" s="506">
        <v>0</v>
      </c>
      <c r="J214" s="506">
        <v>0</v>
      </c>
      <c r="K214" s="506"/>
      <c r="L214" s="506">
        <v>95710</v>
      </c>
      <c r="M214" s="506">
        <v>0</v>
      </c>
      <c r="N214" s="506">
        <v>0</v>
      </c>
      <c r="O214" s="506">
        <v>0</v>
      </c>
      <c r="P214" s="1498">
        <f t="shared" si="24"/>
        <v>0</v>
      </c>
      <c r="Q214" s="696">
        <f t="shared" si="22"/>
        <v>95710</v>
      </c>
      <c r="R214" s="1075" t="s">
        <v>251</v>
      </c>
      <c r="S214" s="1076" t="s">
        <v>251</v>
      </c>
      <c r="T214" s="1076"/>
      <c r="U214" s="1076"/>
      <c r="V214" s="1076"/>
      <c r="W214" s="1076"/>
      <c r="X214" s="1076"/>
      <c r="Y214" s="1076"/>
      <c r="Z214" s="1076"/>
      <c r="AA214" s="1076"/>
      <c r="AB214" s="1076"/>
      <c r="AC214" s="1076"/>
      <c r="AD214" s="1077">
        <f t="shared" si="21"/>
        <v>0</v>
      </c>
      <c r="AE214" s="609">
        <f t="shared" si="25"/>
        <v>0</v>
      </c>
      <c r="AF214" s="610">
        <f t="shared" si="23"/>
        <v>394</v>
      </c>
    </row>
    <row r="215" spans="1:32" x14ac:dyDescent="0.3">
      <c r="A215" s="544" t="s">
        <v>675</v>
      </c>
      <c r="B215" s="678" t="s">
        <v>1913</v>
      </c>
      <c r="C215" s="505"/>
      <c r="D215" s="506"/>
      <c r="E215" s="506" t="s">
        <v>251</v>
      </c>
      <c r="F215" s="506" t="s">
        <v>251</v>
      </c>
      <c r="G215" s="506" t="s">
        <v>251</v>
      </c>
      <c r="H215" s="506">
        <v>0</v>
      </c>
      <c r="I215" s="506" t="s">
        <v>251</v>
      </c>
      <c r="J215" s="506">
        <v>0</v>
      </c>
      <c r="K215" s="506"/>
      <c r="L215" s="506">
        <v>91920</v>
      </c>
      <c r="M215" s="506">
        <v>0</v>
      </c>
      <c r="N215" s="506">
        <v>0</v>
      </c>
      <c r="O215" s="506">
        <v>0</v>
      </c>
      <c r="P215" s="1498">
        <f t="shared" si="24"/>
        <v>0</v>
      </c>
      <c r="Q215" s="696">
        <f t="shared" si="22"/>
        <v>91920</v>
      </c>
      <c r="R215" s="1075" t="s">
        <v>251</v>
      </c>
      <c r="S215" s="1076" t="s">
        <v>251</v>
      </c>
      <c r="T215" s="1076"/>
      <c r="U215" s="1076"/>
      <c r="V215" s="1076"/>
      <c r="W215" s="1076"/>
      <c r="X215" s="1076"/>
      <c r="Y215" s="1076"/>
      <c r="Z215" s="1076"/>
      <c r="AA215" s="1076"/>
      <c r="AB215" s="1076"/>
      <c r="AC215" s="1076"/>
      <c r="AD215" s="1077">
        <f t="shared" si="21"/>
        <v>0</v>
      </c>
      <c r="AE215" s="609">
        <f t="shared" si="25"/>
        <v>0</v>
      </c>
      <c r="AF215" s="610">
        <f t="shared" si="23"/>
        <v>394</v>
      </c>
    </row>
    <row r="216" spans="1:32" x14ac:dyDescent="0.3">
      <c r="A216" s="544" t="s">
        <v>675</v>
      </c>
      <c r="B216" s="678" t="s">
        <v>1914</v>
      </c>
      <c r="C216" s="505"/>
      <c r="D216" s="506"/>
      <c r="E216" s="506">
        <v>0</v>
      </c>
      <c r="F216" s="506">
        <v>0</v>
      </c>
      <c r="G216" s="506">
        <v>0</v>
      </c>
      <c r="H216" s="506">
        <v>0</v>
      </c>
      <c r="I216" s="506">
        <v>0</v>
      </c>
      <c r="J216" s="506">
        <v>0</v>
      </c>
      <c r="K216" s="506"/>
      <c r="L216" s="506">
        <v>34600</v>
      </c>
      <c r="M216" s="506">
        <v>0</v>
      </c>
      <c r="N216" s="506">
        <v>0</v>
      </c>
      <c r="O216" s="506">
        <v>0</v>
      </c>
      <c r="P216" s="1498">
        <f t="shared" si="24"/>
        <v>0</v>
      </c>
      <c r="Q216" s="696">
        <f t="shared" si="22"/>
        <v>34600</v>
      </c>
      <c r="R216" s="1075" t="s">
        <v>251</v>
      </c>
      <c r="S216" s="1076" t="s">
        <v>251</v>
      </c>
      <c r="T216" s="1076"/>
      <c r="U216" s="1076"/>
      <c r="V216" s="1076"/>
      <c r="W216" s="1076"/>
      <c r="X216" s="1076"/>
      <c r="Y216" s="1076"/>
      <c r="Z216" s="1076"/>
      <c r="AA216" s="1076"/>
      <c r="AB216" s="1076"/>
      <c r="AC216" s="1076"/>
      <c r="AD216" s="1077">
        <f t="shared" si="21"/>
        <v>0</v>
      </c>
      <c r="AE216" s="609">
        <f t="shared" si="25"/>
        <v>0</v>
      </c>
      <c r="AF216" s="610">
        <f t="shared" si="23"/>
        <v>394</v>
      </c>
    </row>
    <row r="217" spans="1:32" x14ac:dyDescent="0.3">
      <c r="A217" s="544" t="s">
        <v>675</v>
      </c>
      <c r="B217" s="678" t="s">
        <v>634</v>
      </c>
      <c r="C217" s="505"/>
      <c r="D217" s="506"/>
      <c r="E217" s="506">
        <v>0</v>
      </c>
      <c r="F217" s="506">
        <v>0</v>
      </c>
      <c r="G217" s="506">
        <v>0</v>
      </c>
      <c r="H217" s="506">
        <v>0</v>
      </c>
      <c r="I217" s="506">
        <v>0</v>
      </c>
      <c r="J217" s="506">
        <v>0</v>
      </c>
      <c r="K217" s="506"/>
      <c r="L217" s="506">
        <v>0</v>
      </c>
      <c r="M217" s="506">
        <v>1391310</v>
      </c>
      <c r="N217" s="506">
        <v>1071850</v>
      </c>
      <c r="O217" s="506">
        <v>27300</v>
      </c>
      <c r="P217" s="1498">
        <f t="shared" si="24"/>
        <v>0</v>
      </c>
      <c r="Q217" s="696">
        <f t="shared" si="22"/>
        <v>2490460</v>
      </c>
      <c r="R217" s="1075">
        <v>400760</v>
      </c>
      <c r="S217" s="1076" t="s">
        <v>251</v>
      </c>
      <c r="T217" s="1076">
        <v>0</v>
      </c>
      <c r="U217" s="1076">
        <v>3127280</v>
      </c>
      <c r="V217" s="1076">
        <v>1044690</v>
      </c>
      <c r="W217" s="1076">
        <v>1493040</v>
      </c>
      <c r="X217" s="1076">
        <v>674530</v>
      </c>
      <c r="Y217" s="1076">
        <v>1784770</v>
      </c>
      <c r="Z217" s="1076"/>
      <c r="AA217" s="1076"/>
      <c r="AB217" s="1076"/>
      <c r="AC217" s="1076"/>
      <c r="AD217" s="1077">
        <f t="shared" si="21"/>
        <v>8525070</v>
      </c>
      <c r="AE217" s="609">
        <f t="shared" si="25"/>
        <v>1</v>
      </c>
      <c r="AF217" s="610">
        <f t="shared" si="23"/>
        <v>54</v>
      </c>
    </row>
    <row r="218" spans="1:32" x14ac:dyDescent="0.3">
      <c r="A218" s="544" t="s">
        <v>675</v>
      </c>
      <c r="B218" s="678" t="s">
        <v>1921</v>
      </c>
      <c r="C218" s="505"/>
      <c r="D218" s="506"/>
      <c r="E218" s="506">
        <v>0</v>
      </c>
      <c r="F218" s="506">
        <v>0</v>
      </c>
      <c r="G218" s="506">
        <v>0</v>
      </c>
      <c r="H218" s="506">
        <v>0</v>
      </c>
      <c r="I218" s="506">
        <v>0</v>
      </c>
      <c r="J218" s="506">
        <v>0</v>
      </c>
      <c r="K218" s="506"/>
      <c r="L218" s="506">
        <v>0</v>
      </c>
      <c r="M218" s="506">
        <v>9294880</v>
      </c>
      <c r="N218" s="506">
        <v>294690</v>
      </c>
      <c r="O218" s="506">
        <v>0</v>
      </c>
      <c r="P218" s="1498">
        <f t="shared" si="24"/>
        <v>0</v>
      </c>
      <c r="Q218" s="696">
        <f t="shared" si="22"/>
        <v>9589570</v>
      </c>
      <c r="R218" s="1075" t="s">
        <v>251</v>
      </c>
      <c r="S218" s="1076" t="s">
        <v>251</v>
      </c>
      <c r="T218" s="1076"/>
      <c r="U218" s="1076"/>
      <c r="V218" s="1076"/>
      <c r="W218" s="1076"/>
      <c r="X218" s="1076"/>
      <c r="Y218" s="1076"/>
      <c r="Z218" s="1076"/>
      <c r="AA218" s="1076"/>
      <c r="AB218" s="1076"/>
      <c r="AC218" s="1076"/>
      <c r="AD218" s="1077">
        <f t="shared" si="21"/>
        <v>0</v>
      </c>
      <c r="AE218" s="609">
        <f t="shared" si="25"/>
        <v>0</v>
      </c>
      <c r="AF218" s="610">
        <f t="shared" si="23"/>
        <v>394</v>
      </c>
    </row>
    <row r="219" spans="1:32" x14ac:dyDescent="0.3">
      <c r="A219" s="544" t="s">
        <v>675</v>
      </c>
      <c r="B219" s="678" t="s">
        <v>1922</v>
      </c>
      <c r="C219" s="505"/>
      <c r="D219" s="506"/>
      <c r="E219" s="506">
        <v>0</v>
      </c>
      <c r="F219" s="506">
        <v>0</v>
      </c>
      <c r="G219" s="506">
        <v>0</v>
      </c>
      <c r="H219" s="506">
        <v>0</v>
      </c>
      <c r="I219" s="506">
        <v>0</v>
      </c>
      <c r="J219" s="506">
        <v>0</v>
      </c>
      <c r="K219" s="506"/>
      <c r="L219" s="506">
        <v>0</v>
      </c>
      <c r="M219" s="506">
        <v>6111270</v>
      </c>
      <c r="N219" s="506">
        <v>0</v>
      </c>
      <c r="O219" s="506">
        <v>0</v>
      </c>
      <c r="P219" s="1498">
        <f t="shared" si="24"/>
        <v>0</v>
      </c>
      <c r="Q219" s="696">
        <f t="shared" si="22"/>
        <v>6111270</v>
      </c>
      <c r="R219" s="1075" t="s">
        <v>251</v>
      </c>
      <c r="S219" s="1076" t="s">
        <v>251</v>
      </c>
      <c r="T219" s="1076"/>
      <c r="U219" s="1076"/>
      <c r="V219" s="1076"/>
      <c r="W219" s="1076"/>
      <c r="X219" s="1076"/>
      <c r="Y219" s="1076"/>
      <c r="Z219" s="1076"/>
      <c r="AA219" s="1076"/>
      <c r="AB219" s="1076"/>
      <c r="AC219" s="1076"/>
      <c r="AD219" s="1077">
        <f t="shared" si="21"/>
        <v>0</v>
      </c>
      <c r="AE219" s="609">
        <f t="shared" si="25"/>
        <v>0</v>
      </c>
      <c r="AF219" s="610">
        <f t="shared" si="23"/>
        <v>394</v>
      </c>
    </row>
    <row r="220" spans="1:32" x14ac:dyDescent="0.3">
      <c r="A220" s="544" t="s">
        <v>675</v>
      </c>
      <c r="B220" s="678" t="s">
        <v>1923</v>
      </c>
      <c r="C220" s="505"/>
      <c r="D220" s="506"/>
      <c r="E220" s="506">
        <v>0</v>
      </c>
      <c r="F220" s="506">
        <v>0</v>
      </c>
      <c r="G220" s="506">
        <v>0</v>
      </c>
      <c r="H220" s="506">
        <v>0</v>
      </c>
      <c r="I220" s="506">
        <v>0</v>
      </c>
      <c r="J220" s="506">
        <v>0</v>
      </c>
      <c r="K220" s="506"/>
      <c r="L220" s="506">
        <v>0</v>
      </c>
      <c r="M220" s="506">
        <v>3438570</v>
      </c>
      <c r="N220" s="506">
        <v>1188240</v>
      </c>
      <c r="O220" s="506">
        <v>0</v>
      </c>
      <c r="P220" s="1498">
        <f t="shared" si="24"/>
        <v>0</v>
      </c>
      <c r="Q220" s="696">
        <f t="shared" si="22"/>
        <v>4626810</v>
      </c>
      <c r="R220" s="1075" t="s">
        <v>251</v>
      </c>
      <c r="S220" s="1076" t="s">
        <v>251</v>
      </c>
      <c r="T220" s="1076"/>
      <c r="U220" s="1076"/>
      <c r="V220" s="1076"/>
      <c r="W220" s="1076"/>
      <c r="X220" s="1076"/>
      <c r="Y220" s="1076"/>
      <c r="Z220" s="1076"/>
      <c r="AA220" s="1076"/>
      <c r="AB220" s="1076"/>
      <c r="AC220" s="1076"/>
      <c r="AD220" s="1077">
        <f t="shared" si="21"/>
        <v>0</v>
      </c>
      <c r="AE220" s="609">
        <f t="shared" si="25"/>
        <v>0</v>
      </c>
      <c r="AF220" s="610">
        <f t="shared" si="23"/>
        <v>394</v>
      </c>
    </row>
    <row r="221" spans="1:32" x14ac:dyDescent="0.3">
      <c r="A221" s="544" t="s">
        <v>675</v>
      </c>
      <c r="B221" s="678" t="s">
        <v>394</v>
      </c>
      <c r="C221" s="505"/>
      <c r="D221" s="506"/>
      <c r="E221" s="506">
        <v>0</v>
      </c>
      <c r="F221" s="506">
        <v>0</v>
      </c>
      <c r="G221" s="506">
        <v>0</v>
      </c>
      <c r="H221" s="506">
        <v>0</v>
      </c>
      <c r="I221" s="506">
        <v>0</v>
      </c>
      <c r="J221" s="506">
        <v>0</v>
      </c>
      <c r="K221" s="506"/>
      <c r="L221" s="506">
        <v>0</v>
      </c>
      <c r="M221" s="506">
        <v>3504240</v>
      </c>
      <c r="N221" s="506">
        <v>0</v>
      </c>
      <c r="O221" s="506">
        <v>5181860</v>
      </c>
      <c r="P221" s="1498">
        <f t="shared" si="24"/>
        <v>0</v>
      </c>
      <c r="Q221" s="696">
        <f t="shared" si="22"/>
        <v>8686100</v>
      </c>
      <c r="R221" s="1075">
        <v>3533370</v>
      </c>
      <c r="S221" s="1076" t="s">
        <v>251</v>
      </c>
      <c r="T221" s="1076">
        <v>94510</v>
      </c>
      <c r="U221" s="1076">
        <v>154150</v>
      </c>
      <c r="V221" s="1076">
        <v>1289040</v>
      </c>
      <c r="W221" s="1076">
        <v>4590320</v>
      </c>
      <c r="X221" s="1076">
        <v>6389820</v>
      </c>
      <c r="Y221" s="1076">
        <v>945770</v>
      </c>
      <c r="Z221" s="1076"/>
      <c r="AA221" s="1076"/>
      <c r="AB221" s="1076"/>
      <c r="AC221" s="1076"/>
      <c r="AD221" s="1077">
        <f t="shared" si="21"/>
        <v>16996980</v>
      </c>
      <c r="AE221" s="609">
        <f t="shared" si="25"/>
        <v>1</v>
      </c>
      <c r="AF221" s="610">
        <f t="shared" si="23"/>
        <v>28</v>
      </c>
    </row>
    <row r="222" spans="1:32" x14ac:dyDescent="0.3">
      <c r="A222" s="544" t="s">
        <v>675</v>
      </c>
      <c r="B222" s="678" t="s">
        <v>1839</v>
      </c>
      <c r="C222" s="505"/>
      <c r="D222" s="506"/>
      <c r="E222" s="506">
        <v>0</v>
      </c>
      <c r="F222" s="506">
        <v>0</v>
      </c>
      <c r="G222" s="506">
        <v>0</v>
      </c>
      <c r="H222" s="506">
        <v>0</v>
      </c>
      <c r="I222" s="506">
        <v>0</v>
      </c>
      <c r="J222" s="506">
        <v>0</v>
      </c>
      <c r="K222" s="506"/>
      <c r="L222" s="506">
        <v>0</v>
      </c>
      <c r="M222" s="506">
        <v>1705510</v>
      </c>
      <c r="N222" s="506">
        <v>614550</v>
      </c>
      <c r="O222" s="506">
        <v>629240</v>
      </c>
      <c r="P222" s="1498">
        <f t="shared" si="24"/>
        <v>0</v>
      </c>
      <c r="Q222" s="696">
        <f t="shared" si="22"/>
        <v>2949300</v>
      </c>
      <c r="R222" s="1075" t="s">
        <v>251</v>
      </c>
      <c r="S222" s="1076" t="s">
        <v>251</v>
      </c>
      <c r="T222" s="1076"/>
      <c r="U222" s="1076"/>
      <c r="V222" s="1076"/>
      <c r="W222" s="1076"/>
      <c r="X222" s="1076">
        <v>448290</v>
      </c>
      <c r="Y222" s="1076">
        <v>143630</v>
      </c>
      <c r="Z222" s="1076"/>
      <c r="AA222" s="1076"/>
      <c r="AB222" s="1076"/>
      <c r="AC222" s="1076"/>
      <c r="AD222" s="1077">
        <f t="shared" si="21"/>
        <v>591920</v>
      </c>
      <c r="AE222" s="609">
        <f t="shared" si="25"/>
        <v>1</v>
      </c>
      <c r="AF222" s="610">
        <f t="shared" si="23"/>
        <v>247</v>
      </c>
    </row>
    <row r="223" spans="1:32" x14ac:dyDescent="0.3">
      <c r="A223" s="544" t="s">
        <v>675</v>
      </c>
      <c r="B223" s="678" t="s">
        <v>1924</v>
      </c>
      <c r="C223" s="505"/>
      <c r="D223" s="506"/>
      <c r="E223" s="506">
        <v>0</v>
      </c>
      <c r="F223" s="506">
        <v>0</v>
      </c>
      <c r="G223" s="506">
        <v>0</v>
      </c>
      <c r="H223" s="506">
        <v>0</v>
      </c>
      <c r="I223" s="506">
        <v>0</v>
      </c>
      <c r="J223" s="506">
        <v>0</v>
      </c>
      <c r="K223" s="506"/>
      <c r="L223" s="506">
        <v>0</v>
      </c>
      <c r="M223" s="506">
        <v>1504140</v>
      </c>
      <c r="N223" s="506">
        <v>363740</v>
      </c>
      <c r="O223" s="506">
        <v>1099200</v>
      </c>
      <c r="P223" s="1498">
        <f t="shared" si="24"/>
        <v>0</v>
      </c>
      <c r="Q223" s="696">
        <f t="shared" si="22"/>
        <v>2967080</v>
      </c>
      <c r="R223" s="1075">
        <v>394640</v>
      </c>
      <c r="S223" s="1076" t="s">
        <v>251</v>
      </c>
      <c r="T223" s="1076">
        <v>1149600</v>
      </c>
      <c r="U223" s="1076">
        <v>0</v>
      </c>
      <c r="V223" s="1076">
        <v>0</v>
      </c>
      <c r="W223" s="1076">
        <v>1318470</v>
      </c>
      <c r="X223" s="1076">
        <v>741400</v>
      </c>
      <c r="Y223" s="1076">
        <v>0</v>
      </c>
      <c r="Z223" s="1076"/>
      <c r="AA223" s="1076"/>
      <c r="AB223" s="1076"/>
      <c r="AC223" s="1076"/>
      <c r="AD223" s="1077">
        <f t="shared" si="21"/>
        <v>3604110</v>
      </c>
      <c r="AE223" s="609">
        <f t="shared" si="25"/>
        <v>1</v>
      </c>
      <c r="AF223" s="610">
        <f t="shared" si="23"/>
        <v>105</v>
      </c>
    </row>
    <row r="224" spans="1:32" x14ac:dyDescent="0.3">
      <c r="A224" s="544" t="s">
        <v>675</v>
      </c>
      <c r="B224" s="678" t="s">
        <v>1925</v>
      </c>
      <c r="C224" s="505"/>
      <c r="D224" s="506"/>
      <c r="E224" s="506">
        <v>0</v>
      </c>
      <c r="F224" s="506">
        <v>0</v>
      </c>
      <c r="G224" s="506">
        <v>0</v>
      </c>
      <c r="H224" s="506">
        <v>0</v>
      </c>
      <c r="I224" s="506">
        <v>0</v>
      </c>
      <c r="J224" s="506">
        <v>0</v>
      </c>
      <c r="K224" s="506"/>
      <c r="L224" s="506">
        <v>0</v>
      </c>
      <c r="M224" s="506">
        <v>603720</v>
      </c>
      <c r="N224" s="506">
        <v>1713080</v>
      </c>
      <c r="O224" s="506">
        <v>0</v>
      </c>
      <c r="P224" s="1498">
        <f t="shared" si="24"/>
        <v>0</v>
      </c>
      <c r="Q224" s="696">
        <f t="shared" si="22"/>
        <v>2316800</v>
      </c>
      <c r="R224" s="1075" t="s">
        <v>251</v>
      </c>
      <c r="S224" s="1076" t="s">
        <v>251</v>
      </c>
      <c r="T224" s="1076"/>
      <c r="U224" s="1076">
        <v>404780</v>
      </c>
      <c r="V224" s="1076">
        <v>745980</v>
      </c>
      <c r="W224" s="1076">
        <v>0</v>
      </c>
      <c r="X224" s="1076">
        <v>302380</v>
      </c>
      <c r="Y224" s="1076">
        <v>0</v>
      </c>
      <c r="Z224" s="1076"/>
      <c r="AA224" s="1076"/>
      <c r="AB224" s="1076"/>
      <c r="AC224" s="1076"/>
      <c r="AD224" s="1077">
        <f t="shared" si="21"/>
        <v>1453140</v>
      </c>
      <c r="AE224" s="609">
        <f t="shared" si="25"/>
        <v>1</v>
      </c>
      <c r="AF224" s="610">
        <f t="shared" si="23"/>
        <v>172</v>
      </c>
    </row>
    <row r="225" spans="1:32" x14ac:dyDescent="0.3">
      <c r="A225" s="544" t="s">
        <v>675</v>
      </c>
      <c r="B225" s="678" t="s">
        <v>1926</v>
      </c>
      <c r="C225" s="505"/>
      <c r="D225" s="506"/>
      <c r="E225" s="506">
        <v>0</v>
      </c>
      <c r="F225" s="506">
        <v>0</v>
      </c>
      <c r="G225" s="506">
        <v>0</v>
      </c>
      <c r="H225" s="506">
        <v>0</v>
      </c>
      <c r="I225" s="506">
        <v>0</v>
      </c>
      <c r="J225" s="506">
        <v>0</v>
      </c>
      <c r="K225" s="506"/>
      <c r="L225" s="506">
        <v>0</v>
      </c>
      <c r="M225" s="506">
        <v>727890</v>
      </c>
      <c r="N225" s="506">
        <v>0</v>
      </c>
      <c r="O225" s="506">
        <v>0</v>
      </c>
      <c r="P225" s="1498">
        <f t="shared" si="24"/>
        <v>0</v>
      </c>
      <c r="Q225" s="696">
        <f t="shared" si="22"/>
        <v>727890</v>
      </c>
      <c r="R225" s="1075" t="s">
        <v>251</v>
      </c>
      <c r="S225" s="1076" t="s">
        <v>251</v>
      </c>
      <c r="T225" s="1076"/>
      <c r="U225" s="1076"/>
      <c r="V225" s="1076"/>
      <c r="W225" s="1076"/>
      <c r="X225" s="1076"/>
      <c r="Y225" s="1076"/>
      <c r="Z225" s="1076"/>
      <c r="AA225" s="1076"/>
      <c r="AB225" s="1076"/>
      <c r="AC225" s="1076"/>
      <c r="AD225" s="1077">
        <f t="shared" si="21"/>
        <v>0</v>
      </c>
      <c r="AE225" s="609">
        <f t="shared" si="25"/>
        <v>0</v>
      </c>
      <c r="AF225" s="610">
        <f t="shared" si="23"/>
        <v>394</v>
      </c>
    </row>
    <row r="226" spans="1:32" x14ac:dyDescent="0.3">
      <c r="A226" s="544" t="s">
        <v>675</v>
      </c>
      <c r="B226" s="678" t="s">
        <v>1927</v>
      </c>
      <c r="C226" s="505"/>
      <c r="D226" s="506"/>
      <c r="E226" s="506">
        <v>0</v>
      </c>
      <c r="F226" s="506">
        <v>0</v>
      </c>
      <c r="G226" s="506">
        <v>0</v>
      </c>
      <c r="H226" s="506">
        <v>0</v>
      </c>
      <c r="I226" s="506">
        <v>0</v>
      </c>
      <c r="J226" s="506">
        <v>0</v>
      </c>
      <c r="K226" s="506"/>
      <c r="L226" s="506">
        <v>0</v>
      </c>
      <c r="M226" s="506">
        <v>711060</v>
      </c>
      <c r="N226" s="506">
        <v>0</v>
      </c>
      <c r="O226" s="506">
        <v>0</v>
      </c>
      <c r="P226" s="1498">
        <f t="shared" si="24"/>
        <v>0</v>
      </c>
      <c r="Q226" s="696">
        <f t="shared" si="22"/>
        <v>711060</v>
      </c>
      <c r="R226" s="1075" t="s">
        <v>251</v>
      </c>
      <c r="S226" s="1076" t="s">
        <v>251</v>
      </c>
      <c r="T226" s="1076"/>
      <c r="U226" s="1076"/>
      <c r="V226" s="1076"/>
      <c r="W226" s="1076">
        <v>540960</v>
      </c>
      <c r="X226" s="1076">
        <v>0</v>
      </c>
      <c r="Y226" s="1076">
        <v>0</v>
      </c>
      <c r="Z226" s="1076"/>
      <c r="AA226" s="1076"/>
      <c r="AB226" s="1076"/>
      <c r="AC226" s="1076"/>
      <c r="AD226" s="1077">
        <f t="shared" si="21"/>
        <v>540960</v>
      </c>
      <c r="AE226" s="609">
        <f t="shared" si="25"/>
        <v>1</v>
      </c>
      <c r="AF226" s="610">
        <f t="shared" si="23"/>
        <v>251</v>
      </c>
    </row>
    <row r="227" spans="1:32" x14ac:dyDescent="0.3">
      <c r="A227" s="544" t="s">
        <v>675</v>
      </c>
      <c r="B227" s="678" t="s">
        <v>1928</v>
      </c>
      <c r="C227" s="505"/>
      <c r="D227" s="506"/>
      <c r="E227" s="506">
        <v>0</v>
      </c>
      <c r="F227" s="506">
        <v>0</v>
      </c>
      <c r="G227" s="506">
        <v>0</v>
      </c>
      <c r="H227" s="506">
        <v>0</v>
      </c>
      <c r="I227" s="506">
        <v>0</v>
      </c>
      <c r="J227" s="506">
        <v>0</v>
      </c>
      <c r="K227" s="506"/>
      <c r="L227" s="506">
        <v>0</v>
      </c>
      <c r="M227" s="506">
        <v>438270</v>
      </c>
      <c r="N227" s="506">
        <v>0</v>
      </c>
      <c r="O227" s="506">
        <v>664150</v>
      </c>
      <c r="P227" s="1498">
        <f t="shared" si="24"/>
        <v>0</v>
      </c>
      <c r="Q227" s="696">
        <f t="shared" si="22"/>
        <v>1102420</v>
      </c>
      <c r="R227" s="1075" t="s">
        <v>251</v>
      </c>
      <c r="S227" s="1076" t="s">
        <v>251</v>
      </c>
      <c r="T227" s="1076"/>
      <c r="U227" s="1076">
        <v>913860</v>
      </c>
      <c r="V227" s="1076">
        <v>147620</v>
      </c>
      <c r="W227" s="1076">
        <v>0</v>
      </c>
      <c r="X227" s="1076">
        <v>0</v>
      </c>
      <c r="Y227" s="1076">
        <v>0</v>
      </c>
      <c r="Z227" s="1076"/>
      <c r="AA227" s="1076"/>
      <c r="AB227" s="1076"/>
      <c r="AC227" s="1076"/>
      <c r="AD227" s="1077">
        <f t="shared" si="21"/>
        <v>1061480</v>
      </c>
      <c r="AE227" s="609">
        <f t="shared" si="25"/>
        <v>1</v>
      </c>
      <c r="AF227" s="610">
        <f t="shared" si="23"/>
        <v>194</v>
      </c>
    </row>
    <row r="228" spans="1:32" x14ac:dyDescent="0.3">
      <c r="A228" s="544" t="s">
        <v>675</v>
      </c>
      <c r="B228" s="678" t="s">
        <v>1929</v>
      </c>
      <c r="C228" s="505"/>
      <c r="D228" s="506"/>
      <c r="E228" s="506" t="s">
        <v>251</v>
      </c>
      <c r="F228" s="506" t="s">
        <v>251</v>
      </c>
      <c r="G228" s="506" t="s">
        <v>251</v>
      </c>
      <c r="H228" s="506" t="s">
        <v>251</v>
      </c>
      <c r="I228" s="506" t="s">
        <v>251</v>
      </c>
      <c r="J228" s="506" t="s">
        <v>251</v>
      </c>
      <c r="K228" s="506"/>
      <c r="L228" s="506" t="s">
        <v>251</v>
      </c>
      <c r="M228" s="506">
        <v>217880</v>
      </c>
      <c r="N228" s="506" t="s">
        <v>251</v>
      </c>
      <c r="O228" s="506" t="s">
        <v>251</v>
      </c>
      <c r="P228" s="1498">
        <f t="shared" si="24"/>
        <v>0</v>
      </c>
      <c r="Q228" s="696">
        <f t="shared" si="22"/>
        <v>217880</v>
      </c>
      <c r="R228" s="1075" t="s">
        <v>251</v>
      </c>
      <c r="S228" s="1076" t="s">
        <v>251</v>
      </c>
      <c r="T228" s="1076"/>
      <c r="U228" s="1076"/>
      <c r="V228" s="1076">
        <v>544960</v>
      </c>
      <c r="W228" s="1076">
        <v>541800</v>
      </c>
      <c r="X228" s="1076">
        <v>0</v>
      </c>
      <c r="Y228" s="1076">
        <v>43140</v>
      </c>
      <c r="Z228" s="1076"/>
      <c r="AA228" s="1076"/>
      <c r="AB228" s="1076"/>
      <c r="AC228" s="1076"/>
      <c r="AD228" s="1077">
        <f t="shared" si="21"/>
        <v>1129900</v>
      </c>
      <c r="AE228" s="609">
        <f t="shared" si="25"/>
        <v>1</v>
      </c>
      <c r="AF228" s="610">
        <f t="shared" si="23"/>
        <v>190</v>
      </c>
    </row>
    <row r="229" spans="1:32" x14ac:dyDescent="0.3">
      <c r="A229" s="544" t="s">
        <v>675</v>
      </c>
      <c r="B229" s="678" t="s">
        <v>1934</v>
      </c>
      <c r="C229" s="505"/>
      <c r="D229" s="506"/>
      <c r="E229" s="506">
        <v>0</v>
      </c>
      <c r="F229" s="506">
        <v>0</v>
      </c>
      <c r="G229" s="506">
        <v>0</v>
      </c>
      <c r="H229" s="506">
        <v>0</v>
      </c>
      <c r="I229" s="506">
        <v>0</v>
      </c>
      <c r="J229" s="506">
        <v>0</v>
      </c>
      <c r="K229" s="506"/>
      <c r="L229" s="506">
        <v>0</v>
      </c>
      <c r="M229" s="506">
        <v>0</v>
      </c>
      <c r="N229" s="506">
        <v>7360560</v>
      </c>
      <c r="O229" s="506">
        <v>0</v>
      </c>
      <c r="P229" s="1498">
        <f t="shared" si="24"/>
        <v>0</v>
      </c>
      <c r="Q229" s="696">
        <f t="shared" si="22"/>
        <v>7360560</v>
      </c>
      <c r="R229" s="1075" t="s">
        <v>251</v>
      </c>
      <c r="S229" s="1076" t="s">
        <v>251</v>
      </c>
      <c r="T229" s="1076"/>
      <c r="U229" s="1076"/>
      <c r="V229" s="1076"/>
      <c r="W229" s="1076">
        <v>3089310</v>
      </c>
      <c r="X229" s="1076">
        <v>0</v>
      </c>
      <c r="Y229" s="1076">
        <v>0</v>
      </c>
      <c r="Z229" s="1076"/>
      <c r="AA229" s="1076"/>
      <c r="AB229" s="1076"/>
      <c r="AC229" s="1076"/>
      <c r="AD229" s="1077">
        <f t="shared" si="21"/>
        <v>3089310</v>
      </c>
      <c r="AE229" s="609">
        <f t="shared" si="25"/>
        <v>1</v>
      </c>
      <c r="AF229" s="610">
        <f t="shared" si="23"/>
        <v>118</v>
      </c>
    </row>
    <row r="230" spans="1:32" x14ac:dyDescent="0.3">
      <c r="A230" s="544" t="s">
        <v>675</v>
      </c>
      <c r="B230" s="678" t="s">
        <v>1034</v>
      </c>
      <c r="C230" s="505"/>
      <c r="D230" s="506"/>
      <c r="E230" s="506">
        <v>0</v>
      </c>
      <c r="F230" s="506">
        <v>0</v>
      </c>
      <c r="G230" s="506">
        <v>0</v>
      </c>
      <c r="H230" s="506">
        <v>0</v>
      </c>
      <c r="I230" s="506">
        <v>0</v>
      </c>
      <c r="J230" s="506">
        <v>0</v>
      </c>
      <c r="K230" s="506"/>
      <c r="L230" s="506">
        <v>0</v>
      </c>
      <c r="M230" s="506">
        <v>0</v>
      </c>
      <c r="N230" s="506">
        <v>6065600</v>
      </c>
      <c r="O230" s="506">
        <v>226660</v>
      </c>
      <c r="P230" s="1498">
        <f t="shared" si="24"/>
        <v>0</v>
      </c>
      <c r="Q230" s="696">
        <f t="shared" si="22"/>
        <v>6292260</v>
      </c>
      <c r="R230" s="1075">
        <v>1758970</v>
      </c>
      <c r="S230" s="1076" t="s">
        <v>251</v>
      </c>
      <c r="T230" s="1076">
        <v>995040</v>
      </c>
      <c r="U230" s="1076">
        <v>0</v>
      </c>
      <c r="V230" s="1076">
        <v>5701120</v>
      </c>
      <c r="W230" s="1076">
        <v>329900</v>
      </c>
      <c r="X230" s="1076">
        <v>882120</v>
      </c>
      <c r="Y230" s="1076">
        <v>0</v>
      </c>
      <c r="Z230" s="1076"/>
      <c r="AA230" s="1076"/>
      <c r="AB230" s="1076"/>
      <c r="AC230" s="1076"/>
      <c r="AD230" s="1077">
        <f t="shared" si="21"/>
        <v>9667150</v>
      </c>
      <c r="AE230" s="609">
        <f t="shared" si="25"/>
        <v>1</v>
      </c>
      <c r="AF230" s="610">
        <f t="shared" si="23"/>
        <v>47</v>
      </c>
    </row>
    <row r="231" spans="1:32" x14ac:dyDescent="0.3">
      <c r="A231" s="544" t="s">
        <v>675</v>
      </c>
      <c r="B231" s="678" t="s">
        <v>1935</v>
      </c>
      <c r="C231" s="505"/>
      <c r="D231" s="506"/>
      <c r="E231" s="506">
        <v>0</v>
      </c>
      <c r="F231" s="506">
        <v>0</v>
      </c>
      <c r="G231" s="506">
        <v>0</v>
      </c>
      <c r="H231" s="506">
        <v>0</v>
      </c>
      <c r="I231" s="506">
        <v>0</v>
      </c>
      <c r="J231" s="506">
        <v>0</v>
      </c>
      <c r="K231" s="506"/>
      <c r="L231" s="506">
        <v>0</v>
      </c>
      <c r="M231" s="506">
        <v>0</v>
      </c>
      <c r="N231" s="506">
        <v>921000</v>
      </c>
      <c r="O231" s="506">
        <v>0</v>
      </c>
      <c r="P231" s="1498">
        <f t="shared" si="24"/>
        <v>0</v>
      </c>
      <c r="Q231" s="696">
        <f t="shared" si="22"/>
        <v>921000</v>
      </c>
      <c r="R231" s="1075">
        <v>351840</v>
      </c>
      <c r="S231" s="1076" t="s">
        <v>251</v>
      </c>
      <c r="T231" s="1076">
        <v>0</v>
      </c>
      <c r="U231" s="1076">
        <v>0</v>
      </c>
      <c r="V231" s="1076">
        <v>162250</v>
      </c>
      <c r="W231" s="1076">
        <v>326940</v>
      </c>
      <c r="X231" s="1076">
        <v>0</v>
      </c>
      <c r="Y231" s="1076">
        <v>0</v>
      </c>
      <c r="Z231" s="1076"/>
      <c r="AA231" s="1076"/>
      <c r="AB231" s="1076"/>
      <c r="AC231" s="1076"/>
      <c r="AD231" s="1077">
        <f t="shared" si="21"/>
        <v>841030</v>
      </c>
      <c r="AE231" s="609">
        <f t="shared" si="25"/>
        <v>1</v>
      </c>
      <c r="AF231" s="610">
        <f t="shared" si="23"/>
        <v>215</v>
      </c>
    </row>
    <row r="232" spans="1:32" x14ac:dyDescent="0.3">
      <c r="A232" s="544" t="s">
        <v>675</v>
      </c>
      <c r="B232" s="678" t="s">
        <v>1936</v>
      </c>
      <c r="C232" s="505"/>
      <c r="D232" s="506"/>
      <c r="E232" s="506">
        <v>0</v>
      </c>
      <c r="F232" s="506">
        <v>0</v>
      </c>
      <c r="G232" s="506">
        <v>0</v>
      </c>
      <c r="H232" s="506">
        <v>0</v>
      </c>
      <c r="I232" s="506">
        <v>0</v>
      </c>
      <c r="J232" s="506">
        <v>0</v>
      </c>
      <c r="K232" s="506"/>
      <c r="L232" s="506">
        <v>0</v>
      </c>
      <c r="M232" s="506">
        <v>0</v>
      </c>
      <c r="N232" s="506">
        <v>751390</v>
      </c>
      <c r="O232" s="506">
        <v>0</v>
      </c>
      <c r="P232" s="1498">
        <f t="shared" si="24"/>
        <v>0</v>
      </c>
      <c r="Q232" s="696">
        <f t="shared" si="22"/>
        <v>751390</v>
      </c>
      <c r="R232" s="1075" t="s">
        <v>251</v>
      </c>
      <c r="S232" s="1076" t="s">
        <v>251</v>
      </c>
      <c r="T232" s="1076"/>
      <c r="U232" s="1076">
        <v>325980</v>
      </c>
      <c r="V232" s="1076">
        <v>308740</v>
      </c>
      <c r="W232" s="1076">
        <v>0</v>
      </c>
      <c r="X232" s="1076">
        <v>0</v>
      </c>
      <c r="Y232" s="1076">
        <v>0</v>
      </c>
      <c r="Z232" s="1076"/>
      <c r="AA232" s="1076"/>
      <c r="AB232" s="1076"/>
      <c r="AC232" s="1076"/>
      <c r="AD232" s="1077">
        <f t="shared" ref="AD232:AD239" si="26">SUM(R232:AC232)</f>
        <v>634720</v>
      </c>
      <c r="AE232" s="609">
        <f t="shared" si="25"/>
        <v>1</v>
      </c>
      <c r="AF232" s="610">
        <f t="shared" si="23"/>
        <v>234</v>
      </c>
    </row>
    <row r="233" spans="1:32" x14ac:dyDescent="0.3">
      <c r="A233" s="544" t="s">
        <v>675</v>
      </c>
      <c r="B233" s="678" t="s">
        <v>1937</v>
      </c>
      <c r="C233" s="505"/>
      <c r="D233" s="506"/>
      <c r="E233" s="506">
        <v>0</v>
      </c>
      <c r="F233" s="506">
        <v>0</v>
      </c>
      <c r="G233" s="506">
        <v>0</v>
      </c>
      <c r="H233" s="506">
        <v>0</v>
      </c>
      <c r="I233" s="506">
        <v>0</v>
      </c>
      <c r="J233" s="506">
        <v>0</v>
      </c>
      <c r="K233" s="506"/>
      <c r="L233" s="506">
        <v>0</v>
      </c>
      <c r="M233" s="506">
        <v>0</v>
      </c>
      <c r="N233" s="506">
        <v>622760</v>
      </c>
      <c r="O233" s="506">
        <v>0</v>
      </c>
      <c r="P233" s="1498">
        <f t="shared" si="24"/>
        <v>0</v>
      </c>
      <c r="Q233" s="696">
        <f t="shared" si="22"/>
        <v>622760</v>
      </c>
      <c r="R233" s="1075">
        <v>629440</v>
      </c>
      <c r="S233" s="1076" t="s">
        <v>251</v>
      </c>
      <c r="T233" s="1076">
        <v>0</v>
      </c>
      <c r="U233" s="1076">
        <v>0</v>
      </c>
      <c r="V233" s="1076">
        <v>0</v>
      </c>
      <c r="W233" s="1076">
        <v>0</v>
      </c>
      <c r="X233" s="1076">
        <v>0</v>
      </c>
      <c r="Y233" s="1076">
        <v>0</v>
      </c>
      <c r="Z233" s="1076"/>
      <c r="AA233" s="1076"/>
      <c r="AB233" s="1076"/>
      <c r="AC233" s="1076"/>
      <c r="AD233" s="1077">
        <f t="shared" si="26"/>
        <v>629440</v>
      </c>
      <c r="AE233" s="609">
        <f t="shared" si="25"/>
        <v>1</v>
      </c>
      <c r="AF233" s="610">
        <f t="shared" si="23"/>
        <v>235</v>
      </c>
    </row>
    <row r="234" spans="1:32" x14ac:dyDescent="0.3">
      <c r="A234" s="544" t="s">
        <v>675</v>
      </c>
      <c r="B234" s="678" t="s">
        <v>1938</v>
      </c>
      <c r="C234" s="505"/>
      <c r="D234" s="506"/>
      <c r="E234" s="506">
        <v>0</v>
      </c>
      <c r="F234" s="506">
        <v>0</v>
      </c>
      <c r="G234" s="506">
        <v>0</v>
      </c>
      <c r="H234" s="506">
        <v>0</v>
      </c>
      <c r="I234" s="506">
        <v>0</v>
      </c>
      <c r="J234" s="506">
        <v>0</v>
      </c>
      <c r="K234" s="506"/>
      <c r="L234" s="506">
        <v>0</v>
      </c>
      <c r="M234" s="506">
        <v>0</v>
      </c>
      <c r="N234" s="506">
        <v>531750</v>
      </c>
      <c r="O234" s="506">
        <v>0</v>
      </c>
      <c r="P234" s="1498">
        <f t="shared" si="24"/>
        <v>0</v>
      </c>
      <c r="Q234" s="696">
        <f t="shared" si="22"/>
        <v>531750</v>
      </c>
      <c r="R234" s="1075" t="s">
        <v>251</v>
      </c>
      <c r="S234" s="1076" t="s">
        <v>251</v>
      </c>
      <c r="T234" s="1076"/>
      <c r="U234" s="1076">
        <v>752330</v>
      </c>
      <c r="V234" s="1076">
        <v>766860</v>
      </c>
      <c r="W234" s="1076">
        <v>0</v>
      </c>
      <c r="X234" s="1076">
        <v>0</v>
      </c>
      <c r="Y234" s="1076">
        <v>0</v>
      </c>
      <c r="Z234" s="1076"/>
      <c r="AA234" s="1076"/>
      <c r="AB234" s="1076"/>
      <c r="AC234" s="1076"/>
      <c r="AD234" s="1077">
        <f t="shared" si="26"/>
        <v>1519190</v>
      </c>
      <c r="AE234" s="609">
        <f t="shared" si="25"/>
        <v>1</v>
      </c>
      <c r="AF234" s="610">
        <f t="shared" si="23"/>
        <v>166</v>
      </c>
    </row>
    <row r="235" spans="1:32" x14ac:dyDescent="0.3">
      <c r="A235" s="544" t="s">
        <v>675</v>
      </c>
      <c r="B235" s="678" t="s">
        <v>1939</v>
      </c>
      <c r="C235" s="505"/>
      <c r="D235" s="506"/>
      <c r="E235" s="506">
        <v>0</v>
      </c>
      <c r="F235" s="506">
        <v>0</v>
      </c>
      <c r="G235" s="506">
        <v>0</v>
      </c>
      <c r="H235" s="506">
        <v>0</v>
      </c>
      <c r="I235" s="506">
        <v>0</v>
      </c>
      <c r="J235" s="506">
        <v>0</v>
      </c>
      <c r="K235" s="506"/>
      <c r="L235" s="506">
        <v>0</v>
      </c>
      <c r="M235" s="506">
        <v>0</v>
      </c>
      <c r="N235" s="506">
        <v>862290</v>
      </c>
      <c r="O235" s="506">
        <v>0</v>
      </c>
      <c r="P235" s="1498">
        <f t="shared" si="24"/>
        <v>0</v>
      </c>
      <c r="Q235" s="696">
        <f t="shared" si="22"/>
        <v>862290</v>
      </c>
      <c r="R235" s="1075" t="s">
        <v>251</v>
      </c>
      <c r="S235" s="1076" t="s">
        <v>251</v>
      </c>
      <c r="T235" s="1076">
        <v>342400</v>
      </c>
      <c r="U235" s="1076">
        <v>169360</v>
      </c>
      <c r="V235" s="1076">
        <v>0</v>
      </c>
      <c r="W235" s="1076">
        <v>0</v>
      </c>
      <c r="X235" s="1076">
        <v>0</v>
      </c>
      <c r="Y235" s="1076">
        <v>0</v>
      </c>
      <c r="Z235" s="1076"/>
      <c r="AA235" s="1076"/>
      <c r="AB235" s="1076"/>
      <c r="AC235" s="1076"/>
      <c r="AD235" s="1077">
        <f t="shared" si="26"/>
        <v>511760</v>
      </c>
      <c r="AE235" s="609">
        <f t="shared" si="25"/>
        <v>1</v>
      </c>
      <c r="AF235" s="610">
        <f t="shared" si="23"/>
        <v>255</v>
      </c>
    </row>
    <row r="236" spans="1:32" x14ac:dyDescent="0.3">
      <c r="A236" s="544" t="s">
        <v>675</v>
      </c>
      <c r="B236" s="678" t="s">
        <v>1940</v>
      </c>
      <c r="C236" s="505"/>
      <c r="D236" s="506"/>
      <c r="E236" s="506">
        <v>0</v>
      </c>
      <c r="F236" s="506">
        <v>0</v>
      </c>
      <c r="G236" s="506">
        <v>0</v>
      </c>
      <c r="H236" s="506">
        <v>0</v>
      </c>
      <c r="I236" s="506">
        <v>0</v>
      </c>
      <c r="J236" s="506">
        <v>0</v>
      </c>
      <c r="K236" s="506"/>
      <c r="L236" s="506">
        <v>0</v>
      </c>
      <c r="M236" s="506">
        <v>0</v>
      </c>
      <c r="N236" s="506">
        <v>308700</v>
      </c>
      <c r="O236" s="506">
        <v>0</v>
      </c>
      <c r="P236" s="1498">
        <f t="shared" si="24"/>
        <v>0</v>
      </c>
      <c r="Q236" s="696">
        <f t="shared" si="22"/>
        <v>308700</v>
      </c>
      <c r="R236" s="1075" t="s">
        <v>251</v>
      </c>
      <c r="S236" s="1076" t="s">
        <v>251</v>
      </c>
      <c r="T236" s="1076"/>
      <c r="U236" s="1076"/>
      <c r="V236" s="1076">
        <v>325780</v>
      </c>
      <c r="W236" s="1076">
        <v>0</v>
      </c>
      <c r="X236" s="1076">
        <v>0</v>
      </c>
      <c r="Y236" s="1076">
        <v>0</v>
      </c>
      <c r="Z236" s="1076"/>
      <c r="AA236" s="1076"/>
      <c r="AB236" s="1076"/>
      <c r="AC236" s="1076"/>
      <c r="AD236" s="1077">
        <f t="shared" si="26"/>
        <v>325780</v>
      </c>
      <c r="AE236" s="609">
        <f t="shared" si="25"/>
        <v>1</v>
      </c>
      <c r="AF236" s="610">
        <f t="shared" si="23"/>
        <v>288</v>
      </c>
    </row>
    <row r="237" spans="1:32" x14ac:dyDescent="0.3">
      <c r="A237" s="544" t="s">
        <v>675</v>
      </c>
      <c r="B237" s="678" t="s">
        <v>1941</v>
      </c>
      <c r="C237" s="505"/>
      <c r="D237" s="506"/>
      <c r="E237" s="506">
        <v>0</v>
      </c>
      <c r="F237" s="506">
        <v>0</v>
      </c>
      <c r="G237" s="506">
        <v>0</v>
      </c>
      <c r="H237" s="506">
        <v>0</v>
      </c>
      <c r="I237" s="506">
        <v>0</v>
      </c>
      <c r="J237" s="506">
        <v>0</v>
      </c>
      <c r="K237" s="506"/>
      <c r="L237" s="506">
        <v>0</v>
      </c>
      <c r="M237" s="506">
        <v>0</v>
      </c>
      <c r="N237" s="506">
        <v>155640</v>
      </c>
      <c r="O237" s="506">
        <v>0</v>
      </c>
      <c r="P237" s="1498">
        <f t="shared" si="24"/>
        <v>0</v>
      </c>
      <c r="Q237" s="696">
        <f t="shared" si="22"/>
        <v>155640</v>
      </c>
      <c r="R237" s="1075">
        <v>577720</v>
      </c>
      <c r="S237" s="1076">
        <v>61660</v>
      </c>
      <c r="T237" s="1076">
        <v>0</v>
      </c>
      <c r="U237" s="1076">
        <v>0</v>
      </c>
      <c r="V237" s="1076">
        <v>0</v>
      </c>
      <c r="W237" s="1076">
        <v>0</v>
      </c>
      <c r="X237" s="1076">
        <v>0</v>
      </c>
      <c r="Y237" s="1076">
        <v>0</v>
      </c>
      <c r="Z237" s="1076"/>
      <c r="AA237" s="1076"/>
      <c r="AB237" s="1076"/>
      <c r="AC237" s="1076"/>
      <c r="AD237" s="1077">
        <f t="shared" si="26"/>
        <v>639380</v>
      </c>
      <c r="AE237" s="609">
        <f t="shared" si="25"/>
        <v>1</v>
      </c>
      <c r="AF237" s="610">
        <f t="shared" si="23"/>
        <v>232</v>
      </c>
    </row>
    <row r="238" spans="1:32" x14ac:dyDescent="0.3">
      <c r="A238" s="544" t="s">
        <v>675</v>
      </c>
      <c r="B238" s="678" t="s">
        <v>1961</v>
      </c>
      <c r="C238" s="505"/>
      <c r="D238" s="506"/>
      <c r="E238" s="506">
        <v>0</v>
      </c>
      <c r="F238" s="506">
        <v>0</v>
      </c>
      <c r="G238" s="506">
        <v>0</v>
      </c>
      <c r="H238" s="506">
        <v>0</v>
      </c>
      <c r="I238" s="506">
        <v>0</v>
      </c>
      <c r="J238" s="506">
        <v>0</v>
      </c>
      <c r="K238" s="506"/>
      <c r="L238" s="506">
        <v>0</v>
      </c>
      <c r="M238" s="506">
        <v>0</v>
      </c>
      <c r="N238" s="506">
        <v>812150</v>
      </c>
      <c r="O238" s="506">
        <v>0</v>
      </c>
      <c r="P238" s="1498">
        <f t="shared" si="24"/>
        <v>0</v>
      </c>
      <c r="Q238" s="696">
        <f t="shared" si="22"/>
        <v>812150</v>
      </c>
      <c r="R238" s="1075" t="s">
        <v>251</v>
      </c>
      <c r="S238" s="1076" t="s">
        <v>251</v>
      </c>
      <c r="T238" s="1076"/>
      <c r="U238" s="1076"/>
      <c r="V238" s="1076"/>
      <c r="W238" s="1076"/>
      <c r="X238" s="1076"/>
      <c r="Y238" s="1076"/>
      <c r="Z238" s="1076"/>
      <c r="AA238" s="1076"/>
      <c r="AB238" s="1076"/>
      <c r="AC238" s="1076"/>
      <c r="AD238" s="1077">
        <f t="shared" si="26"/>
        <v>0</v>
      </c>
      <c r="AE238" s="609">
        <f t="shared" si="25"/>
        <v>0</v>
      </c>
      <c r="AF238" s="610">
        <f t="shared" si="23"/>
        <v>394</v>
      </c>
    </row>
    <row r="239" spans="1:32" x14ac:dyDescent="0.3">
      <c r="A239" s="544" t="s">
        <v>675</v>
      </c>
      <c r="B239" s="678" t="s">
        <v>1962</v>
      </c>
      <c r="C239" s="505"/>
      <c r="D239" s="506"/>
      <c r="E239" s="506">
        <v>0</v>
      </c>
      <c r="F239" s="506">
        <v>0</v>
      </c>
      <c r="G239" s="506">
        <v>0</v>
      </c>
      <c r="H239" s="506">
        <v>0</v>
      </c>
      <c r="I239" s="506">
        <v>0</v>
      </c>
      <c r="J239" s="506">
        <v>0</v>
      </c>
      <c r="K239" s="506"/>
      <c r="L239" s="506">
        <v>0</v>
      </c>
      <c r="M239" s="506">
        <v>0</v>
      </c>
      <c r="N239" s="506">
        <v>399960</v>
      </c>
      <c r="O239" s="506">
        <v>0</v>
      </c>
      <c r="P239" s="1498">
        <f t="shared" si="24"/>
        <v>0</v>
      </c>
      <c r="Q239" s="696">
        <f t="shared" si="22"/>
        <v>399960</v>
      </c>
      <c r="R239" s="1075" t="s">
        <v>251</v>
      </c>
      <c r="S239" s="1076" t="s">
        <v>251</v>
      </c>
      <c r="T239" s="1076"/>
      <c r="U239" s="1076"/>
      <c r="V239" s="1076"/>
      <c r="W239" s="1076"/>
      <c r="X239" s="1076"/>
      <c r="Y239" s="1076"/>
      <c r="Z239" s="1076"/>
      <c r="AA239" s="1076"/>
      <c r="AB239" s="1076"/>
      <c r="AC239" s="1076"/>
      <c r="AD239" s="1077">
        <f t="shared" si="26"/>
        <v>0</v>
      </c>
      <c r="AE239" s="609">
        <f t="shared" si="25"/>
        <v>0</v>
      </c>
      <c r="AF239" s="610">
        <f t="shared" si="23"/>
        <v>394</v>
      </c>
    </row>
    <row r="240" spans="1:32" x14ac:dyDescent="0.3">
      <c r="A240" s="544" t="s">
        <v>675</v>
      </c>
      <c r="B240" s="678" t="s">
        <v>1965</v>
      </c>
      <c r="C240" s="505"/>
      <c r="D240" s="506"/>
      <c r="E240" s="506">
        <v>0</v>
      </c>
      <c r="F240" s="506">
        <v>0</v>
      </c>
      <c r="G240" s="506">
        <v>0</v>
      </c>
      <c r="H240" s="506">
        <v>449320</v>
      </c>
      <c r="I240" s="506">
        <v>0</v>
      </c>
      <c r="J240" s="506">
        <v>0</v>
      </c>
      <c r="K240" s="506">
        <v>0</v>
      </c>
      <c r="L240" s="506">
        <v>0</v>
      </c>
      <c r="M240" s="506">
        <v>567260</v>
      </c>
      <c r="N240" s="506">
        <v>20849200</v>
      </c>
      <c r="O240" s="506">
        <v>3869170</v>
      </c>
      <c r="P240" s="1498">
        <f t="shared" si="24"/>
        <v>449320</v>
      </c>
      <c r="Q240" s="696">
        <f t="shared" si="22"/>
        <v>25734950</v>
      </c>
      <c r="R240" s="1075">
        <v>7339260</v>
      </c>
      <c r="S240" s="1076" t="s">
        <v>251</v>
      </c>
      <c r="T240" s="1076">
        <v>0</v>
      </c>
      <c r="U240" s="1076">
        <v>3718610</v>
      </c>
      <c r="V240" s="1076">
        <v>0</v>
      </c>
      <c r="W240" s="1076">
        <v>0</v>
      </c>
      <c r="X240" s="1076">
        <v>0</v>
      </c>
      <c r="Y240" s="1076">
        <v>0</v>
      </c>
      <c r="Z240" s="1076"/>
      <c r="AA240" s="1076"/>
      <c r="AB240" s="1076"/>
      <c r="AC240" s="1076"/>
      <c r="AD240" s="1077">
        <f>SUM(R240:AC240)</f>
        <v>11057870</v>
      </c>
      <c r="AE240" s="609">
        <f t="shared" si="25"/>
        <v>23.610233241342474</v>
      </c>
      <c r="AF240" s="610">
        <f t="shared" si="23"/>
        <v>38</v>
      </c>
    </row>
    <row r="241" spans="1:32" x14ac:dyDescent="0.3">
      <c r="A241" s="544" t="s">
        <v>675</v>
      </c>
      <c r="B241" s="678" t="s">
        <v>1966</v>
      </c>
      <c r="C241" s="505"/>
      <c r="D241" s="506"/>
      <c r="E241" s="506">
        <v>0</v>
      </c>
      <c r="F241" s="506">
        <v>0</v>
      </c>
      <c r="G241" s="506">
        <v>0</v>
      </c>
      <c r="H241" s="506">
        <v>0</v>
      </c>
      <c r="I241" s="506">
        <v>0</v>
      </c>
      <c r="J241" s="506">
        <v>0</v>
      </c>
      <c r="K241" s="506"/>
      <c r="L241" s="506">
        <v>0</v>
      </c>
      <c r="M241" s="506">
        <v>0</v>
      </c>
      <c r="N241" s="506">
        <v>0</v>
      </c>
      <c r="O241" s="506">
        <v>3560560</v>
      </c>
      <c r="P241" s="1498">
        <f t="shared" si="24"/>
        <v>0</v>
      </c>
      <c r="Q241" s="696">
        <f t="shared" ref="Q241:Q262" si="27">SUM(C241:J241,L241:O241)</f>
        <v>3560560</v>
      </c>
      <c r="R241" s="1075" t="s">
        <v>251</v>
      </c>
      <c r="S241" s="1076" t="s">
        <v>251</v>
      </c>
      <c r="T241" s="1076">
        <v>582190</v>
      </c>
      <c r="U241" s="1076">
        <v>31100</v>
      </c>
      <c r="V241" s="1076">
        <v>0</v>
      </c>
      <c r="W241" s="1076">
        <v>0</v>
      </c>
      <c r="X241" s="1076">
        <v>0</v>
      </c>
      <c r="Y241" s="1076">
        <v>0</v>
      </c>
      <c r="Z241" s="1076"/>
      <c r="AA241" s="1076"/>
      <c r="AB241" s="1076"/>
      <c r="AC241" s="1076"/>
      <c r="AD241" s="1077">
        <f t="shared" ref="AD241:AD372" si="28">SUM(R241:AC241)</f>
        <v>613290</v>
      </c>
      <c r="AE241" s="609">
        <f t="shared" si="25"/>
        <v>1</v>
      </c>
      <c r="AF241" s="610">
        <f t="shared" si="23"/>
        <v>240</v>
      </c>
    </row>
    <row r="242" spans="1:32" x14ac:dyDescent="0.3">
      <c r="A242" s="544" t="s">
        <v>675</v>
      </c>
      <c r="B242" s="678" t="s">
        <v>1967</v>
      </c>
      <c r="C242" s="505"/>
      <c r="D242" s="506"/>
      <c r="E242" s="506">
        <v>0</v>
      </c>
      <c r="F242" s="506">
        <v>0</v>
      </c>
      <c r="G242" s="506">
        <v>0</v>
      </c>
      <c r="H242" s="506">
        <v>0</v>
      </c>
      <c r="I242" s="506">
        <v>0</v>
      </c>
      <c r="J242" s="506">
        <v>0</v>
      </c>
      <c r="K242" s="506"/>
      <c r="L242" s="506">
        <v>0</v>
      </c>
      <c r="M242" s="506">
        <v>0</v>
      </c>
      <c r="N242" s="506">
        <v>0</v>
      </c>
      <c r="O242" s="506">
        <v>2267060</v>
      </c>
      <c r="P242" s="1498">
        <f t="shared" si="24"/>
        <v>0</v>
      </c>
      <c r="Q242" s="696">
        <f t="shared" si="27"/>
        <v>2267060</v>
      </c>
      <c r="R242" s="1075" t="s">
        <v>251</v>
      </c>
      <c r="S242" s="1076" t="s">
        <v>251</v>
      </c>
      <c r="T242" s="1076"/>
      <c r="U242" s="1076"/>
      <c r="V242" s="1076">
        <v>937220</v>
      </c>
      <c r="W242" s="1076">
        <v>24420</v>
      </c>
      <c r="X242" s="1076">
        <v>0</v>
      </c>
      <c r="Y242" s="1076">
        <v>0</v>
      </c>
      <c r="Z242" s="1076"/>
      <c r="AA242" s="1076"/>
      <c r="AB242" s="1076"/>
      <c r="AC242" s="1076"/>
      <c r="AD242" s="1077">
        <f t="shared" si="28"/>
        <v>961640</v>
      </c>
      <c r="AE242" s="609">
        <f t="shared" si="25"/>
        <v>1</v>
      </c>
      <c r="AF242" s="610">
        <f t="shared" si="23"/>
        <v>204</v>
      </c>
    </row>
    <row r="243" spans="1:32" x14ac:dyDescent="0.3">
      <c r="A243" s="544" t="s">
        <v>675</v>
      </c>
      <c r="B243" s="678" t="s">
        <v>1968</v>
      </c>
      <c r="C243" s="505"/>
      <c r="D243" s="506"/>
      <c r="E243" s="506">
        <v>0</v>
      </c>
      <c r="F243" s="506">
        <v>0</v>
      </c>
      <c r="G243" s="506">
        <v>0</v>
      </c>
      <c r="H243" s="506">
        <v>0</v>
      </c>
      <c r="I243" s="506">
        <v>0</v>
      </c>
      <c r="J243" s="506">
        <v>0</v>
      </c>
      <c r="K243" s="506"/>
      <c r="L243" s="506">
        <v>0</v>
      </c>
      <c r="M243" s="506">
        <v>0</v>
      </c>
      <c r="N243" s="506">
        <v>0</v>
      </c>
      <c r="O243" s="506">
        <v>3639800</v>
      </c>
      <c r="P243" s="1498">
        <f t="shared" si="24"/>
        <v>0</v>
      </c>
      <c r="Q243" s="696">
        <f t="shared" si="27"/>
        <v>3639800</v>
      </c>
      <c r="R243" s="1075">
        <v>359950</v>
      </c>
      <c r="S243" s="1076" t="s">
        <v>251</v>
      </c>
      <c r="T243" s="1076">
        <v>0</v>
      </c>
      <c r="U243" s="1076">
        <v>262420</v>
      </c>
      <c r="V243" s="1076">
        <v>0</v>
      </c>
      <c r="W243" s="1076">
        <v>0</v>
      </c>
      <c r="X243" s="1076">
        <v>0</v>
      </c>
      <c r="Y243" s="1076">
        <v>0</v>
      </c>
      <c r="Z243" s="1076"/>
      <c r="AA243" s="1076"/>
      <c r="AB243" s="1076"/>
      <c r="AC243" s="1076"/>
      <c r="AD243" s="1077">
        <f t="shared" si="28"/>
        <v>622370</v>
      </c>
      <c r="AE243" s="609">
        <f t="shared" si="25"/>
        <v>1</v>
      </c>
      <c r="AF243" s="610">
        <f t="shared" ref="AF243:AF265" si="29">IFERROR(_xlfn.RANK.EQ(AD243, $AD$2:$AD$677), "")</f>
        <v>236</v>
      </c>
    </row>
    <row r="244" spans="1:32" x14ac:dyDescent="0.3">
      <c r="A244" s="544" t="s">
        <v>675</v>
      </c>
      <c r="B244" s="678" t="s">
        <v>1960</v>
      </c>
      <c r="C244" s="505"/>
      <c r="D244" s="506"/>
      <c r="E244" s="506">
        <v>0</v>
      </c>
      <c r="F244" s="506">
        <v>0</v>
      </c>
      <c r="G244" s="506">
        <v>0</v>
      </c>
      <c r="H244" s="506">
        <v>0</v>
      </c>
      <c r="I244" s="506">
        <v>0</v>
      </c>
      <c r="J244" s="506">
        <v>0</v>
      </c>
      <c r="K244" s="506"/>
      <c r="L244" s="506">
        <v>0</v>
      </c>
      <c r="M244" s="506">
        <v>0</v>
      </c>
      <c r="N244" s="506">
        <v>0</v>
      </c>
      <c r="O244" s="506">
        <v>1611140</v>
      </c>
      <c r="P244" s="1498">
        <f t="shared" si="24"/>
        <v>0</v>
      </c>
      <c r="Q244" s="696">
        <f t="shared" si="27"/>
        <v>1611140</v>
      </c>
      <c r="R244" s="1075" t="s">
        <v>251</v>
      </c>
      <c r="S244" s="1076" t="s">
        <v>251</v>
      </c>
      <c r="T244" s="1076"/>
      <c r="U244" s="1076"/>
      <c r="V244" s="1076"/>
      <c r="W244" s="1076"/>
      <c r="X244" s="1076"/>
      <c r="Y244" s="1076"/>
      <c r="Z244" s="1076"/>
      <c r="AA244" s="1076"/>
      <c r="AB244" s="1076"/>
      <c r="AC244" s="1076"/>
      <c r="AD244" s="1077">
        <f t="shared" si="28"/>
        <v>0</v>
      </c>
      <c r="AE244" s="609">
        <f t="shared" si="25"/>
        <v>0</v>
      </c>
      <c r="AF244" s="610">
        <f t="shared" si="29"/>
        <v>394</v>
      </c>
    </row>
    <row r="245" spans="1:32" x14ac:dyDescent="0.3">
      <c r="A245" s="544" t="s">
        <v>675</v>
      </c>
      <c r="B245" s="678" t="s">
        <v>1814</v>
      </c>
      <c r="C245" s="505"/>
      <c r="D245" s="506"/>
      <c r="E245" s="506">
        <v>0</v>
      </c>
      <c r="F245" s="506">
        <v>0</v>
      </c>
      <c r="G245" s="506">
        <v>0</v>
      </c>
      <c r="H245" s="506">
        <v>0</v>
      </c>
      <c r="I245" s="506">
        <v>0</v>
      </c>
      <c r="J245" s="506">
        <v>0</v>
      </c>
      <c r="K245" s="506"/>
      <c r="L245" s="506">
        <v>0</v>
      </c>
      <c r="M245" s="506">
        <v>0</v>
      </c>
      <c r="N245" s="506">
        <v>0</v>
      </c>
      <c r="O245" s="506">
        <v>976450</v>
      </c>
      <c r="P245" s="1498">
        <f t="shared" si="24"/>
        <v>0</v>
      </c>
      <c r="Q245" s="696">
        <f t="shared" si="27"/>
        <v>976450</v>
      </c>
      <c r="R245" s="1075">
        <v>871040</v>
      </c>
      <c r="S245" s="1076" t="s">
        <v>251</v>
      </c>
      <c r="T245" s="1076">
        <v>0</v>
      </c>
      <c r="U245" s="1076">
        <v>0</v>
      </c>
      <c r="V245" s="1076">
        <v>1398110</v>
      </c>
      <c r="W245" s="1076">
        <v>20200</v>
      </c>
      <c r="X245" s="1076">
        <v>0</v>
      </c>
      <c r="Y245" s="1076">
        <v>0</v>
      </c>
      <c r="Z245" s="1076"/>
      <c r="AA245" s="1076"/>
      <c r="AB245" s="1076"/>
      <c r="AC245" s="1076"/>
      <c r="AD245" s="1077">
        <f t="shared" si="28"/>
        <v>2289350</v>
      </c>
      <c r="AE245" s="609">
        <f t="shared" si="25"/>
        <v>1</v>
      </c>
      <c r="AF245" s="610">
        <f t="shared" si="29"/>
        <v>132</v>
      </c>
    </row>
    <row r="246" spans="1:32" x14ac:dyDescent="0.3">
      <c r="A246" s="544" t="s">
        <v>675</v>
      </c>
      <c r="B246" s="678" t="s">
        <v>1969</v>
      </c>
      <c r="C246" s="505"/>
      <c r="D246" s="506"/>
      <c r="E246" s="506">
        <v>0</v>
      </c>
      <c r="F246" s="506">
        <v>0</v>
      </c>
      <c r="G246" s="506">
        <v>0</v>
      </c>
      <c r="H246" s="506">
        <v>0</v>
      </c>
      <c r="I246" s="506">
        <v>0</v>
      </c>
      <c r="J246" s="506">
        <v>0</v>
      </c>
      <c r="K246" s="506"/>
      <c r="L246" s="506">
        <v>0</v>
      </c>
      <c r="M246" s="506">
        <v>0</v>
      </c>
      <c r="N246" s="506">
        <v>0</v>
      </c>
      <c r="O246" s="506">
        <v>697890</v>
      </c>
      <c r="P246" s="1498">
        <f t="shared" si="24"/>
        <v>0</v>
      </c>
      <c r="Q246" s="696">
        <f t="shared" si="27"/>
        <v>697890</v>
      </c>
      <c r="R246" s="1075">
        <v>4030</v>
      </c>
      <c r="S246" s="1076">
        <v>75210</v>
      </c>
      <c r="T246" s="1076">
        <v>0</v>
      </c>
      <c r="U246" s="1076">
        <v>0</v>
      </c>
      <c r="V246" s="1076">
        <v>0</v>
      </c>
      <c r="W246" s="1076">
        <v>0</v>
      </c>
      <c r="X246" s="1076">
        <v>0</v>
      </c>
      <c r="Y246" s="1076">
        <v>3820</v>
      </c>
      <c r="Z246" s="1076"/>
      <c r="AA246" s="1076"/>
      <c r="AB246" s="1076"/>
      <c r="AC246" s="1076"/>
      <c r="AD246" s="1077">
        <f t="shared" si="28"/>
        <v>83060</v>
      </c>
      <c r="AE246" s="609">
        <f t="shared" si="25"/>
        <v>1</v>
      </c>
      <c r="AF246" s="610">
        <f t="shared" si="29"/>
        <v>352</v>
      </c>
    </row>
    <row r="247" spans="1:32" x14ac:dyDescent="0.3">
      <c r="A247" s="544" t="s">
        <v>675</v>
      </c>
      <c r="B247" s="678" t="s">
        <v>1970</v>
      </c>
      <c r="C247" s="505"/>
      <c r="D247" s="506"/>
      <c r="E247" s="506">
        <v>0</v>
      </c>
      <c r="F247" s="506">
        <v>0</v>
      </c>
      <c r="G247" s="506">
        <v>0</v>
      </c>
      <c r="H247" s="506">
        <v>0</v>
      </c>
      <c r="I247" s="506">
        <v>0</v>
      </c>
      <c r="J247" s="506">
        <v>0</v>
      </c>
      <c r="K247" s="506"/>
      <c r="L247" s="506">
        <v>0</v>
      </c>
      <c r="M247" s="506">
        <v>0</v>
      </c>
      <c r="N247" s="506">
        <v>0</v>
      </c>
      <c r="O247" s="506">
        <v>345440</v>
      </c>
      <c r="P247" s="1498">
        <f t="shared" si="24"/>
        <v>0</v>
      </c>
      <c r="Q247" s="696">
        <f t="shared" si="27"/>
        <v>345440</v>
      </c>
      <c r="R247" s="1075">
        <v>978000</v>
      </c>
      <c r="S247" s="1076" t="s">
        <v>251</v>
      </c>
      <c r="T247" s="1076">
        <v>0</v>
      </c>
      <c r="U247" s="1076">
        <v>765200</v>
      </c>
      <c r="V247" s="1076">
        <v>148240</v>
      </c>
      <c r="W247" s="1076">
        <v>0</v>
      </c>
      <c r="X247" s="1076">
        <v>0</v>
      </c>
      <c r="Y247" s="1076">
        <v>0</v>
      </c>
      <c r="Z247" s="1076"/>
      <c r="AA247" s="1076"/>
      <c r="AB247" s="1076"/>
      <c r="AC247" s="1076"/>
      <c r="AD247" s="1077">
        <f t="shared" si="28"/>
        <v>1891440</v>
      </c>
      <c r="AE247" s="609">
        <f t="shared" si="25"/>
        <v>1</v>
      </c>
      <c r="AF247" s="610">
        <f t="shared" si="29"/>
        <v>153</v>
      </c>
    </row>
    <row r="248" spans="1:32" x14ac:dyDescent="0.3">
      <c r="A248" s="544" t="s">
        <v>675</v>
      </c>
      <c r="B248" s="678" t="s">
        <v>1971</v>
      </c>
      <c r="C248" s="505"/>
      <c r="D248" s="506"/>
      <c r="E248" s="506">
        <v>0</v>
      </c>
      <c r="F248" s="506">
        <v>0</v>
      </c>
      <c r="G248" s="506">
        <v>0</v>
      </c>
      <c r="H248" s="506">
        <v>0</v>
      </c>
      <c r="I248" s="506">
        <v>0</v>
      </c>
      <c r="J248" s="506">
        <v>0</v>
      </c>
      <c r="K248" s="506"/>
      <c r="L248" s="506">
        <v>0</v>
      </c>
      <c r="M248" s="506">
        <v>0</v>
      </c>
      <c r="N248" s="506">
        <v>0</v>
      </c>
      <c r="O248" s="506">
        <v>325540</v>
      </c>
      <c r="P248" s="1498">
        <f t="shared" si="24"/>
        <v>0</v>
      </c>
      <c r="Q248" s="696">
        <f t="shared" si="27"/>
        <v>325540</v>
      </c>
      <c r="R248" s="1075" t="s">
        <v>251</v>
      </c>
      <c r="S248" s="1076" t="s">
        <v>251</v>
      </c>
      <c r="T248" s="1076"/>
      <c r="U248" s="1076"/>
      <c r="V248" s="1076"/>
      <c r="W248" s="1076"/>
      <c r="X248" s="1076"/>
      <c r="Y248" s="1076"/>
      <c r="Z248" s="1076"/>
      <c r="AA248" s="1076"/>
      <c r="AB248" s="1076"/>
      <c r="AC248" s="1076"/>
      <c r="AD248" s="1077">
        <f t="shared" si="28"/>
        <v>0</v>
      </c>
      <c r="AE248" s="609">
        <f t="shared" si="25"/>
        <v>0</v>
      </c>
      <c r="AF248" s="610">
        <f t="shared" si="29"/>
        <v>394</v>
      </c>
    </row>
    <row r="249" spans="1:32" x14ac:dyDescent="0.3">
      <c r="A249" s="544" t="s">
        <v>675</v>
      </c>
      <c r="B249" s="678" t="s">
        <v>2384</v>
      </c>
      <c r="C249" s="505"/>
      <c r="D249" s="506"/>
      <c r="E249" s="506"/>
      <c r="F249" s="506"/>
      <c r="G249" s="506"/>
      <c r="H249" s="506">
        <v>0</v>
      </c>
      <c r="I249" s="506"/>
      <c r="J249" s="506">
        <v>0</v>
      </c>
      <c r="K249" s="506"/>
      <c r="L249" s="506">
        <v>0</v>
      </c>
      <c r="M249" s="506">
        <v>0</v>
      </c>
      <c r="N249" s="506">
        <v>0</v>
      </c>
      <c r="O249" s="506">
        <v>471940</v>
      </c>
      <c r="P249" s="1498">
        <f t="shared" si="24"/>
        <v>0</v>
      </c>
      <c r="Q249" s="696">
        <f t="shared" si="27"/>
        <v>471940</v>
      </c>
      <c r="R249" s="1075">
        <v>312420</v>
      </c>
      <c r="S249" s="1076" t="s">
        <v>251</v>
      </c>
      <c r="T249" s="1076">
        <v>0</v>
      </c>
      <c r="U249" s="1076">
        <v>0</v>
      </c>
      <c r="V249" s="1076">
        <v>0</v>
      </c>
      <c r="W249" s="1076">
        <v>1197710</v>
      </c>
      <c r="X249" s="1076">
        <v>0</v>
      </c>
      <c r="Y249" s="1076">
        <v>0</v>
      </c>
      <c r="Z249" s="1076"/>
      <c r="AA249" s="1076"/>
      <c r="AB249" s="1076"/>
      <c r="AC249" s="1076"/>
      <c r="AD249" s="1077">
        <f t="shared" si="28"/>
        <v>1510130</v>
      </c>
      <c r="AE249" s="609">
        <f t="shared" si="25"/>
        <v>1</v>
      </c>
      <c r="AF249" s="610">
        <f t="shared" si="29"/>
        <v>167</v>
      </c>
    </row>
    <row r="250" spans="1:32" x14ac:dyDescent="0.3">
      <c r="A250" s="544" t="s">
        <v>675</v>
      </c>
      <c r="B250" s="678" t="s">
        <v>2385</v>
      </c>
      <c r="C250" s="505"/>
      <c r="D250" s="506"/>
      <c r="E250" s="506"/>
      <c r="F250" s="506"/>
      <c r="G250" s="506"/>
      <c r="H250" s="506">
        <v>0</v>
      </c>
      <c r="I250" s="506"/>
      <c r="J250" s="506">
        <v>0</v>
      </c>
      <c r="K250" s="506"/>
      <c r="L250" s="506">
        <v>0</v>
      </c>
      <c r="M250" s="506">
        <v>0</v>
      </c>
      <c r="N250" s="506">
        <v>0</v>
      </c>
      <c r="O250" s="506">
        <v>292940</v>
      </c>
      <c r="P250" s="1498">
        <f t="shared" si="24"/>
        <v>0</v>
      </c>
      <c r="Q250" s="696">
        <f t="shared" si="27"/>
        <v>292940</v>
      </c>
      <c r="R250" s="1075" t="s">
        <v>251</v>
      </c>
      <c r="S250" s="1076" t="s">
        <v>251</v>
      </c>
      <c r="T250" s="1076"/>
      <c r="U250" s="1076">
        <v>317860</v>
      </c>
      <c r="V250" s="1076">
        <v>0</v>
      </c>
      <c r="W250" s="1076">
        <v>0</v>
      </c>
      <c r="X250" s="1076">
        <v>0</v>
      </c>
      <c r="Y250" s="1076">
        <v>0</v>
      </c>
      <c r="Z250" s="1076"/>
      <c r="AA250" s="1076"/>
      <c r="AB250" s="1076"/>
      <c r="AC250" s="1076"/>
      <c r="AD250" s="1077">
        <f t="shared" si="28"/>
        <v>317860</v>
      </c>
      <c r="AE250" s="609">
        <f t="shared" si="25"/>
        <v>1</v>
      </c>
      <c r="AF250" s="610">
        <f t="shared" si="29"/>
        <v>291</v>
      </c>
    </row>
    <row r="251" spans="1:32" x14ac:dyDescent="0.3">
      <c r="A251" s="544" t="s">
        <v>675</v>
      </c>
      <c r="B251" s="678" t="s">
        <v>2386</v>
      </c>
      <c r="C251" s="505"/>
      <c r="D251" s="506"/>
      <c r="E251" s="506"/>
      <c r="F251" s="506"/>
      <c r="G251" s="506"/>
      <c r="H251" s="506">
        <v>0</v>
      </c>
      <c r="I251" s="506"/>
      <c r="J251" s="506">
        <v>0</v>
      </c>
      <c r="K251" s="506"/>
      <c r="L251" s="506">
        <v>0</v>
      </c>
      <c r="M251" s="506">
        <v>0</v>
      </c>
      <c r="N251" s="506">
        <v>0</v>
      </c>
      <c r="O251" s="506">
        <v>193300</v>
      </c>
      <c r="P251" s="1498">
        <f t="shared" si="24"/>
        <v>0</v>
      </c>
      <c r="Q251" s="696">
        <f t="shared" si="27"/>
        <v>193300</v>
      </c>
      <c r="R251" s="1075" t="s">
        <v>251</v>
      </c>
      <c r="S251" s="1076" t="s">
        <v>251</v>
      </c>
      <c r="T251" s="1076"/>
      <c r="U251" s="1076"/>
      <c r="V251" s="1076">
        <v>1050830</v>
      </c>
      <c r="W251" s="1076">
        <v>0</v>
      </c>
      <c r="X251" s="1076">
        <v>0</v>
      </c>
      <c r="Y251" s="1076">
        <v>0</v>
      </c>
      <c r="Z251" s="1076"/>
      <c r="AA251" s="1076"/>
      <c r="AB251" s="1076"/>
      <c r="AC251" s="1076"/>
      <c r="AD251" s="1077">
        <f t="shared" si="28"/>
        <v>1050830</v>
      </c>
      <c r="AE251" s="609">
        <f t="shared" si="25"/>
        <v>1</v>
      </c>
      <c r="AF251" s="610">
        <f t="shared" si="29"/>
        <v>195</v>
      </c>
    </row>
    <row r="252" spans="1:32" x14ac:dyDescent="0.3">
      <c r="A252" s="544" t="s">
        <v>675</v>
      </c>
      <c r="B252" s="678" t="s">
        <v>2387</v>
      </c>
      <c r="C252" s="505"/>
      <c r="D252" s="506"/>
      <c r="E252" s="506"/>
      <c r="F252" s="506"/>
      <c r="G252" s="506"/>
      <c r="H252" s="506" t="s">
        <v>251</v>
      </c>
      <c r="I252" s="506"/>
      <c r="J252" s="506" t="s">
        <v>251</v>
      </c>
      <c r="K252" s="506"/>
      <c r="L252" s="506" t="s">
        <v>251</v>
      </c>
      <c r="M252" s="506" t="s">
        <v>251</v>
      </c>
      <c r="N252" s="506" t="s">
        <v>251</v>
      </c>
      <c r="O252" s="506">
        <v>191700</v>
      </c>
      <c r="P252" s="1498">
        <f t="shared" si="24"/>
        <v>0</v>
      </c>
      <c r="Q252" s="696">
        <f t="shared" si="27"/>
        <v>191700</v>
      </c>
      <c r="R252" s="1075">
        <v>2450080</v>
      </c>
      <c r="S252" s="1076" t="s">
        <v>251</v>
      </c>
      <c r="T252" s="1076">
        <v>0</v>
      </c>
      <c r="U252" s="1076">
        <v>0</v>
      </c>
      <c r="V252" s="1076">
        <v>0</v>
      </c>
      <c r="W252" s="1076">
        <v>0</v>
      </c>
      <c r="X252" s="1076">
        <v>0</v>
      </c>
      <c r="Y252" s="1076">
        <v>0</v>
      </c>
      <c r="Z252" s="1076"/>
      <c r="AA252" s="1076"/>
      <c r="AB252" s="1076"/>
      <c r="AC252" s="1076"/>
      <c r="AD252" s="1077">
        <f t="shared" si="28"/>
        <v>2450080</v>
      </c>
      <c r="AE252" s="609">
        <f t="shared" si="25"/>
        <v>1</v>
      </c>
      <c r="AF252" s="610">
        <f t="shared" si="29"/>
        <v>127</v>
      </c>
    </row>
    <row r="253" spans="1:32" x14ac:dyDescent="0.3">
      <c r="A253" s="544" t="s">
        <v>675</v>
      </c>
      <c r="B253" s="678" t="s">
        <v>2488</v>
      </c>
      <c r="C253" s="505"/>
      <c r="D253" s="506"/>
      <c r="E253" s="506"/>
      <c r="F253" s="506"/>
      <c r="G253" s="506"/>
      <c r="H253" s="506"/>
      <c r="I253" s="506"/>
      <c r="J253" s="506"/>
      <c r="K253" s="506"/>
      <c r="L253" s="506"/>
      <c r="M253" s="506"/>
      <c r="N253" s="506"/>
      <c r="O253" s="506"/>
      <c r="P253" s="1498">
        <f t="shared" si="24"/>
        <v>0</v>
      </c>
      <c r="Q253" s="696">
        <f t="shared" si="27"/>
        <v>0</v>
      </c>
      <c r="R253" s="1075">
        <v>1590630</v>
      </c>
      <c r="S253" s="1076" t="s">
        <v>251</v>
      </c>
      <c r="T253" s="1076">
        <v>0</v>
      </c>
      <c r="U253" s="1076">
        <v>0</v>
      </c>
      <c r="V253" s="1076">
        <v>0</v>
      </c>
      <c r="W253" s="1076">
        <v>0</v>
      </c>
      <c r="X253" s="1076">
        <v>0</v>
      </c>
      <c r="Y253" s="1076">
        <v>0</v>
      </c>
      <c r="Z253" s="1076"/>
      <c r="AA253" s="1076"/>
      <c r="AB253" s="1076"/>
      <c r="AC253" s="1076"/>
      <c r="AD253" s="1077">
        <f t="shared" si="28"/>
        <v>1590630</v>
      </c>
      <c r="AE253" s="609">
        <f t="shared" si="25"/>
        <v>1</v>
      </c>
      <c r="AF253" s="610">
        <f t="shared" si="29"/>
        <v>163</v>
      </c>
    </row>
    <row r="254" spans="1:32" x14ac:dyDescent="0.3">
      <c r="A254" s="544" t="s">
        <v>675</v>
      </c>
      <c r="B254" s="678" t="s">
        <v>2489</v>
      </c>
      <c r="C254" s="505"/>
      <c r="D254" s="506"/>
      <c r="E254" s="506"/>
      <c r="F254" s="506"/>
      <c r="G254" s="506"/>
      <c r="H254" s="506"/>
      <c r="I254" s="506"/>
      <c r="J254" s="506"/>
      <c r="K254" s="506"/>
      <c r="L254" s="506"/>
      <c r="M254" s="506"/>
      <c r="N254" s="506"/>
      <c r="O254" s="506"/>
      <c r="P254" s="1498">
        <f t="shared" si="24"/>
        <v>0</v>
      </c>
      <c r="Q254" s="696">
        <f t="shared" si="27"/>
        <v>0</v>
      </c>
      <c r="R254" s="1075">
        <v>466840</v>
      </c>
      <c r="S254" s="1076">
        <v>32960</v>
      </c>
      <c r="T254" s="1076">
        <v>0</v>
      </c>
      <c r="U254" s="1076">
        <v>1123410</v>
      </c>
      <c r="V254" s="1076">
        <v>0</v>
      </c>
      <c r="W254" s="1076">
        <v>0</v>
      </c>
      <c r="X254" s="1076">
        <v>0</v>
      </c>
      <c r="Y254" s="1076">
        <v>0</v>
      </c>
      <c r="Z254" s="1076"/>
      <c r="AA254" s="1076"/>
      <c r="AB254" s="1076"/>
      <c r="AC254" s="1076"/>
      <c r="AD254" s="1077">
        <f t="shared" si="28"/>
        <v>1623210</v>
      </c>
      <c r="AE254" s="609">
        <f t="shared" si="25"/>
        <v>1</v>
      </c>
      <c r="AF254" s="610">
        <f t="shared" si="29"/>
        <v>162</v>
      </c>
    </row>
    <row r="255" spans="1:32" x14ac:dyDescent="0.3">
      <c r="A255" s="544" t="s">
        <v>675</v>
      </c>
      <c r="B255" s="678" t="s">
        <v>2490</v>
      </c>
      <c r="C255" s="505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1498">
        <f t="shared" si="24"/>
        <v>0</v>
      </c>
      <c r="Q255" s="696">
        <f t="shared" si="27"/>
        <v>0</v>
      </c>
      <c r="R255" s="1075">
        <v>433130</v>
      </c>
      <c r="S255" s="1076" t="s">
        <v>251</v>
      </c>
      <c r="T255" s="1076">
        <v>0</v>
      </c>
      <c r="U255" s="1076">
        <v>0</v>
      </c>
      <c r="V255" s="1076">
        <v>48800</v>
      </c>
      <c r="W255" s="1076">
        <v>0</v>
      </c>
      <c r="X255" s="1076">
        <v>0</v>
      </c>
      <c r="Y255" s="1076">
        <v>0</v>
      </c>
      <c r="Z255" s="1076"/>
      <c r="AA255" s="1076"/>
      <c r="AB255" s="1076"/>
      <c r="AC255" s="1076"/>
      <c r="AD255" s="1077">
        <f t="shared" si="28"/>
        <v>481930</v>
      </c>
      <c r="AE255" s="609">
        <f t="shared" si="25"/>
        <v>1</v>
      </c>
      <c r="AF255" s="610">
        <f t="shared" si="29"/>
        <v>261</v>
      </c>
    </row>
    <row r="256" spans="1:32" x14ac:dyDescent="0.3">
      <c r="A256" s="544" t="s">
        <v>675</v>
      </c>
      <c r="B256" s="678" t="s">
        <v>2491</v>
      </c>
      <c r="C256" s="505"/>
      <c r="D256" s="506"/>
      <c r="E256" s="506"/>
      <c r="F256" s="506"/>
      <c r="G256" s="506"/>
      <c r="H256" s="506"/>
      <c r="I256" s="506"/>
      <c r="J256" s="506"/>
      <c r="K256" s="506"/>
      <c r="L256" s="506"/>
      <c r="M256" s="506"/>
      <c r="N256" s="506"/>
      <c r="O256" s="506"/>
      <c r="P256" s="1498">
        <f t="shared" si="24"/>
        <v>0</v>
      </c>
      <c r="Q256" s="696">
        <f t="shared" si="27"/>
        <v>0</v>
      </c>
      <c r="R256" s="1075">
        <v>351030</v>
      </c>
      <c r="S256" s="1076" t="s">
        <v>251</v>
      </c>
      <c r="T256" s="1076">
        <v>0</v>
      </c>
      <c r="U256" s="1076">
        <v>0</v>
      </c>
      <c r="V256" s="1076">
        <v>0</v>
      </c>
      <c r="W256" s="1076">
        <v>0</v>
      </c>
      <c r="X256" s="1076">
        <v>0</v>
      </c>
      <c r="Y256" s="1076">
        <v>0</v>
      </c>
      <c r="Z256" s="1076"/>
      <c r="AA256" s="1076"/>
      <c r="AB256" s="1076"/>
      <c r="AC256" s="1076"/>
      <c r="AD256" s="1077">
        <f t="shared" si="28"/>
        <v>351030</v>
      </c>
      <c r="AE256" s="609">
        <f t="shared" si="25"/>
        <v>1</v>
      </c>
      <c r="AF256" s="610">
        <f t="shared" si="29"/>
        <v>284</v>
      </c>
    </row>
    <row r="257" spans="1:32" x14ac:dyDescent="0.3">
      <c r="A257" s="544" t="s">
        <v>675</v>
      </c>
      <c r="B257" s="678" t="s">
        <v>2533</v>
      </c>
      <c r="C257" s="505"/>
      <c r="D257" s="506"/>
      <c r="E257" s="506"/>
      <c r="F257" s="506"/>
      <c r="G257" s="506"/>
      <c r="H257" s="506"/>
      <c r="I257" s="506"/>
      <c r="J257" s="506"/>
      <c r="K257" s="506"/>
      <c r="L257" s="506"/>
      <c r="M257" s="506"/>
      <c r="N257" s="506"/>
      <c r="O257" s="506"/>
      <c r="P257" s="1498">
        <f t="shared" si="24"/>
        <v>0</v>
      </c>
      <c r="Q257" s="696">
        <f t="shared" si="27"/>
        <v>0</v>
      </c>
      <c r="R257" s="1075">
        <v>814570</v>
      </c>
      <c r="S257" s="1076">
        <v>20480</v>
      </c>
      <c r="T257" s="1076">
        <v>0</v>
      </c>
      <c r="U257" s="1076">
        <v>0</v>
      </c>
      <c r="V257" s="1076">
        <v>0</v>
      </c>
      <c r="W257" s="1076">
        <v>97540</v>
      </c>
      <c r="X257" s="1076">
        <v>0</v>
      </c>
      <c r="Y257" s="1076">
        <v>0</v>
      </c>
      <c r="Z257" s="1076"/>
      <c r="AA257" s="1076"/>
      <c r="AB257" s="1076"/>
      <c r="AC257" s="1076"/>
      <c r="AD257" s="1077">
        <f t="shared" si="28"/>
        <v>932590</v>
      </c>
      <c r="AE257" s="609">
        <f t="shared" si="25"/>
        <v>1</v>
      </c>
      <c r="AF257" s="610">
        <f t="shared" si="29"/>
        <v>206</v>
      </c>
    </row>
    <row r="258" spans="1:32" x14ac:dyDescent="0.3">
      <c r="A258" s="544" t="s">
        <v>675</v>
      </c>
      <c r="B258" s="678" t="s">
        <v>2534</v>
      </c>
      <c r="C258" s="505"/>
      <c r="D258" s="506"/>
      <c r="E258" s="506"/>
      <c r="F258" s="506"/>
      <c r="G258" s="506"/>
      <c r="H258" s="506"/>
      <c r="I258" s="506"/>
      <c r="J258" s="506"/>
      <c r="K258" s="506"/>
      <c r="L258" s="506"/>
      <c r="M258" s="506"/>
      <c r="N258" s="506"/>
      <c r="O258" s="506"/>
      <c r="P258" s="1498">
        <f t="shared" si="24"/>
        <v>0</v>
      </c>
      <c r="Q258" s="696">
        <f t="shared" si="27"/>
        <v>0</v>
      </c>
      <c r="R258" s="1075">
        <v>424720</v>
      </c>
      <c r="S258" s="1076">
        <v>193750</v>
      </c>
      <c r="T258" s="1076">
        <v>0</v>
      </c>
      <c r="U258" s="1076">
        <v>0</v>
      </c>
      <c r="V258" s="1076">
        <v>0</v>
      </c>
      <c r="W258" s="1076">
        <v>0</v>
      </c>
      <c r="X258" s="1076">
        <v>0</v>
      </c>
      <c r="Y258" s="1076">
        <v>0</v>
      </c>
      <c r="Z258" s="1076"/>
      <c r="AA258" s="1076"/>
      <c r="AB258" s="1076"/>
      <c r="AC258" s="1076"/>
      <c r="AD258" s="1077">
        <f t="shared" si="28"/>
        <v>618470</v>
      </c>
      <c r="AE258" s="609">
        <f t="shared" si="25"/>
        <v>1</v>
      </c>
      <c r="AF258" s="610">
        <f t="shared" si="29"/>
        <v>237</v>
      </c>
    </row>
    <row r="259" spans="1:32" x14ac:dyDescent="0.3">
      <c r="A259" s="544" t="s">
        <v>675</v>
      </c>
      <c r="B259" s="678" t="s">
        <v>2594</v>
      </c>
      <c r="C259" s="505"/>
      <c r="D259" s="506"/>
      <c r="E259" s="506"/>
      <c r="F259" s="506"/>
      <c r="G259" s="506"/>
      <c r="H259" s="506"/>
      <c r="I259" s="506"/>
      <c r="J259" s="506"/>
      <c r="K259" s="506"/>
      <c r="L259" s="506"/>
      <c r="M259" s="506"/>
      <c r="N259" s="506"/>
      <c r="O259" s="506"/>
      <c r="P259" s="1498">
        <f t="shared" ref="P259:P322" si="30">SUM(C259:I259,K259)</f>
        <v>0</v>
      </c>
      <c r="Q259" s="696">
        <f t="shared" si="27"/>
        <v>0</v>
      </c>
      <c r="R259" s="1075"/>
      <c r="S259" s="1076"/>
      <c r="T259" s="1076">
        <v>11135390</v>
      </c>
      <c r="U259" s="1076">
        <v>21580</v>
      </c>
      <c r="V259" s="1076">
        <v>3957650</v>
      </c>
      <c r="W259" s="1076">
        <v>2078600</v>
      </c>
      <c r="X259" s="1076">
        <v>1665000</v>
      </c>
      <c r="Y259" s="1076">
        <v>589740</v>
      </c>
      <c r="Z259" s="1076"/>
      <c r="AA259" s="1076"/>
      <c r="AB259" s="1076"/>
      <c r="AC259" s="1076"/>
      <c r="AD259" s="1077">
        <f t="shared" si="28"/>
        <v>19447960</v>
      </c>
      <c r="AE259" s="609">
        <f t="shared" si="25"/>
        <v>1</v>
      </c>
      <c r="AF259" s="610">
        <f t="shared" si="29"/>
        <v>21</v>
      </c>
    </row>
    <row r="260" spans="1:32" x14ac:dyDescent="0.3">
      <c r="A260" s="544" t="s">
        <v>675</v>
      </c>
      <c r="B260" s="678" t="s">
        <v>2595</v>
      </c>
      <c r="C260" s="505"/>
      <c r="D260" s="506"/>
      <c r="E260" s="506"/>
      <c r="F260" s="506"/>
      <c r="G260" s="506"/>
      <c r="H260" s="506"/>
      <c r="I260" s="506"/>
      <c r="J260" s="506"/>
      <c r="K260" s="506"/>
      <c r="L260" s="506"/>
      <c r="M260" s="506"/>
      <c r="N260" s="506"/>
      <c r="O260" s="506"/>
      <c r="P260" s="1498">
        <f t="shared" si="30"/>
        <v>0</v>
      </c>
      <c r="Q260" s="696">
        <f t="shared" si="27"/>
        <v>0</v>
      </c>
      <c r="R260" s="1075"/>
      <c r="S260" s="1076"/>
      <c r="T260" s="1076">
        <v>1662580</v>
      </c>
      <c r="U260" s="1076">
        <v>1390250</v>
      </c>
      <c r="V260" s="1076">
        <v>764650</v>
      </c>
      <c r="W260" s="1076">
        <v>0</v>
      </c>
      <c r="X260" s="1076">
        <v>0</v>
      </c>
      <c r="Y260" s="1076">
        <v>0</v>
      </c>
      <c r="Z260" s="1076"/>
      <c r="AA260" s="1076"/>
      <c r="AB260" s="1076"/>
      <c r="AC260" s="1076"/>
      <c r="AD260" s="1077">
        <f t="shared" si="28"/>
        <v>3817480</v>
      </c>
      <c r="AE260" s="609">
        <f t="shared" si="25"/>
        <v>1</v>
      </c>
      <c r="AF260" s="610">
        <f t="shared" si="29"/>
        <v>101</v>
      </c>
    </row>
    <row r="261" spans="1:32" x14ac:dyDescent="0.3">
      <c r="A261" s="544" t="s">
        <v>675</v>
      </c>
      <c r="B261" s="678" t="s">
        <v>2596</v>
      </c>
      <c r="C261" s="505"/>
      <c r="D261" s="506"/>
      <c r="E261" s="506"/>
      <c r="F261" s="506"/>
      <c r="G261" s="506"/>
      <c r="H261" s="506"/>
      <c r="I261" s="506"/>
      <c r="J261" s="506"/>
      <c r="K261" s="506"/>
      <c r="L261" s="506"/>
      <c r="M261" s="506"/>
      <c r="N261" s="506"/>
      <c r="O261" s="506"/>
      <c r="P261" s="1498">
        <f t="shared" si="30"/>
        <v>0</v>
      </c>
      <c r="Q261" s="696">
        <f t="shared" si="27"/>
        <v>0</v>
      </c>
      <c r="R261" s="1075"/>
      <c r="S261" s="1076"/>
      <c r="T261" s="1076">
        <v>1204110</v>
      </c>
      <c r="U261" s="1076">
        <v>0</v>
      </c>
      <c r="V261" s="1076">
        <v>0</v>
      </c>
      <c r="W261" s="1076">
        <v>0</v>
      </c>
      <c r="X261" s="1076">
        <v>0</v>
      </c>
      <c r="Y261" s="1076">
        <v>0</v>
      </c>
      <c r="Z261" s="1076"/>
      <c r="AA261" s="1076"/>
      <c r="AB261" s="1076"/>
      <c r="AC261" s="1076"/>
      <c r="AD261" s="1077">
        <f t="shared" si="28"/>
        <v>1204110</v>
      </c>
      <c r="AE261" s="609">
        <f t="shared" si="25"/>
        <v>1</v>
      </c>
      <c r="AF261" s="610">
        <f t="shared" si="29"/>
        <v>179</v>
      </c>
    </row>
    <row r="262" spans="1:32" x14ac:dyDescent="0.3">
      <c r="A262" s="544" t="s">
        <v>675</v>
      </c>
      <c r="B262" s="678" t="s">
        <v>2597</v>
      </c>
      <c r="C262" s="505"/>
      <c r="D262" s="506"/>
      <c r="E262" s="506"/>
      <c r="F262" s="506"/>
      <c r="G262" s="506"/>
      <c r="H262" s="506"/>
      <c r="I262" s="506"/>
      <c r="J262" s="506"/>
      <c r="K262" s="506"/>
      <c r="L262" s="506"/>
      <c r="M262" s="506"/>
      <c r="N262" s="506"/>
      <c r="O262" s="506"/>
      <c r="P262" s="1498">
        <f t="shared" si="30"/>
        <v>0</v>
      </c>
      <c r="Q262" s="696">
        <f t="shared" si="27"/>
        <v>0</v>
      </c>
      <c r="R262" s="1075"/>
      <c r="S262" s="1076"/>
      <c r="T262" s="1076">
        <v>869860</v>
      </c>
      <c r="U262" s="1076">
        <v>0</v>
      </c>
      <c r="V262" s="1076">
        <v>0</v>
      </c>
      <c r="W262" s="1076">
        <v>0</v>
      </c>
      <c r="X262" s="1076">
        <v>0</v>
      </c>
      <c r="Y262" s="1076">
        <v>0</v>
      </c>
      <c r="Z262" s="1076"/>
      <c r="AA262" s="1076"/>
      <c r="AB262" s="1076"/>
      <c r="AC262" s="1076"/>
      <c r="AD262" s="1077">
        <f t="shared" si="28"/>
        <v>869860</v>
      </c>
      <c r="AE262" s="609">
        <f t="shared" ref="AE262:AE343" si="31">IF(OR(AD262="", P262=""), 0, IFERROR((AD262-P262)/P262, IF(AD262&lt;&gt;0, 1, 0)))</f>
        <v>1</v>
      </c>
      <c r="AF262" s="610">
        <f t="shared" si="29"/>
        <v>208</v>
      </c>
    </row>
    <row r="263" spans="1:32" x14ac:dyDescent="0.3">
      <c r="A263" s="544" t="s">
        <v>675</v>
      </c>
      <c r="B263" s="678" t="s">
        <v>2598</v>
      </c>
      <c r="C263" s="505"/>
      <c r="D263" s="506"/>
      <c r="E263" s="506"/>
      <c r="F263" s="506"/>
      <c r="G263" s="506"/>
      <c r="H263" s="506"/>
      <c r="I263" s="506"/>
      <c r="J263" s="506"/>
      <c r="K263" s="506"/>
      <c r="L263" s="506"/>
      <c r="M263" s="506"/>
      <c r="N263" s="506"/>
      <c r="O263" s="506"/>
      <c r="P263" s="1498">
        <f t="shared" si="30"/>
        <v>0</v>
      </c>
      <c r="Q263" s="696">
        <f>SUM(C263:J263,L263:O263)</f>
        <v>0</v>
      </c>
      <c r="R263" s="1075"/>
      <c r="S263" s="1076"/>
      <c r="T263" s="1076">
        <v>797160</v>
      </c>
      <c r="U263" s="1076">
        <v>0</v>
      </c>
      <c r="V263" s="1076">
        <v>0</v>
      </c>
      <c r="W263" s="1076">
        <v>0</v>
      </c>
      <c r="X263" s="1076">
        <v>0</v>
      </c>
      <c r="Y263" s="1076">
        <v>0</v>
      </c>
      <c r="Z263" s="1076"/>
      <c r="AA263" s="1076"/>
      <c r="AB263" s="1076"/>
      <c r="AC263" s="1076"/>
      <c r="AD263" s="1077">
        <f t="shared" si="28"/>
        <v>797160</v>
      </c>
      <c r="AE263" s="609">
        <f t="shared" si="31"/>
        <v>1</v>
      </c>
      <c r="AF263" s="610">
        <f t="shared" si="29"/>
        <v>219</v>
      </c>
    </row>
    <row r="264" spans="1:32" x14ac:dyDescent="0.3">
      <c r="A264" s="544" t="s">
        <v>675</v>
      </c>
      <c r="B264" s="678" t="s">
        <v>2599</v>
      </c>
      <c r="C264" s="505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6"/>
      <c r="P264" s="1498">
        <f t="shared" si="30"/>
        <v>0</v>
      </c>
      <c r="Q264" s="696">
        <f t="shared" ref="Q264:Q330" si="32">SUM(C264:J264,L264:O264)</f>
        <v>0</v>
      </c>
      <c r="R264" s="1075"/>
      <c r="S264" s="1076"/>
      <c r="T264" s="1076">
        <v>16420590</v>
      </c>
      <c r="U264" s="1076">
        <v>1177630</v>
      </c>
      <c r="V264" s="1076">
        <v>0</v>
      </c>
      <c r="W264" s="1076">
        <v>0</v>
      </c>
      <c r="X264" s="1076">
        <v>0</v>
      </c>
      <c r="Y264" s="1076">
        <v>0</v>
      </c>
      <c r="Z264" s="1076"/>
      <c r="AA264" s="1076"/>
      <c r="AB264" s="1076"/>
      <c r="AC264" s="1076"/>
      <c r="AD264" s="1077">
        <f t="shared" si="28"/>
        <v>17598220</v>
      </c>
      <c r="AE264" s="609">
        <f t="shared" si="31"/>
        <v>1</v>
      </c>
      <c r="AF264" s="610">
        <f t="shared" si="29"/>
        <v>25</v>
      </c>
    </row>
    <row r="265" spans="1:32" x14ac:dyDescent="0.3">
      <c r="A265" s="544" t="s">
        <v>675</v>
      </c>
      <c r="B265" s="678" t="s">
        <v>2600</v>
      </c>
      <c r="C265" s="505"/>
      <c r="D265" s="506"/>
      <c r="E265" s="506"/>
      <c r="F265" s="506"/>
      <c r="G265" s="506"/>
      <c r="H265" s="506"/>
      <c r="I265" s="506"/>
      <c r="J265" s="506"/>
      <c r="K265" s="506"/>
      <c r="L265" s="506"/>
      <c r="M265" s="506"/>
      <c r="N265" s="506"/>
      <c r="O265" s="506"/>
      <c r="P265" s="1498">
        <f t="shared" si="30"/>
        <v>0</v>
      </c>
      <c r="Q265" s="696">
        <f t="shared" si="32"/>
        <v>0</v>
      </c>
      <c r="R265" s="1075"/>
      <c r="S265" s="1076"/>
      <c r="T265" s="1076">
        <v>229310</v>
      </c>
      <c r="U265" s="1076">
        <v>0</v>
      </c>
      <c r="V265" s="1076">
        <v>0</v>
      </c>
      <c r="W265" s="1076">
        <v>0</v>
      </c>
      <c r="X265" s="1076">
        <v>0</v>
      </c>
      <c r="Y265" s="1076">
        <v>0</v>
      </c>
      <c r="Z265" s="1076"/>
      <c r="AA265" s="1076"/>
      <c r="AB265" s="1076"/>
      <c r="AC265" s="1076"/>
      <c r="AD265" s="1077">
        <f t="shared" si="28"/>
        <v>229310</v>
      </c>
      <c r="AE265" s="609">
        <f t="shared" si="31"/>
        <v>1</v>
      </c>
      <c r="AF265" s="610">
        <f t="shared" si="29"/>
        <v>310</v>
      </c>
    </row>
    <row r="266" spans="1:32" x14ac:dyDescent="0.3">
      <c r="A266" s="544" t="s">
        <v>675</v>
      </c>
      <c r="B266" s="678" t="s">
        <v>2601</v>
      </c>
      <c r="C266" s="505"/>
      <c r="D266" s="506"/>
      <c r="E266" s="506"/>
      <c r="F266" s="506"/>
      <c r="G266" s="506"/>
      <c r="H266" s="506"/>
      <c r="I266" s="506"/>
      <c r="J266" s="506"/>
      <c r="K266" s="506"/>
      <c r="L266" s="506"/>
      <c r="M266" s="506"/>
      <c r="N266" s="506"/>
      <c r="O266" s="506"/>
      <c r="P266" s="1498">
        <f t="shared" si="30"/>
        <v>0</v>
      </c>
      <c r="Q266" s="696">
        <f t="shared" si="32"/>
        <v>0</v>
      </c>
      <c r="R266" s="1075"/>
      <c r="S266" s="1076"/>
      <c r="T266" s="1076">
        <v>122830</v>
      </c>
      <c r="U266" s="1076">
        <v>1474220</v>
      </c>
      <c r="V266" s="1076">
        <v>801770</v>
      </c>
      <c r="W266" s="1076">
        <v>0</v>
      </c>
      <c r="X266" s="1076">
        <v>0</v>
      </c>
      <c r="Y266" s="1076">
        <v>0</v>
      </c>
      <c r="Z266" s="1076"/>
      <c r="AA266" s="1076"/>
      <c r="AB266" s="1076"/>
      <c r="AC266" s="1076"/>
      <c r="AD266" s="1077">
        <f t="shared" si="28"/>
        <v>2398820</v>
      </c>
      <c r="AE266" s="609">
        <f t="shared" si="31"/>
        <v>1</v>
      </c>
      <c r="AF266" s="610">
        <f>IFERROR(_xlfn.RANK.EQ(AD266, $AD$2:$AD$677), "")</f>
        <v>129</v>
      </c>
    </row>
    <row r="267" spans="1:32" x14ac:dyDescent="0.3">
      <c r="A267" s="544" t="s">
        <v>675</v>
      </c>
      <c r="B267" s="678" t="s">
        <v>2602</v>
      </c>
      <c r="C267" s="505"/>
      <c r="D267" s="506"/>
      <c r="E267" s="506"/>
      <c r="F267" s="506"/>
      <c r="G267" s="506"/>
      <c r="H267" s="506"/>
      <c r="I267" s="506"/>
      <c r="J267" s="506"/>
      <c r="K267" s="506"/>
      <c r="L267" s="506"/>
      <c r="M267" s="506"/>
      <c r="N267" s="506"/>
      <c r="O267" s="506"/>
      <c r="P267" s="1498">
        <f t="shared" si="30"/>
        <v>0</v>
      </c>
      <c r="Q267" s="696">
        <f t="shared" si="32"/>
        <v>0</v>
      </c>
      <c r="R267" s="1075"/>
      <c r="S267" s="1076"/>
      <c r="T267" s="1076">
        <v>103050</v>
      </c>
      <c r="U267" s="1076">
        <v>0</v>
      </c>
      <c r="V267" s="1076">
        <v>0</v>
      </c>
      <c r="W267" s="1076">
        <v>0</v>
      </c>
      <c r="X267" s="1076">
        <v>0</v>
      </c>
      <c r="Y267" s="1076">
        <v>0</v>
      </c>
      <c r="Z267" s="1076"/>
      <c r="AA267" s="1076"/>
      <c r="AB267" s="1076"/>
      <c r="AC267" s="1076"/>
      <c r="AD267" s="1077">
        <f t="shared" si="28"/>
        <v>103050</v>
      </c>
      <c r="AE267" s="609">
        <f t="shared" si="31"/>
        <v>1</v>
      </c>
      <c r="AF267" s="610">
        <f t="shared" ref="AF267:AF330" si="33">IFERROR(_xlfn.RANK.EQ(AD267, $AD$2:$AD$677), "")</f>
        <v>343</v>
      </c>
    </row>
    <row r="268" spans="1:32" x14ac:dyDescent="0.3">
      <c r="A268" s="544" t="s">
        <v>675</v>
      </c>
      <c r="B268" s="678" t="s">
        <v>2657</v>
      </c>
      <c r="C268" s="505"/>
      <c r="D268" s="506"/>
      <c r="E268" s="506"/>
      <c r="F268" s="506"/>
      <c r="G268" s="506"/>
      <c r="H268" s="506"/>
      <c r="I268" s="506"/>
      <c r="J268" s="506"/>
      <c r="K268" s="506"/>
      <c r="L268" s="506"/>
      <c r="M268" s="506"/>
      <c r="N268" s="506"/>
      <c r="O268" s="506"/>
      <c r="P268" s="1498">
        <f t="shared" si="30"/>
        <v>0</v>
      </c>
      <c r="Q268" s="696">
        <f t="shared" si="32"/>
        <v>0</v>
      </c>
      <c r="R268" s="1075"/>
      <c r="S268" s="1076"/>
      <c r="T268" s="1076">
        <v>5266710</v>
      </c>
      <c r="U268" s="1076">
        <v>554440</v>
      </c>
      <c r="V268" s="1076">
        <v>0</v>
      </c>
      <c r="W268" s="1076">
        <v>0</v>
      </c>
      <c r="X268" s="1076">
        <v>0</v>
      </c>
      <c r="Y268" s="1076">
        <v>1180560</v>
      </c>
      <c r="Z268" s="1076"/>
      <c r="AA268" s="1076"/>
      <c r="AB268" s="1076"/>
      <c r="AC268" s="1076"/>
      <c r="AD268" s="1077">
        <f t="shared" si="28"/>
        <v>7001710</v>
      </c>
      <c r="AE268" s="609">
        <f t="shared" si="31"/>
        <v>1</v>
      </c>
      <c r="AF268" s="610">
        <f t="shared" si="33"/>
        <v>67</v>
      </c>
    </row>
    <row r="269" spans="1:32" x14ac:dyDescent="0.3">
      <c r="A269" s="544" t="s">
        <v>675</v>
      </c>
      <c r="B269" s="678" t="s">
        <v>2658</v>
      </c>
      <c r="C269" s="505"/>
      <c r="D269" s="506"/>
      <c r="E269" s="506"/>
      <c r="F269" s="506"/>
      <c r="G269" s="506"/>
      <c r="H269" s="506"/>
      <c r="I269" s="506"/>
      <c r="J269" s="506"/>
      <c r="K269" s="506"/>
      <c r="L269" s="506"/>
      <c r="M269" s="506"/>
      <c r="N269" s="506"/>
      <c r="O269" s="506"/>
      <c r="P269" s="1498">
        <f t="shared" si="30"/>
        <v>0</v>
      </c>
      <c r="Q269" s="696">
        <f t="shared" si="32"/>
        <v>0</v>
      </c>
      <c r="R269" s="1075"/>
      <c r="S269" s="1076"/>
      <c r="T269" s="1076">
        <v>5221560</v>
      </c>
      <c r="U269" s="1076">
        <v>28340</v>
      </c>
      <c r="V269" s="1076">
        <v>0</v>
      </c>
      <c r="W269" s="1076">
        <v>0</v>
      </c>
      <c r="X269" s="1076">
        <v>0</v>
      </c>
      <c r="Y269" s="1076">
        <v>0</v>
      </c>
      <c r="Z269" s="1076"/>
      <c r="AA269" s="1076"/>
      <c r="AB269" s="1076"/>
      <c r="AC269" s="1076"/>
      <c r="AD269" s="1077">
        <f t="shared" si="28"/>
        <v>5249900</v>
      </c>
      <c r="AE269" s="609">
        <f t="shared" si="31"/>
        <v>1</v>
      </c>
      <c r="AF269" s="610">
        <f t="shared" si="33"/>
        <v>77</v>
      </c>
    </row>
    <row r="270" spans="1:32" x14ac:dyDescent="0.3">
      <c r="A270" s="544" t="s">
        <v>675</v>
      </c>
      <c r="B270" s="678" t="s">
        <v>2659</v>
      </c>
      <c r="C270" s="505"/>
      <c r="D270" s="506"/>
      <c r="E270" s="506"/>
      <c r="F270" s="506"/>
      <c r="G270" s="506"/>
      <c r="H270" s="506"/>
      <c r="I270" s="506"/>
      <c r="J270" s="506"/>
      <c r="K270" s="506"/>
      <c r="L270" s="506"/>
      <c r="M270" s="506"/>
      <c r="N270" s="506"/>
      <c r="O270" s="506"/>
      <c r="P270" s="1498">
        <f t="shared" si="30"/>
        <v>0</v>
      </c>
      <c r="Q270" s="696">
        <f t="shared" si="32"/>
        <v>0</v>
      </c>
      <c r="R270" s="1075"/>
      <c r="S270" s="1076"/>
      <c r="T270" s="1076">
        <v>1135340</v>
      </c>
      <c r="U270" s="1076">
        <v>0</v>
      </c>
      <c r="V270" s="1076">
        <v>0</v>
      </c>
      <c r="W270" s="1076">
        <v>0</v>
      </c>
      <c r="X270" s="1076">
        <v>0</v>
      </c>
      <c r="Y270" s="1076">
        <v>0</v>
      </c>
      <c r="Z270" s="1076"/>
      <c r="AA270" s="1076"/>
      <c r="AB270" s="1076"/>
      <c r="AC270" s="1076"/>
      <c r="AD270" s="1077">
        <f t="shared" si="28"/>
        <v>1135340</v>
      </c>
      <c r="AE270" s="609">
        <f t="shared" si="31"/>
        <v>1</v>
      </c>
      <c r="AF270" s="610">
        <f t="shared" si="33"/>
        <v>189</v>
      </c>
    </row>
    <row r="271" spans="1:32" x14ac:dyDescent="0.3">
      <c r="A271" s="544" t="s">
        <v>675</v>
      </c>
      <c r="B271" s="678" t="s">
        <v>2660</v>
      </c>
      <c r="C271" s="505"/>
      <c r="D271" s="506"/>
      <c r="E271" s="506"/>
      <c r="F271" s="506"/>
      <c r="G271" s="506"/>
      <c r="H271" s="506"/>
      <c r="I271" s="506"/>
      <c r="J271" s="506"/>
      <c r="K271" s="506"/>
      <c r="L271" s="506"/>
      <c r="M271" s="506"/>
      <c r="N271" s="506"/>
      <c r="O271" s="506"/>
      <c r="P271" s="1498">
        <f t="shared" si="30"/>
        <v>0</v>
      </c>
      <c r="Q271" s="696">
        <f t="shared" si="32"/>
        <v>0</v>
      </c>
      <c r="R271" s="1075"/>
      <c r="S271" s="1076"/>
      <c r="T271" s="1076">
        <v>831760</v>
      </c>
      <c r="U271" s="1076">
        <v>0</v>
      </c>
      <c r="V271" s="1076">
        <v>0</v>
      </c>
      <c r="W271" s="1076">
        <v>0</v>
      </c>
      <c r="X271" s="1076">
        <v>0</v>
      </c>
      <c r="Y271" s="1076">
        <v>133100</v>
      </c>
      <c r="Z271" s="1076"/>
      <c r="AA271" s="1076"/>
      <c r="AB271" s="1076"/>
      <c r="AC271" s="1076"/>
      <c r="AD271" s="1077">
        <f t="shared" si="28"/>
        <v>964860</v>
      </c>
      <c r="AE271" s="609">
        <f t="shared" si="31"/>
        <v>1</v>
      </c>
      <c r="AF271" s="610">
        <f t="shared" si="33"/>
        <v>203</v>
      </c>
    </row>
    <row r="272" spans="1:32" x14ac:dyDescent="0.3">
      <c r="A272" s="544" t="s">
        <v>675</v>
      </c>
      <c r="B272" s="678" t="s">
        <v>2114</v>
      </c>
      <c r="C272" s="505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1498">
        <f t="shared" si="30"/>
        <v>0</v>
      </c>
      <c r="Q272" s="696">
        <f t="shared" si="32"/>
        <v>0</v>
      </c>
      <c r="R272" s="1075"/>
      <c r="S272" s="1076"/>
      <c r="T272" s="1076">
        <v>658060</v>
      </c>
      <c r="U272" s="1076">
        <v>388960</v>
      </c>
      <c r="V272" s="1076">
        <v>162890</v>
      </c>
      <c r="W272" s="1076">
        <v>1049420</v>
      </c>
      <c r="X272" s="1076">
        <v>0</v>
      </c>
      <c r="Y272" s="1076">
        <v>0</v>
      </c>
      <c r="Z272" s="1076"/>
      <c r="AA272" s="1076"/>
      <c r="AB272" s="1076"/>
      <c r="AC272" s="1076"/>
      <c r="AD272" s="1077">
        <f t="shared" si="28"/>
        <v>2259330</v>
      </c>
      <c r="AE272" s="609">
        <f t="shared" si="31"/>
        <v>1</v>
      </c>
      <c r="AF272" s="610">
        <f t="shared" si="33"/>
        <v>135</v>
      </c>
    </row>
    <row r="273" spans="1:32" x14ac:dyDescent="0.3">
      <c r="A273" s="544" t="s">
        <v>675</v>
      </c>
      <c r="B273" s="678" t="s">
        <v>647</v>
      </c>
      <c r="C273" s="505"/>
      <c r="D273" s="506"/>
      <c r="E273" s="506"/>
      <c r="F273" s="506"/>
      <c r="G273" s="506"/>
      <c r="H273" s="506"/>
      <c r="I273" s="506"/>
      <c r="J273" s="506"/>
      <c r="K273" s="506"/>
      <c r="L273" s="506"/>
      <c r="M273" s="506"/>
      <c r="N273" s="506"/>
      <c r="O273" s="506"/>
      <c r="P273" s="1498">
        <f t="shared" si="30"/>
        <v>0</v>
      </c>
      <c r="Q273" s="696">
        <f t="shared" si="32"/>
        <v>0</v>
      </c>
      <c r="R273" s="1075"/>
      <c r="S273" s="1076"/>
      <c r="T273" s="1076">
        <v>396450</v>
      </c>
      <c r="U273" s="1076">
        <v>0</v>
      </c>
      <c r="V273" s="1076">
        <v>0</v>
      </c>
      <c r="W273" s="1076">
        <v>0</v>
      </c>
      <c r="X273" s="1076">
        <v>0</v>
      </c>
      <c r="Y273" s="1076">
        <v>0</v>
      </c>
      <c r="Z273" s="1076"/>
      <c r="AA273" s="1076"/>
      <c r="AB273" s="1076"/>
      <c r="AC273" s="1076"/>
      <c r="AD273" s="1077">
        <f t="shared" si="28"/>
        <v>396450</v>
      </c>
      <c r="AE273" s="609">
        <f t="shared" si="31"/>
        <v>1</v>
      </c>
      <c r="AF273" s="610">
        <f t="shared" si="33"/>
        <v>276</v>
      </c>
    </row>
    <row r="274" spans="1:32" x14ac:dyDescent="0.3">
      <c r="A274" s="544" t="s">
        <v>675</v>
      </c>
      <c r="B274" s="678" t="s">
        <v>701</v>
      </c>
      <c r="C274" s="505"/>
      <c r="D274" s="506"/>
      <c r="E274" s="506"/>
      <c r="F274" s="506"/>
      <c r="G274" s="506"/>
      <c r="H274" s="506"/>
      <c r="I274" s="506"/>
      <c r="J274" s="506"/>
      <c r="K274" s="506"/>
      <c r="L274" s="506"/>
      <c r="M274" s="506"/>
      <c r="N274" s="506"/>
      <c r="O274" s="506"/>
      <c r="P274" s="1498">
        <f t="shared" si="30"/>
        <v>0</v>
      </c>
      <c r="Q274" s="696">
        <f t="shared" si="32"/>
        <v>0</v>
      </c>
      <c r="R274" s="1075"/>
      <c r="S274" s="1076"/>
      <c r="T274" s="1076">
        <v>329130</v>
      </c>
      <c r="U274" s="1076">
        <v>66970</v>
      </c>
      <c r="V274" s="1076">
        <v>382130</v>
      </c>
      <c r="W274" s="1076">
        <v>357460</v>
      </c>
      <c r="X274" s="1076">
        <v>2993700</v>
      </c>
      <c r="Y274" s="1076">
        <v>93570</v>
      </c>
      <c r="Z274" s="1076"/>
      <c r="AA274" s="1076"/>
      <c r="AB274" s="1076"/>
      <c r="AC274" s="1076"/>
      <c r="AD274" s="1077">
        <f t="shared" si="28"/>
        <v>4222960</v>
      </c>
      <c r="AE274" s="609">
        <f t="shared" si="31"/>
        <v>1</v>
      </c>
      <c r="AF274" s="610">
        <f t="shared" si="33"/>
        <v>91</v>
      </c>
    </row>
    <row r="275" spans="1:32" x14ac:dyDescent="0.3">
      <c r="A275" s="544" t="s">
        <v>675</v>
      </c>
      <c r="B275" s="678" t="s">
        <v>2661</v>
      </c>
      <c r="C275" s="505"/>
      <c r="D275" s="506"/>
      <c r="E275" s="506"/>
      <c r="F275" s="506"/>
      <c r="G275" s="506"/>
      <c r="H275" s="506"/>
      <c r="I275" s="506"/>
      <c r="J275" s="506"/>
      <c r="K275" s="506"/>
      <c r="L275" s="506"/>
      <c r="M275" s="506"/>
      <c r="N275" s="506"/>
      <c r="O275" s="506"/>
      <c r="P275" s="1498">
        <f t="shared" si="30"/>
        <v>0</v>
      </c>
      <c r="Q275" s="696">
        <f t="shared" si="32"/>
        <v>0</v>
      </c>
      <c r="R275" s="1075"/>
      <c r="S275" s="1076"/>
      <c r="T275" s="1076">
        <v>280530</v>
      </c>
      <c r="U275" s="1076">
        <v>0</v>
      </c>
      <c r="V275" s="1076">
        <v>0</v>
      </c>
      <c r="W275" s="1076">
        <v>0</v>
      </c>
      <c r="X275" s="1076">
        <v>0</v>
      </c>
      <c r="Y275" s="1076">
        <v>0</v>
      </c>
      <c r="Z275" s="1076"/>
      <c r="AA275" s="1076"/>
      <c r="AB275" s="1076"/>
      <c r="AC275" s="1076"/>
      <c r="AD275" s="1077">
        <f t="shared" si="28"/>
        <v>280530</v>
      </c>
      <c r="AE275" s="609">
        <f t="shared" si="31"/>
        <v>1</v>
      </c>
      <c r="AF275" s="610">
        <f t="shared" si="33"/>
        <v>300</v>
      </c>
    </row>
    <row r="276" spans="1:32" x14ac:dyDescent="0.3">
      <c r="A276" s="544" t="s">
        <v>675</v>
      </c>
      <c r="B276" s="678" t="s">
        <v>620</v>
      </c>
      <c r="C276" s="505"/>
      <c r="D276" s="506"/>
      <c r="E276" s="506"/>
      <c r="F276" s="506"/>
      <c r="G276" s="506"/>
      <c r="H276" s="506"/>
      <c r="I276" s="506"/>
      <c r="J276" s="506"/>
      <c r="K276" s="506"/>
      <c r="L276" s="506"/>
      <c r="M276" s="506"/>
      <c r="N276" s="506"/>
      <c r="O276" s="506"/>
      <c r="P276" s="1498">
        <f t="shared" si="30"/>
        <v>0</v>
      </c>
      <c r="Q276" s="696">
        <f t="shared" si="32"/>
        <v>0</v>
      </c>
      <c r="R276" s="1075"/>
      <c r="S276" s="1076"/>
      <c r="T276" s="1076"/>
      <c r="U276" s="1076">
        <v>678270</v>
      </c>
      <c r="V276" s="1076">
        <v>1602860</v>
      </c>
      <c r="W276" s="1076">
        <v>0</v>
      </c>
      <c r="X276" s="1076">
        <v>0</v>
      </c>
      <c r="Y276" s="1076">
        <v>0</v>
      </c>
      <c r="Z276" s="1076"/>
      <c r="AA276" s="1076"/>
      <c r="AB276" s="1076"/>
      <c r="AC276" s="1076"/>
      <c r="AD276" s="1077">
        <f t="shared" si="28"/>
        <v>2281130</v>
      </c>
      <c r="AE276" s="609">
        <f t="shared" si="31"/>
        <v>1</v>
      </c>
      <c r="AF276" s="610">
        <f t="shared" si="33"/>
        <v>133</v>
      </c>
    </row>
    <row r="277" spans="1:32" x14ac:dyDescent="0.3">
      <c r="A277" s="544" t="s">
        <v>675</v>
      </c>
      <c r="B277" s="678" t="s">
        <v>2709</v>
      </c>
      <c r="C277" s="505"/>
      <c r="D277" s="506"/>
      <c r="E277" s="506"/>
      <c r="F277" s="506"/>
      <c r="G277" s="506"/>
      <c r="H277" s="506"/>
      <c r="I277" s="506"/>
      <c r="J277" s="506"/>
      <c r="K277" s="506"/>
      <c r="L277" s="506"/>
      <c r="M277" s="506"/>
      <c r="N277" s="506"/>
      <c r="O277" s="506"/>
      <c r="P277" s="1498">
        <f t="shared" si="30"/>
        <v>0</v>
      </c>
      <c r="Q277" s="696">
        <f t="shared" si="32"/>
        <v>0</v>
      </c>
      <c r="R277" s="1075"/>
      <c r="S277" s="1076"/>
      <c r="T277" s="1076"/>
      <c r="U277" s="1076">
        <v>15098310</v>
      </c>
      <c r="V277" s="1076">
        <v>0</v>
      </c>
      <c r="W277" s="1076">
        <v>0</v>
      </c>
      <c r="X277" s="1076">
        <v>0</v>
      </c>
      <c r="Y277" s="1076">
        <v>0</v>
      </c>
      <c r="Z277" s="1076"/>
      <c r="AA277" s="1076"/>
      <c r="AB277" s="1076"/>
      <c r="AC277" s="1076"/>
      <c r="AD277" s="1077">
        <f t="shared" si="28"/>
        <v>15098310</v>
      </c>
      <c r="AE277" s="609">
        <f t="shared" si="31"/>
        <v>1</v>
      </c>
      <c r="AF277" s="610">
        <f t="shared" si="33"/>
        <v>32</v>
      </c>
    </row>
    <row r="278" spans="1:32" x14ac:dyDescent="0.3">
      <c r="A278" s="544" t="s">
        <v>675</v>
      </c>
      <c r="B278" s="678" t="s">
        <v>2663</v>
      </c>
      <c r="C278" s="505"/>
      <c r="D278" s="506"/>
      <c r="E278" s="506"/>
      <c r="F278" s="506"/>
      <c r="G278" s="506"/>
      <c r="H278" s="506"/>
      <c r="I278" s="506"/>
      <c r="J278" s="506"/>
      <c r="K278" s="506"/>
      <c r="L278" s="506"/>
      <c r="M278" s="506"/>
      <c r="N278" s="506"/>
      <c r="O278" s="506"/>
      <c r="P278" s="1498">
        <f t="shared" si="30"/>
        <v>0</v>
      </c>
      <c r="Q278" s="696">
        <f t="shared" si="32"/>
        <v>0</v>
      </c>
      <c r="R278" s="1075"/>
      <c r="S278" s="1076"/>
      <c r="T278" s="1076"/>
      <c r="U278" s="1076">
        <v>4643560</v>
      </c>
      <c r="V278" s="1076">
        <v>8694120</v>
      </c>
      <c r="W278" s="1076">
        <v>4667410</v>
      </c>
      <c r="X278" s="1076">
        <v>2164970</v>
      </c>
      <c r="Y278" s="1076">
        <v>0</v>
      </c>
      <c r="Z278" s="1076"/>
      <c r="AA278" s="1076"/>
      <c r="AB278" s="1076"/>
      <c r="AC278" s="1076"/>
      <c r="AD278" s="1077">
        <f t="shared" si="28"/>
        <v>20170060</v>
      </c>
      <c r="AE278" s="609">
        <f t="shared" si="31"/>
        <v>1</v>
      </c>
      <c r="AF278" s="610">
        <f t="shared" si="33"/>
        <v>18</v>
      </c>
    </row>
    <row r="279" spans="1:32" x14ac:dyDescent="0.3">
      <c r="A279" s="544" t="s">
        <v>675</v>
      </c>
      <c r="B279" s="678" t="s">
        <v>2710</v>
      </c>
      <c r="C279" s="505"/>
      <c r="D279" s="506"/>
      <c r="E279" s="506"/>
      <c r="F279" s="506"/>
      <c r="G279" s="506"/>
      <c r="H279" s="506"/>
      <c r="I279" s="506"/>
      <c r="J279" s="506"/>
      <c r="K279" s="506"/>
      <c r="L279" s="506"/>
      <c r="M279" s="506"/>
      <c r="N279" s="506"/>
      <c r="O279" s="506"/>
      <c r="P279" s="1498">
        <f t="shared" si="30"/>
        <v>0</v>
      </c>
      <c r="Q279" s="696">
        <f t="shared" si="32"/>
        <v>0</v>
      </c>
      <c r="R279" s="1075"/>
      <c r="S279" s="1076"/>
      <c r="T279" s="1076"/>
      <c r="U279" s="1076">
        <v>6911220</v>
      </c>
      <c r="V279" s="1076">
        <v>0</v>
      </c>
      <c r="W279" s="1076">
        <v>0</v>
      </c>
      <c r="X279" s="1076">
        <v>0</v>
      </c>
      <c r="Y279" s="1076">
        <v>0</v>
      </c>
      <c r="Z279" s="1076"/>
      <c r="AA279" s="1076"/>
      <c r="AB279" s="1076"/>
      <c r="AC279" s="1076"/>
      <c r="AD279" s="1077">
        <f t="shared" si="28"/>
        <v>6911220</v>
      </c>
      <c r="AE279" s="609">
        <f t="shared" si="31"/>
        <v>1</v>
      </c>
      <c r="AF279" s="610">
        <f t="shared" si="33"/>
        <v>68</v>
      </c>
    </row>
    <row r="280" spans="1:32" x14ac:dyDescent="0.3">
      <c r="A280" s="544" t="s">
        <v>675</v>
      </c>
      <c r="B280" s="678" t="s">
        <v>2711</v>
      </c>
      <c r="C280" s="505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1498">
        <f t="shared" si="30"/>
        <v>0</v>
      </c>
      <c r="Q280" s="696">
        <f t="shared" si="32"/>
        <v>0</v>
      </c>
      <c r="R280" s="1075"/>
      <c r="S280" s="1076"/>
      <c r="T280" s="1076"/>
      <c r="U280" s="1076">
        <v>6108320</v>
      </c>
      <c r="V280" s="1076">
        <v>543140</v>
      </c>
      <c r="W280" s="1076">
        <v>0</v>
      </c>
      <c r="X280" s="1076">
        <v>0</v>
      </c>
      <c r="Y280" s="1076">
        <v>0</v>
      </c>
      <c r="Z280" s="1076"/>
      <c r="AA280" s="1076"/>
      <c r="AB280" s="1076"/>
      <c r="AC280" s="1076"/>
      <c r="AD280" s="1077">
        <f t="shared" si="28"/>
        <v>6651460</v>
      </c>
      <c r="AE280" s="609">
        <f t="shared" si="31"/>
        <v>1</v>
      </c>
      <c r="AF280" s="610">
        <f t="shared" si="33"/>
        <v>69</v>
      </c>
    </row>
    <row r="281" spans="1:32" x14ac:dyDescent="0.3">
      <c r="A281" s="544" t="s">
        <v>675</v>
      </c>
      <c r="B281" s="678" t="s">
        <v>2687</v>
      </c>
      <c r="C281" s="505"/>
      <c r="D281" s="506"/>
      <c r="E281" s="506"/>
      <c r="F281" s="506"/>
      <c r="G281" s="506"/>
      <c r="H281" s="506"/>
      <c r="I281" s="506"/>
      <c r="J281" s="506"/>
      <c r="K281" s="506"/>
      <c r="L281" s="506"/>
      <c r="M281" s="506"/>
      <c r="N281" s="506"/>
      <c r="O281" s="506"/>
      <c r="P281" s="1498">
        <f t="shared" si="30"/>
        <v>0</v>
      </c>
      <c r="Q281" s="696">
        <f t="shared" si="32"/>
        <v>0</v>
      </c>
      <c r="R281" s="1075"/>
      <c r="S281" s="1076"/>
      <c r="T281" s="1076"/>
      <c r="U281" s="1076">
        <v>1016260</v>
      </c>
      <c r="V281" s="1076">
        <v>979680</v>
      </c>
      <c r="W281" s="1076">
        <v>1066350</v>
      </c>
      <c r="X281" s="1076">
        <v>896650</v>
      </c>
      <c r="Y281" s="1076">
        <v>0</v>
      </c>
      <c r="Z281" s="1076"/>
      <c r="AA281" s="1076"/>
      <c r="AB281" s="1076"/>
      <c r="AC281" s="1076"/>
      <c r="AD281" s="1077">
        <f t="shared" si="28"/>
        <v>3958940</v>
      </c>
      <c r="AE281" s="609">
        <f t="shared" si="31"/>
        <v>1</v>
      </c>
      <c r="AF281" s="610">
        <f t="shared" si="33"/>
        <v>97</v>
      </c>
    </row>
    <row r="282" spans="1:32" x14ac:dyDescent="0.3">
      <c r="A282" s="544" t="s">
        <v>675</v>
      </c>
      <c r="B282" s="678" t="s">
        <v>717</v>
      </c>
      <c r="C282" s="505"/>
      <c r="D282" s="506"/>
      <c r="E282" s="506"/>
      <c r="F282" s="506"/>
      <c r="G282" s="506"/>
      <c r="H282" s="506"/>
      <c r="I282" s="506"/>
      <c r="J282" s="506"/>
      <c r="K282" s="506"/>
      <c r="L282" s="506"/>
      <c r="M282" s="506"/>
      <c r="N282" s="506"/>
      <c r="O282" s="506"/>
      <c r="P282" s="1498">
        <f t="shared" si="30"/>
        <v>0</v>
      </c>
      <c r="Q282" s="696">
        <f t="shared" si="32"/>
        <v>0</v>
      </c>
      <c r="R282" s="1075"/>
      <c r="S282" s="1076"/>
      <c r="T282" s="1076"/>
      <c r="U282" s="1076">
        <v>1367260</v>
      </c>
      <c r="V282" s="1076">
        <v>374480</v>
      </c>
      <c r="W282" s="1076">
        <v>0</v>
      </c>
      <c r="X282" s="1076">
        <v>0</v>
      </c>
      <c r="Y282" s="1076">
        <v>0</v>
      </c>
      <c r="Z282" s="1076"/>
      <c r="AA282" s="1076"/>
      <c r="AB282" s="1076"/>
      <c r="AC282" s="1076"/>
      <c r="AD282" s="1077">
        <f t="shared" si="28"/>
        <v>1741740</v>
      </c>
      <c r="AE282" s="609">
        <f t="shared" si="31"/>
        <v>1</v>
      </c>
      <c r="AF282" s="610">
        <f t="shared" si="33"/>
        <v>158</v>
      </c>
    </row>
    <row r="283" spans="1:32" x14ac:dyDescent="0.3">
      <c r="A283" s="544" t="s">
        <v>675</v>
      </c>
      <c r="B283" s="678" t="s">
        <v>792</v>
      </c>
      <c r="C283" s="505"/>
      <c r="D283" s="506"/>
      <c r="E283" s="506"/>
      <c r="F283" s="506"/>
      <c r="G283" s="506"/>
      <c r="H283" s="506"/>
      <c r="I283" s="506"/>
      <c r="J283" s="506"/>
      <c r="K283" s="506"/>
      <c r="L283" s="506"/>
      <c r="M283" s="506"/>
      <c r="N283" s="506"/>
      <c r="O283" s="506"/>
      <c r="P283" s="1498">
        <f t="shared" si="30"/>
        <v>0</v>
      </c>
      <c r="Q283" s="696">
        <f t="shared" si="32"/>
        <v>0</v>
      </c>
      <c r="R283" s="1075"/>
      <c r="S283" s="1076"/>
      <c r="T283" s="1076"/>
      <c r="U283" s="1076">
        <v>2055530</v>
      </c>
      <c r="V283" s="1076">
        <v>3561190</v>
      </c>
      <c r="W283" s="1076">
        <v>0</v>
      </c>
      <c r="X283" s="1076">
        <v>0</v>
      </c>
      <c r="Y283" s="1076">
        <v>0</v>
      </c>
      <c r="Z283" s="1076"/>
      <c r="AA283" s="1076"/>
      <c r="AB283" s="1076"/>
      <c r="AC283" s="1076"/>
      <c r="AD283" s="1077">
        <f t="shared" si="28"/>
        <v>5616720</v>
      </c>
      <c r="AE283" s="609">
        <f t="shared" si="31"/>
        <v>1</v>
      </c>
      <c r="AF283" s="610">
        <f t="shared" si="33"/>
        <v>75</v>
      </c>
    </row>
    <row r="284" spans="1:32" x14ac:dyDescent="0.3">
      <c r="A284" s="544" t="s">
        <v>675</v>
      </c>
      <c r="B284" s="678" t="s">
        <v>2712</v>
      </c>
      <c r="C284" s="505"/>
      <c r="D284" s="506"/>
      <c r="E284" s="506"/>
      <c r="F284" s="506"/>
      <c r="G284" s="506"/>
      <c r="H284" s="506"/>
      <c r="I284" s="506"/>
      <c r="J284" s="506"/>
      <c r="K284" s="506"/>
      <c r="L284" s="506"/>
      <c r="M284" s="506"/>
      <c r="N284" s="506"/>
      <c r="O284" s="506"/>
      <c r="P284" s="1498">
        <f t="shared" si="30"/>
        <v>0</v>
      </c>
      <c r="Q284" s="696">
        <f t="shared" si="32"/>
        <v>0</v>
      </c>
      <c r="R284" s="1075"/>
      <c r="S284" s="1076"/>
      <c r="T284" s="1076"/>
      <c r="U284" s="1076">
        <v>1007800</v>
      </c>
      <c r="V284" s="1076">
        <v>0</v>
      </c>
      <c r="W284" s="1076">
        <v>0</v>
      </c>
      <c r="X284" s="1076">
        <v>0</v>
      </c>
      <c r="Y284" s="1076">
        <v>0</v>
      </c>
      <c r="Z284" s="1076"/>
      <c r="AA284" s="1076"/>
      <c r="AB284" s="1076"/>
      <c r="AC284" s="1076"/>
      <c r="AD284" s="1077">
        <f t="shared" si="28"/>
        <v>1007800</v>
      </c>
      <c r="AE284" s="609">
        <f t="shared" si="31"/>
        <v>1</v>
      </c>
      <c r="AF284" s="610">
        <f t="shared" si="33"/>
        <v>199</v>
      </c>
    </row>
    <row r="285" spans="1:32" x14ac:dyDescent="0.3">
      <c r="A285" s="544" t="s">
        <v>675</v>
      </c>
      <c r="B285" s="678" t="s">
        <v>2207</v>
      </c>
      <c r="C285" s="505"/>
      <c r="D285" s="506"/>
      <c r="E285" s="506"/>
      <c r="F285" s="506"/>
      <c r="G285" s="506"/>
      <c r="H285" s="506"/>
      <c r="I285" s="506"/>
      <c r="J285" s="506"/>
      <c r="K285" s="506"/>
      <c r="L285" s="506"/>
      <c r="M285" s="506"/>
      <c r="N285" s="506"/>
      <c r="O285" s="506"/>
      <c r="P285" s="1498">
        <f t="shared" si="30"/>
        <v>0</v>
      </c>
      <c r="Q285" s="696">
        <f t="shared" si="32"/>
        <v>0</v>
      </c>
      <c r="R285" s="1075"/>
      <c r="S285" s="1076"/>
      <c r="T285" s="1076"/>
      <c r="U285" s="1076">
        <v>781660</v>
      </c>
      <c r="V285" s="1076">
        <v>0</v>
      </c>
      <c r="W285" s="1076">
        <v>210610</v>
      </c>
      <c r="X285" s="1076">
        <v>0</v>
      </c>
      <c r="Y285" s="1076">
        <v>0</v>
      </c>
      <c r="Z285" s="1076"/>
      <c r="AA285" s="1076"/>
      <c r="AB285" s="1076"/>
      <c r="AC285" s="1076"/>
      <c r="AD285" s="1077">
        <f t="shared" si="28"/>
        <v>992270</v>
      </c>
      <c r="AE285" s="609">
        <f t="shared" si="31"/>
        <v>1</v>
      </c>
      <c r="AF285" s="610">
        <f t="shared" si="33"/>
        <v>200</v>
      </c>
    </row>
    <row r="286" spans="1:32" x14ac:dyDescent="0.3">
      <c r="A286" s="544" t="s">
        <v>675</v>
      </c>
      <c r="B286" s="678" t="s">
        <v>2713</v>
      </c>
      <c r="C286" s="505"/>
      <c r="D286" s="506"/>
      <c r="E286" s="506"/>
      <c r="F286" s="506"/>
      <c r="G286" s="506"/>
      <c r="H286" s="506"/>
      <c r="I286" s="506"/>
      <c r="J286" s="506"/>
      <c r="K286" s="506"/>
      <c r="L286" s="506"/>
      <c r="M286" s="506"/>
      <c r="N286" s="506"/>
      <c r="O286" s="506"/>
      <c r="P286" s="1498">
        <f t="shared" si="30"/>
        <v>0</v>
      </c>
      <c r="Q286" s="696">
        <f t="shared" si="32"/>
        <v>0</v>
      </c>
      <c r="R286" s="1075"/>
      <c r="S286" s="1076"/>
      <c r="T286" s="1076"/>
      <c r="U286" s="1076">
        <v>495300</v>
      </c>
      <c r="V286" s="1076">
        <v>0</v>
      </c>
      <c r="W286" s="1076">
        <v>0</v>
      </c>
      <c r="X286" s="1076">
        <v>0</v>
      </c>
      <c r="Y286" s="1076">
        <v>0</v>
      </c>
      <c r="Z286" s="1076"/>
      <c r="AA286" s="1076"/>
      <c r="AB286" s="1076"/>
      <c r="AC286" s="1076"/>
      <c r="AD286" s="1077">
        <f t="shared" si="28"/>
        <v>495300</v>
      </c>
      <c r="AE286" s="609">
        <f t="shared" si="31"/>
        <v>1</v>
      </c>
      <c r="AF286" s="610">
        <f t="shared" si="33"/>
        <v>258</v>
      </c>
    </row>
    <row r="287" spans="1:32" x14ac:dyDescent="0.3">
      <c r="A287" s="544" t="s">
        <v>675</v>
      </c>
      <c r="B287" s="678" t="s">
        <v>2714</v>
      </c>
      <c r="C287" s="505"/>
      <c r="D287" s="506"/>
      <c r="E287" s="506"/>
      <c r="F287" s="506"/>
      <c r="G287" s="506"/>
      <c r="H287" s="506"/>
      <c r="I287" s="506"/>
      <c r="J287" s="506"/>
      <c r="K287" s="506"/>
      <c r="L287" s="506"/>
      <c r="M287" s="506"/>
      <c r="N287" s="506"/>
      <c r="O287" s="506"/>
      <c r="P287" s="1498">
        <f t="shared" si="30"/>
        <v>0</v>
      </c>
      <c r="Q287" s="696">
        <f t="shared" si="32"/>
        <v>0</v>
      </c>
      <c r="R287" s="1075"/>
      <c r="S287" s="1076"/>
      <c r="T287" s="1076"/>
      <c r="U287" s="1076">
        <v>393810</v>
      </c>
      <c r="V287" s="1076">
        <v>0</v>
      </c>
      <c r="W287" s="1076">
        <v>622920</v>
      </c>
      <c r="X287" s="1076">
        <v>0</v>
      </c>
      <c r="Y287" s="1076">
        <v>0</v>
      </c>
      <c r="Z287" s="1076"/>
      <c r="AA287" s="1076"/>
      <c r="AB287" s="1076"/>
      <c r="AC287" s="1076"/>
      <c r="AD287" s="1077">
        <f t="shared" si="28"/>
        <v>1016730</v>
      </c>
      <c r="AE287" s="609">
        <f t="shared" si="31"/>
        <v>1</v>
      </c>
      <c r="AF287" s="610">
        <f t="shared" si="33"/>
        <v>198</v>
      </c>
    </row>
    <row r="288" spans="1:32" x14ac:dyDescent="0.3">
      <c r="A288" s="544" t="s">
        <v>675</v>
      </c>
      <c r="B288" s="678" t="s">
        <v>2715</v>
      </c>
      <c r="C288" s="505"/>
      <c r="D288" s="506"/>
      <c r="E288" s="506"/>
      <c r="F288" s="506"/>
      <c r="G288" s="506"/>
      <c r="H288" s="506"/>
      <c r="I288" s="506"/>
      <c r="J288" s="506"/>
      <c r="K288" s="506"/>
      <c r="L288" s="506"/>
      <c r="M288" s="506"/>
      <c r="N288" s="506"/>
      <c r="O288" s="506"/>
      <c r="P288" s="1498">
        <f t="shared" si="30"/>
        <v>0</v>
      </c>
      <c r="Q288" s="696">
        <f t="shared" si="32"/>
        <v>0</v>
      </c>
      <c r="R288" s="1075"/>
      <c r="S288" s="1076"/>
      <c r="T288" s="1076"/>
      <c r="U288" s="1076">
        <v>295210</v>
      </c>
      <c r="V288" s="1076">
        <v>0</v>
      </c>
      <c r="W288" s="1076">
        <v>0</v>
      </c>
      <c r="X288" s="1076">
        <v>0</v>
      </c>
      <c r="Y288" s="1076">
        <v>0</v>
      </c>
      <c r="Z288" s="1076"/>
      <c r="AA288" s="1076"/>
      <c r="AB288" s="1076"/>
      <c r="AC288" s="1076"/>
      <c r="AD288" s="1077">
        <f t="shared" si="28"/>
        <v>295210</v>
      </c>
      <c r="AE288" s="609">
        <f t="shared" si="31"/>
        <v>1</v>
      </c>
      <c r="AF288" s="610">
        <f t="shared" si="33"/>
        <v>296</v>
      </c>
    </row>
    <row r="289" spans="1:32" x14ac:dyDescent="0.3">
      <c r="A289" s="544" t="s">
        <v>675</v>
      </c>
      <c r="B289" s="678" t="s">
        <v>2716</v>
      </c>
      <c r="C289" s="505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6"/>
      <c r="P289" s="1498">
        <f t="shared" si="30"/>
        <v>0</v>
      </c>
      <c r="Q289" s="696">
        <f t="shared" si="32"/>
        <v>0</v>
      </c>
      <c r="R289" s="1075"/>
      <c r="S289" s="1076"/>
      <c r="T289" s="1076"/>
      <c r="U289" s="1076">
        <v>42180</v>
      </c>
      <c r="V289" s="1076">
        <v>0</v>
      </c>
      <c r="W289" s="1076">
        <v>0</v>
      </c>
      <c r="X289" s="1076">
        <v>0</v>
      </c>
      <c r="Y289" s="1076">
        <v>0</v>
      </c>
      <c r="Z289" s="1076"/>
      <c r="AA289" s="1076"/>
      <c r="AB289" s="1076"/>
      <c r="AC289" s="1076"/>
      <c r="AD289" s="1077">
        <f t="shared" si="28"/>
        <v>42180</v>
      </c>
      <c r="AE289" s="609">
        <f t="shared" si="31"/>
        <v>1</v>
      </c>
      <c r="AF289" s="610">
        <f t="shared" si="33"/>
        <v>372</v>
      </c>
    </row>
    <row r="290" spans="1:32" x14ac:dyDescent="0.3">
      <c r="A290" s="544" t="s">
        <v>675</v>
      </c>
      <c r="B290" s="678" t="s">
        <v>854</v>
      </c>
      <c r="C290" s="505"/>
      <c r="D290" s="506"/>
      <c r="E290" s="506"/>
      <c r="F290" s="506"/>
      <c r="G290" s="506"/>
      <c r="H290" s="506"/>
      <c r="I290" s="506"/>
      <c r="J290" s="506"/>
      <c r="K290" s="506"/>
      <c r="L290" s="506"/>
      <c r="M290" s="506"/>
      <c r="N290" s="506"/>
      <c r="O290" s="506"/>
      <c r="P290" s="1498">
        <f t="shared" si="30"/>
        <v>0</v>
      </c>
      <c r="Q290" s="696">
        <f t="shared" si="32"/>
        <v>0</v>
      </c>
      <c r="R290" s="1075"/>
      <c r="S290" s="1076"/>
      <c r="T290" s="1076"/>
      <c r="U290" s="1076">
        <v>26100</v>
      </c>
      <c r="V290" s="1076"/>
      <c r="W290" s="1076"/>
      <c r="X290" s="1076"/>
      <c r="Y290" s="1076"/>
      <c r="Z290" s="1076"/>
      <c r="AA290" s="1076"/>
      <c r="AB290" s="1076"/>
      <c r="AC290" s="1076"/>
      <c r="AD290" s="1077">
        <f t="shared" si="28"/>
        <v>26100</v>
      </c>
      <c r="AE290" s="609">
        <f t="shared" si="31"/>
        <v>1</v>
      </c>
      <c r="AF290" s="610">
        <f t="shared" si="33"/>
        <v>380</v>
      </c>
    </row>
    <row r="291" spans="1:32" x14ac:dyDescent="0.3">
      <c r="A291" s="544" t="s">
        <v>675</v>
      </c>
      <c r="B291" s="678" t="s">
        <v>628</v>
      </c>
      <c r="C291" s="505"/>
      <c r="D291" s="506"/>
      <c r="E291" s="506"/>
      <c r="F291" s="506"/>
      <c r="G291" s="506"/>
      <c r="H291" s="506"/>
      <c r="I291" s="506"/>
      <c r="J291" s="506"/>
      <c r="K291" s="506"/>
      <c r="L291" s="506"/>
      <c r="M291" s="506"/>
      <c r="N291" s="506"/>
      <c r="O291" s="506"/>
      <c r="P291" s="1498">
        <f t="shared" si="30"/>
        <v>0</v>
      </c>
      <c r="Q291" s="696">
        <f t="shared" si="32"/>
        <v>0</v>
      </c>
      <c r="R291" s="1075"/>
      <c r="S291" s="1076"/>
      <c r="T291" s="1076"/>
      <c r="U291" s="1076">
        <v>1665830</v>
      </c>
      <c r="V291" s="1076">
        <v>1677030</v>
      </c>
      <c r="W291" s="1076">
        <v>0</v>
      </c>
      <c r="X291" s="1076">
        <v>645680</v>
      </c>
      <c r="Y291" s="1076">
        <v>0</v>
      </c>
      <c r="Z291" s="1076"/>
      <c r="AA291" s="1076"/>
      <c r="AB291" s="1076"/>
      <c r="AC291" s="1076"/>
      <c r="AD291" s="1077">
        <f t="shared" si="28"/>
        <v>3988540</v>
      </c>
      <c r="AE291" s="609">
        <f t="shared" si="31"/>
        <v>1</v>
      </c>
      <c r="AF291" s="610">
        <f t="shared" si="33"/>
        <v>96</v>
      </c>
    </row>
    <row r="292" spans="1:32" x14ac:dyDescent="0.3">
      <c r="A292" s="544" t="s">
        <v>675</v>
      </c>
      <c r="B292" s="678" t="s">
        <v>2753</v>
      </c>
      <c r="C292" s="505"/>
      <c r="D292" s="506"/>
      <c r="E292" s="506"/>
      <c r="F292" s="506"/>
      <c r="G292" s="506"/>
      <c r="H292" s="506"/>
      <c r="I292" s="506"/>
      <c r="J292" s="506"/>
      <c r="K292" s="506"/>
      <c r="L292" s="506"/>
      <c r="M292" s="506"/>
      <c r="N292" s="506"/>
      <c r="O292" s="506"/>
      <c r="P292" s="1498">
        <f t="shared" si="30"/>
        <v>0</v>
      </c>
      <c r="Q292" s="696">
        <f t="shared" si="32"/>
        <v>0</v>
      </c>
      <c r="R292" s="1075"/>
      <c r="S292" s="1076"/>
      <c r="T292" s="1076"/>
      <c r="U292" s="1076">
        <v>4966710</v>
      </c>
      <c r="V292" s="1076">
        <v>3729350</v>
      </c>
      <c r="W292" s="1076">
        <v>2896640</v>
      </c>
      <c r="X292" s="1076">
        <v>0</v>
      </c>
      <c r="Y292" s="1076">
        <v>0</v>
      </c>
      <c r="Z292" s="1076"/>
      <c r="AA292" s="1076"/>
      <c r="AB292" s="1076"/>
      <c r="AC292" s="1076"/>
      <c r="AD292" s="1077">
        <f t="shared" si="28"/>
        <v>11592700</v>
      </c>
      <c r="AE292" s="609">
        <f t="shared" si="31"/>
        <v>1</v>
      </c>
      <c r="AF292" s="610">
        <f t="shared" si="33"/>
        <v>37</v>
      </c>
    </row>
    <row r="293" spans="1:32" x14ac:dyDescent="0.3">
      <c r="A293" s="544" t="s">
        <v>675</v>
      </c>
      <c r="B293" s="678" t="s">
        <v>2754</v>
      </c>
      <c r="C293" s="505"/>
      <c r="D293" s="506"/>
      <c r="E293" s="506"/>
      <c r="F293" s="506"/>
      <c r="G293" s="506"/>
      <c r="H293" s="506"/>
      <c r="I293" s="506"/>
      <c r="J293" s="506"/>
      <c r="K293" s="506"/>
      <c r="L293" s="506"/>
      <c r="M293" s="506"/>
      <c r="N293" s="506"/>
      <c r="O293" s="506"/>
      <c r="P293" s="1498">
        <f t="shared" si="30"/>
        <v>0</v>
      </c>
      <c r="Q293" s="696">
        <f t="shared" si="32"/>
        <v>0</v>
      </c>
      <c r="R293" s="1075"/>
      <c r="S293" s="1076"/>
      <c r="T293" s="1076"/>
      <c r="U293" s="1076">
        <v>566240</v>
      </c>
      <c r="V293" s="1076">
        <v>0</v>
      </c>
      <c r="W293" s="1076">
        <v>0</v>
      </c>
      <c r="X293" s="1076">
        <v>0</v>
      </c>
      <c r="Y293" s="1076">
        <v>0</v>
      </c>
      <c r="Z293" s="1076"/>
      <c r="AA293" s="1076"/>
      <c r="AB293" s="1076"/>
      <c r="AC293" s="1076"/>
      <c r="AD293" s="1077">
        <f t="shared" si="28"/>
        <v>566240</v>
      </c>
      <c r="AE293" s="609">
        <f t="shared" si="31"/>
        <v>1</v>
      </c>
      <c r="AF293" s="610">
        <f t="shared" si="33"/>
        <v>249</v>
      </c>
    </row>
    <row r="294" spans="1:32" x14ac:dyDescent="0.3">
      <c r="A294" s="544" t="s">
        <v>675</v>
      </c>
      <c r="B294" s="678" t="s">
        <v>2755</v>
      </c>
      <c r="C294" s="505"/>
      <c r="D294" s="506"/>
      <c r="E294" s="506"/>
      <c r="F294" s="506"/>
      <c r="G294" s="506"/>
      <c r="H294" s="506"/>
      <c r="I294" s="506"/>
      <c r="J294" s="506"/>
      <c r="K294" s="506"/>
      <c r="L294" s="506"/>
      <c r="M294" s="506"/>
      <c r="N294" s="506"/>
      <c r="O294" s="506"/>
      <c r="P294" s="1498">
        <f t="shared" si="30"/>
        <v>0</v>
      </c>
      <c r="Q294" s="696">
        <f t="shared" si="32"/>
        <v>0</v>
      </c>
      <c r="R294" s="1075"/>
      <c r="S294" s="1076"/>
      <c r="T294" s="1076"/>
      <c r="U294" s="1076">
        <v>461250</v>
      </c>
      <c r="V294" s="1076">
        <v>0</v>
      </c>
      <c r="W294" s="1076">
        <v>0</v>
      </c>
      <c r="X294" s="1076">
        <v>0</v>
      </c>
      <c r="Y294" s="1076">
        <v>0</v>
      </c>
      <c r="Z294" s="1076"/>
      <c r="AA294" s="1076"/>
      <c r="AB294" s="1076"/>
      <c r="AC294" s="1076"/>
      <c r="AD294" s="1077">
        <f t="shared" si="28"/>
        <v>461250</v>
      </c>
      <c r="AE294" s="609">
        <f t="shared" si="31"/>
        <v>1</v>
      </c>
      <c r="AF294" s="610">
        <f t="shared" si="33"/>
        <v>263</v>
      </c>
    </row>
    <row r="295" spans="1:32" x14ac:dyDescent="0.3">
      <c r="A295" s="544" t="s">
        <v>675</v>
      </c>
      <c r="B295" s="678" t="s">
        <v>2756</v>
      </c>
      <c r="C295" s="505"/>
      <c r="D295" s="506"/>
      <c r="E295" s="506"/>
      <c r="F295" s="506"/>
      <c r="G295" s="506"/>
      <c r="H295" s="506"/>
      <c r="I295" s="506"/>
      <c r="J295" s="506"/>
      <c r="K295" s="506"/>
      <c r="L295" s="506"/>
      <c r="M295" s="506"/>
      <c r="N295" s="506"/>
      <c r="O295" s="506"/>
      <c r="P295" s="1498">
        <f t="shared" si="30"/>
        <v>0</v>
      </c>
      <c r="Q295" s="696">
        <f t="shared" si="32"/>
        <v>0</v>
      </c>
      <c r="R295" s="1075"/>
      <c r="S295" s="1076"/>
      <c r="T295" s="1076"/>
      <c r="U295" s="1076">
        <v>285100</v>
      </c>
      <c r="V295" s="1076">
        <v>0</v>
      </c>
      <c r="W295" s="1076">
        <v>0</v>
      </c>
      <c r="X295" s="1076">
        <v>0</v>
      </c>
      <c r="Y295" s="1076">
        <v>0</v>
      </c>
      <c r="Z295" s="1076"/>
      <c r="AA295" s="1076"/>
      <c r="AB295" s="1076"/>
      <c r="AC295" s="1076"/>
      <c r="AD295" s="1077">
        <f t="shared" si="28"/>
        <v>285100</v>
      </c>
      <c r="AE295" s="609">
        <f t="shared" si="31"/>
        <v>1</v>
      </c>
      <c r="AF295" s="610">
        <f t="shared" si="33"/>
        <v>298</v>
      </c>
    </row>
    <row r="296" spans="1:32" x14ac:dyDescent="0.3">
      <c r="A296" s="544" t="s">
        <v>675</v>
      </c>
      <c r="B296" s="678" t="s">
        <v>2757</v>
      </c>
      <c r="C296" s="505"/>
      <c r="D296" s="506"/>
      <c r="E296" s="506"/>
      <c r="F296" s="506"/>
      <c r="G296" s="506"/>
      <c r="H296" s="506"/>
      <c r="I296" s="506"/>
      <c r="J296" s="506"/>
      <c r="K296" s="506"/>
      <c r="L296" s="506"/>
      <c r="M296" s="506"/>
      <c r="N296" s="506"/>
      <c r="O296" s="506"/>
      <c r="P296" s="1498">
        <f t="shared" si="30"/>
        <v>0</v>
      </c>
      <c r="Q296" s="696">
        <f t="shared" si="32"/>
        <v>0</v>
      </c>
      <c r="R296" s="1075"/>
      <c r="S296" s="1076"/>
      <c r="T296" s="1076"/>
      <c r="U296" s="1076">
        <v>38770</v>
      </c>
      <c r="V296" s="1076">
        <v>0</v>
      </c>
      <c r="W296" s="1076">
        <v>0</v>
      </c>
      <c r="X296" s="1076">
        <v>0</v>
      </c>
      <c r="Y296" s="1076">
        <v>0</v>
      </c>
      <c r="Z296" s="1076"/>
      <c r="AA296" s="1076"/>
      <c r="AB296" s="1076"/>
      <c r="AC296" s="1076"/>
      <c r="AD296" s="1077">
        <f t="shared" si="28"/>
        <v>38770</v>
      </c>
      <c r="AE296" s="609">
        <f t="shared" si="31"/>
        <v>1</v>
      </c>
      <c r="AF296" s="610">
        <f t="shared" si="33"/>
        <v>374</v>
      </c>
    </row>
    <row r="297" spans="1:32" x14ac:dyDescent="0.3">
      <c r="A297" s="544" t="s">
        <v>675</v>
      </c>
      <c r="B297" s="678" t="s">
        <v>2792</v>
      </c>
      <c r="C297" s="505"/>
      <c r="D297" s="506"/>
      <c r="E297" s="506"/>
      <c r="F297" s="506"/>
      <c r="G297" s="506"/>
      <c r="H297" s="506"/>
      <c r="I297" s="506"/>
      <c r="J297" s="506"/>
      <c r="K297" s="506"/>
      <c r="L297" s="506"/>
      <c r="M297" s="506"/>
      <c r="N297" s="506"/>
      <c r="O297" s="506"/>
      <c r="P297" s="1498">
        <f t="shared" si="30"/>
        <v>0</v>
      </c>
      <c r="Q297" s="696">
        <f t="shared" si="32"/>
        <v>0</v>
      </c>
      <c r="R297" s="1075"/>
      <c r="S297" s="1076"/>
      <c r="T297" s="1076"/>
      <c r="U297" s="1076"/>
      <c r="V297" s="1076">
        <v>2072340</v>
      </c>
      <c r="W297" s="1076">
        <v>0</v>
      </c>
      <c r="X297" s="1076">
        <v>0</v>
      </c>
      <c r="Y297" s="1076">
        <v>0</v>
      </c>
      <c r="Z297" s="1076"/>
      <c r="AA297" s="1076"/>
      <c r="AB297" s="1076"/>
      <c r="AC297" s="1076"/>
      <c r="AD297" s="1077">
        <f t="shared" si="28"/>
        <v>2072340</v>
      </c>
      <c r="AE297" s="609">
        <f t="shared" si="31"/>
        <v>1</v>
      </c>
      <c r="AF297" s="610">
        <f t="shared" si="33"/>
        <v>142</v>
      </c>
    </row>
    <row r="298" spans="1:32" x14ac:dyDescent="0.3">
      <c r="A298" s="544" t="s">
        <v>675</v>
      </c>
      <c r="B298" s="678" t="s">
        <v>2793</v>
      </c>
      <c r="C298" s="505"/>
      <c r="D298" s="506"/>
      <c r="E298" s="506"/>
      <c r="F298" s="506"/>
      <c r="G298" s="506"/>
      <c r="H298" s="506"/>
      <c r="I298" s="506"/>
      <c r="J298" s="506"/>
      <c r="K298" s="506"/>
      <c r="L298" s="506"/>
      <c r="M298" s="506"/>
      <c r="N298" s="506"/>
      <c r="O298" s="506"/>
      <c r="P298" s="1498">
        <f t="shared" si="30"/>
        <v>0</v>
      </c>
      <c r="Q298" s="696">
        <f t="shared" si="32"/>
        <v>0</v>
      </c>
      <c r="R298" s="1075"/>
      <c r="S298" s="1076"/>
      <c r="T298" s="1076"/>
      <c r="U298" s="1076"/>
      <c r="V298" s="1076">
        <v>732420</v>
      </c>
      <c r="W298" s="1076">
        <v>0</v>
      </c>
      <c r="X298" s="1076">
        <v>0</v>
      </c>
      <c r="Y298" s="1076">
        <v>0</v>
      </c>
      <c r="Z298" s="1076"/>
      <c r="AA298" s="1076"/>
      <c r="AB298" s="1076"/>
      <c r="AC298" s="1076"/>
      <c r="AD298" s="1077">
        <f t="shared" si="28"/>
        <v>732420</v>
      </c>
      <c r="AE298" s="609">
        <f t="shared" si="31"/>
        <v>1</v>
      </c>
      <c r="AF298" s="610">
        <f t="shared" si="33"/>
        <v>224</v>
      </c>
    </row>
    <row r="299" spans="1:32" x14ac:dyDescent="0.3">
      <c r="A299" s="544" t="s">
        <v>675</v>
      </c>
      <c r="B299" s="678" t="s">
        <v>2794</v>
      </c>
      <c r="C299" s="505"/>
      <c r="D299" s="506"/>
      <c r="E299" s="506"/>
      <c r="F299" s="506"/>
      <c r="G299" s="506"/>
      <c r="H299" s="506"/>
      <c r="I299" s="506"/>
      <c r="J299" s="506"/>
      <c r="K299" s="506"/>
      <c r="L299" s="506"/>
      <c r="M299" s="506"/>
      <c r="N299" s="506"/>
      <c r="O299" s="506"/>
      <c r="P299" s="1498">
        <f t="shared" si="30"/>
        <v>0</v>
      </c>
      <c r="Q299" s="696">
        <f t="shared" si="32"/>
        <v>0</v>
      </c>
      <c r="R299" s="1075"/>
      <c r="S299" s="1076"/>
      <c r="T299" s="1076"/>
      <c r="U299" s="1076"/>
      <c r="V299" s="1076">
        <v>751480</v>
      </c>
      <c r="W299" s="1076">
        <v>0</v>
      </c>
      <c r="X299" s="1076">
        <v>0</v>
      </c>
      <c r="Y299" s="1076">
        <v>0</v>
      </c>
      <c r="Z299" s="1076"/>
      <c r="AA299" s="1076"/>
      <c r="AB299" s="1076"/>
      <c r="AC299" s="1076"/>
      <c r="AD299" s="1077">
        <f t="shared" si="28"/>
        <v>751480</v>
      </c>
      <c r="AE299" s="609">
        <f t="shared" si="31"/>
        <v>1</v>
      </c>
      <c r="AF299" s="610">
        <f t="shared" si="33"/>
        <v>222</v>
      </c>
    </row>
    <row r="300" spans="1:32" x14ac:dyDescent="0.3">
      <c r="A300" s="544" t="s">
        <v>675</v>
      </c>
      <c r="B300" s="678" t="s">
        <v>983</v>
      </c>
      <c r="C300" s="505"/>
      <c r="D300" s="506"/>
      <c r="E300" s="506"/>
      <c r="F300" s="506"/>
      <c r="G300" s="506"/>
      <c r="H300" s="506"/>
      <c r="I300" s="506"/>
      <c r="J300" s="506"/>
      <c r="K300" s="506"/>
      <c r="L300" s="506"/>
      <c r="M300" s="506"/>
      <c r="N300" s="506"/>
      <c r="O300" s="506"/>
      <c r="P300" s="1498">
        <f t="shared" si="30"/>
        <v>0</v>
      </c>
      <c r="Q300" s="696">
        <f t="shared" si="32"/>
        <v>0</v>
      </c>
      <c r="R300" s="1075"/>
      <c r="S300" s="1076"/>
      <c r="T300" s="1076"/>
      <c r="U300" s="1076"/>
      <c r="V300" s="1076">
        <v>461580</v>
      </c>
      <c r="W300" s="1076">
        <v>0</v>
      </c>
      <c r="X300" s="1076">
        <v>0</v>
      </c>
      <c r="Y300" s="1076">
        <v>0</v>
      </c>
      <c r="Z300" s="1076"/>
      <c r="AA300" s="1076"/>
      <c r="AB300" s="1076"/>
      <c r="AC300" s="1076"/>
      <c r="AD300" s="1077">
        <f t="shared" si="28"/>
        <v>461580</v>
      </c>
      <c r="AE300" s="609">
        <f t="shared" si="31"/>
        <v>1</v>
      </c>
      <c r="AF300" s="610">
        <f t="shared" si="33"/>
        <v>262</v>
      </c>
    </row>
    <row r="301" spans="1:32" x14ac:dyDescent="0.3">
      <c r="A301" s="544" t="s">
        <v>675</v>
      </c>
      <c r="B301" s="678" t="s">
        <v>2795</v>
      </c>
      <c r="C301" s="505"/>
      <c r="D301" s="506"/>
      <c r="E301" s="506"/>
      <c r="F301" s="506"/>
      <c r="G301" s="506"/>
      <c r="H301" s="506"/>
      <c r="I301" s="506"/>
      <c r="J301" s="506"/>
      <c r="K301" s="506"/>
      <c r="L301" s="506"/>
      <c r="M301" s="506"/>
      <c r="N301" s="506"/>
      <c r="O301" s="506"/>
      <c r="P301" s="1498">
        <f t="shared" si="30"/>
        <v>0</v>
      </c>
      <c r="Q301" s="696">
        <f t="shared" si="32"/>
        <v>0</v>
      </c>
      <c r="R301" s="1075"/>
      <c r="S301" s="1076"/>
      <c r="T301" s="1076"/>
      <c r="U301" s="1076"/>
      <c r="V301" s="1076"/>
      <c r="W301" s="1076"/>
      <c r="X301" s="1076"/>
      <c r="Y301" s="1076"/>
      <c r="Z301" s="1076"/>
      <c r="AA301" s="1076"/>
      <c r="AB301" s="1076"/>
      <c r="AC301" s="1076"/>
      <c r="AD301" s="1077">
        <f t="shared" si="28"/>
        <v>0</v>
      </c>
      <c r="AE301" s="609">
        <f t="shared" si="31"/>
        <v>0</v>
      </c>
      <c r="AF301" s="610">
        <f t="shared" si="33"/>
        <v>394</v>
      </c>
    </row>
    <row r="302" spans="1:32" x14ac:dyDescent="0.3">
      <c r="A302" s="544" t="s">
        <v>675</v>
      </c>
      <c r="B302" s="678" t="s">
        <v>2796</v>
      </c>
      <c r="C302" s="505"/>
      <c r="D302" s="506"/>
      <c r="E302" s="506"/>
      <c r="F302" s="506"/>
      <c r="G302" s="506"/>
      <c r="H302" s="506"/>
      <c r="I302" s="506"/>
      <c r="J302" s="506"/>
      <c r="K302" s="506"/>
      <c r="L302" s="506"/>
      <c r="M302" s="506"/>
      <c r="N302" s="506"/>
      <c r="O302" s="506"/>
      <c r="P302" s="1498">
        <f t="shared" si="30"/>
        <v>0</v>
      </c>
      <c r="Q302" s="696">
        <f t="shared" si="32"/>
        <v>0</v>
      </c>
      <c r="R302" s="1075"/>
      <c r="S302" s="1076"/>
      <c r="T302" s="1076"/>
      <c r="U302" s="1076"/>
      <c r="V302" s="1076">
        <v>358850</v>
      </c>
      <c r="W302" s="1076">
        <v>0</v>
      </c>
      <c r="X302" s="1076">
        <v>0</v>
      </c>
      <c r="Y302" s="1076">
        <v>0</v>
      </c>
      <c r="Z302" s="1076"/>
      <c r="AA302" s="1076"/>
      <c r="AB302" s="1076"/>
      <c r="AC302" s="1076"/>
      <c r="AD302" s="1077">
        <f t="shared" si="28"/>
        <v>358850</v>
      </c>
      <c r="AE302" s="609">
        <f t="shared" si="31"/>
        <v>1</v>
      </c>
      <c r="AF302" s="610">
        <f t="shared" si="33"/>
        <v>282</v>
      </c>
    </row>
    <row r="303" spans="1:32" x14ac:dyDescent="0.3">
      <c r="A303" s="544" t="s">
        <v>675</v>
      </c>
      <c r="B303" s="678" t="s">
        <v>2797</v>
      </c>
      <c r="C303" s="505"/>
      <c r="D303" s="506"/>
      <c r="E303" s="506"/>
      <c r="F303" s="506"/>
      <c r="G303" s="506"/>
      <c r="H303" s="506"/>
      <c r="I303" s="506"/>
      <c r="J303" s="506"/>
      <c r="K303" s="506"/>
      <c r="L303" s="506"/>
      <c r="M303" s="506"/>
      <c r="N303" s="506"/>
      <c r="O303" s="506"/>
      <c r="P303" s="1498">
        <f t="shared" si="30"/>
        <v>0</v>
      </c>
      <c r="Q303" s="696">
        <f t="shared" si="32"/>
        <v>0</v>
      </c>
      <c r="R303" s="1075"/>
      <c r="S303" s="1076"/>
      <c r="T303" s="1076"/>
      <c r="U303" s="1076"/>
      <c r="V303" s="1076">
        <v>94800</v>
      </c>
      <c r="W303" s="1076">
        <v>0</v>
      </c>
      <c r="X303" s="1076">
        <v>0</v>
      </c>
      <c r="Y303" s="1076">
        <v>0</v>
      </c>
      <c r="Z303" s="1076"/>
      <c r="AA303" s="1076"/>
      <c r="AB303" s="1076"/>
      <c r="AC303" s="1076"/>
      <c r="AD303" s="1077">
        <f t="shared" si="28"/>
        <v>94800</v>
      </c>
      <c r="AE303" s="609">
        <f t="shared" si="31"/>
        <v>1</v>
      </c>
      <c r="AF303" s="610">
        <f t="shared" si="33"/>
        <v>348</v>
      </c>
    </row>
    <row r="304" spans="1:32" x14ac:dyDescent="0.3">
      <c r="A304" s="544" t="s">
        <v>675</v>
      </c>
      <c r="B304" s="678" t="s">
        <v>2493</v>
      </c>
      <c r="C304" s="505"/>
      <c r="D304" s="506"/>
      <c r="E304" s="506"/>
      <c r="F304" s="506"/>
      <c r="G304" s="506"/>
      <c r="H304" s="506"/>
      <c r="I304" s="506"/>
      <c r="J304" s="506"/>
      <c r="K304" s="506"/>
      <c r="L304" s="506"/>
      <c r="M304" s="506"/>
      <c r="N304" s="506"/>
      <c r="O304" s="506"/>
      <c r="P304" s="1498">
        <f t="shared" si="30"/>
        <v>0</v>
      </c>
      <c r="Q304" s="696">
        <f t="shared" si="32"/>
        <v>0</v>
      </c>
      <c r="R304" s="1075"/>
      <c r="S304" s="1076"/>
      <c r="T304" s="1076"/>
      <c r="U304" s="1076"/>
      <c r="V304" s="1076">
        <v>2093830</v>
      </c>
      <c r="W304" s="1076">
        <v>74340</v>
      </c>
      <c r="X304" s="1076">
        <v>1141890</v>
      </c>
      <c r="Y304" s="1076">
        <v>546280</v>
      </c>
      <c r="Z304" s="1076"/>
      <c r="AA304" s="1076"/>
      <c r="AB304" s="1076"/>
      <c r="AC304" s="1076"/>
      <c r="AD304" s="1077">
        <f t="shared" si="28"/>
        <v>3856340</v>
      </c>
      <c r="AE304" s="609">
        <f t="shared" si="31"/>
        <v>1</v>
      </c>
      <c r="AF304" s="610">
        <f t="shared" si="33"/>
        <v>99</v>
      </c>
    </row>
    <row r="305" spans="1:32" x14ac:dyDescent="0.3">
      <c r="A305" s="544" t="s">
        <v>675</v>
      </c>
      <c r="B305" s="678" t="s">
        <v>2758</v>
      </c>
      <c r="C305" s="505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1498">
        <f t="shared" si="30"/>
        <v>0</v>
      </c>
      <c r="Q305" s="696">
        <f t="shared" si="32"/>
        <v>0</v>
      </c>
      <c r="R305" s="1075"/>
      <c r="S305" s="1076"/>
      <c r="T305" s="1076"/>
      <c r="U305" s="1076"/>
      <c r="V305" s="1076">
        <v>0</v>
      </c>
      <c r="W305" s="1076">
        <v>0</v>
      </c>
      <c r="X305" s="1076">
        <v>0</v>
      </c>
      <c r="Y305" s="1076">
        <v>0</v>
      </c>
      <c r="Z305" s="1076"/>
      <c r="AA305" s="1076"/>
      <c r="AB305" s="1076"/>
      <c r="AC305" s="1076"/>
      <c r="AD305" s="1077">
        <f t="shared" si="28"/>
        <v>0</v>
      </c>
      <c r="AE305" s="609">
        <f t="shared" si="31"/>
        <v>0</v>
      </c>
      <c r="AF305" s="610">
        <f t="shared" si="33"/>
        <v>394</v>
      </c>
    </row>
    <row r="306" spans="1:32" x14ac:dyDescent="0.3">
      <c r="A306" s="544" t="s">
        <v>675</v>
      </c>
      <c r="B306" s="678" t="s">
        <v>2820</v>
      </c>
      <c r="C306" s="505"/>
      <c r="D306" s="506"/>
      <c r="E306" s="506"/>
      <c r="F306" s="506"/>
      <c r="G306" s="506"/>
      <c r="H306" s="506"/>
      <c r="I306" s="506"/>
      <c r="J306" s="506"/>
      <c r="K306" s="506"/>
      <c r="L306" s="506"/>
      <c r="M306" s="506"/>
      <c r="N306" s="506"/>
      <c r="O306" s="506"/>
      <c r="P306" s="1498">
        <f t="shared" si="30"/>
        <v>0</v>
      </c>
      <c r="Q306" s="696">
        <f t="shared" si="32"/>
        <v>0</v>
      </c>
      <c r="R306" s="1075"/>
      <c r="S306" s="1076"/>
      <c r="T306" s="1076"/>
      <c r="U306" s="1076"/>
      <c r="V306" s="1076">
        <v>600980</v>
      </c>
      <c r="W306" s="1076">
        <v>0</v>
      </c>
      <c r="X306" s="1076">
        <v>0</v>
      </c>
      <c r="Y306" s="1076">
        <v>0</v>
      </c>
      <c r="Z306" s="1076"/>
      <c r="AA306" s="1076"/>
      <c r="AB306" s="1076"/>
      <c r="AC306" s="1076"/>
      <c r="AD306" s="1077">
        <f t="shared" si="28"/>
        <v>600980</v>
      </c>
      <c r="AE306" s="609">
        <f t="shared" si="31"/>
        <v>1</v>
      </c>
      <c r="AF306" s="610">
        <f t="shared" si="33"/>
        <v>244</v>
      </c>
    </row>
    <row r="307" spans="1:32" x14ac:dyDescent="0.3">
      <c r="A307" s="544" t="s">
        <v>675</v>
      </c>
      <c r="B307" s="678" t="s">
        <v>2821</v>
      </c>
      <c r="C307" s="505"/>
      <c r="D307" s="506"/>
      <c r="E307" s="506"/>
      <c r="F307" s="506"/>
      <c r="G307" s="506"/>
      <c r="H307" s="506"/>
      <c r="I307" s="506"/>
      <c r="J307" s="506"/>
      <c r="K307" s="506"/>
      <c r="L307" s="506"/>
      <c r="M307" s="506"/>
      <c r="N307" s="506"/>
      <c r="O307" s="506"/>
      <c r="P307" s="1498">
        <f t="shared" si="30"/>
        <v>0</v>
      </c>
      <c r="Q307" s="696">
        <f t="shared" si="32"/>
        <v>0</v>
      </c>
      <c r="R307" s="1075"/>
      <c r="S307" s="1076"/>
      <c r="T307" s="1076"/>
      <c r="U307" s="1076"/>
      <c r="V307" s="1076">
        <v>308740</v>
      </c>
      <c r="W307" s="1076">
        <v>10100</v>
      </c>
      <c r="X307" s="1076">
        <v>0</v>
      </c>
      <c r="Y307" s="1076">
        <v>0</v>
      </c>
      <c r="Z307" s="1076"/>
      <c r="AA307" s="1076"/>
      <c r="AB307" s="1076"/>
      <c r="AC307" s="1076"/>
      <c r="AD307" s="1077">
        <f t="shared" si="28"/>
        <v>318840</v>
      </c>
      <c r="AE307" s="609">
        <f t="shared" si="31"/>
        <v>1</v>
      </c>
      <c r="AF307" s="610">
        <f t="shared" si="33"/>
        <v>290</v>
      </c>
    </row>
    <row r="308" spans="1:32" x14ac:dyDescent="0.3">
      <c r="A308" s="544" t="s">
        <v>675</v>
      </c>
      <c r="B308" s="678" t="s">
        <v>2822</v>
      </c>
      <c r="C308" s="505"/>
      <c r="D308" s="506"/>
      <c r="E308" s="506"/>
      <c r="F308" s="506"/>
      <c r="G308" s="506"/>
      <c r="H308" s="506"/>
      <c r="I308" s="506"/>
      <c r="J308" s="506"/>
      <c r="K308" s="506"/>
      <c r="L308" s="506"/>
      <c r="M308" s="506"/>
      <c r="N308" s="506"/>
      <c r="O308" s="506"/>
      <c r="P308" s="1498">
        <f t="shared" si="30"/>
        <v>0</v>
      </c>
      <c r="Q308" s="696">
        <f t="shared" si="32"/>
        <v>0</v>
      </c>
      <c r="R308" s="1075"/>
      <c r="S308" s="1076"/>
      <c r="T308" s="1076"/>
      <c r="U308" s="1076"/>
      <c r="V308" s="1076">
        <v>250390</v>
      </c>
      <c r="W308" s="1076">
        <v>0</v>
      </c>
      <c r="X308" s="1076">
        <v>189380</v>
      </c>
      <c r="Y308" s="1076">
        <v>0</v>
      </c>
      <c r="Z308" s="1076"/>
      <c r="AA308" s="1076"/>
      <c r="AB308" s="1076"/>
      <c r="AC308" s="1076"/>
      <c r="AD308" s="1077">
        <f t="shared" si="28"/>
        <v>439770</v>
      </c>
      <c r="AE308" s="609">
        <f t="shared" si="31"/>
        <v>1</v>
      </c>
      <c r="AF308" s="610">
        <f t="shared" si="33"/>
        <v>270</v>
      </c>
    </row>
    <row r="309" spans="1:32" x14ac:dyDescent="0.3">
      <c r="A309" s="544" t="s">
        <v>675</v>
      </c>
      <c r="B309" s="678" t="s">
        <v>2878</v>
      </c>
      <c r="C309" s="505"/>
      <c r="D309" s="506"/>
      <c r="E309" s="506"/>
      <c r="F309" s="506"/>
      <c r="G309" s="506"/>
      <c r="H309" s="506"/>
      <c r="I309" s="506"/>
      <c r="J309" s="506"/>
      <c r="K309" s="506"/>
      <c r="L309" s="506"/>
      <c r="M309" s="506"/>
      <c r="N309" s="506"/>
      <c r="O309" s="506"/>
      <c r="P309" s="1498">
        <f t="shared" si="30"/>
        <v>0</v>
      </c>
      <c r="Q309" s="696">
        <f t="shared" si="32"/>
        <v>0</v>
      </c>
      <c r="R309" s="1075"/>
      <c r="S309" s="1076"/>
      <c r="T309" s="1076"/>
      <c r="U309" s="1076"/>
      <c r="V309" s="1076"/>
      <c r="W309" s="1076">
        <v>2230890</v>
      </c>
      <c r="X309" s="1076">
        <v>628610</v>
      </c>
      <c r="Y309" s="1076">
        <v>115980</v>
      </c>
      <c r="Z309" s="1076"/>
      <c r="AA309" s="1076"/>
      <c r="AB309" s="1076"/>
      <c r="AC309" s="1076"/>
      <c r="AD309" s="1077">
        <f t="shared" si="28"/>
        <v>2975480</v>
      </c>
      <c r="AE309" s="609">
        <f t="shared" si="31"/>
        <v>1</v>
      </c>
      <c r="AF309" s="610">
        <f t="shared" si="33"/>
        <v>121</v>
      </c>
    </row>
    <row r="310" spans="1:32" x14ac:dyDescent="0.3">
      <c r="A310" s="544" t="s">
        <v>675</v>
      </c>
      <c r="B310" s="678" t="s">
        <v>2879</v>
      </c>
      <c r="C310" s="505"/>
      <c r="D310" s="506"/>
      <c r="E310" s="506"/>
      <c r="F310" s="506"/>
      <c r="G310" s="506"/>
      <c r="H310" s="506"/>
      <c r="I310" s="506"/>
      <c r="J310" s="506"/>
      <c r="K310" s="506"/>
      <c r="L310" s="506"/>
      <c r="M310" s="506"/>
      <c r="N310" s="506"/>
      <c r="O310" s="506"/>
      <c r="P310" s="1498">
        <f t="shared" si="30"/>
        <v>0</v>
      </c>
      <c r="Q310" s="696">
        <f t="shared" si="32"/>
        <v>0</v>
      </c>
      <c r="R310" s="1075"/>
      <c r="S310" s="1076"/>
      <c r="T310" s="1076"/>
      <c r="U310" s="1076"/>
      <c r="V310" s="1076"/>
      <c r="W310" s="1076">
        <v>2219600</v>
      </c>
      <c r="X310" s="1076">
        <v>0</v>
      </c>
      <c r="Y310" s="1076">
        <v>422600</v>
      </c>
      <c r="Z310" s="1076"/>
      <c r="AA310" s="1076"/>
      <c r="AB310" s="1076"/>
      <c r="AC310" s="1076"/>
      <c r="AD310" s="1077">
        <f t="shared" si="28"/>
        <v>2642200</v>
      </c>
      <c r="AE310" s="609">
        <f t="shared" si="31"/>
        <v>1</v>
      </c>
      <c r="AF310" s="610">
        <f t="shared" si="33"/>
        <v>123</v>
      </c>
    </row>
    <row r="311" spans="1:32" x14ac:dyDescent="0.3">
      <c r="A311" s="544" t="s">
        <v>675</v>
      </c>
      <c r="B311" s="678" t="s">
        <v>2880</v>
      </c>
      <c r="C311" s="505"/>
      <c r="D311" s="506"/>
      <c r="E311" s="506"/>
      <c r="F311" s="506"/>
      <c r="G311" s="506"/>
      <c r="H311" s="506"/>
      <c r="I311" s="506"/>
      <c r="J311" s="506"/>
      <c r="K311" s="506"/>
      <c r="L311" s="506"/>
      <c r="M311" s="506"/>
      <c r="N311" s="506"/>
      <c r="O311" s="506"/>
      <c r="P311" s="1498">
        <f t="shared" si="30"/>
        <v>0</v>
      </c>
      <c r="Q311" s="696">
        <f t="shared" si="32"/>
        <v>0</v>
      </c>
      <c r="R311" s="1075"/>
      <c r="S311" s="1076"/>
      <c r="T311" s="1076"/>
      <c r="U311" s="1076"/>
      <c r="V311" s="1076"/>
      <c r="W311" s="1076">
        <v>617130</v>
      </c>
      <c r="X311" s="1076">
        <v>0</v>
      </c>
      <c r="Y311" s="1076">
        <v>0</v>
      </c>
      <c r="Z311" s="1076"/>
      <c r="AA311" s="1076"/>
      <c r="AB311" s="1076"/>
      <c r="AC311" s="1076"/>
      <c r="AD311" s="1077">
        <f t="shared" si="28"/>
        <v>617130</v>
      </c>
      <c r="AE311" s="609">
        <f t="shared" si="31"/>
        <v>1</v>
      </c>
      <c r="AF311" s="610">
        <f t="shared" si="33"/>
        <v>238</v>
      </c>
    </row>
    <row r="312" spans="1:32" x14ac:dyDescent="0.3">
      <c r="A312" s="544" t="s">
        <v>675</v>
      </c>
      <c r="B312" s="678" t="s">
        <v>2881</v>
      </c>
      <c r="C312" s="505"/>
      <c r="D312" s="506"/>
      <c r="E312" s="506"/>
      <c r="F312" s="506"/>
      <c r="G312" s="506"/>
      <c r="H312" s="506"/>
      <c r="I312" s="506"/>
      <c r="J312" s="506"/>
      <c r="K312" s="506"/>
      <c r="L312" s="506"/>
      <c r="M312" s="506"/>
      <c r="N312" s="506"/>
      <c r="O312" s="506"/>
      <c r="P312" s="1498">
        <f t="shared" si="30"/>
        <v>0</v>
      </c>
      <c r="Q312" s="696">
        <f t="shared" si="32"/>
        <v>0</v>
      </c>
      <c r="R312" s="1075"/>
      <c r="S312" s="1076"/>
      <c r="T312" s="1076"/>
      <c r="U312" s="1076"/>
      <c r="V312" s="1076"/>
      <c r="W312" s="1076">
        <v>501390</v>
      </c>
      <c r="X312" s="1076">
        <v>0</v>
      </c>
      <c r="Y312" s="1076">
        <v>0</v>
      </c>
      <c r="Z312" s="1076"/>
      <c r="AA312" s="1076"/>
      <c r="AB312" s="1076"/>
      <c r="AC312" s="1076"/>
      <c r="AD312" s="1077">
        <f t="shared" si="28"/>
        <v>501390</v>
      </c>
      <c r="AE312" s="609">
        <f t="shared" si="31"/>
        <v>1</v>
      </c>
      <c r="AF312" s="610">
        <f t="shared" si="33"/>
        <v>257</v>
      </c>
    </row>
    <row r="313" spans="1:32" x14ac:dyDescent="0.3">
      <c r="A313" s="544" t="s">
        <v>675</v>
      </c>
      <c r="B313" s="678" t="s">
        <v>2882</v>
      </c>
      <c r="C313" s="505"/>
      <c r="D313" s="506"/>
      <c r="E313" s="506"/>
      <c r="F313" s="506"/>
      <c r="G313" s="506"/>
      <c r="H313" s="506"/>
      <c r="I313" s="506"/>
      <c r="J313" s="506"/>
      <c r="K313" s="506"/>
      <c r="L313" s="506"/>
      <c r="M313" s="506"/>
      <c r="N313" s="506"/>
      <c r="O313" s="506"/>
      <c r="P313" s="1498">
        <f t="shared" si="30"/>
        <v>0</v>
      </c>
      <c r="Q313" s="696">
        <f t="shared" si="32"/>
        <v>0</v>
      </c>
      <c r="R313" s="1075"/>
      <c r="S313" s="1076"/>
      <c r="T313" s="1076"/>
      <c r="U313" s="1076"/>
      <c r="V313" s="1076"/>
      <c r="W313" s="1076">
        <v>20200</v>
      </c>
      <c r="X313" s="1076">
        <v>442860</v>
      </c>
      <c r="Y313" s="1076">
        <v>725070</v>
      </c>
      <c r="Z313" s="1076"/>
      <c r="AA313" s="1076"/>
      <c r="AB313" s="1076"/>
      <c r="AC313" s="1076"/>
      <c r="AD313" s="1077">
        <f t="shared" si="28"/>
        <v>1188130</v>
      </c>
      <c r="AE313" s="609">
        <f t="shared" si="31"/>
        <v>1</v>
      </c>
      <c r="AF313" s="610">
        <f t="shared" si="33"/>
        <v>181</v>
      </c>
    </row>
    <row r="314" spans="1:32" x14ac:dyDescent="0.3">
      <c r="A314" s="544" t="s">
        <v>675</v>
      </c>
      <c r="B314" s="678" t="s">
        <v>2469</v>
      </c>
      <c r="C314" s="505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6"/>
      <c r="P314" s="1498">
        <f t="shared" si="30"/>
        <v>0</v>
      </c>
      <c r="Q314" s="696">
        <f t="shared" si="32"/>
        <v>0</v>
      </c>
      <c r="R314" s="1075"/>
      <c r="S314" s="1076"/>
      <c r="T314" s="1076"/>
      <c r="U314" s="1076"/>
      <c r="V314" s="1076"/>
      <c r="W314" s="1076">
        <v>415750</v>
      </c>
      <c r="X314" s="1076">
        <v>8318300</v>
      </c>
      <c r="Y314" s="1076">
        <v>290110</v>
      </c>
      <c r="Z314" s="1076"/>
      <c r="AA314" s="1076"/>
      <c r="AB314" s="1076"/>
      <c r="AC314" s="1076"/>
      <c r="AD314" s="1077">
        <f t="shared" si="28"/>
        <v>9024160</v>
      </c>
      <c r="AE314" s="609">
        <f t="shared" si="31"/>
        <v>1</v>
      </c>
      <c r="AF314" s="610">
        <f t="shared" si="33"/>
        <v>50</v>
      </c>
    </row>
    <row r="315" spans="1:32" x14ac:dyDescent="0.3">
      <c r="A315" s="544" t="s">
        <v>675</v>
      </c>
      <c r="B315" s="678" t="s">
        <v>2910</v>
      </c>
      <c r="C315" s="505"/>
      <c r="D315" s="506"/>
      <c r="E315" s="506"/>
      <c r="F315" s="506"/>
      <c r="G315" s="506"/>
      <c r="H315" s="506"/>
      <c r="I315" s="506"/>
      <c r="J315" s="506"/>
      <c r="K315" s="506"/>
      <c r="L315" s="506"/>
      <c r="M315" s="506"/>
      <c r="N315" s="506"/>
      <c r="O315" s="506"/>
      <c r="P315" s="1498">
        <f t="shared" si="30"/>
        <v>0</v>
      </c>
      <c r="Q315" s="696">
        <f t="shared" si="32"/>
        <v>0</v>
      </c>
      <c r="R315" s="1075"/>
      <c r="S315" s="1076"/>
      <c r="T315" s="1076"/>
      <c r="U315" s="1076"/>
      <c r="V315" s="1076"/>
      <c r="W315" s="1076">
        <v>182480</v>
      </c>
      <c r="X315" s="1076">
        <v>0</v>
      </c>
      <c r="Y315" s="1076">
        <v>0</v>
      </c>
      <c r="Z315" s="1076"/>
      <c r="AA315" s="1076"/>
      <c r="AB315" s="1076"/>
      <c r="AC315" s="1076"/>
      <c r="AD315" s="1077">
        <f t="shared" si="28"/>
        <v>182480</v>
      </c>
      <c r="AE315" s="609">
        <f t="shared" si="31"/>
        <v>1</v>
      </c>
      <c r="AF315" s="610">
        <f t="shared" si="33"/>
        <v>320</v>
      </c>
    </row>
    <row r="316" spans="1:32" x14ac:dyDescent="0.3">
      <c r="A316" s="544" t="s">
        <v>675</v>
      </c>
      <c r="B316" s="678" t="s">
        <v>842</v>
      </c>
      <c r="C316" s="505"/>
      <c r="D316" s="506"/>
      <c r="E316" s="506"/>
      <c r="F316" s="506"/>
      <c r="G316" s="506"/>
      <c r="H316" s="506"/>
      <c r="I316" s="506"/>
      <c r="J316" s="506"/>
      <c r="K316" s="506"/>
      <c r="L316" s="506"/>
      <c r="M316" s="506"/>
      <c r="N316" s="506"/>
      <c r="O316" s="506"/>
      <c r="P316" s="1498">
        <f t="shared" si="30"/>
        <v>0</v>
      </c>
      <c r="Q316" s="696">
        <f t="shared" si="32"/>
        <v>0</v>
      </c>
      <c r="R316" s="1075"/>
      <c r="S316" s="1076"/>
      <c r="T316" s="1076"/>
      <c r="U316" s="1076"/>
      <c r="V316" s="1076"/>
      <c r="W316" s="1076"/>
      <c r="X316" s="1076"/>
      <c r="Y316" s="1076"/>
      <c r="Z316" s="1076"/>
      <c r="AA316" s="1076"/>
      <c r="AB316" s="1076"/>
      <c r="AC316" s="1076"/>
      <c r="AD316" s="1077">
        <f t="shared" si="28"/>
        <v>0</v>
      </c>
      <c r="AE316" s="609">
        <f t="shared" si="31"/>
        <v>0</v>
      </c>
      <c r="AF316" s="610">
        <f t="shared" si="33"/>
        <v>394</v>
      </c>
    </row>
    <row r="317" spans="1:32" x14ac:dyDescent="0.3">
      <c r="A317" s="544" t="s">
        <v>675</v>
      </c>
      <c r="B317" s="678" t="s">
        <v>2927</v>
      </c>
      <c r="C317" s="505"/>
      <c r="D317" s="506"/>
      <c r="E317" s="506"/>
      <c r="F317" s="506"/>
      <c r="G317" s="506"/>
      <c r="H317" s="506"/>
      <c r="I317" s="506"/>
      <c r="J317" s="506"/>
      <c r="K317" s="506"/>
      <c r="L317" s="506"/>
      <c r="M317" s="506"/>
      <c r="N317" s="506"/>
      <c r="O317" s="506"/>
      <c r="P317" s="1498">
        <f t="shared" si="30"/>
        <v>0</v>
      </c>
      <c r="Q317" s="696">
        <f t="shared" si="32"/>
        <v>0</v>
      </c>
      <c r="R317" s="1075"/>
      <c r="S317" s="1076"/>
      <c r="T317" s="1076"/>
      <c r="U317" s="1076"/>
      <c r="V317" s="1076"/>
      <c r="W317" s="1076"/>
      <c r="X317" s="1076">
        <v>606480</v>
      </c>
      <c r="Y317" s="1076">
        <v>0</v>
      </c>
      <c r="Z317" s="1076"/>
      <c r="AA317" s="1076"/>
      <c r="AB317" s="1076"/>
      <c r="AC317" s="1076"/>
      <c r="AD317" s="1077">
        <f t="shared" si="28"/>
        <v>606480</v>
      </c>
      <c r="AE317" s="609">
        <f t="shared" si="31"/>
        <v>1</v>
      </c>
      <c r="AF317" s="610">
        <f t="shared" si="33"/>
        <v>241</v>
      </c>
    </row>
    <row r="318" spans="1:32" x14ac:dyDescent="0.3">
      <c r="A318" s="544" t="s">
        <v>675</v>
      </c>
      <c r="B318" s="678" t="s">
        <v>2928</v>
      </c>
      <c r="C318" s="505"/>
      <c r="D318" s="506"/>
      <c r="E318" s="506"/>
      <c r="F318" s="506"/>
      <c r="G318" s="506"/>
      <c r="H318" s="506"/>
      <c r="I318" s="506"/>
      <c r="J318" s="506"/>
      <c r="K318" s="506"/>
      <c r="L318" s="506"/>
      <c r="M318" s="506"/>
      <c r="N318" s="506"/>
      <c r="O318" s="506"/>
      <c r="P318" s="1498">
        <f t="shared" si="30"/>
        <v>0</v>
      </c>
      <c r="Q318" s="696">
        <f t="shared" si="32"/>
        <v>0</v>
      </c>
      <c r="R318" s="1075"/>
      <c r="S318" s="1076"/>
      <c r="T318" s="1076"/>
      <c r="U318" s="1076"/>
      <c r="V318" s="1076"/>
      <c r="W318" s="1076"/>
      <c r="X318" s="1076">
        <v>300810</v>
      </c>
      <c r="Y318" s="1076">
        <v>0</v>
      </c>
      <c r="Z318" s="1076"/>
      <c r="AA318" s="1076"/>
      <c r="AB318" s="1076"/>
      <c r="AC318" s="1076"/>
      <c r="AD318" s="1077">
        <f t="shared" si="28"/>
        <v>300810</v>
      </c>
      <c r="AE318" s="609">
        <f t="shared" si="31"/>
        <v>1</v>
      </c>
      <c r="AF318" s="610">
        <f t="shared" si="33"/>
        <v>293</v>
      </c>
    </row>
    <row r="319" spans="1:32" x14ac:dyDescent="0.3">
      <c r="A319" s="544" t="s">
        <v>675</v>
      </c>
      <c r="B319" s="678" t="s">
        <v>2929</v>
      </c>
      <c r="C319" s="505"/>
      <c r="D319" s="506"/>
      <c r="E319" s="506"/>
      <c r="F319" s="506"/>
      <c r="G319" s="506"/>
      <c r="H319" s="506"/>
      <c r="I319" s="506"/>
      <c r="J319" s="506"/>
      <c r="K319" s="506"/>
      <c r="L319" s="506"/>
      <c r="M319" s="506"/>
      <c r="N319" s="506"/>
      <c r="O319" s="506"/>
      <c r="P319" s="1498">
        <f t="shared" si="30"/>
        <v>0</v>
      </c>
      <c r="Q319" s="696">
        <f t="shared" si="32"/>
        <v>0</v>
      </c>
      <c r="R319" s="1075"/>
      <c r="S319" s="1076"/>
      <c r="T319" s="1076"/>
      <c r="U319" s="1076"/>
      <c r="V319" s="1076"/>
      <c r="W319" s="1076"/>
      <c r="X319" s="1076">
        <v>247020</v>
      </c>
      <c r="Y319" s="1076">
        <v>0</v>
      </c>
      <c r="Z319" s="1076"/>
      <c r="AA319" s="1076"/>
      <c r="AB319" s="1076"/>
      <c r="AC319" s="1076"/>
      <c r="AD319" s="1077">
        <f t="shared" si="28"/>
        <v>247020</v>
      </c>
      <c r="AE319" s="609">
        <f t="shared" si="31"/>
        <v>1</v>
      </c>
      <c r="AF319" s="610">
        <f t="shared" si="33"/>
        <v>305</v>
      </c>
    </row>
    <row r="320" spans="1:32" x14ac:dyDescent="0.3">
      <c r="A320" s="544" t="s">
        <v>675</v>
      </c>
      <c r="B320" s="678" t="s">
        <v>2930</v>
      </c>
      <c r="C320" s="505"/>
      <c r="D320" s="506"/>
      <c r="E320" s="506"/>
      <c r="F320" s="506"/>
      <c r="G320" s="506"/>
      <c r="H320" s="506"/>
      <c r="I320" s="506"/>
      <c r="J320" s="506"/>
      <c r="K320" s="506"/>
      <c r="L320" s="506"/>
      <c r="M320" s="506"/>
      <c r="N320" s="506"/>
      <c r="O320" s="506"/>
      <c r="P320" s="1498">
        <f t="shared" si="30"/>
        <v>0</v>
      </c>
      <c r="Q320" s="696">
        <f t="shared" si="32"/>
        <v>0</v>
      </c>
      <c r="R320" s="1075"/>
      <c r="S320" s="1076"/>
      <c r="T320" s="1076"/>
      <c r="U320" s="1076"/>
      <c r="V320" s="1076"/>
      <c r="W320" s="1076"/>
      <c r="X320" s="1076">
        <v>172820</v>
      </c>
      <c r="Y320" s="1076">
        <v>0</v>
      </c>
      <c r="Z320" s="1076"/>
      <c r="AA320" s="1076"/>
      <c r="AB320" s="1076"/>
      <c r="AC320" s="1076"/>
      <c r="AD320" s="1077">
        <f t="shared" si="28"/>
        <v>172820</v>
      </c>
      <c r="AE320" s="609">
        <f t="shared" si="31"/>
        <v>1</v>
      </c>
      <c r="AF320" s="610">
        <f t="shared" si="33"/>
        <v>322</v>
      </c>
    </row>
    <row r="321" spans="1:32" x14ac:dyDescent="0.3">
      <c r="A321" s="544" t="s">
        <v>675</v>
      </c>
      <c r="B321" s="678" t="s">
        <v>2926</v>
      </c>
      <c r="C321" s="505"/>
      <c r="D321" s="506"/>
      <c r="E321" s="506"/>
      <c r="F321" s="506"/>
      <c r="G321" s="506"/>
      <c r="H321" s="506"/>
      <c r="I321" s="506"/>
      <c r="J321" s="506"/>
      <c r="K321" s="506"/>
      <c r="L321" s="506"/>
      <c r="M321" s="506"/>
      <c r="N321" s="506"/>
      <c r="O321" s="506"/>
      <c r="P321" s="1498">
        <f t="shared" si="30"/>
        <v>0</v>
      </c>
      <c r="Q321" s="696">
        <f t="shared" si="32"/>
        <v>0</v>
      </c>
      <c r="R321" s="1075"/>
      <c r="S321" s="1076"/>
      <c r="T321" s="1076"/>
      <c r="U321" s="1076"/>
      <c r="V321" s="1076"/>
      <c r="W321" s="1076"/>
      <c r="X321" s="1076">
        <v>0</v>
      </c>
      <c r="Y321" s="1076">
        <v>0</v>
      </c>
      <c r="Z321" s="1076"/>
      <c r="AA321" s="1076"/>
      <c r="AB321" s="1076"/>
      <c r="AC321" s="1076"/>
      <c r="AD321" s="1077">
        <f t="shared" si="28"/>
        <v>0</v>
      </c>
      <c r="AE321" s="609">
        <f t="shared" si="31"/>
        <v>0</v>
      </c>
      <c r="AF321" s="610">
        <f t="shared" si="33"/>
        <v>394</v>
      </c>
    </row>
    <row r="322" spans="1:32" x14ac:dyDescent="0.3">
      <c r="A322" s="544" t="s">
        <v>675</v>
      </c>
      <c r="B322" s="678" t="s">
        <v>3003</v>
      </c>
      <c r="C322" s="505"/>
      <c r="D322" s="506"/>
      <c r="E322" s="506"/>
      <c r="F322" s="506"/>
      <c r="G322" s="506"/>
      <c r="H322" s="506"/>
      <c r="I322" s="506"/>
      <c r="J322" s="506"/>
      <c r="K322" s="506"/>
      <c r="L322" s="506"/>
      <c r="M322" s="506"/>
      <c r="N322" s="506"/>
      <c r="O322" s="506"/>
      <c r="P322" s="1498">
        <f t="shared" si="30"/>
        <v>0</v>
      </c>
      <c r="Q322" s="696">
        <f t="shared" si="32"/>
        <v>0</v>
      </c>
      <c r="R322" s="1075"/>
      <c r="S322" s="1076"/>
      <c r="T322" s="1076"/>
      <c r="U322" s="1076"/>
      <c r="V322" s="1076"/>
      <c r="W322" s="1076"/>
      <c r="X322" s="1076">
        <v>593690</v>
      </c>
      <c r="Y322" s="1076">
        <v>708410</v>
      </c>
      <c r="Z322" s="1076"/>
      <c r="AA322" s="1076"/>
      <c r="AB322" s="1076"/>
      <c r="AC322" s="1076"/>
      <c r="AD322" s="1077">
        <f t="shared" si="28"/>
        <v>1302100</v>
      </c>
      <c r="AE322" s="609">
        <f t="shared" si="31"/>
        <v>1</v>
      </c>
      <c r="AF322" s="610">
        <f t="shared" si="33"/>
        <v>177</v>
      </c>
    </row>
    <row r="323" spans="1:32" x14ac:dyDescent="0.3">
      <c r="A323" s="544" t="s">
        <v>675</v>
      </c>
      <c r="B323" s="678" t="s">
        <v>3004</v>
      </c>
      <c r="C323" s="505"/>
      <c r="D323" s="506"/>
      <c r="E323" s="506"/>
      <c r="F323" s="506"/>
      <c r="G323" s="506"/>
      <c r="H323" s="506"/>
      <c r="I323" s="506"/>
      <c r="J323" s="506"/>
      <c r="K323" s="506"/>
      <c r="L323" s="506"/>
      <c r="M323" s="506"/>
      <c r="N323" s="506"/>
      <c r="O323" s="506"/>
      <c r="P323" s="1498">
        <f t="shared" ref="P323:P329" si="34">SUM(C323:I323,K323)</f>
        <v>0</v>
      </c>
      <c r="Q323" s="696">
        <f t="shared" si="32"/>
        <v>0</v>
      </c>
      <c r="R323" s="1075"/>
      <c r="S323" s="1076"/>
      <c r="T323" s="1076"/>
      <c r="U323" s="1076"/>
      <c r="V323" s="1076"/>
      <c r="W323" s="1076"/>
      <c r="X323" s="1076">
        <v>159100</v>
      </c>
      <c r="Y323" s="1076">
        <v>0</v>
      </c>
      <c r="Z323" s="1076"/>
      <c r="AA323" s="1076"/>
      <c r="AB323" s="1076"/>
      <c r="AC323" s="1076"/>
      <c r="AD323" s="1077">
        <f t="shared" si="28"/>
        <v>159100</v>
      </c>
      <c r="AE323" s="609">
        <f t="shared" si="31"/>
        <v>1</v>
      </c>
      <c r="AF323" s="610">
        <f t="shared" si="33"/>
        <v>328</v>
      </c>
    </row>
    <row r="324" spans="1:32" x14ac:dyDescent="0.3">
      <c r="A324" s="544" t="s">
        <v>675</v>
      </c>
      <c r="B324" s="678" t="s">
        <v>1875</v>
      </c>
      <c r="C324" s="505"/>
      <c r="D324" s="506"/>
      <c r="E324" s="506"/>
      <c r="F324" s="506"/>
      <c r="G324" s="506"/>
      <c r="H324" s="506"/>
      <c r="I324" s="506"/>
      <c r="J324" s="506"/>
      <c r="K324" s="506"/>
      <c r="L324" s="506"/>
      <c r="M324" s="506"/>
      <c r="N324" s="506"/>
      <c r="O324" s="506"/>
      <c r="P324" s="1498">
        <f t="shared" si="34"/>
        <v>0</v>
      </c>
      <c r="Q324" s="696">
        <f t="shared" si="32"/>
        <v>0</v>
      </c>
      <c r="R324" s="1075"/>
      <c r="S324" s="1076"/>
      <c r="T324" s="1076"/>
      <c r="U324" s="1076"/>
      <c r="V324" s="1076"/>
      <c r="W324" s="1076"/>
      <c r="X324" s="1076"/>
      <c r="Y324" s="1076">
        <v>1929620</v>
      </c>
      <c r="Z324" s="1076"/>
      <c r="AA324" s="1076"/>
      <c r="AB324" s="1076"/>
      <c r="AC324" s="1076"/>
      <c r="AD324" s="1077">
        <f t="shared" si="28"/>
        <v>1929620</v>
      </c>
      <c r="AE324" s="609">
        <f t="shared" si="31"/>
        <v>1</v>
      </c>
      <c r="AF324" s="610">
        <f t="shared" si="33"/>
        <v>149</v>
      </c>
    </row>
    <row r="325" spans="1:32" x14ac:dyDescent="0.3">
      <c r="A325" s="544" t="s">
        <v>675</v>
      </c>
      <c r="B325" s="678" t="s">
        <v>3028</v>
      </c>
      <c r="C325" s="505"/>
      <c r="D325" s="506"/>
      <c r="E325" s="506"/>
      <c r="F325" s="506"/>
      <c r="G325" s="506"/>
      <c r="H325" s="506"/>
      <c r="I325" s="506"/>
      <c r="J325" s="506"/>
      <c r="K325" s="506"/>
      <c r="L325" s="506"/>
      <c r="M325" s="506"/>
      <c r="N325" s="506"/>
      <c r="O325" s="506"/>
      <c r="P325" s="1498">
        <f t="shared" si="34"/>
        <v>0</v>
      </c>
      <c r="Q325" s="696">
        <f t="shared" si="32"/>
        <v>0</v>
      </c>
      <c r="R325" s="1075"/>
      <c r="S325" s="1076"/>
      <c r="T325" s="1076"/>
      <c r="U325" s="1076"/>
      <c r="V325" s="1076"/>
      <c r="W325" s="1076"/>
      <c r="X325" s="1076"/>
      <c r="Y325" s="1076">
        <v>776110</v>
      </c>
      <c r="Z325" s="1076"/>
      <c r="AA325" s="1076"/>
      <c r="AB325" s="1076"/>
      <c r="AC325" s="1076"/>
      <c r="AD325" s="1077">
        <f t="shared" si="28"/>
        <v>776110</v>
      </c>
      <c r="AE325" s="609">
        <f t="shared" si="31"/>
        <v>1</v>
      </c>
      <c r="AF325" s="610">
        <f t="shared" si="33"/>
        <v>220</v>
      </c>
    </row>
    <row r="326" spans="1:32" x14ac:dyDescent="0.3">
      <c r="A326" s="544" t="s">
        <v>675</v>
      </c>
      <c r="B326" s="678" t="s">
        <v>3047</v>
      </c>
      <c r="C326" s="505"/>
      <c r="D326" s="506"/>
      <c r="E326" s="506"/>
      <c r="F326" s="506"/>
      <c r="G326" s="506"/>
      <c r="H326" s="506"/>
      <c r="I326" s="506"/>
      <c r="J326" s="506"/>
      <c r="K326" s="506"/>
      <c r="L326" s="506"/>
      <c r="M326" s="506"/>
      <c r="N326" s="506"/>
      <c r="O326" s="506"/>
      <c r="P326" s="1498">
        <f t="shared" si="34"/>
        <v>0</v>
      </c>
      <c r="Q326" s="696">
        <f t="shared" si="32"/>
        <v>0</v>
      </c>
      <c r="R326" s="1075"/>
      <c r="S326" s="1076"/>
      <c r="T326" s="1076"/>
      <c r="U326" s="1076"/>
      <c r="V326" s="1076"/>
      <c r="W326" s="1076"/>
      <c r="X326" s="1076"/>
      <c r="Y326" s="1076">
        <v>25970</v>
      </c>
      <c r="Z326" s="1076"/>
      <c r="AA326" s="1076"/>
      <c r="AB326" s="1076"/>
      <c r="AC326" s="1076"/>
      <c r="AD326" s="1077">
        <f t="shared" si="28"/>
        <v>25970</v>
      </c>
      <c r="AE326" s="609">
        <f t="shared" si="31"/>
        <v>1</v>
      </c>
      <c r="AF326" s="610">
        <f t="shared" si="33"/>
        <v>381</v>
      </c>
    </row>
    <row r="327" spans="1:32" x14ac:dyDescent="0.3">
      <c r="A327" s="545" t="s">
        <v>688</v>
      </c>
      <c r="B327" s="679" t="s">
        <v>660</v>
      </c>
      <c r="C327" s="507"/>
      <c r="D327" s="508">
        <v>86400</v>
      </c>
      <c r="E327" s="508">
        <v>3157560</v>
      </c>
      <c r="F327" s="508">
        <v>8609580</v>
      </c>
      <c r="G327" s="508">
        <v>3729960</v>
      </c>
      <c r="H327" s="508">
        <v>217800</v>
      </c>
      <c r="I327" s="508">
        <v>1798020</v>
      </c>
      <c r="J327" s="508">
        <v>2493360</v>
      </c>
      <c r="K327" s="508">
        <v>190260</v>
      </c>
      <c r="L327" s="508">
        <v>10324800</v>
      </c>
      <c r="M327" s="508">
        <v>213300</v>
      </c>
      <c r="N327" s="508">
        <v>1228500</v>
      </c>
      <c r="O327" s="508">
        <v>926100</v>
      </c>
      <c r="P327" s="1498">
        <f t="shared" si="34"/>
        <v>17789580</v>
      </c>
      <c r="Q327" s="697">
        <f t="shared" si="32"/>
        <v>32785380</v>
      </c>
      <c r="R327" s="1078">
        <v>1850760</v>
      </c>
      <c r="S327" s="1079" t="s">
        <v>251</v>
      </c>
      <c r="T327" s="1079">
        <v>1378420</v>
      </c>
      <c r="U327" s="1079">
        <v>5818280</v>
      </c>
      <c r="V327" s="1079">
        <v>1841720</v>
      </c>
      <c r="W327" s="1079">
        <v>0</v>
      </c>
      <c r="X327" s="1079">
        <v>0</v>
      </c>
      <c r="Y327" s="1079">
        <v>0</v>
      </c>
      <c r="Z327" s="1079"/>
      <c r="AA327" s="1079"/>
      <c r="AB327" s="1079"/>
      <c r="AC327" s="1079"/>
      <c r="AD327" s="1080">
        <f t="shared" si="28"/>
        <v>10889180</v>
      </c>
      <c r="AE327" s="611">
        <f t="shared" si="31"/>
        <v>-0.38788998953319864</v>
      </c>
      <c r="AF327" s="612">
        <f t="shared" si="33"/>
        <v>40</v>
      </c>
    </row>
    <row r="328" spans="1:32" x14ac:dyDescent="0.3">
      <c r="A328" s="545" t="s">
        <v>688</v>
      </c>
      <c r="B328" s="679" t="s">
        <v>374</v>
      </c>
      <c r="C328" s="507"/>
      <c r="D328" s="508"/>
      <c r="E328" s="508">
        <v>0</v>
      </c>
      <c r="F328" s="508">
        <v>5557860</v>
      </c>
      <c r="G328" s="508">
        <v>100800</v>
      </c>
      <c r="H328" s="508">
        <v>0</v>
      </c>
      <c r="I328" s="508">
        <v>0</v>
      </c>
      <c r="J328" s="508">
        <v>0</v>
      </c>
      <c r="K328" s="508">
        <v>0</v>
      </c>
      <c r="L328" s="508">
        <v>0</v>
      </c>
      <c r="M328" s="508">
        <v>0</v>
      </c>
      <c r="N328" s="508">
        <v>0</v>
      </c>
      <c r="O328" s="508">
        <v>0</v>
      </c>
      <c r="P328" s="1498">
        <f t="shared" si="34"/>
        <v>5658660</v>
      </c>
      <c r="Q328" s="697">
        <f t="shared" si="32"/>
        <v>5658660</v>
      </c>
      <c r="R328" s="1078">
        <v>1459080</v>
      </c>
      <c r="S328" s="1079" t="s">
        <v>251</v>
      </c>
      <c r="T328" s="1079">
        <v>0</v>
      </c>
      <c r="U328" s="1079">
        <v>0</v>
      </c>
      <c r="V328" s="1079">
        <v>0</v>
      </c>
      <c r="W328" s="1079">
        <v>320760</v>
      </c>
      <c r="X328" s="1079">
        <v>0</v>
      </c>
      <c r="Y328" s="1079">
        <v>0</v>
      </c>
      <c r="Z328" s="1079"/>
      <c r="AA328" s="1079"/>
      <c r="AB328" s="1079"/>
      <c r="AC328" s="1079"/>
      <c r="AD328" s="1080">
        <f t="shared" si="28"/>
        <v>1779840</v>
      </c>
      <c r="AE328" s="611">
        <f t="shared" si="31"/>
        <v>-0.68546617043611036</v>
      </c>
      <c r="AF328" s="612">
        <f t="shared" si="33"/>
        <v>156</v>
      </c>
    </row>
    <row r="329" spans="1:32" x14ac:dyDescent="0.3">
      <c r="A329" s="545" t="s">
        <v>688</v>
      </c>
      <c r="B329" s="679" t="s">
        <v>628</v>
      </c>
      <c r="C329" s="507">
        <v>21600</v>
      </c>
      <c r="D329" s="508"/>
      <c r="E329" s="508">
        <v>0</v>
      </c>
      <c r="F329" s="508">
        <v>3244320</v>
      </c>
      <c r="G329" s="508">
        <v>658800</v>
      </c>
      <c r="H329" s="508">
        <v>0</v>
      </c>
      <c r="I329" s="508">
        <v>0</v>
      </c>
      <c r="J329" s="508">
        <v>0</v>
      </c>
      <c r="K329" s="508">
        <v>0</v>
      </c>
      <c r="L329" s="508">
        <v>949500</v>
      </c>
      <c r="M329" s="508">
        <v>0</v>
      </c>
      <c r="N329" s="508">
        <v>0</v>
      </c>
      <c r="O329" s="508">
        <v>0</v>
      </c>
      <c r="P329" s="1498">
        <f t="shared" si="34"/>
        <v>3924720</v>
      </c>
      <c r="Q329" s="697">
        <f t="shared" si="32"/>
        <v>4874220</v>
      </c>
      <c r="R329" s="1078" t="s">
        <v>251</v>
      </c>
      <c r="S329" s="1079" t="s">
        <v>251</v>
      </c>
      <c r="T329" s="1079"/>
      <c r="U329" s="1079">
        <v>640370</v>
      </c>
      <c r="V329" s="1079">
        <v>1620600</v>
      </c>
      <c r="W329" s="1079">
        <v>0</v>
      </c>
      <c r="X329" s="1079">
        <v>0</v>
      </c>
      <c r="Y329" s="1079">
        <v>0</v>
      </c>
      <c r="Z329" s="1079"/>
      <c r="AA329" s="1079"/>
      <c r="AB329" s="1079"/>
      <c r="AC329" s="1079"/>
      <c r="AD329" s="1080">
        <f t="shared" si="28"/>
        <v>2260970</v>
      </c>
      <c r="AE329" s="611">
        <f t="shared" si="31"/>
        <v>-0.42391559143072627</v>
      </c>
      <c r="AF329" s="612">
        <f t="shared" si="33"/>
        <v>134</v>
      </c>
    </row>
    <row r="330" spans="1:32" x14ac:dyDescent="0.3">
      <c r="A330" s="545" t="s">
        <v>688</v>
      </c>
      <c r="B330" s="679" t="s">
        <v>621</v>
      </c>
      <c r="C330" s="507"/>
      <c r="D330" s="508">
        <v>231840</v>
      </c>
      <c r="E330" s="508">
        <v>906120</v>
      </c>
      <c r="F330" s="508">
        <v>1012140</v>
      </c>
      <c r="G330" s="508">
        <v>126000</v>
      </c>
      <c r="H330" s="508">
        <v>0</v>
      </c>
      <c r="I330" s="508">
        <v>435600</v>
      </c>
      <c r="J330" s="508">
        <v>0</v>
      </c>
      <c r="K330" s="508">
        <v>0</v>
      </c>
      <c r="L330" s="508">
        <v>257400</v>
      </c>
      <c r="M330" s="508">
        <v>1251720</v>
      </c>
      <c r="N330" s="508">
        <v>1519200</v>
      </c>
      <c r="O330" s="508">
        <v>2700720</v>
      </c>
      <c r="P330" s="1498">
        <f t="shared" ref="P330:P389" si="35">SUM(C330:I330,K330)</f>
        <v>2711700</v>
      </c>
      <c r="Q330" s="697">
        <f t="shared" si="32"/>
        <v>8440740</v>
      </c>
      <c r="R330" s="1078">
        <v>150300</v>
      </c>
      <c r="S330" s="1079" t="s">
        <v>251</v>
      </c>
      <c r="T330" s="1079">
        <v>0</v>
      </c>
      <c r="U330" s="1079">
        <v>3051480</v>
      </c>
      <c r="V330" s="1079">
        <v>2758980</v>
      </c>
      <c r="W330" s="1079">
        <v>3173370</v>
      </c>
      <c r="X330" s="1079">
        <v>0</v>
      </c>
      <c r="Y330" s="1079">
        <v>0</v>
      </c>
      <c r="Z330" s="1079"/>
      <c r="AA330" s="1079"/>
      <c r="AB330" s="1079"/>
      <c r="AC330" s="1079"/>
      <c r="AD330" s="1080">
        <f t="shared" si="28"/>
        <v>9134130</v>
      </c>
      <c r="AE330" s="611">
        <f t="shared" si="31"/>
        <v>2.368414647638013</v>
      </c>
      <c r="AF330" s="612">
        <f t="shared" si="33"/>
        <v>49</v>
      </c>
    </row>
    <row r="331" spans="1:32" x14ac:dyDescent="0.3">
      <c r="A331" s="545" t="s">
        <v>688</v>
      </c>
      <c r="B331" s="679" t="s">
        <v>619</v>
      </c>
      <c r="C331" s="507"/>
      <c r="D331" s="508"/>
      <c r="E331" s="508">
        <v>0</v>
      </c>
      <c r="F331" s="508">
        <v>712620</v>
      </c>
      <c r="G331" s="508">
        <v>1512540</v>
      </c>
      <c r="H331" s="508">
        <v>126000</v>
      </c>
      <c r="I331" s="508">
        <v>0</v>
      </c>
      <c r="J331" s="508">
        <v>0</v>
      </c>
      <c r="K331" s="508">
        <v>0</v>
      </c>
      <c r="L331" s="508">
        <v>0</v>
      </c>
      <c r="M331" s="508">
        <v>0</v>
      </c>
      <c r="N331" s="508">
        <v>0</v>
      </c>
      <c r="O331" s="508">
        <v>150300</v>
      </c>
      <c r="P331" s="1498">
        <f t="shared" si="35"/>
        <v>2351160</v>
      </c>
      <c r="Q331" s="697">
        <f t="shared" ref="Q331:Q352" si="36">SUM(C331:J331,L331:O331)</f>
        <v>2501460</v>
      </c>
      <c r="R331" s="1078" t="s">
        <v>251</v>
      </c>
      <c r="S331" s="1079" t="s">
        <v>251</v>
      </c>
      <c r="T331" s="1079"/>
      <c r="U331" s="1079"/>
      <c r="V331" s="1079"/>
      <c r="W331" s="1079"/>
      <c r="X331" s="1079"/>
      <c r="Y331" s="1079"/>
      <c r="Z331" s="1079"/>
      <c r="AA331" s="1079"/>
      <c r="AB331" s="1079"/>
      <c r="AC331" s="1079"/>
      <c r="AD331" s="1080">
        <f t="shared" si="28"/>
        <v>0</v>
      </c>
      <c r="AE331" s="611">
        <f t="shared" si="31"/>
        <v>-1</v>
      </c>
      <c r="AF331" s="612">
        <f t="shared" ref="AF331:AF353" si="37">IFERROR(_xlfn.RANK.EQ(AD331, $AD$2:$AD$677), "")</f>
        <v>394</v>
      </c>
    </row>
    <row r="332" spans="1:32" x14ac:dyDescent="0.3">
      <c r="A332" s="545" t="s">
        <v>688</v>
      </c>
      <c r="B332" s="679" t="s">
        <v>634</v>
      </c>
      <c r="C332" s="507"/>
      <c r="D332" s="508"/>
      <c r="E332" s="508">
        <v>0</v>
      </c>
      <c r="F332" s="508">
        <v>360000</v>
      </c>
      <c r="G332" s="508">
        <v>725400</v>
      </c>
      <c r="H332" s="508">
        <v>167400</v>
      </c>
      <c r="I332" s="508">
        <v>0</v>
      </c>
      <c r="J332" s="508">
        <v>0</v>
      </c>
      <c r="K332" s="508">
        <v>0</v>
      </c>
      <c r="L332" s="508">
        <v>0</v>
      </c>
      <c r="M332" s="508">
        <v>0</v>
      </c>
      <c r="N332" s="508">
        <v>0</v>
      </c>
      <c r="O332" s="508">
        <v>0</v>
      </c>
      <c r="P332" s="1498">
        <f t="shared" si="35"/>
        <v>1252800</v>
      </c>
      <c r="Q332" s="697">
        <f t="shared" si="36"/>
        <v>1252800</v>
      </c>
      <c r="R332" s="1078" t="s">
        <v>251</v>
      </c>
      <c r="S332" s="1079" t="s">
        <v>251</v>
      </c>
      <c r="T332" s="1079"/>
      <c r="U332" s="1079">
        <v>1936320</v>
      </c>
      <c r="V332" s="1079">
        <v>240820</v>
      </c>
      <c r="W332" s="1079">
        <v>329540</v>
      </c>
      <c r="X332" s="1079">
        <v>0</v>
      </c>
      <c r="Y332" s="1079">
        <v>0</v>
      </c>
      <c r="Z332" s="1079"/>
      <c r="AA332" s="1079"/>
      <c r="AB332" s="1079"/>
      <c r="AC332" s="1079"/>
      <c r="AD332" s="1080">
        <f t="shared" si="28"/>
        <v>2506680</v>
      </c>
      <c r="AE332" s="611">
        <f t="shared" si="31"/>
        <v>1.0008620689655172</v>
      </c>
      <c r="AF332" s="612">
        <f t="shared" si="37"/>
        <v>125</v>
      </c>
    </row>
    <row r="333" spans="1:32" x14ac:dyDescent="0.3">
      <c r="A333" s="545" t="s">
        <v>688</v>
      </c>
      <c r="B333" s="679" t="s">
        <v>689</v>
      </c>
      <c r="C333" s="507"/>
      <c r="D333" s="508"/>
      <c r="E333" s="508">
        <v>483480</v>
      </c>
      <c r="F333" s="508">
        <v>201240</v>
      </c>
      <c r="G333" s="508">
        <v>201240</v>
      </c>
      <c r="H333" s="508">
        <v>0</v>
      </c>
      <c r="I333" s="508">
        <v>0</v>
      </c>
      <c r="J333" s="508">
        <v>0</v>
      </c>
      <c r="K333" s="508">
        <v>0</v>
      </c>
      <c r="L333" s="508">
        <v>0</v>
      </c>
      <c r="M333" s="508">
        <v>4945680</v>
      </c>
      <c r="N333" s="508">
        <v>0</v>
      </c>
      <c r="O333" s="508">
        <v>0</v>
      </c>
      <c r="P333" s="1498">
        <f t="shared" si="35"/>
        <v>885960</v>
      </c>
      <c r="Q333" s="697">
        <f t="shared" si="36"/>
        <v>5831640</v>
      </c>
      <c r="R333" s="1078" t="s">
        <v>251</v>
      </c>
      <c r="S333" s="1079" t="s">
        <v>251</v>
      </c>
      <c r="T333" s="1079"/>
      <c r="U333" s="1079"/>
      <c r="V333" s="1079"/>
      <c r="W333" s="1079"/>
      <c r="X333" s="1079"/>
      <c r="Y333" s="1079"/>
      <c r="Z333" s="1079"/>
      <c r="AA333" s="1079"/>
      <c r="AB333" s="1079"/>
      <c r="AC333" s="1079"/>
      <c r="AD333" s="1080">
        <f t="shared" si="28"/>
        <v>0</v>
      </c>
      <c r="AE333" s="611">
        <f t="shared" si="31"/>
        <v>-1</v>
      </c>
      <c r="AF333" s="612">
        <f t="shared" si="37"/>
        <v>394</v>
      </c>
    </row>
    <row r="334" spans="1:32" x14ac:dyDescent="0.3">
      <c r="A334" s="545" t="s">
        <v>688</v>
      </c>
      <c r="B334" s="679" t="s">
        <v>690</v>
      </c>
      <c r="C334" s="507"/>
      <c r="D334" s="508"/>
      <c r="E334" s="508">
        <v>855000</v>
      </c>
      <c r="F334" s="508">
        <v>0</v>
      </c>
      <c r="G334" s="508">
        <v>0</v>
      </c>
      <c r="H334" s="508">
        <v>0</v>
      </c>
      <c r="I334" s="508">
        <v>0</v>
      </c>
      <c r="J334" s="508">
        <v>0</v>
      </c>
      <c r="K334" s="508">
        <v>0</v>
      </c>
      <c r="L334" s="508">
        <v>0</v>
      </c>
      <c r="M334" s="508">
        <v>0</v>
      </c>
      <c r="N334" s="508">
        <v>0</v>
      </c>
      <c r="O334" s="508">
        <v>0</v>
      </c>
      <c r="P334" s="1498">
        <f t="shared" si="35"/>
        <v>855000</v>
      </c>
      <c r="Q334" s="697">
        <f t="shared" si="36"/>
        <v>855000</v>
      </c>
      <c r="R334" s="1078" t="s">
        <v>251</v>
      </c>
      <c r="S334" s="1079" t="s">
        <v>251</v>
      </c>
      <c r="T334" s="1079"/>
      <c r="U334" s="1079">
        <v>987670</v>
      </c>
      <c r="V334" s="1079">
        <v>0</v>
      </c>
      <c r="W334" s="1079">
        <v>0</v>
      </c>
      <c r="X334" s="1079">
        <v>0</v>
      </c>
      <c r="Y334" s="1079">
        <v>0</v>
      </c>
      <c r="Z334" s="1079"/>
      <c r="AA334" s="1079"/>
      <c r="AB334" s="1079"/>
      <c r="AC334" s="1079"/>
      <c r="AD334" s="1080">
        <f t="shared" si="28"/>
        <v>987670</v>
      </c>
      <c r="AE334" s="611">
        <f t="shared" si="31"/>
        <v>0.15516959064327485</v>
      </c>
      <c r="AF334" s="612">
        <f t="shared" si="37"/>
        <v>201</v>
      </c>
    </row>
    <row r="335" spans="1:32" x14ac:dyDescent="0.3">
      <c r="A335" s="545" t="s">
        <v>688</v>
      </c>
      <c r="B335" s="679" t="s">
        <v>691</v>
      </c>
      <c r="C335" s="507">
        <v>172800</v>
      </c>
      <c r="D335" s="508">
        <v>172800</v>
      </c>
      <c r="E335" s="508">
        <v>0</v>
      </c>
      <c r="F335" s="508">
        <v>0</v>
      </c>
      <c r="G335" s="508">
        <v>0</v>
      </c>
      <c r="H335" s="508">
        <v>0</v>
      </c>
      <c r="I335" s="508">
        <v>0</v>
      </c>
      <c r="J335" s="508">
        <v>0</v>
      </c>
      <c r="K335" s="508">
        <v>0</v>
      </c>
      <c r="L335" s="508">
        <v>0</v>
      </c>
      <c r="M335" s="508">
        <v>0</v>
      </c>
      <c r="N335" s="508">
        <v>0</v>
      </c>
      <c r="O335" s="508">
        <v>0</v>
      </c>
      <c r="P335" s="1498">
        <f t="shared" si="35"/>
        <v>345600</v>
      </c>
      <c r="Q335" s="697">
        <f t="shared" si="36"/>
        <v>345600</v>
      </c>
      <c r="R335" s="1078" t="s">
        <v>251</v>
      </c>
      <c r="S335" s="1079" t="s">
        <v>251</v>
      </c>
      <c r="T335" s="1079"/>
      <c r="U335" s="1079"/>
      <c r="V335" s="1079"/>
      <c r="W335" s="1079"/>
      <c r="X335" s="1079"/>
      <c r="Y335" s="1079"/>
      <c r="Z335" s="1079"/>
      <c r="AA335" s="1079"/>
      <c r="AB335" s="1079"/>
      <c r="AC335" s="1079"/>
      <c r="AD335" s="1080">
        <f t="shared" si="28"/>
        <v>0</v>
      </c>
      <c r="AE335" s="611">
        <f t="shared" si="31"/>
        <v>-1</v>
      </c>
      <c r="AF335" s="612">
        <f t="shared" si="37"/>
        <v>394</v>
      </c>
    </row>
    <row r="336" spans="1:32" x14ac:dyDescent="0.3">
      <c r="A336" s="545" t="s">
        <v>688</v>
      </c>
      <c r="B336" s="679" t="s">
        <v>692</v>
      </c>
      <c r="C336" s="507"/>
      <c r="D336" s="508"/>
      <c r="E336" s="508">
        <v>70200</v>
      </c>
      <c r="F336" s="508">
        <v>81900</v>
      </c>
      <c r="G336" s="508">
        <v>0</v>
      </c>
      <c r="H336" s="508">
        <v>0</v>
      </c>
      <c r="I336" s="508">
        <v>0</v>
      </c>
      <c r="J336" s="508">
        <v>0</v>
      </c>
      <c r="K336" s="508">
        <v>0</v>
      </c>
      <c r="L336" s="508">
        <v>0</v>
      </c>
      <c r="M336" s="508">
        <v>0</v>
      </c>
      <c r="N336" s="508">
        <v>0</v>
      </c>
      <c r="O336" s="508">
        <v>0</v>
      </c>
      <c r="P336" s="1498">
        <f t="shared" si="35"/>
        <v>152100</v>
      </c>
      <c r="Q336" s="697">
        <f t="shared" si="36"/>
        <v>152100</v>
      </c>
      <c r="R336" s="1078" t="s">
        <v>251</v>
      </c>
      <c r="S336" s="1079" t="s">
        <v>251</v>
      </c>
      <c r="T336" s="1079"/>
      <c r="U336" s="1079"/>
      <c r="V336" s="1079"/>
      <c r="W336" s="1079"/>
      <c r="X336" s="1079"/>
      <c r="Y336" s="1079"/>
      <c r="Z336" s="1079"/>
      <c r="AA336" s="1079"/>
      <c r="AB336" s="1079"/>
      <c r="AC336" s="1079"/>
      <c r="AD336" s="1080">
        <f t="shared" si="28"/>
        <v>0</v>
      </c>
      <c r="AE336" s="611">
        <f t="shared" si="31"/>
        <v>-1</v>
      </c>
      <c r="AF336" s="612">
        <f t="shared" si="37"/>
        <v>394</v>
      </c>
    </row>
    <row r="337" spans="1:32" x14ac:dyDescent="0.3">
      <c r="A337" s="545" t="s">
        <v>688</v>
      </c>
      <c r="B337" s="679" t="s">
        <v>645</v>
      </c>
      <c r="C337" s="507"/>
      <c r="D337" s="508"/>
      <c r="E337" s="508" t="s">
        <v>251</v>
      </c>
      <c r="F337" s="508" t="s">
        <v>251</v>
      </c>
      <c r="G337" s="508" t="s">
        <v>251</v>
      </c>
      <c r="H337" s="508" t="s">
        <v>251</v>
      </c>
      <c r="I337" s="508" t="s">
        <v>251</v>
      </c>
      <c r="J337" s="508" t="s">
        <v>251</v>
      </c>
      <c r="K337" s="508"/>
      <c r="L337" s="508" t="s">
        <v>251</v>
      </c>
      <c r="M337" s="508" t="s">
        <v>251</v>
      </c>
      <c r="N337" s="508" t="s">
        <v>251</v>
      </c>
      <c r="O337" s="508" t="s">
        <v>251</v>
      </c>
      <c r="P337" s="1498">
        <f t="shared" si="35"/>
        <v>0</v>
      </c>
      <c r="Q337" s="697">
        <f t="shared" si="36"/>
        <v>0</v>
      </c>
      <c r="R337" s="1078" t="s">
        <v>251</v>
      </c>
      <c r="S337" s="1079" t="s">
        <v>251</v>
      </c>
      <c r="T337" s="1079"/>
      <c r="U337" s="1079"/>
      <c r="V337" s="1079"/>
      <c r="W337" s="1079"/>
      <c r="X337" s="1079"/>
      <c r="Y337" s="1079"/>
      <c r="Z337" s="1079"/>
      <c r="AA337" s="1079"/>
      <c r="AB337" s="1079"/>
      <c r="AC337" s="1079"/>
      <c r="AD337" s="1080">
        <f t="shared" si="28"/>
        <v>0</v>
      </c>
      <c r="AE337" s="611">
        <f t="shared" si="31"/>
        <v>0</v>
      </c>
      <c r="AF337" s="612">
        <f t="shared" si="37"/>
        <v>394</v>
      </c>
    </row>
    <row r="338" spans="1:32" x14ac:dyDescent="0.3">
      <c r="A338" s="545" t="s">
        <v>688</v>
      </c>
      <c r="B338" s="679" t="s">
        <v>1803</v>
      </c>
      <c r="C338" s="507"/>
      <c r="D338" s="508"/>
      <c r="E338" s="508">
        <v>0</v>
      </c>
      <c r="F338" s="508">
        <v>0</v>
      </c>
      <c r="G338" s="508">
        <v>0</v>
      </c>
      <c r="H338" s="508">
        <v>0</v>
      </c>
      <c r="I338" s="508">
        <v>4539780</v>
      </c>
      <c r="J338" s="508">
        <v>0</v>
      </c>
      <c r="K338" s="508"/>
      <c r="L338" s="508">
        <v>138600</v>
      </c>
      <c r="M338" s="508">
        <v>9311400</v>
      </c>
      <c r="N338" s="508">
        <v>9179100</v>
      </c>
      <c r="O338" s="508">
        <v>3792240</v>
      </c>
      <c r="P338" s="1498">
        <f t="shared" si="35"/>
        <v>4539780</v>
      </c>
      <c r="Q338" s="697">
        <f t="shared" si="36"/>
        <v>26961120</v>
      </c>
      <c r="R338" s="1078">
        <v>19959210</v>
      </c>
      <c r="S338" s="1079">
        <v>6244730</v>
      </c>
      <c r="T338" s="1079">
        <v>259340</v>
      </c>
      <c r="U338" s="1079">
        <v>2256100</v>
      </c>
      <c r="V338" s="1079">
        <v>1086710</v>
      </c>
      <c r="W338" s="1079">
        <v>1485120</v>
      </c>
      <c r="X338" s="1079"/>
      <c r="Y338" s="1079"/>
      <c r="Z338" s="1079"/>
      <c r="AA338" s="1079"/>
      <c r="AB338" s="1079"/>
      <c r="AC338" s="1079"/>
      <c r="AD338" s="1080">
        <f t="shared" si="28"/>
        <v>31291210</v>
      </c>
      <c r="AE338" s="611">
        <f t="shared" si="31"/>
        <v>5.8926710104894955</v>
      </c>
      <c r="AF338" s="612">
        <f t="shared" si="37"/>
        <v>11</v>
      </c>
    </row>
    <row r="339" spans="1:32" x14ac:dyDescent="0.3">
      <c r="A339" s="545" t="s">
        <v>688</v>
      </c>
      <c r="B339" s="679" t="s">
        <v>739</v>
      </c>
      <c r="C339" s="507"/>
      <c r="D339" s="508"/>
      <c r="E339" s="508" t="s">
        <v>251</v>
      </c>
      <c r="F339" s="508" t="s">
        <v>251</v>
      </c>
      <c r="G339" s="508" t="s">
        <v>251</v>
      </c>
      <c r="H339" s="508" t="s">
        <v>251</v>
      </c>
      <c r="I339" s="508" t="s">
        <v>251</v>
      </c>
      <c r="J339" s="508" t="s">
        <v>251</v>
      </c>
      <c r="K339" s="508"/>
      <c r="L339" s="508" t="s">
        <v>251</v>
      </c>
      <c r="M339" s="508" t="s">
        <v>251</v>
      </c>
      <c r="N339" s="508" t="s">
        <v>251</v>
      </c>
      <c r="O339" s="508" t="s">
        <v>251</v>
      </c>
      <c r="P339" s="1498">
        <f t="shared" si="35"/>
        <v>0</v>
      </c>
      <c r="Q339" s="697">
        <f t="shared" si="36"/>
        <v>0</v>
      </c>
      <c r="R339" s="1078" t="s">
        <v>251</v>
      </c>
      <c r="S339" s="1079" t="s">
        <v>251</v>
      </c>
      <c r="T339" s="1079"/>
      <c r="U339" s="1079"/>
      <c r="V339" s="1079"/>
      <c r="W339" s="1079"/>
      <c r="X339" s="1079"/>
      <c r="Y339" s="1079"/>
      <c r="Z339" s="1079"/>
      <c r="AA339" s="1079"/>
      <c r="AB339" s="1079"/>
      <c r="AC339" s="1079"/>
      <c r="AD339" s="1080">
        <f t="shared" si="28"/>
        <v>0</v>
      </c>
      <c r="AE339" s="611">
        <f t="shared" si="31"/>
        <v>0</v>
      </c>
      <c r="AF339" s="612">
        <f t="shared" si="37"/>
        <v>394</v>
      </c>
    </row>
    <row r="340" spans="1:32" x14ac:dyDescent="0.3">
      <c r="A340" s="545" t="s">
        <v>688</v>
      </c>
      <c r="B340" s="679" t="s">
        <v>1813</v>
      </c>
      <c r="C340" s="507"/>
      <c r="D340" s="508"/>
      <c r="E340" s="508" t="s">
        <v>251</v>
      </c>
      <c r="F340" s="508" t="s">
        <v>251</v>
      </c>
      <c r="G340" s="508" t="s">
        <v>251</v>
      </c>
      <c r="H340" s="508" t="s">
        <v>251</v>
      </c>
      <c r="I340" s="508" t="s">
        <v>251</v>
      </c>
      <c r="J340" s="508" t="s">
        <v>251</v>
      </c>
      <c r="K340" s="508"/>
      <c r="L340" s="508" t="s">
        <v>251</v>
      </c>
      <c r="M340" s="508" t="s">
        <v>251</v>
      </c>
      <c r="N340" s="508" t="s">
        <v>251</v>
      </c>
      <c r="O340" s="508" t="s">
        <v>251</v>
      </c>
      <c r="P340" s="1498">
        <f t="shared" si="35"/>
        <v>0</v>
      </c>
      <c r="Q340" s="697">
        <f t="shared" si="36"/>
        <v>0</v>
      </c>
      <c r="R340" s="1078" t="s">
        <v>251</v>
      </c>
      <c r="S340" s="1079" t="s">
        <v>251</v>
      </c>
      <c r="T340" s="1079"/>
      <c r="U340" s="1079"/>
      <c r="V340" s="1079"/>
      <c r="W340" s="1079"/>
      <c r="X340" s="1079"/>
      <c r="Y340" s="1079"/>
      <c r="Z340" s="1079"/>
      <c r="AA340" s="1079"/>
      <c r="AB340" s="1079"/>
      <c r="AC340" s="1079"/>
      <c r="AD340" s="1080">
        <f t="shared" si="28"/>
        <v>0</v>
      </c>
      <c r="AE340" s="611">
        <f t="shared" si="31"/>
        <v>0</v>
      </c>
      <c r="AF340" s="612">
        <f t="shared" si="37"/>
        <v>394</v>
      </c>
    </row>
    <row r="341" spans="1:32" x14ac:dyDescent="0.3">
      <c r="A341" s="545" t="s">
        <v>688</v>
      </c>
      <c r="B341" s="679" t="s">
        <v>681</v>
      </c>
      <c r="C341" s="507"/>
      <c r="D341" s="508"/>
      <c r="E341" s="508">
        <v>0</v>
      </c>
      <c r="F341" s="508">
        <v>0</v>
      </c>
      <c r="G341" s="508">
        <v>0</v>
      </c>
      <c r="H341" s="508">
        <v>1000350</v>
      </c>
      <c r="I341" s="508">
        <v>329940</v>
      </c>
      <c r="J341" s="508">
        <v>0</v>
      </c>
      <c r="K341" s="508">
        <v>0</v>
      </c>
      <c r="L341" s="508">
        <v>0</v>
      </c>
      <c r="M341" s="508">
        <v>0</v>
      </c>
      <c r="N341" s="508">
        <v>0</v>
      </c>
      <c r="O341" s="508">
        <v>0</v>
      </c>
      <c r="P341" s="1498">
        <f t="shared" si="35"/>
        <v>1330290</v>
      </c>
      <c r="Q341" s="697">
        <f t="shared" si="36"/>
        <v>1330290</v>
      </c>
      <c r="R341" s="1078" t="s">
        <v>251</v>
      </c>
      <c r="S341" s="1079" t="s">
        <v>251</v>
      </c>
      <c r="T341" s="1079"/>
      <c r="U341" s="1079"/>
      <c r="V341" s="1079"/>
      <c r="W341" s="1079"/>
      <c r="X341" s="1079"/>
      <c r="Y341" s="1079"/>
      <c r="Z341" s="1079"/>
      <c r="AA341" s="1079"/>
      <c r="AB341" s="1079"/>
      <c r="AC341" s="1079"/>
      <c r="AD341" s="1080">
        <f t="shared" si="28"/>
        <v>0</v>
      </c>
      <c r="AE341" s="611">
        <f t="shared" si="31"/>
        <v>-1</v>
      </c>
      <c r="AF341" s="612">
        <f t="shared" si="37"/>
        <v>394</v>
      </c>
    </row>
    <row r="342" spans="1:32" x14ac:dyDescent="0.3">
      <c r="A342" s="545" t="s">
        <v>688</v>
      </c>
      <c r="B342" s="679" t="s">
        <v>1840</v>
      </c>
      <c r="C342" s="507"/>
      <c r="D342" s="508"/>
      <c r="E342" s="508">
        <v>0</v>
      </c>
      <c r="F342" s="508">
        <v>0</v>
      </c>
      <c r="G342" s="508">
        <v>0</v>
      </c>
      <c r="H342" s="508">
        <v>626040</v>
      </c>
      <c r="I342" s="508">
        <v>1099440</v>
      </c>
      <c r="J342" s="508">
        <v>0</v>
      </c>
      <c r="K342" s="508">
        <v>0</v>
      </c>
      <c r="L342" s="508">
        <v>0</v>
      </c>
      <c r="M342" s="508">
        <v>0</v>
      </c>
      <c r="N342" s="508">
        <v>0</v>
      </c>
      <c r="O342" s="508">
        <v>0</v>
      </c>
      <c r="P342" s="1498">
        <f t="shared" si="35"/>
        <v>1725480</v>
      </c>
      <c r="Q342" s="697">
        <f t="shared" si="36"/>
        <v>1725480</v>
      </c>
      <c r="R342" s="1078">
        <v>294300</v>
      </c>
      <c r="S342" s="1079" t="s">
        <v>251</v>
      </c>
      <c r="T342" s="1079">
        <v>0</v>
      </c>
      <c r="U342" s="1079">
        <v>0</v>
      </c>
      <c r="V342" s="1079">
        <v>0</v>
      </c>
      <c r="W342" s="1079">
        <v>0</v>
      </c>
      <c r="X342" s="1079">
        <v>0</v>
      </c>
      <c r="Y342" s="1079">
        <v>0</v>
      </c>
      <c r="Z342" s="1079"/>
      <c r="AA342" s="1079"/>
      <c r="AB342" s="1079"/>
      <c r="AC342" s="1079"/>
      <c r="AD342" s="1080">
        <f t="shared" si="28"/>
        <v>294300</v>
      </c>
      <c r="AE342" s="611">
        <f t="shared" si="31"/>
        <v>-0.82943876486542878</v>
      </c>
      <c r="AF342" s="612">
        <f t="shared" si="37"/>
        <v>297</v>
      </c>
    </row>
    <row r="343" spans="1:32" x14ac:dyDescent="0.3">
      <c r="A343" s="545" t="s">
        <v>688</v>
      </c>
      <c r="B343" s="679" t="s">
        <v>656</v>
      </c>
      <c r="C343" s="507"/>
      <c r="D343" s="508"/>
      <c r="E343" s="508">
        <v>0</v>
      </c>
      <c r="F343" s="508">
        <v>0</v>
      </c>
      <c r="G343" s="508">
        <v>0</v>
      </c>
      <c r="H343" s="508">
        <v>0</v>
      </c>
      <c r="I343" s="508">
        <v>225000</v>
      </c>
      <c r="J343" s="508">
        <v>0</v>
      </c>
      <c r="K343" s="508">
        <v>0</v>
      </c>
      <c r="L343" s="508">
        <v>0</v>
      </c>
      <c r="M343" s="508">
        <v>0</v>
      </c>
      <c r="N343" s="508">
        <v>0</v>
      </c>
      <c r="O343" s="508">
        <v>0</v>
      </c>
      <c r="P343" s="1498">
        <f t="shared" si="35"/>
        <v>225000</v>
      </c>
      <c r="Q343" s="697">
        <f t="shared" si="36"/>
        <v>225000</v>
      </c>
      <c r="R343" s="1078" t="s">
        <v>251</v>
      </c>
      <c r="S343" s="1079" t="s">
        <v>251</v>
      </c>
      <c r="T343" s="1079"/>
      <c r="U343" s="1079"/>
      <c r="V343" s="1079"/>
      <c r="W343" s="1079"/>
      <c r="X343" s="1079"/>
      <c r="Y343" s="1079"/>
      <c r="Z343" s="1079"/>
      <c r="AA343" s="1079"/>
      <c r="AB343" s="1079"/>
      <c r="AC343" s="1079"/>
      <c r="AD343" s="1080">
        <f t="shared" si="28"/>
        <v>0</v>
      </c>
      <c r="AE343" s="611">
        <f t="shared" si="31"/>
        <v>-1</v>
      </c>
      <c r="AF343" s="612">
        <f t="shared" si="37"/>
        <v>394</v>
      </c>
    </row>
    <row r="344" spans="1:32" x14ac:dyDescent="0.3">
      <c r="A344" s="545" t="s">
        <v>688</v>
      </c>
      <c r="B344" s="679" t="s">
        <v>858</v>
      </c>
      <c r="C344" s="507"/>
      <c r="D344" s="508"/>
      <c r="E344" s="508">
        <v>0</v>
      </c>
      <c r="F344" s="508">
        <v>0</v>
      </c>
      <c r="G344" s="508">
        <v>0</v>
      </c>
      <c r="H344" s="508">
        <v>0</v>
      </c>
      <c r="I344" s="508">
        <v>94500</v>
      </c>
      <c r="J344" s="508">
        <v>0</v>
      </c>
      <c r="K344" s="508">
        <v>0</v>
      </c>
      <c r="L344" s="508">
        <v>0</v>
      </c>
      <c r="M344" s="508">
        <v>1614600</v>
      </c>
      <c r="N344" s="508">
        <v>0</v>
      </c>
      <c r="O344" s="508">
        <v>0</v>
      </c>
      <c r="P344" s="1498">
        <f t="shared" si="35"/>
        <v>94500</v>
      </c>
      <c r="Q344" s="697">
        <f t="shared" si="36"/>
        <v>1709100</v>
      </c>
      <c r="R344" s="1078" t="s">
        <v>251</v>
      </c>
      <c r="S344" s="1079" t="s">
        <v>251</v>
      </c>
      <c r="T344" s="1079"/>
      <c r="U344" s="1079"/>
      <c r="V344" s="1079"/>
      <c r="W344" s="1079"/>
      <c r="X344" s="1079"/>
      <c r="Y344" s="1079"/>
      <c r="Z344" s="1079"/>
      <c r="AA344" s="1079"/>
      <c r="AB344" s="1079"/>
      <c r="AC344" s="1079"/>
      <c r="AD344" s="1080">
        <f t="shared" si="28"/>
        <v>0</v>
      </c>
      <c r="AE344" s="611">
        <f t="shared" ref="AE344:AE412" si="38">IF(OR(AD344="", P344=""), 0, IFERROR((AD344-P344)/P344, IF(AD344&lt;&gt;0, 1, 0)))</f>
        <v>-1</v>
      </c>
      <c r="AF344" s="612">
        <f t="shared" si="37"/>
        <v>394</v>
      </c>
    </row>
    <row r="345" spans="1:32" x14ac:dyDescent="0.3">
      <c r="A345" s="545" t="s">
        <v>688</v>
      </c>
      <c r="B345" s="679" t="s">
        <v>637</v>
      </c>
      <c r="C345" s="507"/>
      <c r="D345" s="508"/>
      <c r="E345" s="508">
        <v>0</v>
      </c>
      <c r="F345" s="508">
        <v>0</v>
      </c>
      <c r="G345" s="508">
        <v>0</v>
      </c>
      <c r="H345" s="508">
        <v>0</v>
      </c>
      <c r="I345" s="508">
        <v>0</v>
      </c>
      <c r="J345" s="508">
        <v>130500</v>
      </c>
      <c r="K345" s="508">
        <v>130500</v>
      </c>
      <c r="L345" s="508">
        <v>0</v>
      </c>
      <c r="M345" s="508">
        <v>0</v>
      </c>
      <c r="N345" s="508">
        <v>0</v>
      </c>
      <c r="O345" s="508">
        <v>0</v>
      </c>
      <c r="P345" s="1498">
        <f t="shared" si="35"/>
        <v>130500</v>
      </c>
      <c r="Q345" s="697">
        <f t="shared" si="36"/>
        <v>130500</v>
      </c>
      <c r="R345" s="1078" t="s">
        <v>251</v>
      </c>
      <c r="S345" s="1079" t="s">
        <v>251</v>
      </c>
      <c r="T345" s="1079"/>
      <c r="U345" s="1079"/>
      <c r="V345" s="1079"/>
      <c r="W345" s="1079"/>
      <c r="X345" s="1079"/>
      <c r="Y345" s="1079"/>
      <c r="Z345" s="1079"/>
      <c r="AA345" s="1079"/>
      <c r="AB345" s="1079"/>
      <c r="AC345" s="1079"/>
      <c r="AD345" s="1080">
        <f t="shared" si="28"/>
        <v>0</v>
      </c>
      <c r="AE345" s="611">
        <f t="shared" si="38"/>
        <v>-1</v>
      </c>
      <c r="AF345" s="612">
        <f t="shared" si="37"/>
        <v>394</v>
      </c>
    </row>
    <row r="346" spans="1:32" x14ac:dyDescent="0.3">
      <c r="A346" s="545" t="s">
        <v>688</v>
      </c>
      <c r="B346" s="679" t="s">
        <v>740</v>
      </c>
      <c r="C346" s="507"/>
      <c r="D346" s="508"/>
      <c r="E346" s="508">
        <v>0</v>
      </c>
      <c r="F346" s="508">
        <v>0</v>
      </c>
      <c r="G346" s="508">
        <v>0</v>
      </c>
      <c r="H346" s="508">
        <v>0</v>
      </c>
      <c r="I346" s="508">
        <v>0</v>
      </c>
      <c r="J346" s="508">
        <v>0</v>
      </c>
      <c r="K346" s="508"/>
      <c r="L346" s="508">
        <v>3673800</v>
      </c>
      <c r="M346" s="508">
        <v>0</v>
      </c>
      <c r="N346" s="508">
        <v>0</v>
      </c>
      <c r="O346" s="508">
        <v>0</v>
      </c>
      <c r="P346" s="1498">
        <f t="shared" si="35"/>
        <v>0</v>
      </c>
      <c r="Q346" s="697">
        <f t="shared" si="36"/>
        <v>3673800</v>
      </c>
      <c r="R346" s="1078" t="s">
        <v>251</v>
      </c>
      <c r="S346" s="1079" t="s">
        <v>251</v>
      </c>
      <c r="T346" s="1079"/>
      <c r="U346" s="1079"/>
      <c r="V346" s="1079"/>
      <c r="W346" s="1079"/>
      <c r="X346" s="1079"/>
      <c r="Y346" s="1079"/>
      <c r="Z346" s="1079"/>
      <c r="AA346" s="1079"/>
      <c r="AB346" s="1079"/>
      <c r="AC346" s="1079"/>
      <c r="AD346" s="1080">
        <f t="shared" si="28"/>
        <v>0</v>
      </c>
      <c r="AE346" s="611">
        <f t="shared" si="38"/>
        <v>0</v>
      </c>
      <c r="AF346" s="612">
        <f t="shared" si="37"/>
        <v>394</v>
      </c>
    </row>
    <row r="347" spans="1:32" x14ac:dyDescent="0.3">
      <c r="A347" s="545" t="s">
        <v>688</v>
      </c>
      <c r="B347" s="679" t="s">
        <v>1903</v>
      </c>
      <c r="C347" s="507"/>
      <c r="D347" s="508"/>
      <c r="E347" s="508">
        <v>0</v>
      </c>
      <c r="F347" s="508">
        <v>0</v>
      </c>
      <c r="G347" s="508">
        <v>0</v>
      </c>
      <c r="H347" s="508">
        <v>0</v>
      </c>
      <c r="I347" s="508">
        <v>0</v>
      </c>
      <c r="J347" s="508">
        <v>0</v>
      </c>
      <c r="K347" s="508"/>
      <c r="L347" s="508">
        <v>483480</v>
      </c>
      <c r="M347" s="508">
        <v>3119400</v>
      </c>
      <c r="N347" s="508">
        <v>1005840</v>
      </c>
      <c r="O347" s="508">
        <v>2237040</v>
      </c>
      <c r="P347" s="1498">
        <f t="shared" si="35"/>
        <v>0</v>
      </c>
      <c r="Q347" s="697">
        <f t="shared" si="36"/>
        <v>6845760</v>
      </c>
      <c r="R347" s="1078">
        <v>244800</v>
      </c>
      <c r="S347" s="1079" t="s">
        <v>251</v>
      </c>
      <c r="T347" s="1079">
        <v>549900</v>
      </c>
      <c r="U347" s="1079">
        <v>1989930</v>
      </c>
      <c r="V347" s="1079">
        <v>395640</v>
      </c>
      <c r="W347" s="1079">
        <v>0</v>
      </c>
      <c r="X347" s="1079">
        <v>0</v>
      </c>
      <c r="Y347" s="1079">
        <v>0</v>
      </c>
      <c r="Z347" s="1079"/>
      <c r="AA347" s="1079"/>
      <c r="AB347" s="1079"/>
      <c r="AC347" s="1079"/>
      <c r="AD347" s="1080">
        <f t="shared" si="28"/>
        <v>3180270</v>
      </c>
      <c r="AE347" s="611">
        <f t="shared" si="38"/>
        <v>1</v>
      </c>
      <c r="AF347" s="612">
        <f t="shared" si="37"/>
        <v>117</v>
      </c>
    </row>
    <row r="348" spans="1:32" x14ac:dyDescent="0.3">
      <c r="A348" s="545" t="s">
        <v>688</v>
      </c>
      <c r="B348" s="679" t="s">
        <v>1904</v>
      </c>
      <c r="C348" s="507"/>
      <c r="D348" s="508"/>
      <c r="E348" s="508">
        <v>0</v>
      </c>
      <c r="F348" s="508">
        <v>0</v>
      </c>
      <c r="G348" s="508">
        <v>0</v>
      </c>
      <c r="H348" s="508">
        <v>0</v>
      </c>
      <c r="I348" s="508">
        <v>0</v>
      </c>
      <c r="J348" s="508">
        <v>0</v>
      </c>
      <c r="K348" s="508"/>
      <c r="L348" s="508">
        <v>327600</v>
      </c>
      <c r="M348" s="508">
        <v>2227680</v>
      </c>
      <c r="N348" s="508">
        <v>0</v>
      </c>
      <c r="O348" s="508">
        <v>0</v>
      </c>
      <c r="P348" s="1498">
        <f t="shared" si="35"/>
        <v>0</v>
      </c>
      <c r="Q348" s="697">
        <f t="shared" si="36"/>
        <v>2555280</v>
      </c>
      <c r="R348" s="1078" t="s">
        <v>251</v>
      </c>
      <c r="S348" s="1079" t="s">
        <v>251</v>
      </c>
      <c r="T348" s="1079"/>
      <c r="U348" s="1079"/>
      <c r="V348" s="1079"/>
      <c r="W348" s="1079"/>
      <c r="X348" s="1079"/>
      <c r="Y348" s="1079"/>
      <c r="Z348" s="1079"/>
      <c r="AA348" s="1079"/>
      <c r="AB348" s="1079"/>
      <c r="AC348" s="1079"/>
      <c r="AD348" s="1080">
        <f t="shared" si="28"/>
        <v>0</v>
      </c>
      <c r="AE348" s="611">
        <f t="shared" si="38"/>
        <v>0</v>
      </c>
      <c r="AF348" s="612">
        <f t="shared" si="37"/>
        <v>394</v>
      </c>
    </row>
    <row r="349" spans="1:32" x14ac:dyDescent="0.3">
      <c r="A349" s="545" t="s">
        <v>688</v>
      </c>
      <c r="B349" s="679" t="s">
        <v>1915</v>
      </c>
      <c r="C349" s="507"/>
      <c r="D349" s="508"/>
      <c r="E349" s="508">
        <v>0</v>
      </c>
      <c r="F349" s="508">
        <v>0</v>
      </c>
      <c r="G349" s="508">
        <v>0</v>
      </c>
      <c r="H349" s="508">
        <v>0</v>
      </c>
      <c r="I349" s="508">
        <v>0</v>
      </c>
      <c r="J349" s="508">
        <v>0</v>
      </c>
      <c r="K349" s="508"/>
      <c r="L349" s="508">
        <v>0</v>
      </c>
      <c r="M349" s="508">
        <v>1401120</v>
      </c>
      <c r="N349" s="508">
        <v>0</v>
      </c>
      <c r="O349" s="508">
        <v>253620</v>
      </c>
      <c r="P349" s="1498">
        <f t="shared" si="35"/>
        <v>0</v>
      </c>
      <c r="Q349" s="697">
        <f t="shared" si="36"/>
        <v>1654740</v>
      </c>
      <c r="R349" s="1078" t="s">
        <v>251</v>
      </c>
      <c r="S349" s="1079" t="s">
        <v>251</v>
      </c>
      <c r="T349" s="1079">
        <v>47770</v>
      </c>
      <c r="U349" s="1079"/>
      <c r="V349" s="1079"/>
      <c r="W349" s="1079"/>
      <c r="X349" s="1079"/>
      <c r="Y349" s="1079"/>
      <c r="Z349" s="1079"/>
      <c r="AA349" s="1079"/>
      <c r="AB349" s="1079"/>
      <c r="AC349" s="1079"/>
      <c r="AD349" s="1080">
        <f t="shared" si="28"/>
        <v>47770</v>
      </c>
      <c r="AE349" s="611">
        <f t="shared" si="38"/>
        <v>1</v>
      </c>
      <c r="AF349" s="612">
        <f t="shared" si="37"/>
        <v>366</v>
      </c>
    </row>
    <row r="350" spans="1:32" x14ac:dyDescent="0.3">
      <c r="A350" s="545" t="s">
        <v>688</v>
      </c>
      <c r="B350" s="679" t="s">
        <v>1792</v>
      </c>
      <c r="C350" s="507"/>
      <c r="D350" s="508"/>
      <c r="E350" s="508">
        <v>0</v>
      </c>
      <c r="F350" s="508">
        <v>0</v>
      </c>
      <c r="G350" s="508">
        <v>0</v>
      </c>
      <c r="H350" s="508" t="s">
        <v>251</v>
      </c>
      <c r="I350" s="508">
        <v>0</v>
      </c>
      <c r="J350" s="508" t="s">
        <v>251</v>
      </c>
      <c r="K350" s="508"/>
      <c r="L350" s="508" t="s">
        <v>251</v>
      </c>
      <c r="M350" s="508">
        <v>10034100</v>
      </c>
      <c r="N350" s="508">
        <v>1824300</v>
      </c>
      <c r="O350" s="508">
        <v>78120</v>
      </c>
      <c r="P350" s="1498">
        <f t="shared" si="35"/>
        <v>0</v>
      </c>
      <c r="Q350" s="697">
        <f t="shared" si="36"/>
        <v>11936520</v>
      </c>
      <c r="R350" s="1078" t="s">
        <v>251</v>
      </c>
      <c r="S350" s="1079" t="s">
        <v>251</v>
      </c>
      <c r="T350" s="1079"/>
      <c r="U350" s="1079"/>
      <c r="V350" s="1079"/>
      <c r="W350" s="1079"/>
      <c r="X350" s="1079"/>
      <c r="Y350" s="1079"/>
      <c r="Z350" s="1079"/>
      <c r="AA350" s="1079"/>
      <c r="AB350" s="1079"/>
      <c r="AC350" s="1079"/>
      <c r="AD350" s="1080">
        <f t="shared" si="28"/>
        <v>0</v>
      </c>
      <c r="AE350" s="611">
        <f t="shared" si="38"/>
        <v>0</v>
      </c>
      <c r="AF350" s="612">
        <f t="shared" si="37"/>
        <v>394</v>
      </c>
    </row>
    <row r="351" spans="1:32" x14ac:dyDescent="0.3">
      <c r="A351" s="545" t="s">
        <v>688</v>
      </c>
      <c r="B351" s="679" t="s">
        <v>643</v>
      </c>
      <c r="C351" s="507"/>
      <c r="D351" s="508"/>
      <c r="E351" s="508">
        <v>0</v>
      </c>
      <c r="F351" s="508">
        <v>0</v>
      </c>
      <c r="G351" s="508">
        <v>0</v>
      </c>
      <c r="H351" s="508">
        <v>0</v>
      </c>
      <c r="I351" s="508">
        <v>0</v>
      </c>
      <c r="J351" s="508">
        <v>0</v>
      </c>
      <c r="K351" s="508"/>
      <c r="L351" s="508">
        <v>0</v>
      </c>
      <c r="M351" s="508">
        <v>1558260</v>
      </c>
      <c r="N351" s="508">
        <v>1854000</v>
      </c>
      <c r="O351" s="508">
        <v>998640</v>
      </c>
      <c r="P351" s="1498">
        <f t="shared" si="35"/>
        <v>0</v>
      </c>
      <c r="Q351" s="697">
        <f t="shared" si="36"/>
        <v>4410900</v>
      </c>
      <c r="R351" s="1078" t="s">
        <v>251</v>
      </c>
      <c r="S351" s="1079" t="s">
        <v>251</v>
      </c>
      <c r="T351" s="1079"/>
      <c r="U351" s="1079"/>
      <c r="V351" s="1079">
        <v>4169000</v>
      </c>
      <c r="W351" s="1079">
        <v>4810150</v>
      </c>
      <c r="X351" s="1079">
        <v>0</v>
      </c>
      <c r="Y351" s="1079">
        <v>1375340</v>
      </c>
      <c r="Z351" s="1079"/>
      <c r="AA351" s="1079"/>
      <c r="AB351" s="1079"/>
      <c r="AC351" s="1079"/>
      <c r="AD351" s="1080">
        <f t="shared" si="28"/>
        <v>10354490</v>
      </c>
      <c r="AE351" s="611">
        <f t="shared" si="38"/>
        <v>1</v>
      </c>
      <c r="AF351" s="612">
        <f t="shared" si="37"/>
        <v>45</v>
      </c>
    </row>
    <row r="352" spans="1:32" x14ac:dyDescent="0.3">
      <c r="A352" s="545" t="s">
        <v>688</v>
      </c>
      <c r="B352" s="679" t="s">
        <v>1932</v>
      </c>
      <c r="C352" s="507"/>
      <c r="D352" s="508"/>
      <c r="E352" s="508">
        <v>0</v>
      </c>
      <c r="F352" s="508">
        <v>0</v>
      </c>
      <c r="G352" s="508">
        <v>0</v>
      </c>
      <c r="H352" s="508">
        <v>0</v>
      </c>
      <c r="I352" s="508">
        <v>0</v>
      </c>
      <c r="J352" s="508">
        <v>0</v>
      </c>
      <c r="K352" s="508"/>
      <c r="L352" s="508">
        <v>0</v>
      </c>
      <c r="M352" s="508">
        <v>0</v>
      </c>
      <c r="N352" s="508">
        <v>1615860</v>
      </c>
      <c r="O352" s="508">
        <v>945360</v>
      </c>
      <c r="P352" s="1498">
        <f t="shared" si="35"/>
        <v>0</v>
      </c>
      <c r="Q352" s="697">
        <f t="shared" si="36"/>
        <v>2561220</v>
      </c>
      <c r="R352" s="1078" t="s">
        <v>251</v>
      </c>
      <c r="S352" s="1079" t="s">
        <v>251</v>
      </c>
      <c r="T352" s="1079"/>
      <c r="U352" s="1079"/>
      <c r="V352" s="1079"/>
      <c r="W352" s="1079"/>
      <c r="X352" s="1079"/>
      <c r="Y352" s="1079"/>
      <c r="Z352" s="1079"/>
      <c r="AA352" s="1079"/>
      <c r="AB352" s="1079"/>
      <c r="AC352" s="1079"/>
      <c r="AD352" s="1080">
        <f t="shared" si="28"/>
        <v>0</v>
      </c>
      <c r="AE352" s="611">
        <f t="shared" si="38"/>
        <v>0</v>
      </c>
      <c r="AF352" s="612">
        <f t="shared" si="37"/>
        <v>394</v>
      </c>
    </row>
    <row r="353" spans="1:32" x14ac:dyDescent="0.3">
      <c r="A353" s="545" t="s">
        <v>688</v>
      </c>
      <c r="B353" s="679" t="s">
        <v>1933</v>
      </c>
      <c r="C353" s="507"/>
      <c r="D353" s="508"/>
      <c r="E353" s="508">
        <v>0</v>
      </c>
      <c r="F353" s="508">
        <v>0</v>
      </c>
      <c r="G353" s="508">
        <v>0</v>
      </c>
      <c r="H353" s="508">
        <v>0</v>
      </c>
      <c r="I353" s="508">
        <v>0</v>
      </c>
      <c r="J353" s="508">
        <v>0</v>
      </c>
      <c r="K353" s="508"/>
      <c r="L353" s="508">
        <v>0</v>
      </c>
      <c r="M353" s="508">
        <v>0</v>
      </c>
      <c r="N353" s="508">
        <v>25200</v>
      </c>
      <c r="O353" s="508">
        <v>31500</v>
      </c>
      <c r="P353" s="1498">
        <f t="shared" si="35"/>
        <v>0</v>
      </c>
      <c r="Q353" s="697">
        <f>SUM(C353:J353,L353:O353)</f>
        <v>56700</v>
      </c>
      <c r="R353" s="1078">
        <v>859320</v>
      </c>
      <c r="S353" s="1079" t="s">
        <v>251</v>
      </c>
      <c r="T353" s="1079">
        <v>0</v>
      </c>
      <c r="U353" s="1079">
        <v>0</v>
      </c>
      <c r="V353" s="1079">
        <v>0</v>
      </c>
      <c r="W353" s="1079">
        <v>0</v>
      </c>
      <c r="X353" s="1079">
        <v>0</v>
      </c>
      <c r="Y353" s="1079">
        <v>0</v>
      </c>
      <c r="Z353" s="1079"/>
      <c r="AA353" s="1079"/>
      <c r="AB353" s="1079"/>
      <c r="AC353" s="1079"/>
      <c r="AD353" s="1080">
        <f t="shared" si="28"/>
        <v>859320</v>
      </c>
      <c r="AE353" s="611">
        <f t="shared" si="38"/>
        <v>1</v>
      </c>
      <c r="AF353" s="612">
        <f t="shared" si="37"/>
        <v>211</v>
      </c>
    </row>
    <row r="354" spans="1:32" x14ac:dyDescent="0.3">
      <c r="A354" s="545" t="s">
        <v>688</v>
      </c>
      <c r="B354" s="679" t="s">
        <v>1963</v>
      </c>
      <c r="C354" s="507"/>
      <c r="D354" s="508"/>
      <c r="E354" s="508">
        <v>0</v>
      </c>
      <c r="F354" s="508">
        <v>0</v>
      </c>
      <c r="G354" s="508">
        <v>0</v>
      </c>
      <c r="H354" s="508">
        <v>0</v>
      </c>
      <c r="I354" s="508">
        <v>0</v>
      </c>
      <c r="J354" s="508">
        <v>0</v>
      </c>
      <c r="K354" s="508"/>
      <c r="L354" s="508">
        <v>0</v>
      </c>
      <c r="M354" s="508">
        <v>0</v>
      </c>
      <c r="N354" s="508">
        <v>0</v>
      </c>
      <c r="O354" s="508">
        <v>680400</v>
      </c>
      <c r="P354" s="1498">
        <f t="shared" si="35"/>
        <v>0</v>
      </c>
      <c r="Q354" s="697">
        <f t="shared" ref="Q354:Q417" si="39">SUM(C354:J354,L354:O354)</f>
        <v>680400</v>
      </c>
      <c r="R354" s="1078" t="s">
        <v>251</v>
      </c>
      <c r="S354" s="1079" t="s">
        <v>251</v>
      </c>
      <c r="T354" s="1079"/>
      <c r="U354" s="1079"/>
      <c r="V354" s="1079"/>
      <c r="W354" s="1079"/>
      <c r="X354" s="1079"/>
      <c r="Y354" s="1079"/>
      <c r="Z354" s="1079"/>
      <c r="AA354" s="1079"/>
      <c r="AB354" s="1079"/>
      <c r="AC354" s="1079"/>
      <c r="AD354" s="1080">
        <f t="shared" si="28"/>
        <v>0</v>
      </c>
      <c r="AE354" s="611">
        <f t="shared" si="38"/>
        <v>0</v>
      </c>
      <c r="AF354" s="612">
        <f>IFERROR(_xlfn.RANK.EQ(AD354, $AD$2:$AD$677), "")</f>
        <v>394</v>
      </c>
    </row>
    <row r="355" spans="1:32" x14ac:dyDescent="0.3">
      <c r="A355" s="545" t="s">
        <v>688</v>
      </c>
      <c r="B355" s="679" t="s">
        <v>626</v>
      </c>
      <c r="C355" s="507"/>
      <c r="D355" s="508"/>
      <c r="E355" s="508"/>
      <c r="F355" s="508"/>
      <c r="G355" s="508"/>
      <c r="H355" s="508">
        <v>0</v>
      </c>
      <c r="I355" s="508"/>
      <c r="J355" s="508">
        <v>0</v>
      </c>
      <c r="K355" s="508"/>
      <c r="L355" s="508">
        <v>0</v>
      </c>
      <c r="M355" s="508">
        <v>0</v>
      </c>
      <c r="N355" s="508">
        <v>0</v>
      </c>
      <c r="O355" s="508">
        <v>704790</v>
      </c>
      <c r="P355" s="1498">
        <f t="shared" si="35"/>
        <v>0</v>
      </c>
      <c r="Q355" s="697">
        <f t="shared" si="39"/>
        <v>704790</v>
      </c>
      <c r="R355" s="1078">
        <v>3667140</v>
      </c>
      <c r="S355" s="1079">
        <v>460200</v>
      </c>
      <c r="T355" s="1079">
        <v>0</v>
      </c>
      <c r="U355" s="1079">
        <v>0</v>
      </c>
      <c r="V355" s="1079">
        <v>0</v>
      </c>
      <c r="W355" s="1079">
        <v>0</v>
      </c>
      <c r="X355" s="1079">
        <v>0</v>
      </c>
      <c r="Y355" s="1079">
        <v>0</v>
      </c>
      <c r="Z355" s="1079"/>
      <c r="AA355" s="1079"/>
      <c r="AB355" s="1079"/>
      <c r="AC355" s="1079"/>
      <c r="AD355" s="1080">
        <f t="shared" si="28"/>
        <v>4127340</v>
      </c>
      <c r="AE355" s="611">
        <f t="shared" si="38"/>
        <v>1</v>
      </c>
      <c r="AF355" s="612">
        <f t="shared" ref="AF355:AF418" si="40">IFERROR(_xlfn.RANK.EQ(AD355, $AD$2:$AD$677), "")</f>
        <v>94</v>
      </c>
    </row>
    <row r="356" spans="1:32" x14ac:dyDescent="0.3">
      <c r="A356" s="545" t="s">
        <v>688</v>
      </c>
      <c r="B356" s="679" t="s">
        <v>2109</v>
      </c>
      <c r="C356" s="507"/>
      <c r="D356" s="508"/>
      <c r="E356" s="508"/>
      <c r="F356" s="508"/>
      <c r="G356" s="508"/>
      <c r="H356" s="508">
        <v>0</v>
      </c>
      <c r="I356" s="508"/>
      <c r="J356" s="508">
        <v>0</v>
      </c>
      <c r="K356" s="508"/>
      <c r="L356" s="508">
        <v>0</v>
      </c>
      <c r="M356" s="508">
        <v>0</v>
      </c>
      <c r="N356" s="508">
        <v>0</v>
      </c>
      <c r="O356" s="508">
        <v>331650</v>
      </c>
      <c r="P356" s="1498">
        <f t="shared" si="35"/>
        <v>0</v>
      </c>
      <c r="Q356" s="697">
        <f t="shared" si="39"/>
        <v>331650</v>
      </c>
      <c r="R356" s="1078">
        <v>765000</v>
      </c>
      <c r="S356" s="1079" t="s">
        <v>251</v>
      </c>
      <c r="T356" s="1079">
        <v>0</v>
      </c>
      <c r="U356" s="1079">
        <v>0</v>
      </c>
      <c r="V356" s="1079">
        <v>0</v>
      </c>
      <c r="W356" s="1079">
        <v>0</v>
      </c>
      <c r="X356" s="1079">
        <v>0</v>
      </c>
      <c r="Y356" s="1079">
        <v>0</v>
      </c>
      <c r="Z356" s="1079"/>
      <c r="AA356" s="1079"/>
      <c r="AB356" s="1079"/>
      <c r="AC356" s="1079"/>
      <c r="AD356" s="1080">
        <f t="shared" si="28"/>
        <v>765000</v>
      </c>
      <c r="AE356" s="611">
        <f t="shared" si="38"/>
        <v>1</v>
      </c>
      <c r="AF356" s="612">
        <f t="shared" si="40"/>
        <v>221</v>
      </c>
    </row>
    <row r="357" spans="1:32" x14ac:dyDescent="0.3">
      <c r="A357" s="545" t="s">
        <v>688</v>
      </c>
      <c r="B357" s="679" t="s">
        <v>2493</v>
      </c>
      <c r="C357" s="507"/>
      <c r="D357" s="508"/>
      <c r="E357" s="508"/>
      <c r="F357" s="508"/>
      <c r="G357" s="508"/>
      <c r="H357" s="508"/>
      <c r="I357" s="508"/>
      <c r="J357" s="508"/>
      <c r="K357" s="508"/>
      <c r="L357" s="508"/>
      <c r="M357" s="508"/>
      <c r="N357" s="508"/>
      <c r="O357" s="508"/>
      <c r="P357" s="1498">
        <f t="shared" si="35"/>
        <v>0</v>
      </c>
      <c r="Q357" s="697">
        <f t="shared" si="39"/>
        <v>0</v>
      </c>
      <c r="R357" s="1078" t="s">
        <v>251</v>
      </c>
      <c r="S357" s="1079" t="s">
        <v>251</v>
      </c>
      <c r="T357" s="1079"/>
      <c r="U357" s="1079"/>
      <c r="V357" s="1079"/>
      <c r="W357" s="1079"/>
      <c r="X357" s="1079"/>
      <c r="Y357" s="1079"/>
      <c r="Z357" s="1079"/>
      <c r="AA357" s="1079"/>
      <c r="AB357" s="1079"/>
      <c r="AC357" s="1079"/>
      <c r="AD357" s="1080">
        <f t="shared" si="28"/>
        <v>0</v>
      </c>
      <c r="AE357" s="611">
        <f t="shared" si="38"/>
        <v>0</v>
      </c>
      <c r="AF357" s="612">
        <f t="shared" si="40"/>
        <v>394</v>
      </c>
    </row>
    <row r="358" spans="1:32" x14ac:dyDescent="0.3">
      <c r="A358" s="545" t="s">
        <v>688</v>
      </c>
      <c r="B358" s="679" t="s">
        <v>2494</v>
      </c>
      <c r="C358" s="507"/>
      <c r="D358" s="508"/>
      <c r="E358" s="508"/>
      <c r="F358" s="508"/>
      <c r="G358" s="508"/>
      <c r="H358" s="508"/>
      <c r="I358" s="508"/>
      <c r="J358" s="508"/>
      <c r="K358" s="508"/>
      <c r="L358" s="508"/>
      <c r="M358" s="508"/>
      <c r="N358" s="508"/>
      <c r="O358" s="508"/>
      <c r="P358" s="1498">
        <f t="shared" si="35"/>
        <v>0</v>
      </c>
      <c r="Q358" s="697">
        <f t="shared" si="39"/>
        <v>0</v>
      </c>
      <c r="R358" s="1078">
        <v>18000</v>
      </c>
      <c r="S358" s="1079" t="s">
        <v>251</v>
      </c>
      <c r="T358" s="1079">
        <v>0</v>
      </c>
      <c r="U358" s="1079">
        <v>0</v>
      </c>
      <c r="V358" s="1079">
        <v>0</v>
      </c>
      <c r="W358" s="1079">
        <v>0</v>
      </c>
      <c r="X358" s="1079">
        <v>0</v>
      </c>
      <c r="Y358" s="1079">
        <v>0</v>
      </c>
      <c r="Z358" s="1079"/>
      <c r="AA358" s="1079"/>
      <c r="AB358" s="1079"/>
      <c r="AC358" s="1079"/>
      <c r="AD358" s="1080">
        <f t="shared" si="28"/>
        <v>18000</v>
      </c>
      <c r="AE358" s="611">
        <f t="shared" si="38"/>
        <v>1</v>
      </c>
      <c r="AF358" s="612">
        <f t="shared" si="40"/>
        <v>384</v>
      </c>
    </row>
    <row r="359" spans="1:32" x14ac:dyDescent="0.3">
      <c r="A359" s="545" t="s">
        <v>688</v>
      </c>
      <c r="B359" s="679" t="s">
        <v>2679</v>
      </c>
      <c r="C359" s="507"/>
      <c r="D359" s="508"/>
      <c r="E359" s="508"/>
      <c r="F359" s="508"/>
      <c r="G359" s="508"/>
      <c r="H359" s="508"/>
      <c r="I359" s="508"/>
      <c r="J359" s="508"/>
      <c r="K359" s="508"/>
      <c r="L359" s="508"/>
      <c r="M359" s="508"/>
      <c r="N359" s="508"/>
      <c r="O359" s="508"/>
      <c r="P359" s="1498">
        <f t="shared" si="35"/>
        <v>0</v>
      </c>
      <c r="Q359" s="697">
        <f t="shared" si="39"/>
        <v>0</v>
      </c>
      <c r="R359" s="1078"/>
      <c r="S359" s="1079"/>
      <c r="T359" s="1079"/>
      <c r="U359" s="1079">
        <v>0</v>
      </c>
      <c r="V359" s="1079">
        <v>1559000</v>
      </c>
      <c r="W359" s="1079">
        <v>1258510</v>
      </c>
      <c r="X359" s="1079">
        <v>0</v>
      </c>
      <c r="Y359" s="1079">
        <v>0</v>
      </c>
      <c r="Z359" s="1079"/>
      <c r="AA359" s="1079"/>
      <c r="AB359" s="1079"/>
      <c r="AC359" s="1079"/>
      <c r="AD359" s="1080">
        <f t="shared" si="28"/>
        <v>2817510</v>
      </c>
      <c r="AE359" s="611">
        <f t="shared" si="38"/>
        <v>1</v>
      </c>
      <c r="AF359" s="612">
        <f t="shared" si="40"/>
        <v>122</v>
      </c>
    </row>
    <row r="360" spans="1:32" x14ac:dyDescent="0.3">
      <c r="A360" s="545" t="s">
        <v>688</v>
      </c>
      <c r="B360" s="679" t="s">
        <v>2686</v>
      </c>
      <c r="C360" s="507"/>
      <c r="D360" s="508"/>
      <c r="E360" s="508"/>
      <c r="F360" s="508"/>
      <c r="G360" s="508"/>
      <c r="H360" s="508"/>
      <c r="I360" s="508"/>
      <c r="J360" s="508"/>
      <c r="K360" s="508"/>
      <c r="L360" s="508"/>
      <c r="M360" s="508"/>
      <c r="N360" s="508"/>
      <c r="O360" s="508"/>
      <c r="P360" s="1498">
        <f t="shared" si="35"/>
        <v>0</v>
      </c>
      <c r="Q360" s="697">
        <f t="shared" si="39"/>
        <v>0</v>
      </c>
      <c r="R360" s="1078"/>
      <c r="S360" s="1079"/>
      <c r="T360" s="1079"/>
      <c r="U360" s="1079">
        <v>68250</v>
      </c>
      <c r="V360" s="1079">
        <v>0</v>
      </c>
      <c r="W360" s="1079">
        <v>0</v>
      </c>
      <c r="X360" s="1079">
        <v>0</v>
      </c>
      <c r="Y360" s="1079">
        <v>0</v>
      </c>
      <c r="Z360" s="1079"/>
      <c r="AA360" s="1079"/>
      <c r="AB360" s="1079"/>
      <c r="AC360" s="1079"/>
      <c r="AD360" s="1080">
        <f t="shared" si="28"/>
        <v>68250</v>
      </c>
      <c r="AE360" s="611">
        <f t="shared" si="38"/>
        <v>1</v>
      </c>
      <c r="AF360" s="612">
        <f t="shared" si="40"/>
        <v>357</v>
      </c>
    </row>
    <row r="361" spans="1:32" x14ac:dyDescent="0.3">
      <c r="A361" s="545" t="s">
        <v>688</v>
      </c>
      <c r="B361" s="679" t="s">
        <v>2739</v>
      </c>
      <c r="C361" s="507"/>
      <c r="D361" s="508"/>
      <c r="E361" s="508"/>
      <c r="F361" s="508"/>
      <c r="G361" s="508"/>
      <c r="H361" s="508"/>
      <c r="I361" s="508"/>
      <c r="J361" s="508"/>
      <c r="K361" s="508"/>
      <c r="L361" s="508"/>
      <c r="M361" s="508"/>
      <c r="N361" s="508"/>
      <c r="O361" s="508"/>
      <c r="P361" s="1498">
        <f t="shared" si="35"/>
        <v>0</v>
      </c>
      <c r="Q361" s="697">
        <f t="shared" si="39"/>
        <v>0</v>
      </c>
      <c r="R361" s="1078"/>
      <c r="S361" s="1079"/>
      <c r="T361" s="1079"/>
      <c r="U361" s="1079">
        <v>109200</v>
      </c>
      <c r="V361" s="1079">
        <v>160380</v>
      </c>
      <c r="W361" s="1079">
        <v>160380</v>
      </c>
      <c r="X361" s="1079">
        <v>0</v>
      </c>
      <c r="Y361" s="1079">
        <v>0</v>
      </c>
      <c r="Z361" s="1079"/>
      <c r="AA361" s="1079"/>
      <c r="AB361" s="1079"/>
      <c r="AC361" s="1079"/>
      <c r="AD361" s="1080">
        <f t="shared" si="28"/>
        <v>429960</v>
      </c>
      <c r="AE361" s="611">
        <f t="shared" si="38"/>
        <v>1</v>
      </c>
      <c r="AF361" s="612">
        <f t="shared" si="40"/>
        <v>271</v>
      </c>
    </row>
    <row r="362" spans="1:32" x14ac:dyDescent="0.3">
      <c r="A362" s="545" t="s">
        <v>688</v>
      </c>
      <c r="B362" s="679" t="s">
        <v>646</v>
      </c>
      <c r="C362" s="507"/>
      <c r="D362" s="508"/>
      <c r="E362" s="508"/>
      <c r="F362" s="508"/>
      <c r="G362" s="508"/>
      <c r="H362" s="508"/>
      <c r="I362" s="508"/>
      <c r="J362" s="508"/>
      <c r="K362" s="508"/>
      <c r="L362" s="508"/>
      <c r="M362" s="508"/>
      <c r="N362" s="508"/>
      <c r="O362" s="508"/>
      <c r="P362" s="1498">
        <f t="shared" si="35"/>
        <v>0</v>
      </c>
      <c r="Q362" s="697">
        <f t="shared" si="39"/>
        <v>0</v>
      </c>
      <c r="R362" s="1078"/>
      <c r="S362" s="1079"/>
      <c r="T362" s="1079"/>
      <c r="U362" s="1079"/>
      <c r="V362" s="1079">
        <v>1825590</v>
      </c>
      <c r="W362" s="1079">
        <v>792090</v>
      </c>
      <c r="X362" s="1079">
        <v>143310</v>
      </c>
      <c r="Y362" s="1079">
        <v>429690</v>
      </c>
      <c r="Z362" s="1079"/>
      <c r="AA362" s="1079"/>
      <c r="AB362" s="1079"/>
      <c r="AC362" s="1079"/>
      <c r="AD362" s="1080">
        <f t="shared" si="28"/>
        <v>3190680</v>
      </c>
      <c r="AE362" s="611">
        <f t="shared" si="38"/>
        <v>1</v>
      </c>
      <c r="AF362" s="612">
        <f t="shared" si="40"/>
        <v>116</v>
      </c>
    </row>
    <row r="363" spans="1:32" x14ac:dyDescent="0.3">
      <c r="A363" s="545" t="s">
        <v>688</v>
      </c>
      <c r="B363" s="679" t="s">
        <v>2859</v>
      </c>
      <c r="C363" s="507"/>
      <c r="D363" s="508"/>
      <c r="E363" s="508"/>
      <c r="F363" s="508"/>
      <c r="G363" s="508"/>
      <c r="H363" s="508"/>
      <c r="I363" s="508"/>
      <c r="J363" s="508"/>
      <c r="K363" s="508"/>
      <c r="L363" s="508"/>
      <c r="M363" s="508"/>
      <c r="N363" s="508"/>
      <c r="O363" s="508"/>
      <c r="P363" s="1498">
        <f t="shared" si="35"/>
        <v>0</v>
      </c>
      <c r="Q363" s="697">
        <f t="shared" si="39"/>
        <v>0</v>
      </c>
      <c r="R363" s="1078"/>
      <c r="S363" s="1079"/>
      <c r="T363" s="1079"/>
      <c r="U363" s="1079"/>
      <c r="V363" s="1079"/>
      <c r="W363" s="1079">
        <v>1558020</v>
      </c>
      <c r="X363" s="1079">
        <v>345140</v>
      </c>
      <c r="Y363" s="1079">
        <v>0</v>
      </c>
      <c r="Z363" s="1079"/>
      <c r="AA363" s="1079"/>
      <c r="AB363" s="1079"/>
      <c r="AC363" s="1079"/>
      <c r="AD363" s="1080">
        <f t="shared" si="28"/>
        <v>1903160</v>
      </c>
      <c r="AE363" s="611">
        <f t="shared" si="38"/>
        <v>1</v>
      </c>
      <c r="AF363" s="612">
        <f t="shared" si="40"/>
        <v>152</v>
      </c>
    </row>
    <row r="364" spans="1:32" x14ac:dyDescent="0.3">
      <c r="A364" s="545" t="s">
        <v>688</v>
      </c>
      <c r="B364" s="679" t="s">
        <v>2860</v>
      </c>
      <c r="C364" s="507"/>
      <c r="D364" s="508"/>
      <c r="E364" s="508"/>
      <c r="F364" s="508"/>
      <c r="G364" s="508"/>
      <c r="H364" s="508"/>
      <c r="I364" s="508"/>
      <c r="J364" s="508"/>
      <c r="K364" s="508"/>
      <c r="L364" s="508"/>
      <c r="M364" s="508"/>
      <c r="N364" s="508"/>
      <c r="O364" s="508"/>
      <c r="P364" s="1498">
        <f t="shared" si="35"/>
        <v>0</v>
      </c>
      <c r="Q364" s="697">
        <f t="shared" si="39"/>
        <v>0</v>
      </c>
      <c r="R364" s="1078"/>
      <c r="S364" s="1079"/>
      <c r="T364" s="1079"/>
      <c r="U364" s="1079"/>
      <c r="V364" s="1079"/>
      <c r="W364" s="1079">
        <v>27300</v>
      </c>
      <c r="X364" s="1079">
        <v>0</v>
      </c>
      <c r="Y364" s="1079">
        <v>0</v>
      </c>
      <c r="Z364" s="1079"/>
      <c r="AA364" s="1079"/>
      <c r="AB364" s="1079"/>
      <c r="AC364" s="1079"/>
      <c r="AD364" s="1080">
        <f t="shared" si="28"/>
        <v>27300</v>
      </c>
      <c r="AE364" s="611">
        <f t="shared" si="38"/>
        <v>1</v>
      </c>
      <c r="AF364" s="612">
        <f t="shared" si="40"/>
        <v>379</v>
      </c>
    </row>
    <row r="365" spans="1:32" x14ac:dyDescent="0.3">
      <c r="A365" s="545" t="s">
        <v>688</v>
      </c>
      <c r="B365" s="679" t="s">
        <v>642</v>
      </c>
      <c r="C365" s="507"/>
      <c r="D365" s="508"/>
      <c r="E365" s="508"/>
      <c r="F365" s="508"/>
      <c r="G365" s="508"/>
      <c r="H365" s="508"/>
      <c r="I365" s="508"/>
      <c r="J365" s="508"/>
      <c r="K365" s="508"/>
      <c r="L365" s="508"/>
      <c r="M365" s="508"/>
      <c r="N365" s="508"/>
      <c r="O365" s="508"/>
      <c r="P365" s="1498">
        <f t="shared" si="35"/>
        <v>0</v>
      </c>
      <c r="Q365" s="697">
        <f t="shared" si="39"/>
        <v>0</v>
      </c>
      <c r="R365" s="1078"/>
      <c r="S365" s="1079"/>
      <c r="T365" s="1079"/>
      <c r="U365" s="1079"/>
      <c r="V365" s="1079"/>
      <c r="W365" s="1079">
        <v>1911000</v>
      </c>
      <c r="X365" s="1079">
        <v>0</v>
      </c>
      <c r="Y365" s="1079">
        <v>0</v>
      </c>
      <c r="Z365" s="1079"/>
      <c r="AA365" s="1079"/>
      <c r="AB365" s="1079"/>
      <c r="AC365" s="1079"/>
      <c r="AD365" s="1080">
        <f t="shared" si="28"/>
        <v>1911000</v>
      </c>
      <c r="AE365" s="611">
        <f t="shared" si="38"/>
        <v>1</v>
      </c>
      <c r="AF365" s="612">
        <f t="shared" si="40"/>
        <v>151</v>
      </c>
    </row>
    <row r="366" spans="1:32" x14ac:dyDescent="0.3">
      <c r="A366" s="545" t="s">
        <v>688</v>
      </c>
      <c r="B366" s="679" t="s">
        <v>2926</v>
      </c>
      <c r="C366" s="507"/>
      <c r="D366" s="508"/>
      <c r="E366" s="508"/>
      <c r="F366" s="508"/>
      <c r="G366" s="508"/>
      <c r="H366" s="508"/>
      <c r="I366" s="508"/>
      <c r="J366" s="508"/>
      <c r="K366" s="508">
        <v>0</v>
      </c>
      <c r="L366" s="508"/>
      <c r="M366" s="508"/>
      <c r="N366" s="508"/>
      <c r="O366" s="508"/>
      <c r="P366" s="1498">
        <f t="shared" si="35"/>
        <v>0</v>
      </c>
      <c r="Q366" s="697">
        <f t="shared" si="39"/>
        <v>0</v>
      </c>
      <c r="R366" s="1078"/>
      <c r="S366" s="1079"/>
      <c r="T366" s="1079"/>
      <c r="U366" s="1079"/>
      <c r="V366" s="1079"/>
      <c r="W366" s="1079"/>
      <c r="X366" s="1079">
        <v>0</v>
      </c>
      <c r="Y366" s="1079">
        <v>1037000</v>
      </c>
      <c r="Z366" s="1079"/>
      <c r="AA366" s="1079"/>
      <c r="AB366" s="1079"/>
      <c r="AC366" s="1079"/>
      <c r="AD366" s="1080">
        <f t="shared" si="28"/>
        <v>1037000</v>
      </c>
      <c r="AE366" s="611">
        <f t="shared" si="38"/>
        <v>1</v>
      </c>
      <c r="AF366" s="612">
        <f t="shared" si="40"/>
        <v>196</v>
      </c>
    </row>
    <row r="367" spans="1:32" x14ac:dyDescent="0.3">
      <c r="A367" s="545" t="s">
        <v>688</v>
      </c>
      <c r="B367" s="679" t="s">
        <v>2988</v>
      </c>
      <c r="C367" s="507"/>
      <c r="D367" s="508"/>
      <c r="E367" s="508"/>
      <c r="F367" s="508"/>
      <c r="G367" s="508"/>
      <c r="H367" s="508"/>
      <c r="I367" s="508"/>
      <c r="J367" s="508"/>
      <c r="K367" s="508"/>
      <c r="L367" s="508"/>
      <c r="M367" s="508"/>
      <c r="N367" s="508"/>
      <c r="O367" s="508"/>
      <c r="P367" s="1498">
        <f t="shared" si="35"/>
        <v>0</v>
      </c>
      <c r="Q367" s="697">
        <f t="shared" si="39"/>
        <v>0</v>
      </c>
      <c r="R367" s="1078"/>
      <c r="S367" s="1079"/>
      <c r="T367" s="1079"/>
      <c r="U367" s="1079"/>
      <c r="V367" s="1079"/>
      <c r="W367" s="1079"/>
      <c r="X367" s="1079">
        <v>109200</v>
      </c>
      <c r="Y367" s="1079">
        <v>0</v>
      </c>
      <c r="Z367" s="1079"/>
      <c r="AA367" s="1079"/>
      <c r="AB367" s="1079"/>
      <c r="AC367" s="1079"/>
      <c r="AD367" s="1080">
        <f t="shared" si="28"/>
        <v>109200</v>
      </c>
      <c r="AE367" s="611">
        <f t="shared" si="38"/>
        <v>1</v>
      </c>
      <c r="AF367" s="612">
        <f t="shared" si="40"/>
        <v>339</v>
      </c>
    </row>
    <row r="368" spans="1:32" x14ac:dyDescent="0.3">
      <c r="A368" s="546" t="s">
        <v>693</v>
      </c>
      <c r="B368" s="680" t="s">
        <v>693</v>
      </c>
      <c r="C368" s="509">
        <v>3402110</v>
      </c>
      <c r="D368" s="510">
        <v>1782130</v>
      </c>
      <c r="E368" s="510">
        <v>2277200</v>
      </c>
      <c r="F368" s="510">
        <v>2653370</v>
      </c>
      <c r="G368" s="510">
        <v>3111360</v>
      </c>
      <c r="H368" s="510">
        <v>2979570</v>
      </c>
      <c r="I368" s="510">
        <v>6890510</v>
      </c>
      <c r="J368" s="510">
        <v>2674320</v>
      </c>
      <c r="K368" s="510">
        <v>1699640</v>
      </c>
      <c r="L368" s="510">
        <v>3411510</v>
      </c>
      <c r="M368" s="510">
        <v>6537350</v>
      </c>
      <c r="N368" s="510">
        <v>2124050</v>
      </c>
      <c r="O368" s="510">
        <v>6292500</v>
      </c>
      <c r="P368" s="1498">
        <f t="shared" si="35"/>
        <v>24795890</v>
      </c>
      <c r="Q368" s="698">
        <f t="shared" si="39"/>
        <v>44135980</v>
      </c>
      <c r="R368" s="1081">
        <v>7141200</v>
      </c>
      <c r="S368" s="1082">
        <v>3874370</v>
      </c>
      <c r="T368" s="1082">
        <v>9483250</v>
      </c>
      <c r="U368" s="1082">
        <v>32164270</v>
      </c>
      <c r="V368" s="1082">
        <v>6656950</v>
      </c>
      <c r="W368" s="1082">
        <v>4968310</v>
      </c>
      <c r="X368" s="1082">
        <v>5175780</v>
      </c>
      <c r="Y368" s="1082">
        <v>873600</v>
      </c>
      <c r="Z368" s="1082"/>
      <c r="AA368" s="1082"/>
      <c r="AB368" s="1082"/>
      <c r="AC368" s="1082"/>
      <c r="AD368" s="1083">
        <f t="shared" si="28"/>
        <v>70337730</v>
      </c>
      <c r="AE368" s="613">
        <f t="shared" si="38"/>
        <v>1.8366688995635971</v>
      </c>
      <c r="AF368" s="614">
        <f t="shared" si="40"/>
        <v>4</v>
      </c>
    </row>
    <row r="369" spans="1:32" x14ac:dyDescent="0.3">
      <c r="A369" s="546" t="s">
        <v>693</v>
      </c>
      <c r="B369" s="680" t="s">
        <v>694</v>
      </c>
      <c r="C369" s="509"/>
      <c r="D369" s="510">
        <v>1611960</v>
      </c>
      <c r="E369" s="510">
        <v>0</v>
      </c>
      <c r="F369" s="510">
        <v>0</v>
      </c>
      <c r="G369" s="510">
        <v>0</v>
      </c>
      <c r="H369" s="510">
        <v>0</v>
      </c>
      <c r="I369" s="510">
        <v>0</v>
      </c>
      <c r="J369" s="510">
        <v>0</v>
      </c>
      <c r="K369" s="510">
        <v>0</v>
      </c>
      <c r="L369" s="510">
        <v>0</v>
      </c>
      <c r="M369" s="510">
        <v>0</v>
      </c>
      <c r="N369" s="510">
        <v>0</v>
      </c>
      <c r="O369" s="510">
        <v>0</v>
      </c>
      <c r="P369" s="1498">
        <f t="shared" si="35"/>
        <v>1611960</v>
      </c>
      <c r="Q369" s="698">
        <f t="shared" si="39"/>
        <v>1611960</v>
      </c>
      <c r="R369" s="1081" t="s">
        <v>251</v>
      </c>
      <c r="S369" s="1082" t="s">
        <v>251</v>
      </c>
      <c r="T369" s="1082"/>
      <c r="U369" s="1082"/>
      <c r="V369" s="1082"/>
      <c r="W369" s="1082"/>
      <c r="X369" s="1082"/>
      <c r="Y369" s="1082"/>
      <c r="Z369" s="1082"/>
      <c r="AA369" s="1082"/>
      <c r="AB369" s="1082"/>
      <c r="AC369" s="1082"/>
      <c r="AD369" s="1083">
        <f t="shared" si="28"/>
        <v>0</v>
      </c>
      <c r="AE369" s="613">
        <f t="shared" si="38"/>
        <v>-1</v>
      </c>
      <c r="AF369" s="614">
        <f t="shared" si="40"/>
        <v>394</v>
      </c>
    </row>
    <row r="370" spans="1:32" x14ac:dyDescent="0.3">
      <c r="A370" s="547" t="s">
        <v>695</v>
      </c>
      <c r="B370" s="681" t="s">
        <v>696</v>
      </c>
      <c r="C370" s="511"/>
      <c r="D370" s="512">
        <v>1527820</v>
      </c>
      <c r="E370" s="512">
        <v>192320</v>
      </c>
      <c r="F370" s="512">
        <v>1889860</v>
      </c>
      <c r="G370" s="512">
        <v>308890</v>
      </c>
      <c r="H370" s="512">
        <v>1136820</v>
      </c>
      <c r="I370" s="512">
        <v>2036460</v>
      </c>
      <c r="J370" s="512">
        <v>1333540</v>
      </c>
      <c r="K370" s="512">
        <v>1333540</v>
      </c>
      <c r="L370" s="512">
        <v>594680</v>
      </c>
      <c r="M370" s="512">
        <v>531090</v>
      </c>
      <c r="N370" s="512">
        <v>2169770</v>
      </c>
      <c r="O370" s="512">
        <v>1932170</v>
      </c>
      <c r="P370" s="1498">
        <f t="shared" si="35"/>
        <v>8425710</v>
      </c>
      <c r="Q370" s="699">
        <f t="shared" si="39"/>
        <v>13653420</v>
      </c>
      <c r="R370" s="1084">
        <v>891050</v>
      </c>
      <c r="S370" s="1085" t="s">
        <v>251</v>
      </c>
      <c r="T370" s="1085">
        <v>900070</v>
      </c>
      <c r="U370" s="1085">
        <v>0</v>
      </c>
      <c r="V370" s="1085">
        <v>311910</v>
      </c>
      <c r="W370" s="1085">
        <v>0</v>
      </c>
      <c r="X370" s="1085">
        <v>291990</v>
      </c>
      <c r="Y370" s="1085">
        <v>0</v>
      </c>
      <c r="Z370" s="1085"/>
      <c r="AA370" s="1085"/>
      <c r="AB370" s="1085"/>
      <c r="AC370" s="1085"/>
      <c r="AD370" s="1086">
        <f t="shared" si="28"/>
        <v>2395020</v>
      </c>
      <c r="AE370" s="615">
        <f t="shared" si="38"/>
        <v>-0.71574858379887274</v>
      </c>
      <c r="AF370" s="616">
        <f t="shared" si="40"/>
        <v>130</v>
      </c>
    </row>
    <row r="371" spans="1:32" x14ac:dyDescent="0.3">
      <c r="A371" s="547" t="s">
        <v>695</v>
      </c>
      <c r="B371" s="681" t="s">
        <v>697</v>
      </c>
      <c r="C371" s="511"/>
      <c r="D371" s="512"/>
      <c r="E371" s="512">
        <v>0</v>
      </c>
      <c r="F371" s="512">
        <v>832800</v>
      </c>
      <c r="G371" s="512">
        <v>373880</v>
      </c>
      <c r="H371" s="512">
        <v>0</v>
      </c>
      <c r="I371" s="512">
        <v>0</v>
      </c>
      <c r="J371" s="512">
        <v>0</v>
      </c>
      <c r="K371" s="512">
        <v>0</v>
      </c>
      <c r="L371" s="512">
        <v>0</v>
      </c>
      <c r="M371" s="512">
        <v>0</v>
      </c>
      <c r="N371" s="512">
        <v>0</v>
      </c>
      <c r="O371" s="512">
        <v>0</v>
      </c>
      <c r="P371" s="1498">
        <f t="shared" si="35"/>
        <v>1206680</v>
      </c>
      <c r="Q371" s="699">
        <f t="shared" si="39"/>
        <v>1206680</v>
      </c>
      <c r="R371" s="1084" t="s">
        <v>251</v>
      </c>
      <c r="S371" s="1085" t="s">
        <v>251</v>
      </c>
      <c r="T371" s="1085"/>
      <c r="U371" s="1085">
        <v>849690</v>
      </c>
      <c r="V371" s="1085">
        <v>0</v>
      </c>
      <c r="W371" s="1085">
        <v>0</v>
      </c>
      <c r="X371" s="1085">
        <v>0</v>
      </c>
      <c r="Y371" s="1085">
        <v>0</v>
      </c>
      <c r="Z371" s="1085"/>
      <c r="AA371" s="1085"/>
      <c r="AB371" s="1085"/>
      <c r="AC371" s="1085"/>
      <c r="AD371" s="1086">
        <f t="shared" si="28"/>
        <v>849690</v>
      </c>
      <c r="AE371" s="615">
        <f t="shared" si="38"/>
        <v>-0.29584479729505753</v>
      </c>
      <c r="AF371" s="616">
        <f t="shared" si="40"/>
        <v>212</v>
      </c>
    </row>
    <row r="372" spans="1:32" x14ac:dyDescent="0.3">
      <c r="A372" s="547" t="s">
        <v>695</v>
      </c>
      <c r="B372" s="681" t="s">
        <v>698</v>
      </c>
      <c r="C372" s="511">
        <v>817800</v>
      </c>
      <c r="D372" s="512">
        <v>479930</v>
      </c>
      <c r="E372" s="512">
        <v>59260</v>
      </c>
      <c r="F372" s="512">
        <v>0</v>
      </c>
      <c r="G372" s="512">
        <v>0</v>
      </c>
      <c r="H372" s="512">
        <v>0</v>
      </c>
      <c r="I372" s="512">
        <v>0</v>
      </c>
      <c r="J372" s="512">
        <v>0</v>
      </c>
      <c r="K372" s="512">
        <v>0</v>
      </c>
      <c r="L372" s="512">
        <v>1097730</v>
      </c>
      <c r="M372" s="512">
        <v>0</v>
      </c>
      <c r="N372" s="512">
        <v>0</v>
      </c>
      <c r="O372" s="512">
        <v>195900</v>
      </c>
      <c r="P372" s="1498">
        <f t="shared" si="35"/>
        <v>1356990</v>
      </c>
      <c r="Q372" s="699">
        <f t="shared" si="39"/>
        <v>2650620</v>
      </c>
      <c r="R372" s="1084">
        <v>276150</v>
      </c>
      <c r="S372" s="1085">
        <v>734940</v>
      </c>
      <c r="T372" s="1085">
        <v>625230</v>
      </c>
      <c r="U372" s="1085">
        <v>67250</v>
      </c>
      <c r="V372" s="1085">
        <v>0</v>
      </c>
      <c r="W372" s="1085">
        <v>0</v>
      </c>
      <c r="X372" s="1085">
        <v>0</v>
      </c>
      <c r="Y372" s="1085">
        <v>0</v>
      </c>
      <c r="Z372" s="1085"/>
      <c r="AA372" s="1085"/>
      <c r="AB372" s="1085"/>
      <c r="AC372" s="1085"/>
      <c r="AD372" s="1086">
        <f t="shared" si="28"/>
        <v>1703570</v>
      </c>
      <c r="AE372" s="615">
        <f t="shared" si="38"/>
        <v>0.25540350334195538</v>
      </c>
      <c r="AF372" s="616">
        <f t="shared" si="40"/>
        <v>159</v>
      </c>
    </row>
    <row r="373" spans="1:32" x14ac:dyDescent="0.3">
      <c r="A373" s="547" t="s">
        <v>695</v>
      </c>
      <c r="B373" s="681" t="s">
        <v>699</v>
      </c>
      <c r="C373" s="511">
        <v>459560</v>
      </c>
      <c r="D373" s="512">
        <v>888100</v>
      </c>
      <c r="E373" s="512">
        <v>0</v>
      </c>
      <c r="F373" s="512">
        <v>0</v>
      </c>
      <c r="G373" s="512">
        <v>0</v>
      </c>
      <c r="H373" s="512">
        <v>0</v>
      </c>
      <c r="I373" s="512">
        <v>0</v>
      </c>
      <c r="J373" s="512">
        <v>0</v>
      </c>
      <c r="K373" s="512">
        <v>0</v>
      </c>
      <c r="L373" s="512">
        <v>0</v>
      </c>
      <c r="M373" s="512">
        <v>0</v>
      </c>
      <c r="N373" s="512">
        <v>0</v>
      </c>
      <c r="O373" s="512">
        <v>0</v>
      </c>
      <c r="P373" s="1498">
        <f t="shared" si="35"/>
        <v>1347660</v>
      </c>
      <c r="Q373" s="699">
        <f t="shared" si="39"/>
        <v>1347660</v>
      </c>
      <c r="R373" s="1084" t="s">
        <v>251</v>
      </c>
      <c r="S373" s="1085" t="s">
        <v>251</v>
      </c>
      <c r="T373" s="1085"/>
      <c r="U373" s="1085"/>
      <c r="V373" s="1085"/>
      <c r="W373" s="1085"/>
      <c r="X373" s="1085"/>
      <c r="Y373" s="1085"/>
      <c r="Z373" s="1085"/>
      <c r="AA373" s="1085"/>
      <c r="AB373" s="1085"/>
      <c r="AC373" s="1085"/>
      <c r="AD373" s="1086">
        <f t="shared" ref="AD373:AD380" si="41">SUM(R373:AC373)</f>
        <v>0</v>
      </c>
      <c r="AE373" s="615">
        <f t="shared" si="38"/>
        <v>-1</v>
      </c>
      <c r="AF373" s="616">
        <f t="shared" si="40"/>
        <v>394</v>
      </c>
    </row>
    <row r="374" spans="1:32" x14ac:dyDescent="0.3">
      <c r="A374" s="547" t="s">
        <v>695</v>
      </c>
      <c r="B374" s="681" t="s">
        <v>700</v>
      </c>
      <c r="C374" s="511">
        <v>462210</v>
      </c>
      <c r="D374" s="512"/>
      <c r="E374" s="512">
        <v>0</v>
      </c>
      <c r="F374" s="512">
        <v>0</v>
      </c>
      <c r="G374" s="512">
        <v>0</v>
      </c>
      <c r="H374" s="512">
        <v>0</v>
      </c>
      <c r="I374" s="512">
        <v>0</v>
      </c>
      <c r="J374" s="512">
        <v>0</v>
      </c>
      <c r="K374" s="512">
        <v>0</v>
      </c>
      <c r="L374" s="512">
        <v>0</v>
      </c>
      <c r="M374" s="512">
        <v>0</v>
      </c>
      <c r="N374" s="512">
        <v>0</v>
      </c>
      <c r="O374" s="512">
        <v>0</v>
      </c>
      <c r="P374" s="1498">
        <f t="shared" si="35"/>
        <v>462210</v>
      </c>
      <c r="Q374" s="699">
        <f t="shared" si="39"/>
        <v>462210</v>
      </c>
      <c r="R374" s="1084" t="s">
        <v>251</v>
      </c>
      <c r="S374" s="1085" t="s">
        <v>251</v>
      </c>
      <c r="T374" s="1085"/>
      <c r="U374" s="1085"/>
      <c r="V374" s="1085"/>
      <c r="W374" s="1085"/>
      <c r="X374" s="1085"/>
      <c r="Y374" s="1085"/>
      <c r="Z374" s="1085"/>
      <c r="AA374" s="1085"/>
      <c r="AB374" s="1085"/>
      <c r="AC374" s="1085"/>
      <c r="AD374" s="1086">
        <f t="shared" si="41"/>
        <v>0</v>
      </c>
      <c r="AE374" s="615">
        <f t="shared" si="38"/>
        <v>-1</v>
      </c>
      <c r="AF374" s="616">
        <f t="shared" si="40"/>
        <v>394</v>
      </c>
    </row>
    <row r="375" spans="1:32" x14ac:dyDescent="0.3">
      <c r="A375" s="547" t="s">
        <v>695</v>
      </c>
      <c r="B375" s="681" t="s">
        <v>701</v>
      </c>
      <c r="C375" s="511"/>
      <c r="D375" s="512"/>
      <c r="E375" s="512">
        <v>0</v>
      </c>
      <c r="F375" s="512">
        <v>255950</v>
      </c>
      <c r="G375" s="512">
        <v>24020</v>
      </c>
      <c r="H375" s="512">
        <v>0</v>
      </c>
      <c r="I375" s="512">
        <v>0</v>
      </c>
      <c r="J375" s="512">
        <v>0</v>
      </c>
      <c r="K375" s="512">
        <v>0</v>
      </c>
      <c r="L375" s="512">
        <v>0</v>
      </c>
      <c r="M375" s="512">
        <v>0</v>
      </c>
      <c r="N375" s="512">
        <v>0</v>
      </c>
      <c r="O375" s="512">
        <v>0</v>
      </c>
      <c r="P375" s="1498">
        <f t="shared" si="35"/>
        <v>279970</v>
      </c>
      <c r="Q375" s="699">
        <f t="shared" si="39"/>
        <v>279970</v>
      </c>
      <c r="R375" s="1084" t="s">
        <v>251</v>
      </c>
      <c r="S375" s="1085" t="s">
        <v>251</v>
      </c>
      <c r="T375" s="1085"/>
      <c r="U375" s="1085"/>
      <c r="V375" s="1085"/>
      <c r="W375" s="1085"/>
      <c r="X375" s="1085"/>
      <c r="Y375" s="1085"/>
      <c r="Z375" s="1085"/>
      <c r="AA375" s="1085"/>
      <c r="AB375" s="1085"/>
      <c r="AC375" s="1085"/>
      <c r="AD375" s="1086">
        <f t="shared" si="41"/>
        <v>0</v>
      </c>
      <c r="AE375" s="615">
        <f t="shared" si="38"/>
        <v>-1</v>
      </c>
      <c r="AF375" s="616">
        <f t="shared" si="40"/>
        <v>394</v>
      </c>
    </row>
    <row r="376" spans="1:32" x14ac:dyDescent="0.3">
      <c r="A376" s="547" t="s">
        <v>695</v>
      </c>
      <c r="B376" s="681" t="s">
        <v>702</v>
      </c>
      <c r="C376" s="511">
        <v>266700</v>
      </c>
      <c r="D376" s="512"/>
      <c r="E376" s="512">
        <v>0</v>
      </c>
      <c r="F376" s="512">
        <v>0</v>
      </c>
      <c r="G376" s="512">
        <v>0</v>
      </c>
      <c r="H376" s="512" t="s">
        <v>251</v>
      </c>
      <c r="I376" s="512">
        <v>0</v>
      </c>
      <c r="J376" s="512" t="s">
        <v>251</v>
      </c>
      <c r="K376" s="512">
        <v>0</v>
      </c>
      <c r="L376" s="512" t="s">
        <v>251</v>
      </c>
      <c r="M376" s="512" t="s">
        <v>251</v>
      </c>
      <c r="N376" s="512" t="s">
        <v>251</v>
      </c>
      <c r="O376" s="512" t="s">
        <v>251</v>
      </c>
      <c r="P376" s="1498">
        <f t="shared" si="35"/>
        <v>266700</v>
      </c>
      <c r="Q376" s="699">
        <f t="shared" si="39"/>
        <v>266700</v>
      </c>
      <c r="R376" s="1084" t="s">
        <v>251</v>
      </c>
      <c r="S376" s="1085" t="s">
        <v>251</v>
      </c>
      <c r="T376" s="1085"/>
      <c r="U376" s="1085"/>
      <c r="V376" s="1085"/>
      <c r="W376" s="1085"/>
      <c r="X376" s="1085"/>
      <c r="Y376" s="1085"/>
      <c r="Z376" s="1085"/>
      <c r="AA376" s="1085"/>
      <c r="AB376" s="1085"/>
      <c r="AC376" s="1085"/>
      <c r="AD376" s="1086">
        <f t="shared" si="41"/>
        <v>0</v>
      </c>
      <c r="AE376" s="615">
        <f t="shared" si="38"/>
        <v>-1</v>
      </c>
      <c r="AF376" s="616">
        <f t="shared" si="40"/>
        <v>394</v>
      </c>
    </row>
    <row r="377" spans="1:32" x14ac:dyDescent="0.3">
      <c r="A377" s="547" t="s">
        <v>695</v>
      </c>
      <c r="B377" s="681" t="s">
        <v>703</v>
      </c>
      <c r="C377" s="511"/>
      <c r="D377" s="512">
        <v>261400</v>
      </c>
      <c r="E377" s="512">
        <v>0</v>
      </c>
      <c r="F377" s="512">
        <v>190510</v>
      </c>
      <c r="G377" s="512">
        <v>0</v>
      </c>
      <c r="H377" s="512" t="s">
        <v>251</v>
      </c>
      <c r="I377" s="512">
        <v>0</v>
      </c>
      <c r="J377" s="512" t="s">
        <v>251</v>
      </c>
      <c r="K377" s="512">
        <v>0</v>
      </c>
      <c r="L377" s="512" t="s">
        <v>251</v>
      </c>
      <c r="M377" s="512" t="s">
        <v>251</v>
      </c>
      <c r="N377" s="512" t="s">
        <v>251</v>
      </c>
      <c r="O377" s="512" t="s">
        <v>251</v>
      </c>
      <c r="P377" s="1498">
        <f t="shared" si="35"/>
        <v>451910</v>
      </c>
      <c r="Q377" s="699">
        <f t="shared" si="39"/>
        <v>451910</v>
      </c>
      <c r="R377" s="1084" t="s">
        <v>251</v>
      </c>
      <c r="S377" s="1085" t="s">
        <v>251</v>
      </c>
      <c r="T377" s="1085"/>
      <c r="U377" s="1085"/>
      <c r="V377" s="1085"/>
      <c r="W377" s="1085"/>
      <c r="X377" s="1085"/>
      <c r="Y377" s="1085"/>
      <c r="Z377" s="1085"/>
      <c r="AA377" s="1085"/>
      <c r="AB377" s="1085"/>
      <c r="AC377" s="1085"/>
      <c r="AD377" s="1086">
        <f t="shared" si="41"/>
        <v>0</v>
      </c>
      <c r="AE377" s="615">
        <f t="shared" si="38"/>
        <v>-1</v>
      </c>
      <c r="AF377" s="616">
        <f t="shared" si="40"/>
        <v>394</v>
      </c>
    </row>
    <row r="378" spans="1:32" x14ac:dyDescent="0.3">
      <c r="A378" s="547" t="s">
        <v>695</v>
      </c>
      <c r="B378" s="681" t="s">
        <v>704</v>
      </c>
      <c r="C378" s="511"/>
      <c r="D378" s="512"/>
      <c r="E378" s="512" t="s">
        <v>251</v>
      </c>
      <c r="F378" s="512" t="s">
        <v>251</v>
      </c>
      <c r="G378" s="512" t="s">
        <v>251</v>
      </c>
      <c r="H378" s="512">
        <v>0</v>
      </c>
      <c r="I378" s="512" t="s">
        <v>251</v>
      </c>
      <c r="J378" s="512">
        <v>0</v>
      </c>
      <c r="K378" s="512">
        <v>0</v>
      </c>
      <c r="L378" s="512">
        <v>0</v>
      </c>
      <c r="M378" s="512">
        <v>0</v>
      </c>
      <c r="N378" s="512">
        <v>0</v>
      </c>
      <c r="O378" s="512">
        <v>0</v>
      </c>
      <c r="P378" s="1498">
        <f t="shared" si="35"/>
        <v>0</v>
      </c>
      <c r="Q378" s="699">
        <f t="shared" si="39"/>
        <v>0</v>
      </c>
      <c r="R378" s="1084" t="s">
        <v>251</v>
      </c>
      <c r="S378" s="1085" t="s">
        <v>251</v>
      </c>
      <c r="T378" s="1085"/>
      <c r="U378" s="1085"/>
      <c r="V378" s="1085"/>
      <c r="W378" s="1085"/>
      <c r="X378" s="1085"/>
      <c r="Y378" s="1085"/>
      <c r="Z378" s="1085"/>
      <c r="AA378" s="1085"/>
      <c r="AB378" s="1085"/>
      <c r="AC378" s="1085"/>
      <c r="AD378" s="1086">
        <f t="shared" si="41"/>
        <v>0</v>
      </c>
      <c r="AE378" s="615">
        <f t="shared" si="38"/>
        <v>0</v>
      </c>
      <c r="AF378" s="616">
        <f t="shared" si="40"/>
        <v>394</v>
      </c>
    </row>
    <row r="379" spans="1:32" x14ac:dyDescent="0.3">
      <c r="A379" s="547" t="s">
        <v>695</v>
      </c>
      <c r="B379" s="681" t="s">
        <v>705</v>
      </c>
      <c r="C379" s="511"/>
      <c r="D379" s="512"/>
      <c r="E379" s="512">
        <v>0</v>
      </c>
      <c r="F379" s="512">
        <v>104680</v>
      </c>
      <c r="G379" s="512">
        <v>0</v>
      </c>
      <c r="H379" s="512">
        <v>0</v>
      </c>
      <c r="I379" s="512">
        <v>0</v>
      </c>
      <c r="J379" s="512">
        <v>0</v>
      </c>
      <c r="K379" s="512">
        <v>0</v>
      </c>
      <c r="L379" s="512">
        <v>0</v>
      </c>
      <c r="M379" s="512">
        <v>0</v>
      </c>
      <c r="N379" s="512">
        <v>0</v>
      </c>
      <c r="O379" s="512">
        <v>0</v>
      </c>
      <c r="P379" s="1498">
        <f t="shared" si="35"/>
        <v>104680</v>
      </c>
      <c r="Q379" s="699">
        <f t="shared" si="39"/>
        <v>104680</v>
      </c>
      <c r="R379" s="1084" t="s">
        <v>251</v>
      </c>
      <c r="S379" s="1085" t="s">
        <v>251</v>
      </c>
      <c r="T379" s="1085"/>
      <c r="U379" s="1085"/>
      <c r="V379" s="1085"/>
      <c r="W379" s="1085"/>
      <c r="X379" s="1085"/>
      <c r="Y379" s="1085"/>
      <c r="Z379" s="1085"/>
      <c r="AA379" s="1085"/>
      <c r="AB379" s="1085"/>
      <c r="AC379" s="1085"/>
      <c r="AD379" s="1086">
        <f t="shared" si="41"/>
        <v>0</v>
      </c>
      <c r="AE379" s="615">
        <f t="shared" si="38"/>
        <v>-1</v>
      </c>
      <c r="AF379" s="616">
        <f t="shared" si="40"/>
        <v>394</v>
      </c>
    </row>
    <row r="380" spans="1:32" x14ac:dyDescent="0.3">
      <c r="A380" s="547" t="s">
        <v>695</v>
      </c>
      <c r="B380" s="681" t="s">
        <v>706</v>
      </c>
      <c r="C380" s="511">
        <v>38170</v>
      </c>
      <c r="D380" s="512"/>
      <c r="E380" s="512">
        <v>0</v>
      </c>
      <c r="F380" s="512">
        <v>0</v>
      </c>
      <c r="G380" s="512">
        <v>0</v>
      </c>
      <c r="H380" s="512">
        <v>0</v>
      </c>
      <c r="I380" s="512">
        <v>0</v>
      </c>
      <c r="J380" s="512">
        <v>0</v>
      </c>
      <c r="K380" s="512">
        <v>0</v>
      </c>
      <c r="L380" s="512">
        <v>0</v>
      </c>
      <c r="M380" s="512">
        <v>0</v>
      </c>
      <c r="N380" s="512">
        <v>0</v>
      </c>
      <c r="O380" s="512">
        <v>0</v>
      </c>
      <c r="P380" s="1498">
        <f t="shared" si="35"/>
        <v>38170</v>
      </c>
      <c r="Q380" s="699">
        <f t="shared" si="39"/>
        <v>38170</v>
      </c>
      <c r="R380" s="1084" t="s">
        <v>251</v>
      </c>
      <c r="S380" s="1085" t="s">
        <v>251</v>
      </c>
      <c r="T380" s="1085"/>
      <c r="U380" s="1085"/>
      <c r="V380" s="1085"/>
      <c r="W380" s="1085"/>
      <c r="X380" s="1085"/>
      <c r="Y380" s="1085"/>
      <c r="Z380" s="1085"/>
      <c r="AA380" s="1085"/>
      <c r="AB380" s="1085"/>
      <c r="AC380" s="1085"/>
      <c r="AD380" s="1086">
        <f t="shared" si="41"/>
        <v>0</v>
      </c>
      <c r="AE380" s="615">
        <f t="shared" si="38"/>
        <v>-1</v>
      </c>
      <c r="AF380" s="616">
        <f t="shared" si="40"/>
        <v>394</v>
      </c>
    </row>
    <row r="381" spans="1:32" x14ac:dyDescent="0.3">
      <c r="A381" s="547" t="s">
        <v>695</v>
      </c>
      <c r="B381" s="681" t="s">
        <v>707</v>
      </c>
      <c r="C381" s="511"/>
      <c r="D381" s="512"/>
      <c r="E381" s="512" t="s">
        <v>251</v>
      </c>
      <c r="F381" s="512" t="s">
        <v>251</v>
      </c>
      <c r="G381" s="512" t="s">
        <v>251</v>
      </c>
      <c r="H381" s="512" t="s">
        <v>251</v>
      </c>
      <c r="I381" s="512" t="s">
        <v>251</v>
      </c>
      <c r="J381" s="512" t="s">
        <v>251</v>
      </c>
      <c r="K381" s="512"/>
      <c r="L381" s="512" t="s">
        <v>251</v>
      </c>
      <c r="M381" s="512" t="s">
        <v>251</v>
      </c>
      <c r="N381" s="512" t="s">
        <v>251</v>
      </c>
      <c r="O381" s="512" t="s">
        <v>251</v>
      </c>
      <c r="P381" s="1498">
        <f t="shared" si="35"/>
        <v>0</v>
      </c>
      <c r="Q381" s="699">
        <f t="shared" si="39"/>
        <v>0</v>
      </c>
      <c r="R381" s="1084" t="s">
        <v>251</v>
      </c>
      <c r="S381" s="1085" t="s">
        <v>251</v>
      </c>
      <c r="T381" s="1085"/>
      <c r="U381" s="1085"/>
      <c r="V381" s="1085"/>
      <c r="W381" s="1085"/>
      <c r="X381" s="1085"/>
      <c r="Y381" s="1085"/>
      <c r="Z381" s="1085"/>
      <c r="AA381" s="1085"/>
      <c r="AB381" s="1085"/>
      <c r="AC381" s="1085"/>
      <c r="AD381" s="1086">
        <f>SUM(R381:AC381)</f>
        <v>0</v>
      </c>
      <c r="AE381" s="615">
        <f t="shared" si="38"/>
        <v>0</v>
      </c>
      <c r="AF381" s="616">
        <f t="shared" si="40"/>
        <v>394</v>
      </c>
    </row>
    <row r="382" spans="1:32" x14ac:dyDescent="0.3">
      <c r="A382" s="547" t="s">
        <v>695</v>
      </c>
      <c r="B382" s="681" t="s">
        <v>708</v>
      </c>
      <c r="C382" s="511"/>
      <c r="D382" s="512"/>
      <c r="E382" s="512">
        <v>0</v>
      </c>
      <c r="F382" s="512">
        <v>0</v>
      </c>
      <c r="G382" s="512">
        <v>0</v>
      </c>
      <c r="H382" s="512">
        <v>0</v>
      </c>
      <c r="I382" s="512">
        <v>0</v>
      </c>
      <c r="J382" s="512">
        <v>0</v>
      </c>
      <c r="K382" s="512"/>
      <c r="L382" s="512">
        <v>0</v>
      </c>
      <c r="M382" s="512">
        <v>83680</v>
      </c>
      <c r="N382" s="512">
        <v>0</v>
      </c>
      <c r="O382" s="512">
        <v>0</v>
      </c>
      <c r="P382" s="1498">
        <f t="shared" si="35"/>
        <v>0</v>
      </c>
      <c r="Q382" s="699">
        <f t="shared" si="39"/>
        <v>83680</v>
      </c>
      <c r="R382" s="1084" t="s">
        <v>251</v>
      </c>
      <c r="S382" s="1085" t="s">
        <v>251</v>
      </c>
      <c r="T382" s="1085"/>
      <c r="U382" s="1085"/>
      <c r="V382" s="1085"/>
      <c r="W382" s="1085"/>
      <c r="X382" s="1085"/>
      <c r="Y382" s="1085"/>
      <c r="Z382" s="1085"/>
      <c r="AA382" s="1085"/>
      <c r="AB382" s="1085"/>
      <c r="AC382" s="1085"/>
      <c r="AD382" s="1086">
        <f t="shared" ref="AD382:AD447" si="42">SUM(R382:AC382)</f>
        <v>0</v>
      </c>
      <c r="AE382" s="615">
        <f t="shared" si="38"/>
        <v>0</v>
      </c>
      <c r="AF382" s="616">
        <f t="shared" si="40"/>
        <v>394</v>
      </c>
    </row>
    <row r="383" spans="1:32" x14ac:dyDescent="0.3">
      <c r="A383" s="547" t="s">
        <v>695</v>
      </c>
      <c r="B383" s="681" t="s">
        <v>709</v>
      </c>
      <c r="C383" s="511"/>
      <c r="D383" s="512"/>
      <c r="E383" s="512" t="s">
        <v>251</v>
      </c>
      <c r="F383" s="512" t="s">
        <v>251</v>
      </c>
      <c r="G383" s="512" t="s">
        <v>251</v>
      </c>
      <c r="H383" s="512" t="s">
        <v>251</v>
      </c>
      <c r="I383" s="512" t="s">
        <v>251</v>
      </c>
      <c r="J383" s="512" t="s">
        <v>251</v>
      </c>
      <c r="K383" s="512"/>
      <c r="L383" s="512" t="s">
        <v>251</v>
      </c>
      <c r="M383" s="512" t="s">
        <v>251</v>
      </c>
      <c r="N383" s="512" t="s">
        <v>251</v>
      </c>
      <c r="O383" s="512" t="s">
        <v>251</v>
      </c>
      <c r="P383" s="1498">
        <f t="shared" si="35"/>
        <v>0</v>
      </c>
      <c r="Q383" s="699">
        <f t="shared" si="39"/>
        <v>0</v>
      </c>
      <c r="R383" s="1084" t="s">
        <v>251</v>
      </c>
      <c r="S383" s="1085" t="s">
        <v>251</v>
      </c>
      <c r="T383" s="1085"/>
      <c r="U383" s="1085"/>
      <c r="V383" s="1085">
        <v>229700</v>
      </c>
      <c r="W383" s="1085">
        <v>0</v>
      </c>
      <c r="X383" s="1085">
        <v>0</v>
      </c>
      <c r="Y383" s="1085">
        <v>0</v>
      </c>
      <c r="Z383" s="1085"/>
      <c r="AA383" s="1085"/>
      <c r="AB383" s="1085"/>
      <c r="AC383" s="1085"/>
      <c r="AD383" s="1086">
        <f t="shared" si="42"/>
        <v>229700</v>
      </c>
      <c r="AE383" s="615">
        <f t="shared" si="38"/>
        <v>1</v>
      </c>
      <c r="AF383" s="616">
        <f t="shared" si="40"/>
        <v>309</v>
      </c>
    </row>
    <row r="384" spans="1:32" x14ac:dyDescent="0.3">
      <c r="A384" s="547" t="s">
        <v>695</v>
      </c>
      <c r="B384" s="681" t="s">
        <v>710</v>
      </c>
      <c r="C384" s="511"/>
      <c r="D384" s="512"/>
      <c r="E384" s="512" t="s">
        <v>251</v>
      </c>
      <c r="F384" s="512" t="s">
        <v>251</v>
      </c>
      <c r="G384" s="512" t="s">
        <v>251</v>
      </c>
      <c r="H384" s="512" t="s">
        <v>251</v>
      </c>
      <c r="I384" s="512" t="s">
        <v>251</v>
      </c>
      <c r="J384" s="512" t="s">
        <v>251</v>
      </c>
      <c r="K384" s="512"/>
      <c r="L384" s="512" t="s">
        <v>251</v>
      </c>
      <c r="M384" s="512" t="s">
        <v>251</v>
      </c>
      <c r="N384" s="512" t="s">
        <v>251</v>
      </c>
      <c r="O384" s="512" t="s">
        <v>251</v>
      </c>
      <c r="P384" s="1498">
        <f t="shared" si="35"/>
        <v>0</v>
      </c>
      <c r="Q384" s="699">
        <f t="shared" si="39"/>
        <v>0</v>
      </c>
      <c r="R384" s="1084" t="s">
        <v>251</v>
      </c>
      <c r="S384" s="1085" t="s">
        <v>251</v>
      </c>
      <c r="T384" s="1085"/>
      <c r="U384" s="1085"/>
      <c r="V384" s="1085"/>
      <c r="W384" s="1085"/>
      <c r="X384" s="1085"/>
      <c r="Y384" s="1085"/>
      <c r="Z384" s="1085"/>
      <c r="AA384" s="1085"/>
      <c r="AB384" s="1085"/>
      <c r="AC384" s="1085"/>
      <c r="AD384" s="1086">
        <f t="shared" si="42"/>
        <v>0</v>
      </c>
      <c r="AE384" s="615">
        <f t="shared" si="38"/>
        <v>0</v>
      </c>
      <c r="AF384" s="616">
        <f t="shared" si="40"/>
        <v>394</v>
      </c>
    </row>
    <row r="385" spans="1:32" x14ac:dyDescent="0.3">
      <c r="A385" s="547" t="s">
        <v>695</v>
      </c>
      <c r="B385" s="681" t="s">
        <v>711</v>
      </c>
      <c r="C385" s="511"/>
      <c r="D385" s="512"/>
      <c r="E385" s="512" t="s">
        <v>251</v>
      </c>
      <c r="F385" s="512" t="s">
        <v>251</v>
      </c>
      <c r="G385" s="512" t="s">
        <v>251</v>
      </c>
      <c r="H385" s="512" t="s">
        <v>251</v>
      </c>
      <c r="I385" s="512" t="s">
        <v>251</v>
      </c>
      <c r="J385" s="512" t="s">
        <v>251</v>
      </c>
      <c r="K385" s="512"/>
      <c r="L385" s="512" t="s">
        <v>251</v>
      </c>
      <c r="M385" s="512" t="s">
        <v>251</v>
      </c>
      <c r="N385" s="512" t="s">
        <v>251</v>
      </c>
      <c r="O385" s="512" t="s">
        <v>251</v>
      </c>
      <c r="P385" s="1498">
        <f t="shared" si="35"/>
        <v>0</v>
      </c>
      <c r="Q385" s="699">
        <f t="shared" si="39"/>
        <v>0</v>
      </c>
      <c r="R385" s="1084" t="s">
        <v>251</v>
      </c>
      <c r="S385" s="1085" t="s">
        <v>251</v>
      </c>
      <c r="T385" s="1085"/>
      <c r="U385" s="1085"/>
      <c r="V385" s="1085"/>
      <c r="W385" s="1085"/>
      <c r="X385" s="1085"/>
      <c r="Y385" s="1085"/>
      <c r="Z385" s="1085"/>
      <c r="AA385" s="1085"/>
      <c r="AB385" s="1085"/>
      <c r="AC385" s="1085"/>
      <c r="AD385" s="1086">
        <f t="shared" si="42"/>
        <v>0</v>
      </c>
      <c r="AE385" s="615">
        <f t="shared" si="38"/>
        <v>0</v>
      </c>
      <c r="AF385" s="616">
        <f t="shared" si="40"/>
        <v>394</v>
      </c>
    </row>
    <row r="386" spans="1:32" x14ac:dyDescent="0.3">
      <c r="A386" s="547" t="s">
        <v>695</v>
      </c>
      <c r="B386" s="681" t="s">
        <v>712</v>
      </c>
      <c r="C386" s="511"/>
      <c r="D386" s="512"/>
      <c r="E386" s="512" t="s">
        <v>251</v>
      </c>
      <c r="F386" s="512" t="s">
        <v>251</v>
      </c>
      <c r="G386" s="512" t="s">
        <v>251</v>
      </c>
      <c r="H386" s="512" t="s">
        <v>251</v>
      </c>
      <c r="I386" s="512" t="s">
        <v>251</v>
      </c>
      <c r="J386" s="512" t="s">
        <v>251</v>
      </c>
      <c r="K386" s="512"/>
      <c r="L386" s="512" t="s">
        <v>251</v>
      </c>
      <c r="M386" s="512" t="s">
        <v>251</v>
      </c>
      <c r="N386" s="512" t="s">
        <v>251</v>
      </c>
      <c r="O386" s="512" t="s">
        <v>251</v>
      </c>
      <c r="P386" s="1498">
        <f t="shared" si="35"/>
        <v>0</v>
      </c>
      <c r="Q386" s="699">
        <f t="shared" si="39"/>
        <v>0</v>
      </c>
      <c r="R386" s="1084" t="s">
        <v>251</v>
      </c>
      <c r="S386" s="1085" t="s">
        <v>251</v>
      </c>
      <c r="T386" s="1085"/>
      <c r="U386" s="1085"/>
      <c r="V386" s="1085"/>
      <c r="W386" s="1085"/>
      <c r="X386" s="1085"/>
      <c r="Y386" s="1085"/>
      <c r="Z386" s="1085"/>
      <c r="AA386" s="1085"/>
      <c r="AB386" s="1085"/>
      <c r="AC386" s="1085"/>
      <c r="AD386" s="1086">
        <f t="shared" si="42"/>
        <v>0</v>
      </c>
      <c r="AE386" s="615">
        <f t="shared" si="38"/>
        <v>0</v>
      </c>
      <c r="AF386" s="616">
        <f t="shared" si="40"/>
        <v>394</v>
      </c>
    </row>
    <row r="387" spans="1:32" x14ac:dyDescent="0.3">
      <c r="A387" s="547" t="s">
        <v>695</v>
      </c>
      <c r="B387" s="681" t="s">
        <v>713</v>
      </c>
      <c r="C387" s="511"/>
      <c r="D387" s="512"/>
      <c r="E387" s="512" t="s">
        <v>251</v>
      </c>
      <c r="F387" s="512" t="s">
        <v>251</v>
      </c>
      <c r="G387" s="512" t="s">
        <v>251</v>
      </c>
      <c r="H387" s="512" t="s">
        <v>251</v>
      </c>
      <c r="I387" s="512" t="s">
        <v>251</v>
      </c>
      <c r="J387" s="512" t="s">
        <v>251</v>
      </c>
      <c r="K387" s="512"/>
      <c r="L387" s="512" t="s">
        <v>251</v>
      </c>
      <c r="M387" s="512" t="s">
        <v>251</v>
      </c>
      <c r="N387" s="512" t="s">
        <v>251</v>
      </c>
      <c r="O387" s="512" t="s">
        <v>251</v>
      </c>
      <c r="P387" s="1498">
        <f t="shared" si="35"/>
        <v>0</v>
      </c>
      <c r="Q387" s="699">
        <f t="shared" si="39"/>
        <v>0</v>
      </c>
      <c r="R387" s="1084" t="s">
        <v>251</v>
      </c>
      <c r="S387" s="1085" t="s">
        <v>251</v>
      </c>
      <c r="T387" s="1085"/>
      <c r="U387" s="1085"/>
      <c r="V387" s="1085"/>
      <c r="W387" s="1085"/>
      <c r="X387" s="1085"/>
      <c r="Y387" s="1085"/>
      <c r="Z387" s="1085"/>
      <c r="AA387" s="1085"/>
      <c r="AB387" s="1085"/>
      <c r="AC387" s="1085"/>
      <c r="AD387" s="1086">
        <f t="shared" si="42"/>
        <v>0</v>
      </c>
      <c r="AE387" s="615">
        <f t="shared" si="38"/>
        <v>0</v>
      </c>
      <c r="AF387" s="616">
        <f t="shared" si="40"/>
        <v>394</v>
      </c>
    </row>
    <row r="388" spans="1:32" x14ac:dyDescent="0.3">
      <c r="A388" s="547" t="s">
        <v>695</v>
      </c>
      <c r="B388" s="681" t="s">
        <v>714</v>
      </c>
      <c r="C388" s="511"/>
      <c r="D388" s="512"/>
      <c r="E388" s="512" t="s">
        <v>251</v>
      </c>
      <c r="F388" s="512" t="s">
        <v>251</v>
      </c>
      <c r="G388" s="512" t="s">
        <v>251</v>
      </c>
      <c r="H388" s="512" t="s">
        <v>251</v>
      </c>
      <c r="I388" s="512" t="s">
        <v>251</v>
      </c>
      <c r="J388" s="512" t="s">
        <v>251</v>
      </c>
      <c r="K388" s="512"/>
      <c r="L388" s="512" t="s">
        <v>251</v>
      </c>
      <c r="M388" s="512" t="s">
        <v>251</v>
      </c>
      <c r="N388" s="512" t="s">
        <v>251</v>
      </c>
      <c r="O388" s="512" t="s">
        <v>251</v>
      </c>
      <c r="P388" s="1498">
        <f t="shared" si="35"/>
        <v>0</v>
      </c>
      <c r="Q388" s="699">
        <f t="shared" si="39"/>
        <v>0</v>
      </c>
      <c r="R388" s="1084" t="s">
        <v>251</v>
      </c>
      <c r="S388" s="1085" t="s">
        <v>251</v>
      </c>
      <c r="T388" s="1085"/>
      <c r="U388" s="1085"/>
      <c r="V388" s="1085"/>
      <c r="W388" s="1085"/>
      <c r="X388" s="1085"/>
      <c r="Y388" s="1085"/>
      <c r="Z388" s="1085"/>
      <c r="AA388" s="1085"/>
      <c r="AB388" s="1085"/>
      <c r="AC388" s="1085"/>
      <c r="AD388" s="1086">
        <f t="shared" si="42"/>
        <v>0</v>
      </c>
      <c r="AE388" s="615">
        <f t="shared" si="38"/>
        <v>0</v>
      </c>
      <c r="AF388" s="616">
        <f t="shared" si="40"/>
        <v>394</v>
      </c>
    </row>
    <row r="389" spans="1:32" x14ac:dyDescent="0.3">
      <c r="A389" s="547" t="s">
        <v>695</v>
      </c>
      <c r="B389" s="681" t="s">
        <v>715</v>
      </c>
      <c r="C389" s="511"/>
      <c r="D389" s="512"/>
      <c r="E389" s="512" t="s">
        <v>251</v>
      </c>
      <c r="F389" s="512" t="s">
        <v>251</v>
      </c>
      <c r="G389" s="512" t="s">
        <v>251</v>
      </c>
      <c r="H389" s="512" t="s">
        <v>251</v>
      </c>
      <c r="I389" s="512" t="s">
        <v>251</v>
      </c>
      <c r="J389" s="512" t="s">
        <v>251</v>
      </c>
      <c r="K389" s="512"/>
      <c r="L389" s="512" t="s">
        <v>251</v>
      </c>
      <c r="M389" s="512" t="s">
        <v>251</v>
      </c>
      <c r="N389" s="512" t="s">
        <v>251</v>
      </c>
      <c r="O389" s="512" t="s">
        <v>251</v>
      </c>
      <c r="P389" s="1498">
        <f t="shared" si="35"/>
        <v>0</v>
      </c>
      <c r="Q389" s="699">
        <f t="shared" si="39"/>
        <v>0</v>
      </c>
      <c r="R389" s="1084" t="s">
        <v>251</v>
      </c>
      <c r="S389" s="1085" t="s">
        <v>251</v>
      </c>
      <c r="T389" s="1085"/>
      <c r="U389" s="1085"/>
      <c r="V389" s="1085"/>
      <c r="W389" s="1085"/>
      <c r="X389" s="1085"/>
      <c r="Y389" s="1085"/>
      <c r="Z389" s="1085"/>
      <c r="AA389" s="1085"/>
      <c r="AB389" s="1085"/>
      <c r="AC389" s="1085"/>
      <c r="AD389" s="1086">
        <f t="shared" si="42"/>
        <v>0</v>
      </c>
      <c r="AE389" s="615">
        <f t="shared" si="38"/>
        <v>0</v>
      </c>
      <c r="AF389" s="616">
        <f t="shared" si="40"/>
        <v>394</v>
      </c>
    </row>
    <row r="390" spans="1:32" x14ac:dyDescent="0.3">
      <c r="A390" s="547" t="s">
        <v>695</v>
      </c>
      <c r="B390" s="681" t="s">
        <v>716</v>
      </c>
      <c r="C390" s="511"/>
      <c r="D390" s="512"/>
      <c r="E390" s="512" t="s">
        <v>251</v>
      </c>
      <c r="F390" s="512" t="s">
        <v>251</v>
      </c>
      <c r="G390" s="512" t="s">
        <v>251</v>
      </c>
      <c r="H390" s="512" t="s">
        <v>251</v>
      </c>
      <c r="I390" s="512" t="s">
        <v>251</v>
      </c>
      <c r="J390" s="512" t="s">
        <v>251</v>
      </c>
      <c r="K390" s="512"/>
      <c r="L390" s="512" t="s">
        <v>251</v>
      </c>
      <c r="M390" s="512" t="s">
        <v>251</v>
      </c>
      <c r="N390" s="512" t="s">
        <v>251</v>
      </c>
      <c r="O390" s="512" t="s">
        <v>251</v>
      </c>
      <c r="P390" s="1498">
        <f t="shared" ref="P390:P453" si="43">SUM(C390:I390,K390)</f>
        <v>0</v>
      </c>
      <c r="Q390" s="699">
        <f t="shared" si="39"/>
        <v>0</v>
      </c>
      <c r="R390" s="1084" t="s">
        <v>251</v>
      </c>
      <c r="S390" s="1085" t="s">
        <v>251</v>
      </c>
      <c r="T390" s="1085"/>
      <c r="U390" s="1085"/>
      <c r="V390" s="1085"/>
      <c r="W390" s="1085"/>
      <c r="X390" s="1085"/>
      <c r="Y390" s="1085"/>
      <c r="Z390" s="1085"/>
      <c r="AA390" s="1085"/>
      <c r="AB390" s="1085"/>
      <c r="AC390" s="1085"/>
      <c r="AD390" s="1086">
        <f t="shared" si="42"/>
        <v>0</v>
      </c>
      <c r="AE390" s="615">
        <f t="shared" si="38"/>
        <v>0</v>
      </c>
      <c r="AF390" s="616">
        <f t="shared" si="40"/>
        <v>394</v>
      </c>
    </row>
    <row r="391" spans="1:32" x14ac:dyDescent="0.3">
      <c r="A391" s="547" t="s">
        <v>695</v>
      </c>
      <c r="B391" s="681" t="s">
        <v>717</v>
      </c>
      <c r="C391" s="511"/>
      <c r="D391" s="512"/>
      <c r="E391" s="512" t="s">
        <v>251</v>
      </c>
      <c r="F391" s="512" t="s">
        <v>251</v>
      </c>
      <c r="G391" s="512" t="s">
        <v>251</v>
      </c>
      <c r="H391" s="512" t="s">
        <v>251</v>
      </c>
      <c r="I391" s="512" t="s">
        <v>251</v>
      </c>
      <c r="J391" s="512" t="s">
        <v>251</v>
      </c>
      <c r="K391" s="512"/>
      <c r="L391" s="512" t="s">
        <v>251</v>
      </c>
      <c r="M391" s="512" t="s">
        <v>251</v>
      </c>
      <c r="N391" s="512" t="s">
        <v>251</v>
      </c>
      <c r="O391" s="512" t="s">
        <v>251</v>
      </c>
      <c r="P391" s="1498">
        <f t="shared" si="43"/>
        <v>0</v>
      </c>
      <c r="Q391" s="699">
        <f t="shared" si="39"/>
        <v>0</v>
      </c>
      <c r="R391" s="1084" t="s">
        <v>251</v>
      </c>
      <c r="S391" s="1085" t="s">
        <v>251</v>
      </c>
      <c r="T391" s="1085"/>
      <c r="U391" s="1085"/>
      <c r="V391" s="1085"/>
      <c r="W391" s="1085"/>
      <c r="X391" s="1085"/>
      <c r="Y391" s="1085"/>
      <c r="Z391" s="1085"/>
      <c r="AA391" s="1085"/>
      <c r="AB391" s="1085"/>
      <c r="AC391" s="1085"/>
      <c r="AD391" s="1086">
        <f t="shared" si="42"/>
        <v>0</v>
      </c>
      <c r="AE391" s="615">
        <f t="shared" si="38"/>
        <v>0</v>
      </c>
      <c r="AF391" s="616">
        <f t="shared" si="40"/>
        <v>394</v>
      </c>
    </row>
    <row r="392" spans="1:32" x14ac:dyDescent="0.3">
      <c r="A392" s="547" t="s">
        <v>695</v>
      </c>
      <c r="B392" s="681" t="s">
        <v>718</v>
      </c>
      <c r="C392" s="511"/>
      <c r="D392" s="512"/>
      <c r="E392" s="512" t="s">
        <v>251</v>
      </c>
      <c r="F392" s="512" t="s">
        <v>251</v>
      </c>
      <c r="G392" s="512" t="s">
        <v>251</v>
      </c>
      <c r="H392" s="512" t="s">
        <v>251</v>
      </c>
      <c r="I392" s="512" t="s">
        <v>251</v>
      </c>
      <c r="J392" s="512" t="s">
        <v>251</v>
      </c>
      <c r="K392" s="512"/>
      <c r="L392" s="512" t="s">
        <v>251</v>
      </c>
      <c r="M392" s="512" t="s">
        <v>251</v>
      </c>
      <c r="N392" s="512" t="s">
        <v>251</v>
      </c>
      <c r="O392" s="512" t="s">
        <v>251</v>
      </c>
      <c r="P392" s="1498">
        <f t="shared" si="43"/>
        <v>0</v>
      </c>
      <c r="Q392" s="699">
        <f t="shared" si="39"/>
        <v>0</v>
      </c>
      <c r="R392" s="1084" t="s">
        <v>251</v>
      </c>
      <c r="S392" s="1085" t="s">
        <v>251</v>
      </c>
      <c r="T392" s="1085"/>
      <c r="U392" s="1085"/>
      <c r="V392" s="1085"/>
      <c r="W392" s="1085"/>
      <c r="X392" s="1085"/>
      <c r="Y392" s="1085"/>
      <c r="Z392" s="1085"/>
      <c r="AA392" s="1085"/>
      <c r="AB392" s="1085"/>
      <c r="AC392" s="1085"/>
      <c r="AD392" s="1086">
        <f t="shared" si="42"/>
        <v>0</v>
      </c>
      <c r="AE392" s="615">
        <f t="shared" si="38"/>
        <v>0</v>
      </c>
      <c r="AF392" s="616">
        <f t="shared" si="40"/>
        <v>394</v>
      </c>
    </row>
    <row r="393" spans="1:32" x14ac:dyDescent="0.3">
      <c r="A393" s="547" t="s">
        <v>695</v>
      </c>
      <c r="B393" s="681" t="s">
        <v>719</v>
      </c>
      <c r="C393" s="511"/>
      <c r="D393" s="512"/>
      <c r="E393" s="512" t="s">
        <v>251</v>
      </c>
      <c r="F393" s="512" t="s">
        <v>251</v>
      </c>
      <c r="G393" s="512" t="s">
        <v>251</v>
      </c>
      <c r="H393" s="512" t="s">
        <v>251</v>
      </c>
      <c r="I393" s="512" t="s">
        <v>251</v>
      </c>
      <c r="J393" s="512" t="s">
        <v>251</v>
      </c>
      <c r="K393" s="512"/>
      <c r="L393" s="512" t="s">
        <v>251</v>
      </c>
      <c r="M393" s="512" t="s">
        <v>251</v>
      </c>
      <c r="N393" s="512" t="s">
        <v>251</v>
      </c>
      <c r="O393" s="512" t="s">
        <v>251</v>
      </c>
      <c r="P393" s="1498">
        <f t="shared" si="43"/>
        <v>0</v>
      </c>
      <c r="Q393" s="699">
        <f t="shared" si="39"/>
        <v>0</v>
      </c>
      <c r="R393" s="1084" t="s">
        <v>251</v>
      </c>
      <c r="S393" s="1085" t="s">
        <v>251</v>
      </c>
      <c r="T393" s="1085"/>
      <c r="U393" s="1085"/>
      <c r="V393" s="1085"/>
      <c r="W393" s="1085"/>
      <c r="X393" s="1085"/>
      <c r="Y393" s="1085"/>
      <c r="Z393" s="1085"/>
      <c r="AA393" s="1085"/>
      <c r="AB393" s="1085"/>
      <c r="AC393" s="1085"/>
      <c r="AD393" s="1086">
        <f t="shared" si="42"/>
        <v>0</v>
      </c>
      <c r="AE393" s="615">
        <f t="shared" si="38"/>
        <v>0</v>
      </c>
      <c r="AF393" s="616">
        <f t="shared" si="40"/>
        <v>394</v>
      </c>
    </row>
    <row r="394" spans="1:32" x14ac:dyDescent="0.3">
      <c r="A394" s="547" t="s">
        <v>695</v>
      </c>
      <c r="B394" s="681" t="s">
        <v>720</v>
      </c>
      <c r="C394" s="511"/>
      <c r="D394" s="512"/>
      <c r="E394" s="512" t="s">
        <v>251</v>
      </c>
      <c r="F394" s="512" t="s">
        <v>251</v>
      </c>
      <c r="G394" s="512" t="s">
        <v>251</v>
      </c>
      <c r="H394" s="512" t="s">
        <v>251</v>
      </c>
      <c r="I394" s="512" t="s">
        <v>251</v>
      </c>
      <c r="J394" s="512" t="s">
        <v>251</v>
      </c>
      <c r="K394" s="512"/>
      <c r="L394" s="512" t="s">
        <v>251</v>
      </c>
      <c r="M394" s="512" t="s">
        <v>251</v>
      </c>
      <c r="N394" s="512" t="s">
        <v>251</v>
      </c>
      <c r="O394" s="512" t="s">
        <v>251</v>
      </c>
      <c r="P394" s="1498">
        <f t="shared" si="43"/>
        <v>0</v>
      </c>
      <c r="Q394" s="699">
        <f t="shared" si="39"/>
        <v>0</v>
      </c>
      <c r="R394" s="1084" t="s">
        <v>251</v>
      </c>
      <c r="S394" s="1085" t="s">
        <v>251</v>
      </c>
      <c r="T394" s="1085"/>
      <c r="U394" s="1085"/>
      <c r="V394" s="1085"/>
      <c r="W394" s="1085"/>
      <c r="X394" s="1085"/>
      <c r="Y394" s="1085"/>
      <c r="Z394" s="1085"/>
      <c r="AA394" s="1085"/>
      <c r="AB394" s="1085"/>
      <c r="AC394" s="1085"/>
      <c r="AD394" s="1086">
        <f t="shared" si="42"/>
        <v>0</v>
      </c>
      <c r="AE394" s="615">
        <f t="shared" si="38"/>
        <v>0</v>
      </c>
      <c r="AF394" s="616">
        <f t="shared" si="40"/>
        <v>394</v>
      </c>
    </row>
    <row r="395" spans="1:32" x14ac:dyDescent="0.3">
      <c r="A395" s="547" t="s">
        <v>695</v>
      </c>
      <c r="B395" s="681" t="s">
        <v>721</v>
      </c>
      <c r="C395" s="511"/>
      <c r="D395" s="512"/>
      <c r="E395" s="512" t="s">
        <v>251</v>
      </c>
      <c r="F395" s="512" t="s">
        <v>251</v>
      </c>
      <c r="G395" s="512" t="s">
        <v>251</v>
      </c>
      <c r="H395" s="512" t="s">
        <v>251</v>
      </c>
      <c r="I395" s="512" t="s">
        <v>251</v>
      </c>
      <c r="J395" s="512" t="s">
        <v>251</v>
      </c>
      <c r="K395" s="512"/>
      <c r="L395" s="512" t="s">
        <v>251</v>
      </c>
      <c r="M395" s="512" t="s">
        <v>251</v>
      </c>
      <c r="N395" s="512" t="s">
        <v>251</v>
      </c>
      <c r="O395" s="512" t="s">
        <v>251</v>
      </c>
      <c r="P395" s="1498">
        <f t="shared" si="43"/>
        <v>0</v>
      </c>
      <c r="Q395" s="699">
        <f t="shared" si="39"/>
        <v>0</v>
      </c>
      <c r="R395" s="1084" t="s">
        <v>251</v>
      </c>
      <c r="S395" s="1085" t="s">
        <v>251</v>
      </c>
      <c r="T395" s="1085"/>
      <c r="U395" s="1085"/>
      <c r="V395" s="1085"/>
      <c r="W395" s="1085"/>
      <c r="X395" s="1085"/>
      <c r="Y395" s="1085"/>
      <c r="Z395" s="1085"/>
      <c r="AA395" s="1085"/>
      <c r="AB395" s="1085"/>
      <c r="AC395" s="1085"/>
      <c r="AD395" s="1086">
        <f t="shared" si="42"/>
        <v>0</v>
      </c>
      <c r="AE395" s="615">
        <f t="shared" si="38"/>
        <v>0</v>
      </c>
      <c r="AF395" s="616">
        <f t="shared" si="40"/>
        <v>394</v>
      </c>
    </row>
    <row r="396" spans="1:32" x14ac:dyDescent="0.3">
      <c r="A396" s="547" t="s">
        <v>695</v>
      </c>
      <c r="B396" s="681" t="s">
        <v>722</v>
      </c>
      <c r="C396" s="511"/>
      <c r="D396" s="512"/>
      <c r="E396" s="512" t="s">
        <v>251</v>
      </c>
      <c r="F396" s="512" t="s">
        <v>251</v>
      </c>
      <c r="G396" s="512" t="s">
        <v>251</v>
      </c>
      <c r="H396" s="512" t="s">
        <v>251</v>
      </c>
      <c r="I396" s="512" t="s">
        <v>251</v>
      </c>
      <c r="J396" s="512" t="s">
        <v>251</v>
      </c>
      <c r="K396" s="512"/>
      <c r="L396" s="512" t="s">
        <v>251</v>
      </c>
      <c r="M396" s="512" t="s">
        <v>251</v>
      </c>
      <c r="N396" s="512" t="s">
        <v>251</v>
      </c>
      <c r="O396" s="512" t="s">
        <v>251</v>
      </c>
      <c r="P396" s="1498">
        <f t="shared" si="43"/>
        <v>0</v>
      </c>
      <c r="Q396" s="699">
        <f t="shared" si="39"/>
        <v>0</v>
      </c>
      <c r="R396" s="1084" t="s">
        <v>251</v>
      </c>
      <c r="S396" s="1085" t="s">
        <v>251</v>
      </c>
      <c r="T396" s="1085"/>
      <c r="U396" s="1085"/>
      <c r="V396" s="1085"/>
      <c r="W396" s="1085"/>
      <c r="X396" s="1085"/>
      <c r="Y396" s="1085"/>
      <c r="Z396" s="1085"/>
      <c r="AA396" s="1085"/>
      <c r="AB396" s="1085"/>
      <c r="AC396" s="1085"/>
      <c r="AD396" s="1086">
        <f t="shared" si="42"/>
        <v>0</v>
      </c>
      <c r="AE396" s="615">
        <f t="shared" si="38"/>
        <v>0</v>
      </c>
      <c r="AF396" s="616">
        <f t="shared" si="40"/>
        <v>394</v>
      </c>
    </row>
    <row r="397" spans="1:32" x14ac:dyDescent="0.3">
      <c r="A397" s="547" t="s">
        <v>695</v>
      </c>
      <c r="B397" s="681" t="s">
        <v>723</v>
      </c>
      <c r="C397" s="511"/>
      <c r="D397" s="512"/>
      <c r="E397" s="512" t="s">
        <v>251</v>
      </c>
      <c r="F397" s="512" t="s">
        <v>251</v>
      </c>
      <c r="G397" s="512" t="s">
        <v>251</v>
      </c>
      <c r="H397" s="512" t="s">
        <v>251</v>
      </c>
      <c r="I397" s="512" t="s">
        <v>251</v>
      </c>
      <c r="J397" s="512" t="s">
        <v>251</v>
      </c>
      <c r="K397" s="512"/>
      <c r="L397" s="512" t="s">
        <v>251</v>
      </c>
      <c r="M397" s="512" t="s">
        <v>251</v>
      </c>
      <c r="N397" s="512" t="s">
        <v>251</v>
      </c>
      <c r="O397" s="512" t="s">
        <v>251</v>
      </c>
      <c r="P397" s="1498">
        <f t="shared" si="43"/>
        <v>0</v>
      </c>
      <c r="Q397" s="699">
        <f t="shared" si="39"/>
        <v>0</v>
      </c>
      <c r="R397" s="1084" t="s">
        <v>251</v>
      </c>
      <c r="S397" s="1085" t="s">
        <v>251</v>
      </c>
      <c r="T397" s="1085"/>
      <c r="U397" s="1085"/>
      <c r="V397" s="1085"/>
      <c r="W397" s="1085"/>
      <c r="X397" s="1085"/>
      <c r="Y397" s="1085"/>
      <c r="Z397" s="1085"/>
      <c r="AA397" s="1085"/>
      <c r="AB397" s="1085"/>
      <c r="AC397" s="1085"/>
      <c r="AD397" s="1086">
        <f t="shared" si="42"/>
        <v>0</v>
      </c>
      <c r="AE397" s="615">
        <f t="shared" si="38"/>
        <v>0</v>
      </c>
      <c r="AF397" s="616">
        <f t="shared" si="40"/>
        <v>394</v>
      </c>
    </row>
    <row r="398" spans="1:32" x14ac:dyDescent="0.3">
      <c r="A398" s="547" t="s">
        <v>695</v>
      </c>
      <c r="B398" s="681" t="s">
        <v>724</v>
      </c>
      <c r="C398" s="511"/>
      <c r="D398" s="512"/>
      <c r="E398" s="512">
        <v>0</v>
      </c>
      <c r="F398" s="512">
        <v>0</v>
      </c>
      <c r="G398" s="512">
        <v>0</v>
      </c>
      <c r="H398" s="512">
        <v>635940</v>
      </c>
      <c r="I398" s="512">
        <v>221100</v>
      </c>
      <c r="J398" s="512">
        <v>221550</v>
      </c>
      <c r="K398" s="512">
        <v>221550</v>
      </c>
      <c r="L398" s="512">
        <v>0</v>
      </c>
      <c r="M398" s="512">
        <v>0</v>
      </c>
      <c r="N398" s="512">
        <v>0</v>
      </c>
      <c r="O398" s="512">
        <v>0</v>
      </c>
      <c r="P398" s="1498">
        <f t="shared" si="43"/>
        <v>1078590</v>
      </c>
      <c r="Q398" s="699">
        <f t="shared" si="39"/>
        <v>1078590</v>
      </c>
      <c r="R398" s="1084" t="s">
        <v>251</v>
      </c>
      <c r="S398" s="1085" t="s">
        <v>251</v>
      </c>
      <c r="T398" s="1085"/>
      <c r="U398" s="1085"/>
      <c r="V398" s="1085"/>
      <c r="W398" s="1085"/>
      <c r="X398" s="1085"/>
      <c r="Y398" s="1085"/>
      <c r="Z398" s="1085"/>
      <c r="AA398" s="1085"/>
      <c r="AB398" s="1085"/>
      <c r="AC398" s="1085"/>
      <c r="AD398" s="1086">
        <f t="shared" si="42"/>
        <v>0</v>
      </c>
      <c r="AE398" s="615">
        <f t="shared" si="38"/>
        <v>-1</v>
      </c>
      <c r="AF398" s="616">
        <f t="shared" si="40"/>
        <v>394</v>
      </c>
    </row>
    <row r="399" spans="1:32" x14ac:dyDescent="0.3">
      <c r="A399" s="547" t="s">
        <v>695</v>
      </c>
      <c r="B399" s="681" t="s">
        <v>725</v>
      </c>
      <c r="C399" s="511"/>
      <c r="D399" s="512"/>
      <c r="E399" s="512" t="s">
        <v>251</v>
      </c>
      <c r="F399" s="512" t="s">
        <v>251</v>
      </c>
      <c r="G399" s="512" t="s">
        <v>251</v>
      </c>
      <c r="H399" s="512" t="s">
        <v>251</v>
      </c>
      <c r="I399" s="512" t="s">
        <v>251</v>
      </c>
      <c r="J399" s="512" t="s">
        <v>251</v>
      </c>
      <c r="K399" s="512"/>
      <c r="L399" s="512" t="s">
        <v>251</v>
      </c>
      <c r="M399" s="512" t="s">
        <v>251</v>
      </c>
      <c r="N399" s="512" t="s">
        <v>251</v>
      </c>
      <c r="O399" s="512" t="s">
        <v>251</v>
      </c>
      <c r="P399" s="1498">
        <f t="shared" si="43"/>
        <v>0</v>
      </c>
      <c r="Q399" s="699">
        <f t="shared" si="39"/>
        <v>0</v>
      </c>
      <c r="R399" s="1084" t="s">
        <v>251</v>
      </c>
      <c r="S399" s="1085" t="s">
        <v>251</v>
      </c>
      <c r="T399" s="1085"/>
      <c r="U399" s="1085"/>
      <c r="V399" s="1085"/>
      <c r="W399" s="1085"/>
      <c r="X399" s="1085"/>
      <c r="Y399" s="1085"/>
      <c r="Z399" s="1085"/>
      <c r="AA399" s="1085"/>
      <c r="AB399" s="1085"/>
      <c r="AC399" s="1085"/>
      <c r="AD399" s="1086">
        <f t="shared" si="42"/>
        <v>0</v>
      </c>
      <c r="AE399" s="615">
        <f t="shared" si="38"/>
        <v>0</v>
      </c>
      <c r="AF399" s="616">
        <f t="shared" si="40"/>
        <v>394</v>
      </c>
    </row>
    <row r="400" spans="1:32" x14ac:dyDescent="0.3">
      <c r="A400" s="547" t="s">
        <v>695</v>
      </c>
      <c r="B400" s="681" t="s">
        <v>726</v>
      </c>
      <c r="C400" s="511"/>
      <c r="D400" s="512"/>
      <c r="E400" s="512" t="s">
        <v>251</v>
      </c>
      <c r="F400" s="512" t="s">
        <v>251</v>
      </c>
      <c r="G400" s="512" t="s">
        <v>251</v>
      </c>
      <c r="H400" s="512" t="s">
        <v>251</v>
      </c>
      <c r="I400" s="512" t="s">
        <v>251</v>
      </c>
      <c r="J400" s="512" t="s">
        <v>251</v>
      </c>
      <c r="K400" s="512"/>
      <c r="L400" s="512" t="s">
        <v>251</v>
      </c>
      <c r="M400" s="512" t="s">
        <v>251</v>
      </c>
      <c r="N400" s="512" t="s">
        <v>251</v>
      </c>
      <c r="O400" s="512" t="s">
        <v>251</v>
      </c>
      <c r="P400" s="1498">
        <f t="shared" si="43"/>
        <v>0</v>
      </c>
      <c r="Q400" s="699">
        <f t="shared" si="39"/>
        <v>0</v>
      </c>
      <c r="R400" s="1084" t="s">
        <v>251</v>
      </c>
      <c r="S400" s="1085" t="s">
        <v>251</v>
      </c>
      <c r="T400" s="1085"/>
      <c r="U400" s="1085"/>
      <c r="V400" s="1085"/>
      <c r="W400" s="1085"/>
      <c r="X400" s="1085"/>
      <c r="Y400" s="1085"/>
      <c r="Z400" s="1085"/>
      <c r="AA400" s="1085"/>
      <c r="AB400" s="1085"/>
      <c r="AC400" s="1085"/>
      <c r="AD400" s="1086">
        <f t="shared" si="42"/>
        <v>0</v>
      </c>
      <c r="AE400" s="615">
        <f t="shared" si="38"/>
        <v>0</v>
      </c>
      <c r="AF400" s="616">
        <f t="shared" si="40"/>
        <v>394</v>
      </c>
    </row>
    <row r="401" spans="1:32" x14ac:dyDescent="0.3">
      <c r="A401" s="547" t="s">
        <v>695</v>
      </c>
      <c r="B401" s="681" t="s">
        <v>1452</v>
      </c>
      <c r="C401" s="511"/>
      <c r="D401" s="512"/>
      <c r="E401" s="512" t="s">
        <v>251</v>
      </c>
      <c r="F401" s="512" t="s">
        <v>251</v>
      </c>
      <c r="G401" s="512" t="s">
        <v>251</v>
      </c>
      <c r="H401" s="512" t="s">
        <v>251</v>
      </c>
      <c r="I401" s="512" t="s">
        <v>251</v>
      </c>
      <c r="J401" s="512" t="s">
        <v>251</v>
      </c>
      <c r="K401" s="512"/>
      <c r="L401" s="512" t="s">
        <v>251</v>
      </c>
      <c r="M401" s="512" t="s">
        <v>251</v>
      </c>
      <c r="N401" s="512" t="s">
        <v>251</v>
      </c>
      <c r="O401" s="512" t="s">
        <v>251</v>
      </c>
      <c r="P401" s="1498">
        <f t="shared" si="43"/>
        <v>0</v>
      </c>
      <c r="Q401" s="699">
        <f t="shared" si="39"/>
        <v>0</v>
      </c>
      <c r="R401" s="1084" t="s">
        <v>251</v>
      </c>
      <c r="S401" s="1085" t="s">
        <v>251</v>
      </c>
      <c r="T401" s="1085"/>
      <c r="U401" s="1085"/>
      <c r="V401" s="1085"/>
      <c r="W401" s="1085"/>
      <c r="X401" s="1085"/>
      <c r="Y401" s="1085"/>
      <c r="Z401" s="1085"/>
      <c r="AA401" s="1085"/>
      <c r="AB401" s="1085"/>
      <c r="AC401" s="1085"/>
      <c r="AD401" s="1086">
        <f t="shared" si="42"/>
        <v>0</v>
      </c>
      <c r="AE401" s="615">
        <f t="shared" si="38"/>
        <v>0</v>
      </c>
      <c r="AF401" s="616">
        <f t="shared" si="40"/>
        <v>394</v>
      </c>
    </row>
    <row r="402" spans="1:32" x14ac:dyDescent="0.3">
      <c r="A402" s="547" t="s">
        <v>695</v>
      </c>
      <c r="B402" s="681" t="s">
        <v>1082</v>
      </c>
      <c r="C402" s="511"/>
      <c r="D402" s="512"/>
      <c r="E402" s="512" t="s">
        <v>251</v>
      </c>
      <c r="F402" s="512" t="s">
        <v>251</v>
      </c>
      <c r="G402" s="512" t="s">
        <v>251</v>
      </c>
      <c r="H402" s="512" t="s">
        <v>251</v>
      </c>
      <c r="I402" s="512" t="s">
        <v>251</v>
      </c>
      <c r="J402" s="512" t="s">
        <v>251</v>
      </c>
      <c r="K402" s="512"/>
      <c r="L402" s="512" t="s">
        <v>251</v>
      </c>
      <c r="M402" s="512" t="s">
        <v>251</v>
      </c>
      <c r="N402" s="512" t="s">
        <v>251</v>
      </c>
      <c r="O402" s="512" t="s">
        <v>251</v>
      </c>
      <c r="P402" s="1498">
        <f t="shared" si="43"/>
        <v>0</v>
      </c>
      <c r="Q402" s="699">
        <f t="shared" si="39"/>
        <v>0</v>
      </c>
      <c r="R402" s="1084" t="s">
        <v>251</v>
      </c>
      <c r="S402" s="1085" t="s">
        <v>251</v>
      </c>
      <c r="T402" s="1085"/>
      <c r="U402" s="1085"/>
      <c r="V402" s="1085"/>
      <c r="W402" s="1085"/>
      <c r="X402" s="1085"/>
      <c r="Y402" s="1085"/>
      <c r="Z402" s="1085"/>
      <c r="AA402" s="1085"/>
      <c r="AB402" s="1085"/>
      <c r="AC402" s="1085"/>
      <c r="AD402" s="1086">
        <f t="shared" si="42"/>
        <v>0</v>
      </c>
      <c r="AE402" s="615">
        <f t="shared" si="38"/>
        <v>0</v>
      </c>
      <c r="AF402" s="616">
        <f t="shared" si="40"/>
        <v>394</v>
      </c>
    </row>
    <row r="403" spans="1:32" x14ac:dyDescent="0.3">
      <c r="A403" s="547" t="s">
        <v>695</v>
      </c>
      <c r="B403" s="681" t="s">
        <v>1113</v>
      </c>
      <c r="C403" s="511"/>
      <c r="D403" s="512"/>
      <c r="E403" s="512" t="s">
        <v>251</v>
      </c>
      <c r="F403" s="512" t="s">
        <v>251</v>
      </c>
      <c r="G403" s="512" t="s">
        <v>251</v>
      </c>
      <c r="H403" s="512">
        <v>0</v>
      </c>
      <c r="I403" s="512" t="s">
        <v>251</v>
      </c>
      <c r="J403" s="512">
        <v>0</v>
      </c>
      <c r="K403" s="512"/>
      <c r="L403" s="512">
        <v>0</v>
      </c>
      <c r="M403" s="512">
        <v>209440</v>
      </c>
      <c r="N403" s="512">
        <v>0</v>
      </c>
      <c r="O403" s="512">
        <v>0</v>
      </c>
      <c r="P403" s="1498">
        <f t="shared" si="43"/>
        <v>0</v>
      </c>
      <c r="Q403" s="699">
        <f t="shared" si="39"/>
        <v>209440</v>
      </c>
      <c r="R403" s="1084" t="s">
        <v>251</v>
      </c>
      <c r="S403" s="1085" t="s">
        <v>251</v>
      </c>
      <c r="T403" s="1085"/>
      <c r="U403" s="1085"/>
      <c r="V403" s="1085"/>
      <c r="W403" s="1085"/>
      <c r="X403" s="1085"/>
      <c r="Y403" s="1085"/>
      <c r="Z403" s="1085"/>
      <c r="AA403" s="1085"/>
      <c r="AB403" s="1085"/>
      <c r="AC403" s="1085"/>
      <c r="AD403" s="1086">
        <f t="shared" si="42"/>
        <v>0</v>
      </c>
      <c r="AE403" s="615">
        <f t="shared" si="38"/>
        <v>0</v>
      </c>
      <c r="AF403" s="616">
        <f t="shared" si="40"/>
        <v>394</v>
      </c>
    </row>
    <row r="404" spans="1:32" x14ac:dyDescent="0.3">
      <c r="A404" s="547" t="s">
        <v>695</v>
      </c>
      <c r="B404" s="681" t="s">
        <v>1797</v>
      </c>
      <c r="C404" s="511"/>
      <c r="D404" s="512"/>
      <c r="E404" s="512" t="s">
        <v>251</v>
      </c>
      <c r="F404" s="512" t="s">
        <v>251</v>
      </c>
      <c r="G404" s="512" t="s">
        <v>251</v>
      </c>
      <c r="H404" s="512" t="s">
        <v>251</v>
      </c>
      <c r="I404" s="512" t="s">
        <v>251</v>
      </c>
      <c r="J404" s="512" t="s">
        <v>251</v>
      </c>
      <c r="K404" s="512"/>
      <c r="L404" s="512" t="s">
        <v>251</v>
      </c>
      <c r="M404" s="512" t="s">
        <v>251</v>
      </c>
      <c r="N404" s="512" t="s">
        <v>251</v>
      </c>
      <c r="O404" s="512" t="s">
        <v>251</v>
      </c>
      <c r="P404" s="1498">
        <f t="shared" si="43"/>
        <v>0</v>
      </c>
      <c r="Q404" s="699">
        <f t="shared" si="39"/>
        <v>0</v>
      </c>
      <c r="R404" s="1084" t="s">
        <v>251</v>
      </c>
      <c r="S404" s="1085" t="s">
        <v>251</v>
      </c>
      <c r="T404" s="1085"/>
      <c r="U404" s="1085"/>
      <c r="V404" s="1085"/>
      <c r="W404" s="1085"/>
      <c r="X404" s="1085"/>
      <c r="Y404" s="1085"/>
      <c r="Z404" s="1085"/>
      <c r="AA404" s="1085"/>
      <c r="AB404" s="1085"/>
      <c r="AC404" s="1085"/>
      <c r="AD404" s="1086">
        <f t="shared" si="42"/>
        <v>0</v>
      </c>
      <c r="AE404" s="615">
        <f t="shared" si="38"/>
        <v>0</v>
      </c>
      <c r="AF404" s="616">
        <f t="shared" si="40"/>
        <v>394</v>
      </c>
    </row>
    <row r="405" spans="1:32" x14ac:dyDescent="0.3">
      <c r="A405" s="547" t="s">
        <v>695</v>
      </c>
      <c r="B405" s="681" t="s">
        <v>1798</v>
      </c>
      <c r="C405" s="511"/>
      <c r="D405" s="512"/>
      <c r="E405" s="512">
        <v>0</v>
      </c>
      <c r="F405" s="512">
        <v>0</v>
      </c>
      <c r="G405" s="512">
        <v>0</v>
      </c>
      <c r="H405" s="512">
        <v>283130</v>
      </c>
      <c r="I405" s="512">
        <v>257020</v>
      </c>
      <c r="J405" s="512">
        <v>0</v>
      </c>
      <c r="K405" s="512">
        <v>0</v>
      </c>
      <c r="L405" s="512">
        <v>0</v>
      </c>
      <c r="M405" s="512">
        <v>0</v>
      </c>
      <c r="N405" s="512">
        <v>0</v>
      </c>
      <c r="O405" s="512">
        <v>0</v>
      </c>
      <c r="P405" s="1498">
        <f t="shared" si="43"/>
        <v>540150</v>
      </c>
      <c r="Q405" s="699">
        <f t="shared" si="39"/>
        <v>540150</v>
      </c>
      <c r="R405" s="1084" t="s">
        <v>251</v>
      </c>
      <c r="S405" s="1085" t="s">
        <v>251</v>
      </c>
      <c r="T405" s="1085"/>
      <c r="U405" s="1085"/>
      <c r="V405" s="1085"/>
      <c r="W405" s="1085"/>
      <c r="X405" s="1085"/>
      <c r="Y405" s="1085"/>
      <c r="Z405" s="1085"/>
      <c r="AA405" s="1085"/>
      <c r="AB405" s="1085"/>
      <c r="AC405" s="1085"/>
      <c r="AD405" s="1086">
        <f t="shared" si="42"/>
        <v>0</v>
      </c>
      <c r="AE405" s="615">
        <f t="shared" si="38"/>
        <v>-1</v>
      </c>
      <c r="AF405" s="616">
        <f t="shared" si="40"/>
        <v>394</v>
      </c>
    </row>
    <row r="406" spans="1:32" x14ac:dyDescent="0.3">
      <c r="A406" s="547" t="s">
        <v>695</v>
      </c>
      <c r="B406" s="681" t="s">
        <v>1075</v>
      </c>
      <c r="C406" s="511"/>
      <c r="D406" s="512"/>
      <c r="E406" s="512" t="s">
        <v>251</v>
      </c>
      <c r="F406" s="512" t="s">
        <v>251</v>
      </c>
      <c r="G406" s="512" t="s">
        <v>251</v>
      </c>
      <c r="H406" s="512" t="s">
        <v>251</v>
      </c>
      <c r="I406" s="512" t="s">
        <v>251</v>
      </c>
      <c r="J406" s="512" t="s">
        <v>251</v>
      </c>
      <c r="K406" s="512"/>
      <c r="L406" s="512" t="s">
        <v>251</v>
      </c>
      <c r="M406" s="512" t="s">
        <v>251</v>
      </c>
      <c r="N406" s="512" t="s">
        <v>251</v>
      </c>
      <c r="O406" s="512" t="s">
        <v>251</v>
      </c>
      <c r="P406" s="1498">
        <f t="shared" si="43"/>
        <v>0</v>
      </c>
      <c r="Q406" s="699">
        <f t="shared" si="39"/>
        <v>0</v>
      </c>
      <c r="R406" s="1084" t="s">
        <v>251</v>
      </c>
      <c r="S406" s="1085" t="s">
        <v>251</v>
      </c>
      <c r="T406" s="1085"/>
      <c r="U406" s="1085"/>
      <c r="V406" s="1085"/>
      <c r="W406" s="1085"/>
      <c r="X406" s="1085"/>
      <c r="Y406" s="1085"/>
      <c r="Z406" s="1085"/>
      <c r="AA406" s="1085"/>
      <c r="AB406" s="1085"/>
      <c r="AC406" s="1085"/>
      <c r="AD406" s="1086">
        <f t="shared" si="42"/>
        <v>0</v>
      </c>
      <c r="AE406" s="615">
        <f t="shared" si="38"/>
        <v>0</v>
      </c>
      <c r="AF406" s="616">
        <f t="shared" si="40"/>
        <v>394</v>
      </c>
    </row>
    <row r="407" spans="1:32" x14ac:dyDescent="0.3">
      <c r="A407" s="547" t="s">
        <v>695</v>
      </c>
      <c r="B407" s="681" t="s">
        <v>667</v>
      </c>
      <c r="C407" s="511"/>
      <c r="D407" s="512"/>
      <c r="E407" s="512" t="s">
        <v>251</v>
      </c>
      <c r="F407" s="512" t="s">
        <v>251</v>
      </c>
      <c r="G407" s="512" t="s">
        <v>251</v>
      </c>
      <c r="H407" s="512" t="s">
        <v>251</v>
      </c>
      <c r="I407" s="512" t="s">
        <v>251</v>
      </c>
      <c r="J407" s="512" t="s">
        <v>251</v>
      </c>
      <c r="K407" s="512"/>
      <c r="L407" s="512" t="s">
        <v>251</v>
      </c>
      <c r="M407" s="512" t="s">
        <v>251</v>
      </c>
      <c r="N407" s="512" t="s">
        <v>251</v>
      </c>
      <c r="O407" s="512" t="s">
        <v>251</v>
      </c>
      <c r="P407" s="1498">
        <f t="shared" si="43"/>
        <v>0</v>
      </c>
      <c r="Q407" s="699">
        <f t="shared" si="39"/>
        <v>0</v>
      </c>
      <c r="R407" s="1084" t="s">
        <v>251</v>
      </c>
      <c r="S407" s="1085" t="s">
        <v>251</v>
      </c>
      <c r="T407" s="1085"/>
      <c r="U407" s="1085"/>
      <c r="V407" s="1085"/>
      <c r="W407" s="1085"/>
      <c r="X407" s="1085"/>
      <c r="Y407" s="1085"/>
      <c r="Z407" s="1085"/>
      <c r="AA407" s="1085"/>
      <c r="AB407" s="1085"/>
      <c r="AC407" s="1085"/>
      <c r="AD407" s="1086">
        <f t="shared" si="42"/>
        <v>0</v>
      </c>
      <c r="AE407" s="615">
        <f t="shared" si="38"/>
        <v>0</v>
      </c>
      <c r="AF407" s="616">
        <f t="shared" si="40"/>
        <v>394</v>
      </c>
    </row>
    <row r="408" spans="1:32" x14ac:dyDescent="0.3">
      <c r="A408" s="547" t="s">
        <v>695</v>
      </c>
      <c r="B408" s="681" t="s">
        <v>802</v>
      </c>
      <c r="C408" s="511"/>
      <c r="D408" s="512"/>
      <c r="E408" s="512" t="s">
        <v>251</v>
      </c>
      <c r="F408" s="512" t="s">
        <v>251</v>
      </c>
      <c r="G408" s="512" t="s">
        <v>251</v>
      </c>
      <c r="H408" s="512" t="s">
        <v>251</v>
      </c>
      <c r="I408" s="512" t="s">
        <v>251</v>
      </c>
      <c r="J408" s="512" t="s">
        <v>251</v>
      </c>
      <c r="K408" s="512"/>
      <c r="L408" s="512" t="s">
        <v>251</v>
      </c>
      <c r="M408" s="512" t="s">
        <v>251</v>
      </c>
      <c r="N408" s="512" t="s">
        <v>251</v>
      </c>
      <c r="O408" s="512" t="s">
        <v>251</v>
      </c>
      <c r="P408" s="1498">
        <f t="shared" si="43"/>
        <v>0</v>
      </c>
      <c r="Q408" s="699">
        <f t="shared" si="39"/>
        <v>0</v>
      </c>
      <c r="R408" s="1084" t="s">
        <v>251</v>
      </c>
      <c r="S408" s="1085" t="s">
        <v>251</v>
      </c>
      <c r="T408" s="1085"/>
      <c r="U408" s="1085"/>
      <c r="V408" s="1085"/>
      <c r="W408" s="1085"/>
      <c r="X408" s="1085"/>
      <c r="Y408" s="1085"/>
      <c r="Z408" s="1085"/>
      <c r="AA408" s="1085"/>
      <c r="AB408" s="1085"/>
      <c r="AC408" s="1085"/>
      <c r="AD408" s="1086">
        <f t="shared" si="42"/>
        <v>0</v>
      </c>
      <c r="AE408" s="615">
        <f t="shared" si="38"/>
        <v>0</v>
      </c>
      <c r="AF408" s="616">
        <f t="shared" si="40"/>
        <v>394</v>
      </c>
    </row>
    <row r="409" spans="1:32" x14ac:dyDescent="0.3">
      <c r="A409" s="547" t="s">
        <v>695</v>
      </c>
      <c r="B409" s="681" t="s">
        <v>1804</v>
      </c>
      <c r="C409" s="511"/>
      <c r="D409" s="512"/>
      <c r="E409" s="512" t="s">
        <v>251</v>
      </c>
      <c r="F409" s="512" t="s">
        <v>251</v>
      </c>
      <c r="G409" s="512" t="s">
        <v>251</v>
      </c>
      <c r="H409" s="512" t="s">
        <v>251</v>
      </c>
      <c r="I409" s="512" t="s">
        <v>251</v>
      </c>
      <c r="J409" s="512" t="s">
        <v>251</v>
      </c>
      <c r="K409" s="512"/>
      <c r="L409" s="512" t="s">
        <v>251</v>
      </c>
      <c r="M409" s="512" t="s">
        <v>251</v>
      </c>
      <c r="N409" s="512" t="s">
        <v>251</v>
      </c>
      <c r="O409" s="512" t="s">
        <v>251</v>
      </c>
      <c r="P409" s="1498">
        <f t="shared" si="43"/>
        <v>0</v>
      </c>
      <c r="Q409" s="699">
        <f t="shared" si="39"/>
        <v>0</v>
      </c>
      <c r="R409" s="1084" t="s">
        <v>251</v>
      </c>
      <c r="S409" s="1085" t="s">
        <v>251</v>
      </c>
      <c r="T409" s="1085"/>
      <c r="U409" s="1085"/>
      <c r="V409" s="1085"/>
      <c r="W409" s="1085"/>
      <c r="X409" s="1085"/>
      <c r="Y409" s="1085"/>
      <c r="Z409" s="1085"/>
      <c r="AA409" s="1085"/>
      <c r="AB409" s="1085"/>
      <c r="AC409" s="1085"/>
      <c r="AD409" s="1086">
        <f t="shared" si="42"/>
        <v>0</v>
      </c>
      <c r="AE409" s="615">
        <f t="shared" si="38"/>
        <v>0</v>
      </c>
      <c r="AF409" s="616">
        <f t="shared" si="40"/>
        <v>394</v>
      </c>
    </row>
    <row r="410" spans="1:32" x14ac:dyDescent="0.3">
      <c r="A410" s="547" t="s">
        <v>695</v>
      </c>
      <c r="B410" s="681" t="s">
        <v>1805</v>
      </c>
      <c r="C410" s="511"/>
      <c r="D410" s="512"/>
      <c r="E410" s="512" t="s">
        <v>251</v>
      </c>
      <c r="F410" s="512" t="s">
        <v>251</v>
      </c>
      <c r="G410" s="512" t="s">
        <v>251</v>
      </c>
      <c r="H410" s="512" t="s">
        <v>251</v>
      </c>
      <c r="I410" s="512" t="s">
        <v>251</v>
      </c>
      <c r="J410" s="512" t="s">
        <v>251</v>
      </c>
      <c r="K410" s="512"/>
      <c r="L410" s="512" t="s">
        <v>251</v>
      </c>
      <c r="M410" s="512" t="s">
        <v>251</v>
      </c>
      <c r="N410" s="512" t="s">
        <v>251</v>
      </c>
      <c r="O410" s="512" t="s">
        <v>251</v>
      </c>
      <c r="P410" s="1498">
        <f t="shared" si="43"/>
        <v>0</v>
      </c>
      <c r="Q410" s="699">
        <f t="shared" si="39"/>
        <v>0</v>
      </c>
      <c r="R410" s="1084" t="s">
        <v>251</v>
      </c>
      <c r="S410" s="1085" t="s">
        <v>251</v>
      </c>
      <c r="T410" s="1085"/>
      <c r="U410" s="1085"/>
      <c r="V410" s="1085"/>
      <c r="W410" s="1085"/>
      <c r="X410" s="1085"/>
      <c r="Y410" s="1085"/>
      <c r="Z410" s="1085"/>
      <c r="AA410" s="1085"/>
      <c r="AB410" s="1085"/>
      <c r="AC410" s="1085"/>
      <c r="AD410" s="1086">
        <f t="shared" si="42"/>
        <v>0</v>
      </c>
      <c r="AE410" s="615">
        <f t="shared" si="38"/>
        <v>0</v>
      </c>
      <c r="AF410" s="616">
        <f t="shared" si="40"/>
        <v>394</v>
      </c>
    </row>
    <row r="411" spans="1:32" x14ac:dyDescent="0.3">
      <c r="A411" s="547" t="s">
        <v>695</v>
      </c>
      <c r="B411" s="681" t="s">
        <v>1091</v>
      </c>
      <c r="C411" s="511"/>
      <c r="D411" s="512"/>
      <c r="E411" s="512" t="s">
        <v>251</v>
      </c>
      <c r="F411" s="512" t="s">
        <v>251</v>
      </c>
      <c r="G411" s="512" t="s">
        <v>251</v>
      </c>
      <c r="H411" s="512" t="s">
        <v>251</v>
      </c>
      <c r="I411" s="512" t="s">
        <v>251</v>
      </c>
      <c r="J411" s="512" t="s">
        <v>251</v>
      </c>
      <c r="K411" s="512"/>
      <c r="L411" s="512" t="s">
        <v>251</v>
      </c>
      <c r="M411" s="512" t="s">
        <v>251</v>
      </c>
      <c r="N411" s="512" t="s">
        <v>251</v>
      </c>
      <c r="O411" s="512" t="s">
        <v>251</v>
      </c>
      <c r="P411" s="1498">
        <f t="shared" si="43"/>
        <v>0</v>
      </c>
      <c r="Q411" s="699">
        <f t="shared" si="39"/>
        <v>0</v>
      </c>
      <c r="R411" s="1084" t="s">
        <v>251</v>
      </c>
      <c r="S411" s="1085" t="s">
        <v>251</v>
      </c>
      <c r="T411" s="1085"/>
      <c r="U411" s="1085"/>
      <c r="V411" s="1085"/>
      <c r="W411" s="1085"/>
      <c r="X411" s="1085"/>
      <c r="Y411" s="1085"/>
      <c r="Z411" s="1085"/>
      <c r="AA411" s="1085"/>
      <c r="AB411" s="1085"/>
      <c r="AC411" s="1085"/>
      <c r="AD411" s="1086">
        <f t="shared" si="42"/>
        <v>0</v>
      </c>
      <c r="AE411" s="615">
        <f t="shared" si="38"/>
        <v>0</v>
      </c>
      <c r="AF411" s="616">
        <f t="shared" si="40"/>
        <v>394</v>
      </c>
    </row>
    <row r="412" spans="1:32" x14ac:dyDescent="0.3">
      <c r="A412" s="547" t="s">
        <v>695</v>
      </c>
      <c r="B412" s="681" t="s">
        <v>1099</v>
      </c>
      <c r="C412" s="511"/>
      <c r="D412" s="512"/>
      <c r="E412" s="512" t="s">
        <v>251</v>
      </c>
      <c r="F412" s="512" t="s">
        <v>251</v>
      </c>
      <c r="G412" s="512" t="s">
        <v>251</v>
      </c>
      <c r="H412" s="512" t="s">
        <v>251</v>
      </c>
      <c r="I412" s="512" t="s">
        <v>251</v>
      </c>
      <c r="J412" s="512" t="s">
        <v>251</v>
      </c>
      <c r="K412" s="512"/>
      <c r="L412" s="512" t="s">
        <v>251</v>
      </c>
      <c r="M412" s="512" t="s">
        <v>251</v>
      </c>
      <c r="N412" s="512" t="s">
        <v>251</v>
      </c>
      <c r="O412" s="512" t="s">
        <v>251</v>
      </c>
      <c r="P412" s="1498">
        <f t="shared" si="43"/>
        <v>0</v>
      </c>
      <c r="Q412" s="699">
        <f t="shared" si="39"/>
        <v>0</v>
      </c>
      <c r="R412" s="1084" t="s">
        <v>251</v>
      </c>
      <c r="S412" s="1085" t="s">
        <v>251</v>
      </c>
      <c r="T412" s="1085"/>
      <c r="U412" s="1085"/>
      <c r="V412" s="1085"/>
      <c r="W412" s="1085"/>
      <c r="X412" s="1085"/>
      <c r="Y412" s="1085"/>
      <c r="Z412" s="1085"/>
      <c r="AA412" s="1085"/>
      <c r="AB412" s="1085"/>
      <c r="AC412" s="1085"/>
      <c r="AD412" s="1086">
        <f t="shared" si="42"/>
        <v>0</v>
      </c>
      <c r="AE412" s="615">
        <f t="shared" si="38"/>
        <v>0</v>
      </c>
      <c r="AF412" s="616">
        <f t="shared" si="40"/>
        <v>394</v>
      </c>
    </row>
    <row r="413" spans="1:32" x14ac:dyDescent="0.3">
      <c r="A413" s="547" t="s">
        <v>695</v>
      </c>
      <c r="B413" s="681" t="s">
        <v>1815</v>
      </c>
      <c r="C413" s="511"/>
      <c r="D413" s="512"/>
      <c r="E413" s="512" t="s">
        <v>251</v>
      </c>
      <c r="F413" s="512" t="s">
        <v>251</v>
      </c>
      <c r="G413" s="512" t="s">
        <v>251</v>
      </c>
      <c r="H413" s="512" t="s">
        <v>251</v>
      </c>
      <c r="I413" s="512" t="s">
        <v>251</v>
      </c>
      <c r="J413" s="512" t="s">
        <v>251</v>
      </c>
      <c r="K413" s="512"/>
      <c r="L413" s="512" t="s">
        <v>251</v>
      </c>
      <c r="M413" s="512" t="s">
        <v>251</v>
      </c>
      <c r="N413" s="512" t="s">
        <v>251</v>
      </c>
      <c r="O413" s="512" t="s">
        <v>251</v>
      </c>
      <c r="P413" s="1498">
        <f t="shared" si="43"/>
        <v>0</v>
      </c>
      <c r="Q413" s="699">
        <f t="shared" si="39"/>
        <v>0</v>
      </c>
      <c r="R413" s="1084" t="s">
        <v>251</v>
      </c>
      <c r="S413" s="1085" t="s">
        <v>251</v>
      </c>
      <c r="T413" s="1085"/>
      <c r="U413" s="1085"/>
      <c r="V413" s="1085"/>
      <c r="W413" s="1085"/>
      <c r="X413" s="1085"/>
      <c r="Y413" s="1085"/>
      <c r="Z413" s="1085"/>
      <c r="AA413" s="1085"/>
      <c r="AB413" s="1085"/>
      <c r="AC413" s="1085"/>
      <c r="AD413" s="1086">
        <f t="shared" si="42"/>
        <v>0</v>
      </c>
      <c r="AE413" s="615">
        <f t="shared" ref="AE413:AE481" si="44">IF(OR(AD413="", P413=""), 0, IFERROR((AD413-P413)/P413, IF(AD413&lt;&gt;0, 1, 0)))</f>
        <v>0</v>
      </c>
      <c r="AF413" s="616">
        <f t="shared" si="40"/>
        <v>394</v>
      </c>
    </row>
    <row r="414" spans="1:32" x14ac:dyDescent="0.3">
      <c r="A414" s="547" t="s">
        <v>695</v>
      </c>
      <c r="B414" s="681" t="s">
        <v>1847</v>
      </c>
      <c r="C414" s="511"/>
      <c r="D414" s="512"/>
      <c r="E414" s="512">
        <v>0</v>
      </c>
      <c r="F414" s="512">
        <v>0</v>
      </c>
      <c r="G414" s="512">
        <v>0</v>
      </c>
      <c r="H414" s="512">
        <v>454530</v>
      </c>
      <c r="I414" s="512">
        <v>0</v>
      </c>
      <c r="J414" s="512">
        <v>0</v>
      </c>
      <c r="K414" s="512">
        <v>0</v>
      </c>
      <c r="L414" s="512">
        <v>0</v>
      </c>
      <c r="M414" s="512">
        <v>0</v>
      </c>
      <c r="N414" s="512">
        <v>0</v>
      </c>
      <c r="O414" s="512">
        <v>0</v>
      </c>
      <c r="P414" s="1498">
        <f t="shared" si="43"/>
        <v>454530</v>
      </c>
      <c r="Q414" s="699">
        <f t="shared" si="39"/>
        <v>454530</v>
      </c>
      <c r="R414" s="1084" t="s">
        <v>251</v>
      </c>
      <c r="S414" s="1085" t="s">
        <v>251</v>
      </c>
      <c r="T414" s="1085"/>
      <c r="U414" s="1085"/>
      <c r="V414" s="1085"/>
      <c r="W414" s="1085"/>
      <c r="X414" s="1085"/>
      <c r="Y414" s="1085"/>
      <c r="Z414" s="1085"/>
      <c r="AA414" s="1085"/>
      <c r="AB414" s="1085"/>
      <c r="AC414" s="1085"/>
      <c r="AD414" s="1086">
        <f t="shared" si="42"/>
        <v>0</v>
      </c>
      <c r="AE414" s="615">
        <f t="shared" si="44"/>
        <v>-1</v>
      </c>
      <c r="AF414" s="616">
        <f t="shared" si="40"/>
        <v>394</v>
      </c>
    </row>
    <row r="415" spans="1:32" x14ac:dyDescent="0.3">
      <c r="A415" s="547" t="s">
        <v>695</v>
      </c>
      <c r="B415" s="681" t="s">
        <v>1883</v>
      </c>
      <c r="C415" s="511"/>
      <c r="D415" s="512"/>
      <c r="E415" s="512">
        <v>0</v>
      </c>
      <c r="F415" s="512">
        <v>0</v>
      </c>
      <c r="G415" s="512">
        <v>0</v>
      </c>
      <c r="H415" s="512">
        <v>0</v>
      </c>
      <c r="I415" s="512">
        <v>0</v>
      </c>
      <c r="J415" s="512">
        <v>0</v>
      </c>
      <c r="K415" s="512"/>
      <c r="L415" s="512">
        <v>409200</v>
      </c>
      <c r="M415" s="512">
        <v>0</v>
      </c>
      <c r="N415" s="512">
        <v>0</v>
      </c>
      <c r="O415" s="512">
        <v>0</v>
      </c>
      <c r="P415" s="1498">
        <f t="shared" si="43"/>
        <v>0</v>
      </c>
      <c r="Q415" s="699">
        <f t="shared" si="39"/>
        <v>409200</v>
      </c>
      <c r="R415" s="1084" t="s">
        <v>251</v>
      </c>
      <c r="S415" s="1085" t="s">
        <v>251</v>
      </c>
      <c r="T415" s="1085"/>
      <c r="U415" s="1085"/>
      <c r="V415" s="1085"/>
      <c r="W415" s="1085"/>
      <c r="X415" s="1085"/>
      <c r="Y415" s="1085"/>
      <c r="Z415" s="1085"/>
      <c r="AA415" s="1085"/>
      <c r="AB415" s="1085"/>
      <c r="AC415" s="1085"/>
      <c r="AD415" s="1086">
        <f t="shared" si="42"/>
        <v>0</v>
      </c>
      <c r="AE415" s="615">
        <f t="shared" si="44"/>
        <v>0</v>
      </c>
      <c r="AF415" s="616">
        <f t="shared" si="40"/>
        <v>394</v>
      </c>
    </row>
    <row r="416" spans="1:32" x14ac:dyDescent="0.3">
      <c r="A416" s="547" t="s">
        <v>695</v>
      </c>
      <c r="B416" s="681" t="s">
        <v>808</v>
      </c>
      <c r="C416" s="511"/>
      <c r="D416" s="512"/>
      <c r="E416" s="512">
        <v>0</v>
      </c>
      <c r="F416" s="512">
        <v>0</v>
      </c>
      <c r="G416" s="512">
        <v>0</v>
      </c>
      <c r="H416" s="512">
        <v>0</v>
      </c>
      <c r="I416" s="512">
        <v>0</v>
      </c>
      <c r="J416" s="512">
        <v>0</v>
      </c>
      <c r="K416" s="512"/>
      <c r="L416" s="512">
        <v>0</v>
      </c>
      <c r="M416" s="512">
        <v>341620</v>
      </c>
      <c r="N416" s="512">
        <v>0</v>
      </c>
      <c r="O416" s="512">
        <v>0</v>
      </c>
      <c r="P416" s="1498">
        <f t="shared" si="43"/>
        <v>0</v>
      </c>
      <c r="Q416" s="699">
        <f t="shared" si="39"/>
        <v>341620</v>
      </c>
      <c r="R416" s="1084" t="s">
        <v>251</v>
      </c>
      <c r="S416" s="1085" t="s">
        <v>251</v>
      </c>
      <c r="T416" s="1085"/>
      <c r="U416" s="1085"/>
      <c r="V416" s="1085">
        <v>87750</v>
      </c>
      <c r="W416" s="1085">
        <v>0</v>
      </c>
      <c r="X416" s="1085">
        <v>0</v>
      </c>
      <c r="Y416" s="1085">
        <v>0</v>
      </c>
      <c r="Z416" s="1085"/>
      <c r="AA416" s="1085"/>
      <c r="AB416" s="1085"/>
      <c r="AC416" s="1085"/>
      <c r="AD416" s="1086">
        <f t="shared" si="42"/>
        <v>87750</v>
      </c>
      <c r="AE416" s="615">
        <f t="shared" si="44"/>
        <v>1</v>
      </c>
      <c r="AF416" s="616">
        <f t="shared" si="40"/>
        <v>349</v>
      </c>
    </row>
    <row r="417" spans="1:32" x14ac:dyDescent="0.3">
      <c r="A417" s="547" t="s">
        <v>695</v>
      </c>
      <c r="B417" s="681" t="s">
        <v>1964</v>
      </c>
      <c r="C417" s="511"/>
      <c r="D417" s="512"/>
      <c r="E417" s="512">
        <v>0</v>
      </c>
      <c r="F417" s="512">
        <v>0</v>
      </c>
      <c r="G417" s="512">
        <v>0</v>
      </c>
      <c r="H417" s="512" t="s">
        <v>251</v>
      </c>
      <c r="I417" s="512">
        <v>0</v>
      </c>
      <c r="J417" s="512" t="s">
        <v>251</v>
      </c>
      <c r="K417" s="512"/>
      <c r="L417" s="512" t="s">
        <v>251</v>
      </c>
      <c r="M417" s="512" t="s">
        <v>251</v>
      </c>
      <c r="N417" s="512" t="s">
        <v>251</v>
      </c>
      <c r="O417" s="512">
        <v>119370</v>
      </c>
      <c r="P417" s="1498">
        <f t="shared" si="43"/>
        <v>0</v>
      </c>
      <c r="Q417" s="699">
        <f t="shared" si="39"/>
        <v>119370</v>
      </c>
      <c r="R417" s="1084" t="s">
        <v>251</v>
      </c>
      <c r="S417" s="1085" t="s">
        <v>251</v>
      </c>
      <c r="T417" s="1085"/>
      <c r="U417" s="1085"/>
      <c r="V417" s="1085"/>
      <c r="W417" s="1085"/>
      <c r="X417" s="1085"/>
      <c r="Y417" s="1085"/>
      <c r="Z417" s="1085"/>
      <c r="AA417" s="1085"/>
      <c r="AB417" s="1085"/>
      <c r="AC417" s="1085"/>
      <c r="AD417" s="1086">
        <f t="shared" si="42"/>
        <v>0</v>
      </c>
      <c r="AE417" s="615">
        <f t="shared" si="44"/>
        <v>0</v>
      </c>
      <c r="AF417" s="616">
        <f t="shared" si="40"/>
        <v>394</v>
      </c>
    </row>
    <row r="418" spans="1:32" x14ac:dyDescent="0.3">
      <c r="A418" s="547" t="s">
        <v>695</v>
      </c>
      <c r="B418" s="681" t="s">
        <v>2605</v>
      </c>
      <c r="C418" s="511"/>
      <c r="D418" s="512"/>
      <c r="E418" s="512"/>
      <c r="F418" s="512"/>
      <c r="G418" s="512"/>
      <c r="H418" s="512"/>
      <c r="I418" s="512"/>
      <c r="J418" s="512"/>
      <c r="K418" s="512"/>
      <c r="L418" s="512"/>
      <c r="M418" s="512"/>
      <c r="N418" s="512"/>
      <c r="O418" s="512"/>
      <c r="P418" s="1498">
        <f t="shared" si="43"/>
        <v>0</v>
      </c>
      <c r="Q418" s="699">
        <f t="shared" ref="Q418:Q439" si="45">SUM(C418:J418,L418:O418)</f>
        <v>0</v>
      </c>
      <c r="R418" s="1084"/>
      <c r="S418" s="1085"/>
      <c r="T418" s="1085">
        <v>439930</v>
      </c>
      <c r="U418" s="1085">
        <v>0</v>
      </c>
      <c r="V418" s="1085">
        <v>0</v>
      </c>
      <c r="W418" s="1085">
        <v>0</v>
      </c>
      <c r="X418" s="1085">
        <v>0</v>
      </c>
      <c r="Y418" s="1085">
        <v>0</v>
      </c>
      <c r="Z418" s="1085"/>
      <c r="AA418" s="1085"/>
      <c r="AB418" s="1085"/>
      <c r="AC418" s="1085"/>
      <c r="AD418" s="1086">
        <f t="shared" si="42"/>
        <v>439930</v>
      </c>
      <c r="AE418" s="615">
        <f t="shared" si="44"/>
        <v>1</v>
      </c>
      <c r="AF418" s="616">
        <f t="shared" si="40"/>
        <v>269</v>
      </c>
    </row>
    <row r="419" spans="1:32" x14ac:dyDescent="0.3">
      <c r="A419" s="548" t="s">
        <v>727</v>
      </c>
      <c r="B419" s="682" t="s">
        <v>728</v>
      </c>
      <c r="C419" s="513"/>
      <c r="D419" s="514"/>
      <c r="E419" s="514">
        <v>0</v>
      </c>
      <c r="F419" s="514">
        <v>0</v>
      </c>
      <c r="G419" s="514">
        <v>3537900</v>
      </c>
      <c r="H419" s="514">
        <v>76460</v>
      </c>
      <c r="I419" s="514">
        <v>0</v>
      </c>
      <c r="J419" s="514">
        <v>0</v>
      </c>
      <c r="K419" s="514">
        <v>0</v>
      </c>
      <c r="L419" s="514">
        <v>0</v>
      </c>
      <c r="M419" s="514">
        <v>0</v>
      </c>
      <c r="N419" s="514">
        <v>4374610</v>
      </c>
      <c r="O419" s="514">
        <v>0</v>
      </c>
      <c r="P419" s="1498">
        <f t="shared" si="43"/>
        <v>3614360</v>
      </c>
      <c r="Q419" s="700">
        <f t="shared" si="45"/>
        <v>7988970</v>
      </c>
      <c r="R419" s="1087" t="s">
        <v>251</v>
      </c>
      <c r="S419" s="1088" t="s">
        <v>251</v>
      </c>
      <c r="T419" s="1088"/>
      <c r="U419" s="1088">
        <v>5245520</v>
      </c>
      <c r="V419" s="1088">
        <v>0</v>
      </c>
      <c r="W419" s="1088">
        <v>0</v>
      </c>
      <c r="X419" s="1088">
        <v>0</v>
      </c>
      <c r="Y419" s="1088">
        <v>0</v>
      </c>
      <c r="Z419" s="1088"/>
      <c r="AA419" s="1088"/>
      <c r="AB419" s="1088"/>
      <c r="AC419" s="1088"/>
      <c r="AD419" s="1089">
        <f t="shared" si="42"/>
        <v>5245520</v>
      </c>
      <c r="AE419" s="617">
        <f t="shared" si="44"/>
        <v>0.45129981518166423</v>
      </c>
      <c r="AF419" s="618">
        <f t="shared" ref="AF419:AF441" si="46">IFERROR(_xlfn.RANK.EQ(AD419, $AD$2:$AD$677), "")</f>
        <v>78</v>
      </c>
    </row>
    <row r="420" spans="1:32" x14ac:dyDescent="0.3">
      <c r="A420" s="548" t="s">
        <v>727</v>
      </c>
      <c r="B420" s="682" t="s">
        <v>729</v>
      </c>
      <c r="C420" s="513"/>
      <c r="D420" s="514"/>
      <c r="E420" s="514">
        <v>1823200</v>
      </c>
      <c r="F420" s="514">
        <v>0</v>
      </c>
      <c r="G420" s="514">
        <v>0</v>
      </c>
      <c r="H420" s="514">
        <v>0</v>
      </c>
      <c r="I420" s="514">
        <v>0</v>
      </c>
      <c r="J420" s="514">
        <v>0</v>
      </c>
      <c r="K420" s="514">
        <v>0</v>
      </c>
      <c r="L420" s="514">
        <v>0</v>
      </c>
      <c r="M420" s="514">
        <v>1223500</v>
      </c>
      <c r="N420" s="514">
        <v>0</v>
      </c>
      <c r="O420" s="514">
        <v>0</v>
      </c>
      <c r="P420" s="1498">
        <f t="shared" si="43"/>
        <v>1823200</v>
      </c>
      <c r="Q420" s="700">
        <f t="shared" si="45"/>
        <v>3046700</v>
      </c>
      <c r="R420" s="1087" t="s">
        <v>251</v>
      </c>
      <c r="S420" s="1088" t="s">
        <v>251</v>
      </c>
      <c r="T420" s="1088"/>
      <c r="U420" s="1088"/>
      <c r="V420" s="1088"/>
      <c r="W420" s="1088"/>
      <c r="X420" s="1088"/>
      <c r="Y420" s="1088"/>
      <c r="Z420" s="1088"/>
      <c r="AA420" s="1088"/>
      <c r="AB420" s="1088"/>
      <c r="AC420" s="1088"/>
      <c r="AD420" s="1089">
        <f t="shared" si="42"/>
        <v>0</v>
      </c>
      <c r="AE420" s="617">
        <f t="shared" si="44"/>
        <v>-1</v>
      </c>
      <c r="AF420" s="618">
        <f t="shared" si="46"/>
        <v>394</v>
      </c>
    </row>
    <row r="421" spans="1:32" x14ac:dyDescent="0.3">
      <c r="A421" s="548" t="s">
        <v>727</v>
      </c>
      <c r="B421" s="682" t="s">
        <v>730</v>
      </c>
      <c r="C421" s="513"/>
      <c r="D421" s="514"/>
      <c r="E421" s="514">
        <v>0</v>
      </c>
      <c r="F421" s="514">
        <v>0</v>
      </c>
      <c r="G421" s="514">
        <v>1530160</v>
      </c>
      <c r="H421" s="514">
        <v>6111360</v>
      </c>
      <c r="I421" s="514">
        <v>0</v>
      </c>
      <c r="J421" s="514">
        <v>0</v>
      </c>
      <c r="K421" s="514">
        <v>0</v>
      </c>
      <c r="L421" s="514">
        <v>0</v>
      </c>
      <c r="M421" s="514">
        <v>0</v>
      </c>
      <c r="N421" s="514">
        <v>0</v>
      </c>
      <c r="O421" s="514">
        <v>0</v>
      </c>
      <c r="P421" s="1498">
        <f t="shared" si="43"/>
        <v>7641520</v>
      </c>
      <c r="Q421" s="700">
        <f t="shared" si="45"/>
        <v>7641520</v>
      </c>
      <c r="R421" s="1087" t="s">
        <v>251</v>
      </c>
      <c r="S421" s="1088" t="s">
        <v>251</v>
      </c>
      <c r="T421" s="1088"/>
      <c r="U421" s="1088"/>
      <c r="V421" s="1088"/>
      <c r="W421" s="1088"/>
      <c r="X421" s="1088"/>
      <c r="Y421" s="1088"/>
      <c r="Z421" s="1088"/>
      <c r="AA421" s="1088"/>
      <c r="AB421" s="1088"/>
      <c r="AC421" s="1088"/>
      <c r="AD421" s="1089">
        <f t="shared" si="42"/>
        <v>0</v>
      </c>
      <c r="AE421" s="617">
        <f t="shared" si="44"/>
        <v>-1</v>
      </c>
      <c r="AF421" s="618">
        <f t="shared" si="46"/>
        <v>394</v>
      </c>
    </row>
    <row r="422" spans="1:32" x14ac:dyDescent="0.3">
      <c r="A422" s="548" t="s">
        <v>727</v>
      </c>
      <c r="B422" s="682" t="s">
        <v>731</v>
      </c>
      <c r="C422" s="513"/>
      <c r="D422" s="514"/>
      <c r="E422" s="514">
        <v>0</v>
      </c>
      <c r="F422" s="514">
        <v>0</v>
      </c>
      <c r="G422" s="514">
        <v>662040</v>
      </c>
      <c r="H422" s="514">
        <v>0</v>
      </c>
      <c r="I422" s="514">
        <v>0</v>
      </c>
      <c r="J422" s="514">
        <v>0</v>
      </c>
      <c r="K422" s="514">
        <v>0</v>
      </c>
      <c r="L422" s="514">
        <v>0</v>
      </c>
      <c r="M422" s="514">
        <v>0</v>
      </c>
      <c r="N422" s="514">
        <v>0</v>
      </c>
      <c r="O422" s="514">
        <v>0</v>
      </c>
      <c r="P422" s="1498">
        <f t="shared" si="43"/>
        <v>662040</v>
      </c>
      <c r="Q422" s="700">
        <f t="shared" si="45"/>
        <v>662040</v>
      </c>
      <c r="R422" s="1087" t="s">
        <v>251</v>
      </c>
      <c r="S422" s="1088" t="s">
        <v>251</v>
      </c>
      <c r="T422" s="1088"/>
      <c r="U422" s="1088"/>
      <c r="V422" s="1088">
        <v>5131700</v>
      </c>
      <c r="W422" s="1088">
        <v>0</v>
      </c>
      <c r="X422" s="1088">
        <v>0</v>
      </c>
      <c r="Y422" s="1088">
        <v>0</v>
      </c>
      <c r="Z422" s="1088"/>
      <c r="AA422" s="1088"/>
      <c r="AB422" s="1088"/>
      <c r="AC422" s="1088"/>
      <c r="AD422" s="1089">
        <f t="shared" si="42"/>
        <v>5131700</v>
      </c>
      <c r="AE422" s="617">
        <f t="shared" si="44"/>
        <v>6.7513443296477558</v>
      </c>
      <c r="AF422" s="618">
        <f t="shared" si="46"/>
        <v>82</v>
      </c>
    </row>
    <row r="423" spans="1:32" x14ac:dyDescent="0.3">
      <c r="A423" s="548" t="s">
        <v>727</v>
      </c>
      <c r="B423" s="682" t="s">
        <v>732</v>
      </c>
      <c r="C423" s="513"/>
      <c r="D423" s="514"/>
      <c r="E423" s="514" t="s">
        <v>251</v>
      </c>
      <c r="F423" s="514" t="s">
        <v>251</v>
      </c>
      <c r="G423" s="514" t="s">
        <v>251</v>
      </c>
      <c r="H423" s="514" t="s">
        <v>251</v>
      </c>
      <c r="I423" s="514" t="s">
        <v>251</v>
      </c>
      <c r="J423" s="514" t="s">
        <v>251</v>
      </c>
      <c r="K423" s="514"/>
      <c r="L423" s="514" t="s">
        <v>251</v>
      </c>
      <c r="M423" s="514" t="s">
        <v>251</v>
      </c>
      <c r="N423" s="514" t="s">
        <v>251</v>
      </c>
      <c r="O423" s="514" t="s">
        <v>251</v>
      </c>
      <c r="P423" s="1498">
        <f t="shared" si="43"/>
        <v>0</v>
      </c>
      <c r="Q423" s="700">
        <f t="shared" si="45"/>
        <v>0</v>
      </c>
      <c r="R423" s="1087" t="s">
        <v>251</v>
      </c>
      <c r="S423" s="1088" t="s">
        <v>251</v>
      </c>
      <c r="T423" s="1088"/>
      <c r="U423" s="1088"/>
      <c r="V423" s="1088"/>
      <c r="W423" s="1088"/>
      <c r="X423" s="1088"/>
      <c r="Y423" s="1088"/>
      <c r="Z423" s="1088"/>
      <c r="AA423" s="1088"/>
      <c r="AB423" s="1088"/>
      <c r="AC423" s="1088"/>
      <c r="AD423" s="1089">
        <f t="shared" si="42"/>
        <v>0</v>
      </c>
      <c r="AE423" s="617">
        <f t="shared" si="44"/>
        <v>0</v>
      </c>
      <c r="AF423" s="618">
        <f t="shared" si="46"/>
        <v>394</v>
      </c>
    </row>
    <row r="424" spans="1:32" x14ac:dyDescent="0.3">
      <c r="A424" s="548" t="s">
        <v>727</v>
      </c>
      <c r="B424" s="682" t="s">
        <v>2690</v>
      </c>
      <c r="C424" s="513"/>
      <c r="D424" s="514"/>
      <c r="E424" s="514"/>
      <c r="F424" s="514"/>
      <c r="G424" s="514"/>
      <c r="H424" s="514"/>
      <c r="I424" s="514"/>
      <c r="J424" s="514"/>
      <c r="K424" s="514"/>
      <c r="L424" s="514"/>
      <c r="M424" s="514"/>
      <c r="N424" s="514"/>
      <c r="O424" s="514"/>
      <c r="P424" s="1498">
        <f t="shared" si="43"/>
        <v>0</v>
      </c>
      <c r="Q424" s="700">
        <f t="shared" si="45"/>
        <v>0</v>
      </c>
      <c r="R424" s="1087"/>
      <c r="S424" s="1088"/>
      <c r="T424" s="1088"/>
      <c r="U424" s="1088">
        <v>2610600</v>
      </c>
      <c r="V424" s="1088">
        <v>0</v>
      </c>
      <c r="W424" s="1088">
        <v>0</v>
      </c>
      <c r="X424" s="1088">
        <v>0</v>
      </c>
      <c r="Y424" s="1088">
        <v>0</v>
      </c>
      <c r="Z424" s="1088"/>
      <c r="AA424" s="1088"/>
      <c r="AB424" s="1088"/>
      <c r="AC424" s="1088"/>
      <c r="AD424" s="1089">
        <f t="shared" si="42"/>
        <v>2610600</v>
      </c>
      <c r="AE424" s="617">
        <f t="shared" si="44"/>
        <v>1</v>
      </c>
      <c r="AF424" s="618">
        <f t="shared" si="46"/>
        <v>124</v>
      </c>
    </row>
    <row r="425" spans="1:32" x14ac:dyDescent="0.3">
      <c r="A425" s="549" t="s">
        <v>733</v>
      </c>
      <c r="B425" s="683" t="s">
        <v>734</v>
      </c>
      <c r="C425" s="515">
        <v>768600</v>
      </c>
      <c r="D425" s="516">
        <v>498600</v>
      </c>
      <c r="E425" s="516" t="s">
        <v>251</v>
      </c>
      <c r="F425" s="516" t="s">
        <v>251</v>
      </c>
      <c r="G425" s="516" t="s">
        <v>251</v>
      </c>
      <c r="H425" s="516" t="s">
        <v>251</v>
      </c>
      <c r="I425" s="516" t="s">
        <v>251</v>
      </c>
      <c r="J425" s="516" t="s">
        <v>251</v>
      </c>
      <c r="K425" s="516"/>
      <c r="L425" s="516" t="s">
        <v>251</v>
      </c>
      <c r="M425" s="516" t="s">
        <v>251</v>
      </c>
      <c r="N425" s="516" t="s">
        <v>251</v>
      </c>
      <c r="O425" s="516" t="s">
        <v>251</v>
      </c>
      <c r="P425" s="1498">
        <f t="shared" si="43"/>
        <v>1267200</v>
      </c>
      <c r="Q425" s="701">
        <f t="shared" si="45"/>
        <v>1267200</v>
      </c>
      <c r="R425" s="1090" t="s">
        <v>251</v>
      </c>
      <c r="S425" s="1091" t="s">
        <v>251</v>
      </c>
      <c r="T425" s="1091"/>
      <c r="U425" s="1091"/>
      <c r="V425" s="1091"/>
      <c r="W425" s="1091"/>
      <c r="X425" s="1091"/>
      <c r="Y425" s="1091"/>
      <c r="Z425" s="1091"/>
      <c r="AA425" s="1091"/>
      <c r="AB425" s="1091"/>
      <c r="AC425" s="1091"/>
      <c r="AD425" s="1092">
        <f t="shared" si="42"/>
        <v>0</v>
      </c>
      <c r="AE425" s="619">
        <f t="shared" si="44"/>
        <v>-1</v>
      </c>
      <c r="AF425" s="620">
        <f t="shared" si="46"/>
        <v>394</v>
      </c>
    </row>
    <row r="426" spans="1:32" x14ac:dyDescent="0.3">
      <c r="A426" s="549" t="s">
        <v>733</v>
      </c>
      <c r="B426" s="683" t="s">
        <v>735</v>
      </c>
      <c r="C426" s="515">
        <v>716400</v>
      </c>
      <c r="D426" s="516" t="s">
        <v>251</v>
      </c>
      <c r="E426" s="516" t="s">
        <v>251</v>
      </c>
      <c r="F426" s="516" t="s">
        <v>251</v>
      </c>
      <c r="G426" s="516" t="s">
        <v>251</v>
      </c>
      <c r="H426" s="516" t="s">
        <v>251</v>
      </c>
      <c r="I426" s="516" t="s">
        <v>251</v>
      </c>
      <c r="J426" s="516" t="s">
        <v>251</v>
      </c>
      <c r="K426" s="516"/>
      <c r="L426" s="516" t="s">
        <v>251</v>
      </c>
      <c r="M426" s="516" t="s">
        <v>251</v>
      </c>
      <c r="N426" s="516" t="s">
        <v>251</v>
      </c>
      <c r="O426" s="516" t="s">
        <v>251</v>
      </c>
      <c r="P426" s="1498">
        <f t="shared" si="43"/>
        <v>716400</v>
      </c>
      <c r="Q426" s="701">
        <f t="shared" si="45"/>
        <v>716400</v>
      </c>
      <c r="R426" s="1090" t="s">
        <v>251</v>
      </c>
      <c r="S426" s="1091" t="s">
        <v>251</v>
      </c>
      <c r="T426" s="1091"/>
      <c r="U426" s="1091"/>
      <c r="V426" s="1091"/>
      <c r="W426" s="1091"/>
      <c r="X426" s="1091"/>
      <c r="Y426" s="1091"/>
      <c r="Z426" s="1091"/>
      <c r="AA426" s="1091"/>
      <c r="AB426" s="1091"/>
      <c r="AC426" s="1091"/>
      <c r="AD426" s="1092">
        <f t="shared" si="42"/>
        <v>0</v>
      </c>
      <c r="AE426" s="619">
        <f t="shared" si="44"/>
        <v>-1</v>
      </c>
      <c r="AF426" s="620">
        <f t="shared" si="46"/>
        <v>394</v>
      </c>
    </row>
    <row r="427" spans="1:32" x14ac:dyDescent="0.3">
      <c r="A427" s="549" t="s">
        <v>733</v>
      </c>
      <c r="B427" s="683" t="s">
        <v>736</v>
      </c>
      <c r="C427" s="515">
        <v>97200</v>
      </c>
      <c r="D427" s="516">
        <v>450000</v>
      </c>
      <c r="E427" s="516" t="s">
        <v>251</v>
      </c>
      <c r="F427" s="516" t="s">
        <v>251</v>
      </c>
      <c r="G427" s="516" t="s">
        <v>251</v>
      </c>
      <c r="H427" s="516" t="s">
        <v>251</v>
      </c>
      <c r="I427" s="516" t="s">
        <v>251</v>
      </c>
      <c r="J427" s="516" t="s">
        <v>251</v>
      </c>
      <c r="K427" s="516"/>
      <c r="L427" s="516" t="s">
        <v>251</v>
      </c>
      <c r="M427" s="516" t="s">
        <v>251</v>
      </c>
      <c r="N427" s="516" t="s">
        <v>251</v>
      </c>
      <c r="O427" s="516" t="s">
        <v>251</v>
      </c>
      <c r="P427" s="1498">
        <f t="shared" si="43"/>
        <v>547200</v>
      </c>
      <c r="Q427" s="701">
        <f t="shared" si="45"/>
        <v>547200</v>
      </c>
      <c r="R427" s="1090" t="s">
        <v>251</v>
      </c>
      <c r="S427" s="1091" t="s">
        <v>251</v>
      </c>
      <c r="T427" s="1091"/>
      <c r="U427" s="1091"/>
      <c r="V427" s="1091"/>
      <c r="W427" s="1091"/>
      <c r="X427" s="1091"/>
      <c r="Y427" s="1091"/>
      <c r="Z427" s="1091"/>
      <c r="AA427" s="1091"/>
      <c r="AB427" s="1091"/>
      <c r="AC427" s="1091"/>
      <c r="AD427" s="1092">
        <f t="shared" si="42"/>
        <v>0</v>
      </c>
      <c r="AE427" s="619">
        <f t="shared" si="44"/>
        <v>-1</v>
      </c>
      <c r="AF427" s="620">
        <f t="shared" si="46"/>
        <v>394</v>
      </c>
    </row>
    <row r="428" spans="1:32" x14ac:dyDescent="0.3">
      <c r="A428" s="549" t="s">
        <v>733</v>
      </c>
      <c r="B428" s="683" t="s">
        <v>737</v>
      </c>
      <c r="C428" s="515" t="s">
        <v>251</v>
      </c>
      <c r="D428" s="516">
        <v>385560</v>
      </c>
      <c r="E428" s="516" t="s">
        <v>251</v>
      </c>
      <c r="F428" s="516" t="s">
        <v>251</v>
      </c>
      <c r="G428" s="516" t="s">
        <v>251</v>
      </c>
      <c r="H428" s="516" t="s">
        <v>251</v>
      </c>
      <c r="I428" s="516" t="s">
        <v>251</v>
      </c>
      <c r="J428" s="516" t="s">
        <v>251</v>
      </c>
      <c r="K428" s="516"/>
      <c r="L428" s="516" t="s">
        <v>251</v>
      </c>
      <c r="M428" s="516" t="s">
        <v>251</v>
      </c>
      <c r="N428" s="516" t="s">
        <v>251</v>
      </c>
      <c r="O428" s="516" t="s">
        <v>251</v>
      </c>
      <c r="P428" s="1498">
        <f t="shared" si="43"/>
        <v>385560</v>
      </c>
      <c r="Q428" s="701">
        <f t="shared" si="45"/>
        <v>385560</v>
      </c>
      <c r="R428" s="1090" t="s">
        <v>251</v>
      </c>
      <c r="S428" s="1091" t="s">
        <v>251</v>
      </c>
      <c r="T428" s="1091"/>
      <c r="U428" s="1091"/>
      <c r="V428" s="1091"/>
      <c r="W428" s="1091"/>
      <c r="X428" s="1091"/>
      <c r="Y428" s="1091"/>
      <c r="Z428" s="1091"/>
      <c r="AA428" s="1091"/>
      <c r="AB428" s="1091"/>
      <c r="AC428" s="1091"/>
      <c r="AD428" s="1092">
        <f t="shared" si="42"/>
        <v>0</v>
      </c>
      <c r="AE428" s="619">
        <f t="shared" si="44"/>
        <v>-1</v>
      </c>
      <c r="AF428" s="620">
        <f t="shared" si="46"/>
        <v>394</v>
      </c>
    </row>
    <row r="429" spans="1:32" x14ac:dyDescent="0.3">
      <c r="A429" s="549" t="s">
        <v>733</v>
      </c>
      <c r="B429" s="683" t="s">
        <v>738</v>
      </c>
      <c r="C429" s="515">
        <v>77400</v>
      </c>
      <c r="D429" s="516" t="s">
        <v>251</v>
      </c>
      <c r="E429" s="516" t="s">
        <v>251</v>
      </c>
      <c r="F429" s="516" t="s">
        <v>251</v>
      </c>
      <c r="G429" s="516" t="s">
        <v>251</v>
      </c>
      <c r="H429" s="516" t="s">
        <v>251</v>
      </c>
      <c r="I429" s="516" t="s">
        <v>251</v>
      </c>
      <c r="J429" s="516" t="s">
        <v>251</v>
      </c>
      <c r="K429" s="516"/>
      <c r="L429" s="516" t="s">
        <v>251</v>
      </c>
      <c r="M429" s="516" t="s">
        <v>251</v>
      </c>
      <c r="N429" s="516" t="s">
        <v>251</v>
      </c>
      <c r="O429" s="516" t="s">
        <v>251</v>
      </c>
      <c r="P429" s="1498">
        <f t="shared" si="43"/>
        <v>77400</v>
      </c>
      <c r="Q429" s="701">
        <f t="shared" si="45"/>
        <v>77400</v>
      </c>
      <c r="R429" s="1090" t="s">
        <v>251</v>
      </c>
      <c r="S429" s="1091" t="s">
        <v>251</v>
      </c>
      <c r="T429" s="1091"/>
      <c r="U429" s="1091"/>
      <c r="V429" s="1091"/>
      <c r="W429" s="1091"/>
      <c r="X429" s="1091"/>
      <c r="Y429" s="1091"/>
      <c r="Z429" s="1091"/>
      <c r="AA429" s="1091"/>
      <c r="AB429" s="1091"/>
      <c r="AC429" s="1091"/>
      <c r="AD429" s="1092">
        <f t="shared" si="42"/>
        <v>0</v>
      </c>
      <c r="AE429" s="619">
        <f t="shared" si="44"/>
        <v>-1</v>
      </c>
      <c r="AF429" s="620">
        <f t="shared" si="46"/>
        <v>394</v>
      </c>
    </row>
    <row r="430" spans="1:32" x14ac:dyDescent="0.3">
      <c r="A430" s="549" t="s">
        <v>733</v>
      </c>
      <c r="B430" s="683" t="s">
        <v>1812</v>
      </c>
      <c r="C430" s="515"/>
      <c r="D430" s="516"/>
      <c r="E430" s="516" t="s">
        <v>251</v>
      </c>
      <c r="F430" s="516" t="s">
        <v>251</v>
      </c>
      <c r="G430" s="516" t="s">
        <v>251</v>
      </c>
      <c r="H430" s="516" t="s">
        <v>251</v>
      </c>
      <c r="I430" s="516" t="s">
        <v>251</v>
      </c>
      <c r="J430" s="516" t="s">
        <v>251</v>
      </c>
      <c r="K430" s="516"/>
      <c r="L430" s="516" t="s">
        <v>251</v>
      </c>
      <c r="M430" s="516" t="s">
        <v>251</v>
      </c>
      <c r="N430" s="516" t="s">
        <v>251</v>
      </c>
      <c r="O430" s="516" t="s">
        <v>251</v>
      </c>
      <c r="P430" s="1498">
        <f t="shared" si="43"/>
        <v>0</v>
      </c>
      <c r="Q430" s="701">
        <f t="shared" si="45"/>
        <v>0</v>
      </c>
      <c r="R430" s="1090" t="s">
        <v>251</v>
      </c>
      <c r="S430" s="1091" t="s">
        <v>251</v>
      </c>
      <c r="T430" s="1091"/>
      <c r="U430" s="1091"/>
      <c r="V430" s="1091"/>
      <c r="W430" s="1091"/>
      <c r="X430" s="1091"/>
      <c r="Y430" s="1091"/>
      <c r="Z430" s="1091"/>
      <c r="AA430" s="1091"/>
      <c r="AB430" s="1091"/>
      <c r="AC430" s="1091"/>
      <c r="AD430" s="1092">
        <f t="shared" si="42"/>
        <v>0</v>
      </c>
      <c r="AE430" s="619">
        <f t="shared" si="44"/>
        <v>0</v>
      </c>
      <c r="AF430" s="620">
        <f t="shared" si="46"/>
        <v>394</v>
      </c>
    </row>
    <row r="431" spans="1:32" x14ac:dyDescent="0.3">
      <c r="A431" s="549" t="s">
        <v>733</v>
      </c>
      <c r="B431" s="683" t="s">
        <v>1814</v>
      </c>
      <c r="C431" s="515"/>
      <c r="D431" s="516"/>
      <c r="E431" s="516" t="s">
        <v>251</v>
      </c>
      <c r="F431" s="516" t="s">
        <v>251</v>
      </c>
      <c r="G431" s="516" t="s">
        <v>251</v>
      </c>
      <c r="H431" s="516" t="s">
        <v>251</v>
      </c>
      <c r="I431" s="516" t="s">
        <v>251</v>
      </c>
      <c r="J431" s="516" t="s">
        <v>251</v>
      </c>
      <c r="K431" s="516"/>
      <c r="L431" s="516" t="s">
        <v>251</v>
      </c>
      <c r="M431" s="516" t="s">
        <v>251</v>
      </c>
      <c r="N431" s="516" t="s">
        <v>251</v>
      </c>
      <c r="O431" s="516" t="s">
        <v>251</v>
      </c>
      <c r="P431" s="1498">
        <f t="shared" si="43"/>
        <v>0</v>
      </c>
      <c r="Q431" s="701">
        <f t="shared" si="45"/>
        <v>0</v>
      </c>
      <c r="R431" s="1090" t="s">
        <v>251</v>
      </c>
      <c r="S431" s="1091" t="s">
        <v>251</v>
      </c>
      <c r="T431" s="1091"/>
      <c r="U431" s="1091"/>
      <c r="V431" s="1091"/>
      <c r="W431" s="1091"/>
      <c r="X431" s="1091"/>
      <c r="Y431" s="1091"/>
      <c r="Z431" s="1091"/>
      <c r="AA431" s="1091"/>
      <c r="AB431" s="1091"/>
      <c r="AC431" s="1091"/>
      <c r="AD431" s="1092">
        <f t="shared" si="42"/>
        <v>0</v>
      </c>
      <c r="AE431" s="619">
        <f t="shared" si="44"/>
        <v>0</v>
      </c>
      <c r="AF431" s="620">
        <f t="shared" si="46"/>
        <v>394</v>
      </c>
    </row>
    <row r="432" spans="1:32" x14ac:dyDescent="0.3">
      <c r="A432" s="550" t="s">
        <v>691</v>
      </c>
      <c r="B432" s="684" t="s">
        <v>739</v>
      </c>
      <c r="C432" s="517"/>
      <c r="D432" s="518"/>
      <c r="E432" s="518">
        <v>998640</v>
      </c>
      <c r="F432" s="518">
        <v>0</v>
      </c>
      <c r="G432" s="518">
        <v>102600</v>
      </c>
      <c r="H432" s="518">
        <v>0</v>
      </c>
      <c r="I432" s="518">
        <v>0</v>
      </c>
      <c r="J432" s="518">
        <v>631800</v>
      </c>
      <c r="K432" s="518">
        <v>171000</v>
      </c>
      <c r="L432" s="518">
        <v>1168200</v>
      </c>
      <c r="M432" s="518">
        <v>631800</v>
      </c>
      <c r="N432" s="518">
        <v>0</v>
      </c>
      <c r="O432" s="518">
        <v>0</v>
      </c>
      <c r="P432" s="1498">
        <f t="shared" si="43"/>
        <v>1272240</v>
      </c>
      <c r="Q432" s="702">
        <f t="shared" si="45"/>
        <v>3533040</v>
      </c>
      <c r="R432" s="1093" t="s">
        <v>251</v>
      </c>
      <c r="S432" s="1094" t="s">
        <v>251</v>
      </c>
      <c r="T432" s="1094"/>
      <c r="U432" s="1094"/>
      <c r="V432" s="1094"/>
      <c r="W432" s="1094"/>
      <c r="X432" s="1094"/>
      <c r="Y432" s="1094"/>
      <c r="Z432" s="1094"/>
      <c r="AA432" s="1094"/>
      <c r="AB432" s="1094"/>
      <c r="AC432" s="1094"/>
      <c r="AD432" s="1095">
        <f t="shared" si="42"/>
        <v>0</v>
      </c>
      <c r="AE432" s="621">
        <f t="shared" si="44"/>
        <v>-1</v>
      </c>
      <c r="AF432" s="622">
        <f t="shared" si="46"/>
        <v>394</v>
      </c>
    </row>
    <row r="433" spans="1:32" x14ac:dyDescent="0.3">
      <c r="A433" s="550" t="s">
        <v>691</v>
      </c>
      <c r="B433" s="684" t="s">
        <v>620</v>
      </c>
      <c r="C433" s="517"/>
      <c r="D433" s="518"/>
      <c r="E433" s="518">
        <v>182160</v>
      </c>
      <c r="F433" s="518">
        <v>0</v>
      </c>
      <c r="G433" s="518">
        <v>533160</v>
      </c>
      <c r="H433" s="518">
        <v>0</v>
      </c>
      <c r="I433" s="518">
        <v>0</v>
      </c>
      <c r="J433" s="518">
        <v>0</v>
      </c>
      <c r="K433" s="518">
        <v>0</v>
      </c>
      <c r="L433" s="518">
        <v>356400</v>
      </c>
      <c r="M433" s="518">
        <v>0</v>
      </c>
      <c r="N433" s="518">
        <v>0</v>
      </c>
      <c r="O433" s="518">
        <v>0</v>
      </c>
      <c r="P433" s="1498">
        <f t="shared" si="43"/>
        <v>715320</v>
      </c>
      <c r="Q433" s="702">
        <f t="shared" si="45"/>
        <v>1071720</v>
      </c>
      <c r="R433" s="1093" t="s">
        <v>251</v>
      </c>
      <c r="S433" s="1094" t="s">
        <v>251</v>
      </c>
      <c r="T433" s="1094"/>
      <c r="U433" s="1094"/>
      <c r="V433" s="1094"/>
      <c r="W433" s="1094"/>
      <c r="X433" s="1094"/>
      <c r="Y433" s="1094"/>
      <c r="Z433" s="1094"/>
      <c r="AA433" s="1094"/>
      <c r="AB433" s="1094"/>
      <c r="AC433" s="1094"/>
      <c r="AD433" s="1095">
        <f t="shared" si="42"/>
        <v>0</v>
      </c>
      <c r="AE433" s="621">
        <f t="shared" si="44"/>
        <v>-1</v>
      </c>
      <c r="AF433" s="622">
        <f t="shared" si="46"/>
        <v>394</v>
      </c>
    </row>
    <row r="434" spans="1:32" x14ac:dyDescent="0.3">
      <c r="A434" s="550" t="s">
        <v>691</v>
      </c>
      <c r="B434" s="684" t="s">
        <v>740</v>
      </c>
      <c r="C434" s="517"/>
      <c r="D434" s="518"/>
      <c r="E434" s="518">
        <v>0</v>
      </c>
      <c r="F434" s="518">
        <v>0</v>
      </c>
      <c r="G434" s="518">
        <v>216000</v>
      </c>
      <c r="H434" s="518">
        <v>0</v>
      </c>
      <c r="I434" s="518">
        <v>0</v>
      </c>
      <c r="J434" s="518">
        <v>0</v>
      </c>
      <c r="K434" s="518">
        <v>0</v>
      </c>
      <c r="L434" s="518">
        <v>713700</v>
      </c>
      <c r="M434" s="518">
        <v>0</v>
      </c>
      <c r="N434" s="518">
        <v>0</v>
      </c>
      <c r="O434" s="518">
        <v>0</v>
      </c>
      <c r="P434" s="1498">
        <f t="shared" si="43"/>
        <v>216000</v>
      </c>
      <c r="Q434" s="702">
        <f t="shared" si="45"/>
        <v>929700</v>
      </c>
      <c r="R434" s="1093" t="s">
        <v>251</v>
      </c>
      <c r="S434" s="1094" t="s">
        <v>251</v>
      </c>
      <c r="T434" s="1094"/>
      <c r="U434" s="1094"/>
      <c r="V434" s="1094"/>
      <c r="W434" s="1094"/>
      <c r="X434" s="1094"/>
      <c r="Y434" s="1094"/>
      <c r="Z434" s="1094"/>
      <c r="AA434" s="1094"/>
      <c r="AB434" s="1094"/>
      <c r="AC434" s="1094"/>
      <c r="AD434" s="1095">
        <f t="shared" si="42"/>
        <v>0</v>
      </c>
      <c r="AE434" s="621">
        <f t="shared" si="44"/>
        <v>-1</v>
      </c>
      <c r="AF434" s="622">
        <f t="shared" si="46"/>
        <v>394</v>
      </c>
    </row>
    <row r="435" spans="1:32" x14ac:dyDescent="0.3">
      <c r="A435" s="550" t="s">
        <v>691</v>
      </c>
      <c r="B435" s="684" t="s">
        <v>741</v>
      </c>
      <c r="C435" s="517"/>
      <c r="D435" s="518"/>
      <c r="E435" s="518">
        <v>0</v>
      </c>
      <c r="F435" s="518">
        <v>0</v>
      </c>
      <c r="G435" s="518">
        <v>118800</v>
      </c>
      <c r="H435" s="518">
        <v>0</v>
      </c>
      <c r="I435" s="518">
        <v>37800</v>
      </c>
      <c r="J435" s="518">
        <v>0</v>
      </c>
      <c r="K435" s="518">
        <v>0</v>
      </c>
      <c r="L435" s="518">
        <v>0</v>
      </c>
      <c r="M435" s="518">
        <v>0</v>
      </c>
      <c r="N435" s="518">
        <v>0</v>
      </c>
      <c r="O435" s="518">
        <v>0</v>
      </c>
      <c r="P435" s="1498">
        <f t="shared" si="43"/>
        <v>156600</v>
      </c>
      <c r="Q435" s="702">
        <f t="shared" si="45"/>
        <v>156600</v>
      </c>
      <c r="R435" s="1093" t="s">
        <v>251</v>
      </c>
      <c r="S435" s="1094" t="s">
        <v>251</v>
      </c>
      <c r="T435" s="1094"/>
      <c r="U435" s="1094"/>
      <c r="V435" s="1094"/>
      <c r="W435" s="1094"/>
      <c r="X435" s="1094"/>
      <c r="Y435" s="1094"/>
      <c r="Z435" s="1094"/>
      <c r="AA435" s="1094"/>
      <c r="AB435" s="1094"/>
      <c r="AC435" s="1094"/>
      <c r="AD435" s="1095">
        <f t="shared" si="42"/>
        <v>0</v>
      </c>
      <c r="AE435" s="621">
        <f t="shared" si="44"/>
        <v>-1</v>
      </c>
      <c r="AF435" s="622">
        <f t="shared" si="46"/>
        <v>394</v>
      </c>
    </row>
    <row r="436" spans="1:32" x14ac:dyDescent="0.3">
      <c r="A436" s="550" t="s">
        <v>691</v>
      </c>
      <c r="B436" s="684" t="s">
        <v>635</v>
      </c>
      <c r="C436" s="517"/>
      <c r="D436" s="518"/>
      <c r="E436" s="518">
        <v>0</v>
      </c>
      <c r="F436" s="518">
        <v>7560</v>
      </c>
      <c r="G436" s="518">
        <v>7560</v>
      </c>
      <c r="H436" s="518">
        <v>0</v>
      </c>
      <c r="I436" s="518">
        <v>0</v>
      </c>
      <c r="J436" s="518">
        <v>0</v>
      </c>
      <c r="K436" s="518">
        <v>0</v>
      </c>
      <c r="L436" s="518">
        <v>0</v>
      </c>
      <c r="M436" s="518">
        <v>0</v>
      </c>
      <c r="N436" s="518">
        <v>0</v>
      </c>
      <c r="O436" s="518">
        <v>0</v>
      </c>
      <c r="P436" s="1498">
        <f t="shared" si="43"/>
        <v>15120</v>
      </c>
      <c r="Q436" s="702">
        <f t="shared" si="45"/>
        <v>15120</v>
      </c>
      <c r="R436" s="1093" t="s">
        <v>251</v>
      </c>
      <c r="S436" s="1094" t="s">
        <v>251</v>
      </c>
      <c r="T436" s="1094"/>
      <c r="U436" s="1094"/>
      <c r="V436" s="1094"/>
      <c r="W436" s="1094"/>
      <c r="X436" s="1094"/>
      <c r="Y436" s="1094"/>
      <c r="Z436" s="1094"/>
      <c r="AA436" s="1094"/>
      <c r="AB436" s="1094"/>
      <c r="AC436" s="1094"/>
      <c r="AD436" s="1095">
        <f t="shared" si="42"/>
        <v>0</v>
      </c>
      <c r="AE436" s="621">
        <f t="shared" si="44"/>
        <v>-1</v>
      </c>
      <c r="AF436" s="622">
        <f t="shared" si="46"/>
        <v>394</v>
      </c>
    </row>
    <row r="437" spans="1:32" x14ac:dyDescent="0.3">
      <c r="A437" s="550" t="s">
        <v>691</v>
      </c>
      <c r="B437" s="684" t="s">
        <v>623</v>
      </c>
      <c r="C437" s="517"/>
      <c r="D437" s="518"/>
      <c r="E437" s="518" t="s">
        <v>251</v>
      </c>
      <c r="F437" s="518" t="s">
        <v>251</v>
      </c>
      <c r="G437" s="518" t="s">
        <v>251</v>
      </c>
      <c r="H437" s="518" t="s">
        <v>251</v>
      </c>
      <c r="I437" s="518" t="s">
        <v>251</v>
      </c>
      <c r="J437" s="518" t="s">
        <v>251</v>
      </c>
      <c r="K437" s="518"/>
      <c r="L437" s="518" t="s">
        <v>251</v>
      </c>
      <c r="M437" s="518" t="s">
        <v>251</v>
      </c>
      <c r="N437" s="518" t="s">
        <v>251</v>
      </c>
      <c r="O437" s="518" t="s">
        <v>251</v>
      </c>
      <c r="P437" s="1498">
        <f t="shared" si="43"/>
        <v>0</v>
      </c>
      <c r="Q437" s="702">
        <f t="shared" si="45"/>
        <v>0</v>
      </c>
      <c r="R437" s="1093" t="s">
        <v>251</v>
      </c>
      <c r="S437" s="1094" t="s">
        <v>251</v>
      </c>
      <c r="T437" s="1094"/>
      <c r="U437" s="1094"/>
      <c r="V437" s="1094"/>
      <c r="W437" s="1094"/>
      <c r="X437" s="1094"/>
      <c r="Y437" s="1094"/>
      <c r="Z437" s="1094"/>
      <c r="AA437" s="1094"/>
      <c r="AB437" s="1094"/>
      <c r="AC437" s="1094"/>
      <c r="AD437" s="1095">
        <f t="shared" si="42"/>
        <v>0</v>
      </c>
      <c r="AE437" s="621">
        <f t="shared" si="44"/>
        <v>0</v>
      </c>
      <c r="AF437" s="622">
        <f t="shared" si="46"/>
        <v>394</v>
      </c>
    </row>
    <row r="438" spans="1:32" x14ac:dyDescent="0.3">
      <c r="A438" s="550" t="s">
        <v>691</v>
      </c>
      <c r="B438" s="684" t="s">
        <v>645</v>
      </c>
      <c r="C438" s="517"/>
      <c r="D438" s="518"/>
      <c r="E438" s="518" t="s">
        <v>251</v>
      </c>
      <c r="F438" s="518" t="s">
        <v>251</v>
      </c>
      <c r="G438" s="518" t="s">
        <v>251</v>
      </c>
      <c r="H438" s="518" t="s">
        <v>251</v>
      </c>
      <c r="I438" s="518" t="s">
        <v>251</v>
      </c>
      <c r="J438" s="518" t="s">
        <v>251</v>
      </c>
      <c r="K438" s="518"/>
      <c r="L438" s="518" t="s">
        <v>251</v>
      </c>
      <c r="M438" s="518" t="s">
        <v>251</v>
      </c>
      <c r="N438" s="518" t="s">
        <v>251</v>
      </c>
      <c r="O438" s="518" t="s">
        <v>251</v>
      </c>
      <c r="P438" s="1498">
        <f t="shared" si="43"/>
        <v>0</v>
      </c>
      <c r="Q438" s="702">
        <f t="shared" si="45"/>
        <v>0</v>
      </c>
      <c r="R438" s="1093" t="s">
        <v>251</v>
      </c>
      <c r="S438" s="1094" t="s">
        <v>251</v>
      </c>
      <c r="T438" s="1094"/>
      <c r="U438" s="1094"/>
      <c r="V438" s="1094"/>
      <c r="W438" s="1094"/>
      <c r="X438" s="1094"/>
      <c r="Y438" s="1094"/>
      <c r="Z438" s="1094"/>
      <c r="AA438" s="1094"/>
      <c r="AB438" s="1094"/>
      <c r="AC438" s="1094"/>
      <c r="AD438" s="1095">
        <f t="shared" si="42"/>
        <v>0</v>
      </c>
      <c r="AE438" s="621">
        <f t="shared" si="44"/>
        <v>0</v>
      </c>
      <c r="AF438" s="622">
        <f t="shared" si="46"/>
        <v>394</v>
      </c>
    </row>
    <row r="439" spans="1:32" x14ac:dyDescent="0.3">
      <c r="A439" s="550" t="s">
        <v>691</v>
      </c>
      <c r="B439" s="684" t="s">
        <v>1372</v>
      </c>
      <c r="C439" s="517"/>
      <c r="D439" s="518"/>
      <c r="E439" s="518" t="s">
        <v>251</v>
      </c>
      <c r="F439" s="518" t="s">
        <v>251</v>
      </c>
      <c r="G439" s="518" t="s">
        <v>251</v>
      </c>
      <c r="H439" s="518" t="s">
        <v>251</v>
      </c>
      <c r="I439" s="518" t="s">
        <v>251</v>
      </c>
      <c r="J439" s="518" t="s">
        <v>251</v>
      </c>
      <c r="K439" s="518"/>
      <c r="L439" s="518" t="s">
        <v>251</v>
      </c>
      <c r="M439" s="518" t="s">
        <v>251</v>
      </c>
      <c r="N439" s="518" t="s">
        <v>251</v>
      </c>
      <c r="O439" s="518" t="s">
        <v>251</v>
      </c>
      <c r="P439" s="1498">
        <f t="shared" si="43"/>
        <v>0</v>
      </c>
      <c r="Q439" s="702">
        <f t="shared" si="45"/>
        <v>0</v>
      </c>
      <c r="R439" s="1093" t="s">
        <v>251</v>
      </c>
      <c r="S439" s="1094" t="s">
        <v>251</v>
      </c>
      <c r="T439" s="1094"/>
      <c r="U439" s="1094"/>
      <c r="V439" s="1094"/>
      <c r="W439" s="1094"/>
      <c r="X439" s="1094"/>
      <c r="Y439" s="1094"/>
      <c r="Z439" s="1094"/>
      <c r="AA439" s="1094"/>
      <c r="AB439" s="1094"/>
      <c r="AC439" s="1094"/>
      <c r="AD439" s="1095">
        <f t="shared" si="42"/>
        <v>0</v>
      </c>
      <c r="AE439" s="621">
        <f t="shared" si="44"/>
        <v>0</v>
      </c>
      <c r="AF439" s="622">
        <f t="shared" si="46"/>
        <v>394</v>
      </c>
    </row>
    <row r="440" spans="1:32" x14ac:dyDescent="0.3">
      <c r="A440" s="550" t="s">
        <v>691</v>
      </c>
      <c r="B440" s="684" t="s">
        <v>1839</v>
      </c>
      <c r="C440" s="517"/>
      <c r="D440" s="518"/>
      <c r="E440" s="518">
        <v>0</v>
      </c>
      <c r="F440" s="518">
        <v>0</v>
      </c>
      <c r="G440" s="518">
        <v>0</v>
      </c>
      <c r="H440" s="518">
        <v>56700</v>
      </c>
      <c r="I440" s="518">
        <v>0</v>
      </c>
      <c r="J440" s="518">
        <v>0</v>
      </c>
      <c r="K440" s="518">
        <v>0</v>
      </c>
      <c r="L440" s="518">
        <v>0</v>
      </c>
      <c r="M440" s="518">
        <v>0</v>
      </c>
      <c r="N440" s="518">
        <v>0</v>
      </c>
      <c r="O440" s="518">
        <v>0</v>
      </c>
      <c r="P440" s="1498">
        <f t="shared" si="43"/>
        <v>56700</v>
      </c>
      <c r="Q440" s="702">
        <f>SUM(C440:J440,L440:O440)</f>
        <v>56700</v>
      </c>
      <c r="R440" s="1093" t="s">
        <v>251</v>
      </c>
      <c r="S440" s="1094" t="s">
        <v>251</v>
      </c>
      <c r="T440" s="1094"/>
      <c r="U440" s="1094"/>
      <c r="V440" s="1094"/>
      <c r="W440" s="1094"/>
      <c r="X440" s="1094"/>
      <c r="Y440" s="1094"/>
      <c r="Z440" s="1094"/>
      <c r="AA440" s="1094"/>
      <c r="AB440" s="1094"/>
      <c r="AC440" s="1094"/>
      <c r="AD440" s="1095">
        <f t="shared" si="42"/>
        <v>0</v>
      </c>
      <c r="AE440" s="621">
        <f t="shared" si="44"/>
        <v>-1</v>
      </c>
      <c r="AF440" s="622">
        <f t="shared" si="46"/>
        <v>394</v>
      </c>
    </row>
    <row r="441" spans="1:32" x14ac:dyDescent="0.3">
      <c r="A441" s="550" t="s">
        <v>691</v>
      </c>
      <c r="B441" s="684" t="s">
        <v>656</v>
      </c>
      <c r="C441" s="517"/>
      <c r="D441" s="518"/>
      <c r="E441" s="518">
        <v>0</v>
      </c>
      <c r="F441" s="518">
        <v>0</v>
      </c>
      <c r="G441" s="518">
        <v>0</v>
      </c>
      <c r="H441" s="518">
        <v>0</v>
      </c>
      <c r="I441" s="518">
        <v>0</v>
      </c>
      <c r="J441" s="518">
        <v>1143360</v>
      </c>
      <c r="K441" s="518">
        <v>405000</v>
      </c>
      <c r="L441" s="518">
        <v>626400</v>
      </c>
      <c r="M441" s="518">
        <v>37800</v>
      </c>
      <c r="N441" s="518">
        <v>0</v>
      </c>
      <c r="O441" s="518">
        <v>0</v>
      </c>
      <c r="P441" s="1498">
        <f t="shared" si="43"/>
        <v>405000</v>
      </c>
      <c r="Q441" s="702">
        <f t="shared" ref="Q441:Q508" si="47">SUM(C441:J441,L441:O441)</f>
        <v>1807560</v>
      </c>
      <c r="R441" s="1093" t="s">
        <v>251</v>
      </c>
      <c r="S441" s="1094" t="s">
        <v>251</v>
      </c>
      <c r="T441" s="1094">
        <v>212940</v>
      </c>
      <c r="U441" s="1094">
        <v>199290</v>
      </c>
      <c r="V441" s="1094">
        <v>0</v>
      </c>
      <c r="W441" s="1094">
        <v>0</v>
      </c>
      <c r="X441" s="1094">
        <v>0</v>
      </c>
      <c r="Y441" s="1094">
        <v>0</v>
      </c>
      <c r="Z441" s="1094"/>
      <c r="AA441" s="1094"/>
      <c r="AB441" s="1094"/>
      <c r="AC441" s="1094"/>
      <c r="AD441" s="1095">
        <f t="shared" si="42"/>
        <v>412230</v>
      </c>
      <c r="AE441" s="621">
        <f t="shared" si="44"/>
        <v>1.7851851851851851E-2</v>
      </c>
      <c r="AF441" s="622">
        <f t="shared" si="46"/>
        <v>274</v>
      </c>
    </row>
    <row r="442" spans="1:32" x14ac:dyDescent="0.3">
      <c r="A442" s="550" t="s">
        <v>691</v>
      </c>
      <c r="B442" s="684" t="s">
        <v>657</v>
      </c>
      <c r="C442" s="517"/>
      <c r="D442" s="518"/>
      <c r="E442" s="518">
        <v>0</v>
      </c>
      <c r="F442" s="518">
        <v>0</v>
      </c>
      <c r="G442" s="518">
        <v>0</v>
      </c>
      <c r="H442" s="518">
        <v>0</v>
      </c>
      <c r="I442" s="518">
        <v>0</v>
      </c>
      <c r="J442" s="518">
        <v>0</v>
      </c>
      <c r="K442" s="518"/>
      <c r="L442" s="518">
        <v>7560</v>
      </c>
      <c r="M442" s="518">
        <v>0</v>
      </c>
      <c r="N442" s="518">
        <v>0</v>
      </c>
      <c r="O442" s="518">
        <v>0</v>
      </c>
      <c r="P442" s="1498">
        <f t="shared" si="43"/>
        <v>0</v>
      </c>
      <c r="Q442" s="702">
        <f t="shared" si="47"/>
        <v>7560</v>
      </c>
      <c r="R442" s="1093" t="s">
        <v>251</v>
      </c>
      <c r="S442" s="1094" t="s">
        <v>251</v>
      </c>
      <c r="T442" s="1094"/>
      <c r="U442" s="1094"/>
      <c r="V442" s="1094"/>
      <c r="W442" s="1094"/>
      <c r="X442" s="1094"/>
      <c r="Y442" s="1094"/>
      <c r="Z442" s="1094"/>
      <c r="AA442" s="1094"/>
      <c r="AB442" s="1094"/>
      <c r="AC442" s="1094"/>
      <c r="AD442" s="1095">
        <f t="shared" si="42"/>
        <v>0</v>
      </c>
      <c r="AE442" s="621">
        <f t="shared" si="44"/>
        <v>0</v>
      </c>
      <c r="AF442" s="622">
        <f>IFERROR(_xlfn.RANK.EQ(AD442, $AD$2:$AD$677), "")</f>
        <v>394</v>
      </c>
    </row>
    <row r="443" spans="1:32" x14ac:dyDescent="0.3">
      <c r="A443" s="550" t="s">
        <v>691</v>
      </c>
      <c r="B443" s="684" t="s">
        <v>626</v>
      </c>
      <c r="C443" s="517"/>
      <c r="D443" s="518"/>
      <c r="E443" s="518"/>
      <c r="F443" s="518"/>
      <c r="G443" s="518"/>
      <c r="H443" s="518">
        <v>0</v>
      </c>
      <c r="I443" s="518"/>
      <c r="J443" s="518">
        <v>0</v>
      </c>
      <c r="K443" s="518"/>
      <c r="L443" s="518">
        <v>0</v>
      </c>
      <c r="M443" s="518">
        <v>0</v>
      </c>
      <c r="N443" s="518">
        <v>0</v>
      </c>
      <c r="O443" s="518">
        <v>282600</v>
      </c>
      <c r="P443" s="1498">
        <f t="shared" si="43"/>
        <v>0</v>
      </c>
      <c r="Q443" s="702">
        <f t="shared" si="47"/>
        <v>282600</v>
      </c>
      <c r="R443" s="1093">
        <v>7021260</v>
      </c>
      <c r="S443" s="1094">
        <v>1192230</v>
      </c>
      <c r="T443" s="1094">
        <v>423340</v>
      </c>
      <c r="U443" s="1094">
        <v>0</v>
      </c>
      <c r="V443" s="1094">
        <v>0</v>
      </c>
      <c r="W443" s="1094">
        <v>0</v>
      </c>
      <c r="X443" s="1094">
        <v>0</v>
      </c>
      <c r="Y443" s="1094">
        <v>0</v>
      </c>
      <c r="Z443" s="1094"/>
      <c r="AA443" s="1094"/>
      <c r="AB443" s="1094"/>
      <c r="AC443" s="1094"/>
      <c r="AD443" s="1095">
        <f t="shared" si="42"/>
        <v>8636830</v>
      </c>
      <c r="AE443" s="621">
        <f t="shared" si="44"/>
        <v>1</v>
      </c>
      <c r="AF443" s="622">
        <f t="shared" ref="AF443:AF506" si="48">IFERROR(_xlfn.RANK.EQ(AD443, $AD$2:$AD$677), "")</f>
        <v>52</v>
      </c>
    </row>
    <row r="444" spans="1:32" x14ac:dyDescent="0.3">
      <c r="A444" s="550" t="s">
        <v>691</v>
      </c>
      <c r="B444" s="684" t="s">
        <v>650</v>
      </c>
      <c r="C444" s="517"/>
      <c r="D444" s="518"/>
      <c r="E444" s="518"/>
      <c r="F444" s="518"/>
      <c r="G444" s="518"/>
      <c r="H444" s="518"/>
      <c r="I444" s="518"/>
      <c r="J444" s="518"/>
      <c r="K444" s="518"/>
      <c r="L444" s="518"/>
      <c r="M444" s="518"/>
      <c r="N444" s="518"/>
      <c r="O444" s="518"/>
      <c r="P444" s="1498">
        <f t="shared" si="43"/>
        <v>0</v>
      </c>
      <c r="Q444" s="702">
        <f t="shared" si="47"/>
        <v>0</v>
      </c>
      <c r="R444" s="1093">
        <v>1330200</v>
      </c>
      <c r="S444" s="1094" t="s">
        <v>251</v>
      </c>
      <c r="T444" s="1094">
        <v>0</v>
      </c>
      <c r="U444" s="1094">
        <v>0</v>
      </c>
      <c r="V444" s="1094">
        <v>0</v>
      </c>
      <c r="W444" s="1094">
        <v>0</v>
      </c>
      <c r="X444" s="1094">
        <v>0</v>
      </c>
      <c r="Y444" s="1094">
        <v>0</v>
      </c>
      <c r="Z444" s="1094"/>
      <c r="AA444" s="1094"/>
      <c r="AB444" s="1094"/>
      <c r="AC444" s="1094"/>
      <c r="AD444" s="1095">
        <f t="shared" si="42"/>
        <v>1330200</v>
      </c>
      <c r="AE444" s="621">
        <f t="shared" si="44"/>
        <v>1</v>
      </c>
      <c r="AF444" s="622">
        <f t="shared" si="48"/>
        <v>176</v>
      </c>
    </row>
    <row r="445" spans="1:32" x14ac:dyDescent="0.3">
      <c r="A445" s="550" t="s">
        <v>691</v>
      </c>
      <c r="B445" s="684" t="s">
        <v>621</v>
      </c>
      <c r="C445" s="517"/>
      <c r="D445" s="518"/>
      <c r="E445" s="518"/>
      <c r="F445" s="518"/>
      <c r="G445" s="518"/>
      <c r="H445" s="518"/>
      <c r="I445" s="518"/>
      <c r="J445" s="518"/>
      <c r="K445" s="518"/>
      <c r="L445" s="518"/>
      <c r="M445" s="518"/>
      <c r="N445" s="518"/>
      <c r="O445" s="518"/>
      <c r="P445" s="1498">
        <f t="shared" si="43"/>
        <v>0</v>
      </c>
      <c r="Q445" s="702">
        <f t="shared" si="47"/>
        <v>0</v>
      </c>
      <c r="R445" s="1093"/>
      <c r="S445" s="1094">
        <v>36900</v>
      </c>
      <c r="T445" s="1094">
        <v>0</v>
      </c>
      <c r="U445" s="1094">
        <v>0</v>
      </c>
      <c r="V445" s="1094">
        <v>0</v>
      </c>
      <c r="W445" s="1094">
        <v>0</v>
      </c>
      <c r="X445" s="1094">
        <v>0</v>
      </c>
      <c r="Y445" s="1094">
        <v>0</v>
      </c>
      <c r="Z445" s="1094"/>
      <c r="AA445" s="1094"/>
      <c r="AB445" s="1094"/>
      <c r="AC445" s="1094"/>
      <c r="AD445" s="1095">
        <f t="shared" si="42"/>
        <v>36900</v>
      </c>
      <c r="AE445" s="621">
        <f t="shared" si="44"/>
        <v>1</v>
      </c>
      <c r="AF445" s="622">
        <f t="shared" si="48"/>
        <v>375</v>
      </c>
    </row>
    <row r="446" spans="1:32" x14ac:dyDescent="0.3">
      <c r="A446" s="550" t="s">
        <v>691</v>
      </c>
      <c r="B446" s="684" t="s">
        <v>643</v>
      </c>
      <c r="C446" s="517"/>
      <c r="D446" s="518"/>
      <c r="E446" s="518"/>
      <c r="F446" s="518"/>
      <c r="G446" s="518"/>
      <c r="H446" s="518"/>
      <c r="I446" s="518"/>
      <c r="J446" s="518"/>
      <c r="K446" s="518"/>
      <c r="L446" s="518"/>
      <c r="M446" s="518"/>
      <c r="N446" s="518"/>
      <c r="O446" s="518"/>
      <c r="P446" s="1498">
        <f t="shared" si="43"/>
        <v>0</v>
      </c>
      <c r="Q446" s="702">
        <f t="shared" si="47"/>
        <v>0</v>
      </c>
      <c r="R446" s="1093"/>
      <c r="S446" s="1094"/>
      <c r="T446" s="1094"/>
      <c r="U446" s="1094">
        <v>123820</v>
      </c>
      <c r="V446" s="1094">
        <v>0</v>
      </c>
      <c r="W446" s="1094">
        <v>0</v>
      </c>
      <c r="X446" s="1094">
        <v>0</v>
      </c>
      <c r="Y446" s="1094">
        <v>0</v>
      </c>
      <c r="Z446" s="1094"/>
      <c r="AA446" s="1094"/>
      <c r="AB446" s="1094"/>
      <c r="AC446" s="1094"/>
      <c r="AD446" s="1095">
        <f t="shared" si="42"/>
        <v>123820</v>
      </c>
      <c r="AE446" s="621">
        <f t="shared" si="44"/>
        <v>1</v>
      </c>
      <c r="AF446" s="622">
        <f t="shared" si="48"/>
        <v>334</v>
      </c>
    </row>
    <row r="447" spans="1:32" x14ac:dyDescent="0.3">
      <c r="A447" s="551" t="s">
        <v>253</v>
      </c>
      <c r="B447" s="685" t="s">
        <v>742</v>
      </c>
      <c r="C447" s="519">
        <v>621520</v>
      </c>
      <c r="D447" s="520"/>
      <c r="E447" s="520">
        <v>0</v>
      </c>
      <c r="F447" s="520">
        <v>0</v>
      </c>
      <c r="G447" s="520">
        <v>0</v>
      </c>
      <c r="H447" s="520">
        <v>0</v>
      </c>
      <c r="I447" s="520">
        <v>0</v>
      </c>
      <c r="J447" s="520">
        <v>0</v>
      </c>
      <c r="K447" s="520">
        <v>0</v>
      </c>
      <c r="L447" s="520">
        <v>0</v>
      </c>
      <c r="M447" s="520">
        <v>0</v>
      </c>
      <c r="N447" s="520">
        <v>0</v>
      </c>
      <c r="O447" s="520">
        <v>0</v>
      </c>
      <c r="P447" s="1498">
        <f t="shared" si="43"/>
        <v>621520</v>
      </c>
      <c r="Q447" s="703">
        <f t="shared" si="47"/>
        <v>621520</v>
      </c>
      <c r="R447" s="1096" t="s">
        <v>251</v>
      </c>
      <c r="S447" s="1097" t="s">
        <v>251</v>
      </c>
      <c r="T447" s="1097"/>
      <c r="U447" s="1097"/>
      <c r="V447" s="1097"/>
      <c r="W447" s="1097"/>
      <c r="X447" s="1097"/>
      <c r="Y447" s="1097"/>
      <c r="Z447" s="1097"/>
      <c r="AA447" s="1097"/>
      <c r="AB447" s="1097"/>
      <c r="AC447" s="1097"/>
      <c r="AD447" s="1098">
        <f t="shared" si="42"/>
        <v>0</v>
      </c>
      <c r="AE447" s="623">
        <f t="shared" si="44"/>
        <v>-1</v>
      </c>
      <c r="AF447" s="624">
        <f t="shared" si="48"/>
        <v>394</v>
      </c>
    </row>
    <row r="448" spans="1:32" x14ac:dyDescent="0.3">
      <c r="A448" s="551" t="s">
        <v>253</v>
      </c>
      <c r="B448" s="685" t="s">
        <v>259</v>
      </c>
      <c r="C448" s="519" t="s">
        <v>251</v>
      </c>
      <c r="D448" s="520"/>
      <c r="E448" s="520" t="s">
        <v>251</v>
      </c>
      <c r="F448" s="520" t="s">
        <v>251</v>
      </c>
      <c r="G448" s="520" t="s">
        <v>251</v>
      </c>
      <c r="H448" s="520" t="s">
        <v>251</v>
      </c>
      <c r="I448" s="520" t="s">
        <v>251</v>
      </c>
      <c r="J448" s="520" t="s">
        <v>251</v>
      </c>
      <c r="K448" s="520"/>
      <c r="L448" s="520" t="s">
        <v>251</v>
      </c>
      <c r="M448" s="520" t="s">
        <v>251</v>
      </c>
      <c r="N448" s="520" t="s">
        <v>251</v>
      </c>
      <c r="O448" s="520" t="s">
        <v>251</v>
      </c>
      <c r="P448" s="1498">
        <f t="shared" si="43"/>
        <v>0</v>
      </c>
      <c r="Q448" s="703">
        <f t="shared" si="47"/>
        <v>0</v>
      </c>
      <c r="R448" s="1096" t="s">
        <v>251</v>
      </c>
      <c r="S448" s="1097" t="s">
        <v>251</v>
      </c>
      <c r="T448" s="1097"/>
      <c r="U448" s="1097"/>
      <c r="V448" s="1097"/>
      <c r="W448" s="1097"/>
      <c r="X448" s="1097"/>
      <c r="Y448" s="1097"/>
      <c r="Z448" s="1097"/>
      <c r="AA448" s="1097"/>
      <c r="AB448" s="1097"/>
      <c r="AC448" s="1097"/>
      <c r="AD448" s="1098">
        <f t="shared" ref="AD448:AD455" si="49">SUM(R448:AC448)</f>
        <v>0</v>
      </c>
      <c r="AE448" s="623">
        <f t="shared" si="44"/>
        <v>0</v>
      </c>
      <c r="AF448" s="624">
        <f t="shared" si="48"/>
        <v>394</v>
      </c>
    </row>
    <row r="449" spans="1:32" x14ac:dyDescent="0.3">
      <c r="A449" s="551" t="s">
        <v>253</v>
      </c>
      <c r="B449" s="685" t="s">
        <v>1809</v>
      </c>
      <c r="C449" s="519"/>
      <c r="D449" s="520"/>
      <c r="E449" s="520" t="s">
        <v>251</v>
      </c>
      <c r="F449" s="520" t="s">
        <v>251</v>
      </c>
      <c r="G449" s="520" t="s">
        <v>251</v>
      </c>
      <c r="H449" s="520" t="s">
        <v>251</v>
      </c>
      <c r="I449" s="520" t="s">
        <v>251</v>
      </c>
      <c r="J449" s="520" t="s">
        <v>251</v>
      </c>
      <c r="K449" s="520"/>
      <c r="L449" s="520" t="s">
        <v>251</v>
      </c>
      <c r="M449" s="520" t="s">
        <v>251</v>
      </c>
      <c r="N449" s="520" t="s">
        <v>251</v>
      </c>
      <c r="O449" s="520" t="s">
        <v>251</v>
      </c>
      <c r="P449" s="1498">
        <f t="shared" si="43"/>
        <v>0</v>
      </c>
      <c r="Q449" s="703">
        <f t="shared" si="47"/>
        <v>0</v>
      </c>
      <c r="R449" s="1096" t="s">
        <v>251</v>
      </c>
      <c r="S449" s="1097" t="s">
        <v>251</v>
      </c>
      <c r="T449" s="1097"/>
      <c r="U449" s="1097"/>
      <c r="V449" s="1097"/>
      <c r="W449" s="1097"/>
      <c r="X449" s="1097"/>
      <c r="Y449" s="1097"/>
      <c r="Z449" s="1097"/>
      <c r="AA449" s="1097"/>
      <c r="AB449" s="1097"/>
      <c r="AC449" s="1097"/>
      <c r="AD449" s="1098">
        <f t="shared" si="49"/>
        <v>0</v>
      </c>
      <c r="AE449" s="623">
        <f t="shared" si="44"/>
        <v>0</v>
      </c>
      <c r="AF449" s="624">
        <f t="shared" si="48"/>
        <v>394</v>
      </c>
    </row>
    <row r="450" spans="1:32" x14ac:dyDescent="0.3">
      <c r="A450" s="551" t="s">
        <v>253</v>
      </c>
      <c r="B450" s="685" t="s">
        <v>257</v>
      </c>
      <c r="C450" s="519"/>
      <c r="D450" s="520"/>
      <c r="E450" s="520" t="s">
        <v>251</v>
      </c>
      <c r="F450" s="520" t="s">
        <v>251</v>
      </c>
      <c r="G450" s="520" t="s">
        <v>251</v>
      </c>
      <c r="H450" s="520" t="s">
        <v>251</v>
      </c>
      <c r="I450" s="520" t="s">
        <v>251</v>
      </c>
      <c r="J450" s="520" t="s">
        <v>251</v>
      </c>
      <c r="K450" s="520"/>
      <c r="L450" s="520" t="s">
        <v>251</v>
      </c>
      <c r="M450" s="520" t="s">
        <v>251</v>
      </c>
      <c r="N450" s="520" t="s">
        <v>251</v>
      </c>
      <c r="O450" s="520" t="s">
        <v>251</v>
      </c>
      <c r="P450" s="1498">
        <f t="shared" si="43"/>
        <v>0</v>
      </c>
      <c r="Q450" s="703">
        <f t="shared" si="47"/>
        <v>0</v>
      </c>
      <c r="R450" s="1096" t="s">
        <v>251</v>
      </c>
      <c r="S450" s="1097" t="s">
        <v>251</v>
      </c>
      <c r="T450" s="1097"/>
      <c r="U450" s="1097"/>
      <c r="V450" s="1097"/>
      <c r="W450" s="1097"/>
      <c r="X450" s="1097"/>
      <c r="Y450" s="1097"/>
      <c r="Z450" s="1097"/>
      <c r="AA450" s="1097"/>
      <c r="AB450" s="1097"/>
      <c r="AC450" s="1097"/>
      <c r="AD450" s="1098">
        <f t="shared" si="49"/>
        <v>0</v>
      </c>
      <c r="AE450" s="623">
        <f t="shared" si="44"/>
        <v>0</v>
      </c>
      <c r="AF450" s="624">
        <f t="shared" si="48"/>
        <v>394</v>
      </c>
    </row>
    <row r="451" spans="1:32" x14ac:dyDescent="0.3">
      <c r="A451" s="552" t="s">
        <v>743</v>
      </c>
      <c r="B451" s="686" t="s">
        <v>692</v>
      </c>
      <c r="C451" s="522">
        <v>73340</v>
      </c>
      <c r="D451" s="521">
        <v>73080</v>
      </c>
      <c r="E451" s="521">
        <v>0</v>
      </c>
      <c r="F451" s="521">
        <v>108720</v>
      </c>
      <c r="G451" s="521">
        <v>0</v>
      </c>
      <c r="H451" s="521">
        <v>0</v>
      </c>
      <c r="I451" s="521">
        <v>0</v>
      </c>
      <c r="J451" s="521">
        <v>276130</v>
      </c>
      <c r="K451" s="521">
        <v>276130</v>
      </c>
      <c r="L451" s="521">
        <v>0</v>
      </c>
      <c r="M451" s="521">
        <v>0</v>
      </c>
      <c r="N451" s="521">
        <v>0</v>
      </c>
      <c r="O451" s="521">
        <v>55920</v>
      </c>
      <c r="P451" s="1498">
        <f t="shared" si="43"/>
        <v>531270</v>
      </c>
      <c r="Q451" s="704">
        <f t="shared" si="47"/>
        <v>587190</v>
      </c>
      <c r="R451" s="1099">
        <v>111360</v>
      </c>
      <c r="S451" s="1100">
        <v>84990</v>
      </c>
      <c r="T451" s="1100">
        <v>0</v>
      </c>
      <c r="U451" s="1100">
        <v>177950</v>
      </c>
      <c r="V451" s="1100">
        <v>67330</v>
      </c>
      <c r="W451" s="1100">
        <v>0</v>
      </c>
      <c r="X451" s="1100">
        <v>80720</v>
      </c>
      <c r="Y451" s="1100">
        <v>141310</v>
      </c>
      <c r="Z451" s="1100"/>
      <c r="AA451" s="1100"/>
      <c r="AB451" s="1100"/>
      <c r="AC451" s="1100"/>
      <c r="AD451" s="1101">
        <f t="shared" si="49"/>
        <v>663660</v>
      </c>
      <c r="AE451" s="625">
        <f t="shared" si="44"/>
        <v>0.24919532441131628</v>
      </c>
      <c r="AF451" s="626">
        <f t="shared" si="48"/>
        <v>230</v>
      </c>
    </row>
    <row r="452" spans="1:32" x14ac:dyDescent="0.3">
      <c r="A452" s="552" t="s">
        <v>743</v>
      </c>
      <c r="B452" s="686" t="s">
        <v>744</v>
      </c>
      <c r="C452" s="522"/>
      <c r="D452" s="521"/>
      <c r="E452" s="521">
        <v>0</v>
      </c>
      <c r="F452" s="521">
        <v>58330</v>
      </c>
      <c r="G452" s="521">
        <v>29090</v>
      </c>
      <c r="H452" s="521">
        <v>0</v>
      </c>
      <c r="I452" s="521">
        <v>0</v>
      </c>
      <c r="J452" s="521">
        <v>0</v>
      </c>
      <c r="K452" s="521">
        <v>0</v>
      </c>
      <c r="L452" s="521">
        <v>0</v>
      </c>
      <c r="M452" s="521">
        <v>0</v>
      </c>
      <c r="N452" s="521">
        <v>0</v>
      </c>
      <c r="O452" s="521">
        <v>0</v>
      </c>
      <c r="P452" s="1498">
        <f t="shared" si="43"/>
        <v>87420</v>
      </c>
      <c r="Q452" s="704">
        <f t="shared" si="47"/>
        <v>87420</v>
      </c>
      <c r="R452" s="1099" t="s">
        <v>251</v>
      </c>
      <c r="S452" s="1100" t="s">
        <v>251</v>
      </c>
      <c r="T452" s="1100"/>
      <c r="U452" s="1100"/>
      <c r="V452" s="1100"/>
      <c r="W452" s="1100"/>
      <c r="X452" s="1100"/>
      <c r="Y452" s="1100"/>
      <c r="Z452" s="1100"/>
      <c r="AA452" s="1100"/>
      <c r="AB452" s="1100"/>
      <c r="AC452" s="1100"/>
      <c r="AD452" s="1101">
        <f t="shared" si="49"/>
        <v>0</v>
      </c>
      <c r="AE452" s="625">
        <f t="shared" si="44"/>
        <v>-1</v>
      </c>
      <c r="AF452" s="626">
        <f t="shared" si="48"/>
        <v>394</v>
      </c>
    </row>
    <row r="453" spans="1:32" x14ac:dyDescent="0.3">
      <c r="A453" s="552" t="s">
        <v>743</v>
      </c>
      <c r="B453" s="686" t="s">
        <v>745</v>
      </c>
      <c r="C453" s="522">
        <v>65420</v>
      </c>
      <c r="D453" s="521"/>
      <c r="E453" s="521">
        <v>0</v>
      </c>
      <c r="F453" s="521">
        <v>0</v>
      </c>
      <c r="G453" s="521">
        <v>0</v>
      </c>
      <c r="H453" s="521">
        <v>0</v>
      </c>
      <c r="I453" s="521">
        <v>0</v>
      </c>
      <c r="J453" s="521">
        <v>0</v>
      </c>
      <c r="K453" s="521">
        <v>0</v>
      </c>
      <c r="L453" s="521">
        <v>0</v>
      </c>
      <c r="M453" s="521">
        <v>0</v>
      </c>
      <c r="N453" s="521">
        <v>0</v>
      </c>
      <c r="O453" s="521">
        <v>0</v>
      </c>
      <c r="P453" s="1498">
        <f t="shared" si="43"/>
        <v>65420</v>
      </c>
      <c r="Q453" s="704">
        <f t="shared" si="47"/>
        <v>65420</v>
      </c>
      <c r="R453" s="1099" t="s">
        <v>251</v>
      </c>
      <c r="S453" s="1100" t="s">
        <v>251</v>
      </c>
      <c r="T453" s="1100"/>
      <c r="U453" s="1100"/>
      <c r="V453" s="1100"/>
      <c r="W453" s="1100"/>
      <c r="X453" s="1100"/>
      <c r="Y453" s="1100"/>
      <c r="Z453" s="1100"/>
      <c r="AA453" s="1100"/>
      <c r="AB453" s="1100"/>
      <c r="AC453" s="1100"/>
      <c r="AD453" s="1101">
        <f t="shared" si="49"/>
        <v>0</v>
      </c>
      <c r="AE453" s="625">
        <f t="shared" si="44"/>
        <v>-1</v>
      </c>
      <c r="AF453" s="626">
        <f t="shared" si="48"/>
        <v>394</v>
      </c>
    </row>
    <row r="454" spans="1:32" x14ac:dyDescent="0.3">
      <c r="A454" s="552" t="s">
        <v>743</v>
      </c>
      <c r="B454" s="686" t="s">
        <v>746</v>
      </c>
      <c r="C454" s="522" t="s">
        <v>251</v>
      </c>
      <c r="D454" s="521" t="s">
        <v>251</v>
      </c>
      <c r="E454" s="521" t="s">
        <v>251</v>
      </c>
      <c r="F454" s="521" t="s">
        <v>251</v>
      </c>
      <c r="G454" s="521" t="s">
        <v>251</v>
      </c>
      <c r="H454" s="521" t="s">
        <v>251</v>
      </c>
      <c r="I454" s="521" t="s">
        <v>251</v>
      </c>
      <c r="J454" s="521" t="s">
        <v>251</v>
      </c>
      <c r="K454" s="521"/>
      <c r="L454" s="521" t="s">
        <v>251</v>
      </c>
      <c r="M454" s="521" t="s">
        <v>251</v>
      </c>
      <c r="N454" s="521" t="s">
        <v>251</v>
      </c>
      <c r="O454" s="521" t="s">
        <v>251</v>
      </c>
      <c r="P454" s="1498">
        <f t="shared" ref="P454:P521" si="50">SUM(C454:I454,K454)</f>
        <v>0</v>
      </c>
      <c r="Q454" s="704">
        <f t="shared" si="47"/>
        <v>0</v>
      </c>
      <c r="R454" s="1099" t="s">
        <v>251</v>
      </c>
      <c r="S454" s="1100" t="s">
        <v>251</v>
      </c>
      <c r="T454" s="1100"/>
      <c r="U454" s="1100"/>
      <c r="V454" s="1100"/>
      <c r="W454" s="1100"/>
      <c r="X454" s="1100"/>
      <c r="Y454" s="1100"/>
      <c r="Z454" s="1100"/>
      <c r="AA454" s="1100"/>
      <c r="AB454" s="1100"/>
      <c r="AC454" s="1100"/>
      <c r="AD454" s="1101">
        <f t="shared" si="49"/>
        <v>0</v>
      </c>
      <c r="AE454" s="625">
        <f t="shared" si="44"/>
        <v>0</v>
      </c>
      <c r="AF454" s="626">
        <f t="shared" si="48"/>
        <v>394</v>
      </c>
    </row>
    <row r="455" spans="1:32" x14ac:dyDescent="0.3">
      <c r="A455" s="552" t="s">
        <v>743</v>
      </c>
      <c r="B455" s="686" t="s">
        <v>747</v>
      </c>
      <c r="C455" s="522" t="s">
        <v>251</v>
      </c>
      <c r="D455" s="521" t="s">
        <v>251</v>
      </c>
      <c r="E455" s="521" t="s">
        <v>251</v>
      </c>
      <c r="F455" s="521" t="s">
        <v>251</v>
      </c>
      <c r="G455" s="521" t="s">
        <v>251</v>
      </c>
      <c r="H455" s="521" t="s">
        <v>251</v>
      </c>
      <c r="I455" s="521" t="s">
        <v>251</v>
      </c>
      <c r="J455" s="521" t="s">
        <v>251</v>
      </c>
      <c r="K455" s="521"/>
      <c r="L455" s="521" t="s">
        <v>251</v>
      </c>
      <c r="M455" s="521" t="s">
        <v>251</v>
      </c>
      <c r="N455" s="521" t="s">
        <v>251</v>
      </c>
      <c r="O455" s="521" t="s">
        <v>251</v>
      </c>
      <c r="P455" s="1498">
        <f t="shared" si="50"/>
        <v>0</v>
      </c>
      <c r="Q455" s="704">
        <f t="shared" si="47"/>
        <v>0</v>
      </c>
      <c r="R455" s="1099" t="s">
        <v>251</v>
      </c>
      <c r="S455" s="1100" t="s">
        <v>251</v>
      </c>
      <c r="T455" s="1100"/>
      <c r="U455" s="1100"/>
      <c r="V455" s="1100"/>
      <c r="W455" s="1100"/>
      <c r="X455" s="1100"/>
      <c r="Y455" s="1100"/>
      <c r="Z455" s="1100"/>
      <c r="AA455" s="1100"/>
      <c r="AB455" s="1100"/>
      <c r="AC455" s="1100"/>
      <c r="AD455" s="1101">
        <f t="shared" si="49"/>
        <v>0</v>
      </c>
      <c r="AE455" s="625">
        <f t="shared" si="44"/>
        <v>0</v>
      </c>
      <c r="AF455" s="626">
        <f t="shared" si="48"/>
        <v>394</v>
      </c>
    </row>
    <row r="456" spans="1:32" x14ac:dyDescent="0.3">
      <c r="A456" s="552" t="s">
        <v>743</v>
      </c>
      <c r="B456" s="686" t="s">
        <v>748</v>
      </c>
      <c r="C456" s="522" t="s">
        <v>251</v>
      </c>
      <c r="D456" s="521" t="s">
        <v>251</v>
      </c>
      <c r="E456" s="521" t="s">
        <v>251</v>
      </c>
      <c r="F456" s="521" t="s">
        <v>251</v>
      </c>
      <c r="G456" s="521" t="s">
        <v>251</v>
      </c>
      <c r="H456" s="521" t="s">
        <v>251</v>
      </c>
      <c r="I456" s="521" t="s">
        <v>251</v>
      </c>
      <c r="J456" s="521" t="s">
        <v>251</v>
      </c>
      <c r="K456" s="521"/>
      <c r="L456" s="521" t="s">
        <v>251</v>
      </c>
      <c r="M456" s="521" t="s">
        <v>251</v>
      </c>
      <c r="N456" s="521" t="s">
        <v>251</v>
      </c>
      <c r="O456" s="521" t="s">
        <v>251</v>
      </c>
      <c r="P456" s="1498">
        <f t="shared" si="50"/>
        <v>0</v>
      </c>
      <c r="Q456" s="704">
        <f t="shared" si="47"/>
        <v>0</v>
      </c>
      <c r="R456" s="1099" t="s">
        <v>251</v>
      </c>
      <c r="S456" s="1100" t="s">
        <v>251</v>
      </c>
      <c r="T456" s="1100"/>
      <c r="U456" s="1100"/>
      <c r="V456" s="1100"/>
      <c r="W456" s="1100"/>
      <c r="X456" s="1100"/>
      <c r="Y456" s="1100"/>
      <c r="Z456" s="1100"/>
      <c r="AA456" s="1100"/>
      <c r="AB456" s="1100"/>
      <c r="AC456" s="1100"/>
      <c r="AD456" s="1101">
        <f>SUM(R456:AC456)</f>
        <v>0</v>
      </c>
      <c r="AE456" s="625">
        <f t="shared" si="44"/>
        <v>0</v>
      </c>
      <c r="AF456" s="626">
        <f t="shared" si="48"/>
        <v>394</v>
      </c>
    </row>
    <row r="457" spans="1:32" x14ac:dyDescent="0.3">
      <c r="A457" s="552" t="s">
        <v>743</v>
      </c>
      <c r="B457" s="686" t="s">
        <v>749</v>
      </c>
      <c r="C457" s="522" t="s">
        <v>251</v>
      </c>
      <c r="D457" s="521" t="s">
        <v>251</v>
      </c>
      <c r="E457" s="521" t="s">
        <v>251</v>
      </c>
      <c r="F457" s="521" t="s">
        <v>251</v>
      </c>
      <c r="G457" s="521" t="s">
        <v>251</v>
      </c>
      <c r="H457" s="521" t="s">
        <v>251</v>
      </c>
      <c r="I457" s="521" t="s">
        <v>251</v>
      </c>
      <c r="J457" s="521" t="s">
        <v>251</v>
      </c>
      <c r="K457" s="521"/>
      <c r="L457" s="521" t="s">
        <v>251</v>
      </c>
      <c r="M457" s="521" t="s">
        <v>251</v>
      </c>
      <c r="N457" s="521" t="s">
        <v>251</v>
      </c>
      <c r="O457" s="521" t="s">
        <v>251</v>
      </c>
      <c r="P457" s="1498">
        <f t="shared" si="50"/>
        <v>0</v>
      </c>
      <c r="Q457" s="704">
        <f t="shared" si="47"/>
        <v>0</v>
      </c>
      <c r="R457" s="1099" t="s">
        <v>251</v>
      </c>
      <c r="S457" s="1100" t="s">
        <v>251</v>
      </c>
      <c r="T457" s="1100"/>
      <c r="U457" s="1100"/>
      <c r="V457" s="1100"/>
      <c r="W457" s="1100"/>
      <c r="X457" s="1100"/>
      <c r="Y457" s="1100"/>
      <c r="Z457" s="1100"/>
      <c r="AA457" s="1100"/>
      <c r="AB457" s="1100"/>
      <c r="AC457" s="1100"/>
      <c r="AD457" s="1101">
        <f t="shared" ref="AD457:AD530" si="51">SUM(R457:AC457)</f>
        <v>0</v>
      </c>
      <c r="AE457" s="625">
        <f t="shared" si="44"/>
        <v>0</v>
      </c>
      <c r="AF457" s="626">
        <f t="shared" si="48"/>
        <v>394</v>
      </c>
    </row>
    <row r="458" spans="1:32" x14ac:dyDescent="0.3">
      <c r="A458" s="552" t="s">
        <v>743</v>
      </c>
      <c r="B458" s="686" t="s">
        <v>750</v>
      </c>
      <c r="C458" s="522" t="s">
        <v>251</v>
      </c>
      <c r="D458" s="521" t="s">
        <v>251</v>
      </c>
      <c r="E458" s="521" t="s">
        <v>251</v>
      </c>
      <c r="F458" s="521" t="s">
        <v>251</v>
      </c>
      <c r="G458" s="521" t="s">
        <v>251</v>
      </c>
      <c r="H458" s="521" t="s">
        <v>251</v>
      </c>
      <c r="I458" s="521" t="s">
        <v>251</v>
      </c>
      <c r="J458" s="521" t="s">
        <v>251</v>
      </c>
      <c r="K458" s="521"/>
      <c r="L458" s="521" t="s">
        <v>251</v>
      </c>
      <c r="M458" s="521" t="s">
        <v>251</v>
      </c>
      <c r="N458" s="521" t="s">
        <v>251</v>
      </c>
      <c r="O458" s="521" t="s">
        <v>251</v>
      </c>
      <c r="P458" s="1498">
        <f t="shared" si="50"/>
        <v>0</v>
      </c>
      <c r="Q458" s="704">
        <f t="shared" si="47"/>
        <v>0</v>
      </c>
      <c r="R458" s="1099" t="s">
        <v>251</v>
      </c>
      <c r="S458" s="1100" t="s">
        <v>251</v>
      </c>
      <c r="T458" s="1100"/>
      <c r="U458" s="1100"/>
      <c r="V458" s="1100"/>
      <c r="W458" s="1100"/>
      <c r="X458" s="1100"/>
      <c r="Y458" s="1100"/>
      <c r="Z458" s="1100"/>
      <c r="AA458" s="1100"/>
      <c r="AB458" s="1100"/>
      <c r="AC458" s="1100"/>
      <c r="AD458" s="1101">
        <f t="shared" si="51"/>
        <v>0</v>
      </c>
      <c r="AE458" s="625">
        <f t="shared" si="44"/>
        <v>0</v>
      </c>
      <c r="AF458" s="626">
        <f t="shared" si="48"/>
        <v>394</v>
      </c>
    </row>
    <row r="459" spans="1:32" x14ac:dyDescent="0.3">
      <c r="A459" s="552" t="s">
        <v>743</v>
      </c>
      <c r="B459" s="686" t="s">
        <v>751</v>
      </c>
      <c r="C459" s="522" t="s">
        <v>251</v>
      </c>
      <c r="D459" s="521" t="s">
        <v>251</v>
      </c>
      <c r="E459" s="521" t="s">
        <v>251</v>
      </c>
      <c r="F459" s="521" t="s">
        <v>251</v>
      </c>
      <c r="G459" s="521" t="s">
        <v>251</v>
      </c>
      <c r="H459" s="521" t="s">
        <v>251</v>
      </c>
      <c r="I459" s="521" t="s">
        <v>251</v>
      </c>
      <c r="J459" s="521" t="s">
        <v>251</v>
      </c>
      <c r="K459" s="521"/>
      <c r="L459" s="521" t="s">
        <v>251</v>
      </c>
      <c r="M459" s="521" t="s">
        <v>251</v>
      </c>
      <c r="N459" s="521" t="s">
        <v>251</v>
      </c>
      <c r="O459" s="521" t="s">
        <v>251</v>
      </c>
      <c r="P459" s="1498">
        <f t="shared" si="50"/>
        <v>0</v>
      </c>
      <c r="Q459" s="704">
        <f t="shared" si="47"/>
        <v>0</v>
      </c>
      <c r="R459" s="1099" t="s">
        <v>251</v>
      </c>
      <c r="S459" s="1100" t="s">
        <v>251</v>
      </c>
      <c r="T459" s="1100"/>
      <c r="U459" s="1100"/>
      <c r="V459" s="1100"/>
      <c r="W459" s="1100"/>
      <c r="X459" s="1100"/>
      <c r="Y459" s="1100"/>
      <c r="Z459" s="1100"/>
      <c r="AA459" s="1100"/>
      <c r="AB459" s="1100"/>
      <c r="AC459" s="1100"/>
      <c r="AD459" s="1101">
        <f t="shared" si="51"/>
        <v>0</v>
      </c>
      <c r="AE459" s="625">
        <f t="shared" si="44"/>
        <v>0</v>
      </c>
      <c r="AF459" s="626">
        <f t="shared" si="48"/>
        <v>394</v>
      </c>
    </row>
    <row r="460" spans="1:32" x14ac:dyDescent="0.3">
      <c r="A460" s="552" t="s">
        <v>743</v>
      </c>
      <c r="B460" s="686" t="s">
        <v>1794</v>
      </c>
      <c r="C460" s="522"/>
      <c r="D460" s="521"/>
      <c r="E460" s="521" t="s">
        <v>251</v>
      </c>
      <c r="F460" s="521" t="s">
        <v>251</v>
      </c>
      <c r="G460" s="521" t="s">
        <v>251</v>
      </c>
      <c r="H460" s="521" t="s">
        <v>251</v>
      </c>
      <c r="I460" s="521" t="s">
        <v>251</v>
      </c>
      <c r="J460" s="521" t="s">
        <v>251</v>
      </c>
      <c r="K460" s="521"/>
      <c r="L460" s="521" t="s">
        <v>251</v>
      </c>
      <c r="M460" s="521" t="s">
        <v>251</v>
      </c>
      <c r="N460" s="521" t="s">
        <v>251</v>
      </c>
      <c r="O460" s="521" t="s">
        <v>251</v>
      </c>
      <c r="P460" s="1498">
        <f t="shared" si="50"/>
        <v>0</v>
      </c>
      <c r="Q460" s="704">
        <f t="shared" si="47"/>
        <v>0</v>
      </c>
      <c r="R460" s="1099" t="s">
        <v>251</v>
      </c>
      <c r="S460" s="1100" t="s">
        <v>251</v>
      </c>
      <c r="T460" s="1100"/>
      <c r="U460" s="1100"/>
      <c r="V460" s="1100"/>
      <c r="W460" s="1100"/>
      <c r="X460" s="1100"/>
      <c r="Y460" s="1100"/>
      <c r="Z460" s="1100"/>
      <c r="AA460" s="1100"/>
      <c r="AB460" s="1100"/>
      <c r="AC460" s="1100"/>
      <c r="AD460" s="1101">
        <f t="shared" si="51"/>
        <v>0</v>
      </c>
      <c r="AE460" s="625">
        <f t="shared" si="44"/>
        <v>0</v>
      </c>
      <c r="AF460" s="626">
        <f t="shared" si="48"/>
        <v>394</v>
      </c>
    </row>
    <row r="461" spans="1:32" x14ac:dyDescent="0.3">
      <c r="A461" s="552" t="s">
        <v>743</v>
      </c>
      <c r="B461" s="686" t="s">
        <v>1796</v>
      </c>
      <c r="C461" s="522"/>
      <c r="D461" s="521"/>
      <c r="E461" s="521" t="s">
        <v>251</v>
      </c>
      <c r="F461" s="521" t="s">
        <v>251</v>
      </c>
      <c r="G461" s="521" t="s">
        <v>251</v>
      </c>
      <c r="H461" s="521" t="s">
        <v>251</v>
      </c>
      <c r="I461" s="521" t="s">
        <v>251</v>
      </c>
      <c r="J461" s="521" t="s">
        <v>251</v>
      </c>
      <c r="K461" s="521"/>
      <c r="L461" s="521" t="s">
        <v>251</v>
      </c>
      <c r="M461" s="521" t="s">
        <v>251</v>
      </c>
      <c r="N461" s="521" t="s">
        <v>251</v>
      </c>
      <c r="O461" s="521" t="s">
        <v>251</v>
      </c>
      <c r="P461" s="1498">
        <f t="shared" si="50"/>
        <v>0</v>
      </c>
      <c r="Q461" s="704">
        <f t="shared" si="47"/>
        <v>0</v>
      </c>
      <c r="R461" s="1099" t="s">
        <v>251</v>
      </c>
      <c r="S461" s="1100" t="s">
        <v>251</v>
      </c>
      <c r="T461" s="1100"/>
      <c r="U461" s="1100"/>
      <c r="V461" s="1100"/>
      <c r="W461" s="1100"/>
      <c r="X461" s="1100"/>
      <c r="Y461" s="1100"/>
      <c r="Z461" s="1100"/>
      <c r="AA461" s="1100"/>
      <c r="AB461" s="1100"/>
      <c r="AC461" s="1100"/>
      <c r="AD461" s="1101">
        <f t="shared" si="51"/>
        <v>0</v>
      </c>
      <c r="AE461" s="625">
        <f t="shared" si="44"/>
        <v>0</v>
      </c>
      <c r="AF461" s="626">
        <f t="shared" si="48"/>
        <v>394</v>
      </c>
    </row>
    <row r="462" spans="1:32" x14ac:dyDescent="0.3">
      <c r="A462" s="552" t="s">
        <v>743</v>
      </c>
      <c r="B462" s="686" t="s">
        <v>1854</v>
      </c>
      <c r="C462" s="522"/>
      <c r="D462" s="521"/>
      <c r="E462" s="521">
        <v>0</v>
      </c>
      <c r="F462" s="521">
        <v>0</v>
      </c>
      <c r="G462" s="521">
        <v>0</v>
      </c>
      <c r="H462" s="521">
        <v>28440</v>
      </c>
      <c r="I462" s="521">
        <v>0</v>
      </c>
      <c r="J462" s="521">
        <v>0</v>
      </c>
      <c r="K462" s="521">
        <v>0</v>
      </c>
      <c r="L462" s="521">
        <v>62160</v>
      </c>
      <c r="M462" s="521">
        <v>0</v>
      </c>
      <c r="N462" s="521">
        <v>0</v>
      </c>
      <c r="O462" s="521">
        <v>0</v>
      </c>
      <c r="P462" s="1498">
        <f t="shared" si="50"/>
        <v>28440</v>
      </c>
      <c r="Q462" s="704">
        <f t="shared" si="47"/>
        <v>90600</v>
      </c>
      <c r="R462" s="1099" t="s">
        <v>251</v>
      </c>
      <c r="S462" s="1100" t="s">
        <v>251</v>
      </c>
      <c r="T462" s="1100"/>
      <c r="U462" s="1100"/>
      <c r="V462" s="1100"/>
      <c r="W462" s="1100"/>
      <c r="X462" s="1100"/>
      <c r="Y462" s="1100"/>
      <c r="Z462" s="1100"/>
      <c r="AA462" s="1100"/>
      <c r="AB462" s="1100"/>
      <c r="AC462" s="1100"/>
      <c r="AD462" s="1101">
        <f t="shared" si="51"/>
        <v>0</v>
      </c>
      <c r="AE462" s="625">
        <f t="shared" si="44"/>
        <v>-1</v>
      </c>
      <c r="AF462" s="626">
        <f t="shared" si="48"/>
        <v>394</v>
      </c>
    </row>
    <row r="463" spans="1:32" x14ac:dyDescent="0.3">
      <c r="A463" s="552" t="s">
        <v>743</v>
      </c>
      <c r="B463" s="686" t="s">
        <v>25</v>
      </c>
      <c r="C463" s="522"/>
      <c r="D463" s="521"/>
      <c r="E463" s="521"/>
      <c r="F463" s="521"/>
      <c r="G463" s="521"/>
      <c r="H463" s="521"/>
      <c r="I463" s="521"/>
      <c r="J463" s="521"/>
      <c r="K463" s="521"/>
      <c r="L463" s="521"/>
      <c r="M463" s="521"/>
      <c r="N463" s="521"/>
      <c r="O463" s="521"/>
      <c r="P463" s="1498">
        <f t="shared" si="50"/>
        <v>0</v>
      </c>
      <c r="Q463" s="704">
        <f t="shared" si="47"/>
        <v>0</v>
      </c>
      <c r="R463" s="1099"/>
      <c r="S463" s="1100"/>
      <c r="T463" s="1100"/>
      <c r="U463" s="1100"/>
      <c r="V463" s="1100"/>
      <c r="W463" s="1100">
        <v>100530</v>
      </c>
      <c r="X463" s="1100">
        <v>0</v>
      </c>
      <c r="Y463" s="1100">
        <v>0</v>
      </c>
      <c r="Z463" s="1100"/>
      <c r="AA463" s="1100"/>
      <c r="AB463" s="1100"/>
      <c r="AC463" s="1100"/>
      <c r="AD463" s="1101">
        <f t="shared" si="51"/>
        <v>100530</v>
      </c>
      <c r="AE463" s="625">
        <f t="shared" si="44"/>
        <v>1</v>
      </c>
      <c r="AF463" s="626">
        <f t="shared" si="48"/>
        <v>345</v>
      </c>
    </row>
    <row r="464" spans="1:32" x14ac:dyDescent="0.3">
      <c r="A464" s="553" t="s">
        <v>752</v>
      </c>
      <c r="B464" s="687" t="s">
        <v>753</v>
      </c>
      <c r="C464" s="523" t="s">
        <v>251</v>
      </c>
      <c r="D464" s="524" t="s">
        <v>251</v>
      </c>
      <c r="E464" s="524" t="s">
        <v>251</v>
      </c>
      <c r="F464" s="524" t="s">
        <v>251</v>
      </c>
      <c r="G464" s="524" t="s">
        <v>251</v>
      </c>
      <c r="H464" s="524" t="s">
        <v>251</v>
      </c>
      <c r="I464" s="524" t="s">
        <v>251</v>
      </c>
      <c r="J464" s="524" t="s">
        <v>251</v>
      </c>
      <c r="K464" s="524"/>
      <c r="L464" s="524" t="s">
        <v>251</v>
      </c>
      <c r="M464" s="524" t="s">
        <v>251</v>
      </c>
      <c r="N464" s="524" t="s">
        <v>251</v>
      </c>
      <c r="O464" s="524" t="s">
        <v>251</v>
      </c>
      <c r="P464" s="1498">
        <f t="shared" si="50"/>
        <v>0</v>
      </c>
      <c r="Q464" s="705">
        <f t="shared" si="47"/>
        <v>0</v>
      </c>
      <c r="R464" s="1102" t="s">
        <v>251</v>
      </c>
      <c r="S464" s="1103" t="s">
        <v>251</v>
      </c>
      <c r="T464" s="1103"/>
      <c r="U464" s="1103"/>
      <c r="V464" s="1103"/>
      <c r="W464" s="1103"/>
      <c r="X464" s="1103"/>
      <c r="Y464" s="1103"/>
      <c r="Z464" s="1103"/>
      <c r="AA464" s="1103"/>
      <c r="AB464" s="1103"/>
      <c r="AC464" s="1103"/>
      <c r="AD464" s="1104">
        <f t="shared" si="51"/>
        <v>0</v>
      </c>
      <c r="AE464" s="627">
        <f t="shared" si="44"/>
        <v>0</v>
      </c>
      <c r="AF464" s="628">
        <f t="shared" si="48"/>
        <v>394</v>
      </c>
    </row>
    <row r="465" spans="1:32" x14ac:dyDescent="0.3">
      <c r="A465" s="594" t="s">
        <v>1344</v>
      </c>
      <c r="B465" s="688" t="s">
        <v>1344</v>
      </c>
      <c r="C465" s="598"/>
      <c r="D465" s="599"/>
      <c r="E465" s="599">
        <v>0</v>
      </c>
      <c r="F465" s="599">
        <v>0</v>
      </c>
      <c r="G465" s="599">
        <v>0</v>
      </c>
      <c r="H465" s="599">
        <v>1905470</v>
      </c>
      <c r="I465" s="599">
        <v>2453790</v>
      </c>
      <c r="J465" s="599">
        <v>2797300</v>
      </c>
      <c r="K465" s="599">
        <v>2797300</v>
      </c>
      <c r="L465" s="599">
        <v>2894480</v>
      </c>
      <c r="M465" s="599">
        <v>101780</v>
      </c>
      <c r="N465" s="599">
        <v>544890</v>
      </c>
      <c r="O465" s="599">
        <v>1112930</v>
      </c>
      <c r="P465" s="1498">
        <f t="shared" si="50"/>
        <v>7156560</v>
      </c>
      <c r="Q465" s="706">
        <f t="shared" si="47"/>
        <v>11810640</v>
      </c>
      <c r="R465" s="1105">
        <v>648730</v>
      </c>
      <c r="S465" s="1106">
        <v>432050</v>
      </c>
      <c r="T465" s="1106">
        <v>732640</v>
      </c>
      <c r="U465" s="1106">
        <v>0</v>
      </c>
      <c r="V465" s="1106">
        <v>231190</v>
      </c>
      <c r="W465" s="1106">
        <v>922070</v>
      </c>
      <c r="X465" s="1106">
        <v>1410950</v>
      </c>
      <c r="Y465" s="1106">
        <v>400760</v>
      </c>
      <c r="Z465" s="1106"/>
      <c r="AA465" s="1106"/>
      <c r="AB465" s="1106"/>
      <c r="AC465" s="1106"/>
      <c r="AD465" s="1107">
        <f t="shared" si="51"/>
        <v>4778390</v>
      </c>
      <c r="AE465" s="629">
        <f t="shared" si="44"/>
        <v>-0.33230630358719832</v>
      </c>
      <c r="AF465" s="630">
        <f t="shared" si="48"/>
        <v>86</v>
      </c>
    </row>
    <row r="466" spans="1:32" x14ac:dyDescent="0.3">
      <c r="A466" s="594" t="s">
        <v>1344</v>
      </c>
      <c r="B466" s="688" t="s">
        <v>1864</v>
      </c>
      <c r="C466" s="598"/>
      <c r="D466" s="599"/>
      <c r="E466" s="599">
        <v>0</v>
      </c>
      <c r="F466" s="599">
        <v>0</v>
      </c>
      <c r="G466" s="599">
        <v>0</v>
      </c>
      <c r="H466" s="599">
        <v>0</v>
      </c>
      <c r="I466" s="599">
        <v>1585560</v>
      </c>
      <c r="J466" s="599">
        <v>3205440</v>
      </c>
      <c r="K466" s="599">
        <v>3205440</v>
      </c>
      <c r="L466" s="599">
        <v>0</v>
      </c>
      <c r="M466" s="599">
        <v>0</v>
      </c>
      <c r="N466" s="599">
        <v>0</v>
      </c>
      <c r="O466" s="599">
        <v>0</v>
      </c>
      <c r="P466" s="1498">
        <f t="shared" si="50"/>
        <v>4791000</v>
      </c>
      <c r="Q466" s="706">
        <f t="shared" si="47"/>
        <v>4791000</v>
      </c>
      <c r="R466" s="1105" t="s">
        <v>251</v>
      </c>
      <c r="S466" s="1106" t="s">
        <v>251</v>
      </c>
      <c r="T466" s="1106"/>
      <c r="U466" s="1106"/>
      <c r="V466" s="1106"/>
      <c r="W466" s="1106"/>
      <c r="X466" s="1106"/>
      <c r="Y466" s="1106"/>
      <c r="Z466" s="1106"/>
      <c r="AA466" s="1106"/>
      <c r="AB466" s="1106"/>
      <c r="AC466" s="1106"/>
      <c r="AD466" s="1107">
        <f t="shared" si="51"/>
        <v>0</v>
      </c>
      <c r="AE466" s="629">
        <f t="shared" si="44"/>
        <v>-1</v>
      </c>
      <c r="AF466" s="630">
        <f t="shared" si="48"/>
        <v>394</v>
      </c>
    </row>
    <row r="467" spans="1:32" x14ac:dyDescent="0.3">
      <c r="A467" s="594" t="s">
        <v>1344</v>
      </c>
      <c r="B467" s="688" t="s">
        <v>1826</v>
      </c>
      <c r="C467" s="598"/>
      <c r="D467" s="599"/>
      <c r="E467" s="599"/>
      <c r="F467" s="599"/>
      <c r="G467" s="599"/>
      <c r="H467" s="599"/>
      <c r="I467" s="599"/>
      <c r="J467" s="599"/>
      <c r="K467" s="599"/>
      <c r="L467" s="599"/>
      <c r="M467" s="599"/>
      <c r="N467" s="599"/>
      <c r="O467" s="599"/>
      <c r="P467" s="1498">
        <f t="shared" si="50"/>
        <v>0</v>
      </c>
      <c r="Q467" s="706">
        <f t="shared" si="47"/>
        <v>0</v>
      </c>
      <c r="R467" s="1105"/>
      <c r="S467" s="1106"/>
      <c r="T467" s="1106"/>
      <c r="U467" s="1106"/>
      <c r="V467" s="1106"/>
      <c r="W467" s="1106"/>
      <c r="X467" s="1106">
        <v>122480</v>
      </c>
      <c r="Y467" s="1106">
        <v>0</v>
      </c>
      <c r="Z467" s="1106"/>
      <c r="AA467" s="1106"/>
      <c r="AB467" s="1106"/>
      <c r="AC467" s="1106"/>
      <c r="AD467" s="1107">
        <f t="shared" si="51"/>
        <v>122480</v>
      </c>
      <c r="AE467" s="629">
        <f t="shared" si="44"/>
        <v>1</v>
      </c>
      <c r="AF467" s="630">
        <f t="shared" si="48"/>
        <v>335</v>
      </c>
    </row>
    <row r="468" spans="1:32" x14ac:dyDescent="0.3">
      <c r="A468" s="594" t="s">
        <v>1344</v>
      </c>
      <c r="B468" s="688" t="s">
        <v>2931</v>
      </c>
      <c r="C468" s="598"/>
      <c r="D468" s="599"/>
      <c r="E468" s="599"/>
      <c r="F468" s="599"/>
      <c r="G468" s="599"/>
      <c r="H468" s="599"/>
      <c r="I468" s="599"/>
      <c r="J468" s="599"/>
      <c r="K468" s="599"/>
      <c r="L468" s="599"/>
      <c r="M468" s="599"/>
      <c r="N468" s="599"/>
      <c r="O468" s="599"/>
      <c r="P468" s="1498">
        <f t="shared" si="50"/>
        <v>0</v>
      </c>
      <c r="Q468" s="706">
        <f t="shared" si="47"/>
        <v>0</v>
      </c>
      <c r="R468" s="1105"/>
      <c r="S468" s="1106"/>
      <c r="T468" s="1106"/>
      <c r="U468" s="1106"/>
      <c r="V468" s="1106"/>
      <c r="W468" s="1106"/>
      <c r="X468" s="1106">
        <v>250700</v>
      </c>
      <c r="Y468" s="1106">
        <v>24930</v>
      </c>
      <c r="Z468" s="1106"/>
      <c r="AA468" s="1106"/>
      <c r="AB468" s="1106"/>
      <c r="AC468" s="1106"/>
      <c r="AD468" s="1107">
        <f t="shared" si="51"/>
        <v>275630</v>
      </c>
      <c r="AE468" s="629">
        <f t="shared" si="44"/>
        <v>1</v>
      </c>
      <c r="AF468" s="630">
        <f t="shared" si="48"/>
        <v>301</v>
      </c>
    </row>
    <row r="469" spans="1:32" x14ac:dyDescent="0.3">
      <c r="A469" s="594" t="s">
        <v>1344</v>
      </c>
      <c r="B469" s="688" t="s">
        <v>3048</v>
      </c>
      <c r="C469" s="598"/>
      <c r="D469" s="599"/>
      <c r="E469" s="599"/>
      <c r="F469" s="599"/>
      <c r="G469" s="599"/>
      <c r="H469" s="599"/>
      <c r="I469" s="599"/>
      <c r="J469" s="599"/>
      <c r="K469" s="599"/>
      <c r="L469" s="599"/>
      <c r="M469" s="599"/>
      <c r="N469" s="599"/>
      <c r="O469" s="599"/>
      <c r="P469" s="1498">
        <f t="shared" si="50"/>
        <v>0</v>
      </c>
      <c r="Q469" s="706">
        <f t="shared" si="47"/>
        <v>0</v>
      </c>
      <c r="R469" s="1105"/>
      <c r="S469" s="1106"/>
      <c r="T469" s="1106"/>
      <c r="U469" s="1106"/>
      <c r="V469" s="1106"/>
      <c r="W469" s="1106"/>
      <c r="X469" s="1106"/>
      <c r="Y469" s="1106">
        <v>121570</v>
      </c>
      <c r="Z469" s="1106"/>
      <c r="AA469" s="1106"/>
      <c r="AB469" s="1106"/>
      <c r="AC469" s="1106"/>
      <c r="AD469" s="1107">
        <f t="shared" si="51"/>
        <v>121570</v>
      </c>
      <c r="AE469" s="629">
        <f t="shared" si="44"/>
        <v>1</v>
      </c>
      <c r="AF469" s="630">
        <f t="shared" si="48"/>
        <v>336</v>
      </c>
    </row>
    <row r="470" spans="1:32" x14ac:dyDescent="0.3">
      <c r="A470" s="595" t="s">
        <v>954</v>
      </c>
      <c r="B470" s="689" t="s">
        <v>980</v>
      </c>
      <c r="C470" s="600"/>
      <c r="D470" s="601"/>
      <c r="E470" s="601">
        <v>0</v>
      </c>
      <c r="F470" s="601">
        <v>0</v>
      </c>
      <c r="G470" s="601">
        <v>0</v>
      </c>
      <c r="H470" s="601">
        <v>0</v>
      </c>
      <c r="I470" s="601">
        <v>54000</v>
      </c>
      <c r="J470" s="601">
        <v>54000</v>
      </c>
      <c r="K470" s="601">
        <v>54000</v>
      </c>
      <c r="L470" s="601">
        <v>0</v>
      </c>
      <c r="M470" s="601">
        <v>0</v>
      </c>
      <c r="N470" s="601">
        <v>0</v>
      </c>
      <c r="O470" s="601">
        <v>0</v>
      </c>
      <c r="P470" s="1498">
        <f t="shared" si="50"/>
        <v>108000</v>
      </c>
      <c r="Q470" s="707">
        <f t="shared" si="47"/>
        <v>108000</v>
      </c>
      <c r="R470" s="1108" t="s">
        <v>251</v>
      </c>
      <c r="S470" s="1109" t="s">
        <v>251</v>
      </c>
      <c r="T470" s="1109"/>
      <c r="U470" s="1109"/>
      <c r="V470" s="1109"/>
      <c r="W470" s="1109">
        <v>152100</v>
      </c>
      <c r="X470" s="1109">
        <v>58500</v>
      </c>
      <c r="Y470" s="1109">
        <v>0</v>
      </c>
      <c r="Z470" s="1109"/>
      <c r="AA470" s="1109"/>
      <c r="AB470" s="1109"/>
      <c r="AC470" s="1109"/>
      <c r="AD470" s="1110">
        <f t="shared" si="51"/>
        <v>210600</v>
      </c>
      <c r="AE470" s="631">
        <f t="shared" si="44"/>
        <v>0.95</v>
      </c>
      <c r="AF470" s="632">
        <f t="shared" si="48"/>
        <v>312</v>
      </c>
    </row>
    <row r="471" spans="1:32" x14ac:dyDescent="0.3">
      <c r="A471" s="337" t="s">
        <v>1347</v>
      </c>
      <c r="B471" s="690" t="s">
        <v>1405</v>
      </c>
      <c r="C471" s="602"/>
      <c r="D471" s="603"/>
      <c r="E471" s="603">
        <v>0</v>
      </c>
      <c r="F471" s="603">
        <v>0</v>
      </c>
      <c r="G471" s="603">
        <v>0</v>
      </c>
      <c r="H471" s="603">
        <v>0</v>
      </c>
      <c r="I471" s="603">
        <v>0</v>
      </c>
      <c r="J471" s="603">
        <v>0</v>
      </c>
      <c r="K471" s="603"/>
      <c r="L471" s="603">
        <v>0</v>
      </c>
      <c r="M471" s="603">
        <v>460580</v>
      </c>
      <c r="N471" s="603">
        <v>0</v>
      </c>
      <c r="O471" s="603">
        <v>0</v>
      </c>
      <c r="P471" s="1498">
        <f t="shared" si="50"/>
        <v>0</v>
      </c>
      <c r="Q471" s="708">
        <f t="shared" si="47"/>
        <v>460580</v>
      </c>
      <c r="R471" s="1111" t="s">
        <v>251</v>
      </c>
      <c r="S471" s="1112" t="s">
        <v>251</v>
      </c>
      <c r="T471" s="1112"/>
      <c r="U471" s="1112"/>
      <c r="V471" s="1112"/>
      <c r="W471" s="1112"/>
      <c r="X471" s="1112"/>
      <c r="Y471" s="1112"/>
      <c r="Z471" s="1112"/>
      <c r="AA471" s="1112"/>
      <c r="AB471" s="1112"/>
      <c r="AC471" s="1112"/>
      <c r="AD471" s="1113">
        <f t="shared" si="51"/>
        <v>0</v>
      </c>
      <c r="AE471" s="633">
        <f t="shared" si="44"/>
        <v>0</v>
      </c>
      <c r="AF471" s="634">
        <f t="shared" si="48"/>
        <v>394</v>
      </c>
    </row>
    <row r="472" spans="1:32" x14ac:dyDescent="0.3">
      <c r="A472" s="337" t="s">
        <v>1347</v>
      </c>
      <c r="B472" s="690" t="s">
        <v>1942</v>
      </c>
      <c r="C472" s="602"/>
      <c r="D472" s="603"/>
      <c r="E472" s="603" t="s">
        <v>251</v>
      </c>
      <c r="F472" s="603" t="s">
        <v>251</v>
      </c>
      <c r="G472" s="603" t="s">
        <v>251</v>
      </c>
      <c r="H472" s="603">
        <v>0</v>
      </c>
      <c r="I472" s="603" t="s">
        <v>251</v>
      </c>
      <c r="J472" s="603">
        <v>0</v>
      </c>
      <c r="K472" s="603"/>
      <c r="L472" s="603">
        <v>0</v>
      </c>
      <c r="M472" s="603">
        <v>0</v>
      </c>
      <c r="N472" s="603">
        <v>213990</v>
      </c>
      <c r="O472" s="603">
        <v>0</v>
      </c>
      <c r="P472" s="1498">
        <f t="shared" si="50"/>
        <v>0</v>
      </c>
      <c r="Q472" s="708">
        <f t="shared" si="47"/>
        <v>213990</v>
      </c>
      <c r="R472" s="1111" t="s">
        <v>251</v>
      </c>
      <c r="S472" s="1112" t="s">
        <v>251</v>
      </c>
      <c r="T472" s="1112"/>
      <c r="U472" s="1112"/>
      <c r="V472" s="1112"/>
      <c r="W472" s="1112"/>
      <c r="X472" s="1112"/>
      <c r="Y472" s="1112"/>
      <c r="Z472" s="1112"/>
      <c r="AA472" s="1112"/>
      <c r="AB472" s="1112"/>
      <c r="AC472" s="1112"/>
      <c r="AD472" s="1113">
        <f t="shared" si="51"/>
        <v>0</v>
      </c>
      <c r="AE472" s="633">
        <f t="shared" si="44"/>
        <v>0</v>
      </c>
      <c r="AF472" s="634">
        <f t="shared" si="48"/>
        <v>394</v>
      </c>
    </row>
    <row r="473" spans="1:32" x14ac:dyDescent="0.3">
      <c r="A473" s="554" t="s">
        <v>754</v>
      </c>
      <c r="B473" s="691" t="s">
        <v>755</v>
      </c>
      <c r="C473" s="525" t="s">
        <v>251</v>
      </c>
      <c r="D473" s="526" t="s">
        <v>251</v>
      </c>
      <c r="E473" s="526" t="s">
        <v>251</v>
      </c>
      <c r="F473" s="526" t="s">
        <v>251</v>
      </c>
      <c r="G473" s="526" t="s">
        <v>251</v>
      </c>
      <c r="H473" s="526" t="s">
        <v>251</v>
      </c>
      <c r="I473" s="526" t="s">
        <v>251</v>
      </c>
      <c r="J473" s="526" t="s">
        <v>251</v>
      </c>
      <c r="K473" s="526"/>
      <c r="L473" s="526" t="s">
        <v>251</v>
      </c>
      <c r="M473" s="526" t="s">
        <v>251</v>
      </c>
      <c r="N473" s="526" t="s">
        <v>251</v>
      </c>
      <c r="O473" s="526" t="s">
        <v>251</v>
      </c>
      <c r="P473" s="1498">
        <f t="shared" si="50"/>
        <v>0</v>
      </c>
      <c r="Q473" s="709">
        <f t="shared" si="47"/>
        <v>0</v>
      </c>
      <c r="R473" s="1114" t="s">
        <v>251</v>
      </c>
      <c r="S473" s="1115" t="s">
        <v>251</v>
      </c>
      <c r="T473" s="1115"/>
      <c r="U473" s="1115"/>
      <c r="V473" s="1115"/>
      <c r="W473" s="1115"/>
      <c r="X473" s="1115"/>
      <c r="Y473" s="1115"/>
      <c r="Z473" s="1115"/>
      <c r="AA473" s="1115"/>
      <c r="AB473" s="1115"/>
      <c r="AC473" s="1115"/>
      <c r="AD473" s="1116">
        <f t="shared" si="51"/>
        <v>0</v>
      </c>
      <c r="AE473" s="635">
        <f t="shared" si="44"/>
        <v>0</v>
      </c>
      <c r="AF473" s="636">
        <f t="shared" si="48"/>
        <v>394</v>
      </c>
    </row>
    <row r="474" spans="1:32" x14ac:dyDescent="0.3">
      <c r="A474" s="554" t="s">
        <v>754</v>
      </c>
      <c r="B474" s="691" t="s">
        <v>746</v>
      </c>
      <c r="C474" s="525" t="s">
        <v>251</v>
      </c>
      <c r="D474" s="526" t="s">
        <v>251</v>
      </c>
      <c r="E474" s="526" t="s">
        <v>251</v>
      </c>
      <c r="F474" s="526" t="s">
        <v>251</v>
      </c>
      <c r="G474" s="526" t="s">
        <v>251</v>
      </c>
      <c r="H474" s="526" t="s">
        <v>251</v>
      </c>
      <c r="I474" s="526" t="s">
        <v>251</v>
      </c>
      <c r="J474" s="526" t="s">
        <v>251</v>
      </c>
      <c r="K474" s="526"/>
      <c r="L474" s="526" t="s">
        <v>251</v>
      </c>
      <c r="M474" s="526" t="s">
        <v>251</v>
      </c>
      <c r="N474" s="526" t="s">
        <v>251</v>
      </c>
      <c r="O474" s="526" t="s">
        <v>251</v>
      </c>
      <c r="P474" s="1498">
        <f t="shared" si="50"/>
        <v>0</v>
      </c>
      <c r="Q474" s="709">
        <f t="shared" si="47"/>
        <v>0</v>
      </c>
      <c r="R474" s="1114" t="s">
        <v>251</v>
      </c>
      <c r="S474" s="1115" t="s">
        <v>251</v>
      </c>
      <c r="T474" s="1115"/>
      <c r="U474" s="1115"/>
      <c r="V474" s="1115"/>
      <c r="W474" s="1115"/>
      <c r="X474" s="1115"/>
      <c r="Y474" s="1115"/>
      <c r="Z474" s="1115"/>
      <c r="AA474" s="1115"/>
      <c r="AB474" s="1115"/>
      <c r="AC474" s="1115"/>
      <c r="AD474" s="1116">
        <f t="shared" si="51"/>
        <v>0</v>
      </c>
      <c r="AE474" s="635">
        <f t="shared" si="44"/>
        <v>0</v>
      </c>
      <c r="AF474" s="636">
        <f t="shared" si="48"/>
        <v>394</v>
      </c>
    </row>
    <row r="475" spans="1:32" x14ac:dyDescent="0.3">
      <c r="A475" s="554" t="s">
        <v>754</v>
      </c>
      <c r="B475" s="691" t="s">
        <v>756</v>
      </c>
      <c r="C475" s="525" t="s">
        <v>251</v>
      </c>
      <c r="D475" s="526" t="s">
        <v>251</v>
      </c>
      <c r="E475" s="526" t="s">
        <v>251</v>
      </c>
      <c r="F475" s="526" t="s">
        <v>251</v>
      </c>
      <c r="G475" s="526" t="s">
        <v>251</v>
      </c>
      <c r="H475" s="526" t="s">
        <v>251</v>
      </c>
      <c r="I475" s="526" t="s">
        <v>251</v>
      </c>
      <c r="J475" s="526" t="s">
        <v>251</v>
      </c>
      <c r="K475" s="526"/>
      <c r="L475" s="526" t="s">
        <v>251</v>
      </c>
      <c r="M475" s="526" t="s">
        <v>251</v>
      </c>
      <c r="N475" s="526" t="s">
        <v>251</v>
      </c>
      <c r="O475" s="526" t="s">
        <v>251</v>
      </c>
      <c r="P475" s="1498">
        <f t="shared" si="50"/>
        <v>0</v>
      </c>
      <c r="Q475" s="709">
        <f t="shared" si="47"/>
        <v>0</v>
      </c>
      <c r="R475" s="1114" t="s">
        <v>251</v>
      </c>
      <c r="S475" s="1115" t="s">
        <v>251</v>
      </c>
      <c r="T475" s="1115"/>
      <c r="U475" s="1115"/>
      <c r="V475" s="1115"/>
      <c r="W475" s="1115"/>
      <c r="X475" s="1115"/>
      <c r="Y475" s="1115"/>
      <c r="Z475" s="1115"/>
      <c r="AA475" s="1115"/>
      <c r="AB475" s="1115"/>
      <c r="AC475" s="1115"/>
      <c r="AD475" s="1116">
        <f t="shared" si="51"/>
        <v>0</v>
      </c>
      <c r="AE475" s="635">
        <f t="shared" si="44"/>
        <v>0</v>
      </c>
      <c r="AF475" s="636">
        <f t="shared" si="48"/>
        <v>394</v>
      </c>
    </row>
    <row r="476" spans="1:32" x14ac:dyDescent="0.3">
      <c r="A476" s="554" t="s">
        <v>754</v>
      </c>
      <c r="B476" s="691" t="s">
        <v>744</v>
      </c>
      <c r="C476" s="525" t="s">
        <v>251</v>
      </c>
      <c r="D476" s="526" t="s">
        <v>251</v>
      </c>
      <c r="E476" s="526" t="s">
        <v>251</v>
      </c>
      <c r="F476" s="526" t="s">
        <v>251</v>
      </c>
      <c r="G476" s="526" t="s">
        <v>251</v>
      </c>
      <c r="H476" s="526" t="s">
        <v>251</v>
      </c>
      <c r="I476" s="526" t="s">
        <v>251</v>
      </c>
      <c r="J476" s="526" t="s">
        <v>251</v>
      </c>
      <c r="K476" s="526"/>
      <c r="L476" s="526" t="s">
        <v>251</v>
      </c>
      <c r="M476" s="526" t="s">
        <v>251</v>
      </c>
      <c r="N476" s="526" t="s">
        <v>251</v>
      </c>
      <c r="O476" s="526" t="s">
        <v>251</v>
      </c>
      <c r="P476" s="1498">
        <f t="shared" si="50"/>
        <v>0</v>
      </c>
      <c r="Q476" s="709">
        <f t="shared" si="47"/>
        <v>0</v>
      </c>
      <c r="R476" s="1114" t="s">
        <v>251</v>
      </c>
      <c r="S476" s="1115" t="s">
        <v>251</v>
      </c>
      <c r="T476" s="1115"/>
      <c r="U476" s="1115">
        <v>32390</v>
      </c>
      <c r="V476" s="1115">
        <v>0</v>
      </c>
      <c r="W476" s="1115">
        <v>114930</v>
      </c>
      <c r="X476" s="1115">
        <v>35400</v>
      </c>
      <c r="Y476" s="1115">
        <v>0</v>
      </c>
      <c r="Z476" s="1115"/>
      <c r="AA476" s="1115"/>
      <c r="AB476" s="1115"/>
      <c r="AC476" s="1115"/>
      <c r="AD476" s="1116">
        <f t="shared" si="51"/>
        <v>182720</v>
      </c>
      <c r="AE476" s="635">
        <f t="shared" si="44"/>
        <v>1</v>
      </c>
      <c r="AF476" s="636">
        <f t="shared" si="48"/>
        <v>319</v>
      </c>
    </row>
    <row r="477" spans="1:32" x14ac:dyDescent="0.3">
      <c r="A477" s="554" t="s">
        <v>754</v>
      </c>
      <c r="B477" s="691" t="s">
        <v>757</v>
      </c>
      <c r="C477" s="525" t="s">
        <v>251</v>
      </c>
      <c r="D477" s="526" t="s">
        <v>251</v>
      </c>
      <c r="E477" s="526" t="s">
        <v>251</v>
      </c>
      <c r="F477" s="526" t="s">
        <v>251</v>
      </c>
      <c r="G477" s="526" t="s">
        <v>251</v>
      </c>
      <c r="H477" s="526" t="s">
        <v>251</v>
      </c>
      <c r="I477" s="526" t="s">
        <v>251</v>
      </c>
      <c r="J477" s="526" t="s">
        <v>251</v>
      </c>
      <c r="K477" s="526"/>
      <c r="L477" s="526" t="s">
        <v>251</v>
      </c>
      <c r="M477" s="526" t="s">
        <v>251</v>
      </c>
      <c r="N477" s="526" t="s">
        <v>251</v>
      </c>
      <c r="O477" s="526" t="s">
        <v>251</v>
      </c>
      <c r="P477" s="1498">
        <f t="shared" si="50"/>
        <v>0</v>
      </c>
      <c r="Q477" s="709">
        <f t="shared" si="47"/>
        <v>0</v>
      </c>
      <c r="R477" s="1114" t="s">
        <v>251</v>
      </c>
      <c r="S477" s="1115" t="s">
        <v>251</v>
      </c>
      <c r="T477" s="1115"/>
      <c r="U477" s="1115"/>
      <c r="V477" s="1115"/>
      <c r="W477" s="1115"/>
      <c r="X477" s="1115"/>
      <c r="Y477" s="1115"/>
      <c r="Z477" s="1115"/>
      <c r="AA477" s="1115"/>
      <c r="AB477" s="1115"/>
      <c r="AC477" s="1115"/>
      <c r="AD477" s="1116">
        <f t="shared" si="51"/>
        <v>0</v>
      </c>
      <c r="AE477" s="635">
        <f t="shared" si="44"/>
        <v>0</v>
      </c>
      <c r="AF477" s="636">
        <f t="shared" si="48"/>
        <v>394</v>
      </c>
    </row>
    <row r="478" spans="1:32" x14ac:dyDescent="0.3">
      <c r="A478" s="554" t="s">
        <v>754</v>
      </c>
      <c r="B478" s="691" t="s">
        <v>1849</v>
      </c>
      <c r="C478" s="525"/>
      <c r="D478" s="526"/>
      <c r="E478" s="526">
        <v>0</v>
      </c>
      <c r="F478" s="526">
        <v>0</v>
      </c>
      <c r="G478" s="526">
        <v>0</v>
      </c>
      <c r="H478" s="526">
        <v>236000</v>
      </c>
      <c r="I478" s="526">
        <v>14390</v>
      </c>
      <c r="J478" s="526">
        <v>31830</v>
      </c>
      <c r="K478" s="526">
        <v>31830</v>
      </c>
      <c r="L478" s="526">
        <v>0</v>
      </c>
      <c r="M478" s="526">
        <v>0</v>
      </c>
      <c r="N478" s="526">
        <v>0</v>
      </c>
      <c r="O478" s="526">
        <v>0</v>
      </c>
      <c r="P478" s="1498">
        <f t="shared" si="50"/>
        <v>282220</v>
      </c>
      <c r="Q478" s="709">
        <f t="shared" si="47"/>
        <v>282220</v>
      </c>
      <c r="R478" s="1114" t="s">
        <v>251</v>
      </c>
      <c r="S478" s="1115" t="s">
        <v>251</v>
      </c>
      <c r="T478" s="1115"/>
      <c r="U478" s="1115"/>
      <c r="V478" s="1115"/>
      <c r="W478" s="1115"/>
      <c r="X478" s="1115"/>
      <c r="Y478" s="1115"/>
      <c r="Z478" s="1115"/>
      <c r="AA478" s="1115"/>
      <c r="AB478" s="1115"/>
      <c r="AC478" s="1115"/>
      <c r="AD478" s="1116">
        <f t="shared" si="51"/>
        <v>0</v>
      </c>
      <c r="AE478" s="635">
        <f t="shared" si="44"/>
        <v>-1</v>
      </c>
      <c r="AF478" s="636">
        <f t="shared" si="48"/>
        <v>394</v>
      </c>
    </row>
    <row r="479" spans="1:32" x14ac:dyDescent="0.3">
      <c r="A479" s="554" t="s">
        <v>754</v>
      </c>
      <c r="B479" s="691" t="s">
        <v>747</v>
      </c>
      <c r="C479" s="525"/>
      <c r="D479" s="526"/>
      <c r="E479" s="526"/>
      <c r="F479" s="526"/>
      <c r="G479" s="526"/>
      <c r="H479" s="526"/>
      <c r="I479" s="526"/>
      <c r="J479" s="526"/>
      <c r="K479" s="526"/>
      <c r="L479" s="526"/>
      <c r="M479" s="526"/>
      <c r="N479" s="526"/>
      <c r="O479" s="526"/>
      <c r="P479" s="1498">
        <f t="shared" si="50"/>
        <v>0</v>
      </c>
      <c r="Q479" s="709">
        <f t="shared" si="47"/>
        <v>0</v>
      </c>
      <c r="R479" s="1114"/>
      <c r="S479" s="1115"/>
      <c r="T479" s="1115"/>
      <c r="U479" s="1115"/>
      <c r="V479" s="1115"/>
      <c r="W479" s="1115">
        <v>5530</v>
      </c>
      <c r="X479" s="1115">
        <v>0</v>
      </c>
      <c r="Y479" s="1115">
        <v>0</v>
      </c>
      <c r="Z479" s="1115"/>
      <c r="AA479" s="1115"/>
      <c r="AB479" s="1115"/>
      <c r="AC479" s="1115"/>
      <c r="AD479" s="1116">
        <f t="shared" si="51"/>
        <v>5530</v>
      </c>
      <c r="AE479" s="635">
        <f t="shared" si="44"/>
        <v>1</v>
      </c>
      <c r="AF479" s="636">
        <f t="shared" si="48"/>
        <v>392</v>
      </c>
    </row>
    <row r="480" spans="1:32" x14ac:dyDescent="0.3">
      <c r="A480" s="372" t="s">
        <v>758</v>
      </c>
      <c r="B480" s="661" t="s">
        <v>621</v>
      </c>
      <c r="C480" s="528" t="s">
        <v>251</v>
      </c>
      <c r="D480" s="527" t="s">
        <v>251</v>
      </c>
      <c r="E480" s="527" t="s">
        <v>251</v>
      </c>
      <c r="F480" s="527" t="s">
        <v>251</v>
      </c>
      <c r="G480" s="527" t="s">
        <v>251</v>
      </c>
      <c r="H480" s="527" t="s">
        <v>251</v>
      </c>
      <c r="I480" s="527" t="s">
        <v>251</v>
      </c>
      <c r="J480" s="527" t="s">
        <v>251</v>
      </c>
      <c r="K480" s="527"/>
      <c r="L480" s="527" t="s">
        <v>251</v>
      </c>
      <c r="M480" s="527" t="s">
        <v>251</v>
      </c>
      <c r="N480" s="527" t="s">
        <v>251</v>
      </c>
      <c r="O480" s="527" t="s">
        <v>251</v>
      </c>
      <c r="P480" s="1498">
        <f t="shared" si="50"/>
        <v>0</v>
      </c>
      <c r="Q480" s="674">
        <f t="shared" si="47"/>
        <v>0</v>
      </c>
      <c r="R480" s="1060" t="s">
        <v>251</v>
      </c>
      <c r="S480" s="1061" t="s">
        <v>251</v>
      </c>
      <c r="T480" s="1061"/>
      <c r="U480" s="1061"/>
      <c r="V480" s="1061"/>
      <c r="W480" s="1061"/>
      <c r="X480" s="1061"/>
      <c r="Y480" s="1061"/>
      <c r="Z480" s="1061"/>
      <c r="AA480" s="1061"/>
      <c r="AB480" s="1061"/>
      <c r="AC480" s="1061"/>
      <c r="AD480" s="1117">
        <f t="shared" si="51"/>
        <v>0</v>
      </c>
      <c r="AE480" s="592">
        <f t="shared" si="44"/>
        <v>0</v>
      </c>
      <c r="AF480" s="593">
        <f t="shared" si="48"/>
        <v>394</v>
      </c>
    </row>
    <row r="481" spans="1:32" x14ac:dyDescent="0.3">
      <c r="A481" s="372" t="s">
        <v>758</v>
      </c>
      <c r="B481" s="661" t="s">
        <v>622</v>
      </c>
      <c r="C481" s="528" t="s">
        <v>251</v>
      </c>
      <c r="D481" s="527" t="s">
        <v>251</v>
      </c>
      <c r="E481" s="527" t="s">
        <v>251</v>
      </c>
      <c r="F481" s="527" t="s">
        <v>251</v>
      </c>
      <c r="G481" s="527" t="s">
        <v>251</v>
      </c>
      <c r="H481" s="527" t="s">
        <v>251</v>
      </c>
      <c r="I481" s="527" t="s">
        <v>251</v>
      </c>
      <c r="J481" s="527" t="s">
        <v>251</v>
      </c>
      <c r="K481" s="527"/>
      <c r="L481" s="527" t="s">
        <v>251</v>
      </c>
      <c r="M481" s="527" t="s">
        <v>251</v>
      </c>
      <c r="N481" s="527" t="s">
        <v>251</v>
      </c>
      <c r="O481" s="527" t="s">
        <v>251</v>
      </c>
      <c r="P481" s="1498">
        <f t="shared" si="50"/>
        <v>0</v>
      </c>
      <c r="Q481" s="674">
        <f t="shared" si="47"/>
        <v>0</v>
      </c>
      <c r="R481" s="1060" t="s">
        <v>251</v>
      </c>
      <c r="S481" s="1061" t="s">
        <v>251</v>
      </c>
      <c r="T481" s="1061"/>
      <c r="U481" s="1061"/>
      <c r="V481" s="1061"/>
      <c r="W481" s="1061"/>
      <c r="X481" s="1061"/>
      <c r="Y481" s="1061"/>
      <c r="Z481" s="1061"/>
      <c r="AA481" s="1061"/>
      <c r="AB481" s="1061"/>
      <c r="AC481" s="1061"/>
      <c r="AD481" s="1117">
        <f t="shared" si="51"/>
        <v>0</v>
      </c>
      <c r="AE481" s="592">
        <f t="shared" si="44"/>
        <v>0</v>
      </c>
      <c r="AF481" s="593">
        <f t="shared" si="48"/>
        <v>394</v>
      </c>
    </row>
    <row r="482" spans="1:32" x14ac:dyDescent="0.3">
      <c r="A482" s="372" t="s">
        <v>758</v>
      </c>
      <c r="B482" s="661" t="s">
        <v>623</v>
      </c>
      <c r="C482" s="528" t="s">
        <v>251</v>
      </c>
      <c r="D482" s="527" t="s">
        <v>251</v>
      </c>
      <c r="E482" s="527" t="s">
        <v>251</v>
      </c>
      <c r="F482" s="527" t="s">
        <v>251</v>
      </c>
      <c r="G482" s="527" t="s">
        <v>251</v>
      </c>
      <c r="H482" s="527" t="s">
        <v>251</v>
      </c>
      <c r="I482" s="527" t="s">
        <v>251</v>
      </c>
      <c r="J482" s="527" t="s">
        <v>251</v>
      </c>
      <c r="K482" s="527"/>
      <c r="L482" s="527" t="s">
        <v>251</v>
      </c>
      <c r="M482" s="527" t="s">
        <v>251</v>
      </c>
      <c r="N482" s="527" t="s">
        <v>251</v>
      </c>
      <c r="O482" s="527" t="s">
        <v>251</v>
      </c>
      <c r="P482" s="1498">
        <f t="shared" si="50"/>
        <v>0</v>
      </c>
      <c r="Q482" s="674">
        <f t="shared" si="47"/>
        <v>0</v>
      </c>
      <c r="R482" s="1060" t="s">
        <v>251</v>
      </c>
      <c r="S482" s="1061" t="s">
        <v>251</v>
      </c>
      <c r="T482" s="1061"/>
      <c r="U482" s="1061"/>
      <c r="V482" s="1061"/>
      <c r="W482" s="1061"/>
      <c r="X482" s="1061"/>
      <c r="Y482" s="1061"/>
      <c r="Z482" s="1061"/>
      <c r="AA482" s="1061"/>
      <c r="AB482" s="1061"/>
      <c r="AC482" s="1061"/>
      <c r="AD482" s="1117">
        <f t="shared" si="51"/>
        <v>0</v>
      </c>
      <c r="AE482" s="592">
        <f t="shared" ref="AE482:AE548" si="52">IF(OR(AD482="", P482=""), 0, IFERROR((AD482-P482)/P482, IF(AD482&lt;&gt;0, 1, 0)))</f>
        <v>0</v>
      </c>
      <c r="AF482" s="593">
        <f t="shared" si="48"/>
        <v>394</v>
      </c>
    </row>
    <row r="483" spans="1:32" x14ac:dyDescent="0.3">
      <c r="A483" s="372" t="s">
        <v>758</v>
      </c>
      <c r="B483" s="661" t="s">
        <v>628</v>
      </c>
      <c r="C483" s="528" t="s">
        <v>251</v>
      </c>
      <c r="D483" s="527" t="s">
        <v>251</v>
      </c>
      <c r="E483" s="527" t="s">
        <v>251</v>
      </c>
      <c r="F483" s="527" t="s">
        <v>251</v>
      </c>
      <c r="G483" s="527" t="s">
        <v>251</v>
      </c>
      <c r="H483" s="527" t="s">
        <v>251</v>
      </c>
      <c r="I483" s="527" t="s">
        <v>251</v>
      </c>
      <c r="J483" s="527" t="s">
        <v>251</v>
      </c>
      <c r="K483" s="527"/>
      <c r="L483" s="527" t="s">
        <v>251</v>
      </c>
      <c r="M483" s="527" t="s">
        <v>251</v>
      </c>
      <c r="N483" s="527" t="s">
        <v>251</v>
      </c>
      <c r="O483" s="527" t="s">
        <v>251</v>
      </c>
      <c r="P483" s="1498">
        <f t="shared" si="50"/>
        <v>0</v>
      </c>
      <c r="Q483" s="674">
        <f t="shared" si="47"/>
        <v>0</v>
      </c>
      <c r="R483" s="1060" t="s">
        <v>251</v>
      </c>
      <c r="S483" s="1061" t="s">
        <v>251</v>
      </c>
      <c r="T483" s="1061"/>
      <c r="U483" s="1061"/>
      <c r="V483" s="1061"/>
      <c r="W483" s="1061"/>
      <c r="X483" s="1061"/>
      <c r="Y483" s="1061"/>
      <c r="Z483" s="1061"/>
      <c r="AA483" s="1061"/>
      <c r="AB483" s="1061"/>
      <c r="AC483" s="1061"/>
      <c r="AD483" s="1117">
        <f t="shared" si="51"/>
        <v>0</v>
      </c>
      <c r="AE483" s="592">
        <f t="shared" si="52"/>
        <v>0</v>
      </c>
      <c r="AF483" s="593">
        <f t="shared" si="48"/>
        <v>394</v>
      </c>
    </row>
    <row r="484" spans="1:32" x14ac:dyDescent="0.3">
      <c r="A484" s="372" t="s">
        <v>758</v>
      </c>
      <c r="B484" s="661" t="s">
        <v>634</v>
      </c>
      <c r="C484" s="528"/>
      <c r="D484" s="527"/>
      <c r="E484" s="527" t="s">
        <v>251</v>
      </c>
      <c r="F484" s="527" t="s">
        <v>251</v>
      </c>
      <c r="G484" s="527" t="s">
        <v>251</v>
      </c>
      <c r="H484" s="527" t="s">
        <v>251</v>
      </c>
      <c r="I484" s="527" t="s">
        <v>251</v>
      </c>
      <c r="J484" s="527" t="s">
        <v>251</v>
      </c>
      <c r="K484" s="527"/>
      <c r="L484" s="527" t="s">
        <v>251</v>
      </c>
      <c r="M484" s="527" t="s">
        <v>251</v>
      </c>
      <c r="N484" s="527" t="s">
        <v>251</v>
      </c>
      <c r="O484" s="527" t="s">
        <v>251</v>
      </c>
      <c r="P484" s="1498">
        <f t="shared" si="50"/>
        <v>0</v>
      </c>
      <c r="Q484" s="674">
        <f t="shared" si="47"/>
        <v>0</v>
      </c>
      <c r="R484" s="1060" t="s">
        <v>251</v>
      </c>
      <c r="S484" s="1061" t="s">
        <v>251</v>
      </c>
      <c r="T484" s="1061"/>
      <c r="U484" s="1061"/>
      <c r="V484" s="1061"/>
      <c r="W484" s="1061"/>
      <c r="X484" s="1061"/>
      <c r="Y484" s="1061"/>
      <c r="Z484" s="1061"/>
      <c r="AA484" s="1061"/>
      <c r="AB484" s="1061"/>
      <c r="AC484" s="1061"/>
      <c r="AD484" s="1117">
        <f t="shared" si="51"/>
        <v>0</v>
      </c>
      <c r="AE484" s="592">
        <f t="shared" si="52"/>
        <v>0</v>
      </c>
      <c r="AF484" s="593">
        <f t="shared" si="48"/>
        <v>394</v>
      </c>
    </row>
    <row r="485" spans="1:32" x14ac:dyDescent="0.3">
      <c r="A485" s="372" t="s">
        <v>758</v>
      </c>
      <c r="B485" s="661" t="s">
        <v>620</v>
      </c>
      <c r="C485" s="528"/>
      <c r="D485" s="527"/>
      <c r="E485" s="527" t="s">
        <v>251</v>
      </c>
      <c r="F485" s="527" t="s">
        <v>251</v>
      </c>
      <c r="G485" s="527" t="s">
        <v>251</v>
      </c>
      <c r="H485" s="527" t="s">
        <v>251</v>
      </c>
      <c r="I485" s="527" t="s">
        <v>251</v>
      </c>
      <c r="J485" s="527" t="s">
        <v>251</v>
      </c>
      <c r="K485" s="527"/>
      <c r="L485" s="527" t="s">
        <v>251</v>
      </c>
      <c r="M485" s="527" t="s">
        <v>251</v>
      </c>
      <c r="N485" s="527" t="s">
        <v>251</v>
      </c>
      <c r="O485" s="527" t="s">
        <v>251</v>
      </c>
      <c r="P485" s="1498">
        <f t="shared" si="50"/>
        <v>0</v>
      </c>
      <c r="Q485" s="674">
        <f t="shared" si="47"/>
        <v>0</v>
      </c>
      <c r="R485" s="1060" t="s">
        <v>251</v>
      </c>
      <c r="S485" s="1061" t="s">
        <v>251</v>
      </c>
      <c r="T485" s="1061"/>
      <c r="U485" s="1061"/>
      <c r="V485" s="1061"/>
      <c r="W485" s="1061"/>
      <c r="X485" s="1061"/>
      <c r="Y485" s="1061"/>
      <c r="Z485" s="1061"/>
      <c r="AA485" s="1061"/>
      <c r="AB485" s="1061"/>
      <c r="AC485" s="1061"/>
      <c r="AD485" s="1117">
        <f t="shared" si="51"/>
        <v>0</v>
      </c>
      <c r="AE485" s="592">
        <f t="shared" si="52"/>
        <v>0</v>
      </c>
      <c r="AF485" s="593">
        <f t="shared" si="48"/>
        <v>394</v>
      </c>
    </row>
    <row r="486" spans="1:32" x14ac:dyDescent="0.3">
      <c r="A486" s="372" t="s">
        <v>758</v>
      </c>
      <c r="B486" s="661" t="s">
        <v>645</v>
      </c>
      <c r="C486" s="528"/>
      <c r="D486" s="527"/>
      <c r="E486" s="527" t="s">
        <v>251</v>
      </c>
      <c r="F486" s="527" t="s">
        <v>251</v>
      </c>
      <c r="G486" s="527" t="s">
        <v>251</v>
      </c>
      <c r="H486" s="527" t="s">
        <v>251</v>
      </c>
      <c r="I486" s="527" t="s">
        <v>251</v>
      </c>
      <c r="J486" s="527" t="s">
        <v>251</v>
      </c>
      <c r="K486" s="527"/>
      <c r="L486" s="527" t="s">
        <v>251</v>
      </c>
      <c r="M486" s="527" t="s">
        <v>251</v>
      </c>
      <c r="N486" s="527" t="s">
        <v>251</v>
      </c>
      <c r="O486" s="527" t="s">
        <v>251</v>
      </c>
      <c r="P486" s="1498">
        <f t="shared" si="50"/>
        <v>0</v>
      </c>
      <c r="Q486" s="674">
        <f t="shared" si="47"/>
        <v>0</v>
      </c>
      <c r="R486" s="1060" t="s">
        <v>251</v>
      </c>
      <c r="S486" s="1061" t="s">
        <v>251</v>
      </c>
      <c r="T486" s="1061"/>
      <c r="U486" s="1061"/>
      <c r="V486" s="1061"/>
      <c r="W486" s="1061"/>
      <c r="X486" s="1061"/>
      <c r="Y486" s="1061"/>
      <c r="Z486" s="1061"/>
      <c r="AA486" s="1061"/>
      <c r="AB486" s="1061"/>
      <c r="AC486" s="1061"/>
      <c r="AD486" s="1117">
        <f t="shared" si="51"/>
        <v>0</v>
      </c>
      <c r="AE486" s="592">
        <f t="shared" si="52"/>
        <v>0</v>
      </c>
      <c r="AF486" s="593">
        <f t="shared" si="48"/>
        <v>394</v>
      </c>
    </row>
    <row r="487" spans="1:32" x14ac:dyDescent="0.3">
      <c r="A487" s="642" t="s">
        <v>1958</v>
      </c>
      <c r="B487" s="692" t="s">
        <v>1957</v>
      </c>
      <c r="C487" s="643"/>
      <c r="D487" s="644"/>
      <c r="E487" s="644">
        <v>0</v>
      </c>
      <c r="F487" s="644">
        <v>0</v>
      </c>
      <c r="G487" s="644">
        <v>0</v>
      </c>
      <c r="H487" s="644">
        <v>0</v>
      </c>
      <c r="I487" s="644">
        <v>0</v>
      </c>
      <c r="J487" s="644">
        <v>0</v>
      </c>
      <c r="K487" s="644"/>
      <c r="L487" s="644">
        <v>0</v>
      </c>
      <c r="M487" s="644">
        <v>0</v>
      </c>
      <c r="N487" s="644">
        <v>248460</v>
      </c>
      <c r="O487" s="644">
        <v>113860</v>
      </c>
      <c r="P487" s="1498">
        <f t="shared" si="50"/>
        <v>0</v>
      </c>
      <c r="Q487" s="710">
        <f t="shared" si="47"/>
        <v>362320</v>
      </c>
      <c r="R487" s="1118" t="s">
        <v>251</v>
      </c>
      <c r="S487" s="1119" t="s">
        <v>251</v>
      </c>
      <c r="T487" s="1119"/>
      <c r="U487" s="1119"/>
      <c r="V487" s="1119"/>
      <c r="W487" s="1119"/>
      <c r="X487" s="1119"/>
      <c r="Y487" s="1119"/>
      <c r="Z487" s="1119"/>
      <c r="AA487" s="1119"/>
      <c r="AB487" s="1119"/>
      <c r="AC487" s="1119"/>
      <c r="AD487" s="1120">
        <f t="shared" si="51"/>
        <v>0</v>
      </c>
      <c r="AE487" s="645">
        <f t="shared" si="52"/>
        <v>0</v>
      </c>
      <c r="AF487" s="646">
        <f t="shared" si="48"/>
        <v>394</v>
      </c>
    </row>
    <row r="488" spans="1:32" x14ac:dyDescent="0.3">
      <c r="A488" s="642" t="s">
        <v>1958</v>
      </c>
      <c r="B488" s="692" t="s">
        <v>2606</v>
      </c>
      <c r="C488" s="643"/>
      <c r="D488" s="644"/>
      <c r="E488" s="644"/>
      <c r="F488" s="644"/>
      <c r="G488" s="644"/>
      <c r="H488" s="644"/>
      <c r="I488" s="644"/>
      <c r="J488" s="644"/>
      <c r="K488" s="644"/>
      <c r="L488" s="644"/>
      <c r="M488" s="644"/>
      <c r="N488" s="644"/>
      <c r="O488" s="644"/>
      <c r="P488" s="1498">
        <f t="shared" si="50"/>
        <v>0</v>
      </c>
      <c r="Q488" s="710">
        <f t="shared" si="47"/>
        <v>0</v>
      </c>
      <c r="R488" s="1118"/>
      <c r="S488" s="1119"/>
      <c r="T488" s="1119">
        <v>398770</v>
      </c>
      <c r="U488" s="1119">
        <v>0</v>
      </c>
      <c r="V488" s="1119">
        <v>0</v>
      </c>
      <c r="W488" s="1119">
        <v>0</v>
      </c>
      <c r="X488" s="1119">
        <v>202800</v>
      </c>
      <c r="Y488" s="1119">
        <v>0</v>
      </c>
      <c r="Z488" s="1119"/>
      <c r="AA488" s="1119"/>
      <c r="AB488" s="1119"/>
      <c r="AC488" s="1119"/>
      <c r="AD488" s="1120">
        <f t="shared" si="51"/>
        <v>601570</v>
      </c>
      <c r="AE488" s="645">
        <f t="shared" si="52"/>
        <v>1</v>
      </c>
      <c r="AF488" s="646">
        <f t="shared" si="48"/>
        <v>243</v>
      </c>
    </row>
    <row r="489" spans="1:32" x14ac:dyDescent="0.3">
      <c r="A489" s="642" t="s">
        <v>1958</v>
      </c>
      <c r="B489" s="692" t="s">
        <v>2546</v>
      </c>
      <c r="C489" s="643"/>
      <c r="D489" s="644"/>
      <c r="E489" s="644"/>
      <c r="F489" s="644"/>
      <c r="G489" s="644"/>
      <c r="H489" s="644"/>
      <c r="I489" s="644"/>
      <c r="J489" s="644"/>
      <c r="K489" s="644"/>
      <c r="L489" s="644"/>
      <c r="M489" s="644"/>
      <c r="N489" s="644"/>
      <c r="O489" s="644"/>
      <c r="P489" s="1498">
        <f t="shared" si="50"/>
        <v>0</v>
      </c>
      <c r="Q489" s="710">
        <f t="shared" si="47"/>
        <v>0</v>
      </c>
      <c r="R489" s="1118"/>
      <c r="S489" s="1119"/>
      <c r="T489" s="1119">
        <v>211360</v>
      </c>
      <c r="U489" s="1119">
        <v>329400</v>
      </c>
      <c r="V489" s="1119">
        <v>0</v>
      </c>
      <c r="W489" s="1119">
        <v>0</v>
      </c>
      <c r="X489" s="1119">
        <v>0</v>
      </c>
      <c r="Y489" s="1119">
        <v>549320</v>
      </c>
      <c r="Z489" s="1119"/>
      <c r="AA489" s="1119"/>
      <c r="AB489" s="1119"/>
      <c r="AC489" s="1119"/>
      <c r="AD489" s="1120">
        <f t="shared" si="51"/>
        <v>1090080</v>
      </c>
      <c r="AE489" s="645">
        <f t="shared" si="52"/>
        <v>1</v>
      </c>
      <c r="AF489" s="646">
        <f t="shared" si="48"/>
        <v>193</v>
      </c>
    </row>
    <row r="490" spans="1:32" x14ac:dyDescent="0.3">
      <c r="A490" s="642" t="s">
        <v>1958</v>
      </c>
      <c r="B490" s="692" t="s">
        <v>1875</v>
      </c>
      <c r="C490" s="643"/>
      <c r="D490" s="644"/>
      <c r="E490" s="644"/>
      <c r="F490" s="644"/>
      <c r="G490" s="644"/>
      <c r="H490" s="644"/>
      <c r="I490" s="644"/>
      <c r="J490" s="644"/>
      <c r="K490" s="644"/>
      <c r="L490" s="644"/>
      <c r="M490" s="644"/>
      <c r="N490" s="644"/>
      <c r="O490" s="644"/>
      <c r="P490" s="1498">
        <f t="shared" si="50"/>
        <v>0</v>
      </c>
      <c r="Q490" s="710">
        <f t="shared" si="47"/>
        <v>0</v>
      </c>
      <c r="R490" s="1118"/>
      <c r="S490" s="1119"/>
      <c r="T490" s="1119"/>
      <c r="U490" s="1119"/>
      <c r="V490" s="1119"/>
      <c r="W490" s="1119"/>
      <c r="X490" s="1119"/>
      <c r="Y490" s="1119">
        <v>799590</v>
      </c>
      <c r="Z490" s="1119"/>
      <c r="AA490" s="1119"/>
      <c r="AB490" s="1119"/>
      <c r="AC490" s="1119"/>
      <c r="AD490" s="1120">
        <f t="shared" si="51"/>
        <v>799590</v>
      </c>
      <c r="AE490" s="645">
        <f t="shared" si="52"/>
        <v>1</v>
      </c>
      <c r="AF490" s="646">
        <f t="shared" si="48"/>
        <v>217</v>
      </c>
    </row>
    <row r="491" spans="1:32" x14ac:dyDescent="0.3">
      <c r="A491" s="642" t="s">
        <v>1958</v>
      </c>
      <c r="B491" s="692" t="s">
        <v>1893</v>
      </c>
      <c r="C491" s="643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1498">
        <f t="shared" si="50"/>
        <v>0</v>
      </c>
      <c r="Q491" s="710">
        <f t="shared" si="47"/>
        <v>0</v>
      </c>
      <c r="R491" s="1118"/>
      <c r="S491" s="1119"/>
      <c r="T491" s="1119"/>
      <c r="U491" s="1119"/>
      <c r="V491" s="1119"/>
      <c r="W491" s="1119"/>
      <c r="X491" s="1119"/>
      <c r="Y491" s="1119">
        <v>2298670</v>
      </c>
      <c r="Z491" s="1119"/>
      <c r="AA491" s="1119"/>
      <c r="AB491" s="1119"/>
      <c r="AC491" s="1119"/>
      <c r="AD491" s="1120">
        <f t="shared" si="51"/>
        <v>2298670</v>
      </c>
      <c r="AE491" s="645">
        <f t="shared" si="52"/>
        <v>1</v>
      </c>
      <c r="AF491" s="646">
        <f t="shared" si="48"/>
        <v>131</v>
      </c>
    </row>
    <row r="492" spans="1:32" x14ac:dyDescent="0.3">
      <c r="A492" s="642" t="s">
        <v>1958</v>
      </c>
      <c r="B492" s="692" t="s">
        <v>2903</v>
      </c>
      <c r="C492" s="643"/>
      <c r="D492" s="644"/>
      <c r="E492" s="644"/>
      <c r="F492" s="644"/>
      <c r="G492" s="644"/>
      <c r="H492" s="644"/>
      <c r="I492" s="644"/>
      <c r="J492" s="644"/>
      <c r="K492" s="644"/>
      <c r="L492" s="644"/>
      <c r="M492" s="644"/>
      <c r="N492" s="644"/>
      <c r="O492" s="644"/>
      <c r="P492" s="1498">
        <f t="shared" si="50"/>
        <v>0</v>
      </c>
      <c r="Q492" s="710">
        <f t="shared" si="47"/>
        <v>0</v>
      </c>
      <c r="R492" s="1118"/>
      <c r="S492" s="1119"/>
      <c r="T492" s="1119"/>
      <c r="U492" s="1119"/>
      <c r="V492" s="1119"/>
      <c r="W492" s="1119"/>
      <c r="X492" s="1119"/>
      <c r="Y492" s="1119">
        <v>100790</v>
      </c>
      <c r="Z492" s="1119"/>
      <c r="AA492" s="1119"/>
      <c r="AB492" s="1119"/>
      <c r="AC492" s="1119"/>
      <c r="AD492" s="1120">
        <f t="shared" si="51"/>
        <v>100790</v>
      </c>
      <c r="AE492" s="645"/>
      <c r="AF492" s="646">
        <f t="shared" si="48"/>
        <v>344</v>
      </c>
    </row>
    <row r="493" spans="1:32" x14ac:dyDescent="0.3">
      <c r="A493" s="368" t="s">
        <v>2717</v>
      </c>
      <c r="B493" s="883" t="s">
        <v>658</v>
      </c>
      <c r="C493" s="1466"/>
      <c r="D493" s="1467"/>
      <c r="E493" s="1467"/>
      <c r="F493" s="1467"/>
      <c r="G493" s="1467"/>
      <c r="H493" s="1467"/>
      <c r="I493" s="1467"/>
      <c r="J493" s="1467"/>
      <c r="K493" s="1467"/>
      <c r="L493" s="1467"/>
      <c r="M493" s="1467"/>
      <c r="N493" s="1467"/>
      <c r="O493" s="1467"/>
      <c r="P493" s="1498">
        <f t="shared" si="50"/>
        <v>0</v>
      </c>
      <c r="Q493" s="1468">
        <f t="shared" si="47"/>
        <v>0</v>
      </c>
      <c r="R493" s="1469"/>
      <c r="S493" s="1470"/>
      <c r="T493" s="1470"/>
      <c r="U493" s="1470">
        <v>12970</v>
      </c>
      <c r="V493" s="1470">
        <v>0</v>
      </c>
      <c r="W493" s="1470">
        <v>0</v>
      </c>
      <c r="X493" s="1470">
        <v>0</v>
      </c>
      <c r="Y493" s="1470">
        <v>0</v>
      </c>
      <c r="Z493" s="1470"/>
      <c r="AA493" s="1470"/>
      <c r="AB493" s="1470"/>
      <c r="AC493" s="1470"/>
      <c r="AD493" s="1471">
        <f t="shared" si="51"/>
        <v>12970</v>
      </c>
      <c r="AE493" s="884">
        <f t="shared" si="52"/>
        <v>1</v>
      </c>
      <c r="AF493" s="885">
        <f t="shared" si="48"/>
        <v>390</v>
      </c>
    </row>
    <row r="494" spans="1:32" x14ac:dyDescent="0.3">
      <c r="A494" s="555" t="s">
        <v>759</v>
      </c>
      <c r="B494" s="693" t="s">
        <v>655</v>
      </c>
      <c r="C494" s="530"/>
      <c r="D494" s="529">
        <v>2161940</v>
      </c>
      <c r="E494" s="529">
        <v>2298270</v>
      </c>
      <c r="F494" s="529">
        <v>0</v>
      </c>
      <c r="G494" s="529">
        <v>0</v>
      </c>
      <c r="H494" s="529">
        <v>0</v>
      </c>
      <c r="I494" s="529">
        <v>0</v>
      </c>
      <c r="J494" s="529">
        <v>0</v>
      </c>
      <c r="K494" s="529">
        <v>0</v>
      </c>
      <c r="L494" s="529">
        <v>0</v>
      </c>
      <c r="M494" s="529">
        <v>0</v>
      </c>
      <c r="N494" s="529">
        <v>0</v>
      </c>
      <c r="O494" s="529">
        <v>0</v>
      </c>
      <c r="P494" s="1498">
        <f t="shared" si="50"/>
        <v>4460210</v>
      </c>
      <c r="Q494" s="711">
        <f t="shared" si="47"/>
        <v>4460210</v>
      </c>
      <c r="R494" s="1121" t="s">
        <v>251</v>
      </c>
      <c r="S494" s="1122" t="s">
        <v>251</v>
      </c>
      <c r="T494" s="1122"/>
      <c r="U494" s="1122"/>
      <c r="V494" s="1122"/>
      <c r="W494" s="1122">
        <v>0</v>
      </c>
      <c r="X494" s="1122">
        <v>0</v>
      </c>
      <c r="Y494" s="1122">
        <v>0</v>
      </c>
      <c r="Z494" s="1122"/>
      <c r="AA494" s="1122"/>
      <c r="AB494" s="1122"/>
      <c r="AC494" s="1122"/>
      <c r="AD494" s="1123">
        <f t="shared" si="51"/>
        <v>0</v>
      </c>
      <c r="AE494" s="637">
        <f t="shared" si="52"/>
        <v>-1</v>
      </c>
      <c r="AF494" s="638">
        <f t="shared" si="48"/>
        <v>394</v>
      </c>
    </row>
    <row r="495" spans="1:32" x14ac:dyDescent="0.3">
      <c r="A495" s="555" t="s">
        <v>759</v>
      </c>
      <c r="B495" s="693" t="s">
        <v>622</v>
      </c>
      <c r="C495" s="530"/>
      <c r="D495" s="529"/>
      <c r="E495" s="529">
        <v>0</v>
      </c>
      <c r="F495" s="529">
        <v>0</v>
      </c>
      <c r="G495" s="529">
        <v>1217300</v>
      </c>
      <c r="H495" s="529">
        <v>0</v>
      </c>
      <c r="I495" s="529">
        <v>0</v>
      </c>
      <c r="J495" s="529">
        <v>0</v>
      </c>
      <c r="K495" s="529"/>
      <c r="L495" s="529">
        <v>0</v>
      </c>
      <c r="M495" s="529">
        <v>0</v>
      </c>
      <c r="N495" s="529">
        <v>540000</v>
      </c>
      <c r="O495" s="529">
        <v>0</v>
      </c>
      <c r="P495" s="1498">
        <f t="shared" si="50"/>
        <v>1217300</v>
      </c>
      <c r="Q495" s="711">
        <f t="shared" si="47"/>
        <v>1757300</v>
      </c>
      <c r="R495" s="1121" t="s">
        <v>251</v>
      </c>
      <c r="S495" s="1122" t="s">
        <v>251</v>
      </c>
      <c r="T495" s="1122"/>
      <c r="U495" s="1122"/>
      <c r="V495" s="1122"/>
      <c r="W495" s="1122"/>
      <c r="X495" s="1122"/>
      <c r="Y495" s="1122"/>
      <c r="Z495" s="1122"/>
      <c r="AA495" s="1122"/>
      <c r="AB495" s="1122"/>
      <c r="AC495" s="1122"/>
      <c r="AD495" s="1123">
        <f t="shared" si="51"/>
        <v>0</v>
      </c>
      <c r="AE495" s="637">
        <f t="shared" si="52"/>
        <v>-1</v>
      </c>
      <c r="AF495" s="638">
        <f t="shared" si="48"/>
        <v>394</v>
      </c>
    </row>
    <row r="496" spans="1:32" x14ac:dyDescent="0.3">
      <c r="A496" s="555" t="s">
        <v>759</v>
      </c>
      <c r="B496" s="693" t="s">
        <v>760</v>
      </c>
      <c r="C496" s="530">
        <v>336340</v>
      </c>
      <c r="D496" s="529">
        <v>166980</v>
      </c>
      <c r="E496" s="529">
        <v>0</v>
      </c>
      <c r="F496" s="529">
        <v>338400</v>
      </c>
      <c r="G496" s="529">
        <v>160660</v>
      </c>
      <c r="H496" s="529">
        <v>0</v>
      </c>
      <c r="I496" s="529">
        <v>0</v>
      </c>
      <c r="J496" s="529">
        <v>0</v>
      </c>
      <c r="K496" s="529">
        <v>0</v>
      </c>
      <c r="L496" s="529">
        <v>163700</v>
      </c>
      <c r="M496" s="529">
        <v>165130</v>
      </c>
      <c r="N496" s="529">
        <v>0</v>
      </c>
      <c r="O496" s="529">
        <v>0</v>
      </c>
      <c r="P496" s="1498">
        <f t="shared" si="50"/>
        <v>1002380</v>
      </c>
      <c r="Q496" s="711">
        <f t="shared" si="47"/>
        <v>1331210</v>
      </c>
      <c r="R496" s="1121" t="s">
        <v>251</v>
      </c>
      <c r="S496" s="1122" t="s">
        <v>251</v>
      </c>
      <c r="T496" s="1122"/>
      <c r="U496" s="1122"/>
      <c r="V496" s="1122"/>
      <c r="W496" s="1122"/>
      <c r="X496" s="1122"/>
      <c r="Y496" s="1122"/>
      <c r="Z496" s="1122"/>
      <c r="AA496" s="1122"/>
      <c r="AB496" s="1122"/>
      <c r="AC496" s="1122"/>
      <c r="AD496" s="1123">
        <f t="shared" si="51"/>
        <v>0</v>
      </c>
      <c r="AE496" s="637">
        <f t="shared" si="52"/>
        <v>-1</v>
      </c>
      <c r="AF496" s="638">
        <f t="shared" si="48"/>
        <v>394</v>
      </c>
    </row>
    <row r="497" spans="1:32" x14ac:dyDescent="0.3">
      <c r="A497" s="555" t="s">
        <v>759</v>
      </c>
      <c r="B497" s="693" t="s">
        <v>620</v>
      </c>
      <c r="C497" s="530"/>
      <c r="D497" s="529">
        <v>55800</v>
      </c>
      <c r="E497" s="529">
        <v>601200</v>
      </c>
      <c r="F497" s="529">
        <v>462600</v>
      </c>
      <c r="G497" s="529">
        <v>0</v>
      </c>
      <c r="H497" s="529">
        <v>0</v>
      </c>
      <c r="I497" s="529">
        <v>243000</v>
      </c>
      <c r="J497" s="529">
        <v>780840</v>
      </c>
      <c r="K497" s="529">
        <v>2826720</v>
      </c>
      <c r="L497" s="529">
        <v>65880</v>
      </c>
      <c r="M497" s="529">
        <v>286200</v>
      </c>
      <c r="N497" s="529">
        <v>36000</v>
      </c>
      <c r="O497" s="529">
        <v>0</v>
      </c>
      <c r="P497" s="1498">
        <f t="shared" si="50"/>
        <v>4189320</v>
      </c>
      <c r="Q497" s="711">
        <f t="shared" si="47"/>
        <v>2531520</v>
      </c>
      <c r="R497" s="1121" t="s">
        <v>251</v>
      </c>
      <c r="S497" s="1122" t="s">
        <v>251</v>
      </c>
      <c r="T497" s="1122">
        <v>416520</v>
      </c>
      <c r="U497" s="1122">
        <v>527670</v>
      </c>
      <c r="V497" s="1122">
        <v>64350</v>
      </c>
      <c r="W497" s="1122">
        <v>128700</v>
      </c>
      <c r="X497" s="1122">
        <v>131090</v>
      </c>
      <c r="Y497" s="1122">
        <v>185070</v>
      </c>
      <c r="Z497" s="1122"/>
      <c r="AA497" s="1122"/>
      <c r="AB497" s="1122"/>
      <c r="AC497" s="1122"/>
      <c r="AD497" s="1123">
        <f t="shared" si="51"/>
        <v>1453400</v>
      </c>
      <c r="AE497" s="637">
        <f t="shared" si="52"/>
        <v>-0.65307018800187144</v>
      </c>
      <c r="AF497" s="638">
        <f t="shared" si="48"/>
        <v>171</v>
      </c>
    </row>
    <row r="498" spans="1:32" x14ac:dyDescent="0.3">
      <c r="A498" s="555" t="s">
        <v>759</v>
      </c>
      <c r="B498" s="693" t="s">
        <v>693</v>
      </c>
      <c r="C498" s="530">
        <v>339130</v>
      </c>
      <c r="D498" s="529">
        <v>17780</v>
      </c>
      <c r="E498" s="529">
        <v>253230</v>
      </c>
      <c r="F498" s="529">
        <v>0</v>
      </c>
      <c r="G498" s="529">
        <v>0</v>
      </c>
      <c r="H498" s="529">
        <v>0</v>
      </c>
      <c r="I498" s="529">
        <v>120460</v>
      </c>
      <c r="J498" s="529">
        <v>0</v>
      </c>
      <c r="K498" s="529">
        <v>0</v>
      </c>
      <c r="L498" s="529">
        <v>123430</v>
      </c>
      <c r="M498" s="529">
        <v>0</v>
      </c>
      <c r="N498" s="529">
        <v>0</v>
      </c>
      <c r="O498" s="529">
        <v>0</v>
      </c>
      <c r="P498" s="1498">
        <f t="shared" si="50"/>
        <v>730600</v>
      </c>
      <c r="Q498" s="711">
        <f t="shared" si="47"/>
        <v>854030</v>
      </c>
      <c r="R498" s="1121">
        <v>326760</v>
      </c>
      <c r="S498" s="1122">
        <v>528930</v>
      </c>
      <c r="T498" s="1122">
        <v>145790</v>
      </c>
      <c r="U498" s="1122">
        <v>1775320</v>
      </c>
      <c r="V498" s="1122">
        <v>3372020</v>
      </c>
      <c r="W498" s="1122">
        <v>1748530</v>
      </c>
      <c r="X498" s="1122">
        <v>1429520</v>
      </c>
      <c r="Y498" s="1122">
        <v>1343500</v>
      </c>
      <c r="Z498" s="1122"/>
      <c r="AA498" s="1122"/>
      <c r="AB498" s="1122"/>
      <c r="AC498" s="1122"/>
      <c r="AD498" s="1123">
        <f t="shared" si="51"/>
        <v>10670370</v>
      </c>
      <c r="AE498" s="637">
        <f t="shared" si="52"/>
        <v>13.604941144264988</v>
      </c>
      <c r="AF498" s="638">
        <f t="shared" si="48"/>
        <v>41</v>
      </c>
    </row>
    <row r="499" spans="1:32" x14ac:dyDescent="0.3">
      <c r="A499" s="555" t="s">
        <v>759</v>
      </c>
      <c r="B499" s="693" t="s">
        <v>761</v>
      </c>
      <c r="C499" s="530">
        <v>278190</v>
      </c>
      <c r="D499" s="529">
        <v>262360</v>
      </c>
      <c r="E499" s="529">
        <v>0</v>
      </c>
      <c r="F499" s="529">
        <v>0</v>
      </c>
      <c r="G499" s="529">
        <v>0</v>
      </c>
      <c r="H499" s="529">
        <v>0</v>
      </c>
      <c r="I499" s="529">
        <v>0</v>
      </c>
      <c r="J499" s="529">
        <v>0</v>
      </c>
      <c r="K499" s="529">
        <v>0</v>
      </c>
      <c r="L499" s="529">
        <v>0</v>
      </c>
      <c r="M499" s="529">
        <v>0</v>
      </c>
      <c r="N499" s="529">
        <v>0</v>
      </c>
      <c r="O499" s="529">
        <v>205380</v>
      </c>
      <c r="P499" s="1498">
        <f t="shared" si="50"/>
        <v>540550</v>
      </c>
      <c r="Q499" s="711">
        <f t="shared" si="47"/>
        <v>745930</v>
      </c>
      <c r="R499" s="1121">
        <v>209560</v>
      </c>
      <c r="S499" s="1122" t="s">
        <v>251</v>
      </c>
      <c r="T499" s="1122">
        <v>244050</v>
      </c>
      <c r="U499" s="1122">
        <v>0</v>
      </c>
      <c r="V499" s="1122">
        <v>0</v>
      </c>
      <c r="W499" s="1122">
        <v>0</v>
      </c>
      <c r="X499" s="1122">
        <v>0</v>
      </c>
      <c r="Y499" s="1122">
        <v>0</v>
      </c>
      <c r="Z499" s="1122"/>
      <c r="AA499" s="1122"/>
      <c r="AB499" s="1122"/>
      <c r="AC499" s="1122"/>
      <c r="AD499" s="1123">
        <f t="shared" si="51"/>
        <v>453610</v>
      </c>
      <c r="AE499" s="637">
        <f t="shared" si="52"/>
        <v>-0.16083618536675609</v>
      </c>
      <c r="AF499" s="638">
        <f t="shared" si="48"/>
        <v>265</v>
      </c>
    </row>
    <row r="500" spans="1:32" x14ac:dyDescent="0.3">
      <c r="A500" s="555" t="s">
        <v>759</v>
      </c>
      <c r="B500" s="693" t="s">
        <v>645</v>
      </c>
      <c r="C500" s="530"/>
      <c r="D500" s="529">
        <v>374400</v>
      </c>
      <c r="E500" s="529">
        <v>0</v>
      </c>
      <c r="F500" s="529">
        <v>0</v>
      </c>
      <c r="G500" s="529">
        <v>0</v>
      </c>
      <c r="H500" s="529">
        <v>0</v>
      </c>
      <c r="I500" s="529">
        <v>0</v>
      </c>
      <c r="J500" s="529">
        <v>0</v>
      </c>
      <c r="K500" s="529">
        <v>0</v>
      </c>
      <c r="L500" s="529">
        <v>0</v>
      </c>
      <c r="M500" s="529">
        <v>0</v>
      </c>
      <c r="N500" s="529">
        <v>432360</v>
      </c>
      <c r="O500" s="529">
        <v>0</v>
      </c>
      <c r="P500" s="1498">
        <f t="shared" si="50"/>
        <v>374400</v>
      </c>
      <c r="Q500" s="711">
        <f t="shared" si="47"/>
        <v>806760</v>
      </c>
      <c r="R500" s="1121" t="s">
        <v>251</v>
      </c>
      <c r="S500" s="1122" t="s">
        <v>251</v>
      </c>
      <c r="T500" s="1122"/>
      <c r="U500" s="1122"/>
      <c r="V500" s="1122"/>
      <c r="W500" s="1122">
        <v>0</v>
      </c>
      <c r="X500" s="1122">
        <v>0</v>
      </c>
      <c r="Y500" s="1122">
        <v>0</v>
      </c>
      <c r="Z500" s="1122"/>
      <c r="AA500" s="1122"/>
      <c r="AB500" s="1122"/>
      <c r="AC500" s="1122"/>
      <c r="AD500" s="1123">
        <f t="shared" si="51"/>
        <v>0</v>
      </c>
      <c r="AE500" s="637">
        <f t="shared" si="52"/>
        <v>-1</v>
      </c>
      <c r="AF500" s="638">
        <f t="shared" si="48"/>
        <v>394</v>
      </c>
    </row>
    <row r="501" spans="1:32" x14ac:dyDescent="0.3">
      <c r="A501" s="555" t="s">
        <v>759</v>
      </c>
      <c r="B501" s="693" t="s">
        <v>762</v>
      </c>
      <c r="C501" s="530">
        <v>357660</v>
      </c>
      <c r="D501" s="529"/>
      <c r="E501" s="529">
        <v>0</v>
      </c>
      <c r="F501" s="529">
        <v>0</v>
      </c>
      <c r="G501" s="529">
        <v>0</v>
      </c>
      <c r="H501" s="529">
        <v>0</v>
      </c>
      <c r="I501" s="529">
        <v>0</v>
      </c>
      <c r="J501" s="529">
        <v>0</v>
      </c>
      <c r="K501" s="529">
        <v>0</v>
      </c>
      <c r="L501" s="529">
        <v>0</v>
      </c>
      <c r="M501" s="529">
        <v>0</v>
      </c>
      <c r="N501" s="529">
        <v>0</v>
      </c>
      <c r="O501" s="529">
        <v>0</v>
      </c>
      <c r="P501" s="1498">
        <f t="shared" si="50"/>
        <v>357660</v>
      </c>
      <c r="Q501" s="711">
        <f t="shared" si="47"/>
        <v>357660</v>
      </c>
      <c r="R501" s="1121" t="s">
        <v>251</v>
      </c>
      <c r="S501" s="1122" t="s">
        <v>251</v>
      </c>
      <c r="T501" s="1122"/>
      <c r="U501" s="1122"/>
      <c r="V501" s="1122"/>
      <c r="W501" s="1122"/>
      <c r="X501" s="1122"/>
      <c r="Y501" s="1122"/>
      <c r="Z501" s="1122"/>
      <c r="AA501" s="1122"/>
      <c r="AB501" s="1122"/>
      <c r="AC501" s="1122"/>
      <c r="AD501" s="1123">
        <f t="shared" si="51"/>
        <v>0</v>
      </c>
      <c r="AE501" s="637">
        <f t="shared" si="52"/>
        <v>-1</v>
      </c>
      <c r="AF501" s="638">
        <f t="shared" si="48"/>
        <v>394</v>
      </c>
    </row>
    <row r="502" spans="1:32" x14ac:dyDescent="0.3">
      <c r="A502" s="555" t="s">
        <v>759</v>
      </c>
      <c r="B502" s="693" t="s">
        <v>763</v>
      </c>
      <c r="C502" s="530"/>
      <c r="D502" s="529"/>
      <c r="E502" s="529">
        <v>0</v>
      </c>
      <c r="F502" s="529">
        <v>0</v>
      </c>
      <c r="G502" s="529">
        <v>341740</v>
      </c>
      <c r="H502" s="529">
        <v>133420</v>
      </c>
      <c r="I502" s="529">
        <v>0</v>
      </c>
      <c r="J502" s="529">
        <v>102220</v>
      </c>
      <c r="K502" s="529">
        <v>102220</v>
      </c>
      <c r="L502" s="529">
        <v>0</v>
      </c>
      <c r="M502" s="529">
        <v>0</v>
      </c>
      <c r="N502" s="529">
        <v>14340</v>
      </c>
      <c r="O502" s="529">
        <v>0</v>
      </c>
      <c r="P502" s="1498">
        <f t="shared" si="50"/>
        <v>577380</v>
      </c>
      <c r="Q502" s="711">
        <f t="shared" si="47"/>
        <v>591720</v>
      </c>
      <c r="R502" s="1121" t="s">
        <v>251</v>
      </c>
      <c r="S502" s="1122" t="s">
        <v>251</v>
      </c>
      <c r="T502" s="1122"/>
      <c r="U502" s="1122"/>
      <c r="V502" s="1122">
        <v>18640</v>
      </c>
      <c r="W502" s="1122">
        <v>18800</v>
      </c>
      <c r="X502" s="1122">
        <v>21480</v>
      </c>
      <c r="Y502" s="1122">
        <v>0</v>
      </c>
      <c r="Z502" s="1122"/>
      <c r="AA502" s="1122"/>
      <c r="AB502" s="1122"/>
      <c r="AC502" s="1122"/>
      <c r="AD502" s="1123">
        <f t="shared" si="51"/>
        <v>58920</v>
      </c>
      <c r="AE502" s="637">
        <f t="shared" si="52"/>
        <v>-0.89795282136547849</v>
      </c>
      <c r="AF502" s="638">
        <f t="shared" si="48"/>
        <v>364</v>
      </c>
    </row>
    <row r="503" spans="1:32" x14ac:dyDescent="0.3">
      <c r="A503" s="555" t="s">
        <v>759</v>
      </c>
      <c r="B503" s="693" t="s">
        <v>625</v>
      </c>
      <c r="C503" s="530"/>
      <c r="D503" s="529"/>
      <c r="E503" s="529">
        <v>0</v>
      </c>
      <c r="F503" s="529">
        <v>0</v>
      </c>
      <c r="G503" s="529">
        <v>257400</v>
      </c>
      <c r="H503" s="529">
        <v>0</v>
      </c>
      <c r="I503" s="529">
        <v>0</v>
      </c>
      <c r="J503" s="529">
        <v>0</v>
      </c>
      <c r="K503" s="529">
        <v>0</v>
      </c>
      <c r="L503" s="529">
        <v>0</v>
      </c>
      <c r="M503" s="529">
        <v>21600</v>
      </c>
      <c r="N503" s="529">
        <v>0</v>
      </c>
      <c r="O503" s="529">
        <v>0</v>
      </c>
      <c r="P503" s="1498">
        <f t="shared" si="50"/>
        <v>257400</v>
      </c>
      <c r="Q503" s="711">
        <f t="shared" si="47"/>
        <v>279000</v>
      </c>
      <c r="R503" s="1121" t="s">
        <v>251</v>
      </c>
      <c r="S503" s="1122" t="s">
        <v>251</v>
      </c>
      <c r="T503" s="1122"/>
      <c r="U503" s="1122"/>
      <c r="V503" s="1122"/>
      <c r="W503" s="1122"/>
      <c r="X503" s="1122"/>
      <c r="Y503" s="1122"/>
      <c r="Z503" s="1122"/>
      <c r="AA503" s="1122"/>
      <c r="AB503" s="1122"/>
      <c r="AC503" s="1122"/>
      <c r="AD503" s="1123">
        <f t="shared" si="51"/>
        <v>0</v>
      </c>
      <c r="AE503" s="637">
        <f t="shared" si="52"/>
        <v>-1</v>
      </c>
      <c r="AF503" s="638">
        <f t="shared" si="48"/>
        <v>394</v>
      </c>
    </row>
    <row r="504" spans="1:32" x14ac:dyDescent="0.3">
      <c r="A504" s="555" t="s">
        <v>759</v>
      </c>
      <c r="B504" s="693" t="s">
        <v>764</v>
      </c>
      <c r="C504" s="530"/>
      <c r="D504" s="529"/>
      <c r="E504" s="529">
        <v>242890</v>
      </c>
      <c r="F504" s="529">
        <v>0</v>
      </c>
      <c r="G504" s="529">
        <v>0</v>
      </c>
      <c r="H504" s="529">
        <v>456820</v>
      </c>
      <c r="I504" s="529">
        <v>0</v>
      </c>
      <c r="J504" s="529">
        <v>0</v>
      </c>
      <c r="K504" s="529">
        <v>0</v>
      </c>
      <c r="L504" s="529">
        <v>0</v>
      </c>
      <c r="M504" s="529">
        <v>0</v>
      </c>
      <c r="N504" s="529">
        <v>0</v>
      </c>
      <c r="O504" s="529">
        <v>0</v>
      </c>
      <c r="P504" s="1498">
        <f t="shared" si="50"/>
        <v>699710</v>
      </c>
      <c r="Q504" s="711">
        <f t="shared" si="47"/>
        <v>699710</v>
      </c>
      <c r="R504" s="1121" t="s">
        <v>251</v>
      </c>
      <c r="S504" s="1122" t="s">
        <v>251</v>
      </c>
      <c r="T504" s="1122"/>
      <c r="U504" s="1122"/>
      <c r="V504" s="1122"/>
      <c r="W504" s="1122"/>
      <c r="X504" s="1122"/>
      <c r="Y504" s="1122"/>
      <c r="Z504" s="1122"/>
      <c r="AA504" s="1122"/>
      <c r="AB504" s="1122"/>
      <c r="AC504" s="1122"/>
      <c r="AD504" s="1123">
        <f t="shared" si="51"/>
        <v>0</v>
      </c>
      <c r="AE504" s="637">
        <f t="shared" si="52"/>
        <v>-1</v>
      </c>
      <c r="AF504" s="638">
        <f t="shared" si="48"/>
        <v>394</v>
      </c>
    </row>
    <row r="505" spans="1:32" x14ac:dyDescent="0.3">
      <c r="A505" s="555" t="s">
        <v>759</v>
      </c>
      <c r="B505" s="693" t="s">
        <v>765</v>
      </c>
      <c r="C505" s="530"/>
      <c r="D505" s="529"/>
      <c r="E505" s="529">
        <v>0</v>
      </c>
      <c r="F505" s="529">
        <v>0</v>
      </c>
      <c r="G505" s="529">
        <v>237070</v>
      </c>
      <c r="H505" s="529">
        <v>61080</v>
      </c>
      <c r="I505" s="529">
        <v>0</v>
      </c>
      <c r="J505" s="529">
        <v>0</v>
      </c>
      <c r="K505" s="529">
        <v>0</v>
      </c>
      <c r="L505" s="529">
        <v>0</v>
      </c>
      <c r="M505" s="529">
        <v>0</v>
      </c>
      <c r="N505" s="529">
        <v>0</v>
      </c>
      <c r="O505" s="529">
        <v>0</v>
      </c>
      <c r="P505" s="1498">
        <f t="shared" si="50"/>
        <v>298150</v>
      </c>
      <c r="Q505" s="711">
        <f t="shared" si="47"/>
        <v>298150</v>
      </c>
      <c r="R505" s="1121" t="s">
        <v>251</v>
      </c>
      <c r="S505" s="1122" t="s">
        <v>251</v>
      </c>
      <c r="T505" s="1122"/>
      <c r="U505" s="1122"/>
      <c r="V505" s="1122"/>
      <c r="W505" s="1122"/>
      <c r="X505" s="1122"/>
      <c r="Y505" s="1122"/>
      <c r="Z505" s="1122"/>
      <c r="AA505" s="1122"/>
      <c r="AB505" s="1122"/>
      <c r="AC505" s="1122"/>
      <c r="AD505" s="1123">
        <f t="shared" si="51"/>
        <v>0</v>
      </c>
      <c r="AE505" s="637">
        <f t="shared" si="52"/>
        <v>-1</v>
      </c>
      <c r="AF505" s="638">
        <f t="shared" si="48"/>
        <v>394</v>
      </c>
    </row>
    <row r="506" spans="1:32" x14ac:dyDescent="0.3">
      <c r="A506" s="555" t="s">
        <v>759</v>
      </c>
      <c r="B506" s="693" t="s">
        <v>629</v>
      </c>
      <c r="C506" s="530"/>
      <c r="D506" s="529"/>
      <c r="E506" s="529">
        <v>0</v>
      </c>
      <c r="F506" s="529">
        <v>0</v>
      </c>
      <c r="G506" s="529">
        <v>144000</v>
      </c>
      <c r="H506" s="529">
        <v>510140</v>
      </c>
      <c r="I506" s="529">
        <v>0</v>
      </c>
      <c r="J506" s="529">
        <v>0</v>
      </c>
      <c r="K506" s="529">
        <v>0</v>
      </c>
      <c r="L506" s="529">
        <v>0</v>
      </c>
      <c r="M506" s="529">
        <v>0</v>
      </c>
      <c r="N506" s="529">
        <v>0</v>
      </c>
      <c r="O506" s="529">
        <v>0</v>
      </c>
      <c r="P506" s="1498">
        <f t="shared" si="50"/>
        <v>654140</v>
      </c>
      <c r="Q506" s="711">
        <f t="shared" si="47"/>
        <v>654140</v>
      </c>
      <c r="R506" s="1121" t="s">
        <v>251</v>
      </c>
      <c r="S506" s="1122" t="s">
        <v>251</v>
      </c>
      <c r="T506" s="1122"/>
      <c r="U506" s="1122"/>
      <c r="V506" s="1122"/>
      <c r="W506" s="1122"/>
      <c r="X506" s="1122"/>
      <c r="Y506" s="1122"/>
      <c r="Z506" s="1122"/>
      <c r="AA506" s="1122"/>
      <c r="AB506" s="1122"/>
      <c r="AC506" s="1122"/>
      <c r="AD506" s="1123">
        <f t="shared" si="51"/>
        <v>0</v>
      </c>
      <c r="AE506" s="637">
        <f t="shared" si="52"/>
        <v>-1</v>
      </c>
      <c r="AF506" s="638">
        <f t="shared" si="48"/>
        <v>394</v>
      </c>
    </row>
    <row r="507" spans="1:32" x14ac:dyDescent="0.3">
      <c r="A507" s="555" t="s">
        <v>759</v>
      </c>
      <c r="B507" s="693" t="s">
        <v>623</v>
      </c>
      <c r="C507" s="530"/>
      <c r="D507" s="529">
        <v>144000</v>
      </c>
      <c r="E507" s="529">
        <v>0</v>
      </c>
      <c r="F507" s="529">
        <v>16200</v>
      </c>
      <c r="G507" s="529">
        <v>11700</v>
      </c>
      <c r="H507" s="529">
        <v>0</v>
      </c>
      <c r="I507" s="529">
        <v>34350</v>
      </c>
      <c r="J507" s="529">
        <v>0</v>
      </c>
      <c r="K507" s="529">
        <v>0</v>
      </c>
      <c r="L507" s="529">
        <v>0</v>
      </c>
      <c r="M507" s="529">
        <v>0</v>
      </c>
      <c r="N507" s="529">
        <v>0</v>
      </c>
      <c r="O507" s="529">
        <v>0</v>
      </c>
      <c r="P507" s="1498">
        <f t="shared" si="50"/>
        <v>206250</v>
      </c>
      <c r="Q507" s="711">
        <f t="shared" si="47"/>
        <v>206250</v>
      </c>
      <c r="R507" s="1121" t="s">
        <v>251</v>
      </c>
      <c r="S507" s="1122" t="s">
        <v>251</v>
      </c>
      <c r="T507" s="1122">
        <v>49140</v>
      </c>
      <c r="U507" s="1122">
        <v>78000</v>
      </c>
      <c r="V507" s="1122">
        <v>303030</v>
      </c>
      <c r="W507" s="1122">
        <v>0</v>
      </c>
      <c r="X507" s="1122">
        <v>550730</v>
      </c>
      <c r="Y507" s="1122">
        <v>0</v>
      </c>
      <c r="Z507" s="1122"/>
      <c r="AA507" s="1122"/>
      <c r="AB507" s="1122"/>
      <c r="AC507" s="1122"/>
      <c r="AD507" s="1123">
        <f t="shared" si="51"/>
        <v>980900</v>
      </c>
      <c r="AE507" s="637">
        <f t="shared" si="52"/>
        <v>3.755878787878788</v>
      </c>
      <c r="AF507" s="638">
        <f t="shared" ref="AF507:AF570" si="53">IFERROR(_xlfn.RANK.EQ(AD507, $AD$2:$AD$677), "")</f>
        <v>202</v>
      </c>
    </row>
    <row r="508" spans="1:32" x14ac:dyDescent="0.3">
      <c r="A508" s="555" t="s">
        <v>759</v>
      </c>
      <c r="B508" s="693" t="s">
        <v>624</v>
      </c>
      <c r="C508" s="530"/>
      <c r="D508" s="529"/>
      <c r="E508" s="529">
        <v>31500</v>
      </c>
      <c r="F508" s="529">
        <v>31500</v>
      </c>
      <c r="G508" s="529">
        <v>63000</v>
      </c>
      <c r="H508" s="529">
        <v>0</v>
      </c>
      <c r="I508" s="529">
        <v>0</v>
      </c>
      <c r="J508" s="529">
        <v>0</v>
      </c>
      <c r="K508" s="529">
        <v>0</v>
      </c>
      <c r="L508" s="529">
        <v>0</v>
      </c>
      <c r="M508" s="529">
        <v>0</v>
      </c>
      <c r="N508" s="529">
        <v>0</v>
      </c>
      <c r="O508" s="529">
        <v>0</v>
      </c>
      <c r="P508" s="1498">
        <f t="shared" si="50"/>
        <v>126000</v>
      </c>
      <c r="Q508" s="711">
        <f t="shared" si="47"/>
        <v>126000</v>
      </c>
      <c r="R508" s="1121" t="s">
        <v>251</v>
      </c>
      <c r="S508" s="1122" t="s">
        <v>251</v>
      </c>
      <c r="T508" s="1122"/>
      <c r="U508" s="1122"/>
      <c r="V508" s="1122"/>
      <c r="W508" s="1122"/>
      <c r="X508" s="1122"/>
      <c r="Y508" s="1122"/>
      <c r="Z508" s="1122"/>
      <c r="AA508" s="1122"/>
      <c r="AB508" s="1122"/>
      <c r="AC508" s="1122"/>
      <c r="AD508" s="1123">
        <f t="shared" si="51"/>
        <v>0</v>
      </c>
      <c r="AE508" s="637">
        <f t="shared" si="52"/>
        <v>-1</v>
      </c>
      <c r="AF508" s="638">
        <f t="shared" si="53"/>
        <v>394</v>
      </c>
    </row>
    <row r="509" spans="1:32" x14ac:dyDescent="0.3">
      <c r="A509" s="555" t="s">
        <v>759</v>
      </c>
      <c r="B509" s="693" t="s">
        <v>648</v>
      </c>
      <c r="C509" s="530"/>
      <c r="D509" s="529"/>
      <c r="E509" s="529">
        <v>27000</v>
      </c>
      <c r="F509" s="529">
        <v>0</v>
      </c>
      <c r="G509" s="529">
        <v>98350</v>
      </c>
      <c r="H509" s="529">
        <v>27000</v>
      </c>
      <c r="I509" s="529">
        <v>0</v>
      </c>
      <c r="J509" s="529">
        <v>0</v>
      </c>
      <c r="K509" s="529">
        <v>568980</v>
      </c>
      <c r="L509" s="529">
        <v>0</v>
      </c>
      <c r="M509" s="529">
        <v>21600</v>
      </c>
      <c r="N509" s="529">
        <v>0</v>
      </c>
      <c r="O509" s="529">
        <v>0</v>
      </c>
      <c r="P509" s="1498">
        <f t="shared" si="50"/>
        <v>721330</v>
      </c>
      <c r="Q509" s="711">
        <f t="shared" ref="Q509:Q572" si="54">SUM(C509:J509,L509:O509)</f>
        <v>173950</v>
      </c>
      <c r="R509" s="1121" t="s">
        <v>251</v>
      </c>
      <c r="S509" s="1122" t="s">
        <v>251</v>
      </c>
      <c r="T509" s="1122"/>
      <c r="U509" s="1122"/>
      <c r="V509" s="1122">
        <v>198900</v>
      </c>
      <c r="W509" s="1122">
        <v>9750</v>
      </c>
      <c r="X509" s="1122">
        <v>0</v>
      </c>
      <c r="Y509" s="1122">
        <v>0</v>
      </c>
      <c r="Z509" s="1122"/>
      <c r="AA509" s="1122"/>
      <c r="AB509" s="1122"/>
      <c r="AC509" s="1122"/>
      <c r="AD509" s="1123">
        <f t="shared" si="51"/>
        <v>208650</v>
      </c>
      <c r="AE509" s="637">
        <f t="shared" si="52"/>
        <v>-0.7107426559272455</v>
      </c>
      <c r="AF509" s="638">
        <f t="shared" si="53"/>
        <v>314</v>
      </c>
    </row>
    <row r="510" spans="1:32" x14ac:dyDescent="0.3">
      <c r="A510" s="555" t="s">
        <v>759</v>
      </c>
      <c r="B510" s="693" t="s">
        <v>619</v>
      </c>
      <c r="C510" s="530"/>
      <c r="D510" s="529"/>
      <c r="E510" s="529">
        <v>111900</v>
      </c>
      <c r="F510" s="529">
        <v>0</v>
      </c>
      <c r="G510" s="529">
        <v>0</v>
      </c>
      <c r="H510" s="529">
        <v>573750</v>
      </c>
      <c r="I510" s="529">
        <v>72000</v>
      </c>
      <c r="J510" s="529">
        <v>0</v>
      </c>
      <c r="K510" s="529">
        <v>0</v>
      </c>
      <c r="L510" s="529">
        <v>0</v>
      </c>
      <c r="M510" s="529">
        <v>0</v>
      </c>
      <c r="N510" s="529">
        <v>0</v>
      </c>
      <c r="O510" s="529">
        <v>0</v>
      </c>
      <c r="P510" s="1498">
        <f t="shared" si="50"/>
        <v>757650</v>
      </c>
      <c r="Q510" s="711">
        <f t="shared" si="54"/>
        <v>757650</v>
      </c>
      <c r="R510" s="1121" t="s">
        <v>251</v>
      </c>
      <c r="S510" s="1122" t="s">
        <v>251</v>
      </c>
      <c r="T510" s="1122"/>
      <c r="U510" s="1122"/>
      <c r="V510" s="1122"/>
      <c r="W510" s="1122">
        <v>0</v>
      </c>
      <c r="X510" s="1122">
        <v>235940</v>
      </c>
      <c r="Y510" s="1122">
        <v>0</v>
      </c>
      <c r="Z510" s="1122"/>
      <c r="AA510" s="1122"/>
      <c r="AB510" s="1122"/>
      <c r="AC510" s="1122"/>
      <c r="AD510" s="1123">
        <f t="shared" si="51"/>
        <v>235940</v>
      </c>
      <c r="AE510" s="637">
        <f t="shared" si="52"/>
        <v>-0.68858971820761561</v>
      </c>
      <c r="AF510" s="638">
        <f t="shared" si="53"/>
        <v>307</v>
      </c>
    </row>
    <row r="511" spans="1:32" x14ac:dyDescent="0.3">
      <c r="A511" s="555" t="s">
        <v>759</v>
      </c>
      <c r="B511" s="693" t="s">
        <v>372</v>
      </c>
      <c r="C511" s="530"/>
      <c r="D511" s="529"/>
      <c r="E511" s="529">
        <v>99000</v>
      </c>
      <c r="F511" s="529">
        <v>0</v>
      </c>
      <c r="G511" s="529">
        <v>0</v>
      </c>
      <c r="H511" s="529">
        <v>0</v>
      </c>
      <c r="I511" s="529">
        <v>0</v>
      </c>
      <c r="J511" s="529">
        <v>0</v>
      </c>
      <c r="K511" s="529">
        <v>0</v>
      </c>
      <c r="L511" s="529">
        <v>0</v>
      </c>
      <c r="M511" s="529">
        <v>0</v>
      </c>
      <c r="N511" s="529">
        <v>0</v>
      </c>
      <c r="O511" s="529">
        <v>0</v>
      </c>
      <c r="P511" s="1498">
        <f t="shared" si="50"/>
        <v>99000</v>
      </c>
      <c r="Q511" s="711">
        <f t="shared" si="54"/>
        <v>99000</v>
      </c>
      <c r="R511" s="1121" t="s">
        <v>251</v>
      </c>
      <c r="S511" s="1122" t="s">
        <v>251</v>
      </c>
      <c r="T511" s="1122"/>
      <c r="U511" s="1122"/>
      <c r="V511" s="1122"/>
      <c r="W511" s="1122"/>
      <c r="X511" s="1122"/>
      <c r="Y511" s="1122"/>
      <c r="Z511" s="1122"/>
      <c r="AA511" s="1122"/>
      <c r="AB511" s="1122"/>
      <c r="AC511" s="1122"/>
      <c r="AD511" s="1123">
        <f t="shared" si="51"/>
        <v>0</v>
      </c>
      <c r="AE511" s="637">
        <f t="shared" si="52"/>
        <v>-1</v>
      </c>
      <c r="AF511" s="638">
        <f t="shared" si="53"/>
        <v>394</v>
      </c>
    </row>
    <row r="512" spans="1:32" x14ac:dyDescent="0.3">
      <c r="A512" s="555" t="s">
        <v>759</v>
      </c>
      <c r="B512" s="693" t="s">
        <v>632</v>
      </c>
      <c r="C512" s="530"/>
      <c r="D512" s="529"/>
      <c r="E512" s="529">
        <v>0</v>
      </c>
      <c r="F512" s="529">
        <v>86400</v>
      </c>
      <c r="G512" s="529">
        <v>0</v>
      </c>
      <c r="H512" s="529">
        <v>12600</v>
      </c>
      <c r="I512" s="529">
        <v>129600</v>
      </c>
      <c r="J512" s="529">
        <v>0</v>
      </c>
      <c r="K512" s="529">
        <v>0</v>
      </c>
      <c r="L512" s="529">
        <v>0</v>
      </c>
      <c r="M512" s="529">
        <v>0</v>
      </c>
      <c r="N512" s="529">
        <v>0</v>
      </c>
      <c r="O512" s="529">
        <v>0</v>
      </c>
      <c r="P512" s="1498">
        <f t="shared" si="50"/>
        <v>228600</v>
      </c>
      <c r="Q512" s="711">
        <f t="shared" si="54"/>
        <v>228600</v>
      </c>
      <c r="R512" s="1121" t="s">
        <v>251</v>
      </c>
      <c r="S512" s="1122" t="s">
        <v>251</v>
      </c>
      <c r="T512" s="1122">
        <v>253890</v>
      </c>
      <c r="U512" s="1122">
        <v>105300</v>
      </c>
      <c r="V512" s="1122">
        <v>0</v>
      </c>
      <c r="W512" s="1122">
        <v>262080</v>
      </c>
      <c r="X512" s="1122">
        <v>184500</v>
      </c>
      <c r="Y512" s="1122">
        <v>0</v>
      </c>
      <c r="Z512" s="1122"/>
      <c r="AA512" s="1122"/>
      <c r="AB512" s="1122"/>
      <c r="AC512" s="1122"/>
      <c r="AD512" s="1123">
        <f t="shared" si="51"/>
        <v>805770</v>
      </c>
      <c r="AE512" s="637">
        <f t="shared" si="52"/>
        <v>2.5248031496062993</v>
      </c>
      <c r="AF512" s="638">
        <f t="shared" si="53"/>
        <v>216</v>
      </c>
    </row>
    <row r="513" spans="1:32" x14ac:dyDescent="0.3">
      <c r="A513" s="555" t="s">
        <v>759</v>
      </c>
      <c r="B513" s="693" t="s">
        <v>630</v>
      </c>
      <c r="C513" s="530">
        <v>83440</v>
      </c>
      <c r="D513" s="529"/>
      <c r="E513" s="529">
        <v>0</v>
      </c>
      <c r="F513" s="529">
        <v>0</v>
      </c>
      <c r="G513" s="529">
        <v>0</v>
      </c>
      <c r="H513" s="529">
        <v>0</v>
      </c>
      <c r="I513" s="529">
        <v>0</v>
      </c>
      <c r="J513" s="529">
        <v>0</v>
      </c>
      <c r="K513" s="529">
        <v>0</v>
      </c>
      <c r="L513" s="529">
        <v>0</v>
      </c>
      <c r="M513" s="529">
        <v>0</v>
      </c>
      <c r="N513" s="529">
        <v>0</v>
      </c>
      <c r="O513" s="529">
        <v>0</v>
      </c>
      <c r="P513" s="1498">
        <f t="shared" si="50"/>
        <v>83440</v>
      </c>
      <c r="Q513" s="711">
        <f t="shared" si="54"/>
        <v>83440</v>
      </c>
      <c r="R513" s="1121" t="s">
        <v>251</v>
      </c>
      <c r="S513" s="1122" t="s">
        <v>251</v>
      </c>
      <c r="T513" s="1122"/>
      <c r="U513" s="1122"/>
      <c r="V513" s="1122"/>
      <c r="W513" s="1122"/>
      <c r="X513" s="1122"/>
      <c r="Y513" s="1122">
        <v>185830</v>
      </c>
      <c r="Z513" s="1122"/>
      <c r="AA513" s="1122"/>
      <c r="AB513" s="1122"/>
      <c r="AC513" s="1122"/>
      <c r="AD513" s="1123">
        <f t="shared" si="51"/>
        <v>185830</v>
      </c>
      <c r="AE513" s="637">
        <f t="shared" si="52"/>
        <v>1.2271093000958773</v>
      </c>
      <c r="AF513" s="638">
        <f t="shared" si="53"/>
        <v>318</v>
      </c>
    </row>
    <row r="514" spans="1:32" x14ac:dyDescent="0.3">
      <c r="A514" s="555" t="s">
        <v>759</v>
      </c>
      <c r="B514" s="693" t="s">
        <v>766</v>
      </c>
      <c r="C514" s="530"/>
      <c r="D514" s="529">
        <v>72000</v>
      </c>
      <c r="E514" s="529">
        <v>0</v>
      </c>
      <c r="F514" s="529">
        <v>0</v>
      </c>
      <c r="G514" s="529">
        <v>0</v>
      </c>
      <c r="H514" s="529">
        <v>0</v>
      </c>
      <c r="I514" s="529">
        <v>0</v>
      </c>
      <c r="J514" s="529">
        <v>0</v>
      </c>
      <c r="K514" s="529">
        <v>0</v>
      </c>
      <c r="L514" s="529">
        <v>0</v>
      </c>
      <c r="M514" s="529">
        <v>0</v>
      </c>
      <c r="N514" s="529">
        <v>0</v>
      </c>
      <c r="O514" s="529">
        <v>0</v>
      </c>
      <c r="P514" s="1498">
        <f t="shared" si="50"/>
        <v>72000</v>
      </c>
      <c r="Q514" s="711">
        <f t="shared" si="54"/>
        <v>72000</v>
      </c>
      <c r="R514" s="1121" t="s">
        <v>251</v>
      </c>
      <c r="S514" s="1122" t="s">
        <v>251</v>
      </c>
      <c r="T514" s="1122"/>
      <c r="U514" s="1122"/>
      <c r="V514" s="1122"/>
      <c r="W514" s="1122"/>
      <c r="X514" s="1122"/>
      <c r="Y514" s="1122"/>
      <c r="Z514" s="1122"/>
      <c r="AA514" s="1122"/>
      <c r="AB514" s="1122"/>
      <c r="AC514" s="1122"/>
      <c r="AD514" s="1123">
        <f t="shared" si="51"/>
        <v>0</v>
      </c>
      <c r="AE514" s="637">
        <f t="shared" si="52"/>
        <v>-1</v>
      </c>
      <c r="AF514" s="638">
        <f t="shared" si="53"/>
        <v>394</v>
      </c>
    </row>
    <row r="515" spans="1:32" x14ac:dyDescent="0.3">
      <c r="A515" s="555" t="s">
        <v>759</v>
      </c>
      <c r="B515" s="693" t="s">
        <v>739</v>
      </c>
      <c r="C515" s="530"/>
      <c r="D515" s="529"/>
      <c r="E515" s="529">
        <v>63000</v>
      </c>
      <c r="F515" s="529">
        <v>0</v>
      </c>
      <c r="G515" s="529">
        <v>0</v>
      </c>
      <c r="H515" s="529">
        <v>0</v>
      </c>
      <c r="I515" s="529">
        <v>0</v>
      </c>
      <c r="J515" s="529">
        <v>0</v>
      </c>
      <c r="K515" s="529">
        <v>0</v>
      </c>
      <c r="L515" s="529">
        <v>0</v>
      </c>
      <c r="M515" s="529">
        <v>0</v>
      </c>
      <c r="N515" s="529">
        <v>0</v>
      </c>
      <c r="O515" s="529">
        <v>0</v>
      </c>
      <c r="P515" s="1498">
        <f t="shared" si="50"/>
        <v>63000</v>
      </c>
      <c r="Q515" s="711">
        <f t="shared" si="54"/>
        <v>63000</v>
      </c>
      <c r="R515" s="1121" t="s">
        <v>251</v>
      </c>
      <c r="S515" s="1122" t="s">
        <v>251</v>
      </c>
      <c r="T515" s="1122"/>
      <c r="U515" s="1122"/>
      <c r="V515" s="1122"/>
      <c r="W515" s="1122">
        <v>58500</v>
      </c>
      <c r="X515" s="1122">
        <v>0</v>
      </c>
      <c r="Y515" s="1122">
        <v>157370</v>
      </c>
      <c r="Z515" s="1122"/>
      <c r="AA515" s="1122"/>
      <c r="AB515" s="1122"/>
      <c r="AC515" s="1122"/>
      <c r="AD515" s="1123">
        <f t="shared" si="51"/>
        <v>215870</v>
      </c>
      <c r="AE515" s="637">
        <f t="shared" si="52"/>
        <v>2.4265079365079365</v>
      </c>
      <c r="AF515" s="638">
        <f t="shared" si="53"/>
        <v>311</v>
      </c>
    </row>
    <row r="516" spans="1:32" x14ac:dyDescent="0.3">
      <c r="A516" s="555" t="s">
        <v>759</v>
      </c>
      <c r="B516" s="693" t="s">
        <v>660</v>
      </c>
      <c r="C516" s="530"/>
      <c r="D516" s="529"/>
      <c r="E516" s="529">
        <v>54000</v>
      </c>
      <c r="F516" s="529">
        <v>0</v>
      </c>
      <c r="G516" s="529">
        <v>0</v>
      </c>
      <c r="H516" s="529">
        <v>0</v>
      </c>
      <c r="I516" s="529">
        <v>0</v>
      </c>
      <c r="J516" s="529">
        <v>81900</v>
      </c>
      <c r="K516" s="529">
        <v>0</v>
      </c>
      <c r="L516" s="529">
        <v>44100</v>
      </c>
      <c r="M516" s="529">
        <v>0</v>
      </c>
      <c r="N516" s="529">
        <v>0</v>
      </c>
      <c r="O516" s="529">
        <v>0</v>
      </c>
      <c r="P516" s="1498">
        <f t="shared" si="50"/>
        <v>54000</v>
      </c>
      <c r="Q516" s="711">
        <f t="shared" si="54"/>
        <v>180000</v>
      </c>
      <c r="R516" s="1121" t="s">
        <v>251</v>
      </c>
      <c r="S516" s="1122" t="s">
        <v>251</v>
      </c>
      <c r="T516" s="1122"/>
      <c r="U516" s="1122"/>
      <c r="V516" s="1122"/>
      <c r="W516" s="1122"/>
      <c r="X516" s="1122"/>
      <c r="Y516" s="1122"/>
      <c r="Z516" s="1122"/>
      <c r="AA516" s="1122"/>
      <c r="AB516" s="1122"/>
      <c r="AC516" s="1122"/>
      <c r="AD516" s="1123">
        <f t="shared" si="51"/>
        <v>0</v>
      </c>
      <c r="AE516" s="637">
        <f t="shared" si="52"/>
        <v>-1</v>
      </c>
      <c r="AF516" s="638">
        <f t="shared" si="53"/>
        <v>394</v>
      </c>
    </row>
    <row r="517" spans="1:32" x14ac:dyDescent="0.3">
      <c r="A517" s="555" t="s">
        <v>759</v>
      </c>
      <c r="B517" s="693" t="s">
        <v>259</v>
      </c>
      <c r="C517" s="530">
        <v>43380</v>
      </c>
      <c r="D517" s="529"/>
      <c r="E517" s="529">
        <v>0</v>
      </c>
      <c r="F517" s="529">
        <v>0</v>
      </c>
      <c r="G517" s="529">
        <v>0</v>
      </c>
      <c r="H517" s="529">
        <v>0</v>
      </c>
      <c r="I517" s="529">
        <v>0</v>
      </c>
      <c r="J517" s="529">
        <v>17350</v>
      </c>
      <c r="K517" s="529">
        <v>17350</v>
      </c>
      <c r="L517" s="529">
        <v>0</v>
      </c>
      <c r="M517" s="529">
        <v>0</v>
      </c>
      <c r="N517" s="529">
        <v>0</v>
      </c>
      <c r="O517" s="529">
        <v>34700</v>
      </c>
      <c r="P517" s="1498">
        <f t="shared" si="50"/>
        <v>60730</v>
      </c>
      <c r="Q517" s="711">
        <f t="shared" si="54"/>
        <v>95430</v>
      </c>
      <c r="R517" s="1121">
        <v>17350</v>
      </c>
      <c r="S517" s="1122" t="s">
        <v>251</v>
      </c>
      <c r="T517" s="1122">
        <v>0</v>
      </c>
      <c r="U517" s="1122">
        <v>0</v>
      </c>
      <c r="V517" s="1122">
        <v>0</v>
      </c>
      <c r="W517" s="1122">
        <v>0</v>
      </c>
      <c r="X517" s="1122">
        <v>0</v>
      </c>
      <c r="Y517" s="1122">
        <v>0</v>
      </c>
      <c r="Z517" s="1122"/>
      <c r="AA517" s="1122"/>
      <c r="AB517" s="1122"/>
      <c r="AC517" s="1122"/>
      <c r="AD517" s="1123">
        <f t="shared" si="51"/>
        <v>17350</v>
      </c>
      <c r="AE517" s="637">
        <f t="shared" si="52"/>
        <v>-0.71430923760908938</v>
      </c>
      <c r="AF517" s="638">
        <f t="shared" si="53"/>
        <v>385</v>
      </c>
    </row>
    <row r="518" spans="1:32" x14ac:dyDescent="0.3">
      <c r="A518" s="555" t="s">
        <v>759</v>
      </c>
      <c r="B518" s="693" t="s">
        <v>767</v>
      </c>
      <c r="C518" s="530"/>
      <c r="D518" s="529"/>
      <c r="E518" s="529">
        <v>0</v>
      </c>
      <c r="F518" s="529">
        <v>0</v>
      </c>
      <c r="G518" s="529">
        <v>38760</v>
      </c>
      <c r="H518" s="529">
        <v>0</v>
      </c>
      <c r="I518" s="529">
        <v>0</v>
      </c>
      <c r="J518" s="529">
        <v>0</v>
      </c>
      <c r="K518" s="529">
        <v>0</v>
      </c>
      <c r="L518" s="529">
        <v>0</v>
      </c>
      <c r="M518" s="529">
        <v>0</v>
      </c>
      <c r="N518" s="529">
        <v>0</v>
      </c>
      <c r="O518" s="529">
        <v>0</v>
      </c>
      <c r="P518" s="1498">
        <f t="shared" si="50"/>
        <v>38760</v>
      </c>
      <c r="Q518" s="711">
        <f t="shared" si="54"/>
        <v>38760</v>
      </c>
      <c r="R518" s="1121" t="s">
        <v>251</v>
      </c>
      <c r="S518" s="1122" t="s">
        <v>251</v>
      </c>
      <c r="T518" s="1122"/>
      <c r="U518" s="1122"/>
      <c r="V518" s="1122"/>
      <c r="W518" s="1122"/>
      <c r="X518" s="1122"/>
      <c r="Y518" s="1122"/>
      <c r="Z518" s="1122"/>
      <c r="AA518" s="1122"/>
      <c r="AB518" s="1122"/>
      <c r="AC518" s="1122"/>
      <c r="AD518" s="1123">
        <f t="shared" si="51"/>
        <v>0</v>
      </c>
      <c r="AE518" s="637">
        <f t="shared" si="52"/>
        <v>-1</v>
      </c>
      <c r="AF518" s="638">
        <f t="shared" si="53"/>
        <v>394</v>
      </c>
    </row>
    <row r="519" spans="1:32" x14ac:dyDescent="0.3">
      <c r="A519" s="555" t="s">
        <v>759</v>
      </c>
      <c r="B519" s="693" t="s">
        <v>768</v>
      </c>
      <c r="C519" s="530"/>
      <c r="D519" s="529"/>
      <c r="E519" s="529" t="s">
        <v>251</v>
      </c>
      <c r="F519" s="529" t="s">
        <v>251</v>
      </c>
      <c r="G519" s="529">
        <v>31500</v>
      </c>
      <c r="H519" s="529">
        <v>44100</v>
      </c>
      <c r="I519" s="529">
        <v>88200</v>
      </c>
      <c r="J519" s="529">
        <v>0</v>
      </c>
      <c r="K519" s="529">
        <v>0</v>
      </c>
      <c r="L519" s="529">
        <v>0</v>
      </c>
      <c r="M519" s="529">
        <v>12600</v>
      </c>
      <c r="N519" s="529">
        <v>31500</v>
      </c>
      <c r="O519" s="529">
        <v>0</v>
      </c>
      <c r="P519" s="1498">
        <f t="shared" si="50"/>
        <v>163800</v>
      </c>
      <c r="Q519" s="711">
        <f t="shared" si="54"/>
        <v>207900</v>
      </c>
      <c r="R519" s="1121" t="s">
        <v>251</v>
      </c>
      <c r="S519" s="1122" t="s">
        <v>251</v>
      </c>
      <c r="T519" s="1122"/>
      <c r="U519" s="1122">
        <v>45550</v>
      </c>
      <c r="V519" s="1122">
        <v>0</v>
      </c>
      <c r="W519" s="1122">
        <v>0</v>
      </c>
      <c r="X519" s="1122">
        <v>0</v>
      </c>
      <c r="Y519" s="1122">
        <v>0</v>
      </c>
      <c r="Z519" s="1122"/>
      <c r="AA519" s="1122"/>
      <c r="AB519" s="1122"/>
      <c r="AC519" s="1122"/>
      <c r="AD519" s="1123">
        <f t="shared" si="51"/>
        <v>45550</v>
      </c>
      <c r="AE519" s="637">
        <f t="shared" si="52"/>
        <v>-0.72191697191697191</v>
      </c>
      <c r="AF519" s="638">
        <f t="shared" si="53"/>
        <v>368</v>
      </c>
    </row>
    <row r="520" spans="1:32" x14ac:dyDescent="0.3">
      <c r="A520" s="555" t="s">
        <v>759</v>
      </c>
      <c r="B520" s="693" t="s">
        <v>769</v>
      </c>
      <c r="C520" s="530"/>
      <c r="D520" s="529"/>
      <c r="E520" s="529">
        <v>20860</v>
      </c>
      <c r="F520" s="529">
        <v>0</v>
      </c>
      <c r="G520" s="529">
        <v>0</v>
      </c>
      <c r="H520" s="529">
        <v>0</v>
      </c>
      <c r="I520" s="529">
        <v>0</v>
      </c>
      <c r="J520" s="529">
        <v>0</v>
      </c>
      <c r="K520" s="529">
        <v>0</v>
      </c>
      <c r="L520" s="529">
        <v>0</v>
      </c>
      <c r="M520" s="529">
        <v>0</v>
      </c>
      <c r="N520" s="529">
        <v>0</v>
      </c>
      <c r="O520" s="529">
        <v>0</v>
      </c>
      <c r="P520" s="1498">
        <f t="shared" si="50"/>
        <v>20860</v>
      </c>
      <c r="Q520" s="711">
        <f t="shared" si="54"/>
        <v>20860</v>
      </c>
      <c r="R520" s="1121" t="s">
        <v>251</v>
      </c>
      <c r="S520" s="1122" t="s">
        <v>251</v>
      </c>
      <c r="T520" s="1122"/>
      <c r="U520" s="1122"/>
      <c r="V520" s="1122"/>
      <c r="W520" s="1122"/>
      <c r="X520" s="1122"/>
      <c r="Y520" s="1122"/>
      <c r="Z520" s="1122"/>
      <c r="AA520" s="1122"/>
      <c r="AB520" s="1122"/>
      <c r="AC520" s="1122"/>
      <c r="AD520" s="1123">
        <f t="shared" si="51"/>
        <v>0</v>
      </c>
      <c r="AE520" s="637">
        <f t="shared" si="52"/>
        <v>-1</v>
      </c>
      <c r="AF520" s="638">
        <f t="shared" si="53"/>
        <v>394</v>
      </c>
    </row>
    <row r="521" spans="1:32" x14ac:dyDescent="0.3">
      <c r="A521" s="555" t="s">
        <v>759</v>
      </c>
      <c r="B521" s="693" t="s">
        <v>770</v>
      </c>
      <c r="C521" s="530">
        <v>13880</v>
      </c>
      <c r="D521" s="529"/>
      <c r="E521" s="529">
        <v>0</v>
      </c>
      <c r="F521" s="529">
        <v>0</v>
      </c>
      <c r="G521" s="529">
        <v>0</v>
      </c>
      <c r="H521" s="529">
        <v>1136220</v>
      </c>
      <c r="I521" s="529">
        <v>336350</v>
      </c>
      <c r="J521" s="529">
        <v>0</v>
      </c>
      <c r="K521" s="529">
        <v>0</v>
      </c>
      <c r="L521" s="529">
        <v>0</v>
      </c>
      <c r="M521" s="529">
        <v>0</v>
      </c>
      <c r="N521" s="529">
        <v>0</v>
      </c>
      <c r="O521" s="529">
        <v>0</v>
      </c>
      <c r="P521" s="1498">
        <f t="shared" si="50"/>
        <v>1486450</v>
      </c>
      <c r="Q521" s="711">
        <f t="shared" si="54"/>
        <v>1486450</v>
      </c>
      <c r="R521" s="1121" t="s">
        <v>251</v>
      </c>
      <c r="S521" s="1122" t="s">
        <v>251</v>
      </c>
      <c r="T521" s="1122"/>
      <c r="U521" s="1122"/>
      <c r="V521" s="1122"/>
      <c r="W521" s="1122"/>
      <c r="X521" s="1122"/>
      <c r="Y521" s="1122"/>
      <c r="Z521" s="1122"/>
      <c r="AA521" s="1122"/>
      <c r="AB521" s="1122"/>
      <c r="AC521" s="1122"/>
      <c r="AD521" s="1123">
        <f t="shared" si="51"/>
        <v>0</v>
      </c>
      <c r="AE521" s="637">
        <f t="shared" si="52"/>
        <v>-1</v>
      </c>
      <c r="AF521" s="638">
        <f t="shared" si="53"/>
        <v>394</v>
      </c>
    </row>
    <row r="522" spans="1:32" x14ac:dyDescent="0.3">
      <c r="A522" s="555" t="s">
        <v>759</v>
      </c>
      <c r="B522" s="693" t="s">
        <v>621</v>
      </c>
      <c r="C522" s="530"/>
      <c r="D522" s="529">
        <v>12600</v>
      </c>
      <c r="E522" s="529">
        <v>0</v>
      </c>
      <c r="F522" s="529">
        <v>0</v>
      </c>
      <c r="G522" s="529">
        <v>0</v>
      </c>
      <c r="H522" s="529">
        <v>18900</v>
      </c>
      <c r="I522" s="529">
        <v>28800</v>
      </c>
      <c r="J522" s="529">
        <v>42840</v>
      </c>
      <c r="K522" s="529">
        <v>42840</v>
      </c>
      <c r="L522" s="529">
        <v>15120</v>
      </c>
      <c r="M522" s="529">
        <v>162000</v>
      </c>
      <c r="N522" s="529">
        <v>0</v>
      </c>
      <c r="O522" s="529">
        <v>0</v>
      </c>
      <c r="P522" s="1498">
        <f t="shared" ref="P522:P585" si="55">SUM(C522:I522,K522)</f>
        <v>103140</v>
      </c>
      <c r="Q522" s="711">
        <f t="shared" si="54"/>
        <v>280260</v>
      </c>
      <c r="R522" s="1121" t="s">
        <v>251</v>
      </c>
      <c r="S522" s="1122" t="s">
        <v>251</v>
      </c>
      <c r="T522" s="1122"/>
      <c r="U522" s="1122">
        <v>9360</v>
      </c>
      <c r="V522" s="1122">
        <v>8190</v>
      </c>
      <c r="W522" s="1122">
        <v>242580</v>
      </c>
      <c r="X522" s="1122">
        <v>43090</v>
      </c>
      <c r="Y522" s="1122">
        <v>35310</v>
      </c>
      <c r="Z522" s="1122"/>
      <c r="AA522" s="1122"/>
      <c r="AB522" s="1122"/>
      <c r="AC522" s="1122"/>
      <c r="AD522" s="1123">
        <f t="shared" si="51"/>
        <v>338530</v>
      </c>
      <c r="AE522" s="637">
        <f t="shared" si="52"/>
        <v>2.2822377351173162</v>
      </c>
      <c r="AF522" s="638">
        <f t="shared" si="53"/>
        <v>285</v>
      </c>
    </row>
    <row r="523" spans="1:32" x14ac:dyDescent="0.3">
      <c r="A523" s="555" t="s">
        <v>759</v>
      </c>
      <c r="B523" s="693" t="s">
        <v>654</v>
      </c>
      <c r="C523" s="530"/>
      <c r="D523" s="529"/>
      <c r="E523" s="529" t="s">
        <v>251</v>
      </c>
      <c r="F523" s="529" t="s">
        <v>251</v>
      </c>
      <c r="G523" s="529" t="s">
        <v>251</v>
      </c>
      <c r="H523" s="529" t="s">
        <v>251</v>
      </c>
      <c r="I523" s="529" t="s">
        <v>251</v>
      </c>
      <c r="J523" s="529" t="s">
        <v>251</v>
      </c>
      <c r="K523" s="529"/>
      <c r="L523" s="529" t="s">
        <v>251</v>
      </c>
      <c r="M523" s="529" t="s">
        <v>251</v>
      </c>
      <c r="N523" s="529" t="s">
        <v>251</v>
      </c>
      <c r="O523" s="529" t="s">
        <v>251</v>
      </c>
      <c r="P523" s="1498">
        <f t="shared" si="55"/>
        <v>0</v>
      </c>
      <c r="Q523" s="711">
        <f t="shared" si="54"/>
        <v>0</v>
      </c>
      <c r="R523" s="1121" t="s">
        <v>251</v>
      </c>
      <c r="S523" s="1122" t="s">
        <v>251</v>
      </c>
      <c r="T523" s="1122"/>
      <c r="U523" s="1122"/>
      <c r="V523" s="1122"/>
      <c r="W523" s="1122"/>
      <c r="X523" s="1122"/>
      <c r="Y523" s="1122"/>
      <c r="Z523" s="1122"/>
      <c r="AA523" s="1122"/>
      <c r="AB523" s="1122"/>
      <c r="AC523" s="1122"/>
      <c r="AD523" s="1123">
        <f t="shared" si="51"/>
        <v>0</v>
      </c>
      <c r="AE523" s="637">
        <f t="shared" si="52"/>
        <v>0</v>
      </c>
      <c r="AF523" s="638">
        <f t="shared" si="53"/>
        <v>394</v>
      </c>
    </row>
    <row r="524" spans="1:32" x14ac:dyDescent="0.3">
      <c r="A524" s="555" t="s">
        <v>759</v>
      </c>
      <c r="B524" s="693" t="s">
        <v>649</v>
      </c>
      <c r="C524" s="530"/>
      <c r="D524" s="529"/>
      <c r="E524" s="529">
        <v>0</v>
      </c>
      <c r="F524" s="529">
        <v>126000</v>
      </c>
      <c r="G524" s="529">
        <v>0</v>
      </c>
      <c r="H524" s="529">
        <v>0</v>
      </c>
      <c r="I524" s="529">
        <v>21600</v>
      </c>
      <c r="J524" s="529">
        <v>0</v>
      </c>
      <c r="K524" s="529">
        <v>0</v>
      </c>
      <c r="L524" s="529">
        <v>0</v>
      </c>
      <c r="M524" s="529">
        <v>0</v>
      </c>
      <c r="N524" s="529">
        <v>0</v>
      </c>
      <c r="O524" s="529">
        <v>0</v>
      </c>
      <c r="P524" s="1498">
        <f t="shared" si="55"/>
        <v>147600</v>
      </c>
      <c r="Q524" s="711">
        <f t="shared" si="54"/>
        <v>147600</v>
      </c>
      <c r="R524" s="1121" t="s">
        <v>251</v>
      </c>
      <c r="S524" s="1122" t="s">
        <v>251</v>
      </c>
      <c r="T524" s="1122"/>
      <c r="U524" s="1122"/>
      <c r="V524" s="1122"/>
      <c r="W524" s="1122"/>
      <c r="X524" s="1122"/>
      <c r="Y524" s="1122"/>
      <c r="Z524" s="1122"/>
      <c r="AA524" s="1122"/>
      <c r="AB524" s="1122"/>
      <c r="AC524" s="1122"/>
      <c r="AD524" s="1123">
        <f t="shared" si="51"/>
        <v>0</v>
      </c>
      <c r="AE524" s="637">
        <f t="shared" si="52"/>
        <v>-1</v>
      </c>
      <c r="AF524" s="638">
        <f t="shared" si="53"/>
        <v>394</v>
      </c>
    </row>
    <row r="525" spans="1:32" x14ac:dyDescent="0.3">
      <c r="A525" s="555" t="s">
        <v>759</v>
      </c>
      <c r="B525" s="693" t="s">
        <v>657</v>
      </c>
      <c r="C525" s="530"/>
      <c r="D525" s="529"/>
      <c r="E525" s="529">
        <v>0</v>
      </c>
      <c r="F525" s="529">
        <v>0</v>
      </c>
      <c r="G525" s="529">
        <v>0</v>
      </c>
      <c r="H525" s="529">
        <v>615600</v>
      </c>
      <c r="I525" s="529">
        <v>369900</v>
      </c>
      <c r="J525" s="529">
        <v>692640</v>
      </c>
      <c r="K525" s="529">
        <v>0</v>
      </c>
      <c r="L525" s="529">
        <v>115560</v>
      </c>
      <c r="M525" s="529">
        <v>0</v>
      </c>
      <c r="N525" s="529">
        <v>0</v>
      </c>
      <c r="O525" s="529">
        <v>0</v>
      </c>
      <c r="P525" s="1498">
        <f t="shared" si="55"/>
        <v>985500</v>
      </c>
      <c r="Q525" s="711">
        <f t="shared" si="54"/>
        <v>1793700</v>
      </c>
      <c r="R525" s="1121">
        <v>40860</v>
      </c>
      <c r="S525" s="1122" t="s">
        <v>251</v>
      </c>
      <c r="T525" s="1122">
        <v>0</v>
      </c>
      <c r="U525" s="1122">
        <v>185250</v>
      </c>
      <c r="V525" s="1122">
        <v>297370</v>
      </c>
      <c r="W525" s="1122">
        <v>273970</v>
      </c>
      <c r="X525" s="1122">
        <v>0</v>
      </c>
      <c r="Y525" s="1122">
        <v>0</v>
      </c>
      <c r="Z525" s="1122"/>
      <c r="AA525" s="1122"/>
      <c r="AB525" s="1122"/>
      <c r="AC525" s="1122"/>
      <c r="AD525" s="1123">
        <f t="shared" si="51"/>
        <v>797450</v>
      </c>
      <c r="AE525" s="637">
        <f t="shared" si="52"/>
        <v>-0.19081684424150178</v>
      </c>
      <c r="AF525" s="638">
        <f t="shared" si="53"/>
        <v>218</v>
      </c>
    </row>
    <row r="526" spans="1:32" x14ac:dyDescent="0.3">
      <c r="A526" s="555" t="s">
        <v>759</v>
      </c>
      <c r="B526" s="693" t="s">
        <v>771</v>
      </c>
      <c r="C526" s="530"/>
      <c r="D526" s="529"/>
      <c r="E526" s="529" t="s">
        <v>251</v>
      </c>
      <c r="F526" s="529" t="s">
        <v>251</v>
      </c>
      <c r="G526" s="529" t="s">
        <v>251</v>
      </c>
      <c r="H526" s="529" t="s">
        <v>251</v>
      </c>
      <c r="I526" s="529" t="s">
        <v>251</v>
      </c>
      <c r="J526" s="529" t="s">
        <v>251</v>
      </c>
      <c r="K526" s="529"/>
      <c r="L526" s="529" t="s">
        <v>251</v>
      </c>
      <c r="M526" s="529" t="s">
        <v>251</v>
      </c>
      <c r="N526" s="529" t="s">
        <v>251</v>
      </c>
      <c r="O526" s="529" t="s">
        <v>251</v>
      </c>
      <c r="P526" s="1498">
        <f t="shared" si="55"/>
        <v>0</v>
      </c>
      <c r="Q526" s="711">
        <f t="shared" si="54"/>
        <v>0</v>
      </c>
      <c r="R526" s="1121" t="s">
        <v>251</v>
      </c>
      <c r="S526" s="1122" t="s">
        <v>251</v>
      </c>
      <c r="T526" s="1122"/>
      <c r="U526" s="1122"/>
      <c r="V526" s="1122"/>
      <c r="W526" s="1122"/>
      <c r="X526" s="1122"/>
      <c r="Y526" s="1122"/>
      <c r="Z526" s="1122"/>
      <c r="AA526" s="1122"/>
      <c r="AB526" s="1122"/>
      <c r="AC526" s="1122"/>
      <c r="AD526" s="1123">
        <f t="shared" si="51"/>
        <v>0</v>
      </c>
      <c r="AE526" s="637">
        <f t="shared" si="52"/>
        <v>0</v>
      </c>
      <c r="AF526" s="638">
        <f t="shared" si="53"/>
        <v>394</v>
      </c>
    </row>
    <row r="527" spans="1:32" x14ac:dyDescent="0.3">
      <c r="A527" s="555" t="s">
        <v>759</v>
      </c>
      <c r="B527" s="693" t="s">
        <v>772</v>
      </c>
      <c r="C527" s="530"/>
      <c r="D527" s="529"/>
      <c r="E527" s="529" t="s">
        <v>251</v>
      </c>
      <c r="F527" s="529" t="s">
        <v>251</v>
      </c>
      <c r="G527" s="529" t="s">
        <v>251</v>
      </c>
      <c r="H527" s="529" t="s">
        <v>251</v>
      </c>
      <c r="I527" s="529" t="s">
        <v>251</v>
      </c>
      <c r="J527" s="529" t="s">
        <v>251</v>
      </c>
      <c r="K527" s="529"/>
      <c r="L527" s="529" t="s">
        <v>251</v>
      </c>
      <c r="M527" s="529" t="s">
        <v>251</v>
      </c>
      <c r="N527" s="529" t="s">
        <v>251</v>
      </c>
      <c r="O527" s="529" t="s">
        <v>251</v>
      </c>
      <c r="P527" s="1498">
        <f t="shared" si="55"/>
        <v>0</v>
      </c>
      <c r="Q527" s="711">
        <f t="shared" si="54"/>
        <v>0</v>
      </c>
      <c r="R527" s="1121" t="s">
        <v>251</v>
      </c>
      <c r="S527" s="1122" t="s">
        <v>251</v>
      </c>
      <c r="T527" s="1122"/>
      <c r="U527" s="1122"/>
      <c r="V527" s="1122"/>
      <c r="W527" s="1122"/>
      <c r="X527" s="1122"/>
      <c r="Y527" s="1122"/>
      <c r="Z527" s="1122"/>
      <c r="AA527" s="1122"/>
      <c r="AB527" s="1122"/>
      <c r="AC527" s="1122"/>
      <c r="AD527" s="1123">
        <f t="shared" si="51"/>
        <v>0</v>
      </c>
      <c r="AE527" s="637">
        <f t="shared" si="52"/>
        <v>0</v>
      </c>
      <c r="AF527" s="638">
        <f t="shared" si="53"/>
        <v>394</v>
      </c>
    </row>
    <row r="528" spans="1:32" x14ac:dyDescent="0.3">
      <c r="A528" s="555" t="s">
        <v>759</v>
      </c>
      <c r="B528" s="693" t="s">
        <v>773</v>
      </c>
      <c r="C528" s="530"/>
      <c r="D528" s="529"/>
      <c r="E528" s="529" t="s">
        <v>251</v>
      </c>
      <c r="F528" s="529" t="s">
        <v>251</v>
      </c>
      <c r="G528" s="529" t="s">
        <v>251</v>
      </c>
      <c r="H528" s="529" t="s">
        <v>251</v>
      </c>
      <c r="I528" s="529" t="s">
        <v>251</v>
      </c>
      <c r="J528" s="529" t="s">
        <v>251</v>
      </c>
      <c r="K528" s="529"/>
      <c r="L528" s="529" t="s">
        <v>251</v>
      </c>
      <c r="M528" s="529" t="s">
        <v>251</v>
      </c>
      <c r="N528" s="529" t="s">
        <v>251</v>
      </c>
      <c r="O528" s="529" t="s">
        <v>251</v>
      </c>
      <c r="P528" s="1498">
        <f t="shared" si="55"/>
        <v>0</v>
      </c>
      <c r="Q528" s="711">
        <f t="shared" si="54"/>
        <v>0</v>
      </c>
      <c r="R528" s="1121" t="s">
        <v>251</v>
      </c>
      <c r="S528" s="1122" t="s">
        <v>251</v>
      </c>
      <c r="T528" s="1122"/>
      <c r="U528" s="1122"/>
      <c r="V528" s="1122"/>
      <c r="W528" s="1122"/>
      <c r="X528" s="1122"/>
      <c r="Y528" s="1122"/>
      <c r="Z528" s="1122"/>
      <c r="AA528" s="1122"/>
      <c r="AB528" s="1122"/>
      <c r="AC528" s="1122"/>
      <c r="AD528" s="1123">
        <f t="shared" si="51"/>
        <v>0</v>
      </c>
      <c r="AE528" s="637">
        <f t="shared" si="52"/>
        <v>0</v>
      </c>
      <c r="AF528" s="638">
        <f t="shared" si="53"/>
        <v>394</v>
      </c>
    </row>
    <row r="529" spans="1:32" x14ac:dyDescent="0.3">
      <c r="A529" s="555" t="s">
        <v>759</v>
      </c>
      <c r="B529" s="693" t="s">
        <v>774</v>
      </c>
      <c r="C529" s="530"/>
      <c r="D529" s="529"/>
      <c r="E529" s="529" t="s">
        <v>251</v>
      </c>
      <c r="F529" s="529" t="s">
        <v>251</v>
      </c>
      <c r="G529" s="529" t="s">
        <v>251</v>
      </c>
      <c r="H529" s="529" t="s">
        <v>251</v>
      </c>
      <c r="I529" s="529" t="s">
        <v>251</v>
      </c>
      <c r="J529" s="529" t="s">
        <v>251</v>
      </c>
      <c r="K529" s="529"/>
      <c r="L529" s="529" t="s">
        <v>251</v>
      </c>
      <c r="M529" s="529" t="s">
        <v>251</v>
      </c>
      <c r="N529" s="529" t="s">
        <v>251</v>
      </c>
      <c r="O529" s="529" t="s">
        <v>251</v>
      </c>
      <c r="P529" s="1498">
        <f t="shared" si="55"/>
        <v>0</v>
      </c>
      <c r="Q529" s="711">
        <f t="shared" si="54"/>
        <v>0</v>
      </c>
      <c r="R529" s="1121" t="s">
        <v>251</v>
      </c>
      <c r="S529" s="1122" t="s">
        <v>251</v>
      </c>
      <c r="T529" s="1122"/>
      <c r="U529" s="1122"/>
      <c r="V529" s="1122">
        <v>228140</v>
      </c>
      <c r="W529" s="1122">
        <v>134940</v>
      </c>
      <c r="X529" s="1122">
        <v>0</v>
      </c>
      <c r="Y529" s="1122">
        <v>0</v>
      </c>
      <c r="Z529" s="1122"/>
      <c r="AA529" s="1122"/>
      <c r="AB529" s="1122"/>
      <c r="AC529" s="1122"/>
      <c r="AD529" s="1123">
        <f t="shared" si="51"/>
        <v>363080</v>
      </c>
      <c r="AE529" s="637">
        <f t="shared" si="52"/>
        <v>1</v>
      </c>
      <c r="AF529" s="638">
        <f t="shared" si="53"/>
        <v>281</v>
      </c>
    </row>
    <row r="530" spans="1:32" x14ac:dyDescent="0.3">
      <c r="A530" s="555" t="s">
        <v>759</v>
      </c>
      <c r="B530" s="693" t="s">
        <v>670</v>
      </c>
      <c r="C530" s="530"/>
      <c r="D530" s="529"/>
      <c r="E530" s="529" t="s">
        <v>251</v>
      </c>
      <c r="F530" s="529" t="s">
        <v>251</v>
      </c>
      <c r="G530" s="529" t="s">
        <v>251</v>
      </c>
      <c r="H530" s="529" t="s">
        <v>251</v>
      </c>
      <c r="I530" s="529" t="s">
        <v>251</v>
      </c>
      <c r="J530" s="529" t="s">
        <v>251</v>
      </c>
      <c r="K530" s="529"/>
      <c r="L530" s="529" t="s">
        <v>251</v>
      </c>
      <c r="M530" s="529" t="s">
        <v>251</v>
      </c>
      <c r="N530" s="529" t="s">
        <v>251</v>
      </c>
      <c r="O530" s="529" t="s">
        <v>251</v>
      </c>
      <c r="P530" s="1498">
        <f t="shared" si="55"/>
        <v>0</v>
      </c>
      <c r="Q530" s="711">
        <f t="shared" si="54"/>
        <v>0</v>
      </c>
      <c r="R530" s="1121" t="s">
        <v>251</v>
      </c>
      <c r="S530" s="1122" t="s">
        <v>251</v>
      </c>
      <c r="T530" s="1122"/>
      <c r="U530" s="1122"/>
      <c r="V530" s="1122"/>
      <c r="W530" s="1122"/>
      <c r="X530" s="1122"/>
      <c r="Y530" s="1122"/>
      <c r="Z530" s="1122"/>
      <c r="AA530" s="1122"/>
      <c r="AB530" s="1122"/>
      <c r="AC530" s="1122"/>
      <c r="AD530" s="1123">
        <f t="shared" si="51"/>
        <v>0</v>
      </c>
      <c r="AE530" s="637">
        <f t="shared" si="52"/>
        <v>0</v>
      </c>
      <c r="AF530" s="638">
        <f t="shared" si="53"/>
        <v>394</v>
      </c>
    </row>
    <row r="531" spans="1:32" x14ac:dyDescent="0.3">
      <c r="A531" s="555" t="s">
        <v>759</v>
      </c>
      <c r="B531" s="693" t="s">
        <v>306</v>
      </c>
      <c r="C531" s="530"/>
      <c r="D531" s="529"/>
      <c r="E531" s="529" t="s">
        <v>251</v>
      </c>
      <c r="F531" s="529" t="s">
        <v>251</v>
      </c>
      <c r="G531" s="529" t="s">
        <v>251</v>
      </c>
      <c r="H531" s="529" t="s">
        <v>251</v>
      </c>
      <c r="I531" s="529" t="s">
        <v>251</v>
      </c>
      <c r="J531" s="529" t="s">
        <v>251</v>
      </c>
      <c r="K531" s="529"/>
      <c r="L531" s="529" t="s">
        <v>251</v>
      </c>
      <c r="M531" s="529" t="s">
        <v>251</v>
      </c>
      <c r="N531" s="529" t="s">
        <v>251</v>
      </c>
      <c r="O531" s="529" t="s">
        <v>251</v>
      </c>
      <c r="P531" s="1498">
        <f t="shared" si="55"/>
        <v>0</v>
      </c>
      <c r="Q531" s="711">
        <f t="shared" si="54"/>
        <v>0</v>
      </c>
      <c r="R531" s="1121" t="s">
        <v>251</v>
      </c>
      <c r="S531" s="1122" t="s">
        <v>251</v>
      </c>
      <c r="T531" s="1122"/>
      <c r="U531" s="1122"/>
      <c r="V531" s="1122"/>
      <c r="W531" s="1122"/>
      <c r="X531" s="1122"/>
      <c r="Y531" s="1122"/>
      <c r="Z531" s="1122"/>
      <c r="AA531" s="1122"/>
      <c r="AB531" s="1122"/>
      <c r="AC531" s="1122"/>
      <c r="AD531" s="1123">
        <f t="shared" ref="AD531:AD594" si="56">SUM(R531:AC531)</f>
        <v>0</v>
      </c>
      <c r="AE531" s="637">
        <f t="shared" si="52"/>
        <v>0</v>
      </c>
      <c r="AF531" s="638">
        <f t="shared" si="53"/>
        <v>394</v>
      </c>
    </row>
    <row r="532" spans="1:32" x14ac:dyDescent="0.3">
      <c r="A532" s="555" t="s">
        <v>759</v>
      </c>
      <c r="B532" s="693" t="s">
        <v>775</v>
      </c>
      <c r="C532" s="530"/>
      <c r="D532" s="529"/>
      <c r="E532" s="529">
        <v>0</v>
      </c>
      <c r="F532" s="529">
        <v>0</v>
      </c>
      <c r="G532" s="529">
        <v>0</v>
      </c>
      <c r="H532" s="529">
        <v>116570</v>
      </c>
      <c r="I532" s="529">
        <v>0</v>
      </c>
      <c r="J532" s="529">
        <v>202430</v>
      </c>
      <c r="K532" s="529">
        <v>202430</v>
      </c>
      <c r="L532" s="529">
        <v>0</v>
      </c>
      <c r="M532" s="529">
        <v>0</v>
      </c>
      <c r="N532" s="529">
        <v>71930</v>
      </c>
      <c r="O532" s="529">
        <v>0</v>
      </c>
      <c r="P532" s="1498">
        <f t="shared" si="55"/>
        <v>319000</v>
      </c>
      <c r="Q532" s="711">
        <f t="shared" si="54"/>
        <v>390930</v>
      </c>
      <c r="R532" s="1121" t="s">
        <v>251</v>
      </c>
      <c r="S532" s="1122" t="s">
        <v>251</v>
      </c>
      <c r="T532" s="1122"/>
      <c r="U532" s="1122"/>
      <c r="V532" s="1122"/>
      <c r="W532" s="1122">
        <v>78320</v>
      </c>
      <c r="X532" s="1122">
        <v>153140</v>
      </c>
      <c r="Y532" s="1122">
        <v>0</v>
      </c>
      <c r="Z532" s="1122"/>
      <c r="AA532" s="1122"/>
      <c r="AB532" s="1122"/>
      <c r="AC532" s="1122"/>
      <c r="AD532" s="1123">
        <f t="shared" si="56"/>
        <v>231460</v>
      </c>
      <c r="AE532" s="637">
        <f t="shared" si="52"/>
        <v>-0.27442006269592478</v>
      </c>
      <c r="AF532" s="638">
        <f t="shared" si="53"/>
        <v>308</v>
      </c>
    </row>
    <row r="533" spans="1:32" x14ac:dyDescent="0.3">
      <c r="A533" s="555" t="s">
        <v>759</v>
      </c>
      <c r="B533" s="693" t="s">
        <v>776</v>
      </c>
      <c r="C533" s="530"/>
      <c r="D533" s="529"/>
      <c r="E533" s="529" t="s">
        <v>251</v>
      </c>
      <c r="F533" s="529" t="s">
        <v>251</v>
      </c>
      <c r="G533" s="529" t="s">
        <v>251</v>
      </c>
      <c r="H533" s="529" t="s">
        <v>251</v>
      </c>
      <c r="I533" s="529" t="s">
        <v>251</v>
      </c>
      <c r="J533" s="529" t="s">
        <v>251</v>
      </c>
      <c r="K533" s="529"/>
      <c r="L533" s="529" t="s">
        <v>251</v>
      </c>
      <c r="M533" s="529" t="s">
        <v>251</v>
      </c>
      <c r="N533" s="529" t="s">
        <v>251</v>
      </c>
      <c r="O533" s="529" t="s">
        <v>251</v>
      </c>
      <c r="P533" s="1498">
        <f t="shared" si="55"/>
        <v>0</v>
      </c>
      <c r="Q533" s="711">
        <f t="shared" si="54"/>
        <v>0</v>
      </c>
      <c r="R533" s="1121" t="s">
        <v>251</v>
      </c>
      <c r="S533" s="1122" t="s">
        <v>251</v>
      </c>
      <c r="T533" s="1122"/>
      <c r="U533" s="1122"/>
      <c r="V533" s="1122"/>
      <c r="W533" s="1122"/>
      <c r="X533" s="1122"/>
      <c r="Y533" s="1122"/>
      <c r="Z533" s="1122"/>
      <c r="AA533" s="1122"/>
      <c r="AB533" s="1122"/>
      <c r="AC533" s="1122"/>
      <c r="AD533" s="1123">
        <f t="shared" si="56"/>
        <v>0</v>
      </c>
      <c r="AE533" s="637">
        <f t="shared" si="52"/>
        <v>0</v>
      </c>
      <c r="AF533" s="638">
        <f t="shared" si="53"/>
        <v>394</v>
      </c>
    </row>
    <row r="534" spans="1:32" x14ac:dyDescent="0.3">
      <c r="A534" s="555" t="s">
        <v>759</v>
      </c>
      <c r="B534" s="693" t="s">
        <v>777</v>
      </c>
      <c r="C534" s="530"/>
      <c r="D534" s="529"/>
      <c r="E534" s="529" t="s">
        <v>251</v>
      </c>
      <c r="F534" s="529" t="s">
        <v>251</v>
      </c>
      <c r="G534" s="529" t="s">
        <v>251</v>
      </c>
      <c r="H534" s="529" t="s">
        <v>251</v>
      </c>
      <c r="I534" s="529" t="s">
        <v>251</v>
      </c>
      <c r="J534" s="529" t="s">
        <v>251</v>
      </c>
      <c r="K534" s="529"/>
      <c r="L534" s="529" t="s">
        <v>251</v>
      </c>
      <c r="M534" s="529" t="s">
        <v>251</v>
      </c>
      <c r="N534" s="529" t="s">
        <v>251</v>
      </c>
      <c r="O534" s="529" t="s">
        <v>251</v>
      </c>
      <c r="P534" s="1498">
        <f t="shared" si="55"/>
        <v>0</v>
      </c>
      <c r="Q534" s="711">
        <f t="shared" si="54"/>
        <v>0</v>
      </c>
      <c r="R534" s="1121" t="s">
        <v>251</v>
      </c>
      <c r="S534" s="1122" t="s">
        <v>251</v>
      </c>
      <c r="T534" s="1122"/>
      <c r="U534" s="1122"/>
      <c r="V534" s="1122"/>
      <c r="W534" s="1122"/>
      <c r="X534" s="1122"/>
      <c r="Y534" s="1122"/>
      <c r="Z534" s="1122"/>
      <c r="AA534" s="1122"/>
      <c r="AB534" s="1122"/>
      <c r="AC534" s="1122"/>
      <c r="AD534" s="1123">
        <f t="shared" si="56"/>
        <v>0</v>
      </c>
      <c r="AE534" s="637">
        <f t="shared" si="52"/>
        <v>0</v>
      </c>
      <c r="AF534" s="638">
        <f t="shared" si="53"/>
        <v>394</v>
      </c>
    </row>
    <row r="535" spans="1:32" x14ac:dyDescent="0.3">
      <c r="A535" s="555" t="s">
        <v>759</v>
      </c>
      <c r="B535" s="693" t="s">
        <v>375</v>
      </c>
      <c r="C535" s="530" t="s">
        <v>251</v>
      </c>
      <c r="D535" s="529" t="s">
        <v>251</v>
      </c>
      <c r="E535" s="529" t="s">
        <v>251</v>
      </c>
      <c r="F535" s="529" t="s">
        <v>251</v>
      </c>
      <c r="G535" s="529" t="s">
        <v>251</v>
      </c>
      <c r="H535" s="529" t="s">
        <v>251</v>
      </c>
      <c r="I535" s="529" t="s">
        <v>251</v>
      </c>
      <c r="J535" s="529" t="s">
        <v>251</v>
      </c>
      <c r="K535" s="529"/>
      <c r="L535" s="529" t="s">
        <v>251</v>
      </c>
      <c r="M535" s="529" t="s">
        <v>251</v>
      </c>
      <c r="N535" s="529" t="s">
        <v>251</v>
      </c>
      <c r="O535" s="529" t="s">
        <v>251</v>
      </c>
      <c r="P535" s="1498">
        <f t="shared" si="55"/>
        <v>0</v>
      </c>
      <c r="Q535" s="711">
        <f t="shared" si="54"/>
        <v>0</v>
      </c>
      <c r="R535" s="1121" t="s">
        <v>251</v>
      </c>
      <c r="S535" s="1122" t="s">
        <v>251</v>
      </c>
      <c r="T535" s="1122"/>
      <c r="U535" s="1122"/>
      <c r="V535" s="1122"/>
      <c r="W535" s="1122"/>
      <c r="X535" s="1122"/>
      <c r="Y535" s="1122"/>
      <c r="Z535" s="1122"/>
      <c r="AA535" s="1122"/>
      <c r="AB535" s="1122"/>
      <c r="AC535" s="1122"/>
      <c r="AD535" s="1123">
        <f t="shared" si="56"/>
        <v>0</v>
      </c>
      <c r="AE535" s="637">
        <f t="shared" si="52"/>
        <v>0</v>
      </c>
      <c r="AF535" s="638">
        <f t="shared" si="53"/>
        <v>394</v>
      </c>
    </row>
    <row r="536" spans="1:32" x14ac:dyDescent="0.3">
      <c r="A536" s="555" t="s">
        <v>759</v>
      </c>
      <c r="B536" s="693" t="s">
        <v>778</v>
      </c>
      <c r="C536" s="530" t="s">
        <v>251</v>
      </c>
      <c r="D536" s="529" t="s">
        <v>251</v>
      </c>
      <c r="E536" s="529" t="s">
        <v>251</v>
      </c>
      <c r="F536" s="529" t="s">
        <v>251</v>
      </c>
      <c r="G536" s="529" t="s">
        <v>251</v>
      </c>
      <c r="H536" s="529" t="s">
        <v>251</v>
      </c>
      <c r="I536" s="529" t="s">
        <v>251</v>
      </c>
      <c r="J536" s="529" t="s">
        <v>251</v>
      </c>
      <c r="K536" s="529"/>
      <c r="L536" s="529" t="s">
        <v>251</v>
      </c>
      <c r="M536" s="529" t="s">
        <v>251</v>
      </c>
      <c r="N536" s="529" t="s">
        <v>251</v>
      </c>
      <c r="O536" s="529" t="s">
        <v>251</v>
      </c>
      <c r="P536" s="1498">
        <f t="shared" si="55"/>
        <v>0</v>
      </c>
      <c r="Q536" s="711">
        <f t="shared" si="54"/>
        <v>0</v>
      </c>
      <c r="R536" s="1121" t="s">
        <v>251</v>
      </c>
      <c r="S536" s="1122" t="s">
        <v>251</v>
      </c>
      <c r="T536" s="1122"/>
      <c r="U536" s="1122"/>
      <c r="V536" s="1122"/>
      <c r="W536" s="1122"/>
      <c r="X536" s="1122"/>
      <c r="Y536" s="1122"/>
      <c r="Z536" s="1122"/>
      <c r="AA536" s="1122"/>
      <c r="AB536" s="1122"/>
      <c r="AC536" s="1122"/>
      <c r="AD536" s="1123">
        <f t="shared" si="56"/>
        <v>0</v>
      </c>
      <c r="AE536" s="637">
        <f t="shared" si="52"/>
        <v>0</v>
      </c>
      <c r="AF536" s="638">
        <f t="shared" si="53"/>
        <v>394</v>
      </c>
    </row>
    <row r="537" spans="1:32" x14ac:dyDescent="0.3">
      <c r="A537" s="555" t="s">
        <v>759</v>
      </c>
      <c r="B537" s="693" t="s">
        <v>779</v>
      </c>
      <c r="C537" s="530" t="s">
        <v>251</v>
      </c>
      <c r="D537" s="529" t="s">
        <v>251</v>
      </c>
      <c r="E537" s="529" t="s">
        <v>251</v>
      </c>
      <c r="F537" s="529" t="s">
        <v>251</v>
      </c>
      <c r="G537" s="529" t="s">
        <v>251</v>
      </c>
      <c r="H537" s="529" t="s">
        <v>251</v>
      </c>
      <c r="I537" s="529" t="s">
        <v>251</v>
      </c>
      <c r="J537" s="529" t="s">
        <v>251</v>
      </c>
      <c r="K537" s="529"/>
      <c r="L537" s="529" t="s">
        <v>251</v>
      </c>
      <c r="M537" s="529" t="s">
        <v>251</v>
      </c>
      <c r="N537" s="529" t="s">
        <v>251</v>
      </c>
      <c r="O537" s="529" t="s">
        <v>251</v>
      </c>
      <c r="P537" s="1498">
        <f t="shared" si="55"/>
        <v>0</v>
      </c>
      <c r="Q537" s="711">
        <f t="shared" si="54"/>
        <v>0</v>
      </c>
      <c r="R537" s="1121" t="s">
        <v>251</v>
      </c>
      <c r="S537" s="1122" t="s">
        <v>251</v>
      </c>
      <c r="T537" s="1122"/>
      <c r="U537" s="1122"/>
      <c r="V537" s="1122"/>
      <c r="W537" s="1122"/>
      <c r="X537" s="1122"/>
      <c r="Y537" s="1122"/>
      <c r="Z537" s="1122"/>
      <c r="AA537" s="1122"/>
      <c r="AB537" s="1122"/>
      <c r="AC537" s="1122"/>
      <c r="AD537" s="1123">
        <f t="shared" si="56"/>
        <v>0</v>
      </c>
      <c r="AE537" s="637">
        <f t="shared" si="52"/>
        <v>0</v>
      </c>
      <c r="AF537" s="638">
        <f t="shared" si="53"/>
        <v>394</v>
      </c>
    </row>
    <row r="538" spans="1:32" x14ac:dyDescent="0.3">
      <c r="A538" s="555" t="s">
        <v>759</v>
      </c>
      <c r="B538" s="693" t="s">
        <v>1149</v>
      </c>
      <c r="C538" s="530"/>
      <c r="D538" s="529"/>
      <c r="E538" s="529" t="s">
        <v>251</v>
      </c>
      <c r="F538" s="529" t="s">
        <v>251</v>
      </c>
      <c r="G538" s="529" t="s">
        <v>251</v>
      </c>
      <c r="H538" s="529" t="s">
        <v>251</v>
      </c>
      <c r="I538" s="529" t="s">
        <v>251</v>
      </c>
      <c r="J538" s="529" t="s">
        <v>251</v>
      </c>
      <c r="K538" s="529"/>
      <c r="L538" s="529" t="s">
        <v>251</v>
      </c>
      <c r="M538" s="529" t="s">
        <v>251</v>
      </c>
      <c r="N538" s="529" t="s">
        <v>251</v>
      </c>
      <c r="O538" s="529" t="s">
        <v>251</v>
      </c>
      <c r="P538" s="1498">
        <f t="shared" si="55"/>
        <v>0</v>
      </c>
      <c r="Q538" s="711">
        <f t="shared" si="54"/>
        <v>0</v>
      </c>
      <c r="R538" s="1121" t="s">
        <v>251</v>
      </c>
      <c r="S538" s="1122" t="s">
        <v>251</v>
      </c>
      <c r="T538" s="1122"/>
      <c r="U538" s="1122"/>
      <c r="V538" s="1122"/>
      <c r="W538" s="1122"/>
      <c r="X538" s="1122"/>
      <c r="Y538" s="1122"/>
      <c r="Z538" s="1122"/>
      <c r="AA538" s="1122"/>
      <c r="AB538" s="1122"/>
      <c r="AC538" s="1122"/>
      <c r="AD538" s="1123">
        <f t="shared" si="56"/>
        <v>0</v>
      </c>
      <c r="AE538" s="637">
        <f t="shared" si="52"/>
        <v>0</v>
      </c>
      <c r="AF538" s="638">
        <f t="shared" si="53"/>
        <v>394</v>
      </c>
    </row>
    <row r="539" spans="1:32" x14ac:dyDescent="0.3">
      <c r="A539" s="555" t="s">
        <v>759</v>
      </c>
      <c r="B539" s="693" t="s">
        <v>719</v>
      </c>
      <c r="C539" s="530"/>
      <c r="D539" s="529"/>
      <c r="E539" s="529" t="s">
        <v>251</v>
      </c>
      <c r="F539" s="529" t="s">
        <v>251</v>
      </c>
      <c r="G539" s="529" t="s">
        <v>251</v>
      </c>
      <c r="H539" s="529" t="s">
        <v>251</v>
      </c>
      <c r="I539" s="529" t="s">
        <v>251</v>
      </c>
      <c r="J539" s="529" t="s">
        <v>251</v>
      </c>
      <c r="K539" s="529"/>
      <c r="L539" s="529" t="s">
        <v>251</v>
      </c>
      <c r="M539" s="529" t="s">
        <v>251</v>
      </c>
      <c r="N539" s="529" t="s">
        <v>251</v>
      </c>
      <c r="O539" s="529" t="s">
        <v>251</v>
      </c>
      <c r="P539" s="1498">
        <f t="shared" si="55"/>
        <v>0</v>
      </c>
      <c r="Q539" s="711">
        <f t="shared" si="54"/>
        <v>0</v>
      </c>
      <c r="R539" s="1121" t="s">
        <v>251</v>
      </c>
      <c r="S539" s="1122" t="s">
        <v>251</v>
      </c>
      <c r="T539" s="1122"/>
      <c r="U539" s="1122"/>
      <c r="V539" s="1122"/>
      <c r="W539" s="1122"/>
      <c r="X539" s="1122"/>
      <c r="Y539" s="1122"/>
      <c r="Z539" s="1122"/>
      <c r="AA539" s="1122"/>
      <c r="AB539" s="1122"/>
      <c r="AC539" s="1122"/>
      <c r="AD539" s="1123">
        <f t="shared" si="56"/>
        <v>0</v>
      </c>
      <c r="AE539" s="637">
        <f t="shared" si="52"/>
        <v>0</v>
      </c>
      <c r="AF539" s="638">
        <f t="shared" si="53"/>
        <v>394</v>
      </c>
    </row>
    <row r="540" spans="1:32" x14ac:dyDescent="0.3">
      <c r="A540" s="555" t="s">
        <v>759</v>
      </c>
      <c r="B540" s="693" t="s">
        <v>1464</v>
      </c>
      <c r="C540" s="530"/>
      <c r="D540" s="529"/>
      <c r="E540" s="529" t="s">
        <v>251</v>
      </c>
      <c r="F540" s="529" t="s">
        <v>251</v>
      </c>
      <c r="G540" s="529" t="s">
        <v>251</v>
      </c>
      <c r="H540" s="529" t="s">
        <v>251</v>
      </c>
      <c r="I540" s="529" t="s">
        <v>251</v>
      </c>
      <c r="J540" s="529" t="s">
        <v>251</v>
      </c>
      <c r="K540" s="529"/>
      <c r="L540" s="529" t="s">
        <v>251</v>
      </c>
      <c r="M540" s="529" t="s">
        <v>251</v>
      </c>
      <c r="N540" s="529" t="s">
        <v>251</v>
      </c>
      <c r="O540" s="529" t="s">
        <v>251</v>
      </c>
      <c r="P540" s="1498">
        <f t="shared" si="55"/>
        <v>0</v>
      </c>
      <c r="Q540" s="711">
        <f t="shared" si="54"/>
        <v>0</v>
      </c>
      <c r="R540" s="1121" t="s">
        <v>251</v>
      </c>
      <c r="S540" s="1122" t="s">
        <v>251</v>
      </c>
      <c r="T540" s="1122"/>
      <c r="U540" s="1122"/>
      <c r="V540" s="1122"/>
      <c r="W540" s="1122"/>
      <c r="X540" s="1122"/>
      <c r="Y540" s="1122"/>
      <c r="Z540" s="1122"/>
      <c r="AA540" s="1122"/>
      <c r="AB540" s="1122"/>
      <c r="AC540" s="1122"/>
      <c r="AD540" s="1123">
        <f t="shared" si="56"/>
        <v>0</v>
      </c>
      <c r="AE540" s="637">
        <f t="shared" si="52"/>
        <v>0</v>
      </c>
      <c r="AF540" s="638">
        <f t="shared" si="53"/>
        <v>394</v>
      </c>
    </row>
    <row r="541" spans="1:32" x14ac:dyDescent="0.3">
      <c r="A541" s="555" t="s">
        <v>759</v>
      </c>
      <c r="B541" s="693" t="s">
        <v>1793</v>
      </c>
      <c r="C541" s="530"/>
      <c r="D541" s="529"/>
      <c r="E541" s="529" t="s">
        <v>251</v>
      </c>
      <c r="F541" s="529" t="s">
        <v>251</v>
      </c>
      <c r="G541" s="529" t="s">
        <v>251</v>
      </c>
      <c r="H541" s="529" t="s">
        <v>251</v>
      </c>
      <c r="I541" s="529" t="s">
        <v>251</v>
      </c>
      <c r="J541" s="529" t="s">
        <v>251</v>
      </c>
      <c r="K541" s="529"/>
      <c r="L541" s="529" t="s">
        <v>251</v>
      </c>
      <c r="M541" s="529" t="s">
        <v>251</v>
      </c>
      <c r="N541" s="529" t="s">
        <v>251</v>
      </c>
      <c r="O541" s="529" t="s">
        <v>251</v>
      </c>
      <c r="P541" s="1498">
        <f t="shared" si="55"/>
        <v>0</v>
      </c>
      <c r="Q541" s="711">
        <f t="shared" si="54"/>
        <v>0</v>
      </c>
      <c r="R541" s="1121" t="s">
        <v>251</v>
      </c>
      <c r="S541" s="1122" t="s">
        <v>251</v>
      </c>
      <c r="T541" s="1122"/>
      <c r="U541" s="1122"/>
      <c r="V541" s="1122"/>
      <c r="W541" s="1122"/>
      <c r="X541" s="1122"/>
      <c r="Y541" s="1122"/>
      <c r="Z541" s="1122"/>
      <c r="AA541" s="1122"/>
      <c r="AB541" s="1122"/>
      <c r="AC541" s="1122"/>
      <c r="AD541" s="1123">
        <f t="shared" si="56"/>
        <v>0</v>
      </c>
      <c r="AE541" s="637">
        <f t="shared" si="52"/>
        <v>0</v>
      </c>
      <c r="AF541" s="638">
        <f t="shared" si="53"/>
        <v>394</v>
      </c>
    </row>
    <row r="542" spans="1:32" x14ac:dyDescent="0.3">
      <c r="A542" s="555" t="s">
        <v>759</v>
      </c>
      <c r="B542" s="693" t="s">
        <v>1795</v>
      </c>
      <c r="C542" s="530"/>
      <c r="D542" s="529"/>
      <c r="E542" s="529" t="s">
        <v>251</v>
      </c>
      <c r="F542" s="529" t="s">
        <v>251</v>
      </c>
      <c r="G542" s="529" t="s">
        <v>251</v>
      </c>
      <c r="H542" s="529" t="s">
        <v>251</v>
      </c>
      <c r="I542" s="529" t="s">
        <v>251</v>
      </c>
      <c r="J542" s="529" t="s">
        <v>251</v>
      </c>
      <c r="K542" s="529"/>
      <c r="L542" s="529" t="s">
        <v>251</v>
      </c>
      <c r="M542" s="529" t="s">
        <v>251</v>
      </c>
      <c r="N542" s="529" t="s">
        <v>251</v>
      </c>
      <c r="O542" s="529" t="s">
        <v>251</v>
      </c>
      <c r="P542" s="1498">
        <f t="shared" si="55"/>
        <v>0</v>
      </c>
      <c r="Q542" s="711">
        <f t="shared" si="54"/>
        <v>0</v>
      </c>
      <c r="R542" s="1121" t="s">
        <v>251</v>
      </c>
      <c r="S542" s="1122" t="s">
        <v>251</v>
      </c>
      <c r="T542" s="1122"/>
      <c r="U542" s="1122"/>
      <c r="V542" s="1122"/>
      <c r="W542" s="1122"/>
      <c r="X542" s="1122"/>
      <c r="Y542" s="1122"/>
      <c r="Z542" s="1122"/>
      <c r="AA542" s="1122"/>
      <c r="AB542" s="1122"/>
      <c r="AC542" s="1122"/>
      <c r="AD542" s="1123">
        <f t="shared" si="56"/>
        <v>0</v>
      </c>
      <c r="AE542" s="637">
        <f t="shared" si="52"/>
        <v>0</v>
      </c>
      <c r="AF542" s="638">
        <f t="shared" si="53"/>
        <v>394</v>
      </c>
    </row>
    <row r="543" spans="1:32" x14ac:dyDescent="0.3">
      <c r="A543" s="555" t="s">
        <v>759</v>
      </c>
      <c r="B543" s="693" t="s">
        <v>952</v>
      </c>
      <c r="C543" s="530"/>
      <c r="D543" s="529"/>
      <c r="E543" s="529" t="s">
        <v>251</v>
      </c>
      <c r="F543" s="529" t="s">
        <v>251</v>
      </c>
      <c r="G543" s="529" t="s">
        <v>251</v>
      </c>
      <c r="H543" s="529" t="s">
        <v>251</v>
      </c>
      <c r="I543" s="529" t="s">
        <v>251</v>
      </c>
      <c r="J543" s="529" t="s">
        <v>251</v>
      </c>
      <c r="K543" s="529"/>
      <c r="L543" s="529" t="s">
        <v>251</v>
      </c>
      <c r="M543" s="529" t="s">
        <v>251</v>
      </c>
      <c r="N543" s="529" t="s">
        <v>251</v>
      </c>
      <c r="O543" s="529" t="s">
        <v>251</v>
      </c>
      <c r="P543" s="1498">
        <f t="shared" si="55"/>
        <v>0</v>
      </c>
      <c r="Q543" s="711">
        <f t="shared" si="54"/>
        <v>0</v>
      </c>
      <c r="R543" s="1121" t="s">
        <v>251</v>
      </c>
      <c r="S543" s="1122" t="s">
        <v>251</v>
      </c>
      <c r="T543" s="1122"/>
      <c r="U543" s="1122"/>
      <c r="V543" s="1122"/>
      <c r="W543" s="1122"/>
      <c r="X543" s="1122"/>
      <c r="Y543" s="1122"/>
      <c r="Z543" s="1122"/>
      <c r="AA543" s="1122"/>
      <c r="AB543" s="1122"/>
      <c r="AC543" s="1122"/>
      <c r="AD543" s="1123">
        <f t="shared" si="56"/>
        <v>0</v>
      </c>
      <c r="AE543" s="637">
        <f t="shared" si="52"/>
        <v>0</v>
      </c>
      <c r="AF543" s="638">
        <f t="shared" si="53"/>
        <v>394</v>
      </c>
    </row>
    <row r="544" spans="1:32" x14ac:dyDescent="0.3">
      <c r="A544" s="555" t="s">
        <v>759</v>
      </c>
      <c r="B544" s="693" t="s">
        <v>1286</v>
      </c>
      <c r="C544" s="530"/>
      <c r="D544" s="529"/>
      <c r="E544" s="529" t="s">
        <v>251</v>
      </c>
      <c r="F544" s="529" t="s">
        <v>251</v>
      </c>
      <c r="G544" s="529" t="s">
        <v>251</v>
      </c>
      <c r="H544" s="529" t="s">
        <v>251</v>
      </c>
      <c r="I544" s="529" t="s">
        <v>251</v>
      </c>
      <c r="J544" s="529" t="s">
        <v>251</v>
      </c>
      <c r="K544" s="529"/>
      <c r="L544" s="529" t="s">
        <v>251</v>
      </c>
      <c r="M544" s="529" t="s">
        <v>251</v>
      </c>
      <c r="N544" s="529" t="s">
        <v>251</v>
      </c>
      <c r="O544" s="529" t="s">
        <v>251</v>
      </c>
      <c r="P544" s="1498">
        <f t="shared" si="55"/>
        <v>0</v>
      </c>
      <c r="Q544" s="711">
        <f t="shared" si="54"/>
        <v>0</v>
      </c>
      <c r="R544" s="1121" t="s">
        <v>251</v>
      </c>
      <c r="S544" s="1122" t="s">
        <v>251</v>
      </c>
      <c r="T544" s="1122"/>
      <c r="U544" s="1122"/>
      <c r="V544" s="1122"/>
      <c r="W544" s="1122"/>
      <c r="X544" s="1122"/>
      <c r="Y544" s="1122"/>
      <c r="Z544" s="1122"/>
      <c r="AA544" s="1122"/>
      <c r="AB544" s="1122"/>
      <c r="AC544" s="1122"/>
      <c r="AD544" s="1123">
        <f t="shared" si="56"/>
        <v>0</v>
      </c>
      <c r="AE544" s="637">
        <f t="shared" si="52"/>
        <v>0</v>
      </c>
      <c r="AF544" s="638">
        <f t="shared" si="53"/>
        <v>394</v>
      </c>
    </row>
    <row r="545" spans="1:32" x14ac:dyDescent="0.3">
      <c r="A545" s="555" t="s">
        <v>759</v>
      </c>
      <c r="B545" s="693" t="s">
        <v>888</v>
      </c>
      <c r="C545" s="530"/>
      <c r="D545" s="529"/>
      <c r="E545" s="529">
        <v>0</v>
      </c>
      <c r="F545" s="529">
        <v>0</v>
      </c>
      <c r="G545" s="529">
        <v>0</v>
      </c>
      <c r="H545" s="529">
        <v>0</v>
      </c>
      <c r="I545" s="529">
        <v>0</v>
      </c>
      <c r="J545" s="529">
        <v>0</v>
      </c>
      <c r="K545" s="529"/>
      <c r="L545" s="529">
        <v>0</v>
      </c>
      <c r="M545" s="529">
        <v>0</v>
      </c>
      <c r="N545" s="529">
        <v>45360</v>
      </c>
      <c r="O545" s="529">
        <v>56700</v>
      </c>
      <c r="P545" s="1498">
        <f t="shared" si="55"/>
        <v>0</v>
      </c>
      <c r="Q545" s="711">
        <f t="shared" si="54"/>
        <v>102060</v>
      </c>
      <c r="R545" s="1121" t="s">
        <v>251</v>
      </c>
      <c r="S545" s="1122" t="s">
        <v>251</v>
      </c>
      <c r="T545" s="1122"/>
      <c r="U545" s="1122"/>
      <c r="V545" s="1122"/>
      <c r="W545" s="1122"/>
      <c r="X545" s="1122"/>
      <c r="Y545" s="1122"/>
      <c r="Z545" s="1122"/>
      <c r="AA545" s="1122"/>
      <c r="AB545" s="1122"/>
      <c r="AC545" s="1122"/>
      <c r="AD545" s="1123">
        <f t="shared" si="56"/>
        <v>0</v>
      </c>
      <c r="AE545" s="637">
        <f t="shared" si="52"/>
        <v>0</v>
      </c>
      <c r="AF545" s="638">
        <f t="shared" si="53"/>
        <v>394</v>
      </c>
    </row>
    <row r="546" spans="1:32" x14ac:dyDescent="0.3">
      <c r="A546" s="555" t="s">
        <v>759</v>
      </c>
      <c r="B546" s="693" t="s">
        <v>638</v>
      </c>
      <c r="C546" s="530"/>
      <c r="D546" s="529"/>
      <c r="E546" s="529" t="s">
        <v>251</v>
      </c>
      <c r="F546" s="529" t="s">
        <v>251</v>
      </c>
      <c r="G546" s="529" t="s">
        <v>251</v>
      </c>
      <c r="H546" s="529" t="s">
        <v>251</v>
      </c>
      <c r="I546" s="529" t="s">
        <v>251</v>
      </c>
      <c r="J546" s="529" t="s">
        <v>251</v>
      </c>
      <c r="K546" s="529"/>
      <c r="L546" s="529" t="s">
        <v>251</v>
      </c>
      <c r="M546" s="529" t="s">
        <v>251</v>
      </c>
      <c r="N546" s="529" t="s">
        <v>251</v>
      </c>
      <c r="O546" s="529" t="s">
        <v>251</v>
      </c>
      <c r="P546" s="1498">
        <f t="shared" si="55"/>
        <v>0</v>
      </c>
      <c r="Q546" s="711">
        <f t="shared" si="54"/>
        <v>0</v>
      </c>
      <c r="R546" s="1121" t="s">
        <v>251</v>
      </c>
      <c r="S546" s="1122" t="s">
        <v>251</v>
      </c>
      <c r="T546" s="1122"/>
      <c r="U546" s="1122"/>
      <c r="V546" s="1122"/>
      <c r="W546" s="1122"/>
      <c r="X546" s="1122"/>
      <c r="Y546" s="1122"/>
      <c r="Z546" s="1122"/>
      <c r="AA546" s="1122"/>
      <c r="AB546" s="1122"/>
      <c r="AC546" s="1122"/>
      <c r="AD546" s="1123">
        <f t="shared" si="56"/>
        <v>0</v>
      </c>
      <c r="AE546" s="637">
        <f t="shared" si="52"/>
        <v>0</v>
      </c>
      <c r="AF546" s="638">
        <f t="shared" si="53"/>
        <v>394</v>
      </c>
    </row>
    <row r="547" spans="1:32" x14ac:dyDescent="0.3">
      <c r="A547" s="555" t="s">
        <v>759</v>
      </c>
      <c r="B547" s="693" t="s">
        <v>1769</v>
      </c>
      <c r="C547" s="530"/>
      <c r="D547" s="529"/>
      <c r="E547" s="529" t="s">
        <v>251</v>
      </c>
      <c r="F547" s="529" t="s">
        <v>251</v>
      </c>
      <c r="G547" s="529" t="s">
        <v>251</v>
      </c>
      <c r="H547" s="529" t="s">
        <v>251</v>
      </c>
      <c r="I547" s="529" t="s">
        <v>251</v>
      </c>
      <c r="J547" s="529" t="s">
        <v>251</v>
      </c>
      <c r="K547" s="529"/>
      <c r="L547" s="529" t="s">
        <v>251</v>
      </c>
      <c r="M547" s="529" t="s">
        <v>251</v>
      </c>
      <c r="N547" s="529" t="s">
        <v>251</v>
      </c>
      <c r="O547" s="529" t="s">
        <v>251</v>
      </c>
      <c r="P547" s="1498">
        <f t="shared" si="55"/>
        <v>0</v>
      </c>
      <c r="Q547" s="711">
        <f t="shared" si="54"/>
        <v>0</v>
      </c>
      <c r="R547" s="1121" t="s">
        <v>251</v>
      </c>
      <c r="S547" s="1122" t="s">
        <v>251</v>
      </c>
      <c r="T547" s="1122"/>
      <c r="U547" s="1122"/>
      <c r="V547" s="1122"/>
      <c r="W547" s="1122"/>
      <c r="X547" s="1122"/>
      <c r="Y547" s="1122"/>
      <c r="Z547" s="1122"/>
      <c r="AA547" s="1122"/>
      <c r="AB547" s="1122"/>
      <c r="AC547" s="1122"/>
      <c r="AD547" s="1123">
        <f t="shared" si="56"/>
        <v>0</v>
      </c>
      <c r="AE547" s="637">
        <f t="shared" si="52"/>
        <v>0</v>
      </c>
      <c r="AF547" s="638">
        <f t="shared" si="53"/>
        <v>394</v>
      </c>
    </row>
    <row r="548" spans="1:32" x14ac:dyDescent="0.3">
      <c r="A548" s="555" t="s">
        <v>759</v>
      </c>
      <c r="B548" s="693" t="s">
        <v>1806</v>
      </c>
      <c r="C548" s="530"/>
      <c r="D548" s="529"/>
      <c r="E548" s="529" t="s">
        <v>251</v>
      </c>
      <c r="F548" s="529" t="s">
        <v>251</v>
      </c>
      <c r="G548" s="529" t="s">
        <v>251</v>
      </c>
      <c r="H548" s="529" t="s">
        <v>251</v>
      </c>
      <c r="I548" s="529" t="s">
        <v>251</v>
      </c>
      <c r="J548" s="529" t="s">
        <v>251</v>
      </c>
      <c r="K548" s="529"/>
      <c r="L548" s="529" t="s">
        <v>251</v>
      </c>
      <c r="M548" s="529" t="s">
        <v>251</v>
      </c>
      <c r="N548" s="529" t="s">
        <v>251</v>
      </c>
      <c r="O548" s="529" t="s">
        <v>251</v>
      </c>
      <c r="P548" s="1498">
        <f t="shared" si="55"/>
        <v>0</v>
      </c>
      <c r="Q548" s="711">
        <f t="shared" si="54"/>
        <v>0</v>
      </c>
      <c r="R548" s="1121" t="s">
        <v>251</v>
      </c>
      <c r="S548" s="1122" t="s">
        <v>251</v>
      </c>
      <c r="T548" s="1122"/>
      <c r="U548" s="1122"/>
      <c r="V548" s="1122"/>
      <c r="W548" s="1122"/>
      <c r="X548" s="1122"/>
      <c r="Y548" s="1122"/>
      <c r="Z548" s="1122"/>
      <c r="AA548" s="1122"/>
      <c r="AB548" s="1122"/>
      <c r="AC548" s="1122"/>
      <c r="AD548" s="1123">
        <f t="shared" si="56"/>
        <v>0</v>
      </c>
      <c r="AE548" s="637">
        <f t="shared" si="52"/>
        <v>0</v>
      </c>
      <c r="AF548" s="638">
        <f t="shared" si="53"/>
        <v>394</v>
      </c>
    </row>
    <row r="549" spans="1:32" x14ac:dyDescent="0.3">
      <c r="A549" s="555" t="s">
        <v>759</v>
      </c>
      <c r="B549" s="693" t="s">
        <v>1803</v>
      </c>
      <c r="C549" s="530"/>
      <c r="D549" s="529"/>
      <c r="E549" s="529">
        <v>0</v>
      </c>
      <c r="F549" s="529">
        <v>0</v>
      </c>
      <c r="G549" s="529">
        <v>0</v>
      </c>
      <c r="H549" s="529">
        <v>0</v>
      </c>
      <c r="I549" s="529">
        <v>0</v>
      </c>
      <c r="J549" s="529">
        <v>0</v>
      </c>
      <c r="K549" s="529"/>
      <c r="L549" s="529">
        <v>0</v>
      </c>
      <c r="M549" s="529">
        <v>0</v>
      </c>
      <c r="N549" s="529">
        <v>1108800</v>
      </c>
      <c r="O549" s="529">
        <v>0</v>
      </c>
      <c r="P549" s="1498">
        <f t="shared" si="55"/>
        <v>0</v>
      </c>
      <c r="Q549" s="711">
        <f t="shared" si="54"/>
        <v>1108800</v>
      </c>
      <c r="R549" s="1121" t="s">
        <v>251</v>
      </c>
      <c r="S549" s="1122" t="s">
        <v>251</v>
      </c>
      <c r="T549" s="1122">
        <v>79160</v>
      </c>
      <c r="U549" s="1122">
        <v>368550</v>
      </c>
      <c r="V549" s="1122">
        <v>775300</v>
      </c>
      <c r="W549" s="1122">
        <v>252520</v>
      </c>
      <c r="X549" s="1122"/>
      <c r="Y549" s="1122"/>
      <c r="Z549" s="1122"/>
      <c r="AA549" s="1122"/>
      <c r="AB549" s="1122"/>
      <c r="AC549" s="1122"/>
      <c r="AD549" s="1123">
        <f t="shared" si="56"/>
        <v>1475530</v>
      </c>
      <c r="AE549" s="637">
        <f t="shared" ref="AE549:AE612" si="57">IF(OR(AD549="", P549=""), 0, IFERROR((AD549-P549)/P549, IF(AD549&lt;&gt;0, 1, 0)))</f>
        <v>1</v>
      </c>
      <c r="AF549" s="638">
        <f t="shared" si="53"/>
        <v>170</v>
      </c>
    </row>
    <row r="550" spans="1:32" x14ac:dyDescent="0.3">
      <c r="A550" s="555" t="s">
        <v>759</v>
      </c>
      <c r="B550" s="693" t="s">
        <v>1113</v>
      </c>
      <c r="C550" s="530"/>
      <c r="D550" s="529"/>
      <c r="E550" s="529" t="s">
        <v>251</v>
      </c>
      <c r="F550" s="529" t="s">
        <v>251</v>
      </c>
      <c r="G550" s="529" t="s">
        <v>251</v>
      </c>
      <c r="H550" s="529" t="s">
        <v>251</v>
      </c>
      <c r="I550" s="529" t="s">
        <v>251</v>
      </c>
      <c r="J550" s="529" t="s">
        <v>251</v>
      </c>
      <c r="K550" s="529"/>
      <c r="L550" s="529" t="s">
        <v>251</v>
      </c>
      <c r="M550" s="529" t="s">
        <v>251</v>
      </c>
      <c r="N550" s="529" t="s">
        <v>251</v>
      </c>
      <c r="O550" s="529" t="s">
        <v>251</v>
      </c>
      <c r="P550" s="1498">
        <f t="shared" si="55"/>
        <v>0</v>
      </c>
      <c r="Q550" s="711">
        <f t="shared" si="54"/>
        <v>0</v>
      </c>
      <c r="R550" s="1121" t="s">
        <v>251</v>
      </c>
      <c r="S550" s="1122" t="s">
        <v>251</v>
      </c>
      <c r="T550" s="1122"/>
      <c r="U550" s="1122"/>
      <c r="V550" s="1122"/>
      <c r="W550" s="1122"/>
      <c r="X550" s="1122"/>
      <c r="Y550" s="1122"/>
      <c r="Z550" s="1122"/>
      <c r="AA550" s="1122"/>
      <c r="AB550" s="1122"/>
      <c r="AC550" s="1122"/>
      <c r="AD550" s="1123">
        <f t="shared" si="56"/>
        <v>0</v>
      </c>
      <c r="AE550" s="637">
        <f t="shared" si="57"/>
        <v>0</v>
      </c>
      <c r="AF550" s="638">
        <f t="shared" si="53"/>
        <v>394</v>
      </c>
    </row>
    <row r="551" spans="1:32" x14ac:dyDescent="0.3">
      <c r="A551" s="555" t="s">
        <v>759</v>
      </c>
      <c r="B551" s="693" t="s">
        <v>1808</v>
      </c>
      <c r="C551" s="530"/>
      <c r="D551" s="529"/>
      <c r="E551" s="529">
        <v>0</v>
      </c>
      <c r="F551" s="529">
        <v>0</v>
      </c>
      <c r="G551" s="529">
        <v>0</v>
      </c>
      <c r="H551" s="529">
        <v>0</v>
      </c>
      <c r="I551" s="529">
        <v>0</v>
      </c>
      <c r="J551" s="529">
        <v>0</v>
      </c>
      <c r="K551" s="529"/>
      <c r="L551" s="529">
        <v>0</v>
      </c>
      <c r="M551" s="529">
        <v>162000</v>
      </c>
      <c r="N551" s="529">
        <v>0</v>
      </c>
      <c r="O551" s="529">
        <v>0</v>
      </c>
      <c r="P551" s="1498">
        <f t="shared" si="55"/>
        <v>0</v>
      </c>
      <c r="Q551" s="711">
        <f t="shared" si="54"/>
        <v>162000</v>
      </c>
      <c r="R551" s="1121" t="s">
        <v>251</v>
      </c>
      <c r="S551" s="1122" t="s">
        <v>251</v>
      </c>
      <c r="T551" s="1122"/>
      <c r="U551" s="1122"/>
      <c r="V551" s="1122"/>
      <c r="W551" s="1122"/>
      <c r="X551" s="1122"/>
      <c r="Y551" s="1122"/>
      <c r="Z551" s="1122"/>
      <c r="AA551" s="1122"/>
      <c r="AB551" s="1122"/>
      <c r="AC551" s="1122"/>
      <c r="AD551" s="1123">
        <f t="shared" si="56"/>
        <v>0</v>
      </c>
      <c r="AE551" s="637">
        <f t="shared" si="57"/>
        <v>0</v>
      </c>
      <c r="AF551" s="638">
        <f t="shared" si="53"/>
        <v>394</v>
      </c>
    </row>
    <row r="552" spans="1:32" x14ac:dyDescent="0.3">
      <c r="A552" s="555" t="s">
        <v>759</v>
      </c>
      <c r="B552" s="693" t="s">
        <v>1810</v>
      </c>
      <c r="C552" s="530"/>
      <c r="D552" s="529"/>
      <c r="E552" s="529" t="s">
        <v>251</v>
      </c>
      <c r="F552" s="529" t="s">
        <v>251</v>
      </c>
      <c r="G552" s="529" t="s">
        <v>251</v>
      </c>
      <c r="H552" s="529" t="s">
        <v>251</v>
      </c>
      <c r="I552" s="529" t="s">
        <v>251</v>
      </c>
      <c r="J552" s="529" t="s">
        <v>251</v>
      </c>
      <c r="K552" s="529"/>
      <c r="L552" s="529" t="s">
        <v>251</v>
      </c>
      <c r="M552" s="529" t="s">
        <v>251</v>
      </c>
      <c r="N552" s="529" t="s">
        <v>251</v>
      </c>
      <c r="O552" s="529" t="s">
        <v>251</v>
      </c>
      <c r="P552" s="1498">
        <f t="shared" si="55"/>
        <v>0</v>
      </c>
      <c r="Q552" s="711">
        <f t="shared" si="54"/>
        <v>0</v>
      </c>
      <c r="R552" s="1121" t="s">
        <v>251</v>
      </c>
      <c r="S552" s="1122" t="s">
        <v>251</v>
      </c>
      <c r="T552" s="1122"/>
      <c r="U552" s="1122"/>
      <c r="V552" s="1122"/>
      <c r="W552" s="1122"/>
      <c r="X552" s="1122"/>
      <c r="Y552" s="1122"/>
      <c r="Z552" s="1122"/>
      <c r="AA552" s="1122"/>
      <c r="AB552" s="1122"/>
      <c r="AC552" s="1122"/>
      <c r="AD552" s="1123">
        <f t="shared" si="56"/>
        <v>0</v>
      </c>
      <c r="AE552" s="637">
        <f t="shared" si="57"/>
        <v>0</v>
      </c>
      <c r="AF552" s="638">
        <f t="shared" si="53"/>
        <v>394</v>
      </c>
    </row>
    <row r="553" spans="1:32" x14ac:dyDescent="0.3">
      <c r="A553" s="555" t="s">
        <v>759</v>
      </c>
      <c r="B553" s="693" t="s">
        <v>1811</v>
      </c>
      <c r="C553" s="530"/>
      <c r="D553" s="529"/>
      <c r="E553" s="529" t="s">
        <v>251</v>
      </c>
      <c r="F553" s="529" t="s">
        <v>251</v>
      </c>
      <c r="G553" s="529" t="s">
        <v>251</v>
      </c>
      <c r="H553" s="529" t="s">
        <v>251</v>
      </c>
      <c r="I553" s="529" t="s">
        <v>251</v>
      </c>
      <c r="J553" s="529" t="s">
        <v>251</v>
      </c>
      <c r="K553" s="529"/>
      <c r="L553" s="529" t="s">
        <v>251</v>
      </c>
      <c r="M553" s="529" t="s">
        <v>251</v>
      </c>
      <c r="N553" s="529" t="s">
        <v>251</v>
      </c>
      <c r="O553" s="529" t="s">
        <v>251</v>
      </c>
      <c r="P553" s="1498">
        <f t="shared" si="55"/>
        <v>0</v>
      </c>
      <c r="Q553" s="711">
        <f t="shared" si="54"/>
        <v>0</v>
      </c>
      <c r="R553" s="1121" t="s">
        <v>251</v>
      </c>
      <c r="S553" s="1122" t="s">
        <v>251</v>
      </c>
      <c r="T553" s="1122"/>
      <c r="U553" s="1122"/>
      <c r="V553" s="1122"/>
      <c r="W553" s="1122"/>
      <c r="X553" s="1122"/>
      <c r="Y553" s="1122"/>
      <c r="Z553" s="1122"/>
      <c r="AA553" s="1122"/>
      <c r="AB553" s="1122"/>
      <c r="AC553" s="1122"/>
      <c r="AD553" s="1123">
        <f t="shared" si="56"/>
        <v>0</v>
      </c>
      <c r="AE553" s="637">
        <f t="shared" si="57"/>
        <v>0</v>
      </c>
      <c r="AF553" s="638">
        <f t="shared" si="53"/>
        <v>394</v>
      </c>
    </row>
    <row r="554" spans="1:32" x14ac:dyDescent="0.3">
      <c r="A554" s="555" t="s">
        <v>759</v>
      </c>
      <c r="B554" s="693" t="s">
        <v>658</v>
      </c>
      <c r="C554" s="530"/>
      <c r="D554" s="529"/>
      <c r="E554" s="529">
        <v>0</v>
      </c>
      <c r="F554" s="529">
        <v>180000</v>
      </c>
      <c r="G554" s="529">
        <v>0</v>
      </c>
      <c r="H554" s="529">
        <v>0</v>
      </c>
      <c r="I554" s="529">
        <v>0</v>
      </c>
      <c r="J554" s="529">
        <v>36000</v>
      </c>
      <c r="K554" s="529">
        <v>36000</v>
      </c>
      <c r="L554" s="529">
        <v>0</v>
      </c>
      <c r="M554" s="529">
        <v>0</v>
      </c>
      <c r="N554" s="529">
        <v>0</v>
      </c>
      <c r="O554" s="529">
        <v>0</v>
      </c>
      <c r="P554" s="1498">
        <f t="shared" si="55"/>
        <v>216000</v>
      </c>
      <c r="Q554" s="711">
        <f t="shared" si="54"/>
        <v>216000</v>
      </c>
      <c r="R554" s="1121" t="s">
        <v>251</v>
      </c>
      <c r="S554" s="1122" t="s">
        <v>251</v>
      </c>
      <c r="T554" s="1122"/>
      <c r="U554" s="1122"/>
      <c r="V554" s="1122"/>
      <c r="W554" s="1122"/>
      <c r="X554" s="1122"/>
      <c r="Y554" s="1122"/>
      <c r="Z554" s="1122"/>
      <c r="AA554" s="1122"/>
      <c r="AB554" s="1122"/>
      <c r="AC554" s="1122"/>
      <c r="AD554" s="1123">
        <f t="shared" si="56"/>
        <v>0</v>
      </c>
      <c r="AE554" s="637">
        <f t="shared" si="57"/>
        <v>-1</v>
      </c>
      <c r="AF554" s="638">
        <f t="shared" si="53"/>
        <v>394</v>
      </c>
    </row>
    <row r="555" spans="1:32" x14ac:dyDescent="0.3">
      <c r="A555" s="555" t="s">
        <v>759</v>
      </c>
      <c r="B555" s="693" t="s">
        <v>1816</v>
      </c>
      <c r="C555" s="530"/>
      <c r="D555" s="529"/>
      <c r="E555" s="529">
        <v>0</v>
      </c>
      <c r="F555" s="529">
        <v>0</v>
      </c>
      <c r="G555" s="529">
        <v>19240</v>
      </c>
      <c r="H555" s="529">
        <v>0</v>
      </c>
      <c r="I555" s="529">
        <v>0</v>
      </c>
      <c r="J555" s="529">
        <v>0</v>
      </c>
      <c r="K555" s="529">
        <v>0</v>
      </c>
      <c r="L555" s="529">
        <v>0</v>
      </c>
      <c r="M555" s="529">
        <v>0</v>
      </c>
      <c r="N555" s="529">
        <v>0</v>
      </c>
      <c r="O555" s="529">
        <v>0</v>
      </c>
      <c r="P555" s="1498">
        <f t="shared" si="55"/>
        <v>19240</v>
      </c>
      <c r="Q555" s="711">
        <f t="shared" si="54"/>
        <v>19240</v>
      </c>
      <c r="R555" s="1121" t="s">
        <v>251</v>
      </c>
      <c r="S555" s="1122" t="s">
        <v>251</v>
      </c>
      <c r="T555" s="1122"/>
      <c r="U555" s="1122"/>
      <c r="V555" s="1122"/>
      <c r="W555" s="1122"/>
      <c r="X555" s="1122"/>
      <c r="Y555" s="1122"/>
      <c r="Z555" s="1122"/>
      <c r="AA555" s="1122"/>
      <c r="AB555" s="1122"/>
      <c r="AC555" s="1122"/>
      <c r="AD555" s="1123">
        <f t="shared" si="56"/>
        <v>0</v>
      </c>
      <c r="AE555" s="637">
        <f t="shared" si="57"/>
        <v>-1</v>
      </c>
      <c r="AF555" s="638">
        <f t="shared" si="53"/>
        <v>394</v>
      </c>
    </row>
    <row r="556" spans="1:32" x14ac:dyDescent="0.3">
      <c r="A556" s="555" t="s">
        <v>759</v>
      </c>
      <c r="B556" s="693" t="s">
        <v>628</v>
      </c>
      <c r="C556" s="530"/>
      <c r="D556" s="529"/>
      <c r="E556" s="529">
        <v>0</v>
      </c>
      <c r="F556" s="529">
        <v>0</v>
      </c>
      <c r="G556" s="529">
        <v>0</v>
      </c>
      <c r="H556" s="529">
        <v>474300</v>
      </c>
      <c r="I556" s="529">
        <v>0</v>
      </c>
      <c r="J556" s="529">
        <v>0</v>
      </c>
      <c r="K556" s="529">
        <v>3488040</v>
      </c>
      <c r="L556" s="529">
        <v>0</v>
      </c>
      <c r="M556" s="529">
        <v>0</v>
      </c>
      <c r="N556" s="529">
        <v>0</v>
      </c>
      <c r="O556" s="529">
        <v>0</v>
      </c>
      <c r="P556" s="1498">
        <f t="shared" si="55"/>
        <v>3962340</v>
      </c>
      <c r="Q556" s="711">
        <f t="shared" si="54"/>
        <v>474300</v>
      </c>
      <c r="R556" s="1121" t="s">
        <v>251</v>
      </c>
      <c r="S556" s="1122" t="s">
        <v>251</v>
      </c>
      <c r="T556" s="1122"/>
      <c r="U556" s="1122"/>
      <c r="V556" s="1122"/>
      <c r="W556" s="1122">
        <v>58500</v>
      </c>
      <c r="X556" s="1122">
        <v>0</v>
      </c>
      <c r="Y556" s="1122">
        <v>0</v>
      </c>
      <c r="Z556" s="1122"/>
      <c r="AA556" s="1122"/>
      <c r="AB556" s="1122"/>
      <c r="AC556" s="1122"/>
      <c r="AD556" s="1123">
        <f t="shared" si="56"/>
        <v>58500</v>
      </c>
      <c r="AE556" s="637">
        <f t="shared" si="57"/>
        <v>-0.98523599691091623</v>
      </c>
      <c r="AF556" s="638">
        <f t="shared" si="53"/>
        <v>365</v>
      </c>
    </row>
    <row r="557" spans="1:32" x14ac:dyDescent="0.3">
      <c r="A557" s="555" t="s">
        <v>759</v>
      </c>
      <c r="B557" s="693" t="s">
        <v>680</v>
      </c>
      <c r="C557" s="530"/>
      <c r="D557" s="529"/>
      <c r="E557" s="529">
        <v>0</v>
      </c>
      <c r="F557" s="529">
        <v>0</v>
      </c>
      <c r="G557" s="529">
        <v>0</v>
      </c>
      <c r="H557" s="529">
        <v>66660</v>
      </c>
      <c r="I557" s="529">
        <v>0</v>
      </c>
      <c r="J557" s="529">
        <v>0</v>
      </c>
      <c r="K557" s="529">
        <v>0</v>
      </c>
      <c r="L557" s="529">
        <v>0</v>
      </c>
      <c r="M557" s="529">
        <v>0</v>
      </c>
      <c r="N557" s="529">
        <v>0</v>
      </c>
      <c r="O557" s="529">
        <v>0</v>
      </c>
      <c r="P557" s="1498">
        <f t="shared" si="55"/>
        <v>66660</v>
      </c>
      <c r="Q557" s="711">
        <f t="shared" si="54"/>
        <v>66660</v>
      </c>
      <c r="R557" s="1121" t="s">
        <v>251</v>
      </c>
      <c r="S557" s="1122" t="s">
        <v>251</v>
      </c>
      <c r="T557" s="1122"/>
      <c r="U557" s="1122"/>
      <c r="V557" s="1122"/>
      <c r="W557" s="1122"/>
      <c r="X557" s="1122"/>
      <c r="Y557" s="1122"/>
      <c r="Z557" s="1122"/>
      <c r="AA557" s="1122"/>
      <c r="AB557" s="1122"/>
      <c r="AC557" s="1122"/>
      <c r="AD557" s="1123">
        <f t="shared" si="56"/>
        <v>0</v>
      </c>
      <c r="AE557" s="637">
        <f t="shared" si="57"/>
        <v>-1</v>
      </c>
      <c r="AF557" s="638">
        <f t="shared" si="53"/>
        <v>394</v>
      </c>
    </row>
    <row r="558" spans="1:32" x14ac:dyDescent="0.3">
      <c r="A558" s="555" t="s">
        <v>759</v>
      </c>
      <c r="B558" s="693" t="s">
        <v>1827</v>
      </c>
      <c r="C558" s="530"/>
      <c r="D558" s="529"/>
      <c r="E558" s="529">
        <v>0</v>
      </c>
      <c r="F558" s="529">
        <v>0</v>
      </c>
      <c r="G558" s="529">
        <v>0</v>
      </c>
      <c r="H558" s="529">
        <v>379860</v>
      </c>
      <c r="I558" s="529">
        <v>0</v>
      </c>
      <c r="J558" s="529">
        <v>0</v>
      </c>
      <c r="K558" s="529">
        <v>0</v>
      </c>
      <c r="L558" s="529">
        <v>0</v>
      </c>
      <c r="M558" s="529">
        <v>0</v>
      </c>
      <c r="N558" s="529">
        <v>0</v>
      </c>
      <c r="O558" s="529">
        <v>0</v>
      </c>
      <c r="P558" s="1498">
        <f t="shared" si="55"/>
        <v>379860</v>
      </c>
      <c r="Q558" s="711">
        <f t="shared" si="54"/>
        <v>379860</v>
      </c>
      <c r="R558" s="1121" t="s">
        <v>251</v>
      </c>
      <c r="S558" s="1122" t="s">
        <v>251</v>
      </c>
      <c r="T558" s="1122"/>
      <c r="U558" s="1122"/>
      <c r="V558" s="1122"/>
      <c r="W558" s="1122"/>
      <c r="X558" s="1122"/>
      <c r="Y558" s="1122"/>
      <c r="Z558" s="1122"/>
      <c r="AA558" s="1122"/>
      <c r="AB558" s="1122"/>
      <c r="AC558" s="1122"/>
      <c r="AD558" s="1123">
        <f t="shared" si="56"/>
        <v>0</v>
      </c>
      <c r="AE558" s="637">
        <f t="shared" si="57"/>
        <v>-1</v>
      </c>
      <c r="AF558" s="638">
        <f t="shared" si="53"/>
        <v>394</v>
      </c>
    </row>
    <row r="559" spans="1:32" x14ac:dyDescent="0.3">
      <c r="A559" s="555" t="s">
        <v>759</v>
      </c>
      <c r="B559" s="693" t="s">
        <v>1845</v>
      </c>
      <c r="C559" s="530"/>
      <c r="D559" s="529"/>
      <c r="E559" s="529">
        <v>0</v>
      </c>
      <c r="F559" s="529">
        <v>0</v>
      </c>
      <c r="G559" s="529">
        <v>0</v>
      </c>
      <c r="H559" s="529">
        <v>743400</v>
      </c>
      <c r="I559" s="529">
        <v>0</v>
      </c>
      <c r="J559" s="529">
        <v>0</v>
      </c>
      <c r="K559" s="529">
        <v>0</v>
      </c>
      <c r="L559" s="529">
        <v>12270</v>
      </c>
      <c r="M559" s="529">
        <v>0</v>
      </c>
      <c r="N559" s="529">
        <v>0</v>
      </c>
      <c r="O559" s="529">
        <v>108000</v>
      </c>
      <c r="P559" s="1498">
        <f t="shared" si="55"/>
        <v>743400</v>
      </c>
      <c r="Q559" s="711">
        <f t="shared" si="54"/>
        <v>863670</v>
      </c>
      <c r="R559" s="1121" t="s">
        <v>251</v>
      </c>
      <c r="S559" s="1122" t="s">
        <v>251</v>
      </c>
      <c r="T559" s="1122">
        <v>20470</v>
      </c>
      <c r="U559" s="1122">
        <v>0</v>
      </c>
      <c r="V559" s="1122">
        <v>88720</v>
      </c>
      <c r="W559" s="1122">
        <v>0</v>
      </c>
      <c r="X559" s="1122">
        <v>0</v>
      </c>
      <c r="Y559" s="1122">
        <v>0</v>
      </c>
      <c r="Z559" s="1122"/>
      <c r="AA559" s="1122"/>
      <c r="AB559" s="1122"/>
      <c r="AC559" s="1122"/>
      <c r="AD559" s="1123">
        <f t="shared" si="56"/>
        <v>109190</v>
      </c>
      <c r="AE559" s="637">
        <f t="shared" si="57"/>
        <v>-0.85312079634113536</v>
      </c>
      <c r="AF559" s="638">
        <f t="shared" si="53"/>
        <v>340</v>
      </c>
    </row>
    <row r="560" spans="1:32" x14ac:dyDescent="0.3">
      <c r="A560" s="555" t="s">
        <v>759</v>
      </c>
      <c r="B560" s="693" t="s">
        <v>1508</v>
      </c>
      <c r="C560" s="530"/>
      <c r="D560" s="529"/>
      <c r="E560" s="529">
        <v>0</v>
      </c>
      <c r="F560" s="529">
        <v>0</v>
      </c>
      <c r="G560" s="529">
        <v>0</v>
      </c>
      <c r="H560" s="529">
        <v>373900</v>
      </c>
      <c r="I560" s="529">
        <v>0</v>
      </c>
      <c r="J560" s="529">
        <v>0</v>
      </c>
      <c r="K560" s="529">
        <v>0</v>
      </c>
      <c r="L560" s="529">
        <v>176320</v>
      </c>
      <c r="M560" s="529">
        <v>178890</v>
      </c>
      <c r="N560" s="529">
        <v>0</v>
      </c>
      <c r="O560" s="529">
        <v>0</v>
      </c>
      <c r="P560" s="1498">
        <f t="shared" si="55"/>
        <v>373900</v>
      </c>
      <c r="Q560" s="711">
        <f t="shared" si="54"/>
        <v>729110</v>
      </c>
      <c r="R560" s="1121" t="s">
        <v>251</v>
      </c>
      <c r="S560" s="1122" t="s">
        <v>251</v>
      </c>
      <c r="T560" s="1122"/>
      <c r="U560" s="1122"/>
      <c r="V560" s="1122"/>
      <c r="W560" s="1122"/>
      <c r="X560" s="1122"/>
      <c r="Y560" s="1122"/>
      <c r="Z560" s="1122"/>
      <c r="AA560" s="1122"/>
      <c r="AB560" s="1122"/>
      <c r="AC560" s="1122"/>
      <c r="AD560" s="1123">
        <f t="shared" si="56"/>
        <v>0</v>
      </c>
      <c r="AE560" s="637">
        <f t="shared" si="57"/>
        <v>-1</v>
      </c>
      <c r="AF560" s="638">
        <f t="shared" si="53"/>
        <v>394</v>
      </c>
    </row>
    <row r="561" spans="1:32" x14ac:dyDescent="0.3">
      <c r="A561" s="555" t="s">
        <v>759</v>
      </c>
      <c r="B561" s="693" t="s">
        <v>1846</v>
      </c>
      <c r="C561" s="530"/>
      <c r="D561" s="529"/>
      <c r="E561" s="529">
        <v>0</v>
      </c>
      <c r="F561" s="529">
        <v>0</v>
      </c>
      <c r="G561" s="529">
        <v>0</v>
      </c>
      <c r="H561" s="529">
        <v>551470</v>
      </c>
      <c r="I561" s="529">
        <v>0</v>
      </c>
      <c r="J561" s="529">
        <v>0</v>
      </c>
      <c r="K561" s="529">
        <v>0</v>
      </c>
      <c r="L561" s="529">
        <v>0</v>
      </c>
      <c r="M561" s="529">
        <v>0</v>
      </c>
      <c r="N561" s="529">
        <v>0</v>
      </c>
      <c r="O561" s="529">
        <v>0</v>
      </c>
      <c r="P561" s="1498">
        <f t="shared" si="55"/>
        <v>551470</v>
      </c>
      <c r="Q561" s="711">
        <f t="shared" si="54"/>
        <v>551470</v>
      </c>
      <c r="R561" s="1121" t="s">
        <v>251</v>
      </c>
      <c r="S561" s="1122" t="s">
        <v>251</v>
      </c>
      <c r="T561" s="1122"/>
      <c r="U561" s="1122"/>
      <c r="V561" s="1122"/>
      <c r="W561" s="1122"/>
      <c r="X561" s="1122"/>
      <c r="Y561" s="1122"/>
      <c r="Z561" s="1122"/>
      <c r="AA561" s="1122"/>
      <c r="AB561" s="1122"/>
      <c r="AC561" s="1122"/>
      <c r="AD561" s="1123">
        <f t="shared" si="56"/>
        <v>0</v>
      </c>
      <c r="AE561" s="637">
        <f t="shared" si="57"/>
        <v>-1</v>
      </c>
      <c r="AF561" s="638">
        <f t="shared" si="53"/>
        <v>394</v>
      </c>
    </row>
    <row r="562" spans="1:32" x14ac:dyDescent="0.3">
      <c r="A562" s="555" t="s">
        <v>759</v>
      </c>
      <c r="B562" s="693" t="s">
        <v>1853</v>
      </c>
      <c r="C562" s="530"/>
      <c r="D562" s="529"/>
      <c r="E562" s="529">
        <v>0</v>
      </c>
      <c r="F562" s="529">
        <v>0</v>
      </c>
      <c r="G562" s="529">
        <v>0</v>
      </c>
      <c r="H562" s="529">
        <v>134620</v>
      </c>
      <c r="I562" s="529">
        <v>0</v>
      </c>
      <c r="J562" s="529">
        <v>0</v>
      </c>
      <c r="K562" s="529">
        <v>0</v>
      </c>
      <c r="L562" s="529">
        <v>0</v>
      </c>
      <c r="M562" s="529">
        <v>0</v>
      </c>
      <c r="N562" s="529">
        <v>0</v>
      </c>
      <c r="O562" s="529">
        <v>0</v>
      </c>
      <c r="P562" s="1498">
        <f t="shared" si="55"/>
        <v>134620</v>
      </c>
      <c r="Q562" s="711">
        <f t="shared" si="54"/>
        <v>134620</v>
      </c>
      <c r="R562" s="1121" t="s">
        <v>251</v>
      </c>
      <c r="S562" s="1122" t="s">
        <v>251</v>
      </c>
      <c r="T562" s="1122"/>
      <c r="U562" s="1122"/>
      <c r="V562" s="1122"/>
      <c r="W562" s="1122"/>
      <c r="X562" s="1122"/>
      <c r="Y562" s="1122"/>
      <c r="Z562" s="1122"/>
      <c r="AA562" s="1122"/>
      <c r="AB562" s="1122"/>
      <c r="AC562" s="1122"/>
      <c r="AD562" s="1123">
        <f t="shared" si="56"/>
        <v>0</v>
      </c>
      <c r="AE562" s="637">
        <f t="shared" si="57"/>
        <v>-1</v>
      </c>
      <c r="AF562" s="638">
        <f t="shared" si="53"/>
        <v>394</v>
      </c>
    </row>
    <row r="563" spans="1:32" x14ac:dyDescent="0.3">
      <c r="A563" s="555" t="s">
        <v>759</v>
      </c>
      <c r="B563" s="693" t="s">
        <v>1578</v>
      </c>
      <c r="C563" s="530"/>
      <c r="D563" s="529"/>
      <c r="E563" s="529">
        <v>0</v>
      </c>
      <c r="F563" s="529">
        <v>0</v>
      </c>
      <c r="G563" s="529">
        <v>0</v>
      </c>
      <c r="H563" s="529">
        <v>117000</v>
      </c>
      <c r="I563" s="529">
        <v>0</v>
      </c>
      <c r="J563" s="529" t="s">
        <v>251</v>
      </c>
      <c r="K563" s="529">
        <v>0</v>
      </c>
      <c r="L563" s="529" t="s">
        <v>251</v>
      </c>
      <c r="M563" s="529" t="s">
        <v>251</v>
      </c>
      <c r="N563" s="529" t="s">
        <v>251</v>
      </c>
      <c r="O563" s="529" t="s">
        <v>251</v>
      </c>
      <c r="P563" s="1498">
        <f t="shared" si="55"/>
        <v>117000</v>
      </c>
      <c r="Q563" s="711">
        <f t="shared" si="54"/>
        <v>117000</v>
      </c>
      <c r="R563" s="1121" t="s">
        <v>251</v>
      </c>
      <c r="S563" s="1122" t="s">
        <v>251</v>
      </c>
      <c r="T563" s="1122"/>
      <c r="U563" s="1122"/>
      <c r="V563" s="1122"/>
      <c r="W563" s="1122"/>
      <c r="X563" s="1122"/>
      <c r="Y563" s="1122"/>
      <c r="Z563" s="1122"/>
      <c r="AA563" s="1122"/>
      <c r="AB563" s="1122"/>
      <c r="AC563" s="1122"/>
      <c r="AD563" s="1123">
        <f t="shared" si="56"/>
        <v>0</v>
      </c>
      <c r="AE563" s="637">
        <f t="shared" si="57"/>
        <v>-1</v>
      </c>
      <c r="AF563" s="638">
        <f t="shared" si="53"/>
        <v>394</v>
      </c>
    </row>
    <row r="564" spans="1:32" x14ac:dyDescent="0.3">
      <c r="A564" s="555" t="s">
        <v>759</v>
      </c>
      <c r="B564" s="693" t="s">
        <v>681</v>
      </c>
      <c r="C564" s="530"/>
      <c r="D564" s="529"/>
      <c r="E564" s="529">
        <v>0</v>
      </c>
      <c r="F564" s="529">
        <v>0</v>
      </c>
      <c r="G564" s="529">
        <v>0</v>
      </c>
      <c r="H564" s="529">
        <v>0</v>
      </c>
      <c r="I564" s="529">
        <v>597630</v>
      </c>
      <c r="J564" s="529">
        <v>0</v>
      </c>
      <c r="K564" s="529">
        <v>0</v>
      </c>
      <c r="L564" s="529">
        <v>0</v>
      </c>
      <c r="M564" s="529">
        <v>0</v>
      </c>
      <c r="N564" s="529">
        <v>0</v>
      </c>
      <c r="O564" s="529">
        <v>0</v>
      </c>
      <c r="P564" s="1498">
        <f t="shared" si="55"/>
        <v>597630</v>
      </c>
      <c r="Q564" s="711">
        <f t="shared" si="54"/>
        <v>597630</v>
      </c>
      <c r="R564" s="1121" t="s">
        <v>251</v>
      </c>
      <c r="S564" s="1122" t="s">
        <v>251</v>
      </c>
      <c r="T564" s="1122">
        <v>45320</v>
      </c>
      <c r="U564" s="1122">
        <v>0</v>
      </c>
      <c r="V564" s="1122">
        <v>0</v>
      </c>
      <c r="W564" s="1122">
        <v>0</v>
      </c>
      <c r="X564" s="1122">
        <v>0</v>
      </c>
      <c r="Y564" s="1122">
        <v>0</v>
      </c>
      <c r="Z564" s="1122"/>
      <c r="AA564" s="1122"/>
      <c r="AB564" s="1122"/>
      <c r="AC564" s="1122"/>
      <c r="AD564" s="1123">
        <f t="shared" si="56"/>
        <v>45320</v>
      </c>
      <c r="AE564" s="637">
        <f t="shared" si="57"/>
        <v>-0.92416712681759616</v>
      </c>
      <c r="AF564" s="638">
        <f t="shared" si="53"/>
        <v>369</v>
      </c>
    </row>
    <row r="565" spans="1:32" x14ac:dyDescent="0.3">
      <c r="A565" s="555" t="s">
        <v>759</v>
      </c>
      <c r="B565" s="693" t="s">
        <v>678</v>
      </c>
      <c r="C565" s="530"/>
      <c r="D565" s="529"/>
      <c r="E565" s="529">
        <v>0</v>
      </c>
      <c r="F565" s="529">
        <v>0</v>
      </c>
      <c r="G565" s="529">
        <v>0</v>
      </c>
      <c r="H565" s="529">
        <v>0</v>
      </c>
      <c r="I565" s="529">
        <v>57180</v>
      </c>
      <c r="J565" s="529">
        <v>0</v>
      </c>
      <c r="K565" s="529">
        <v>0</v>
      </c>
      <c r="L565" s="529">
        <v>0</v>
      </c>
      <c r="M565" s="529">
        <v>0</v>
      </c>
      <c r="N565" s="529">
        <v>0</v>
      </c>
      <c r="O565" s="529">
        <v>0</v>
      </c>
      <c r="P565" s="1498">
        <f t="shared" si="55"/>
        <v>57180</v>
      </c>
      <c r="Q565" s="711">
        <f t="shared" si="54"/>
        <v>57180</v>
      </c>
      <c r="R565" s="1121" t="s">
        <v>251</v>
      </c>
      <c r="S565" s="1122" t="s">
        <v>251</v>
      </c>
      <c r="T565" s="1122"/>
      <c r="U565" s="1122">
        <v>46800</v>
      </c>
      <c r="V565" s="1122">
        <v>0</v>
      </c>
      <c r="W565" s="1122">
        <v>0</v>
      </c>
      <c r="X565" s="1122">
        <v>0</v>
      </c>
      <c r="Y565" s="1122">
        <v>0</v>
      </c>
      <c r="Z565" s="1122"/>
      <c r="AA565" s="1122"/>
      <c r="AB565" s="1122"/>
      <c r="AC565" s="1122"/>
      <c r="AD565" s="1123">
        <f t="shared" si="56"/>
        <v>46800</v>
      </c>
      <c r="AE565" s="637">
        <f t="shared" si="57"/>
        <v>-0.18153200419727178</v>
      </c>
      <c r="AF565" s="638">
        <f t="shared" si="53"/>
        <v>367</v>
      </c>
    </row>
    <row r="566" spans="1:32" x14ac:dyDescent="0.3">
      <c r="A566" s="555" t="s">
        <v>759</v>
      </c>
      <c r="B566" s="693" t="s">
        <v>640</v>
      </c>
      <c r="C566" s="530"/>
      <c r="D566" s="529"/>
      <c r="E566" s="529">
        <v>0</v>
      </c>
      <c r="F566" s="529">
        <v>0</v>
      </c>
      <c r="G566" s="529">
        <v>0</v>
      </c>
      <c r="H566" s="529">
        <v>0</v>
      </c>
      <c r="I566" s="529">
        <v>48600</v>
      </c>
      <c r="J566" s="529">
        <v>0</v>
      </c>
      <c r="K566" s="529">
        <v>0</v>
      </c>
      <c r="L566" s="529">
        <v>0</v>
      </c>
      <c r="M566" s="529">
        <v>0</v>
      </c>
      <c r="N566" s="529">
        <v>0</v>
      </c>
      <c r="O566" s="529">
        <v>0</v>
      </c>
      <c r="P566" s="1498">
        <f t="shared" si="55"/>
        <v>48600</v>
      </c>
      <c r="Q566" s="711">
        <f t="shared" si="54"/>
        <v>48600</v>
      </c>
      <c r="R566" s="1121" t="s">
        <v>251</v>
      </c>
      <c r="S566" s="1122" t="s">
        <v>251</v>
      </c>
      <c r="T566" s="1122"/>
      <c r="U566" s="1122"/>
      <c r="V566" s="1122"/>
      <c r="W566" s="1122"/>
      <c r="X566" s="1122"/>
      <c r="Y566" s="1122">
        <v>63090</v>
      </c>
      <c r="Z566" s="1122"/>
      <c r="AA566" s="1122"/>
      <c r="AB566" s="1122"/>
      <c r="AC566" s="1122"/>
      <c r="AD566" s="1123">
        <f t="shared" si="56"/>
        <v>63090</v>
      </c>
      <c r="AE566" s="637">
        <f t="shared" si="57"/>
        <v>0.29814814814814816</v>
      </c>
      <c r="AF566" s="638">
        <f t="shared" si="53"/>
        <v>361</v>
      </c>
    </row>
    <row r="567" spans="1:32" x14ac:dyDescent="0.3">
      <c r="A567" s="555" t="s">
        <v>759</v>
      </c>
      <c r="B567" s="693" t="s">
        <v>644</v>
      </c>
      <c r="C567" s="530"/>
      <c r="D567" s="529"/>
      <c r="E567" s="529">
        <v>0</v>
      </c>
      <c r="F567" s="529">
        <v>0</v>
      </c>
      <c r="G567" s="529">
        <v>0</v>
      </c>
      <c r="H567" s="529">
        <v>0</v>
      </c>
      <c r="I567" s="529">
        <v>36000</v>
      </c>
      <c r="J567" s="529">
        <v>0</v>
      </c>
      <c r="K567" s="529">
        <v>0</v>
      </c>
      <c r="L567" s="529">
        <v>0</v>
      </c>
      <c r="M567" s="529">
        <v>0</v>
      </c>
      <c r="N567" s="529">
        <v>0</v>
      </c>
      <c r="O567" s="529">
        <v>0</v>
      </c>
      <c r="P567" s="1498">
        <f t="shared" si="55"/>
        <v>36000</v>
      </c>
      <c r="Q567" s="711">
        <f t="shared" si="54"/>
        <v>36000</v>
      </c>
      <c r="R567" s="1121" t="s">
        <v>251</v>
      </c>
      <c r="S567" s="1122" t="s">
        <v>251</v>
      </c>
      <c r="T567" s="1122"/>
      <c r="U567" s="1122"/>
      <c r="V567" s="1122"/>
      <c r="W567" s="1122"/>
      <c r="X567" s="1122"/>
      <c r="Y567" s="1122"/>
      <c r="Z567" s="1122"/>
      <c r="AA567" s="1122"/>
      <c r="AB567" s="1122"/>
      <c r="AC567" s="1122"/>
      <c r="AD567" s="1123">
        <f t="shared" si="56"/>
        <v>0</v>
      </c>
      <c r="AE567" s="637">
        <f t="shared" si="57"/>
        <v>-1</v>
      </c>
      <c r="AF567" s="638">
        <f t="shared" si="53"/>
        <v>394</v>
      </c>
    </row>
    <row r="568" spans="1:32" x14ac:dyDescent="0.3">
      <c r="A568" s="555" t="s">
        <v>759</v>
      </c>
      <c r="B568" s="693" t="s">
        <v>886</v>
      </c>
      <c r="C568" s="530"/>
      <c r="D568" s="529"/>
      <c r="E568" s="529">
        <v>0</v>
      </c>
      <c r="F568" s="529">
        <v>0</v>
      </c>
      <c r="G568" s="529">
        <v>0</v>
      </c>
      <c r="H568" s="529">
        <v>0</v>
      </c>
      <c r="I568" s="529">
        <v>154800</v>
      </c>
      <c r="J568" s="529">
        <v>0</v>
      </c>
      <c r="K568" s="529">
        <v>0</v>
      </c>
      <c r="L568" s="529">
        <v>0</v>
      </c>
      <c r="M568" s="529">
        <v>0</v>
      </c>
      <c r="N568" s="529">
        <v>0</v>
      </c>
      <c r="O568" s="529">
        <v>0</v>
      </c>
      <c r="P568" s="1498">
        <f t="shared" si="55"/>
        <v>154800</v>
      </c>
      <c r="Q568" s="711">
        <f t="shared" si="54"/>
        <v>154800</v>
      </c>
      <c r="R568" s="1121" t="s">
        <v>251</v>
      </c>
      <c r="S568" s="1122" t="s">
        <v>251</v>
      </c>
      <c r="T568" s="1122"/>
      <c r="U568" s="1122"/>
      <c r="V568" s="1122"/>
      <c r="W568" s="1122"/>
      <c r="X568" s="1122"/>
      <c r="Y568" s="1122"/>
      <c r="Z568" s="1122"/>
      <c r="AA568" s="1122"/>
      <c r="AB568" s="1122"/>
      <c r="AC568" s="1122"/>
      <c r="AD568" s="1123">
        <f t="shared" si="56"/>
        <v>0</v>
      </c>
      <c r="AE568" s="637">
        <f t="shared" si="57"/>
        <v>-1</v>
      </c>
      <c r="AF568" s="638">
        <f t="shared" si="53"/>
        <v>394</v>
      </c>
    </row>
    <row r="569" spans="1:32" x14ac:dyDescent="0.3">
      <c r="A569" s="555" t="s">
        <v>759</v>
      </c>
      <c r="B569" s="693" t="s">
        <v>1872</v>
      </c>
      <c r="C569" s="530"/>
      <c r="D569" s="529"/>
      <c r="E569" s="529">
        <v>0</v>
      </c>
      <c r="F569" s="529">
        <v>0</v>
      </c>
      <c r="G569" s="529">
        <v>0</v>
      </c>
      <c r="H569" s="529" t="s">
        <v>251</v>
      </c>
      <c r="I569" s="529">
        <v>252000</v>
      </c>
      <c r="J569" s="529" t="s">
        <v>251</v>
      </c>
      <c r="K569" s="529">
        <v>0</v>
      </c>
      <c r="L569" s="529" t="s">
        <v>251</v>
      </c>
      <c r="M569" s="529" t="s">
        <v>251</v>
      </c>
      <c r="N569" s="529" t="s">
        <v>251</v>
      </c>
      <c r="O569" s="529" t="s">
        <v>251</v>
      </c>
      <c r="P569" s="1498">
        <f t="shared" si="55"/>
        <v>252000</v>
      </c>
      <c r="Q569" s="711">
        <f t="shared" si="54"/>
        <v>252000</v>
      </c>
      <c r="R569" s="1121" t="s">
        <v>251</v>
      </c>
      <c r="S569" s="1122" t="s">
        <v>251</v>
      </c>
      <c r="T569" s="1122"/>
      <c r="U569" s="1122"/>
      <c r="V569" s="1122"/>
      <c r="W569" s="1122"/>
      <c r="X569" s="1122"/>
      <c r="Y569" s="1122"/>
      <c r="Z569" s="1122"/>
      <c r="AA569" s="1122"/>
      <c r="AB569" s="1122"/>
      <c r="AC569" s="1122"/>
      <c r="AD569" s="1123">
        <f t="shared" si="56"/>
        <v>0</v>
      </c>
      <c r="AE569" s="637">
        <f t="shared" si="57"/>
        <v>-1</v>
      </c>
      <c r="AF569" s="638">
        <f t="shared" si="53"/>
        <v>394</v>
      </c>
    </row>
    <row r="570" spans="1:32" x14ac:dyDescent="0.3">
      <c r="A570" s="555" t="s">
        <v>759</v>
      </c>
      <c r="B570" s="693" t="s">
        <v>1856</v>
      </c>
      <c r="C570" s="530"/>
      <c r="D570" s="529"/>
      <c r="E570" s="529">
        <v>0</v>
      </c>
      <c r="F570" s="529">
        <v>0</v>
      </c>
      <c r="G570" s="529">
        <v>0</v>
      </c>
      <c r="H570" s="529">
        <v>0</v>
      </c>
      <c r="I570" s="529">
        <v>0</v>
      </c>
      <c r="J570" s="529">
        <v>20080</v>
      </c>
      <c r="K570" s="529">
        <v>20080</v>
      </c>
      <c r="L570" s="529">
        <v>0</v>
      </c>
      <c r="M570" s="529">
        <v>71220</v>
      </c>
      <c r="N570" s="529">
        <v>0</v>
      </c>
      <c r="O570" s="529">
        <v>0</v>
      </c>
      <c r="P570" s="1498">
        <f t="shared" si="55"/>
        <v>20080</v>
      </c>
      <c r="Q570" s="711">
        <f t="shared" si="54"/>
        <v>91300</v>
      </c>
      <c r="R570" s="1121" t="s">
        <v>251</v>
      </c>
      <c r="S570" s="1122">
        <v>0</v>
      </c>
      <c r="T570" s="1122">
        <v>0</v>
      </c>
      <c r="U570" s="1122">
        <v>0</v>
      </c>
      <c r="V570" s="1122">
        <v>0</v>
      </c>
      <c r="W570" s="1122">
        <v>0</v>
      </c>
      <c r="X570" s="1122">
        <v>0</v>
      </c>
      <c r="Y570" s="1122">
        <v>0</v>
      </c>
      <c r="Z570" s="1122"/>
      <c r="AA570" s="1122"/>
      <c r="AB570" s="1122"/>
      <c r="AC570" s="1122"/>
      <c r="AD570" s="1123">
        <f t="shared" si="56"/>
        <v>0</v>
      </c>
      <c r="AE570" s="637">
        <f t="shared" si="57"/>
        <v>-1</v>
      </c>
      <c r="AF570" s="638">
        <f t="shared" si="53"/>
        <v>394</v>
      </c>
    </row>
    <row r="571" spans="1:32" x14ac:dyDescent="0.3">
      <c r="A571" s="555" t="s">
        <v>759</v>
      </c>
      <c r="B571" s="693" t="s">
        <v>634</v>
      </c>
      <c r="C571" s="530"/>
      <c r="D571" s="529"/>
      <c r="E571" s="529">
        <v>0</v>
      </c>
      <c r="F571" s="529">
        <v>0</v>
      </c>
      <c r="G571" s="529">
        <v>0</v>
      </c>
      <c r="H571" s="529">
        <v>0</v>
      </c>
      <c r="I571" s="529">
        <v>0</v>
      </c>
      <c r="J571" s="529">
        <v>1094760</v>
      </c>
      <c r="K571" s="529">
        <v>277200</v>
      </c>
      <c r="L571" s="529">
        <v>403200</v>
      </c>
      <c r="M571" s="529">
        <v>286020</v>
      </c>
      <c r="N571" s="529">
        <v>118440</v>
      </c>
      <c r="O571" s="529">
        <v>139860</v>
      </c>
      <c r="P571" s="1498">
        <f t="shared" si="55"/>
        <v>277200</v>
      </c>
      <c r="Q571" s="711">
        <f t="shared" si="54"/>
        <v>2042280</v>
      </c>
      <c r="R571" s="1121">
        <v>19800</v>
      </c>
      <c r="S571" s="1122" t="s">
        <v>251</v>
      </c>
      <c r="T571" s="1122">
        <v>2207180</v>
      </c>
      <c r="U571" s="1122">
        <v>1309570</v>
      </c>
      <c r="V571" s="1122">
        <v>1107590</v>
      </c>
      <c r="W571" s="1122">
        <v>280600</v>
      </c>
      <c r="X571" s="1122">
        <v>1338930</v>
      </c>
      <c r="Y571" s="1122">
        <v>154140</v>
      </c>
      <c r="Z571" s="1122"/>
      <c r="AA571" s="1122"/>
      <c r="AB571" s="1122"/>
      <c r="AC571" s="1122"/>
      <c r="AD571" s="1123">
        <f t="shared" si="56"/>
        <v>6417810</v>
      </c>
      <c r="AE571" s="637">
        <f t="shared" si="57"/>
        <v>22.152272727272727</v>
      </c>
      <c r="AF571" s="638">
        <f t="shared" ref="AF571:AF634" si="58">IFERROR(_xlfn.RANK.EQ(AD571, $AD$2:$AD$677), "")</f>
        <v>71</v>
      </c>
    </row>
    <row r="572" spans="1:32" x14ac:dyDescent="0.3">
      <c r="A572" s="555" t="s">
        <v>759</v>
      </c>
      <c r="B572" s="693" t="s">
        <v>1875</v>
      </c>
      <c r="C572" s="530"/>
      <c r="D572" s="529"/>
      <c r="E572" s="529">
        <v>0</v>
      </c>
      <c r="F572" s="529">
        <v>0</v>
      </c>
      <c r="G572" s="529">
        <v>0</v>
      </c>
      <c r="H572" s="529">
        <v>0</v>
      </c>
      <c r="I572" s="529">
        <v>0</v>
      </c>
      <c r="J572" s="529">
        <v>902910</v>
      </c>
      <c r="K572" s="529">
        <v>902910</v>
      </c>
      <c r="L572" s="529">
        <v>9004950</v>
      </c>
      <c r="M572" s="529">
        <v>3812320</v>
      </c>
      <c r="N572" s="529">
        <v>3954980</v>
      </c>
      <c r="O572" s="529">
        <v>1659460</v>
      </c>
      <c r="P572" s="1498">
        <f t="shared" si="55"/>
        <v>902910</v>
      </c>
      <c r="Q572" s="711">
        <f t="shared" si="54"/>
        <v>19334620</v>
      </c>
      <c r="R572" s="1121">
        <v>2581040</v>
      </c>
      <c r="S572" s="1122">
        <v>11039570</v>
      </c>
      <c r="T572" s="1122">
        <v>9576520</v>
      </c>
      <c r="U572" s="1122">
        <v>2897330</v>
      </c>
      <c r="V572" s="1122">
        <v>2650100</v>
      </c>
      <c r="W572" s="1122">
        <v>3599000</v>
      </c>
      <c r="X572" s="1122">
        <v>959550</v>
      </c>
      <c r="Y572" s="1122">
        <v>1371510</v>
      </c>
      <c r="Z572" s="1122"/>
      <c r="AA572" s="1122"/>
      <c r="AB572" s="1122"/>
      <c r="AC572" s="1122"/>
      <c r="AD572" s="1123">
        <f t="shared" si="56"/>
        <v>34674620</v>
      </c>
      <c r="AE572" s="637">
        <f t="shared" si="57"/>
        <v>37.403185256559347</v>
      </c>
      <c r="AF572" s="638">
        <f t="shared" si="58"/>
        <v>9</v>
      </c>
    </row>
    <row r="573" spans="1:32" x14ac:dyDescent="0.3">
      <c r="A573" s="555" t="s">
        <v>759</v>
      </c>
      <c r="B573" s="693" t="s">
        <v>635</v>
      </c>
      <c r="C573" s="530"/>
      <c r="D573" s="529"/>
      <c r="E573" s="529">
        <v>0</v>
      </c>
      <c r="F573" s="529">
        <v>0</v>
      </c>
      <c r="G573" s="529">
        <v>0</v>
      </c>
      <c r="H573" s="529">
        <v>0</v>
      </c>
      <c r="I573" s="529">
        <v>0</v>
      </c>
      <c r="J573" s="529">
        <v>7560</v>
      </c>
      <c r="K573" s="529">
        <v>7560</v>
      </c>
      <c r="L573" s="529">
        <v>0</v>
      </c>
      <c r="M573" s="529">
        <v>0</v>
      </c>
      <c r="N573" s="529">
        <v>0</v>
      </c>
      <c r="O573" s="529">
        <v>0</v>
      </c>
      <c r="P573" s="1498">
        <f t="shared" si="55"/>
        <v>7560</v>
      </c>
      <c r="Q573" s="711">
        <f t="shared" ref="Q573:Q636" si="59">SUM(C573:J573,L573:O573)</f>
        <v>7560</v>
      </c>
      <c r="R573" s="1121" t="s">
        <v>251</v>
      </c>
      <c r="S573" s="1122" t="s">
        <v>251</v>
      </c>
      <c r="T573" s="1122"/>
      <c r="U573" s="1122"/>
      <c r="V573" s="1122"/>
      <c r="W573" s="1122">
        <v>0</v>
      </c>
      <c r="X573" s="1122">
        <v>0</v>
      </c>
      <c r="Y573" s="1122">
        <v>0</v>
      </c>
      <c r="Z573" s="1122"/>
      <c r="AA573" s="1122"/>
      <c r="AB573" s="1122"/>
      <c r="AC573" s="1122"/>
      <c r="AD573" s="1123">
        <f t="shared" si="56"/>
        <v>0</v>
      </c>
      <c r="AE573" s="637">
        <f t="shared" si="57"/>
        <v>-1</v>
      </c>
      <c r="AF573" s="638">
        <f t="shared" si="58"/>
        <v>394</v>
      </c>
    </row>
    <row r="574" spans="1:32" x14ac:dyDescent="0.3">
      <c r="A574" s="555" t="s">
        <v>759</v>
      </c>
      <c r="B574" s="693" t="s">
        <v>374</v>
      </c>
      <c r="C574" s="530"/>
      <c r="D574" s="529"/>
      <c r="E574" s="529">
        <v>0</v>
      </c>
      <c r="F574" s="529">
        <v>0</v>
      </c>
      <c r="G574" s="529">
        <v>0</v>
      </c>
      <c r="H574" s="529">
        <v>0</v>
      </c>
      <c r="I574" s="529">
        <v>0</v>
      </c>
      <c r="J574" s="529">
        <v>266880</v>
      </c>
      <c r="K574" s="529">
        <v>266880</v>
      </c>
      <c r="L574" s="529">
        <v>0</v>
      </c>
      <c r="M574" s="529">
        <v>0</v>
      </c>
      <c r="N574" s="529">
        <v>0</v>
      </c>
      <c r="O574" s="529">
        <v>0</v>
      </c>
      <c r="P574" s="1498">
        <f t="shared" si="55"/>
        <v>266880</v>
      </c>
      <c r="Q574" s="711">
        <f t="shared" si="59"/>
        <v>266880</v>
      </c>
      <c r="R574" s="1121" t="s">
        <v>251</v>
      </c>
      <c r="S574" s="1122">
        <v>30420</v>
      </c>
      <c r="T574" s="1122">
        <v>0</v>
      </c>
      <c r="U574" s="1122">
        <v>0</v>
      </c>
      <c r="V574" s="1122">
        <v>0</v>
      </c>
      <c r="W574" s="1122">
        <v>0</v>
      </c>
      <c r="X574" s="1122">
        <v>0</v>
      </c>
      <c r="Y574" s="1122">
        <v>0</v>
      </c>
      <c r="Z574" s="1122"/>
      <c r="AA574" s="1122"/>
      <c r="AB574" s="1122"/>
      <c r="AC574" s="1122"/>
      <c r="AD574" s="1123">
        <f t="shared" si="56"/>
        <v>30420</v>
      </c>
      <c r="AE574" s="637">
        <f t="shared" si="57"/>
        <v>-0.88601618705035967</v>
      </c>
      <c r="AF574" s="638">
        <f t="shared" si="58"/>
        <v>378</v>
      </c>
    </row>
    <row r="575" spans="1:32" x14ac:dyDescent="0.3">
      <c r="A575" s="555" t="s">
        <v>759</v>
      </c>
      <c r="B575" s="693" t="s">
        <v>1884</v>
      </c>
      <c r="C575" s="530"/>
      <c r="D575" s="529"/>
      <c r="E575" s="529">
        <v>0</v>
      </c>
      <c r="F575" s="529">
        <v>0</v>
      </c>
      <c r="G575" s="529">
        <v>0</v>
      </c>
      <c r="H575" s="529">
        <v>0</v>
      </c>
      <c r="I575" s="529">
        <v>0</v>
      </c>
      <c r="J575" s="529">
        <v>498240</v>
      </c>
      <c r="K575" s="529"/>
      <c r="L575" s="529">
        <v>146160</v>
      </c>
      <c r="M575" s="529">
        <v>622800</v>
      </c>
      <c r="N575" s="529">
        <v>996480</v>
      </c>
      <c r="O575" s="529">
        <v>0</v>
      </c>
      <c r="P575" s="1498">
        <f t="shared" si="55"/>
        <v>0</v>
      </c>
      <c r="Q575" s="711">
        <f t="shared" si="59"/>
        <v>2263680</v>
      </c>
      <c r="R575" s="1121" t="s">
        <v>251</v>
      </c>
      <c r="S575" s="1122">
        <v>269880</v>
      </c>
      <c r="T575" s="1122">
        <v>202410</v>
      </c>
      <c r="U575" s="1122">
        <v>615800</v>
      </c>
      <c r="V575" s="1122">
        <v>0</v>
      </c>
      <c r="W575" s="1122">
        <v>40950</v>
      </c>
      <c r="X575" s="1122">
        <v>786240</v>
      </c>
      <c r="Y575" s="1122">
        <v>0</v>
      </c>
      <c r="Z575" s="1122"/>
      <c r="AA575" s="1122"/>
      <c r="AB575" s="1122"/>
      <c r="AC575" s="1122"/>
      <c r="AD575" s="1123">
        <f t="shared" si="56"/>
        <v>1915280</v>
      </c>
      <c r="AE575" s="637">
        <f t="shared" si="57"/>
        <v>1</v>
      </c>
      <c r="AF575" s="638">
        <f t="shared" si="58"/>
        <v>150</v>
      </c>
    </row>
    <row r="576" spans="1:32" x14ac:dyDescent="0.3">
      <c r="A576" s="555" t="s">
        <v>759</v>
      </c>
      <c r="B576" s="693" t="s">
        <v>267</v>
      </c>
      <c r="C576" s="530"/>
      <c r="D576" s="529"/>
      <c r="E576" s="529">
        <v>0</v>
      </c>
      <c r="F576" s="529">
        <v>0</v>
      </c>
      <c r="G576" s="529">
        <v>0</v>
      </c>
      <c r="H576" s="529">
        <v>0</v>
      </c>
      <c r="I576" s="529">
        <v>0</v>
      </c>
      <c r="J576" s="529">
        <v>258120</v>
      </c>
      <c r="K576" s="529">
        <v>258120</v>
      </c>
      <c r="L576" s="529">
        <v>0</v>
      </c>
      <c r="M576" s="529">
        <v>0</v>
      </c>
      <c r="N576" s="529">
        <v>0</v>
      </c>
      <c r="O576" s="529">
        <v>0</v>
      </c>
      <c r="P576" s="1498">
        <f t="shared" si="55"/>
        <v>258120</v>
      </c>
      <c r="Q576" s="711">
        <f t="shared" si="59"/>
        <v>258120</v>
      </c>
      <c r="R576" s="1121" t="s">
        <v>251</v>
      </c>
      <c r="S576" s="1122" t="s">
        <v>251</v>
      </c>
      <c r="T576" s="1122"/>
      <c r="U576" s="1122"/>
      <c r="V576" s="1122"/>
      <c r="W576" s="1122"/>
      <c r="X576" s="1122"/>
      <c r="Y576" s="1122"/>
      <c r="Z576" s="1122"/>
      <c r="AA576" s="1122"/>
      <c r="AB576" s="1122"/>
      <c r="AC576" s="1122"/>
      <c r="AD576" s="1123">
        <f t="shared" si="56"/>
        <v>0</v>
      </c>
      <c r="AE576" s="637">
        <f t="shared" si="57"/>
        <v>-1</v>
      </c>
      <c r="AF576" s="638">
        <f t="shared" si="58"/>
        <v>394</v>
      </c>
    </row>
    <row r="577" spans="1:32" x14ac:dyDescent="0.3">
      <c r="A577" s="555" t="s">
        <v>759</v>
      </c>
      <c r="B577" s="693" t="s">
        <v>1889</v>
      </c>
      <c r="C577" s="530"/>
      <c r="D577" s="529"/>
      <c r="E577" s="529">
        <v>0</v>
      </c>
      <c r="F577" s="529">
        <v>0</v>
      </c>
      <c r="G577" s="529">
        <v>0</v>
      </c>
      <c r="H577" s="529">
        <v>0</v>
      </c>
      <c r="I577" s="529">
        <v>0</v>
      </c>
      <c r="J577" s="529">
        <v>108410</v>
      </c>
      <c r="K577" s="529">
        <v>108410</v>
      </c>
      <c r="L577" s="529">
        <v>0</v>
      </c>
      <c r="M577" s="529">
        <v>0</v>
      </c>
      <c r="N577" s="529">
        <v>0</v>
      </c>
      <c r="O577" s="529">
        <v>0</v>
      </c>
      <c r="P577" s="1498">
        <f t="shared" si="55"/>
        <v>108410</v>
      </c>
      <c r="Q577" s="711">
        <f t="shared" si="59"/>
        <v>108410</v>
      </c>
      <c r="R577" s="1121" t="s">
        <v>251</v>
      </c>
      <c r="S577" s="1122" t="s">
        <v>251</v>
      </c>
      <c r="T577" s="1122"/>
      <c r="U577" s="1122"/>
      <c r="V577" s="1122"/>
      <c r="W577" s="1122"/>
      <c r="X577" s="1122"/>
      <c r="Y577" s="1122"/>
      <c r="Z577" s="1122"/>
      <c r="AA577" s="1122"/>
      <c r="AB577" s="1122"/>
      <c r="AC577" s="1122"/>
      <c r="AD577" s="1123">
        <f t="shared" si="56"/>
        <v>0</v>
      </c>
      <c r="AE577" s="637">
        <f t="shared" si="57"/>
        <v>-1</v>
      </c>
      <c r="AF577" s="638">
        <f t="shared" si="58"/>
        <v>394</v>
      </c>
    </row>
    <row r="578" spans="1:32" x14ac:dyDescent="0.3">
      <c r="A578" s="555" t="s">
        <v>759</v>
      </c>
      <c r="B578" s="693" t="s">
        <v>1890</v>
      </c>
      <c r="C578" s="530"/>
      <c r="D578" s="529"/>
      <c r="E578" s="529">
        <v>0</v>
      </c>
      <c r="F578" s="529">
        <v>0</v>
      </c>
      <c r="G578" s="529">
        <v>0</v>
      </c>
      <c r="H578" s="529">
        <v>0</v>
      </c>
      <c r="I578" s="529">
        <v>0</v>
      </c>
      <c r="J578" s="529">
        <v>75600</v>
      </c>
      <c r="K578" s="529">
        <v>75600</v>
      </c>
      <c r="L578" s="529">
        <v>12600</v>
      </c>
      <c r="M578" s="529">
        <v>0</v>
      </c>
      <c r="N578" s="529">
        <v>0</v>
      </c>
      <c r="O578" s="529">
        <v>0</v>
      </c>
      <c r="P578" s="1498">
        <f t="shared" si="55"/>
        <v>75600</v>
      </c>
      <c r="Q578" s="711">
        <f t="shared" si="59"/>
        <v>88200</v>
      </c>
      <c r="R578" s="1121" t="s">
        <v>251</v>
      </c>
      <c r="S578" s="1122" t="s">
        <v>251</v>
      </c>
      <c r="T578" s="1122"/>
      <c r="U578" s="1122"/>
      <c r="V578" s="1122"/>
      <c r="W578" s="1122"/>
      <c r="X578" s="1122"/>
      <c r="Y578" s="1122"/>
      <c r="Z578" s="1122"/>
      <c r="AA578" s="1122"/>
      <c r="AB578" s="1122"/>
      <c r="AC578" s="1122"/>
      <c r="AD578" s="1123">
        <f t="shared" si="56"/>
        <v>0</v>
      </c>
      <c r="AE578" s="637">
        <f t="shared" si="57"/>
        <v>-1</v>
      </c>
      <c r="AF578" s="638">
        <f t="shared" si="58"/>
        <v>394</v>
      </c>
    </row>
    <row r="579" spans="1:32" x14ac:dyDescent="0.3">
      <c r="A579" s="555" t="s">
        <v>759</v>
      </c>
      <c r="B579" s="693" t="s">
        <v>1893</v>
      </c>
      <c r="C579" s="530"/>
      <c r="D579" s="529"/>
      <c r="E579" s="529">
        <v>0</v>
      </c>
      <c r="F579" s="529">
        <v>0</v>
      </c>
      <c r="G579" s="529">
        <v>0</v>
      </c>
      <c r="H579" s="529">
        <v>0</v>
      </c>
      <c r="I579" s="529">
        <v>0</v>
      </c>
      <c r="J579" s="529">
        <v>0</v>
      </c>
      <c r="K579" s="529"/>
      <c r="L579" s="529">
        <v>2463000</v>
      </c>
      <c r="M579" s="529">
        <v>2977630</v>
      </c>
      <c r="N579" s="529">
        <v>2016210</v>
      </c>
      <c r="O579" s="529">
        <v>2164430</v>
      </c>
      <c r="P579" s="1498">
        <f t="shared" si="55"/>
        <v>0</v>
      </c>
      <c r="Q579" s="711">
        <f t="shared" si="59"/>
        <v>9621270</v>
      </c>
      <c r="R579" s="1121" t="s">
        <v>251</v>
      </c>
      <c r="S579" s="1122" t="s">
        <v>251</v>
      </c>
      <c r="T579" s="1122"/>
      <c r="U579" s="1122"/>
      <c r="V579" s="1122"/>
      <c r="W579" s="1122"/>
      <c r="X579" s="1122"/>
      <c r="Y579" s="1122"/>
      <c r="Z579" s="1122"/>
      <c r="AA579" s="1122"/>
      <c r="AB579" s="1122"/>
      <c r="AC579" s="1122"/>
      <c r="AD579" s="1123">
        <f t="shared" si="56"/>
        <v>0</v>
      </c>
      <c r="AE579" s="637">
        <f t="shared" si="57"/>
        <v>0</v>
      </c>
      <c r="AF579" s="638">
        <f t="shared" si="58"/>
        <v>394</v>
      </c>
    </row>
    <row r="580" spans="1:32" x14ac:dyDescent="0.3">
      <c r="A580" s="555" t="s">
        <v>759</v>
      </c>
      <c r="B580" s="693" t="s">
        <v>800</v>
      </c>
      <c r="C580" s="530"/>
      <c r="D580" s="529"/>
      <c r="E580" s="529">
        <v>0</v>
      </c>
      <c r="F580" s="529">
        <v>0</v>
      </c>
      <c r="G580" s="529">
        <v>0</v>
      </c>
      <c r="H580" s="529">
        <v>0</v>
      </c>
      <c r="I580" s="529">
        <v>0</v>
      </c>
      <c r="J580" s="529">
        <v>0</v>
      </c>
      <c r="K580" s="529"/>
      <c r="L580" s="529">
        <v>245420</v>
      </c>
      <c r="M580" s="529">
        <v>294210</v>
      </c>
      <c r="N580" s="529">
        <v>0</v>
      </c>
      <c r="O580" s="529">
        <v>0</v>
      </c>
      <c r="P580" s="1498">
        <f t="shared" si="55"/>
        <v>0</v>
      </c>
      <c r="Q580" s="711">
        <f t="shared" si="59"/>
        <v>539630</v>
      </c>
      <c r="R580" s="1121" t="s">
        <v>251</v>
      </c>
      <c r="S580" s="1122" t="s">
        <v>251</v>
      </c>
      <c r="T580" s="1122"/>
      <c r="U580" s="1122"/>
      <c r="V580" s="1122"/>
      <c r="W580" s="1122"/>
      <c r="X580" s="1122"/>
      <c r="Y580" s="1122"/>
      <c r="Z580" s="1122"/>
      <c r="AA580" s="1122"/>
      <c r="AB580" s="1122"/>
      <c r="AC580" s="1122"/>
      <c r="AD580" s="1123">
        <f t="shared" si="56"/>
        <v>0</v>
      </c>
      <c r="AE580" s="637">
        <f t="shared" si="57"/>
        <v>0</v>
      </c>
      <c r="AF580" s="638">
        <f t="shared" si="58"/>
        <v>394</v>
      </c>
    </row>
    <row r="581" spans="1:32" x14ac:dyDescent="0.3">
      <c r="A581" s="555" t="s">
        <v>759</v>
      </c>
      <c r="B581" s="693" t="s">
        <v>639</v>
      </c>
      <c r="C581" s="530"/>
      <c r="D581" s="529"/>
      <c r="E581" s="529">
        <v>0</v>
      </c>
      <c r="F581" s="529">
        <v>0</v>
      </c>
      <c r="G581" s="529">
        <v>0</v>
      </c>
      <c r="H581" s="529">
        <v>0</v>
      </c>
      <c r="I581" s="529">
        <v>0</v>
      </c>
      <c r="J581" s="529">
        <v>0</v>
      </c>
      <c r="K581" s="529"/>
      <c r="L581" s="529">
        <v>31500</v>
      </c>
      <c r="M581" s="529">
        <v>0</v>
      </c>
      <c r="N581" s="529">
        <v>0</v>
      </c>
      <c r="O581" s="529">
        <v>0</v>
      </c>
      <c r="P581" s="1498">
        <f t="shared" si="55"/>
        <v>0</v>
      </c>
      <c r="Q581" s="711">
        <f t="shared" si="59"/>
        <v>31500</v>
      </c>
      <c r="R581" s="1121" t="s">
        <v>251</v>
      </c>
      <c r="S581" s="1122" t="s">
        <v>251</v>
      </c>
      <c r="T581" s="1122"/>
      <c r="U581" s="1122">
        <v>68240</v>
      </c>
      <c r="V581" s="1122">
        <v>0</v>
      </c>
      <c r="W581" s="1122">
        <v>0</v>
      </c>
      <c r="X581" s="1122">
        <v>0</v>
      </c>
      <c r="Y581" s="1122">
        <v>0</v>
      </c>
      <c r="Z581" s="1122"/>
      <c r="AA581" s="1122"/>
      <c r="AB581" s="1122"/>
      <c r="AC581" s="1122"/>
      <c r="AD581" s="1123">
        <f t="shared" si="56"/>
        <v>68240</v>
      </c>
      <c r="AE581" s="637">
        <f t="shared" si="57"/>
        <v>1</v>
      </c>
      <c r="AF581" s="638">
        <f t="shared" si="58"/>
        <v>358</v>
      </c>
    </row>
    <row r="582" spans="1:32" x14ac:dyDescent="0.3">
      <c r="A582" s="555" t="s">
        <v>759</v>
      </c>
      <c r="B582" s="693" t="s">
        <v>1673</v>
      </c>
      <c r="C582" s="530"/>
      <c r="D582" s="529"/>
      <c r="E582" s="529">
        <v>0</v>
      </c>
      <c r="F582" s="529">
        <v>0</v>
      </c>
      <c r="G582" s="529">
        <v>0</v>
      </c>
      <c r="H582" s="529">
        <v>0</v>
      </c>
      <c r="I582" s="529">
        <v>0</v>
      </c>
      <c r="J582" s="529">
        <v>0</v>
      </c>
      <c r="K582" s="529"/>
      <c r="L582" s="529">
        <v>362840</v>
      </c>
      <c r="M582" s="529">
        <v>0</v>
      </c>
      <c r="N582" s="529">
        <v>0</v>
      </c>
      <c r="O582" s="529">
        <v>0</v>
      </c>
      <c r="P582" s="1498">
        <f t="shared" si="55"/>
        <v>0</v>
      </c>
      <c r="Q582" s="711">
        <f t="shared" si="59"/>
        <v>362840</v>
      </c>
      <c r="R582" s="1121" t="s">
        <v>251</v>
      </c>
      <c r="S582" s="1122" t="s">
        <v>251</v>
      </c>
      <c r="T582" s="1122"/>
      <c r="U582" s="1122"/>
      <c r="V582" s="1122"/>
      <c r="W582" s="1122"/>
      <c r="X582" s="1122"/>
      <c r="Y582" s="1122"/>
      <c r="Z582" s="1122"/>
      <c r="AA582" s="1122"/>
      <c r="AB582" s="1122"/>
      <c r="AC582" s="1122"/>
      <c r="AD582" s="1123">
        <f t="shared" si="56"/>
        <v>0</v>
      </c>
      <c r="AE582" s="637">
        <f t="shared" si="57"/>
        <v>0</v>
      </c>
      <c r="AF582" s="638">
        <f t="shared" si="58"/>
        <v>394</v>
      </c>
    </row>
    <row r="583" spans="1:32" x14ac:dyDescent="0.3">
      <c r="A583" s="555" t="s">
        <v>759</v>
      </c>
      <c r="B583" s="693" t="s">
        <v>1894</v>
      </c>
      <c r="C583" s="530"/>
      <c r="D583" s="529"/>
      <c r="E583" s="529">
        <v>0</v>
      </c>
      <c r="F583" s="529">
        <v>0</v>
      </c>
      <c r="G583" s="529">
        <v>0</v>
      </c>
      <c r="H583" s="529">
        <v>0</v>
      </c>
      <c r="I583" s="529">
        <v>0</v>
      </c>
      <c r="J583" s="529">
        <v>0</v>
      </c>
      <c r="K583" s="529"/>
      <c r="L583" s="529">
        <v>554400</v>
      </c>
      <c r="M583" s="529">
        <v>0</v>
      </c>
      <c r="N583" s="529">
        <v>364500</v>
      </c>
      <c r="O583" s="529">
        <v>0</v>
      </c>
      <c r="P583" s="1498">
        <f t="shared" si="55"/>
        <v>0</v>
      </c>
      <c r="Q583" s="711">
        <f t="shared" si="59"/>
        <v>918900</v>
      </c>
      <c r="R583" s="1121" t="s">
        <v>251</v>
      </c>
      <c r="S583" s="1122" t="s">
        <v>251</v>
      </c>
      <c r="T583" s="1122"/>
      <c r="U583" s="1122"/>
      <c r="V583" s="1122"/>
      <c r="W583" s="1122"/>
      <c r="X583" s="1122"/>
      <c r="Y583" s="1122"/>
      <c r="Z583" s="1122"/>
      <c r="AA583" s="1122"/>
      <c r="AB583" s="1122"/>
      <c r="AC583" s="1122"/>
      <c r="AD583" s="1123">
        <f t="shared" si="56"/>
        <v>0</v>
      </c>
      <c r="AE583" s="637">
        <f t="shared" si="57"/>
        <v>0</v>
      </c>
      <c r="AF583" s="638">
        <f t="shared" si="58"/>
        <v>394</v>
      </c>
    </row>
    <row r="584" spans="1:32" x14ac:dyDescent="0.3">
      <c r="A584" s="555" t="s">
        <v>759</v>
      </c>
      <c r="B584" s="693" t="s">
        <v>1895</v>
      </c>
      <c r="C584" s="530"/>
      <c r="D584" s="529"/>
      <c r="E584" s="529">
        <v>0</v>
      </c>
      <c r="F584" s="529">
        <v>0</v>
      </c>
      <c r="G584" s="529">
        <v>0</v>
      </c>
      <c r="H584" s="529">
        <v>0</v>
      </c>
      <c r="I584" s="529">
        <v>0</v>
      </c>
      <c r="J584" s="529">
        <v>0</v>
      </c>
      <c r="K584" s="529"/>
      <c r="L584" s="529">
        <v>648000</v>
      </c>
      <c r="M584" s="529">
        <v>0</v>
      </c>
      <c r="N584" s="529">
        <v>0</v>
      </c>
      <c r="O584" s="529">
        <v>0</v>
      </c>
      <c r="P584" s="1498">
        <f t="shared" si="55"/>
        <v>0</v>
      </c>
      <c r="Q584" s="711">
        <f t="shared" si="59"/>
        <v>648000</v>
      </c>
      <c r="R584" s="1121" t="s">
        <v>251</v>
      </c>
      <c r="S584" s="1122" t="s">
        <v>251</v>
      </c>
      <c r="T584" s="1122"/>
      <c r="U584" s="1122"/>
      <c r="V584" s="1122"/>
      <c r="W584" s="1122"/>
      <c r="X584" s="1122"/>
      <c r="Y584" s="1122"/>
      <c r="Z584" s="1122"/>
      <c r="AA584" s="1122"/>
      <c r="AB584" s="1122"/>
      <c r="AC584" s="1122"/>
      <c r="AD584" s="1123">
        <f t="shared" si="56"/>
        <v>0</v>
      </c>
      <c r="AE584" s="637">
        <f t="shared" si="57"/>
        <v>0</v>
      </c>
      <c r="AF584" s="638">
        <f t="shared" si="58"/>
        <v>394</v>
      </c>
    </row>
    <row r="585" spans="1:32" x14ac:dyDescent="0.3">
      <c r="A585" s="555" t="s">
        <v>759</v>
      </c>
      <c r="B585" s="693" t="s">
        <v>1896</v>
      </c>
      <c r="C585" s="530"/>
      <c r="D585" s="529"/>
      <c r="E585" s="529">
        <v>0</v>
      </c>
      <c r="F585" s="529">
        <v>0</v>
      </c>
      <c r="G585" s="529">
        <v>0</v>
      </c>
      <c r="H585" s="529" t="s">
        <v>251</v>
      </c>
      <c r="I585" s="529">
        <v>0</v>
      </c>
      <c r="J585" s="529" t="s">
        <v>251</v>
      </c>
      <c r="K585" s="529"/>
      <c r="L585" s="529">
        <v>235100</v>
      </c>
      <c r="M585" s="529" t="s">
        <v>251</v>
      </c>
      <c r="N585" s="529" t="s">
        <v>251</v>
      </c>
      <c r="O585" s="529" t="s">
        <v>251</v>
      </c>
      <c r="P585" s="1498">
        <f t="shared" si="55"/>
        <v>0</v>
      </c>
      <c r="Q585" s="711">
        <f t="shared" si="59"/>
        <v>235100</v>
      </c>
      <c r="R585" s="1121" t="s">
        <v>251</v>
      </c>
      <c r="S585" s="1122" t="s">
        <v>251</v>
      </c>
      <c r="T585" s="1122"/>
      <c r="U585" s="1122"/>
      <c r="V585" s="1122"/>
      <c r="W585" s="1122"/>
      <c r="X585" s="1122"/>
      <c r="Y585" s="1122"/>
      <c r="Z585" s="1122"/>
      <c r="AA585" s="1122"/>
      <c r="AB585" s="1122"/>
      <c r="AC585" s="1122"/>
      <c r="AD585" s="1123">
        <f t="shared" si="56"/>
        <v>0</v>
      </c>
      <c r="AE585" s="637">
        <f t="shared" si="57"/>
        <v>0</v>
      </c>
      <c r="AF585" s="638">
        <f t="shared" si="58"/>
        <v>394</v>
      </c>
    </row>
    <row r="586" spans="1:32" x14ac:dyDescent="0.3">
      <c r="A586" s="555" t="s">
        <v>759</v>
      </c>
      <c r="B586" s="693" t="s">
        <v>1897</v>
      </c>
      <c r="C586" s="530"/>
      <c r="D586" s="529"/>
      <c r="E586" s="529">
        <v>0</v>
      </c>
      <c r="F586" s="529">
        <v>0</v>
      </c>
      <c r="G586" s="529">
        <v>0</v>
      </c>
      <c r="H586" s="529">
        <v>0</v>
      </c>
      <c r="I586" s="529">
        <v>0</v>
      </c>
      <c r="J586" s="529">
        <v>0</v>
      </c>
      <c r="K586" s="529"/>
      <c r="L586" s="529">
        <v>45000</v>
      </c>
      <c r="M586" s="529">
        <v>0</v>
      </c>
      <c r="N586" s="529">
        <v>0</v>
      </c>
      <c r="O586" s="529">
        <v>0</v>
      </c>
      <c r="P586" s="1498">
        <f t="shared" ref="P586:P649" si="60">SUM(C586:I586,K586)</f>
        <v>0</v>
      </c>
      <c r="Q586" s="711">
        <f t="shared" si="59"/>
        <v>45000</v>
      </c>
      <c r="R586" s="1121" t="s">
        <v>251</v>
      </c>
      <c r="S586" s="1122" t="s">
        <v>251</v>
      </c>
      <c r="T586" s="1122"/>
      <c r="U586" s="1122"/>
      <c r="V586" s="1122"/>
      <c r="W586" s="1122"/>
      <c r="X586" s="1122"/>
      <c r="Y586" s="1122"/>
      <c r="Z586" s="1122"/>
      <c r="AA586" s="1122"/>
      <c r="AB586" s="1122"/>
      <c r="AC586" s="1122"/>
      <c r="AD586" s="1123">
        <f t="shared" si="56"/>
        <v>0</v>
      </c>
      <c r="AE586" s="637">
        <f t="shared" si="57"/>
        <v>0</v>
      </c>
      <c r="AF586" s="638">
        <f t="shared" si="58"/>
        <v>394</v>
      </c>
    </row>
    <row r="587" spans="1:32" x14ac:dyDescent="0.3">
      <c r="A587" s="555" t="s">
        <v>759</v>
      </c>
      <c r="B587" s="693" t="s">
        <v>1898</v>
      </c>
      <c r="C587" s="530"/>
      <c r="D587" s="529"/>
      <c r="E587" s="529">
        <v>0</v>
      </c>
      <c r="F587" s="529">
        <v>0</v>
      </c>
      <c r="G587" s="529">
        <v>0</v>
      </c>
      <c r="H587" s="529">
        <v>0</v>
      </c>
      <c r="I587" s="529">
        <v>0</v>
      </c>
      <c r="J587" s="529">
        <v>0</v>
      </c>
      <c r="K587" s="529"/>
      <c r="L587" s="529">
        <v>38550</v>
      </c>
      <c r="M587" s="529">
        <v>0</v>
      </c>
      <c r="N587" s="529">
        <v>0</v>
      </c>
      <c r="O587" s="529">
        <v>0</v>
      </c>
      <c r="P587" s="1498">
        <f t="shared" si="60"/>
        <v>0</v>
      </c>
      <c r="Q587" s="711">
        <f t="shared" si="59"/>
        <v>38550</v>
      </c>
      <c r="R587" s="1121" t="s">
        <v>251</v>
      </c>
      <c r="S587" s="1122" t="s">
        <v>251</v>
      </c>
      <c r="T587" s="1122"/>
      <c r="U587" s="1122"/>
      <c r="V587" s="1122"/>
      <c r="W587" s="1122"/>
      <c r="X587" s="1122"/>
      <c r="Y587" s="1122"/>
      <c r="Z587" s="1122"/>
      <c r="AA587" s="1122"/>
      <c r="AB587" s="1122"/>
      <c r="AC587" s="1122"/>
      <c r="AD587" s="1123">
        <f t="shared" si="56"/>
        <v>0</v>
      </c>
      <c r="AE587" s="637">
        <f t="shared" si="57"/>
        <v>0</v>
      </c>
      <c r="AF587" s="638">
        <f t="shared" si="58"/>
        <v>394</v>
      </c>
    </row>
    <row r="588" spans="1:32" x14ac:dyDescent="0.3">
      <c r="A588" s="555" t="s">
        <v>759</v>
      </c>
      <c r="B588" s="693" t="s">
        <v>1899</v>
      </c>
      <c r="C588" s="530"/>
      <c r="D588" s="529"/>
      <c r="E588" s="529">
        <v>0</v>
      </c>
      <c r="F588" s="529">
        <v>0</v>
      </c>
      <c r="G588" s="529">
        <v>0</v>
      </c>
      <c r="H588" s="529">
        <v>0</v>
      </c>
      <c r="I588" s="529">
        <v>0</v>
      </c>
      <c r="J588" s="529">
        <v>0</v>
      </c>
      <c r="K588" s="529"/>
      <c r="L588" s="529">
        <v>30600</v>
      </c>
      <c r="M588" s="529">
        <v>0</v>
      </c>
      <c r="N588" s="529">
        <v>0</v>
      </c>
      <c r="O588" s="529">
        <v>0</v>
      </c>
      <c r="P588" s="1498">
        <f t="shared" si="60"/>
        <v>0</v>
      </c>
      <c r="Q588" s="711">
        <f t="shared" si="59"/>
        <v>30600</v>
      </c>
      <c r="R588" s="1121" t="s">
        <v>251</v>
      </c>
      <c r="S588" s="1122" t="s">
        <v>251</v>
      </c>
      <c r="T588" s="1122"/>
      <c r="U588" s="1122"/>
      <c r="V588" s="1122"/>
      <c r="W588" s="1122"/>
      <c r="X588" s="1122"/>
      <c r="Y588" s="1122"/>
      <c r="Z588" s="1122"/>
      <c r="AA588" s="1122"/>
      <c r="AB588" s="1122"/>
      <c r="AC588" s="1122"/>
      <c r="AD588" s="1123">
        <f t="shared" si="56"/>
        <v>0</v>
      </c>
      <c r="AE588" s="637">
        <f t="shared" si="57"/>
        <v>0</v>
      </c>
      <c r="AF588" s="638">
        <f t="shared" si="58"/>
        <v>394</v>
      </c>
    </row>
    <row r="589" spans="1:32" x14ac:dyDescent="0.3">
      <c r="A589" s="555" t="s">
        <v>759</v>
      </c>
      <c r="B589" s="693" t="s">
        <v>1916</v>
      </c>
      <c r="C589" s="530"/>
      <c r="D589" s="529"/>
      <c r="E589" s="529">
        <v>0</v>
      </c>
      <c r="F589" s="529">
        <v>0</v>
      </c>
      <c r="G589" s="529">
        <v>0</v>
      </c>
      <c r="H589" s="529" t="s">
        <v>251</v>
      </c>
      <c r="I589" s="529">
        <v>0</v>
      </c>
      <c r="J589" s="529" t="s">
        <v>251</v>
      </c>
      <c r="K589" s="529"/>
      <c r="L589" s="529" t="s">
        <v>251</v>
      </c>
      <c r="M589" s="529">
        <v>235530</v>
      </c>
      <c r="N589" s="529" t="s">
        <v>251</v>
      </c>
      <c r="O589" s="529" t="s">
        <v>251</v>
      </c>
      <c r="P589" s="1498">
        <f t="shared" si="60"/>
        <v>0</v>
      </c>
      <c r="Q589" s="711">
        <f t="shared" si="59"/>
        <v>235530</v>
      </c>
      <c r="R589" s="1121" t="s">
        <v>251</v>
      </c>
      <c r="S589" s="1122" t="s">
        <v>251</v>
      </c>
      <c r="T589" s="1122"/>
      <c r="U589" s="1122"/>
      <c r="V589" s="1122"/>
      <c r="W589" s="1122"/>
      <c r="X589" s="1122"/>
      <c r="Y589" s="1122"/>
      <c r="Z589" s="1122"/>
      <c r="AA589" s="1122"/>
      <c r="AB589" s="1122"/>
      <c r="AC589" s="1122"/>
      <c r="AD589" s="1123">
        <f t="shared" si="56"/>
        <v>0</v>
      </c>
      <c r="AE589" s="637">
        <f t="shared" si="57"/>
        <v>0</v>
      </c>
      <c r="AF589" s="638">
        <f t="shared" si="58"/>
        <v>394</v>
      </c>
    </row>
    <row r="590" spans="1:32" x14ac:dyDescent="0.3">
      <c r="A590" s="555" t="s">
        <v>759</v>
      </c>
      <c r="B590" s="693" t="s">
        <v>1917</v>
      </c>
      <c r="C590" s="530"/>
      <c r="D590" s="529"/>
      <c r="E590" s="529" t="s">
        <v>251</v>
      </c>
      <c r="F590" s="529" t="s">
        <v>251</v>
      </c>
      <c r="G590" s="529" t="s">
        <v>251</v>
      </c>
      <c r="H590" s="529">
        <v>0</v>
      </c>
      <c r="I590" s="529" t="s">
        <v>251</v>
      </c>
      <c r="J590" s="529">
        <v>0</v>
      </c>
      <c r="K590" s="529"/>
      <c r="L590" s="529">
        <v>0</v>
      </c>
      <c r="M590" s="529">
        <v>175390</v>
      </c>
      <c r="N590" s="529">
        <v>0</v>
      </c>
      <c r="O590" s="529">
        <v>0</v>
      </c>
      <c r="P590" s="1498">
        <f t="shared" si="60"/>
        <v>0</v>
      </c>
      <c r="Q590" s="711">
        <f t="shared" si="59"/>
        <v>175390</v>
      </c>
      <c r="R590" s="1121" t="s">
        <v>251</v>
      </c>
      <c r="S590" s="1122" t="s">
        <v>251</v>
      </c>
      <c r="T590" s="1122"/>
      <c r="U590" s="1122"/>
      <c r="V590" s="1122"/>
      <c r="W590" s="1122"/>
      <c r="X590" s="1122"/>
      <c r="Y590" s="1122"/>
      <c r="Z590" s="1122"/>
      <c r="AA590" s="1122"/>
      <c r="AB590" s="1122"/>
      <c r="AC590" s="1122"/>
      <c r="AD590" s="1123">
        <f t="shared" si="56"/>
        <v>0</v>
      </c>
      <c r="AE590" s="637">
        <f t="shared" si="57"/>
        <v>0</v>
      </c>
      <c r="AF590" s="638">
        <f t="shared" si="58"/>
        <v>394</v>
      </c>
    </row>
    <row r="591" spans="1:32" x14ac:dyDescent="0.3">
      <c r="A591" s="555" t="s">
        <v>759</v>
      </c>
      <c r="B591" s="693" t="s">
        <v>1918</v>
      </c>
      <c r="C591" s="530"/>
      <c r="D591" s="529"/>
      <c r="E591" s="529">
        <v>0</v>
      </c>
      <c r="F591" s="529">
        <v>0</v>
      </c>
      <c r="G591" s="529">
        <v>0</v>
      </c>
      <c r="H591" s="529">
        <v>0</v>
      </c>
      <c r="I591" s="529">
        <v>0</v>
      </c>
      <c r="J591" s="529">
        <v>0</v>
      </c>
      <c r="K591" s="529"/>
      <c r="L591" s="529">
        <v>0</v>
      </c>
      <c r="M591" s="529">
        <v>91800</v>
      </c>
      <c r="N591" s="529">
        <v>0</v>
      </c>
      <c r="O591" s="529">
        <v>0</v>
      </c>
      <c r="P591" s="1498">
        <f t="shared" si="60"/>
        <v>0</v>
      </c>
      <c r="Q591" s="711">
        <f t="shared" si="59"/>
        <v>91800</v>
      </c>
      <c r="R591" s="1121" t="s">
        <v>251</v>
      </c>
      <c r="S591" s="1122" t="s">
        <v>251</v>
      </c>
      <c r="T591" s="1122"/>
      <c r="U591" s="1122"/>
      <c r="V591" s="1122"/>
      <c r="W591" s="1122"/>
      <c r="X591" s="1122"/>
      <c r="Y591" s="1122"/>
      <c r="Z591" s="1122"/>
      <c r="AA591" s="1122"/>
      <c r="AB591" s="1122"/>
      <c r="AC591" s="1122"/>
      <c r="AD591" s="1123">
        <f t="shared" si="56"/>
        <v>0</v>
      </c>
      <c r="AE591" s="637">
        <f t="shared" si="57"/>
        <v>0</v>
      </c>
      <c r="AF591" s="638">
        <f t="shared" si="58"/>
        <v>394</v>
      </c>
    </row>
    <row r="592" spans="1:32" x14ac:dyDescent="0.3">
      <c r="A592" s="555" t="s">
        <v>759</v>
      </c>
      <c r="B592" s="693" t="s">
        <v>1919</v>
      </c>
      <c r="C592" s="530"/>
      <c r="D592" s="529"/>
      <c r="E592" s="529">
        <v>0</v>
      </c>
      <c r="F592" s="529">
        <v>0</v>
      </c>
      <c r="G592" s="529">
        <v>0</v>
      </c>
      <c r="H592" s="529">
        <v>0</v>
      </c>
      <c r="I592" s="529">
        <v>0</v>
      </c>
      <c r="J592" s="529">
        <v>0</v>
      </c>
      <c r="K592" s="529"/>
      <c r="L592" s="529">
        <v>0</v>
      </c>
      <c r="M592" s="529">
        <v>12110</v>
      </c>
      <c r="N592" s="529">
        <v>0</v>
      </c>
      <c r="O592" s="529">
        <v>0</v>
      </c>
      <c r="P592" s="1498">
        <f t="shared" si="60"/>
        <v>0</v>
      </c>
      <c r="Q592" s="711">
        <f t="shared" si="59"/>
        <v>12110</v>
      </c>
      <c r="R592" s="1121" t="s">
        <v>251</v>
      </c>
      <c r="S592" s="1122" t="s">
        <v>251</v>
      </c>
      <c r="T592" s="1122"/>
      <c r="U592" s="1122"/>
      <c r="V592" s="1122"/>
      <c r="W592" s="1122">
        <v>3573350</v>
      </c>
      <c r="X592" s="1122">
        <v>0</v>
      </c>
      <c r="Y592" s="1122">
        <v>0</v>
      </c>
      <c r="Z592" s="1122"/>
      <c r="AA592" s="1122"/>
      <c r="AB592" s="1122"/>
      <c r="AC592" s="1122"/>
      <c r="AD592" s="1123">
        <f t="shared" si="56"/>
        <v>3573350</v>
      </c>
      <c r="AE592" s="637">
        <f t="shared" si="57"/>
        <v>1</v>
      </c>
      <c r="AF592" s="638">
        <f t="shared" si="58"/>
        <v>107</v>
      </c>
    </row>
    <row r="593" spans="1:32" x14ac:dyDescent="0.3">
      <c r="A593" s="555" t="s">
        <v>759</v>
      </c>
      <c r="B593" s="693" t="s">
        <v>740</v>
      </c>
      <c r="C593" s="530"/>
      <c r="D593" s="529"/>
      <c r="E593" s="529"/>
      <c r="F593" s="529"/>
      <c r="G593" s="529"/>
      <c r="H593" s="529"/>
      <c r="I593" s="529"/>
      <c r="J593" s="529"/>
      <c r="K593" s="529"/>
      <c r="L593" s="529"/>
      <c r="M593" s="529"/>
      <c r="N593" s="529"/>
      <c r="O593" s="529"/>
      <c r="P593" s="1498">
        <f t="shared" si="60"/>
        <v>0</v>
      </c>
      <c r="Q593" s="711">
        <f t="shared" si="59"/>
        <v>0</v>
      </c>
      <c r="R593" s="1121">
        <v>64800</v>
      </c>
      <c r="S593" s="1122" t="s">
        <v>251</v>
      </c>
      <c r="T593" s="1122">
        <v>0</v>
      </c>
      <c r="U593" s="1122">
        <v>0</v>
      </c>
      <c r="V593" s="1122">
        <v>0</v>
      </c>
      <c r="W593" s="1122">
        <v>0</v>
      </c>
      <c r="X593" s="1122">
        <v>0</v>
      </c>
      <c r="Y593" s="1122">
        <v>0</v>
      </c>
      <c r="Z593" s="1122"/>
      <c r="AA593" s="1122"/>
      <c r="AB593" s="1122"/>
      <c r="AC593" s="1122"/>
      <c r="AD593" s="1123">
        <f t="shared" si="56"/>
        <v>64800</v>
      </c>
      <c r="AE593" s="637">
        <f t="shared" si="57"/>
        <v>1</v>
      </c>
      <c r="AF593" s="638">
        <f t="shared" si="58"/>
        <v>359</v>
      </c>
    </row>
    <row r="594" spans="1:32" x14ac:dyDescent="0.3">
      <c r="A594" s="555" t="s">
        <v>759</v>
      </c>
      <c r="B594" s="693" t="s">
        <v>2495</v>
      </c>
      <c r="C594" s="530"/>
      <c r="D594" s="529"/>
      <c r="E594" s="529"/>
      <c r="F594" s="529"/>
      <c r="G594" s="529"/>
      <c r="H594" s="529"/>
      <c r="I594" s="529"/>
      <c r="J594" s="529"/>
      <c r="K594" s="529"/>
      <c r="L594" s="529"/>
      <c r="M594" s="529"/>
      <c r="N594" s="529"/>
      <c r="O594" s="529"/>
      <c r="P594" s="1498">
        <f t="shared" si="60"/>
        <v>0</v>
      </c>
      <c r="Q594" s="711">
        <f t="shared" si="59"/>
        <v>0</v>
      </c>
      <c r="R594" s="1121">
        <v>247500</v>
      </c>
      <c r="S594" s="1122" t="s">
        <v>251</v>
      </c>
      <c r="T594" s="1122">
        <v>0</v>
      </c>
      <c r="U594" s="1122">
        <v>0</v>
      </c>
      <c r="V594" s="1122">
        <v>0</v>
      </c>
      <c r="W594" s="1122">
        <v>0</v>
      </c>
      <c r="X594" s="1122">
        <v>0</v>
      </c>
      <c r="Y594" s="1122">
        <v>0</v>
      </c>
      <c r="Z594" s="1122"/>
      <c r="AA594" s="1122"/>
      <c r="AB594" s="1122"/>
      <c r="AC594" s="1122"/>
      <c r="AD594" s="1123">
        <f t="shared" si="56"/>
        <v>247500</v>
      </c>
      <c r="AE594" s="637">
        <f t="shared" si="57"/>
        <v>1</v>
      </c>
      <c r="AF594" s="638">
        <f t="shared" si="58"/>
        <v>304</v>
      </c>
    </row>
    <row r="595" spans="1:32" x14ac:dyDescent="0.3">
      <c r="A595" s="555" t="s">
        <v>759</v>
      </c>
      <c r="B595" s="693" t="s">
        <v>661</v>
      </c>
      <c r="C595" s="530"/>
      <c r="D595" s="529"/>
      <c r="E595" s="529"/>
      <c r="F595" s="529"/>
      <c r="G595" s="529"/>
      <c r="H595" s="529"/>
      <c r="I595" s="529"/>
      <c r="J595" s="529"/>
      <c r="K595" s="529"/>
      <c r="L595" s="529"/>
      <c r="M595" s="529"/>
      <c r="N595" s="529"/>
      <c r="O595" s="529"/>
      <c r="P595" s="1498">
        <f t="shared" si="60"/>
        <v>0</v>
      </c>
      <c r="Q595" s="711">
        <f t="shared" si="59"/>
        <v>0</v>
      </c>
      <c r="R595" s="1121">
        <v>207000</v>
      </c>
      <c r="S595" s="1122" t="s">
        <v>251</v>
      </c>
      <c r="T595" s="1122">
        <v>0</v>
      </c>
      <c r="U595" s="1122">
        <v>0</v>
      </c>
      <c r="V595" s="1122">
        <v>238290</v>
      </c>
      <c r="W595" s="1122">
        <v>0</v>
      </c>
      <c r="X595" s="1122">
        <v>0</v>
      </c>
      <c r="Y595" s="1122">
        <v>0</v>
      </c>
      <c r="Z595" s="1122"/>
      <c r="AA595" s="1122"/>
      <c r="AB595" s="1122"/>
      <c r="AC595" s="1122"/>
      <c r="AD595" s="1123">
        <f t="shared" ref="AD595:AD658" si="61">SUM(R595:AC595)</f>
        <v>445290</v>
      </c>
      <c r="AE595" s="637">
        <f t="shared" si="57"/>
        <v>1</v>
      </c>
      <c r="AF595" s="638">
        <f t="shared" si="58"/>
        <v>267</v>
      </c>
    </row>
    <row r="596" spans="1:32" x14ac:dyDescent="0.3">
      <c r="A596" s="555" t="s">
        <v>759</v>
      </c>
      <c r="B596" s="693" t="s">
        <v>254</v>
      </c>
      <c r="C596" s="530"/>
      <c r="D596" s="529"/>
      <c r="E596" s="529"/>
      <c r="F596" s="529"/>
      <c r="G596" s="529"/>
      <c r="H596" s="529"/>
      <c r="I596" s="529"/>
      <c r="J596" s="529"/>
      <c r="K596" s="529">
        <v>0</v>
      </c>
      <c r="L596" s="529"/>
      <c r="M596" s="529"/>
      <c r="N596" s="529"/>
      <c r="O596" s="529"/>
      <c r="P596" s="1498">
        <f t="shared" si="60"/>
        <v>0</v>
      </c>
      <c r="Q596" s="711">
        <f t="shared" si="59"/>
        <v>0</v>
      </c>
      <c r="R596" s="1121">
        <v>63370</v>
      </c>
      <c r="S596" s="1122" t="s">
        <v>251</v>
      </c>
      <c r="T596" s="1122">
        <v>0</v>
      </c>
      <c r="U596" s="1122">
        <v>0</v>
      </c>
      <c r="V596" s="1122">
        <v>0</v>
      </c>
      <c r="W596" s="1122">
        <v>0</v>
      </c>
      <c r="X596" s="1122">
        <v>0</v>
      </c>
      <c r="Y596" s="1122">
        <v>0</v>
      </c>
      <c r="Z596" s="1122"/>
      <c r="AA596" s="1122"/>
      <c r="AB596" s="1122"/>
      <c r="AC596" s="1122"/>
      <c r="AD596" s="1123">
        <f t="shared" si="61"/>
        <v>63370</v>
      </c>
      <c r="AE596" s="637">
        <f t="shared" si="57"/>
        <v>1</v>
      </c>
      <c r="AF596" s="638">
        <f t="shared" si="58"/>
        <v>360</v>
      </c>
    </row>
    <row r="597" spans="1:32" x14ac:dyDescent="0.3">
      <c r="A597" s="555" t="s">
        <v>759</v>
      </c>
      <c r="B597" s="693" t="s">
        <v>1902</v>
      </c>
      <c r="C597" s="530"/>
      <c r="D597" s="529"/>
      <c r="E597" s="529"/>
      <c r="F597" s="529"/>
      <c r="G597" s="529"/>
      <c r="H597" s="529"/>
      <c r="I597" s="529"/>
      <c r="J597" s="529"/>
      <c r="K597" s="529"/>
      <c r="L597" s="529"/>
      <c r="M597" s="529"/>
      <c r="N597" s="529"/>
      <c r="O597" s="529"/>
      <c r="P597" s="1498">
        <f t="shared" si="60"/>
        <v>0</v>
      </c>
      <c r="Q597" s="711">
        <f t="shared" si="59"/>
        <v>0</v>
      </c>
      <c r="R597" s="1121">
        <v>16200</v>
      </c>
      <c r="S597" s="1122" t="s">
        <v>251</v>
      </c>
      <c r="T597" s="1122">
        <v>0</v>
      </c>
      <c r="U597" s="1122">
        <v>0</v>
      </c>
      <c r="V597" s="1122">
        <v>0</v>
      </c>
      <c r="W597" s="1122">
        <v>0</v>
      </c>
      <c r="X597" s="1122">
        <v>0</v>
      </c>
      <c r="Y597" s="1122">
        <v>0</v>
      </c>
      <c r="Z597" s="1122"/>
      <c r="AA597" s="1122"/>
      <c r="AB597" s="1122"/>
      <c r="AC597" s="1122"/>
      <c r="AD597" s="1123">
        <f t="shared" si="61"/>
        <v>16200</v>
      </c>
      <c r="AE597" s="637">
        <f t="shared" si="57"/>
        <v>1</v>
      </c>
      <c r="AF597" s="638">
        <f t="shared" si="58"/>
        <v>387</v>
      </c>
    </row>
    <row r="598" spans="1:32" x14ac:dyDescent="0.3">
      <c r="A598" s="555" t="s">
        <v>759</v>
      </c>
      <c r="B598" s="693" t="s">
        <v>690</v>
      </c>
      <c r="C598" s="530"/>
      <c r="D598" s="529"/>
      <c r="E598" s="529"/>
      <c r="F598" s="529"/>
      <c r="G598" s="529"/>
      <c r="H598" s="529"/>
      <c r="I598" s="529"/>
      <c r="J598" s="529"/>
      <c r="K598" s="529"/>
      <c r="L598" s="529"/>
      <c r="M598" s="529"/>
      <c r="N598" s="529"/>
      <c r="O598" s="529"/>
      <c r="P598" s="1498">
        <f t="shared" si="60"/>
        <v>0</v>
      </c>
      <c r="Q598" s="711">
        <f t="shared" si="59"/>
        <v>0</v>
      </c>
      <c r="R598" s="1121">
        <v>10080</v>
      </c>
      <c r="S598" s="1122" t="s">
        <v>251</v>
      </c>
      <c r="T598" s="1122">
        <v>0</v>
      </c>
      <c r="U598" s="1122">
        <v>0</v>
      </c>
      <c r="V598" s="1122">
        <v>0</v>
      </c>
      <c r="W598" s="1122">
        <v>0</v>
      </c>
      <c r="X598" s="1122">
        <v>163800</v>
      </c>
      <c r="Y598" s="1122">
        <v>31100</v>
      </c>
      <c r="Z598" s="1122"/>
      <c r="AA598" s="1122"/>
      <c r="AB598" s="1122"/>
      <c r="AC598" s="1122"/>
      <c r="AD598" s="1123">
        <f t="shared" si="61"/>
        <v>204980</v>
      </c>
      <c r="AE598" s="637">
        <f t="shared" si="57"/>
        <v>1</v>
      </c>
      <c r="AF598" s="638">
        <f t="shared" si="58"/>
        <v>315</v>
      </c>
    </row>
    <row r="599" spans="1:32" x14ac:dyDescent="0.3">
      <c r="A599" s="555" t="s">
        <v>759</v>
      </c>
      <c r="B599" s="693" t="s">
        <v>1903</v>
      </c>
      <c r="C599" s="530"/>
      <c r="D599" s="529"/>
      <c r="E599" s="529">
        <v>0</v>
      </c>
      <c r="F599" s="529">
        <v>0</v>
      </c>
      <c r="G599" s="529">
        <v>0</v>
      </c>
      <c r="H599" s="529">
        <v>0</v>
      </c>
      <c r="I599" s="529">
        <v>0</v>
      </c>
      <c r="J599" s="529">
        <v>0</v>
      </c>
      <c r="K599" s="529"/>
      <c r="L599" s="529">
        <v>0</v>
      </c>
      <c r="M599" s="529">
        <v>0</v>
      </c>
      <c r="N599" s="529">
        <v>145800</v>
      </c>
      <c r="O599" s="529">
        <v>0</v>
      </c>
      <c r="P599" s="1498">
        <f t="shared" si="60"/>
        <v>0</v>
      </c>
      <c r="Q599" s="711">
        <f t="shared" si="59"/>
        <v>145800</v>
      </c>
      <c r="R599" s="1121" t="s">
        <v>251</v>
      </c>
      <c r="S599" s="1122" t="s">
        <v>251</v>
      </c>
      <c r="T599" s="1122"/>
      <c r="U599" s="1122"/>
      <c r="V599" s="1122"/>
      <c r="W599" s="1122"/>
      <c r="X599" s="1122"/>
      <c r="Y599" s="1122"/>
      <c r="Z599" s="1122"/>
      <c r="AA599" s="1122"/>
      <c r="AB599" s="1122"/>
      <c r="AC599" s="1122"/>
      <c r="AD599" s="1123">
        <f t="shared" si="61"/>
        <v>0</v>
      </c>
      <c r="AE599" s="637">
        <f t="shared" si="57"/>
        <v>0</v>
      </c>
      <c r="AF599" s="638">
        <f t="shared" si="58"/>
        <v>394</v>
      </c>
    </row>
    <row r="600" spans="1:32" x14ac:dyDescent="0.3">
      <c r="A600" s="555" t="s">
        <v>759</v>
      </c>
      <c r="B600" s="693" t="s">
        <v>1930</v>
      </c>
      <c r="C600" s="530"/>
      <c r="D600" s="529"/>
      <c r="E600" s="529">
        <v>0</v>
      </c>
      <c r="F600" s="529">
        <v>0</v>
      </c>
      <c r="G600" s="529">
        <v>0</v>
      </c>
      <c r="H600" s="529">
        <v>0</v>
      </c>
      <c r="I600" s="529">
        <v>0</v>
      </c>
      <c r="J600" s="529">
        <v>0</v>
      </c>
      <c r="K600" s="529"/>
      <c r="L600" s="529">
        <v>0</v>
      </c>
      <c r="M600" s="529">
        <v>0</v>
      </c>
      <c r="N600" s="529">
        <v>1087250</v>
      </c>
      <c r="O600" s="529">
        <v>0</v>
      </c>
      <c r="P600" s="1498">
        <f t="shared" si="60"/>
        <v>0</v>
      </c>
      <c r="Q600" s="711">
        <f t="shared" si="59"/>
        <v>1087250</v>
      </c>
      <c r="R600" s="1121" t="s">
        <v>251</v>
      </c>
      <c r="S600" s="1122" t="s">
        <v>251</v>
      </c>
      <c r="T600" s="1122"/>
      <c r="U600" s="1122"/>
      <c r="V600" s="1122"/>
      <c r="W600" s="1122"/>
      <c r="X600" s="1122"/>
      <c r="Y600" s="1122"/>
      <c r="Z600" s="1122"/>
      <c r="AA600" s="1122"/>
      <c r="AB600" s="1122"/>
      <c r="AC600" s="1122"/>
      <c r="AD600" s="1123">
        <f t="shared" si="61"/>
        <v>0</v>
      </c>
      <c r="AE600" s="637">
        <f t="shared" si="57"/>
        <v>0</v>
      </c>
      <c r="AF600" s="638">
        <f t="shared" si="58"/>
        <v>394</v>
      </c>
    </row>
    <row r="601" spans="1:32" x14ac:dyDescent="0.3">
      <c r="A601" s="555" t="s">
        <v>759</v>
      </c>
      <c r="B601" s="693" t="s">
        <v>364</v>
      </c>
      <c r="C601" s="530"/>
      <c r="D601" s="529"/>
      <c r="E601" s="529">
        <v>0</v>
      </c>
      <c r="F601" s="529">
        <v>0</v>
      </c>
      <c r="G601" s="529">
        <v>0</v>
      </c>
      <c r="H601" s="529" t="s">
        <v>251</v>
      </c>
      <c r="I601" s="529">
        <v>0</v>
      </c>
      <c r="J601" s="529" t="s">
        <v>251</v>
      </c>
      <c r="K601" s="529"/>
      <c r="L601" s="529" t="s">
        <v>251</v>
      </c>
      <c r="M601" s="529" t="s">
        <v>251</v>
      </c>
      <c r="N601" s="529">
        <v>246360</v>
      </c>
      <c r="O601" s="529" t="s">
        <v>251</v>
      </c>
      <c r="P601" s="1498">
        <f t="shared" si="60"/>
        <v>0</v>
      </c>
      <c r="Q601" s="711">
        <f t="shared" si="59"/>
        <v>246360</v>
      </c>
      <c r="R601" s="1121" t="s">
        <v>251</v>
      </c>
      <c r="S601" s="1122" t="s">
        <v>251</v>
      </c>
      <c r="T601" s="1122"/>
      <c r="U601" s="1122"/>
      <c r="V601" s="1122"/>
      <c r="W601" s="1122"/>
      <c r="X601" s="1122"/>
      <c r="Y601" s="1122"/>
      <c r="Z601" s="1122"/>
      <c r="AA601" s="1122"/>
      <c r="AB601" s="1122"/>
      <c r="AC601" s="1122"/>
      <c r="AD601" s="1123">
        <f t="shared" si="61"/>
        <v>0</v>
      </c>
      <c r="AE601" s="637">
        <f t="shared" si="57"/>
        <v>0</v>
      </c>
      <c r="AF601" s="638">
        <f t="shared" si="58"/>
        <v>394</v>
      </c>
    </row>
    <row r="602" spans="1:32" x14ac:dyDescent="0.3">
      <c r="A602" s="555" t="s">
        <v>759</v>
      </c>
      <c r="B602" s="693" t="s">
        <v>1957</v>
      </c>
      <c r="C602" s="530"/>
      <c r="D602" s="529"/>
      <c r="E602" s="529">
        <v>0</v>
      </c>
      <c r="F602" s="529">
        <v>0</v>
      </c>
      <c r="G602" s="529">
        <v>0</v>
      </c>
      <c r="H602" s="529">
        <v>0</v>
      </c>
      <c r="I602" s="529">
        <v>0</v>
      </c>
      <c r="J602" s="529">
        <v>0</v>
      </c>
      <c r="K602" s="529"/>
      <c r="L602" s="529">
        <v>0</v>
      </c>
      <c r="M602" s="529">
        <v>0</v>
      </c>
      <c r="N602" s="529">
        <v>746840</v>
      </c>
      <c r="O602" s="529">
        <v>0</v>
      </c>
      <c r="P602" s="1498">
        <f t="shared" si="60"/>
        <v>0</v>
      </c>
      <c r="Q602" s="711">
        <f t="shared" si="59"/>
        <v>746840</v>
      </c>
      <c r="R602" s="1121" t="s">
        <v>251</v>
      </c>
      <c r="S602" s="1122" t="s">
        <v>251</v>
      </c>
      <c r="T602" s="1122"/>
      <c r="U602" s="1122"/>
      <c r="V602" s="1122"/>
      <c r="W602" s="1122"/>
      <c r="X602" s="1122"/>
      <c r="Y602" s="1122"/>
      <c r="Z602" s="1122"/>
      <c r="AA602" s="1122"/>
      <c r="AB602" s="1122"/>
      <c r="AC602" s="1122"/>
      <c r="AD602" s="1123">
        <f t="shared" si="61"/>
        <v>0</v>
      </c>
      <c r="AE602" s="637">
        <f t="shared" si="57"/>
        <v>0</v>
      </c>
      <c r="AF602" s="638">
        <f t="shared" si="58"/>
        <v>394</v>
      </c>
    </row>
    <row r="603" spans="1:32" x14ac:dyDescent="0.3">
      <c r="A603" s="555" t="s">
        <v>759</v>
      </c>
      <c r="B603" s="693" t="s">
        <v>47</v>
      </c>
      <c r="C603" s="530"/>
      <c r="D603" s="529"/>
      <c r="E603" s="529">
        <v>0</v>
      </c>
      <c r="F603" s="529">
        <v>0</v>
      </c>
      <c r="G603" s="529">
        <v>0</v>
      </c>
      <c r="H603" s="529">
        <v>0</v>
      </c>
      <c r="I603" s="529">
        <v>0</v>
      </c>
      <c r="J603" s="529">
        <v>0</v>
      </c>
      <c r="K603" s="529"/>
      <c r="L603" s="529">
        <v>0</v>
      </c>
      <c r="M603" s="529">
        <v>0</v>
      </c>
      <c r="N603" s="529">
        <v>16590</v>
      </c>
      <c r="O603" s="529">
        <v>0</v>
      </c>
      <c r="P603" s="1498">
        <f t="shared" si="60"/>
        <v>0</v>
      </c>
      <c r="Q603" s="711">
        <f t="shared" si="59"/>
        <v>16590</v>
      </c>
      <c r="R603" s="1121" t="s">
        <v>251</v>
      </c>
      <c r="S603" s="1122" t="s">
        <v>251</v>
      </c>
      <c r="T603" s="1122"/>
      <c r="U603" s="1122"/>
      <c r="V603" s="1122"/>
      <c r="W603" s="1122"/>
      <c r="X603" s="1122"/>
      <c r="Y603" s="1122"/>
      <c r="Z603" s="1122"/>
      <c r="AA603" s="1122"/>
      <c r="AB603" s="1122"/>
      <c r="AC603" s="1122"/>
      <c r="AD603" s="1123">
        <f t="shared" si="61"/>
        <v>0</v>
      </c>
      <c r="AE603" s="637">
        <f t="shared" si="57"/>
        <v>0</v>
      </c>
      <c r="AF603" s="638">
        <f t="shared" si="58"/>
        <v>394</v>
      </c>
    </row>
    <row r="604" spans="1:32" x14ac:dyDescent="0.3">
      <c r="A604" s="555" t="s">
        <v>759</v>
      </c>
      <c r="B604" s="693" t="s">
        <v>459</v>
      </c>
      <c r="C604" s="530"/>
      <c r="D604" s="529"/>
      <c r="E604" s="529">
        <v>0</v>
      </c>
      <c r="F604" s="529">
        <v>0</v>
      </c>
      <c r="G604" s="529">
        <v>0</v>
      </c>
      <c r="H604" s="529">
        <v>0</v>
      </c>
      <c r="I604" s="529">
        <v>0</v>
      </c>
      <c r="J604" s="529">
        <v>0</v>
      </c>
      <c r="K604" s="529"/>
      <c r="L604" s="529">
        <v>0</v>
      </c>
      <c r="M604" s="529">
        <v>0</v>
      </c>
      <c r="N604" s="529">
        <v>0</v>
      </c>
      <c r="O604" s="529">
        <v>130050</v>
      </c>
      <c r="P604" s="1498">
        <f t="shared" si="60"/>
        <v>0</v>
      </c>
      <c r="Q604" s="711">
        <f t="shared" si="59"/>
        <v>130050</v>
      </c>
      <c r="R604" s="1121" t="s">
        <v>251</v>
      </c>
      <c r="S604" s="1122" t="s">
        <v>251</v>
      </c>
      <c r="T604" s="1122"/>
      <c r="U604" s="1122"/>
      <c r="V604" s="1122"/>
      <c r="W604" s="1122"/>
      <c r="X604" s="1122"/>
      <c r="Y604" s="1122"/>
      <c r="Z604" s="1122"/>
      <c r="AA604" s="1122"/>
      <c r="AB604" s="1122"/>
      <c r="AC604" s="1122"/>
      <c r="AD604" s="1123">
        <f t="shared" si="61"/>
        <v>0</v>
      </c>
      <c r="AE604" s="637">
        <f t="shared" si="57"/>
        <v>0</v>
      </c>
      <c r="AF604" s="638">
        <f t="shared" si="58"/>
        <v>394</v>
      </c>
    </row>
    <row r="605" spans="1:32" x14ac:dyDescent="0.3">
      <c r="A605" s="555" t="s">
        <v>759</v>
      </c>
      <c r="B605" s="693" t="s">
        <v>806</v>
      </c>
      <c r="C605" s="530"/>
      <c r="D605" s="529"/>
      <c r="E605" s="529" t="s">
        <v>251</v>
      </c>
      <c r="F605" s="529" t="s">
        <v>251</v>
      </c>
      <c r="G605" s="529" t="s">
        <v>251</v>
      </c>
      <c r="H605" s="529">
        <v>0</v>
      </c>
      <c r="I605" s="529" t="s">
        <v>251</v>
      </c>
      <c r="J605" s="529">
        <v>0</v>
      </c>
      <c r="K605" s="529"/>
      <c r="L605" s="529">
        <v>0</v>
      </c>
      <c r="M605" s="529">
        <v>0</v>
      </c>
      <c r="N605" s="529">
        <v>0</v>
      </c>
      <c r="O605" s="529">
        <v>94370</v>
      </c>
      <c r="P605" s="1498">
        <f t="shared" si="60"/>
        <v>0</v>
      </c>
      <c r="Q605" s="711">
        <f t="shared" si="59"/>
        <v>94370</v>
      </c>
      <c r="R605" s="1121">
        <v>217130</v>
      </c>
      <c r="S605" s="1122">
        <v>662020</v>
      </c>
      <c r="T605" s="1122">
        <v>1161460</v>
      </c>
      <c r="U605" s="1122">
        <v>746730</v>
      </c>
      <c r="V605" s="1122">
        <v>1330370</v>
      </c>
      <c r="W605" s="1122"/>
      <c r="X605" s="1122"/>
      <c r="Y605" s="1122"/>
      <c r="Z605" s="1122"/>
      <c r="AA605" s="1122"/>
      <c r="AB605" s="1122"/>
      <c r="AC605" s="1122"/>
      <c r="AD605" s="1123">
        <f t="shared" si="61"/>
        <v>4117710</v>
      </c>
      <c r="AE605" s="637">
        <f t="shared" si="57"/>
        <v>1</v>
      </c>
      <c r="AF605" s="638">
        <f t="shared" si="58"/>
        <v>95</v>
      </c>
    </row>
    <row r="606" spans="1:32" x14ac:dyDescent="0.3">
      <c r="A606" s="555" t="s">
        <v>759</v>
      </c>
      <c r="B606" s="1026" t="s">
        <v>2318</v>
      </c>
      <c r="C606" s="1028"/>
      <c r="D606" s="1027"/>
      <c r="E606" s="1027"/>
      <c r="F606" s="1027"/>
      <c r="G606" s="1027"/>
      <c r="H606" s="1027">
        <v>0</v>
      </c>
      <c r="I606" s="1027"/>
      <c r="J606" s="1027">
        <v>0</v>
      </c>
      <c r="K606" s="1027"/>
      <c r="L606" s="1027">
        <v>0</v>
      </c>
      <c r="M606" s="1027">
        <v>0</v>
      </c>
      <c r="N606" s="1027">
        <v>0</v>
      </c>
      <c r="O606" s="1027">
        <v>37810</v>
      </c>
      <c r="P606" s="1498">
        <f t="shared" si="60"/>
        <v>0</v>
      </c>
      <c r="Q606" s="711">
        <f t="shared" si="59"/>
        <v>37810</v>
      </c>
      <c r="R606" s="1389"/>
      <c r="S606" s="1390" t="s">
        <v>251</v>
      </c>
      <c r="T606" s="1390"/>
      <c r="U606" s="1390"/>
      <c r="V606" s="1390"/>
      <c r="W606" s="1390"/>
      <c r="X606" s="1390"/>
      <c r="Y606" s="1390"/>
      <c r="Z606" s="1390"/>
      <c r="AA606" s="1390"/>
      <c r="AB606" s="1390"/>
      <c r="AC606" s="1390"/>
      <c r="AD606" s="1123">
        <f t="shared" si="61"/>
        <v>0</v>
      </c>
      <c r="AE606" s="637">
        <f t="shared" si="57"/>
        <v>0</v>
      </c>
      <c r="AF606" s="638">
        <f t="shared" si="58"/>
        <v>394</v>
      </c>
    </row>
    <row r="607" spans="1:32" x14ac:dyDescent="0.3">
      <c r="A607" s="555" t="s">
        <v>759</v>
      </c>
      <c r="B607" s="1026" t="s">
        <v>1907</v>
      </c>
      <c r="C607" s="1028"/>
      <c r="D607" s="1027"/>
      <c r="E607" s="1027"/>
      <c r="F607" s="1027"/>
      <c r="G607" s="1027"/>
      <c r="H607" s="1027"/>
      <c r="I607" s="1027"/>
      <c r="J607" s="1027"/>
      <c r="K607" s="1027"/>
      <c r="L607" s="1027"/>
      <c r="M607" s="1027"/>
      <c r="N607" s="1027"/>
      <c r="O607" s="1027"/>
      <c r="P607" s="1498">
        <f t="shared" si="60"/>
        <v>0</v>
      </c>
      <c r="Q607" s="711">
        <f t="shared" si="59"/>
        <v>0</v>
      </c>
      <c r="R607" s="1389"/>
      <c r="S607" s="1390">
        <v>116980</v>
      </c>
      <c r="T607" s="1390">
        <v>0</v>
      </c>
      <c r="U607" s="1390">
        <v>0</v>
      </c>
      <c r="V607" s="1390">
        <v>0</v>
      </c>
      <c r="W607" s="1390">
        <v>0</v>
      </c>
      <c r="X607" s="1390">
        <v>0</v>
      </c>
      <c r="Y607" s="1390">
        <v>0</v>
      </c>
      <c r="Z607" s="1390"/>
      <c r="AA607" s="1390"/>
      <c r="AB607" s="1390"/>
      <c r="AC607" s="1390"/>
      <c r="AD607" s="1123">
        <f t="shared" si="61"/>
        <v>116980</v>
      </c>
      <c r="AE607" s="637">
        <f t="shared" si="57"/>
        <v>1</v>
      </c>
      <c r="AF607" s="638">
        <f t="shared" si="58"/>
        <v>338</v>
      </c>
    </row>
    <row r="608" spans="1:32" x14ac:dyDescent="0.3">
      <c r="A608" s="555" t="s">
        <v>759</v>
      </c>
      <c r="B608" s="1026" t="s">
        <v>1488</v>
      </c>
      <c r="C608" s="1028"/>
      <c r="D608" s="1027"/>
      <c r="E608" s="1027"/>
      <c r="F608" s="1027"/>
      <c r="G608" s="1027"/>
      <c r="H608" s="1027"/>
      <c r="I608" s="1027"/>
      <c r="J608" s="1027"/>
      <c r="K608" s="1027"/>
      <c r="L608" s="1027"/>
      <c r="M608" s="1027"/>
      <c r="N608" s="1027"/>
      <c r="O608" s="1027"/>
      <c r="P608" s="1498">
        <f t="shared" si="60"/>
        <v>0</v>
      </c>
      <c r="Q608" s="711">
        <f t="shared" si="59"/>
        <v>0</v>
      </c>
      <c r="R608" s="1389">
        <v>164620</v>
      </c>
      <c r="S608" s="1390" t="s">
        <v>251</v>
      </c>
      <c r="T608" s="1390">
        <v>0</v>
      </c>
      <c r="U608" s="1390">
        <v>0</v>
      </c>
      <c r="V608" s="1390">
        <v>0</v>
      </c>
      <c r="W608" s="1390">
        <v>0</v>
      </c>
      <c r="X608" s="1390">
        <v>0</v>
      </c>
      <c r="Y608" s="1390">
        <v>0</v>
      </c>
      <c r="Z608" s="1390"/>
      <c r="AA608" s="1390"/>
      <c r="AB608" s="1390"/>
      <c r="AC608" s="1390"/>
      <c r="AD608" s="1123">
        <f t="shared" si="61"/>
        <v>164620</v>
      </c>
      <c r="AE608" s="637">
        <f t="shared" si="57"/>
        <v>1</v>
      </c>
      <c r="AF608" s="638">
        <f t="shared" si="58"/>
        <v>326</v>
      </c>
    </row>
    <row r="609" spans="1:32" x14ac:dyDescent="0.3">
      <c r="A609" s="555" t="s">
        <v>759</v>
      </c>
      <c r="B609" s="1026" t="s">
        <v>2559</v>
      </c>
      <c r="C609" s="1028"/>
      <c r="D609" s="1410"/>
      <c r="E609" s="1410"/>
      <c r="F609" s="1410"/>
      <c r="G609" s="1410"/>
      <c r="H609" s="1410"/>
      <c r="I609" s="1410"/>
      <c r="J609" s="1410"/>
      <c r="K609" s="1410"/>
      <c r="L609" s="1410"/>
      <c r="M609" s="1410"/>
      <c r="N609" s="1410"/>
      <c r="O609" s="1410"/>
      <c r="P609" s="1498">
        <f t="shared" si="60"/>
        <v>0</v>
      </c>
      <c r="Q609" s="711">
        <f t="shared" si="59"/>
        <v>0</v>
      </c>
      <c r="R609" s="1389"/>
      <c r="S609" s="1411">
        <v>193440</v>
      </c>
      <c r="T609" s="1411">
        <v>0</v>
      </c>
      <c r="U609" s="1411">
        <v>0</v>
      </c>
      <c r="V609" s="1411">
        <v>0</v>
      </c>
      <c r="W609" s="1411">
        <v>234000</v>
      </c>
      <c r="X609" s="1411">
        <v>0</v>
      </c>
      <c r="Y609" s="1411">
        <v>0</v>
      </c>
      <c r="Z609" s="1411"/>
      <c r="AA609" s="1411"/>
      <c r="AB609" s="1411"/>
      <c r="AC609" s="1411"/>
      <c r="AD609" s="1123">
        <f t="shared" si="61"/>
        <v>427440</v>
      </c>
      <c r="AE609" s="637">
        <f t="shared" si="57"/>
        <v>1</v>
      </c>
      <c r="AF609" s="638">
        <f t="shared" si="58"/>
        <v>272</v>
      </c>
    </row>
    <row r="610" spans="1:32" x14ac:dyDescent="0.3">
      <c r="A610" s="555" t="s">
        <v>759</v>
      </c>
      <c r="B610" s="1026" t="s">
        <v>1403</v>
      </c>
      <c r="C610" s="1028"/>
      <c r="D610" s="1410"/>
      <c r="E610" s="1410"/>
      <c r="F610" s="1410"/>
      <c r="G610" s="1410"/>
      <c r="H610" s="1410"/>
      <c r="I610" s="1410"/>
      <c r="J610" s="1410"/>
      <c r="K610" s="1410"/>
      <c r="L610" s="1410"/>
      <c r="M610" s="1410"/>
      <c r="N610" s="1410"/>
      <c r="O610" s="1410"/>
      <c r="P610" s="1498">
        <f t="shared" si="60"/>
        <v>0</v>
      </c>
      <c r="Q610" s="711">
        <f t="shared" si="59"/>
        <v>0</v>
      </c>
      <c r="R610" s="1389"/>
      <c r="S610" s="1411">
        <v>126390</v>
      </c>
      <c r="T610" s="1411">
        <v>0</v>
      </c>
      <c r="U610" s="1411">
        <v>0</v>
      </c>
      <c r="V610" s="1411">
        <v>0</v>
      </c>
      <c r="W610" s="1411">
        <v>0</v>
      </c>
      <c r="X610" s="1411">
        <v>0</v>
      </c>
      <c r="Y610" s="1411">
        <v>0</v>
      </c>
      <c r="Z610" s="1411"/>
      <c r="AA610" s="1411"/>
      <c r="AB610" s="1411"/>
      <c r="AC610" s="1411"/>
      <c r="AD610" s="1123">
        <f t="shared" si="61"/>
        <v>126390</v>
      </c>
      <c r="AE610" s="637">
        <f t="shared" si="57"/>
        <v>1</v>
      </c>
      <c r="AF610" s="638">
        <f t="shared" si="58"/>
        <v>333</v>
      </c>
    </row>
    <row r="611" spans="1:32" x14ac:dyDescent="0.3">
      <c r="A611" s="555" t="s">
        <v>759</v>
      </c>
      <c r="B611" s="1026" t="s">
        <v>646</v>
      </c>
      <c r="C611" s="1028"/>
      <c r="D611" s="1410"/>
      <c r="E611" s="1410"/>
      <c r="F611" s="1410"/>
      <c r="G611" s="1410"/>
      <c r="H611" s="1410"/>
      <c r="I611" s="1410"/>
      <c r="J611" s="1410"/>
      <c r="K611" s="1410"/>
      <c r="L611" s="1410"/>
      <c r="M611" s="1410"/>
      <c r="N611" s="1410"/>
      <c r="O611" s="1410"/>
      <c r="P611" s="1498">
        <f t="shared" si="60"/>
        <v>0</v>
      </c>
      <c r="Q611" s="711">
        <f t="shared" si="59"/>
        <v>0</v>
      </c>
      <c r="R611" s="1389"/>
      <c r="S611" s="1411">
        <v>56740</v>
      </c>
      <c r="T611" s="1411">
        <v>1565060</v>
      </c>
      <c r="U611" s="1411">
        <v>0</v>
      </c>
      <c r="V611" s="1411">
        <v>525130</v>
      </c>
      <c r="W611" s="1411">
        <v>0</v>
      </c>
      <c r="X611" s="1411">
        <v>56740</v>
      </c>
      <c r="Y611" s="1411">
        <v>45930</v>
      </c>
      <c r="Z611" s="1411"/>
      <c r="AA611" s="1411"/>
      <c r="AB611" s="1411"/>
      <c r="AC611" s="1411"/>
      <c r="AD611" s="1123">
        <f t="shared" si="61"/>
        <v>2249600</v>
      </c>
      <c r="AE611" s="637">
        <f t="shared" si="57"/>
        <v>1</v>
      </c>
      <c r="AF611" s="638">
        <f t="shared" si="58"/>
        <v>136</v>
      </c>
    </row>
    <row r="612" spans="1:32" x14ac:dyDescent="0.3">
      <c r="A612" s="555" t="s">
        <v>759</v>
      </c>
      <c r="B612" s="1026" t="s">
        <v>1851</v>
      </c>
      <c r="C612" s="1028"/>
      <c r="D612" s="1410"/>
      <c r="E612" s="1410"/>
      <c r="F612" s="1410"/>
      <c r="G612" s="1410"/>
      <c r="H612" s="1410"/>
      <c r="I612" s="1410"/>
      <c r="J612" s="1410"/>
      <c r="K612" s="1410"/>
      <c r="L612" s="1410"/>
      <c r="M612" s="1410"/>
      <c r="N612" s="1410"/>
      <c r="O612" s="1410"/>
      <c r="P612" s="1498">
        <f t="shared" si="60"/>
        <v>0</v>
      </c>
      <c r="Q612" s="711">
        <f t="shared" si="59"/>
        <v>0</v>
      </c>
      <c r="R612" s="1389"/>
      <c r="S612" s="1411">
        <v>1124190</v>
      </c>
      <c r="T612" s="1411"/>
      <c r="U612" s="1411">
        <v>51780</v>
      </c>
      <c r="V612" s="1411"/>
      <c r="W612" s="1411"/>
      <c r="X612" s="1411"/>
      <c r="Y612" s="1411"/>
      <c r="Z612" s="1411"/>
      <c r="AA612" s="1411"/>
      <c r="AB612" s="1411"/>
      <c r="AC612" s="1411"/>
      <c r="AD612" s="1123">
        <f t="shared" si="61"/>
        <v>1175970</v>
      </c>
      <c r="AE612" s="637">
        <f t="shared" si="57"/>
        <v>1</v>
      </c>
      <c r="AF612" s="638">
        <f t="shared" si="58"/>
        <v>185</v>
      </c>
    </row>
    <row r="613" spans="1:32" x14ac:dyDescent="0.3">
      <c r="A613" s="555" t="s">
        <v>759</v>
      </c>
      <c r="B613" s="1026" t="s">
        <v>1865</v>
      </c>
      <c r="C613" s="1028"/>
      <c r="D613" s="1410"/>
      <c r="E613" s="1410"/>
      <c r="F613" s="1410"/>
      <c r="G613" s="1410"/>
      <c r="H613" s="1410"/>
      <c r="I613" s="1410"/>
      <c r="J613" s="1410"/>
      <c r="K613" s="1410"/>
      <c r="L613" s="1410"/>
      <c r="M613" s="1410"/>
      <c r="N613" s="1410"/>
      <c r="O613" s="1410"/>
      <c r="P613" s="1498">
        <f t="shared" si="60"/>
        <v>0</v>
      </c>
      <c r="Q613" s="711">
        <f t="shared" si="59"/>
        <v>0</v>
      </c>
      <c r="R613" s="1389"/>
      <c r="S613" s="1411">
        <v>181440</v>
      </c>
      <c r="T613" s="1411"/>
      <c r="U613" s="1411"/>
      <c r="V613" s="1411"/>
      <c r="W613" s="1411"/>
      <c r="X613" s="1411"/>
      <c r="Y613" s="1411"/>
      <c r="Z613" s="1411"/>
      <c r="AA613" s="1411"/>
      <c r="AB613" s="1411"/>
      <c r="AC613" s="1411"/>
      <c r="AD613" s="1123">
        <f t="shared" si="61"/>
        <v>181440</v>
      </c>
      <c r="AE613" s="637">
        <f t="shared" ref="AE613:AE678" si="62">IF(OR(AD613="", P613=""), 0, IFERROR((AD613-P613)/P613, IF(AD613&lt;&gt;0, 1, 0)))</f>
        <v>1</v>
      </c>
      <c r="AF613" s="638">
        <f t="shared" si="58"/>
        <v>321</v>
      </c>
    </row>
    <row r="614" spans="1:32" x14ac:dyDescent="0.3">
      <c r="A614" s="555" t="s">
        <v>759</v>
      </c>
      <c r="B614" s="1026" t="s">
        <v>1868</v>
      </c>
      <c r="C614" s="1028"/>
      <c r="D614" s="1410"/>
      <c r="E614" s="1410"/>
      <c r="F614" s="1410"/>
      <c r="G614" s="1410"/>
      <c r="H614" s="1410"/>
      <c r="I614" s="1410"/>
      <c r="J614" s="1410"/>
      <c r="K614" s="1410"/>
      <c r="L614" s="1410"/>
      <c r="M614" s="1410"/>
      <c r="N614" s="1410"/>
      <c r="O614" s="1410"/>
      <c r="P614" s="1498">
        <f t="shared" si="60"/>
        <v>0</v>
      </c>
      <c r="Q614" s="711">
        <f t="shared" si="59"/>
        <v>0</v>
      </c>
      <c r="R614" s="1389"/>
      <c r="S614" s="1411">
        <v>41060</v>
      </c>
      <c r="T614" s="1411"/>
      <c r="U614" s="1411">
        <v>21130</v>
      </c>
      <c r="V614" s="1411"/>
      <c r="W614" s="1411"/>
      <c r="X614" s="1411"/>
      <c r="Y614" s="1411"/>
      <c r="Z614" s="1411"/>
      <c r="AA614" s="1411"/>
      <c r="AB614" s="1411"/>
      <c r="AC614" s="1411"/>
      <c r="AD614" s="1123">
        <f t="shared" si="61"/>
        <v>62190</v>
      </c>
      <c r="AE614" s="637">
        <f t="shared" si="62"/>
        <v>1</v>
      </c>
      <c r="AF614" s="638">
        <f t="shared" si="58"/>
        <v>362</v>
      </c>
    </row>
    <row r="615" spans="1:32" x14ac:dyDescent="0.3">
      <c r="A615" s="555" t="s">
        <v>759</v>
      </c>
      <c r="B615" s="1026" t="s">
        <v>679</v>
      </c>
      <c r="C615" s="1028"/>
      <c r="D615" s="1410"/>
      <c r="E615" s="1410"/>
      <c r="F615" s="1410"/>
      <c r="G615" s="1410"/>
      <c r="H615" s="1410"/>
      <c r="I615" s="1410"/>
      <c r="J615" s="1410"/>
      <c r="K615" s="1410"/>
      <c r="L615" s="1410"/>
      <c r="M615" s="1410"/>
      <c r="N615" s="1410"/>
      <c r="O615" s="1410"/>
      <c r="P615" s="1498">
        <f t="shared" si="60"/>
        <v>0</v>
      </c>
      <c r="Q615" s="711">
        <f t="shared" si="59"/>
        <v>0</v>
      </c>
      <c r="R615" s="1389"/>
      <c r="S615" s="1411"/>
      <c r="T615" s="1411">
        <v>16340</v>
      </c>
      <c r="U615" s="1411">
        <v>0</v>
      </c>
      <c r="V615" s="1411">
        <v>0</v>
      </c>
      <c r="W615" s="1411">
        <v>0</v>
      </c>
      <c r="X615" s="1411">
        <v>89650</v>
      </c>
      <c r="Y615" s="1411">
        <v>0</v>
      </c>
      <c r="Z615" s="1411"/>
      <c r="AA615" s="1411"/>
      <c r="AB615" s="1411"/>
      <c r="AC615" s="1411"/>
      <c r="AD615" s="1123">
        <f t="shared" si="61"/>
        <v>105990</v>
      </c>
      <c r="AE615" s="637">
        <f t="shared" si="62"/>
        <v>1</v>
      </c>
      <c r="AF615" s="638">
        <f t="shared" si="58"/>
        <v>341</v>
      </c>
    </row>
    <row r="616" spans="1:32" x14ac:dyDescent="0.3">
      <c r="A616" s="555" t="s">
        <v>759</v>
      </c>
      <c r="B616" s="1026" t="s">
        <v>643</v>
      </c>
      <c r="C616" s="1028"/>
      <c r="D616" s="1410"/>
      <c r="E616" s="1410"/>
      <c r="F616" s="1410"/>
      <c r="G616" s="1410"/>
      <c r="H616" s="1410"/>
      <c r="I616" s="1410"/>
      <c r="J616" s="1410"/>
      <c r="K616" s="1410"/>
      <c r="L616" s="1410"/>
      <c r="M616" s="1410"/>
      <c r="N616" s="1410"/>
      <c r="O616" s="1410"/>
      <c r="P616" s="1498">
        <f t="shared" si="60"/>
        <v>0</v>
      </c>
      <c r="Q616" s="711">
        <f t="shared" si="59"/>
        <v>0</v>
      </c>
      <c r="R616" s="1389"/>
      <c r="S616" s="1411"/>
      <c r="T616" s="1411">
        <v>490420</v>
      </c>
      <c r="U616" s="1411">
        <v>230100</v>
      </c>
      <c r="V616" s="1411">
        <v>537010</v>
      </c>
      <c r="W616" s="1411">
        <v>632660</v>
      </c>
      <c r="X616" s="1411">
        <v>175930</v>
      </c>
      <c r="Y616" s="1411">
        <v>0</v>
      </c>
      <c r="Z616" s="1411"/>
      <c r="AA616" s="1411"/>
      <c r="AB616" s="1411"/>
      <c r="AC616" s="1411"/>
      <c r="AD616" s="1123">
        <f t="shared" si="61"/>
        <v>2066120</v>
      </c>
      <c r="AE616" s="637">
        <f t="shared" si="62"/>
        <v>1</v>
      </c>
      <c r="AF616" s="638">
        <f t="shared" si="58"/>
        <v>144</v>
      </c>
    </row>
    <row r="617" spans="1:32" x14ac:dyDescent="0.3">
      <c r="A617" s="555" t="s">
        <v>759</v>
      </c>
      <c r="B617" s="1026" t="s">
        <v>820</v>
      </c>
      <c r="C617" s="1028"/>
      <c r="D617" s="1410"/>
      <c r="E617" s="1410"/>
      <c r="F617" s="1410"/>
      <c r="G617" s="1410"/>
      <c r="H617" s="1410"/>
      <c r="I617" s="1410"/>
      <c r="J617" s="1410"/>
      <c r="K617" s="1410"/>
      <c r="L617" s="1410"/>
      <c r="M617" s="1410"/>
      <c r="N617" s="1410"/>
      <c r="O617" s="1410"/>
      <c r="P617" s="1498">
        <f t="shared" si="60"/>
        <v>0</v>
      </c>
      <c r="Q617" s="711">
        <f t="shared" si="59"/>
        <v>0</v>
      </c>
      <c r="R617" s="1389"/>
      <c r="S617" s="1411"/>
      <c r="T617" s="1411">
        <v>577760</v>
      </c>
      <c r="U617" s="1411">
        <v>155800</v>
      </c>
      <c r="V617" s="1411">
        <v>115160</v>
      </c>
      <c r="W617" s="1411">
        <v>0</v>
      </c>
      <c r="X617" s="1411">
        <v>0</v>
      </c>
      <c r="Y617" s="1411">
        <v>0</v>
      </c>
      <c r="Z617" s="1411"/>
      <c r="AA617" s="1411"/>
      <c r="AB617" s="1411"/>
      <c r="AC617" s="1411"/>
      <c r="AD617" s="1123">
        <f t="shared" si="61"/>
        <v>848720</v>
      </c>
      <c r="AE617" s="637">
        <f t="shared" si="62"/>
        <v>1</v>
      </c>
      <c r="AF617" s="638">
        <f t="shared" si="58"/>
        <v>213</v>
      </c>
    </row>
    <row r="618" spans="1:32" x14ac:dyDescent="0.3">
      <c r="A618" s="555" t="s">
        <v>759</v>
      </c>
      <c r="B618" s="1026" t="s">
        <v>1349</v>
      </c>
      <c r="C618" s="1028"/>
      <c r="D618" s="1410"/>
      <c r="E618" s="1410"/>
      <c r="F618" s="1410"/>
      <c r="G618" s="1410"/>
      <c r="H618" s="1410"/>
      <c r="I618" s="1410"/>
      <c r="J618" s="1410"/>
      <c r="K618" s="1410"/>
      <c r="L618" s="1410"/>
      <c r="M618" s="1410"/>
      <c r="N618" s="1410"/>
      <c r="O618" s="1410"/>
      <c r="P618" s="1498">
        <f t="shared" si="60"/>
        <v>0</v>
      </c>
      <c r="Q618" s="711">
        <f t="shared" si="59"/>
        <v>0</v>
      </c>
      <c r="R618" s="1389"/>
      <c r="S618" s="1411"/>
      <c r="T618" s="1411">
        <v>31990</v>
      </c>
      <c r="U618" s="1411">
        <v>0</v>
      </c>
      <c r="V618" s="1411">
        <v>0</v>
      </c>
      <c r="W618" s="1411">
        <v>0</v>
      </c>
      <c r="X618" s="1411">
        <v>0</v>
      </c>
      <c r="Y618" s="1411">
        <v>0</v>
      </c>
      <c r="Z618" s="1411"/>
      <c r="AA618" s="1411"/>
      <c r="AB618" s="1411"/>
      <c r="AC618" s="1411"/>
      <c r="AD618" s="1123">
        <f t="shared" si="61"/>
        <v>31990</v>
      </c>
      <c r="AE618" s="637">
        <f t="shared" si="62"/>
        <v>1</v>
      </c>
      <c r="AF618" s="638">
        <f t="shared" si="58"/>
        <v>377</v>
      </c>
    </row>
    <row r="619" spans="1:32" x14ac:dyDescent="0.3">
      <c r="A619" s="555" t="s">
        <v>759</v>
      </c>
      <c r="B619" s="1026" t="s">
        <v>2607</v>
      </c>
      <c r="C619" s="1028"/>
      <c r="D619" s="1410"/>
      <c r="E619" s="1410"/>
      <c r="F619" s="1410"/>
      <c r="G619" s="1410"/>
      <c r="H619" s="1410"/>
      <c r="I619" s="1410"/>
      <c r="J619" s="1410"/>
      <c r="K619" s="1410"/>
      <c r="L619" s="1410"/>
      <c r="M619" s="1410"/>
      <c r="N619" s="1410"/>
      <c r="O619" s="1410"/>
      <c r="P619" s="1498">
        <f t="shared" si="60"/>
        <v>0</v>
      </c>
      <c r="Q619" s="711">
        <f t="shared" si="59"/>
        <v>0</v>
      </c>
      <c r="R619" s="1389"/>
      <c r="S619" s="1411"/>
      <c r="T619" s="1411">
        <v>19500</v>
      </c>
      <c r="U619" s="1411">
        <v>0</v>
      </c>
      <c r="V619" s="1411">
        <v>0</v>
      </c>
      <c r="W619" s="1411">
        <v>0</v>
      </c>
      <c r="X619" s="1411">
        <v>0</v>
      </c>
      <c r="Y619" s="1411">
        <v>0</v>
      </c>
      <c r="Z619" s="1411"/>
      <c r="AA619" s="1411"/>
      <c r="AB619" s="1411"/>
      <c r="AC619" s="1411"/>
      <c r="AD619" s="1123">
        <f t="shared" si="61"/>
        <v>19500</v>
      </c>
      <c r="AE619" s="637">
        <f t="shared" si="62"/>
        <v>1</v>
      </c>
      <c r="AF619" s="638">
        <f t="shared" si="58"/>
        <v>382</v>
      </c>
    </row>
    <row r="620" spans="1:32" x14ac:dyDescent="0.3">
      <c r="A620" s="555" t="s">
        <v>759</v>
      </c>
      <c r="B620" s="1026" t="s">
        <v>741</v>
      </c>
      <c r="C620" s="1028"/>
      <c r="D620" s="1410"/>
      <c r="E620" s="1410"/>
      <c r="F620" s="1410"/>
      <c r="G620" s="1410"/>
      <c r="H620" s="1410"/>
      <c r="I620" s="1410"/>
      <c r="J620" s="1410"/>
      <c r="K620" s="1410">
        <v>1548000</v>
      </c>
      <c r="L620" s="1410"/>
      <c r="M620" s="1410"/>
      <c r="N620" s="1410"/>
      <c r="O620" s="1410"/>
      <c r="P620" s="1498">
        <f t="shared" si="60"/>
        <v>1548000</v>
      </c>
      <c r="Q620" s="711">
        <f t="shared" si="59"/>
        <v>0</v>
      </c>
      <c r="R620" s="1389"/>
      <c r="S620" s="1411"/>
      <c r="T620" s="1411">
        <v>10800</v>
      </c>
      <c r="U620" s="1411">
        <v>0</v>
      </c>
      <c r="V620" s="1411">
        <v>0</v>
      </c>
      <c r="W620" s="1411">
        <v>0</v>
      </c>
      <c r="X620" s="1411">
        <v>0</v>
      </c>
      <c r="Y620" s="1411">
        <v>0</v>
      </c>
      <c r="Z620" s="1411"/>
      <c r="AA620" s="1411"/>
      <c r="AB620" s="1411"/>
      <c r="AC620" s="1411"/>
      <c r="AD620" s="1123">
        <f t="shared" si="61"/>
        <v>10800</v>
      </c>
      <c r="AE620" s="637">
        <f t="shared" si="62"/>
        <v>-0.99302325581395345</v>
      </c>
      <c r="AF620" s="638">
        <f t="shared" si="58"/>
        <v>391</v>
      </c>
    </row>
    <row r="621" spans="1:32" x14ac:dyDescent="0.3">
      <c r="A621" s="555" t="s">
        <v>759</v>
      </c>
      <c r="B621" s="1026" t="s">
        <v>2662</v>
      </c>
      <c r="C621" s="1028"/>
      <c r="D621" s="1410"/>
      <c r="E621" s="1410"/>
      <c r="F621" s="1410"/>
      <c r="G621" s="1410"/>
      <c r="H621" s="1410"/>
      <c r="I621" s="1410"/>
      <c r="J621" s="1410"/>
      <c r="K621" s="1410">
        <v>0</v>
      </c>
      <c r="L621" s="1410"/>
      <c r="M621" s="1410"/>
      <c r="N621" s="1410"/>
      <c r="O621" s="1410"/>
      <c r="P621" s="1498">
        <f t="shared" si="60"/>
        <v>0</v>
      </c>
      <c r="Q621" s="711">
        <f t="shared" si="59"/>
        <v>0</v>
      </c>
      <c r="R621" s="1389"/>
      <c r="S621" s="1411"/>
      <c r="T621" s="1411">
        <v>0</v>
      </c>
      <c r="U621" s="1411">
        <v>0</v>
      </c>
      <c r="V621" s="1411">
        <v>0</v>
      </c>
      <c r="W621" s="1411">
        <v>0</v>
      </c>
      <c r="X621" s="1411">
        <v>0</v>
      </c>
      <c r="Y621" s="1411">
        <v>0</v>
      </c>
      <c r="Z621" s="1411"/>
      <c r="AA621" s="1411"/>
      <c r="AB621" s="1411"/>
      <c r="AC621" s="1411"/>
      <c r="AD621" s="1123">
        <f t="shared" si="61"/>
        <v>0</v>
      </c>
      <c r="AE621" s="637">
        <f t="shared" si="62"/>
        <v>0</v>
      </c>
      <c r="AF621" s="638">
        <f t="shared" si="58"/>
        <v>394</v>
      </c>
    </row>
    <row r="622" spans="1:32" x14ac:dyDescent="0.3">
      <c r="A622" s="555" t="s">
        <v>759</v>
      </c>
      <c r="B622" s="1026" t="s">
        <v>2663</v>
      </c>
      <c r="C622" s="1028"/>
      <c r="D622" s="1410"/>
      <c r="E622" s="1410"/>
      <c r="F622" s="1410"/>
      <c r="G622" s="1410"/>
      <c r="H622" s="1410"/>
      <c r="I622" s="1410"/>
      <c r="J622" s="1410"/>
      <c r="K622" s="1410"/>
      <c r="L622" s="1410"/>
      <c r="M622" s="1410"/>
      <c r="N622" s="1410"/>
      <c r="O622" s="1410"/>
      <c r="P622" s="1498">
        <f t="shared" si="60"/>
        <v>0</v>
      </c>
      <c r="Q622" s="711">
        <f t="shared" si="59"/>
        <v>0</v>
      </c>
      <c r="R622" s="1389"/>
      <c r="S622" s="1411"/>
      <c r="T622" s="1411">
        <v>1439320</v>
      </c>
      <c r="U622" s="1411">
        <v>6352370</v>
      </c>
      <c r="V622" s="1411">
        <v>2632410</v>
      </c>
      <c r="W622" s="1411">
        <v>1966450</v>
      </c>
      <c r="X622" s="1411">
        <v>2355450</v>
      </c>
      <c r="Y622" s="1411">
        <v>5065730</v>
      </c>
      <c r="Z622" s="1411"/>
      <c r="AA622" s="1411"/>
      <c r="AB622" s="1411"/>
      <c r="AC622" s="1411"/>
      <c r="AD622" s="1123">
        <f t="shared" si="61"/>
        <v>19811730</v>
      </c>
      <c r="AE622" s="637">
        <f t="shared" si="62"/>
        <v>1</v>
      </c>
      <c r="AF622" s="638">
        <f t="shared" si="58"/>
        <v>20</v>
      </c>
    </row>
    <row r="623" spans="1:32" x14ac:dyDescent="0.3">
      <c r="A623" s="555" t="s">
        <v>759</v>
      </c>
      <c r="B623" s="1026" t="s">
        <v>820</v>
      </c>
      <c r="C623" s="1028"/>
      <c r="D623" s="1410"/>
      <c r="E623" s="1410"/>
      <c r="F623" s="1410"/>
      <c r="G623" s="1410"/>
      <c r="H623" s="1410"/>
      <c r="I623" s="1410"/>
      <c r="J623" s="1410"/>
      <c r="K623" s="1410"/>
      <c r="L623" s="1410"/>
      <c r="M623" s="1410"/>
      <c r="N623" s="1410"/>
      <c r="O623" s="1410"/>
      <c r="P623" s="1498">
        <f t="shared" si="60"/>
        <v>0</v>
      </c>
      <c r="Q623" s="711">
        <f t="shared" si="59"/>
        <v>0</v>
      </c>
      <c r="R623" s="1389"/>
      <c r="S623" s="1411"/>
      <c r="T623" s="1411">
        <v>209190</v>
      </c>
      <c r="U623" s="1411"/>
      <c r="V623" s="1411"/>
      <c r="W623" s="1411"/>
      <c r="X623" s="1411"/>
      <c r="Y623" s="1411"/>
      <c r="Z623" s="1411"/>
      <c r="AA623" s="1411"/>
      <c r="AB623" s="1411"/>
      <c r="AC623" s="1411"/>
      <c r="AD623" s="1123">
        <f t="shared" si="61"/>
        <v>209190</v>
      </c>
      <c r="AE623" s="637">
        <f t="shared" si="62"/>
        <v>1</v>
      </c>
      <c r="AF623" s="638">
        <f t="shared" si="58"/>
        <v>313</v>
      </c>
    </row>
    <row r="624" spans="1:32" x14ac:dyDescent="0.3">
      <c r="A624" s="555" t="s">
        <v>759</v>
      </c>
      <c r="B624" s="1026" t="s">
        <v>2679</v>
      </c>
      <c r="C624" s="1028"/>
      <c r="D624" s="1410"/>
      <c r="E624" s="1410"/>
      <c r="F624" s="1410"/>
      <c r="G624" s="1410"/>
      <c r="H624" s="1410"/>
      <c r="I624" s="1410"/>
      <c r="J624" s="1410"/>
      <c r="K624" s="1410">
        <v>0</v>
      </c>
      <c r="L624" s="1410"/>
      <c r="M624" s="1410"/>
      <c r="N624" s="1410"/>
      <c r="O624" s="1410"/>
      <c r="P624" s="1498">
        <f t="shared" si="60"/>
        <v>0</v>
      </c>
      <c r="Q624" s="711">
        <f t="shared" si="59"/>
        <v>0</v>
      </c>
      <c r="R624" s="1389"/>
      <c r="S624" s="1411"/>
      <c r="T624" s="1411"/>
      <c r="U624" s="1411">
        <v>51860</v>
      </c>
      <c r="V624" s="1411">
        <v>0</v>
      </c>
      <c r="W624" s="1411">
        <v>0</v>
      </c>
      <c r="X624" s="1411">
        <v>136490</v>
      </c>
      <c r="Y624" s="1411">
        <v>96310</v>
      </c>
      <c r="Z624" s="1411"/>
      <c r="AA624" s="1411"/>
      <c r="AB624" s="1411"/>
      <c r="AC624" s="1411"/>
      <c r="AD624" s="1123">
        <f t="shared" si="61"/>
        <v>284660</v>
      </c>
      <c r="AE624" s="637">
        <f t="shared" si="62"/>
        <v>1</v>
      </c>
      <c r="AF624" s="638">
        <f t="shared" si="58"/>
        <v>299</v>
      </c>
    </row>
    <row r="625" spans="1:32" x14ac:dyDescent="0.3">
      <c r="A625" s="555" t="s">
        <v>759</v>
      </c>
      <c r="B625" s="1026" t="s">
        <v>1931</v>
      </c>
      <c r="C625" s="1028"/>
      <c r="D625" s="1410"/>
      <c r="E625" s="1410"/>
      <c r="F625" s="1410"/>
      <c r="G625" s="1410"/>
      <c r="H625" s="1410"/>
      <c r="I625" s="1410"/>
      <c r="J625" s="1410"/>
      <c r="K625" s="1410"/>
      <c r="L625" s="1410"/>
      <c r="M625" s="1410"/>
      <c r="N625" s="1410"/>
      <c r="O625" s="1410"/>
      <c r="P625" s="1498">
        <f t="shared" si="60"/>
        <v>0</v>
      </c>
      <c r="Q625" s="711">
        <f t="shared" si="59"/>
        <v>0</v>
      </c>
      <c r="R625" s="1389"/>
      <c r="S625" s="1411"/>
      <c r="T625" s="1411"/>
      <c r="U625" s="1411">
        <v>16380</v>
      </c>
      <c r="V625" s="1411">
        <v>0</v>
      </c>
      <c r="W625" s="1411">
        <v>0</v>
      </c>
      <c r="X625" s="1411">
        <v>0</v>
      </c>
      <c r="Y625" s="1411">
        <v>0</v>
      </c>
      <c r="Z625" s="1411"/>
      <c r="AA625" s="1411"/>
      <c r="AB625" s="1411"/>
      <c r="AC625" s="1411"/>
      <c r="AD625" s="1123">
        <f t="shared" si="61"/>
        <v>16380</v>
      </c>
      <c r="AE625" s="637">
        <f t="shared" si="62"/>
        <v>1</v>
      </c>
      <c r="AF625" s="638">
        <f t="shared" si="58"/>
        <v>386</v>
      </c>
    </row>
    <row r="626" spans="1:32" x14ac:dyDescent="0.3">
      <c r="A626" s="555" t="s">
        <v>759</v>
      </c>
      <c r="B626" s="1026" t="s">
        <v>1933</v>
      </c>
      <c r="C626" s="1028"/>
      <c r="D626" s="1410"/>
      <c r="E626" s="1410"/>
      <c r="F626" s="1410"/>
      <c r="G626" s="1410"/>
      <c r="H626" s="1410"/>
      <c r="I626" s="1410"/>
      <c r="J626" s="1410"/>
      <c r="K626" s="1410"/>
      <c r="L626" s="1410"/>
      <c r="M626" s="1410"/>
      <c r="N626" s="1410"/>
      <c r="O626" s="1410"/>
      <c r="P626" s="1498">
        <f t="shared" si="60"/>
        <v>0</v>
      </c>
      <c r="Q626" s="711">
        <f t="shared" si="59"/>
        <v>0</v>
      </c>
      <c r="R626" s="1389"/>
      <c r="S626" s="1411"/>
      <c r="T626" s="1411"/>
      <c r="U626" s="1411">
        <v>117000</v>
      </c>
      <c r="V626" s="1411">
        <v>0</v>
      </c>
      <c r="W626" s="1411">
        <v>0</v>
      </c>
      <c r="X626" s="1411">
        <v>0</v>
      </c>
      <c r="Y626" s="1411">
        <v>0</v>
      </c>
      <c r="Z626" s="1411"/>
      <c r="AA626" s="1411"/>
      <c r="AB626" s="1411"/>
      <c r="AC626" s="1411"/>
      <c r="AD626" s="1123">
        <f t="shared" si="61"/>
        <v>117000</v>
      </c>
      <c r="AE626" s="637">
        <f t="shared" si="62"/>
        <v>1</v>
      </c>
      <c r="AF626" s="638">
        <f t="shared" si="58"/>
        <v>337</v>
      </c>
    </row>
    <row r="627" spans="1:32" x14ac:dyDescent="0.3">
      <c r="A627" s="555" t="s">
        <v>759</v>
      </c>
      <c r="B627" s="1026" t="s">
        <v>2696</v>
      </c>
      <c r="C627" s="1028"/>
      <c r="D627" s="1410"/>
      <c r="E627" s="1410"/>
      <c r="F627" s="1410"/>
      <c r="G627" s="1410"/>
      <c r="H627" s="1410"/>
      <c r="I627" s="1410"/>
      <c r="J627" s="1410"/>
      <c r="K627" s="1410"/>
      <c r="L627" s="1410"/>
      <c r="M627" s="1410"/>
      <c r="N627" s="1410"/>
      <c r="O627" s="1410"/>
      <c r="P627" s="1498">
        <f t="shared" si="60"/>
        <v>0</v>
      </c>
      <c r="Q627" s="711">
        <f t="shared" si="59"/>
        <v>0</v>
      </c>
      <c r="R627" s="1389"/>
      <c r="S627" s="1411"/>
      <c r="T627" s="1411"/>
      <c r="U627" s="1411">
        <v>860920</v>
      </c>
      <c r="V627" s="1411">
        <v>0</v>
      </c>
      <c r="W627" s="1411">
        <v>0</v>
      </c>
      <c r="X627" s="1411">
        <v>0</v>
      </c>
      <c r="Y627" s="1411">
        <v>0</v>
      </c>
      <c r="Z627" s="1411"/>
      <c r="AA627" s="1411"/>
      <c r="AB627" s="1411"/>
      <c r="AC627" s="1411"/>
      <c r="AD627" s="1123">
        <f t="shared" si="61"/>
        <v>860920</v>
      </c>
      <c r="AE627" s="637">
        <f t="shared" si="62"/>
        <v>1</v>
      </c>
      <c r="AF627" s="638">
        <f t="shared" si="58"/>
        <v>210</v>
      </c>
    </row>
    <row r="628" spans="1:32" x14ac:dyDescent="0.3">
      <c r="A628" s="555" t="s">
        <v>759</v>
      </c>
      <c r="B628" s="1026" t="s">
        <v>1800</v>
      </c>
      <c r="C628" s="1028"/>
      <c r="D628" s="1410"/>
      <c r="E628" s="1410"/>
      <c r="F628" s="1410"/>
      <c r="G628" s="1410"/>
      <c r="H628" s="1410"/>
      <c r="I628" s="1410"/>
      <c r="J628" s="1410"/>
      <c r="K628" s="1410"/>
      <c r="L628" s="1410"/>
      <c r="M628" s="1410"/>
      <c r="N628" s="1410"/>
      <c r="O628" s="1410"/>
      <c r="P628" s="1498">
        <f t="shared" si="60"/>
        <v>0</v>
      </c>
      <c r="Q628" s="711">
        <f t="shared" si="59"/>
        <v>0</v>
      </c>
      <c r="R628" s="1389"/>
      <c r="S628" s="1411"/>
      <c r="T628" s="1411"/>
      <c r="U628" s="1411">
        <v>23400</v>
      </c>
      <c r="V628" s="1411">
        <v>0</v>
      </c>
      <c r="W628" s="1411">
        <v>58500</v>
      </c>
      <c r="X628" s="1411">
        <v>0</v>
      </c>
      <c r="Y628" s="1411">
        <v>0</v>
      </c>
      <c r="Z628" s="1411"/>
      <c r="AA628" s="1411"/>
      <c r="AB628" s="1411"/>
      <c r="AC628" s="1411"/>
      <c r="AD628" s="1123">
        <f t="shared" si="61"/>
        <v>81900</v>
      </c>
      <c r="AE628" s="637">
        <f t="shared" si="62"/>
        <v>1</v>
      </c>
      <c r="AF628" s="638">
        <f t="shared" si="58"/>
        <v>354</v>
      </c>
    </row>
    <row r="629" spans="1:32" x14ac:dyDescent="0.3">
      <c r="A629" s="555" t="s">
        <v>759</v>
      </c>
      <c r="B629" s="1026" t="s">
        <v>2663</v>
      </c>
      <c r="C629" s="1028"/>
      <c r="D629" s="1410"/>
      <c r="E629" s="1410"/>
      <c r="F629" s="1410"/>
      <c r="G629" s="1410"/>
      <c r="H629" s="1410"/>
      <c r="I629" s="1410"/>
      <c r="J629" s="1410"/>
      <c r="K629" s="1410"/>
      <c r="L629" s="1410"/>
      <c r="M629" s="1410"/>
      <c r="N629" s="1410"/>
      <c r="O629" s="1410"/>
      <c r="P629" s="1498">
        <f t="shared" si="60"/>
        <v>0</v>
      </c>
      <c r="Q629" s="711">
        <f t="shared" si="59"/>
        <v>0</v>
      </c>
      <c r="R629" s="1389"/>
      <c r="S629" s="1411"/>
      <c r="T629" s="1411"/>
      <c r="U629" s="1411"/>
      <c r="V629" s="1411"/>
      <c r="W629" s="1411"/>
      <c r="X629" s="1411"/>
      <c r="Y629" s="1411"/>
      <c r="Z629" s="1411"/>
      <c r="AA629" s="1411"/>
      <c r="AB629" s="1411"/>
      <c r="AC629" s="1411"/>
      <c r="AD629" s="1123">
        <f t="shared" si="61"/>
        <v>0</v>
      </c>
      <c r="AE629" s="637">
        <f t="shared" si="62"/>
        <v>0</v>
      </c>
      <c r="AF629" s="638">
        <f t="shared" si="58"/>
        <v>394</v>
      </c>
    </row>
    <row r="630" spans="1:32" x14ac:dyDescent="0.3">
      <c r="A630" s="555" t="s">
        <v>759</v>
      </c>
      <c r="B630" s="1026" t="s">
        <v>1851</v>
      </c>
      <c r="C630" s="1028"/>
      <c r="D630" s="1410"/>
      <c r="E630" s="1410"/>
      <c r="F630" s="1410"/>
      <c r="G630" s="1410"/>
      <c r="H630" s="1410"/>
      <c r="I630" s="1410"/>
      <c r="J630" s="1410"/>
      <c r="K630" s="1410"/>
      <c r="L630" s="1410"/>
      <c r="M630" s="1410"/>
      <c r="N630" s="1410"/>
      <c r="O630" s="1410"/>
      <c r="P630" s="1498">
        <f t="shared" si="60"/>
        <v>0</v>
      </c>
      <c r="Q630" s="711">
        <f t="shared" si="59"/>
        <v>0</v>
      </c>
      <c r="R630" s="1389"/>
      <c r="S630" s="1411"/>
      <c r="T630" s="1411"/>
      <c r="U630" s="1411"/>
      <c r="V630" s="1411"/>
      <c r="W630" s="1411"/>
      <c r="X630" s="1411"/>
      <c r="Y630" s="1411"/>
      <c r="Z630" s="1411"/>
      <c r="AA630" s="1411"/>
      <c r="AB630" s="1411"/>
      <c r="AC630" s="1411"/>
      <c r="AD630" s="1123">
        <f t="shared" si="61"/>
        <v>0</v>
      </c>
      <c r="AE630" s="637">
        <f t="shared" si="62"/>
        <v>0</v>
      </c>
      <c r="AF630" s="638">
        <f t="shared" si="58"/>
        <v>394</v>
      </c>
    </row>
    <row r="631" spans="1:32" x14ac:dyDescent="0.3">
      <c r="A631" s="555" t="s">
        <v>759</v>
      </c>
      <c r="B631" s="1026" t="s">
        <v>820</v>
      </c>
      <c r="C631" s="1028"/>
      <c r="D631" s="1410"/>
      <c r="E631" s="1410"/>
      <c r="F631" s="1410"/>
      <c r="G631" s="1410"/>
      <c r="H631" s="1410"/>
      <c r="I631" s="1410"/>
      <c r="J631" s="1410"/>
      <c r="K631" s="1410"/>
      <c r="L631" s="1410"/>
      <c r="M631" s="1410"/>
      <c r="N631" s="1410"/>
      <c r="O631" s="1410"/>
      <c r="P631" s="1498">
        <f t="shared" si="60"/>
        <v>0</v>
      </c>
      <c r="Q631" s="711">
        <f t="shared" si="59"/>
        <v>0</v>
      </c>
      <c r="R631" s="1389"/>
      <c r="S631" s="1411"/>
      <c r="T631" s="1411"/>
      <c r="U631" s="1411"/>
      <c r="V631" s="1411"/>
      <c r="W631" s="1411"/>
      <c r="X631" s="1411"/>
      <c r="Y631" s="1411"/>
      <c r="Z631" s="1411"/>
      <c r="AA631" s="1411"/>
      <c r="AB631" s="1411"/>
      <c r="AC631" s="1411"/>
      <c r="AD631" s="1123">
        <f t="shared" si="61"/>
        <v>0</v>
      </c>
      <c r="AE631" s="637">
        <f t="shared" si="62"/>
        <v>0</v>
      </c>
      <c r="AF631" s="638">
        <f t="shared" si="58"/>
        <v>394</v>
      </c>
    </row>
    <row r="632" spans="1:32" x14ac:dyDescent="0.3">
      <c r="A632" s="555" t="s">
        <v>759</v>
      </c>
      <c r="B632" s="1026" t="s">
        <v>2662</v>
      </c>
      <c r="C632" s="1028"/>
      <c r="D632" s="1410"/>
      <c r="E632" s="1410"/>
      <c r="F632" s="1410"/>
      <c r="G632" s="1410"/>
      <c r="H632" s="1410"/>
      <c r="I632" s="1410"/>
      <c r="J632" s="1410"/>
      <c r="K632" s="1410"/>
      <c r="L632" s="1410"/>
      <c r="M632" s="1410"/>
      <c r="N632" s="1410"/>
      <c r="O632" s="1410"/>
      <c r="P632" s="1498">
        <f t="shared" si="60"/>
        <v>0</v>
      </c>
      <c r="Q632" s="711">
        <f t="shared" si="59"/>
        <v>0</v>
      </c>
      <c r="R632" s="1389"/>
      <c r="S632" s="1411"/>
      <c r="T632" s="1411"/>
      <c r="U632" s="1411"/>
      <c r="V632" s="1411"/>
      <c r="W632" s="1411"/>
      <c r="X632" s="1411"/>
      <c r="Y632" s="1411"/>
      <c r="Z632" s="1411"/>
      <c r="AA632" s="1411"/>
      <c r="AB632" s="1411"/>
      <c r="AC632" s="1411"/>
      <c r="AD632" s="1123">
        <f t="shared" si="61"/>
        <v>0</v>
      </c>
      <c r="AE632" s="637">
        <f t="shared" si="62"/>
        <v>0</v>
      </c>
      <c r="AF632" s="638">
        <f t="shared" si="58"/>
        <v>394</v>
      </c>
    </row>
    <row r="633" spans="1:32" x14ac:dyDescent="0.3">
      <c r="A633" s="1493" t="s">
        <v>759</v>
      </c>
      <c r="B633" s="1026" t="s">
        <v>2758</v>
      </c>
      <c r="C633" s="1028"/>
      <c r="D633" s="1410"/>
      <c r="E633" s="1410"/>
      <c r="F633" s="1410"/>
      <c r="G633" s="1410"/>
      <c r="H633" s="1410"/>
      <c r="I633" s="1410"/>
      <c r="J633" s="1410"/>
      <c r="K633" s="1410"/>
      <c r="L633" s="1410"/>
      <c r="M633" s="1410"/>
      <c r="N633" s="1410"/>
      <c r="O633" s="1410"/>
      <c r="P633" s="1498">
        <f t="shared" si="60"/>
        <v>0</v>
      </c>
      <c r="Q633" s="711">
        <f t="shared" si="59"/>
        <v>0</v>
      </c>
      <c r="R633" s="1389"/>
      <c r="S633" s="1411"/>
      <c r="T633" s="1411"/>
      <c r="U633" s="1411">
        <v>392680</v>
      </c>
      <c r="V633" s="1411"/>
      <c r="W633" s="1411"/>
      <c r="X633" s="1411"/>
      <c r="Y633" s="1411"/>
      <c r="Z633" s="1411"/>
      <c r="AA633" s="1411"/>
      <c r="AB633" s="1411"/>
      <c r="AC633" s="1411"/>
      <c r="AD633" s="1123">
        <f t="shared" si="61"/>
        <v>392680</v>
      </c>
      <c r="AE633" s="637">
        <f t="shared" si="62"/>
        <v>1</v>
      </c>
      <c r="AF633" s="638">
        <f t="shared" si="58"/>
        <v>277</v>
      </c>
    </row>
    <row r="634" spans="1:32" x14ac:dyDescent="0.3">
      <c r="A634" s="1493" t="s">
        <v>759</v>
      </c>
      <c r="B634" s="1026" t="s">
        <v>883</v>
      </c>
      <c r="C634" s="1028"/>
      <c r="D634" s="1410"/>
      <c r="E634" s="1410"/>
      <c r="F634" s="1410"/>
      <c r="G634" s="1410"/>
      <c r="H634" s="1410"/>
      <c r="I634" s="1410"/>
      <c r="J634" s="1410"/>
      <c r="K634" s="1410"/>
      <c r="L634" s="1410"/>
      <c r="M634" s="1410"/>
      <c r="N634" s="1410"/>
      <c r="O634" s="1410"/>
      <c r="P634" s="1498">
        <f t="shared" si="60"/>
        <v>0</v>
      </c>
      <c r="Q634" s="711">
        <f t="shared" si="59"/>
        <v>0</v>
      </c>
      <c r="R634" s="1389"/>
      <c r="S634" s="1411"/>
      <c r="T634" s="1411"/>
      <c r="U634" s="1411">
        <v>61420</v>
      </c>
      <c r="V634" s="1411">
        <v>0</v>
      </c>
      <c r="W634" s="1411">
        <v>0</v>
      </c>
      <c r="X634" s="1411">
        <v>0</v>
      </c>
      <c r="Y634" s="1411">
        <v>0</v>
      </c>
      <c r="Z634" s="1411"/>
      <c r="AA634" s="1411"/>
      <c r="AB634" s="1411"/>
      <c r="AC634" s="1411"/>
      <c r="AD634" s="1123">
        <f t="shared" si="61"/>
        <v>61420</v>
      </c>
      <c r="AE634" s="637">
        <f t="shared" si="62"/>
        <v>1</v>
      </c>
      <c r="AF634" s="638">
        <f t="shared" si="58"/>
        <v>363</v>
      </c>
    </row>
    <row r="635" spans="1:32" x14ac:dyDescent="0.3">
      <c r="A635" s="1493" t="s">
        <v>759</v>
      </c>
      <c r="B635" s="1026" t="s">
        <v>2603</v>
      </c>
      <c r="C635" s="1028"/>
      <c r="D635" s="1410"/>
      <c r="E635" s="1410"/>
      <c r="F635" s="1410"/>
      <c r="G635" s="1410"/>
      <c r="H635" s="1410"/>
      <c r="I635" s="1410"/>
      <c r="J635" s="1410"/>
      <c r="K635" s="1410"/>
      <c r="L635" s="1410"/>
      <c r="M635" s="1410"/>
      <c r="N635" s="1410"/>
      <c r="O635" s="1410"/>
      <c r="P635" s="1498">
        <f t="shared" si="60"/>
        <v>0</v>
      </c>
      <c r="Q635" s="711">
        <f t="shared" si="59"/>
        <v>0</v>
      </c>
      <c r="R635" s="1389"/>
      <c r="S635" s="1411"/>
      <c r="T635" s="1411"/>
      <c r="U635" s="1411"/>
      <c r="V635" s="1411">
        <v>129870</v>
      </c>
      <c r="W635" s="1411">
        <v>17550</v>
      </c>
      <c r="X635" s="1411">
        <v>0</v>
      </c>
      <c r="Y635" s="1411">
        <v>23900</v>
      </c>
      <c r="Z635" s="1411"/>
      <c r="AA635" s="1411"/>
      <c r="AB635" s="1411"/>
      <c r="AC635" s="1411"/>
      <c r="AD635" s="1123">
        <f t="shared" si="61"/>
        <v>171320</v>
      </c>
      <c r="AE635" s="637">
        <f t="shared" si="62"/>
        <v>1</v>
      </c>
      <c r="AF635" s="638">
        <f t="shared" ref="AF635:AF677" si="63">IFERROR(_xlfn.RANK.EQ(AD635, $AD$2:$AD$677), "")</f>
        <v>323</v>
      </c>
    </row>
    <row r="636" spans="1:32" x14ac:dyDescent="0.3">
      <c r="A636" s="1493" t="s">
        <v>759</v>
      </c>
      <c r="B636" s="1026" t="s">
        <v>2739</v>
      </c>
      <c r="C636" s="1028"/>
      <c r="D636" s="1410"/>
      <c r="E636" s="1410"/>
      <c r="F636" s="1410"/>
      <c r="G636" s="1410"/>
      <c r="H636" s="1410"/>
      <c r="I636" s="1410"/>
      <c r="J636" s="1410"/>
      <c r="K636" s="1410"/>
      <c r="L636" s="1410"/>
      <c r="M636" s="1410"/>
      <c r="N636" s="1410"/>
      <c r="O636" s="1410"/>
      <c r="P636" s="1498">
        <f t="shared" si="60"/>
        <v>0</v>
      </c>
      <c r="Q636" s="711">
        <f t="shared" si="59"/>
        <v>0</v>
      </c>
      <c r="R636" s="1389"/>
      <c r="S636" s="1411"/>
      <c r="T636" s="1411"/>
      <c r="U636" s="1411"/>
      <c r="V636" s="1411">
        <v>269580</v>
      </c>
      <c r="W636" s="1411">
        <v>0</v>
      </c>
      <c r="X636" s="1411">
        <v>0</v>
      </c>
      <c r="Y636" s="1411">
        <v>0</v>
      </c>
      <c r="Z636" s="1411"/>
      <c r="AA636" s="1411"/>
      <c r="AB636" s="1411"/>
      <c r="AC636" s="1411"/>
      <c r="AD636" s="1123">
        <f t="shared" si="61"/>
        <v>269580</v>
      </c>
      <c r="AE636" s="637">
        <f t="shared" si="62"/>
        <v>1</v>
      </c>
      <c r="AF636" s="638">
        <f t="shared" si="63"/>
        <v>302</v>
      </c>
    </row>
    <row r="637" spans="1:32" x14ac:dyDescent="0.3">
      <c r="A637" s="1493" t="s">
        <v>759</v>
      </c>
      <c r="B637" s="1026" t="s">
        <v>2798</v>
      </c>
      <c r="C637" s="1028"/>
      <c r="D637" s="1410"/>
      <c r="E637" s="1410"/>
      <c r="F637" s="1410"/>
      <c r="G637" s="1410"/>
      <c r="H637" s="1410"/>
      <c r="I637" s="1410"/>
      <c r="J637" s="1410"/>
      <c r="K637" s="1410"/>
      <c r="L637" s="1410"/>
      <c r="M637" s="1410"/>
      <c r="N637" s="1410"/>
      <c r="O637" s="1410"/>
      <c r="P637" s="1498">
        <f t="shared" si="60"/>
        <v>0</v>
      </c>
      <c r="Q637" s="711">
        <f t="shared" ref="Q637:Q677" si="64">SUM(C637:J637,L637:O637)</f>
        <v>0</v>
      </c>
      <c r="R637" s="1389"/>
      <c r="S637" s="1411"/>
      <c r="T637" s="1411"/>
      <c r="U637" s="1411"/>
      <c r="V637" s="1411">
        <v>85800</v>
      </c>
      <c r="W637" s="1411">
        <v>0</v>
      </c>
      <c r="X637" s="1411">
        <v>0</v>
      </c>
      <c r="Y637" s="1411">
        <v>0</v>
      </c>
      <c r="Z637" s="1411"/>
      <c r="AA637" s="1411"/>
      <c r="AB637" s="1411"/>
      <c r="AC637" s="1411"/>
      <c r="AD637" s="1123">
        <f t="shared" si="61"/>
        <v>85800</v>
      </c>
      <c r="AE637" s="637">
        <f t="shared" si="62"/>
        <v>1</v>
      </c>
      <c r="AF637" s="638">
        <f t="shared" si="63"/>
        <v>351</v>
      </c>
    </row>
    <row r="638" spans="1:32" x14ac:dyDescent="0.3">
      <c r="A638" s="1493" t="s">
        <v>759</v>
      </c>
      <c r="B638" s="1026" t="s">
        <v>693</v>
      </c>
      <c r="C638" s="1028"/>
      <c r="D638" s="1410"/>
      <c r="E638" s="1410"/>
      <c r="F638" s="1410"/>
      <c r="G638" s="1410"/>
      <c r="H638" s="1410"/>
      <c r="I638" s="1410"/>
      <c r="J638" s="1410"/>
      <c r="K638" s="1410"/>
      <c r="L638" s="1410"/>
      <c r="M638" s="1410"/>
      <c r="N638" s="1410"/>
      <c r="O638" s="1410"/>
      <c r="P638" s="1498">
        <f t="shared" si="60"/>
        <v>0</v>
      </c>
      <c r="Q638" s="711">
        <f t="shared" si="64"/>
        <v>0</v>
      </c>
      <c r="R638" s="1389"/>
      <c r="S638" s="1411"/>
      <c r="T638" s="1411"/>
      <c r="U638" s="1411"/>
      <c r="V638" s="1411"/>
      <c r="W638" s="1411"/>
      <c r="X638" s="1411"/>
      <c r="Y638" s="1411"/>
      <c r="Z638" s="1411"/>
      <c r="AA638" s="1411"/>
      <c r="AB638" s="1411"/>
      <c r="AC638" s="1411"/>
      <c r="AD638" s="1123">
        <f t="shared" si="61"/>
        <v>0</v>
      </c>
      <c r="AE638" s="637">
        <f t="shared" si="62"/>
        <v>0</v>
      </c>
      <c r="AF638" s="638">
        <f t="shared" si="63"/>
        <v>394</v>
      </c>
    </row>
    <row r="639" spans="1:32" x14ac:dyDescent="0.3">
      <c r="A639" s="1493" t="s">
        <v>759</v>
      </c>
      <c r="B639" s="1026" t="s">
        <v>2799</v>
      </c>
      <c r="C639" s="1028"/>
      <c r="D639" s="1410"/>
      <c r="E639" s="1410"/>
      <c r="F639" s="1410"/>
      <c r="G639" s="1410"/>
      <c r="H639" s="1410"/>
      <c r="I639" s="1410"/>
      <c r="J639" s="1410"/>
      <c r="K639" s="1410"/>
      <c r="L639" s="1410"/>
      <c r="M639" s="1410"/>
      <c r="N639" s="1410"/>
      <c r="O639" s="1410"/>
      <c r="P639" s="1498">
        <f t="shared" si="60"/>
        <v>0</v>
      </c>
      <c r="Q639" s="711">
        <f t="shared" si="64"/>
        <v>0</v>
      </c>
      <c r="R639" s="1389"/>
      <c r="S639" s="1411"/>
      <c r="T639" s="1411"/>
      <c r="U639" s="1411"/>
      <c r="V639" s="1411">
        <v>518770</v>
      </c>
      <c r="W639" s="1411">
        <v>0</v>
      </c>
      <c r="X639" s="1411">
        <v>0</v>
      </c>
      <c r="Y639" s="1411">
        <v>668400</v>
      </c>
      <c r="Z639" s="1411"/>
      <c r="AA639" s="1411"/>
      <c r="AB639" s="1411"/>
      <c r="AC639" s="1411"/>
      <c r="AD639" s="1123">
        <f t="shared" si="61"/>
        <v>1187170</v>
      </c>
      <c r="AE639" s="637">
        <f t="shared" si="62"/>
        <v>1</v>
      </c>
      <c r="AF639" s="638">
        <f t="shared" si="63"/>
        <v>182</v>
      </c>
    </row>
    <row r="640" spans="1:32" x14ac:dyDescent="0.3">
      <c r="A640" s="1493" t="s">
        <v>759</v>
      </c>
      <c r="B640" s="1026" t="s">
        <v>2814</v>
      </c>
      <c r="C640" s="1028"/>
      <c r="D640" s="1410"/>
      <c r="E640" s="1410"/>
      <c r="F640" s="1410"/>
      <c r="G640" s="1410"/>
      <c r="H640" s="1410"/>
      <c r="I640" s="1410"/>
      <c r="J640" s="1410"/>
      <c r="K640" s="1410"/>
      <c r="L640" s="1410"/>
      <c r="M640" s="1410"/>
      <c r="N640" s="1410"/>
      <c r="O640" s="1410"/>
      <c r="P640" s="1498">
        <f t="shared" si="60"/>
        <v>0</v>
      </c>
      <c r="Q640" s="711">
        <f t="shared" si="64"/>
        <v>0</v>
      </c>
      <c r="R640" s="1389"/>
      <c r="S640" s="1411"/>
      <c r="T640" s="1411"/>
      <c r="U640" s="1411"/>
      <c r="V640" s="1411">
        <v>742250</v>
      </c>
      <c r="W640" s="1411">
        <v>836340</v>
      </c>
      <c r="X640" s="1411">
        <v>0</v>
      </c>
      <c r="Y640" s="1411">
        <v>0</v>
      </c>
      <c r="Z640" s="1411"/>
      <c r="AA640" s="1411"/>
      <c r="AB640" s="1411"/>
      <c r="AC640" s="1411"/>
      <c r="AD640" s="1123">
        <f t="shared" si="61"/>
        <v>1578590</v>
      </c>
      <c r="AE640" s="637">
        <f t="shared" si="62"/>
        <v>1</v>
      </c>
      <c r="AF640" s="638">
        <f t="shared" si="63"/>
        <v>164</v>
      </c>
    </row>
    <row r="641" spans="1:32" x14ac:dyDescent="0.3">
      <c r="A641" s="1493" t="s">
        <v>759</v>
      </c>
      <c r="B641" s="1026" t="s">
        <v>2823</v>
      </c>
      <c r="C641" s="1028"/>
      <c r="D641" s="1410"/>
      <c r="E641" s="1410"/>
      <c r="F641" s="1410"/>
      <c r="G641" s="1410"/>
      <c r="H641" s="1410"/>
      <c r="I641" s="1410"/>
      <c r="J641" s="1410"/>
      <c r="K641" s="1410"/>
      <c r="L641" s="1410"/>
      <c r="M641" s="1410"/>
      <c r="N641" s="1410"/>
      <c r="O641" s="1410"/>
      <c r="P641" s="1498">
        <f t="shared" si="60"/>
        <v>0</v>
      </c>
      <c r="Q641" s="711">
        <f t="shared" si="64"/>
        <v>0</v>
      </c>
      <c r="R641" s="1389"/>
      <c r="S641" s="1411"/>
      <c r="T641" s="1411"/>
      <c r="U641" s="1411"/>
      <c r="V641" s="1411">
        <v>696980</v>
      </c>
      <c r="W641" s="1411">
        <v>0</v>
      </c>
      <c r="X641" s="1411">
        <v>0</v>
      </c>
      <c r="Y641" s="1411">
        <v>0</v>
      </c>
      <c r="Z641" s="1411"/>
      <c r="AA641" s="1411"/>
      <c r="AB641" s="1411"/>
      <c r="AC641" s="1411"/>
      <c r="AD641" s="1123">
        <f t="shared" si="61"/>
        <v>696980</v>
      </c>
      <c r="AE641" s="637">
        <f t="shared" si="62"/>
        <v>1</v>
      </c>
      <c r="AF641" s="638">
        <f t="shared" si="63"/>
        <v>228</v>
      </c>
    </row>
    <row r="642" spans="1:32" x14ac:dyDescent="0.3">
      <c r="A642" s="1493" t="s">
        <v>759</v>
      </c>
      <c r="B642" s="1026" t="s">
        <v>2824</v>
      </c>
      <c r="C642" s="1028"/>
      <c r="D642" s="1410"/>
      <c r="E642" s="1410"/>
      <c r="F642" s="1410"/>
      <c r="G642" s="1410"/>
      <c r="H642" s="1410"/>
      <c r="I642" s="1410"/>
      <c r="J642" s="1410"/>
      <c r="K642" s="1410"/>
      <c r="L642" s="1410"/>
      <c r="M642" s="1410"/>
      <c r="N642" s="1410"/>
      <c r="O642" s="1410"/>
      <c r="P642" s="1498">
        <f t="shared" si="60"/>
        <v>0</v>
      </c>
      <c r="Q642" s="711">
        <f t="shared" si="64"/>
        <v>0</v>
      </c>
      <c r="R642" s="1389"/>
      <c r="S642" s="1411"/>
      <c r="T642" s="1411"/>
      <c r="U642" s="1411"/>
      <c r="V642" s="1411">
        <v>419520</v>
      </c>
      <c r="W642" s="1411">
        <v>0</v>
      </c>
      <c r="X642" s="1411">
        <v>0</v>
      </c>
      <c r="Y642" s="1411">
        <v>0</v>
      </c>
      <c r="Z642" s="1411"/>
      <c r="AA642" s="1411"/>
      <c r="AB642" s="1411"/>
      <c r="AC642" s="1411"/>
      <c r="AD642" s="1123">
        <f t="shared" si="61"/>
        <v>419520</v>
      </c>
      <c r="AE642" s="637">
        <f t="shared" si="62"/>
        <v>1</v>
      </c>
      <c r="AF642" s="638">
        <f t="shared" si="63"/>
        <v>273</v>
      </c>
    </row>
    <row r="643" spans="1:32" x14ac:dyDescent="0.3">
      <c r="A643" s="1493" t="s">
        <v>759</v>
      </c>
      <c r="B643" s="1026" t="s">
        <v>2825</v>
      </c>
      <c r="C643" s="1028"/>
      <c r="D643" s="1410"/>
      <c r="E643" s="1410"/>
      <c r="F643" s="1410"/>
      <c r="G643" s="1410"/>
      <c r="H643" s="1410"/>
      <c r="I643" s="1410"/>
      <c r="J643" s="1410"/>
      <c r="K643" s="1410"/>
      <c r="L643" s="1410"/>
      <c r="M643" s="1410"/>
      <c r="N643" s="1410"/>
      <c r="O643" s="1410"/>
      <c r="P643" s="1498">
        <f t="shared" si="60"/>
        <v>0</v>
      </c>
      <c r="Q643" s="711">
        <f t="shared" si="64"/>
        <v>0</v>
      </c>
      <c r="R643" s="1389"/>
      <c r="S643" s="1411"/>
      <c r="T643" s="1411"/>
      <c r="U643" s="1411"/>
      <c r="V643" s="1411">
        <v>163540</v>
      </c>
      <c r="W643" s="1411">
        <v>0</v>
      </c>
      <c r="X643" s="1411">
        <v>0</v>
      </c>
      <c r="Y643" s="1411">
        <v>0</v>
      </c>
      <c r="Z643" s="1411"/>
      <c r="AA643" s="1411"/>
      <c r="AB643" s="1411"/>
      <c r="AC643" s="1411"/>
      <c r="AD643" s="1123">
        <f t="shared" si="61"/>
        <v>163540</v>
      </c>
      <c r="AE643" s="637">
        <f t="shared" si="62"/>
        <v>1</v>
      </c>
      <c r="AF643" s="638">
        <f t="shared" si="63"/>
        <v>327</v>
      </c>
    </row>
    <row r="644" spans="1:32" x14ac:dyDescent="0.3">
      <c r="A644" s="1493" t="s">
        <v>759</v>
      </c>
      <c r="B644" s="1026" t="s">
        <v>2815</v>
      </c>
      <c r="C644" s="1028"/>
      <c r="D644" s="1410"/>
      <c r="E644" s="1410"/>
      <c r="F644" s="1410"/>
      <c r="G644" s="1410"/>
      <c r="H644" s="1410"/>
      <c r="I644" s="1410"/>
      <c r="J644" s="1410"/>
      <c r="K644" s="1410"/>
      <c r="L644" s="1410"/>
      <c r="M644" s="1410"/>
      <c r="N644" s="1410"/>
      <c r="O644" s="1410"/>
      <c r="P644" s="1498">
        <f t="shared" si="60"/>
        <v>0</v>
      </c>
      <c r="Q644" s="711">
        <f t="shared" si="64"/>
        <v>0</v>
      </c>
      <c r="R644" s="1389"/>
      <c r="S644" s="1411"/>
      <c r="T644" s="1411"/>
      <c r="U644" s="1411"/>
      <c r="V644" s="1411">
        <v>148860</v>
      </c>
      <c r="W644" s="1411">
        <v>0</v>
      </c>
      <c r="X644" s="1411">
        <v>0</v>
      </c>
      <c r="Y644" s="1411">
        <v>0</v>
      </c>
      <c r="Z644" s="1411"/>
      <c r="AA644" s="1411"/>
      <c r="AB644" s="1411"/>
      <c r="AC644" s="1411"/>
      <c r="AD644" s="1123">
        <f t="shared" si="61"/>
        <v>148860</v>
      </c>
      <c r="AE644" s="637">
        <f t="shared" si="62"/>
        <v>1</v>
      </c>
      <c r="AF644" s="638">
        <f t="shared" si="63"/>
        <v>329</v>
      </c>
    </row>
    <row r="645" spans="1:32" x14ac:dyDescent="0.3">
      <c r="A645" s="1493" t="s">
        <v>759</v>
      </c>
      <c r="B645" s="1026" t="s">
        <v>2826</v>
      </c>
      <c r="C645" s="1028"/>
      <c r="D645" s="1410"/>
      <c r="E645" s="1410"/>
      <c r="F645" s="1410"/>
      <c r="G645" s="1410"/>
      <c r="H645" s="1410"/>
      <c r="I645" s="1410"/>
      <c r="J645" s="1410"/>
      <c r="K645" s="1410"/>
      <c r="L645" s="1410"/>
      <c r="M645" s="1410"/>
      <c r="N645" s="1410"/>
      <c r="O645" s="1410"/>
      <c r="P645" s="1498">
        <f t="shared" si="60"/>
        <v>0</v>
      </c>
      <c r="Q645" s="711">
        <f t="shared" si="64"/>
        <v>0</v>
      </c>
      <c r="R645" s="1389"/>
      <c r="S645" s="1411"/>
      <c r="T645" s="1411"/>
      <c r="U645" s="1411"/>
      <c r="V645" s="1411">
        <v>143940</v>
      </c>
      <c r="W645" s="1411">
        <v>0</v>
      </c>
      <c r="X645" s="1411">
        <v>0</v>
      </c>
      <c r="Y645" s="1411">
        <v>0</v>
      </c>
      <c r="Z645" s="1411"/>
      <c r="AA645" s="1411"/>
      <c r="AB645" s="1411"/>
      <c r="AC645" s="1411"/>
      <c r="AD645" s="1123">
        <f t="shared" si="61"/>
        <v>143940</v>
      </c>
      <c r="AE645" s="637">
        <f t="shared" si="62"/>
        <v>1</v>
      </c>
      <c r="AF645" s="638">
        <f t="shared" si="63"/>
        <v>331</v>
      </c>
    </row>
    <row r="646" spans="1:32" x14ac:dyDescent="0.3">
      <c r="A646" s="1493" t="s">
        <v>759</v>
      </c>
      <c r="B646" s="1026" t="s">
        <v>2827</v>
      </c>
      <c r="C646" s="1028"/>
      <c r="D646" s="1410"/>
      <c r="E646" s="1410"/>
      <c r="F646" s="1410"/>
      <c r="G646" s="1410"/>
      <c r="H646" s="1410"/>
      <c r="I646" s="1410"/>
      <c r="J646" s="1410"/>
      <c r="K646" s="1410"/>
      <c r="L646" s="1410"/>
      <c r="M646" s="1410"/>
      <c r="N646" s="1410"/>
      <c r="O646" s="1410"/>
      <c r="P646" s="1498">
        <f t="shared" si="60"/>
        <v>0</v>
      </c>
      <c r="Q646" s="711">
        <f t="shared" si="64"/>
        <v>0</v>
      </c>
      <c r="R646" s="1389"/>
      <c r="S646" s="1411"/>
      <c r="T646" s="1411"/>
      <c r="U646" s="1411"/>
      <c r="V646" s="1411">
        <v>44200</v>
      </c>
      <c r="W646" s="1411">
        <v>0</v>
      </c>
      <c r="X646" s="1411">
        <v>0</v>
      </c>
      <c r="Y646" s="1411">
        <v>0</v>
      </c>
      <c r="Z646" s="1411"/>
      <c r="AA646" s="1411"/>
      <c r="AB646" s="1411"/>
      <c r="AC646" s="1411"/>
      <c r="AD646" s="1123">
        <f t="shared" si="61"/>
        <v>44200</v>
      </c>
      <c r="AE646" s="637">
        <f t="shared" si="62"/>
        <v>1</v>
      </c>
      <c r="AF646" s="638">
        <f t="shared" si="63"/>
        <v>371</v>
      </c>
    </row>
    <row r="647" spans="1:32" x14ac:dyDescent="0.3">
      <c r="A647" s="1493" t="s">
        <v>759</v>
      </c>
      <c r="B647" s="1026" t="s">
        <v>2849</v>
      </c>
      <c r="C647" s="1028"/>
      <c r="D647" s="1410"/>
      <c r="E647" s="1410"/>
      <c r="F647" s="1410"/>
      <c r="G647" s="1410"/>
      <c r="H647" s="1410"/>
      <c r="I647" s="1410"/>
      <c r="J647" s="1410"/>
      <c r="K647" s="1410"/>
      <c r="L647" s="1410"/>
      <c r="M647" s="1410"/>
      <c r="N647" s="1410"/>
      <c r="O647" s="1410"/>
      <c r="P647" s="1498">
        <f t="shared" si="60"/>
        <v>0</v>
      </c>
      <c r="Q647" s="711">
        <f t="shared" si="64"/>
        <v>0</v>
      </c>
      <c r="R647" s="1389"/>
      <c r="S647" s="1411"/>
      <c r="T647" s="1411"/>
      <c r="U647" s="1411"/>
      <c r="V647" s="1411"/>
      <c r="W647" s="1411">
        <v>517000</v>
      </c>
      <c r="X647" s="1411">
        <v>457680</v>
      </c>
      <c r="Y647" s="1411">
        <v>502520</v>
      </c>
      <c r="Z647" s="1411"/>
      <c r="AA647" s="1411"/>
      <c r="AB647" s="1411"/>
      <c r="AC647" s="1411"/>
      <c r="AD647" s="1123">
        <f t="shared" si="61"/>
        <v>1477200</v>
      </c>
      <c r="AE647" s="637">
        <f t="shared" si="62"/>
        <v>1</v>
      </c>
      <c r="AF647" s="638">
        <f t="shared" si="63"/>
        <v>169</v>
      </c>
    </row>
    <row r="648" spans="1:32" x14ac:dyDescent="0.3">
      <c r="A648" s="1493" t="s">
        <v>759</v>
      </c>
      <c r="B648" s="1026" t="s">
        <v>2864</v>
      </c>
      <c r="C648" s="1028"/>
      <c r="D648" s="1410"/>
      <c r="E648" s="1410"/>
      <c r="F648" s="1410"/>
      <c r="G648" s="1410"/>
      <c r="H648" s="1410"/>
      <c r="I648" s="1410"/>
      <c r="J648" s="1410"/>
      <c r="K648" s="1410"/>
      <c r="L648" s="1410"/>
      <c r="M648" s="1410"/>
      <c r="N648" s="1410"/>
      <c r="O648" s="1410"/>
      <c r="P648" s="1498">
        <f t="shared" si="60"/>
        <v>0</v>
      </c>
      <c r="Q648" s="711">
        <f t="shared" si="64"/>
        <v>0</v>
      </c>
      <c r="R648" s="1389"/>
      <c r="S648" s="1411"/>
      <c r="T648" s="1411"/>
      <c r="U648" s="1411"/>
      <c r="V648" s="1411"/>
      <c r="W648" s="1411">
        <v>637620</v>
      </c>
      <c r="X648" s="1411">
        <v>0</v>
      </c>
      <c r="Y648" s="1411">
        <v>0</v>
      </c>
      <c r="Z648" s="1411"/>
      <c r="AA648" s="1411"/>
      <c r="AB648" s="1411"/>
      <c r="AC648" s="1411"/>
      <c r="AD648" s="1123">
        <f t="shared" si="61"/>
        <v>637620</v>
      </c>
      <c r="AE648" s="637">
        <f t="shared" si="62"/>
        <v>1</v>
      </c>
      <c r="AF648" s="638">
        <f t="shared" si="63"/>
        <v>233</v>
      </c>
    </row>
    <row r="649" spans="1:32" x14ac:dyDescent="0.3">
      <c r="A649" s="1493" t="s">
        <v>759</v>
      </c>
      <c r="B649" s="1026" t="s">
        <v>2582</v>
      </c>
      <c r="C649" s="1028"/>
      <c r="D649" s="1410"/>
      <c r="E649" s="1410"/>
      <c r="F649" s="1410"/>
      <c r="G649" s="1410"/>
      <c r="H649" s="1410"/>
      <c r="I649" s="1410"/>
      <c r="J649" s="1410"/>
      <c r="K649" s="1410"/>
      <c r="L649" s="1410"/>
      <c r="M649" s="1410"/>
      <c r="N649" s="1410"/>
      <c r="O649" s="1410"/>
      <c r="P649" s="1498">
        <f t="shared" si="60"/>
        <v>0</v>
      </c>
      <c r="Q649" s="711">
        <f t="shared" si="64"/>
        <v>0</v>
      </c>
      <c r="R649" s="1389"/>
      <c r="S649" s="1411"/>
      <c r="T649" s="1411"/>
      <c r="U649" s="1411"/>
      <c r="V649" s="1411"/>
      <c r="W649" s="1411">
        <v>2172030</v>
      </c>
      <c r="X649" s="1411">
        <v>0</v>
      </c>
      <c r="Y649" s="1411">
        <v>0</v>
      </c>
      <c r="Z649" s="1411"/>
      <c r="AA649" s="1411"/>
      <c r="AB649" s="1411"/>
      <c r="AC649" s="1411"/>
      <c r="AD649" s="1123">
        <f t="shared" si="61"/>
        <v>2172030</v>
      </c>
      <c r="AE649" s="637">
        <f t="shared" si="62"/>
        <v>1</v>
      </c>
      <c r="AF649" s="638">
        <f t="shared" si="63"/>
        <v>139</v>
      </c>
    </row>
    <row r="650" spans="1:32" x14ac:dyDescent="0.3">
      <c r="A650" s="1493" t="s">
        <v>759</v>
      </c>
      <c r="B650" s="1026" t="s">
        <v>744</v>
      </c>
      <c r="C650" s="1028"/>
      <c r="D650" s="1410"/>
      <c r="E650" s="1410"/>
      <c r="F650" s="1410"/>
      <c r="G650" s="1410"/>
      <c r="H650" s="1410"/>
      <c r="I650" s="1410"/>
      <c r="J650" s="1410"/>
      <c r="K650" s="1410"/>
      <c r="L650" s="1410"/>
      <c r="M650" s="1410"/>
      <c r="N650" s="1410"/>
      <c r="O650" s="1410"/>
      <c r="P650" s="1498">
        <f t="shared" ref="P650:P677" si="65">SUM(C650:I650,K650)</f>
        <v>0</v>
      </c>
      <c r="Q650" s="711">
        <f t="shared" si="64"/>
        <v>0</v>
      </c>
      <c r="R650" s="1389"/>
      <c r="S650" s="1411"/>
      <c r="T650" s="1411"/>
      <c r="U650" s="1411"/>
      <c r="V650" s="1411"/>
      <c r="W650" s="1411">
        <v>266280</v>
      </c>
      <c r="X650" s="1411">
        <v>0</v>
      </c>
      <c r="Y650" s="1411">
        <v>0</v>
      </c>
      <c r="Z650" s="1411"/>
      <c r="AA650" s="1411"/>
      <c r="AB650" s="1411"/>
      <c r="AC650" s="1411"/>
      <c r="AD650" s="1123">
        <f t="shared" si="61"/>
        <v>266280</v>
      </c>
      <c r="AE650" s="637">
        <f t="shared" si="62"/>
        <v>1</v>
      </c>
      <c r="AF650" s="638">
        <f t="shared" si="63"/>
        <v>303</v>
      </c>
    </row>
    <row r="651" spans="1:32" x14ac:dyDescent="0.3">
      <c r="A651" s="1493" t="s">
        <v>759</v>
      </c>
      <c r="B651" s="1026" t="s">
        <v>2883</v>
      </c>
      <c r="C651" s="1028"/>
      <c r="D651" s="1410"/>
      <c r="E651" s="1410"/>
      <c r="F651" s="1410"/>
      <c r="G651" s="1410"/>
      <c r="H651" s="1410"/>
      <c r="I651" s="1410"/>
      <c r="J651" s="1410"/>
      <c r="K651" s="1410"/>
      <c r="L651" s="1410"/>
      <c r="M651" s="1410"/>
      <c r="N651" s="1410"/>
      <c r="O651" s="1410"/>
      <c r="P651" s="1498">
        <f t="shared" si="65"/>
        <v>0</v>
      </c>
      <c r="Q651" s="711">
        <f t="shared" si="64"/>
        <v>0</v>
      </c>
      <c r="R651" s="1389"/>
      <c r="S651" s="1411"/>
      <c r="T651" s="1411"/>
      <c r="U651" s="1411"/>
      <c r="V651" s="1411"/>
      <c r="W651" s="1411">
        <v>332460</v>
      </c>
      <c r="X651" s="1411">
        <v>0</v>
      </c>
      <c r="Y651" s="1411">
        <v>0</v>
      </c>
      <c r="Z651" s="1411"/>
      <c r="AA651" s="1411"/>
      <c r="AB651" s="1411"/>
      <c r="AC651" s="1411"/>
      <c r="AD651" s="1123">
        <f t="shared" si="61"/>
        <v>332460</v>
      </c>
      <c r="AE651" s="637">
        <f t="shared" si="62"/>
        <v>1</v>
      </c>
      <c r="AF651" s="638">
        <f t="shared" si="63"/>
        <v>287</v>
      </c>
    </row>
    <row r="652" spans="1:32" x14ac:dyDescent="0.3">
      <c r="A652" s="1493" t="s">
        <v>759</v>
      </c>
      <c r="B652" s="1026" t="s">
        <v>2876</v>
      </c>
      <c r="C652" s="1028"/>
      <c r="D652" s="1410"/>
      <c r="E652" s="1410"/>
      <c r="F652" s="1410"/>
      <c r="G652" s="1410"/>
      <c r="H652" s="1410"/>
      <c r="I652" s="1410"/>
      <c r="J652" s="1410"/>
      <c r="K652" s="1410"/>
      <c r="L652" s="1410"/>
      <c r="M652" s="1410"/>
      <c r="N652" s="1410"/>
      <c r="O652" s="1410"/>
      <c r="P652" s="1498">
        <f t="shared" si="65"/>
        <v>0</v>
      </c>
      <c r="Q652" s="711">
        <f t="shared" si="64"/>
        <v>0</v>
      </c>
      <c r="R652" s="1389"/>
      <c r="S652" s="1411"/>
      <c r="T652" s="1411"/>
      <c r="U652" s="1411"/>
      <c r="V652" s="1411"/>
      <c r="W652" s="1411">
        <v>234000</v>
      </c>
      <c r="X652" s="1411">
        <v>438750</v>
      </c>
      <c r="Y652" s="1411">
        <v>0</v>
      </c>
      <c r="Z652" s="1411"/>
      <c r="AA652" s="1411"/>
      <c r="AB652" s="1411"/>
      <c r="AC652" s="1411"/>
      <c r="AD652" s="1123">
        <f t="shared" si="61"/>
        <v>672750</v>
      </c>
      <c r="AE652" s="637">
        <f t="shared" si="62"/>
        <v>1</v>
      </c>
      <c r="AF652" s="638">
        <f t="shared" si="63"/>
        <v>229</v>
      </c>
    </row>
    <row r="653" spans="1:32" x14ac:dyDescent="0.3">
      <c r="A653" s="1493" t="s">
        <v>759</v>
      </c>
      <c r="B653" s="1026" t="s">
        <v>2191</v>
      </c>
      <c r="C653" s="1028"/>
      <c r="D653" s="1410"/>
      <c r="E653" s="1410"/>
      <c r="F653" s="1410"/>
      <c r="G653" s="1410"/>
      <c r="H653" s="1410"/>
      <c r="I653" s="1410"/>
      <c r="J653" s="1410"/>
      <c r="K653" s="1410"/>
      <c r="L653" s="1410"/>
      <c r="M653" s="1410"/>
      <c r="N653" s="1410"/>
      <c r="O653" s="1410"/>
      <c r="P653" s="1498">
        <f t="shared" si="65"/>
        <v>0</v>
      </c>
      <c r="Q653" s="711">
        <f t="shared" si="64"/>
        <v>0</v>
      </c>
      <c r="R653" s="1389"/>
      <c r="S653" s="1411"/>
      <c r="T653" s="1411"/>
      <c r="U653" s="1411"/>
      <c r="V653" s="1411"/>
      <c r="W653" s="1411">
        <v>18250</v>
      </c>
      <c r="X653" s="1411">
        <v>0</v>
      </c>
      <c r="Y653" s="1411">
        <v>0</v>
      </c>
      <c r="Z653" s="1411"/>
      <c r="AA653" s="1411"/>
      <c r="AB653" s="1411"/>
      <c r="AC653" s="1411"/>
      <c r="AD653" s="1123">
        <f t="shared" si="61"/>
        <v>18250</v>
      </c>
      <c r="AE653" s="637">
        <f t="shared" si="62"/>
        <v>1</v>
      </c>
      <c r="AF653" s="638">
        <f t="shared" si="63"/>
        <v>383</v>
      </c>
    </row>
    <row r="654" spans="1:32" x14ac:dyDescent="0.3">
      <c r="A654" s="1493" t="s">
        <v>759</v>
      </c>
      <c r="B654" s="1026" t="s">
        <v>2686</v>
      </c>
      <c r="C654" s="1028"/>
      <c r="D654" s="1410"/>
      <c r="E654" s="1410"/>
      <c r="F654" s="1410"/>
      <c r="G654" s="1410"/>
      <c r="H654" s="1410"/>
      <c r="I654" s="1410"/>
      <c r="J654" s="1410"/>
      <c r="K654" s="1410"/>
      <c r="L654" s="1410"/>
      <c r="M654" s="1410"/>
      <c r="N654" s="1410"/>
      <c r="O654" s="1410"/>
      <c r="P654" s="1498">
        <f t="shared" si="65"/>
        <v>0</v>
      </c>
      <c r="Q654" s="711">
        <f t="shared" si="64"/>
        <v>0</v>
      </c>
      <c r="R654" s="1389"/>
      <c r="S654" s="1411"/>
      <c r="T654" s="1411"/>
      <c r="U654" s="1411"/>
      <c r="V654" s="1411"/>
      <c r="W654" s="1411">
        <v>66010</v>
      </c>
      <c r="X654" s="1411">
        <v>32080</v>
      </c>
      <c r="Y654" s="1411">
        <v>0</v>
      </c>
      <c r="Z654" s="1411"/>
      <c r="AA654" s="1411"/>
      <c r="AB654" s="1411"/>
      <c r="AC654" s="1411"/>
      <c r="AD654" s="1123">
        <f t="shared" si="61"/>
        <v>98090</v>
      </c>
      <c r="AE654" s="637">
        <f t="shared" si="62"/>
        <v>1</v>
      </c>
      <c r="AF654" s="638">
        <f t="shared" si="63"/>
        <v>347</v>
      </c>
    </row>
    <row r="655" spans="1:32" x14ac:dyDescent="0.3">
      <c r="A655" s="1493" t="s">
        <v>759</v>
      </c>
      <c r="B655" s="1026" t="s">
        <v>2911</v>
      </c>
      <c r="C655" s="1028"/>
      <c r="D655" s="1410"/>
      <c r="E655" s="1410"/>
      <c r="F655" s="1410"/>
      <c r="G655" s="1410"/>
      <c r="H655" s="1410"/>
      <c r="I655" s="1410"/>
      <c r="J655" s="1410"/>
      <c r="K655" s="1410"/>
      <c r="L655" s="1410"/>
      <c r="M655" s="1410"/>
      <c r="N655" s="1410"/>
      <c r="O655" s="1410"/>
      <c r="P655" s="1498">
        <f t="shared" si="65"/>
        <v>0</v>
      </c>
      <c r="Q655" s="711">
        <f t="shared" si="64"/>
        <v>0</v>
      </c>
      <c r="R655" s="1389"/>
      <c r="S655" s="1411"/>
      <c r="T655" s="1411"/>
      <c r="U655" s="1411"/>
      <c r="V655" s="1411"/>
      <c r="W655" s="1411">
        <v>167860</v>
      </c>
      <c r="X655" s="1411">
        <v>0</v>
      </c>
      <c r="Y655" s="1411">
        <v>0</v>
      </c>
      <c r="Z655" s="1411"/>
      <c r="AA655" s="1411"/>
      <c r="AB655" s="1411"/>
      <c r="AC655" s="1411"/>
      <c r="AD655" s="1123">
        <f t="shared" si="61"/>
        <v>167860</v>
      </c>
      <c r="AE655" s="637">
        <f t="shared" si="62"/>
        <v>1</v>
      </c>
      <c r="AF655" s="638">
        <f t="shared" si="63"/>
        <v>324</v>
      </c>
    </row>
    <row r="656" spans="1:32" x14ac:dyDescent="0.3">
      <c r="A656" s="1493" t="s">
        <v>759</v>
      </c>
      <c r="B656" s="1026" t="s">
        <v>2912</v>
      </c>
      <c r="C656" s="1028"/>
      <c r="D656" s="1410"/>
      <c r="E656" s="1410"/>
      <c r="F656" s="1410"/>
      <c r="G656" s="1410"/>
      <c r="H656" s="1410"/>
      <c r="I656" s="1410"/>
      <c r="J656" s="1410"/>
      <c r="K656" s="1410"/>
      <c r="L656" s="1410"/>
      <c r="M656" s="1410"/>
      <c r="N656" s="1410"/>
      <c r="O656" s="1410"/>
      <c r="P656" s="1498">
        <f t="shared" si="65"/>
        <v>0</v>
      </c>
      <c r="Q656" s="711">
        <f t="shared" si="64"/>
        <v>0</v>
      </c>
      <c r="R656" s="1389"/>
      <c r="S656" s="1411"/>
      <c r="T656" s="1411"/>
      <c r="U656" s="1411"/>
      <c r="V656" s="1411"/>
      <c r="W656" s="1411">
        <v>152530</v>
      </c>
      <c r="X656" s="1411">
        <v>841460</v>
      </c>
      <c r="Y656" s="1411">
        <v>163720</v>
      </c>
      <c r="Z656" s="1411"/>
      <c r="AA656" s="1411"/>
      <c r="AB656" s="1411"/>
      <c r="AC656" s="1411"/>
      <c r="AD656" s="1123">
        <f t="shared" si="61"/>
        <v>1157710</v>
      </c>
      <c r="AE656" s="637">
        <f t="shared" si="62"/>
        <v>1</v>
      </c>
      <c r="AF656" s="638">
        <f t="shared" si="63"/>
        <v>186</v>
      </c>
    </row>
    <row r="657" spans="1:32" ht="16.5" customHeight="1" x14ac:dyDescent="0.3">
      <c r="A657" s="1493" t="s">
        <v>759</v>
      </c>
      <c r="B657" s="1026" t="s">
        <v>2903</v>
      </c>
      <c r="C657" s="1028"/>
      <c r="D657" s="1410"/>
      <c r="E657" s="1410"/>
      <c r="F657" s="1410"/>
      <c r="G657" s="1410"/>
      <c r="H657" s="1410"/>
      <c r="I657" s="1410"/>
      <c r="J657" s="1410"/>
      <c r="K657" s="1410"/>
      <c r="L657" s="1410"/>
      <c r="M657" s="1410"/>
      <c r="N657" s="1410"/>
      <c r="O657" s="1410"/>
      <c r="P657" s="1498">
        <f t="shared" si="65"/>
        <v>0</v>
      </c>
      <c r="Q657" s="711">
        <f t="shared" si="64"/>
        <v>0</v>
      </c>
      <c r="R657" s="1389"/>
      <c r="S657" s="1411"/>
      <c r="T657" s="1411"/>
      <c r="U657" s="1411"/>
      <c r="V657" s="1411"/>
      <c r="W657" s="1411">
        <v>152200</v>
      </c>
      <c r="X657" s="1411">
        <v>0</v>
      </c>
      <c r="Y657" s="1411">
        <v>148180</v>
      </c>
      <c r="Z657" s="1411"/>
      <c r="AA657" s="1411"/>
      <c r="AB657" s="1411"/>
      <c r="AC657" s="1411"/>
      <c r="AD657" s="1123">
        <f t="shared" si="61"/>
        <v>300380</v>
      </c>
      <c r="AE657" s="637">
        <f t="shared" si="62"/>
        <v>1</v>
      </c>
      <c r="AF657" s="638">
        <f t="shared" si="63"/>
        <v>294</v>
      </c>
    </row>
    <row r="658" spans="1:32" ht="16.5" customHeight="1" x14ac:dyDescent="0.3">
      <c r="A658" s="1493" t="s">
        <v>759</v>
      </c>
      <c r="B658" s="1026" t="s">
        <v>2926</v>
      </c>
      <c r="C658" s="1028"/>
      <c r="D658" s="1410"/>
      <c r="E658" s="1410"/>
      <c r="F658" s="1410"/>
      <c r="G658" s="1410"/>
      <c r="H658" s="1410"/>
      <c r="I658" s="1410"/>
      <c r="J658" s="1410"/>
      <c r="K658" s="1410"/>
      <c r="L658" s="1410"/>
      <c r="M658" s="1410"/>
      <c r="N658" s="1410"/>
      <c r="O658" s="1410"/>
      <c r="P658" s="1498">
        <f t="shared" si="65"/>
        <v>0</v>
      </c>
      <c r="Q658" s="711">
        <f t="shared" si="64"/>
        <v>0</v>
      </c>
      <c r="R658" s="1389"/>
      <c r="S658" s="1411"/>
      <c r="T658" s="1411"/>
      <c r="U658" s="1411"/>
      <c r="V658" s="1411"/>
      <c r="W658" s="1411"/>
      <c r="X658" s="1411">
        <v>75070</v>
      </c>
      <c r="Y658" s="1411">
        <v>0</v>
      </c>
      <c r="Z658" s="1411"/>
      <c r="AA658" s="1411"/>
      <c r="AB658" s="1411"/>
      <c r="AC658" s="1411"/>
      <c r="AD658" s="1123">
        <f t="shared" si="61"/>
        <v>75070</v>
      </c>
      <c r="AE658" s="637">
        <f t="shared" si="62"/>
        <v>1</v>
      </c>
      <c r="AF658" s="638">
        <f t="shared" si="63"/>
        <v>356</v>
      </c>
    </row>
    <row r="659" spans="1:32" ht="16.5" customHeight="1" x14ac:dyDescent="0.3">
      <c r="A659" s="1493" t="s">
        <v>759</v>
      </c>
      <c r="B659" s="1026" t="s">
        <v>1826</v>
      </c>
      <c r="C659" s="1028"/>
      <c r="D659" s="1410"/>
      <c r="E659" s="1410"/>
      <c r="F659" s="1410"/>
      <c r="G659" s="1410"/>
      <c r="H659" s="1410"/>
      <c r="I659" s="1410"/>
      <c r="J659" s="1410"/>
      <c r="K659" s="1410"/>
      <c r="L659" s="1410"/>
      <c r="M659" s="1410"/>
      <c r="N659" s="1410"/>
      <c r="O659" s="1410"/>
      <c r="P659" s="1498">
        <f t="shared" si="65"/>
        <v>0</v>
      </c>
      <c r="Q659" s="711">
        <f t="shared" si="64"/>
        <v>0</v>
      </c>
      <c r="R659" s="1389"/>
      <c r="S659" s="1411"/>
      <c r="T659" s="1411"/>
      <c r="U659" s="1411"/>
      <c r="V659" s="1411"/>
      <c r="W659" s="1411"/>
      <c r="X659" s="1411">
        <v>119050</v>
      </c>
      <c r="Y659" s="1411">
        <v>581950</v>
      </c>
      <c r="Z659" s="1411"/>
      <c r="AA659" s="1411"/>
      <c r="AB659" s="1411"/>
      <c r="AC659" s="1411"/>
      <c r="AD659" s="1123">
        <f t="shared" ref="AD659:AD677" si="66">SUM(R659:AC659)</f>
        <v>701000</v>
      </c>
      <c r="AE659" s="637">
        <f t="shared" si="62"/>
        <v>1</v>
      </c>
      <c r="AF659" s="638">
        <f t="shared" si="63"/>
        <v>227</v>
      </c>
    </row>
    <row r="660" spans="1:32" ht="16.5" customHeight="1" x14ac:dyDescent="0.3">
      <c r="A660" s="1493" t="s">
        <v>759</v>
      </c>
      <c r="B660" s="1026" t="s">
        <v>1877</v>
      </c>
      <c r="C660" s="1028"/>
      <c r="D660" s="1410"/>
      <c r="E660" s="1410"/>
      <c r="F660" s="1410"/>
      <c r="G660" s="1410"/>
      <c r="H660" s="1410"/>
      <c r="I660" s="1410"/>
      <c r="J660" s="1410"/>
      <c r="K660" s="1410"/>
      <c r="L660" s="1410"/>
      <c r="M660" s="1410"/>
      <c r="N660" s="1410"/>
      <c r="O660" s="1410"/>
      <c r="P660" s="1498">
        <f t="shared" si="65"/>
        <v>0</v>
      </c>
      <c r="Q660" s="711">
        <f t="shared" si="64"/>
        <v>0</v>
      </c>
      <c r="R660" s="1389"/>
      <c r="S660" s="1411"/>
      <c r="T660" s="1411"/>
      <c r="U660" s="1411"/>
      <c r="V660" s="1411"/>
      <c r="W660" s="1411"/>
      <c r="X660" s="1411">
        <v>98300</v>
      </c>
      <c r="Y660" s="1411">
        <v>0</v>
      </c>
      <c r="Z660" s="1411"/>
      <c r="AA660" s="1411"/>
      <c r="AB660" s="1411"/>
      <c r="AC660" s="1411"/>
      <c r="AD660" s="1123">
        <f t="shared" si="66"/>
        <v>98300</v>
      </c>
      <c r="AE660" s="637">
        <f t="shared" si="62"/>
        <v>1</v>
      </c>
      <c r="AF660" s="638">
        <f t="shared" si="63"/>
        <v>346</v>
      </c>
    </row>
    <row r="661" spans="1:32" ht="16.5" customHeight="1" x14ac:dyDescent="0.3">
      <c r="A661" s="1493" t="s">
        <v>759</v>
      </c>
      <c r="B661" s="1026" t="s">
        <v>2932</v>
      </c>
      <c r="C661" s="1028"/>
      <c r="D661" s="1410"/>
      <c r="E661" s="1410"/>
      <c r="F661" s="1410"/>
      <c r="G661" s="1410"/>
      <c r="H661" s="1410"/>
      <c r="I661" s="1410"/>
      <c r="J661" s="1410"/>
      <c r="K661" s="1410"/>
      <c r="L661" s="1410"/>
      <c r="M661" s="1410"/>
      <c r="N661" s="1410"/>
      <c r="O661" s="1410"/>
      <c r="P661" s="1498">
        <f t="shared" si="65"/>
        <v>0</v>
      </c>
      <c r="Q661" s="711">
        <f t="shared" si="64"/>
        <v>0</v>
      </c>
      <c r="R661" s="1389"/>
      <c r="S661" s="1411"/>
      <c r="T661" s="1411"/>
      <c r="U661" s="1411"/>
      <c r="V661" s="1411"/>
      <c r="W661" s="1411"/>
      <c r="X661" s="1411">
        <v>1438120</v>
      </c>
      <c r="Y661" s="1411">
        <v>12795660</v>
      </c>
      <c r="Z661" s="1411"/>
      <c r="AA661" s="1411"/>
      <c r="AB661" s="1411"/>
      <c r="AC661" s="1411"/>
      <c r="AD661" s="1123">
        <f t="shared" si="66"/>
        <v>14233780</v>
      </c>
      <c r="AE661" s="637">
        <f t="shared" si="62"/>
        <v>1</v>
      </c>
      <c r="AF661" s="638">
        <f t="shared" si="63"/>
        <v>34</v>
      </c>
    </row>
    <row r="662" spans="1:32" ht="16.5" customHeight="1" x14ac:dyDescent="0.3">
      <c r="A662" s="1493" t="s">
        <v>759</v>
      </c>
      <c r="B662" s="1026" t="s">
        <v>1939</v>
      </c>
      <c r="C662" s="1028"/>
      <c r="D662" s="1410"/>
      <c r="E662" s="1410"/>
      <c r="F662" s="1410"/>
      <c r="G662" s="1410"/>
      <c r="H662" s="1410"/>
      <c r="I662" s="1410"/>
      <c r="J662" s="1410"/>
      <c r="K662" s="1410"/>
      <c r="L662" s="1410"/>
      <c r="M662" s="1410"/>
      <c r="N662" s="1410"/>
      <c r="O662" s="1410"/>
      <c r="P662" s="1498">
        <f t="shared" si="65"/>
        <v>0</v>
      </c>
      <c r="Q662" s="711">
        <f t="shared" si="64"/>
        <v>0</v>
      </c>
      <c r="R662" s="1389"/>
      <c r="S662" s="1411"/>
      <c r="T662" s="1411"/>
      <c r="U662" s="1411"/>
      <c r="V662" s="1411"/>
      <c r="W662" s="1411"/>
      <c r="X662" s="1411">
        <v>164590</v>
      </c>
      <c r="Y662" s="1411">
        <v>155630</v>
      </c>
      <c r="Z662" s="1411"/>
      <c r="AA662" s="1411"/>
      <c r="AB662" s="1411"/>
      <c r="AC662" s="1411"/>
      <c r="AD662" s="1123">
        <f t="shared" si="66"/>
        <v>320220</v>
      </c>
      <c r="AE662" s="637">
        <f t="shared" si="62"/>
        <v>1</v>
      </c>
      <c r="AF662" s="638">
        <f t="shared" si="63"/>
        <v>289</v>
      </c>
    </row>
    <row r="663" spans="1:32" ht="16.5" customHeight="1" x14ac:dyDescent="0.3">
      <c r="A663" s="1493" t="s">
        <v>759</v>
      </c>
      <c r="B663" s="1026" t="s">
        <v>2933</v>
      </c>
      <c r="C663" s="1028"/>
      <c r="D663" s="1410"/>
      <c r="E663" s="1410"/>
      <c r="F663" s="1410"/>
      <c r="G663" s="1410"/>
      <c r="H663" s="1410"/>
      <c r="I663" s="1410"/>
      <c r="J663" s="1410"/>
      <c r="K663" s="1410"/>
      <c r="L663" s="1410"/>
      <c r="M663" s="1410"/>
      <c r="N663" s="1410"/>
      <c r="O663" s="1410"/>
      <c r="P663" s="1498">
        <f t="shared" si="65"/>
        <v>0</v>
      </c>
      <c r="Q663" s="711">
        <f t="shared" si="64"/>
        <v>0</v>
      </c>
      <c r="R663" s="1389"/>
      <c r="S663" s="1411"/>
      <c r="T663" s="1411"/>
      <c r="U663" s="1411"/>
      <c r="V663" s="1411"/>
      <c r="W663" s="1411"/>
      <c r="X663" s="1411">
        <v>457090</v>
      </c>
      <c r="Y663" s="1411">
        <v>0</v>
      </c>
      <c r="Z663" s="1411"/>
      <c r="AA663" s="1411"/>
      <c r="AB663" s="1411"/>
      <c r="AC663" s="1411"/>
      <c r="AD663" s="1123">
        <f t="shared" si="66"/>
        <v>457090</v>
      </c>
      <c r="AE663" s="637">
        <f t="shared" si="62"/>
        <v>1</v>
      </c>
      <c r="AF663" s="638">
        <f t="shared" si="63"/>
        <v>264</v>
      </c>
    </row>
    <row r="664" spans="1:32" ht="16.5" customHeight="1" x14ac:dyDescent="0.3">
      <c r="A664" s="1493" t="s">
        <v>759</v>
      </c>
      <c r="B664" s="1026" t="s">
        <v>2934</v>
      </c>
      <c r="C664" s="1028"/>
      <c r="D664" s="1410"/>
      <c r="E664" s="1410"/>
      <c r="F664" s="1410"/>
      <c r="G664" s="1410"/>
      <c r="H664" s="1410"/>
      <c r="I664" s="1410"/>
      <c r="J664" s="1410"/>
      <c r="K664" s="1410"/>
      <c r="L664" s="1410"/>
      <c r="M664" s="1410"/>
      <c r="N664" s="1410"/>
      <c r="O664" s="1410"/>
      <c r="P664" s="1498">
        <f t="shared" si="65"/>
        <v>0</v>
      </c>
      <c r="Q664" s="711">
        <f t="shared" si="64"/>
        <v>0</v>
      </c>
      <c r="R664" s="1389"/>
      <c r="S664" s="1411"/>
      <c r="T664" s="1411"/>
      <c r="U664" s="1411"/>
      <c r="V664" s="1411"/>
      <c r="W664" s="1411"/>
      <c r="X664" s="1411">
        <v>298050</v>
      </c>
      <c r="Y664" s="1411">
        <v>0</v>
      </c>
      <c r="Z664" s="1411"/>
      <c r="AA664" s="1411"/>
      <c r="AB664" s="1411"/>
      <c r="AC664" s="1411"/>
      <c r="AD664" s="1123">
        <f t="shared" si="66"/>
        <v>298050</v>
      </c>
      <c r="AE664" s="637">
        <f t="shared" si="62"/>
        <v>1</v>
      </c>
      <c r="AF664" s="638">
        <f t="shared" si="63"/>
        <v>295</v>
      </c>
    </row>
    <row r="665" spans="1:32" ht="16.5" customHeight="1" x14ac:dyDescent="0.3">
      <c r="A665" s="1493" t="s">
        <v>759</v>
      </c>
      <c r="B665" s="1026" t="s">
        <v>3008</v>
      </c>
      <c r="C665" s="1028"/>
      <c r="D665" s="1410"/>
      <c r="E665" s="1410"/>
      <c r="F665" s="1410"/>
      <c r="G665" s="1410"/>
      <c r="H665" s="1410"/>
      <c r="I665" s="1410"/>
      <c r="J665" s="1410"/>
      <c r="K665" s="1410"/>
      <c r="L665" s="1410"/>
      <c r="M665" s="1410"/>
      <c r="N665" s="1410"/>
      <c r="O665" s="1410"/>
      <c r="P665" s="1498">
        <f t="shared" si="65"/>
        <v>0</v>
      </c>
      <c r="Q665" s="711">
        <f t="shared" si="64"/>
        <v>0</v>
      </c>
      <c r="R665" s="1389"/>
      <c r="S665" s="1411"/>
      <c r="T665" s="1411"/>
      <c r="U665" s="1411"/>
      <c r="V665" s="1411"/>
      <c r="W665" s="1411"/>
      <c r="X665" s="1411">
        <v>303380</v>
      </c>
      <c r="Y665" s="1411">
        <v>0</v>
      </c>
      <c r="Z665" s="1411"/>
      <c r="AA665" s="1411"/>
      <c r="AB665" s="1411"/>
      <c r="AC665" s="1411"/>
      <c r="AD665" s="1123">
        <f t="shared" si="66"/>
        <v>303380</v>
      </c>
      <c r="AE665" s="637">
        <f t="shared" si="62"/>
        <v>1</v>
      </c>
      <c r="AF665" s="638">
        <f t="shared" si="63"/>
        <v>292</v>
      </c>
    </row>
    <row r="666" spans="1:32" ht="16.5" customHeight="1" x14ac:dyDescent="0.3">
      <c r="A666" s="1493" t="s">
        <v>759</v>
      </c>
      <c r="B666" s="1026" t="s">
        <v>626</v>
      </c>
      <c r="C666" s="1028"/>
      <c r="D666" s="1410"/>
      <c r="E666" s="1410"/>
      <c r="F666" s="1410"/>
      <c r="G666" s="1410"/>
      <c r="H666" s="1410"/>
      <c r="I666" s="1410"/>
      <c r="J666" s="1410"/>
      <c r="K666" s="1410"/>
      <c r="L666" s="1410"/>
      <c r="M666" s="1410"/>
      <c r="N666" s="1410"/>
      <c r="O666" s="1410"/>
      <c r="P666" s="1498">
        <f t="shared" si="65"/>
        <v>0</v>
      </c>
      <c r="Q666" s="711">
        <f t="shared" si="64"/>
        <v>0</v>
      </c>
      <c r="R666" s="1389"/>
      <c r="S666" s="1411"/>
      <c r="T666" s="1411"/>
      <c r="U666" s="1411"/>
      <c r="V666" s="1411"/>
      <c r="W666" s="1411"/>
      <c r="X666" s="1411"/>
      <c r="Y666" s="1411">
        <v>87170</v>
      </c>
      <c r="Z666" s="1411"/>
      <c r="AA666" s="1411"/>
      <c r="AB666" s="1411"/>
      <c r="AC666" s="1411"/>
      <c r="AD666" s="1123">
        <f t="shared" si="66"/>
        <v>87170</v>
      </c>
      <c r="AE666" s="637">
        <f t="shared" si="62"/>
        <v>1</v>
      </c>
      <c r="AF666" s="638">
        <f t="shared" si="63"/>
        <v>350</v>
      </c>
    </row>
    <row r="667" spans="1:32" ht="16.5" customHeight="1" x14ac:dyDescent="0.3">
      <c r="A667" s="1493" t="s">
        <v>759</v>
      </c>
      <c r="B667" s="1026" t="s">
        <v>1857</v>
      </c>
      <c r="C667" s="1028"/>
      <c r="D667" s="1410"/>
      <c r="E667" s="1410"/>
      <c r="F667" s="1410"/>
      <c r="G667" s="1410"/>
      <c r="H667" s="1410"/>
      <c r="I667" s="1410"/>
      <c r="J667" s="1410"/>
      <c r="K667" s="1410"/>
      <c r="L667" s="1410"/>
      <c r="M667" s="1410"/>
      <c r="N667" s="1410"/>
      <c r="O667" s="1410"/>
      <c r="P667" s="1498">
        <f t="shared" si="65"/>
        <v>0</v>
      </c>
      <c r="Q667" s="711">
        <f t="shared" si="64"/>
        <v>0</v>
      </c>
      <c r="R667" s="1389"/>
      <c r="S667" s="1411"/>
      <c r="T667" s="1411"/>
      <c r="U667" s="1411"/>
      <c r="V667" s="1411"/>
      <c r="W667" s="1411"/>
      <c r="X667" s="1411"/>
      <c r="Y667" s="1411">
        <v>7638080</v>
      </c>
      <c r="Z667" s="1411"/>
      <c r="AA667" s="1411"/>
      <c r="AB667" s="1411"/>
      <c r="AC667" s="1411"/>
      <c r="AD667" s="1123">
        <f t="shared" si="66"/>
        <v>7638080</v>
      </c>
      <c r="AE667" s="637">
        <f t="shared" si="62"/>
        <v>1</v>
      </c>
      <c r="AF667" s="638">
        <f t="shared" si="63"/>
        <v>61</v>
      </c>
    </row>
    <row r="668" spans="1:32" ht="16.5" customHeight="1" x14ac:dyDescent="0.3">
      <c r="A668" s="1493" t="s">
        <v>759</v>
      </c>
      <c r="B668" s="1026" t="s">
        <v>394</v>
      </c>
      <c r="C668" s="1028"/>
      <c r="D668" s="1410"/>
      <c r="E668" s="1410"/>
      <c r="F668" s="1410"/>
      <c r="G668" s="1410"/>
      <c r="H668" s="1410"/>
      <c r="I668" s="1410"/>
      <c r="J668" s="1410"/>
      <c r="K668" s="1410"/>
      <c r="L668" s="1410"/>
      <c r="M668" s="1410"/>
      <c r="N668" s="1410"/>
      <c r="O668" s="1410"/>
      <c r="P668" s="1498">
        <f t="shared" si="65"/>
        <v>0</v>
      </c>
      <c r="Q668" s="711">
        <f t="shared" si="64"/>
        <v>0</v>
      </c>
      <c r="R668" s="1389"/>
      <c r="S668" s="1411"/>
      <c r="T668" s="1411"/>
      <c r="U668" s="1411"/>
      <c r="V668" s="1411"/>
      <c r="W668" s="1411"/>
      <c r="X668" s="1411"/>
      <c r="Y668" s="1411">
        <v>197000</v>
      </c>
      <c r="Z668" s="1411"/>
      <c r="AA668" s="1411"/>
      <c r="AB668" s="1411"/>
      <c r="AC668" s="1411"/>
      <c r="AD668" s="1123">
        <f t="shared" si="66"/>
        <v>197000</v>
      </c>
      <c r="AE668" s="637">
        <f t="shared" si="62"/>
        <v>1</v>
      </c>
      <c r="AF668" s="638">
        <f t="shared" si="63"/>
        <v>316</v>
      </c>
    </row>
    <row r="669" spans="1:32" ht="16.5" customHeight="1" x14ac:dyDescent="0.3">
      <c r="A669" s="1493" t="s">
        <v>759</v>
      </c>
      <c r="B669" s="1026" t="s">
        <v>1855</v>
      </c>
      <c r="C669" s="1028"/>
      <c r="D669" s="1410"/>
      <c r="E669" s="1410"/>
      <c r="F669" s="1410"/>
      <c r="G669" s="1410"/>
      <c r="H669" s="1410"/>
      <c r="I669" s="1410"/>
      <c r="J669" s="1410"/>
      <c r="K669" s="1410"/>
      <c r="L669" s="1410"/>
      <c r="M669" s="1410"/>
      <c r="N669" s="1410"/>
      <c r="O669" s="1410"/>
      <c r="P669" s="1498">
        <f t="shared" si="65"/>
        <v>0</v>
      </c>
      <c r="Q669" s="711">
        <f t="shared" si="64"/>
        <v>0</v>
      </c>
      <c r="R669" s="1389"/>
      <c r="S669" s="1411"/>
      <c r="T669" s="1411"/>
      <c r="U669" s="1411"/>
      <c r="V669" s="1411"/>
      <c r="W669" s="1411"/>
      <c r="X669" s="1411"/>
      <c r="Y669" s="1411">
        <v>14360</v>
      </c>
      <c r="Z669" s="1411"/>
      <c r="AA669" s="1411"/>
      <c r="AB669" s="1411"/>
      <c r="AC669" s="1411"/>
      <c r="AD669" s="1123">
        <f t="shared" si="66"/>
        <v>14360</v>
      </c>
      <c r="AE669" s="637">
        <f t="shared" si="62"/>
        <v>1</v>
      </c>
      <c r="AF669" s="638">
        <f t="shared" si="63"/>
        <v>389</v>
      </c>
    </row>
    <row r="670" spans="1:32" ht="16.5" customHeight="1" x14ac:dyDescent="0.3">
      <c r="A670" s="1493" t="s">
        <v>759</v>
      </c>
      <c r="B670" s="1026" t="s">
        <v>641</v>
      </c>
      <c r="C670" s="1028"/>
      <c r="D670" s="1410"/>
      <c r="E670" s="1410"/>
      <c r="F670" s="1410"/>
      <c r="G670" s="1410"/>
      <c r="H670" s="1410"/>
      <c r="I670" s="1410"/>
      <c r="J670" s="1410"/>
      <c r="K670" s="1410"/>
      <c r="L670" s="1410"/>
      <c r="M670" s="1410"/>
      <c r="N670" s="1410"/>
      <c r="O670" s="1410"/>
      <c r="P670" s="1498">
        <f t="shared" si="65"/>
        <v>0</v>
      </c>
      <c r="Q670" s="711">
        <f t="shared" si="64"/>
        <v>0</v>
      </c>
      <c r="R670" s="1389"/>
      <c r="S670" s="1411"/>
      <c r="T670" s="1411"/>
      <c r="U670" s="1411"/>
      <c r="V670" s="1411"/>
      <c r="W670" s="1411"/>
      <c r="X670" s="1411"/>
      <c r="Y670" s="1411">
        <v>75700</v>
      </c>
      <c r="Z670" s="1411"/>
      <c r="AA670" s="1411"/>
      <c r="AB670" s="1411"/>
      <c r="AC670" s="1411"/>
      <c r="AD670" s="1123">
        <f t="shared" si="66"/>
        <v>75700</v>
      </c>
      <c r="AE670" s="637">
        <f t="shared" si="62"/>
        <v>1</v>
      </c>
      <c r="AF670" s="638">
        <f t="shared" si="63"/>
        <v>355</v>
      </c>
    </row>
    <row r="671" spans="1:32" ht="16.5" customHeight="1" x14ac:dyDescent="0.3">
      <c r="A671" s="1493" t="s">
        <v>759</v>
      </c>
      <c r="B671" s="1026" t="s">
        <v>1834</v>
      </c>
      <c r="C671" s="1028"/>
      <c r="D671" s="1410"/>
      <c r="E671" s="1410"/>
      <c r="F671" s="1410"/>
      <c r="G671" s="1410"/>
      <c r="H671" s="1410"/>
      <c r="I671" s="1410"/>
      <c r="J671" s="1410"/>
      <c r="K671" s="1410"/>
      <c r="L671" s="1410"/>
      <c r="M671" s="1410"/>
      <c r="N671" s="1410"/>
      <c r="O671" s="1410"/>
      <c r="P671" s="1498">
        <f t="shared" si="65"/>
        <v>0</v>
      </c>
      <c r="Q671" s="711">
        <f t="shared" si="64"/>
        <v>0</v>
      </c>
      <c r="R671" s="1389"/>
      <c r="S671" s="1411"/>
      <c r="T671" s="1411"/>
      <c r="U671" s="1411"/>
      <c r="V671" s="1411"/>
      <c r="W671" s="1411"/>
      <c r="X671" s="1411"/>
      <c r="Y671" s="1411">
        <v>445000</v>
      </c>
      <c r="Z671" s="1411"/>
      <c r="AA671" s="1411"/>
      <c r="AB671" s="1411"/>
      <c r="AC671" s="1411"/>
      <c r="AD671" s="1123">
        <f t="shared" si="66"/>
        <v>445000</v>
      </c>
      <c r="AE671" s="637">
        <f t="shared" si="62"/>
        <v>1</v>
      </c>
      <c r="AF671" s="638">
        <f t="shared" si="63"/>
        <v>268</v>
      </c>
    </row>
    <row r="672" spans="1:32" ht="16.5" customHeight="1" x14ac:dyDescent="0.3">
      <c r="A672" s="1493" t="s">
        <v>759</v>
      </c>
      <c r="B672" s="1026" t="s">
        <v>3049</v>
      </c>
      <c r="C672" s="1028"/>
      <c r="D672" s="1410"/>
      <c r="E672" s="1410"/>
      <c r="F672" s="1410"/>
      <c r="G672" s="1410"/>
      <c r="H672" s="1410"/>
      <c r="I672" s="1410"/>
      <c r="J672" s="1410"/>
      <c r="K672" s="1410"/>
      <c r="L672" s="1410"/>
      <c r="M672" s="1410"/>
      <c r="N672" s="1410"/>
      <c r="O672" s="1410"/>
      <c r="P672" s="1498">
        <f t="shared" si="65"/>
        <v>0</v>
      </c>
      <c r="Q672" s="711">
        <f t="shared" si="64"/>
        <v>0</v>
      </c>
      <c r="R672" s="1389"/>
      <c r="S672" s="1411"/>
      <c r="T672" s="1411"/>
      <c r="U672" s="1411"/>
      <c r="V672" s="1411"/>
      <c r="W672" s="1411"/>
      <c r="X672" s="1411"/>
      <c r="Y672" s="1411">
        <v>451370</v>
      </c>
      <c r="Z672" s="1411"/>
      <c r="AA672" s="1411"/>
      <c r="AB672" s="1411"/>
      <c r="AC672" s="1411"/>
      <c r="AD672" s="1123">
        <f t="shared" si="66"/>
        <v>451370</v>
      </c>
      <c r="AE672" s="637">
        <f t="shared" si="62"/>
        <v>1</v>
      </c>
      <c r="AF672" s="638">
        <f t="shared" si="63"/>
        <v>266</v>
      </c>
    </row>
    <row r="673" spans="1:32" ht="16.5" customHeight="1" x14ac:dyDescent="0.3">
      <c r="A673" s="1493" t="s">
        <v>759</v>
      </c>
      <c r="B673" s="1026" t="s">
        <v>3050</v>
      </c>
      <c r="C673" s="1028"/>
      <c r="D673" s="1410"/>
      <c r="E673" s="1410"/>
      <c r="F673" s="1410"/>
      <c r="G673" s="1410"/>
      <c r="H673" s="1410"/>
      <c r="I673" s="1410"/>
      <c r="J673" s="1410"/>
      <c r="K673" s="1410"/>
      <c r="L673" s="1410"/>
      <c r="M673" s="1410"/>
      <c r="N673" s="1410"/>
      <c r="O673" s="1410"/>
      <c r="P673" s="1498">
        <f t="shared" si="65"/>
        <v>0</v>
      </c>
      <c r="Q673" s="711">
        <f t="shared" si="64"/>
        <v>0</v>
      </c>
      <c r="R673" s="1389"/>
      <c r="S673" s="1411"/>
      <c r="T673" s="1411"/>
      <c r="U673" s="1411"/>
      <c r="V673" s="1411"/>
      <c r="W673" s="1411"/>
      <c r="X673" s="1411"/>
      <c r="Y673" s="1411">
        <v>186580</v>
      </c>
      <c r="Z673" s="1411"/>
      <c r="AA673" s="1411"/>
      <c r="AB673" s="1411"/>
      <c r="AC673" s="1411"/>
      <c r="AD673" s="1123">
        <f t="shared" si="66"/>
        <v>186580</v>
      </c>
      <c r="AE673" s="637">
        <f t="shared" si="62"/>
        <v>1</v>
      </c>
      <c r="AF673" s="638">
        <f t="shared" si="63"/>
        <v>317</v>
      </c>
    </row>
    <row r="674" spans="1:32" ht="16.5" customHeight="1" x14ac:dyDescent="0.3">
      <c r="A674" s="1493" t="s">
        <v>759</v>
      </c>
      <c r="B674" s="1026" t="s">
        <v>3051</v>
      </c>
      <c r="C674" s="1028"/>
      <c r="D674" s="1410"/>
      <c r="E674" s="1410"/>
      <c r="F674" s="1410"/>
      <c r="G674" s="1410"/>
      <c r="H674" s="1410"/>
      <c r="I674" s="1410"/>
      <c r="J674" s="1410"/>
      <c r="K674" s="1410"/>
      <c r="L674" s="1410"/>
      <c r="M674" s="1410"/>
      <c r="N674" s="1410"/>
      <c r="O674" s="1410"/>
      <c r="P674" s="1498">
        <f t="shared" si="65"/>
        <v>0</v>
      </c>
      <c r="Q674" s="711">
        <f t="shared" si="64"/>
        <v>0</v>
      </c>
      <c r="R674" s="1389"/>
      <c r="S674" s="1411"/>
      <c r="T674" s="1411"/>
      <c r="U674" s="1411"/>
      <c r="V674" s="1411"/>
      <c r="W674" s="1411"/>
      <c r="X674" s="1411"/>
      <c r="Y674" s="1411">
        <v>81980</v>
      </c>
      <c r="Z674" s="1411"/>
      <c r="AA674" s="1411"/>
      <c r="AB674" s="1411"/>
      <c r="AC674" s="1411"/>
      <c r="AD674" s="1123">
        <f t="shared" si="66"/>
        <v>81980</v>
      </c>
      <c r="AE674" s="637">
        <f t="shared" si="62"/>
        <v>1</v>
      </c>
      <c r="AF674" s="638">
        <f t="shared" si="63"/>
        <v>353</v>
      </c>
    </row>
    <row r="675" spans="1:32" ht="16.5" customHeight="1" x14ac:dyDescent="0.3">
      <c r="A675" s="1493" t="s">
        <v>759</v>
      </c>
      <c r="B675" s="1026" t="s">
        <v>3046</v>
      </c>
      <c r="C675" s="1028"/>
      <c r="D675" s="1410"/>
      <c r="E675" s="1410"/>
      <c r="F675" s="1410"/>
      <c r="G675" s="1410"/>
      <c r="H675" s="1410"/>
      <c r="I675" s="1410"/>
      <c r="J675" s="1410"/>
      <c r="K675" s="1410"/>
      <c r="L675" s="1410"/>
      <c r="M675" s="1410"/>
      <c r="N675" s="1410"/>
      <c r="O675" s="1410"/>
      <c r="P675" s="1498">
        <f t="shared" si="65"/>
        <v>0</v>
      </c>
      <c r="Q675" s="711">
        <f t="shared" si="64"/>
        <v>0</v>
      </c>
      <c r="R675" s="1389"/>
      <c r="S675" s="1411"/>
      <c r="T675" s="1411"/>
      <c r="U675" s="1411"/>
      <c r="V675" s="1411"/>
      <c r="W675" s="1411"/>
      <c r="X675" s="1411"/>
      <c r="Y675" s="1411">
        <v>44370</v>
      </c>
      <c r="Z675" s="1411"/>
      <c r="AA675" s="1411"/>
      <c r="AB675" s="1411"/>
      <c r="AC675" s="1411"/>
      <c r="AD675" s="1123">
        <f t="shared" si="66"/>
        <v>44370</v>
      </c>
      <c r="AE675" s="637">
        <f t="shared" si="62"/>
        <v>1</v>
      </c>
      <c r="AF675" s="638">
        <f t="shared" si="63"/>
        <v>370</v>
      </c>
    </row>
    <row r="676" spans="1:32" ht="16.5" customHeight="1" x14ac:dyDescent="0.3">
      <c r="A676" s="1493" t="s">
        <v>759</v>
      </c>
      <c r="B676" s="1026" t="s">
        <v>3047</v>
      </c>
      <c r="C676" s="1028"/>
      <c r="D676" s="1410"/>
      <c r="E676" s="1410"/>
      <c r="F676" s="1410"/>
      <c r="G676" s="1410"/>
      <c r="H676" s="1410"/>
      <c r="I676" s="1410"/>
      <c r="J676" s="1410"/>
      <c r="K676" s="1410"/>
      <c r="L676" s="1410"/>
      <c r="M676" s="1410"/>
      <c r="N676" s="1410"/>
      <c r="O676" s="1410"/>
      <c r="P676" s="1498">
        <f t="shared" si="65"/>
        <v>0</v>
      </c>
      <c r="Q676" s="711">
        <f t="shared" si="64"/>
        <v>0</v>
      </c>
      <c r="R676" s="1389"/>
      <c r="S676" s="1411"/>
      <c r="T676" s="1411"/>
      <c r="U676" s="1411"/>
      <c r="V676" s="1411"/>
      <c r="W676" s="1411"/>
      <c r="X676" s="1411"/>
      <c r="Y676" s="1411">
        <v>15410</v>
      </c>
      <c r="Z676" s="1411"/>
      <c r="AA676" s="1411"/>
      <c r="AB676" s="1411"/>
      <c r="AC676" s="1411"/>
      <c r="AD676" s="1123">
        <f t="shared" si="66"/>
        <v>15410</v>
      </c>
      <c r="AE676" s="637">
        <f t="shared" si="62"/>
        <v>1</v>
      </c>
      <c r="AF676" s="638">
        <f t="shared" si="63"/>
        <v>388</v>
      </c>
    </row>
    <row r="677" spans="1:32" ht="16.5" customHeight="1" x14ac:dyDescent="0.3">
      <c r="A677" s="1493" t="s">
        <v>759</v>
      </c>
      <c r="B677" s="1026" t="s">
        <v>3034</v>
      </c>
      <c r="C677" s="1028"/>
      <c r="D677" s="1410"/>
      <c r="E677" s="1410"/>
      <c r="F677" s="1410"/>
      <c r="G677" s="1410"/>
      <c r="H677" s="1410"/>
      <c r="I677" s="1410"/>
      <c r="J677" s="1410"/>
      <c r="K677" s="1410"/>
      <c r="L677" s="1410"/>
      <c r="M677" s="1410"/>
      <c r="N677" s="1410"/>
      <c r="O677" s="1410"/>
      <c r="P677" s="1498">
        <f t="shared" si="65"/>
        <v>0</v>
      </c>
      <c r="Q677" s="711">
        <f t="shared" si="64"/>
        <v>0</v>
      </c>
      <c r="R677" s="1389"/>
      <c r="S677" s="1411"/>
      <c r="T677" s="1411"/>
      <c r="U677" s="1411"/>
      <c r="V677" s="1411"/>
      <c r="W677" s="1411"/>
      <c r="X677" s="1411"/>
      <c r="Y677" s="1411">
        <v>35630</v>
      </c>
      <c r="Z677" s="1411"/>
      <c r="AA677" s="1411"/>
      <c r="AB677" s="1411"/>
      <c r="AC677" s="1411"/>
      <c r="AD677" s="1123">
        <f t="shared" si="66"/>
        <v>35630</v>
      </c>
      <c r="AE677" s="637">
        <f t="shared" si="62"/>
        <v>1</v>
      </c>
      <c r="AF677" s="638">
        <f t="shared" si="63"/>
        <v>376</v>
      </c>
    </row>
    <row r="678" spans="1:32" ht="17.25" thickBot="1" x14ac:dyDescent="0.35">
      <c r="A678" s="531" t="s">
        <v>2379</v>
      </c>
      <c r="B678" s="641"/>
      <c r="C678" s="531">
        <f>SUM(C2:C677)</f>
        <v>16200410</v>
      </c>
      <c r="D678" s="531">
        <f t="shared" ref="D678:AD678" si="67">SUM(D2:D677)</f>
        <v>17390000</v>
      </c>
      <c r="E678" s="531">
        <f t="shared" si="67"/>
        <v>90356440</v>
      </c>
      <c r="F678" s="531">
        <f t="shared" si="67"/>
        <v>127705390</v>
      </c>
      <c r="G678" s="531">
        <f t="shared" si="67"/>
        <v>139813350</v>
      </c>
      <c r="H678" s="531">
        <f t="shared" si="67"/>
        <v>243197270</v>
      </c>
      <c r="I678" s="531">
        <f t="shared" si="67"/>
        <v>357976720</v>
      </c>
      <c r="J678" s="531">
        <f t="shared" si="67"/>
        <v>191890500</v>
      </c>
      <c r="K678" s="531">
        <f t="shared" si="67"/>
        <v>147691070</v>
      </c>
      <c r="L678" s="531">
        <f t="shared" si="67"/>
        <v>271081310</v>
      </c>
      <c r="M678" s="531">
        <f t="shared" si="67"/>
        <v>245357780</v>
      </c>
      <c r="N678" s="531">
        <f t="shared" si="67"/>
        <v>254332730</v>
      </c>
      <c r="O678" s="531">
        <f t="shared" si="67"/>
        <v>245046930</v>
      </c>
      <c r="P678" s="531">
        <f t="shared" si="67"/>
        <v>1140330650</v>
      </c>
      <c r="Q678" s="531">
        <f t="shared" si="67"/>
        <v>2200348830</v>
      </c>
      <c r="R678" s="531">
        <f t="shared" si="67"/>
        <v>237648310</v>
      </c>
      <c r="S678" s="531">
        <f t="shared" si="67"/>
        <v>96115800</v>
      </c>
      <c r="T678" s="531">
        <f t="shared" si="67"/>
        <v>247113780</v>
      </c>
      <c r="U678" s="531">
        <f t="shared" si="67"/>
        <v>380373100</v>
      </c>
      <c r="V678" s="531">
        <f t="shared" si="67"/>
        <v>251519180</v>
      </c>
      <c r="W678" s="531">
        <f t="shared" si="67"/>
        <v>285170190</v>
      </c>
      <c r="X678" s="531">
        <f t="shared" si="67"/>
        <v>231167340</v>
      </c>
      <c r="Y678" s="531">
        <f t="shared" si="67"/>
        <v>160024730</v>
      </c>
      <c r="Z678" s="531">
        <f t="shared" si="67"/>
        <v>0</v>
      </c>
      <c r="AA678" s="531">
        <f t="shared" si="67"/>
        <v>0</v>
      </c>
      <c r="AB678" s="531">
        <f t="shared" si="67"/>
        <v>0</v>
      </c>
      <c r="AC678" s="531">
        <f t="shared" si="67"/>
        <v>0</v>
      </c>
      <c r="AD678" s="531">
        <f t="shared" si="67"/>
        <v>1889132430</v>
      </c>
      <c r="AE678" s="567">
        <f t="shared" si="62"/>
        <v>0.65665320843564101</v>
      </c>
      <c r="AF678" s="557"/>
    </row>
    <row r="680" spans="1:32" ht="24.75" customHeight="1" x14ac:dyDescent="0.3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ABFE-1974-4F3A-ACB8-092EB0DAB922}">
  <dimension ref="A1:L1087"/>
  <sheetViews>
    <sheetView topLeftCell="A170" zoomScale="55" zoomScaleNormal="55" workbookViewId="0">
      <selection activeCell="B197" sqref="B197"/>
    </sheetView>
  </sheetViews>
  <sheetFormatPr defaultRowHeight="16.5" x14ac:dyDescent="0.3"/>
  <cols>
    <col min="1" max="1" width="17.5" customWidth="1"/>
    <col min="2" max="2" width="53.625" customWidth="1"/>
    <col min="3" max="10" width="13.625" style="30" customWidth="1"/>
  </cols>
  <sheetData>
    <row r="1" spans="1:12" ht="33" x14ac:dyDescent="0.3">
      <c r="A1" s="35" t="s">
        <v>0</v>
      </c>
      <c r="B1" s="36" t="s">
        <v>1</v>
      </c>
      <c r="C1" s="44" t="s">
        <v>2</v>
      </c>
      <c r="D1" s="45" t="s">
        <v>3</v>
      </c>
      <c r="E1" s="45" t="s">
        <v>780</v>
      </c>
      <c r="F1" s="46" t="s">
        <v>781</v>
      </c>
      <c r="G1" s="44" t="s">
        <v>2</v>
      </c>
      <c r="H1" s="45" t="s">
        <v>3</v>
      </c>
      <c r="I1" s="45" t="s">
        <v>780</v>
      </c>
      <c r="J1" s="46" t="s">
        <v>782</v>
      </c>
      <c r="K1" s="49" t="s">
        <v>515</v>
      </c>
      <c r="L1" s="22" t="s">
        <v>516</v>
      </c>
    </row>
    <row r="2" spans="1:12" x14ac:dyDescent="0.3">
      <c r="A2" s="285" t="s">
        <v>804</v>
      </c>
      <c r="B2" s="286" t="s">
        <v>724</v>
      </c>
      <c r="C2" s="383"/>
      <c r="D2" s="188"/>
      <c r="E2" s="188"/>
      <c r="F2" s="384"/>
      <c r="G2" s="383">
        <v>1196750</v>
      </c>
      <c r="H2" s="188">
        <v>11577150</v>
      </c>
      <c r="I2" s="188">
        <v>6954250</v>
      </c>
      <c r="J2" s="384">
        <f>G2+H2+I2</f>
        <v>19728150</v>
      </c>
      <c r="K2" s="140">
        <f t="shared" ref="K2:K65" si="0">IF(OR(J2="", F2=""), 0, IFERROR((J2-F2)/F2, IF(J2&lt;&gt;0, 1, 0)))</f>
        <v>0</v>
      </c>
      <c r="L2" s="189">
        <f t="shared" ref="L2:L65" si="1">IFERROR(_xlfn.RANK.EQ(J2, $J$2:$J$308), "")</f>
        <v>1</v>
      </c>
    </row>
    <row r="3" spans="1:12" x14ac:dyDescent="0.3">
      <c r="A3" s="285" t="s">
        <v>804</v>
      </c>
      <c r="B3" s="286" t="s">
        <v>1061</v>
      </c>
      <c r="C3" s="383">
        <v>10438600</v>
      </c>
      <c r="D3" s="188">
        <v>2132700</v>
      </c>
      <c r="E3" s="188">
        <v>14168100</v>
      </c>
      <c r="F3" s="384">
        <f t="shared" ref="F3:F8" si="2">C3+D3+E3</f>
        <v>26739400</v>
      </c>
      <c r="G3" s="383">
        <v>2754050</v>
      </c>
      <c r="H3" s="188">
        <v>1239000</v>
      </c>
      <c r="I3" s="188">
        <v>3167700</v>
      </c>
      <c r="J3" s="384">
        <f t="shared" ref="J3:J66" si="3">G3+H3+I3</f>
        <v>7160750</v>
      </c>
      <c r="K3" s="140">
        <f t="shared" si="0"/>
        <v>-0.73220229324517383</v>
      </c>
      <c r="L3" s="189">
        <f t="shared" si="1"/>
        <v>6</v>
      </c>
    </row>
    <row r="4" spans="1:12" x14ac:dyDescent="0.3">
      <c r="A4" s="285" t="s">
        <v>804</v>
      </c>
      <c r="B4" s="286" t="s">
        <v>1062</v>
      </c>
      <c r="C4" s="383">
        <v>881750</v>
      </c>
      <c r="D4" s="188"/>
      <c r="E4" s="188">
        <v>1283500</v>
      </c>
      <c r="F4" s="384">
        <f t="shared" si="2"/>
        <v>2165250</v>
      </c>
      <c r="G4" s="383">
        <v>2818000</v>
      </c>
      <c r="H4" s="188">
        <v>1185000</v>
      </c>
      <c r="I4" s="188">
        <v>3698250</v>
      </c>
      <c r="J4" s="384">
        <f t="shared" si="3"/>
        <v>7701250</v>
      </c>
      <c r="K4" s="140">
        <f t="shared" si="0"/>
        <v>2.5567486433437248</v>
      </c>
      <c r="L4" s="189">
        <f t="shared" si="1"/>
        <v>3</v>
      </c>
    </row>
    <row r="5" spans="1:12" x14ac:dyDescent="0.3">
      <c r="A5" s="285" t="s">
        <v>804</v>
      </c>
      <c r="B5" s="286" t="s">
        <v>767</v>
      </c>
      <c r="C5" s="383">
        <v>925000</v>
      </c>
      <c r="D5" s="188"/>
      <c r="E5" s="188"/>
      <c r="F5" s="384">
        <f t="shared" si="2"/>
        <v>925000</v>
      </c>
      <c r="G5" s="383">
        <v>3956850</v>
      </c>
      <c r="H5" s="188">
        <v>608400</v>
      </c>
      <c r="I5" s="188">
        <v>6417270</v>
      </c>
      <c r="J5" s="384">
        <f t="shared" si="3"/>
        <v>10982520</v>
      </c>
      <c r="K5" s="140">
        <f t="shared" si="0"/>
        <v>10.872994594594594</v>
      </c>
      <c r="L5" s="189">
        <f t="shared" si="1"/>
        <v>2</v>
      </c>
    </row>
    <row r="6" spans="1:12" x14ac:dyDescent="0.3">
      <c r="A6" s="285" t="s">
        <v>804</v>
      </c>
      <c r="B6" s="286" t="s">
        <v>1063</v>
      </c>
      <c r="C6" s="383">
        <v>1706450</v>
      </c>
      <c r="D6" s="188">
        <v>203050</v>
      </c>
      <c r="E6" s="188">
        <v>234500</v>
      </c>
      <c r="F6" s="384">
        <f t="shared" si="2"/>
        <v>2144000</v>
      </c>
      <c r="G6" s="383">
        <v>496700</v>
      </c>
      <c r="H6" s="188">
        <v>1399950</v>
      </c>
      <c r="I6" s="188">
        <v>4061500</v>
      </c>
      <c r="J6" s="384">
        <f t="shared" si="3"/>
        <v>5958150</v>
      </c>
      <c r="K6" s="140">
        <f t="shared" si="0"/>
        <v>1.7789878731343283</v>
      </c>
      <c r="L6" s="189">
        <f t="shared" si="1"/>
        <v>9</v>
      </c>
    </row>
    <row r="7" spans="1:12" x14ac:dyDescent="0.3">
      <c r="A7" s="285" t="s">
        <v>804</v>
      </c>
      <c r="B7" s="286" t="s">
        <v>719</v>
      </c>
      <c r="C7" s="383">
        <v>1530600</v>
      </c>
      <c r="D7" s="188"/>
      <c r="E7" s="188">
        <v>344500</v>
      </c>
      <c r="F7" s="384">
        <f t="shared" si="2"/>
        <v>1875100</v>
      </c>
      <c r="G7" s="383">
        <v>2538200</v>
      </c>
      <c r="H7" s="188">
        <v>520020</v>
      </c>
      <c r="I7" s="188">
        <v>3288350</v>
      </c>
      <c r="J7" s="384">
        <f t="shared" si="3"/>
        <v>6346570</v>
      </c>
      <c r="K7" s="140">
        <f t="shared" si="0"/>
        <v>2.3846568183030237</v>
      </c>
      <c r="L7" s="189">
        <f t="shared" si="1"/>
        <v>8</v>
      </c>
    </row>
    <row r="8" spans="1:12" x14ac:dyDescent="0.3">
      <c r="A8" s="285" t="s">
        <v>804</v>
      </c>
      <c r="B8" s="286" t="s">
        <v>715</v>
      </c>
      <c r="C8" s="383">
        <v>359000</v>
      </c>
      <c r="D8" s="188"/>
      <c r="E8" s="188">
        <v>492000</v>
      </c>
      <c r="F8" s="384">
        <f t="shared" si="2"/>
        <v>851000</v>
      </c>
      <c r="G8" s="383">
        <v>938800</v>
      </c>
      <c r="H8" s="188">
        <v>2487300</v>
      </c>
      <c r="I8" s="188">
        <v>3852600</v>
      </c>
      <c r="J8" s="384">
        <f t="shared" si="3"/>
        <v>7278700</v>
      </c>
      <c r="K8" s="140">
        <f t="shared" si="0"/>
        <v>7.5531139835487657</v>
      </c>
      <c r="L8" s="189">
        <f t="shared" si="1"/>
        <v>5</v>
      </c>
    </row>
    <row r="9" spans="1:12" x14ac:dyDescent="0.3">
      <c r="A9" s="285" t="s">
        <v>804</v>
      </c>
      <c r="B9" s="286" t="s">
        <v>1064</v>
      </c>
      <c r="C9" s="383"/>
      <c r="D9" s="188"/>
      <c r="E9" s="188"/>
      <c r="F9" s="384"/>
      <c r="G9" s="383">
        <v>1436950</v>
      </c>
      <c r="H9" s="188">
        <v>29600</v>
      </c>
      <c r="I9" s="188">
        <v>4425250</v>
      </c>
      <c r="J9" s="384">
        <f t="shared" si="3"/>
        <v>5891800</v>
      </c>
      <c r="K9" s="140">
        <f t="shared" si="0"/>
        <v>0</v>
      </c>
      <c r="L9" s="189">
        <f t="shared" si="1"/>
        <v>10</v>
      </c>
    </row>
    <row r="10" spans="1:12" x14ac:dyDescent="0.3">
      <c r="A10" s="285" t="s">
        <v>804</v>
      </c>
      <c r="B10" s="286" t="s">
        <v>1065</v>
      </c>
      <c r="C10" s="383">
        <v>984200</v>
      </c>
      <c r="D10" s="188"/>
      <c r="E10" s="188"/>
      <c r="F10" s="384">
        <f>C10+D10+E10</f>
        <v>984200</v>
      </c>
      <c r="G10" s="383">
        <v>6318150</v>
      </c>
      <c r="H10" s="188">
        <v>195750</v>
      </c>
      <c r="I10" s="188">
        <v>825100</v>
      </c>
      <c r="J10" s="384">
        <f t="shared" si="3"/>
        <v>7339000</v>
      </c>
      <c r="K10" s="140">
        <f t="shared" si="0"/>
        <v>6.4568177199756152</v>
      </c>
      <c r="L10" s="189">
        <f t="shared" si="1"/>
        <v>4</v>
      </c>
    </row>
    <row r="11" spans="1:12" x14ac:dyDescent="0.3">
      <c r="A11" s="285" t="s">
        <v>804</v>
      </c>
      <c r="B11" s="286" t="s">
        <v>720</v>
      </c>
      <c r="C11" s="383"/>
      <c r="D11" s="188"/>
      <c r="E11" s="188"/>
      <c r="F11" s="384"/>
      <c r="G11" s="383">
        <v>582150</v>
      </c>
      <c r="H11" s="188">
        <v>1897020</v>
      </c>
      <c r="I11" s="188">
        <v>2937950</v>
      </c>
      <c r="J11" s="384">
        <f t="shared" si="3"/>
        <v>5417120</v>
      </c>
      <c r="K11" s="140">
        <f t="shared" si="0"/>
        <v>0</v>
      </c>
      <c r="L11" s="189">
        <f t="shared" si="1"/>
        <v>11</v>
      </c>
    </row>
    <row r="12" spans="1:12" x14ac:dyDescent="0.3">
      <c r="A12" s="285" t="s">
        <v>804</v>
      </c>
      <c r="B12" s="286" t="s">
        <v>1066</v>
      </c>
      <c r="C12" s="383"/>
      <c r="D12" s="188"/>
      <c r="E12" s="188"/>
      <c r="F12" s="384"/>
      <c r="G12" s="383">
        <v>2095450</v>
      </c>
      <c r="H12" s="188">
        <v>842400</v>
      </c>
      <c r="I12" s="188">
        <v>2177600</v>
      </c>
      <c r="J12" s="384">
        <f t="shared" si="3"/>
        <v>5115450</v>
      </c>
      <c r="K12" s="140">
        <f t="shared" si="0"/>
        <v>0</v>
      </c>
      <c r="L12" s="189">
        <f t="shared" si="1"/>
        <v>12</v>
      </c>
    </row>
    <row r="13" spans="1:12" x14ac:dyDescent="0.3">
      <c r="A13" s="285" t="s">
        <v>804</v>
      </c>
      <c r="B13" s="286" t="s">
        <v>1067</v>
      </c>
      <c r="C13" s="385"/>
      <c r="D13" s="188"/>
      <c r="E13" s="188"/>
      <c r="F13" s="384"/>
      <c r="G13" s="383">
        <v>2738450</v>
      </c>
      <c r="H13" s="188">
        <v>3300200</v>
      </c>
      <c r="I13" s="188">
        <v>363020</v>
      </c>
      <c r="J13" s="384">
        <f t="shared" si="3"/>
        <v>6401670</v>
      </c>
      <c r="K13" s="140">
        <f t="shared" si="0"/>
        <v>0</v>
      </c>
      <c r="L13" s="189">
        <f t="shared" si="1"/>
        <v>7</v>
      </c>
    </row>
    <row r="14" spans="1:12" x14ac:dyDescent="0.3">
      <c r="A14" s="285" t="s">
        <v>804</v>
      </c>
      <c r="B14" s="286" t="s">
        <v>1068</v>
      </c>
      <c r="C14" s="383">
        <v>404000</v>
      </c>
      <c r="D14" s="188"/>
      <c r="E14" s="188">
        <v>781000</v>
      </c>
      <c r="F14" s="384">
        <f>C14+D14+E14</f>
        <v>1185000</v>
      </c>
      <c r="G14" s="383">
        <v>1375740</v>
      </c>
      <c r="H14" s="188">
        <v>602450</v>
      </c>
      <c r="I14" s="188">
        <v>2935600</v>
      </c>
      <c r="J14" s="384">
        <f t="shared" si="3"/>
        <v>4913790</v>
      </c>
      <c r="K14" s="140">
        <f t="shared" si="0"/>
        <v>3.1466582278481012</v>
      </c>
      <c r="L14" s="189">
        <f t="shared" si="1"/>
        <v>13</v>
      </c>
    </row>
    <row r="15" spans="1:12" x14ac:dyDescent="0.3">
      <c r="A15" s="285" t="s">
        <v>804</v>
      </c>
      <c r="B15" s="286" t="s">
        <v>1069</v>
      </c>
      <c r="C15" s="383"/>
      <c r="D15" s="188"/>
      <c r="E15" s="188"/>
      <c r="F15" s="384"/>
      <c r="G15" s="383">
        <v>978100</v>
      </c>
      <c r="H15" s="188">
        <v>723200</v>
      </c>
      <c r="I15" s="188">
        <v>1368500</v>
      </c>
      <c r="J15" s="384">
        <f t="shared" si="3"/>
        <v>3069800</v>
      </c>
      <c r="K15" s="140">
        <f t="shared" si="0"/>
        <v>0</v>
      </c>
      <c r="L15" s="189">
        <f t="shared" si="1"/>
        <v>17</v>
      </c>
    </row>
    <row r="16" spans="1:12" x14ac:dyDescent="0.3">
      <c r="A16" s="285" t="s">
        <v>804</v>
      </c>
      <c r="B16" s="286" t="s">
        <v>1070</v>
      </c>
      <c r="C16" s="383"/>
      <c r="D16" s="188"/>
      <c r="E16" s="188"/>
      <c r="F16" s="384"/>
      <c r="G16" s="383">
        <v>107750</v>
      </c>
      <c r="H16" s="188">
        <v>665000</v>
      </c>
      <c r="I16" s="188">
        <v>3812000</v>
      </c>
      <c r="J16" s="384">
        <f t="shared" si="3"/>
        <v>4584750</v>
      </c>
      <c r="K16" s="140">
        <f t="shared" si="0"/>
        <v>0</v>
      </c>
      <c r="L16" s="189">
        <f t="shared" si="1"/>
        <v>14</v>
      </c>
    </row>
    <row r="17" spans="1:12" x14ac:dyDescent="0.3">
      <c r="A17" s="285" t="s">
        <v>804</v>
      </c>
      <c r="B17" s="286" t="s">
        <v>1071</v>
      </c>
      <c r="C17" s="383">
        <v>3089750</v>
      </c>
      <c r="D17" s="188">
        <v>501720</v>
      </c>
      <c r="E17" s="188">
        <v>2907850</v>
      </c>
      <c r="F17" s="384">
        <f>C17+D17+E17</f>
        <v>6499320</v>
      </c>
      <c r="G17" s="383">
        <v>1265150</v>
      </c>
      <c r="H17" s="188">
        <v>1011150</v>
      </c>
      <c r="I17" s="188">
        <v>1710300</v>
      </c>
      <c r="J17" s="384">
        <f t="shared" si="3"/>
        <v>3986600</v>
      </c>
      <c r="K17" s="140">
        <f t="shared" si="0"/>
        <v>-0.38661275333419498</v>
      </c>
      <c r="L17" s="189">
        <f t="shared" si="1"/>
        <v>15</v>
      </c>
    </row>
    <row r="18" spans="1:12" x14ac:dyDescent="0.3">
      <c r="A18" s="285" t="s">
        <v>804</v>
      </c>
      <c r="B18" s="286" t="s">
        <v>1072</v>
      </c>
      <c r="C18" s="383">
        <v>363400</v>
      </c>
      <c r="D18" s="188"/>
      <c r="E18" s="188">
        <v>40500</v>
      </c>
      <c r="F18" s="384">
        <f>C18+D18+E18</f>
        <v>403900</v>
      </c>
      <c r="G18" s="383">
        <v>1041700</v>
      </c>
      <c r="H18" s="188">
        <v>152250</v>
      </c>
      <c r="I18" s="188">
        <v>1684750</v>
      </c>
      <c r="J18" s="384">
        <f t="shared" si="3"/>
        <v>2878700</v>
      </c>
      <c r="K18" s="140">
        <f t="shared" si="0"/>
        <v>6.1272592225798466</v>
      </c>
      <c r="L18" s="189">
        <f t="shared" si="1"/>
        <v>21</v>
      </c>
    </row>
    <row r="19" spans="1:12" x14ac:dyDescent="0.3">
      <c r="A19" s="285" t="s">
        <v>804</v>
      </c>
      <c r="B19" s="286" t="s">
        <v>1073</v>
      </c>
      <c r="C19" s="383"/>
      <c r="D19" s="188"/>
      <c r="E19" s="188"/>
      <c r="F19" s="384"/>
      <c r="G19" s="383"/>
      <c r="H19" s="188"/>
      <c r="I19" s="188"/>
      <c r="J19" s="384"/>
      <c r="K19" s="140">
        <f t="shared" si="0"/>
        <v>0</v>
      </c>
      <c r="L19" s="189" t="str">
        <f t="shared" si="1"/>
        <v/>
      </c>
    </row>
    <row r="20" spans="1:12" x14ac:dyDescent="0.3">
      <c r="A20" s="285" t="s">
        <v>804</v>
      </c>
      <c r="B20" s="286" t="s">
        <v>701</v>
      </c>
      <c r="C20" s="383"/>
      <c r="D20" s="188"/>
      <c r="E20" s="188"/>
      <c r="F20" s="384"/>
      <c r="G20" s="383">
        <v>1544150</v>
      </c>
      <c r="H20" s="188"/>
      <c r="I20" s="188">
        <v>1035710</v>
      </c>
      <c r="J20" s="384">
        <f t="shared" si="3"/>
        <v>2579860</v>
      </c>
      <c r="K20" s="140">
        <f t="shared" si="0"/>
        <v>0</v>
      </c>
      <c r="L20" s="189">
        <f t="shared" si="1"/>
        <v>24</v>
      </c>
    </row>
    <row r="21" spans="1:12" x14ac:dyDescent="0.3">
      <c r="A21" s="285" t="s">
        <v>804</v>
      </c>
      <c r="B21" s="286" t="s">
        <v>803</v>
      </c>
      <c r="C21" s="383">
        <v>93300</v>
      </c>
      <c r="D21" s="188">
        <v>12000</v>
      </c>
      <c r="E21" s="188">
        <v>871500</v>
      </c>
      <c r="F21" s="384">
        <f>C21+D21+E21</f>
        <v>976800</v>
      </c>
      <c r="G21" s="383">
        <v>484850</v>
      </c>
      <c r="H21" s="188">
        <v>491100</v>
      </c>
      <c r="I21" s="188">
        <v>1998400</v>
      </c>
      <c r="J21" s="384">
        <f t="shared" si="3"/>
        <v>2974350</v>
      </c>
      <c r="K21" s="140">
        <f t="shared" si="0"/>
        <v>2.0449938574938575</v>
      </c>
      <c r="L21" s="189">
        <f t="shared" si="1"/>
        <v>18</v>
      </c>
    </row>
    <row r="22" spans="1:12" x14ac:dyDescent="0.3">
      <c r="A22" s="285" t="s">
        <v>804</v>
      </c>
      <c r="B22" s="286" t="s">
        <v>1074</v>
      </c>
      <c r="C22" s="383"/>
      <c r="D22" s="188"/>
      <c r="E22" s="188"/>
      <c r="F22" s="384"/>
      <c r="G22" s="383"/>
      <c r="H22" s="188"/>
      <c r="I22" s="188">
        <v>2750550</v>
      </c>
      <c r="J22" s="384">
        <f t="shared" si="3"/>
        <v>2750550</v>
      </c>
      <c r="K22" s="140">
        <f t="shared" si="0"/>
        <v>0</v>
      </c>
      <c r="L22" s="189">
        <f t="shared" si="1"/>
        <v>22</v>
      </c>
    </row>
    <row r="23" spans="1:12" x14ac:dyDescent="0.3">
      <c r="A23" s="285" t="s">
        <v>804</v>
      </c>
      <c r="B23" s="286" t="s">
        <v>1075</v>
      </c>
      <c r="C23" s="383">
        <v>247600</v>
      </c>
      <c r="D23" s="188">
        <v>237750</v>
      </c>
      <c r="E23" s="188">
        <v>968800</v>
      </c>
      <c r="F23" s="384">
        <f>C23+D23+E23</f>
        <v>1454150</v>
      </c>
      <c r="G23" s="383">
        <v>306350</v>
      </c>
      <c r="H23" s="188">
        <v>571520</v>
      </c>
      <c r="I23" s="188">
        <v>697600</v>
      </c>
      <c r="J23" s="384">
        <f t="shared" si="3"/>
        <v>1575470</v>
      </c>
      <c r="K23" s="140">
        <f t="shared" si="0"/>
        <v>8.3430182580889176E-2</v>
      </c>
      <c r="L23" s="189">
        <f t="shared" si="1"/>
        <v>41</v>
      </c>
    </row>
    <row r="24" spans="1:12" x14ac:dyDescent="0.3">
      <c r="A24" s="285" t="s">
        <v>804</v>
      </c>
      <c r="B24" s="286" t="s">
        <v>667</v>
      </c>
      <c r="C24" s="383">
        <v>2290200</v>
      </c>
      <c r="D24" s="188"/>
      <c r="E24" s="188">
        <v>1365200</v>
      </c>
      <c r="F24" s="384">
        <f>C24+D24+E24</f>
        <v>3655400</v>
      </c>
      <c r="G24" s="383">
        <v>1142350</v>
      </c>
      <c r="H24" s="188">
        <v>229600</v>
      </c>
      <c r="I24" s="188">
        <v>1104840</v>
      </c>
      <c r="J24" s="384">
        <f t="shared" si="3"/>
        <v>2476790</v>
      </c>
      <c r="K24" s="140">
        <f t="shared" si="0"/>
        <v>-0.3224298298407835</v>
      </c>
      <c r="L24" s="189">
        <f t="shared" si="1"/>
        <v>26</v>
      </c>
    </row>
    <row r="25" spans="1:12" x14ac:dyDescent="0.3">
      <c r="A25" s="285" t="s">
        <v>804</v>
      </c>
      <c r="B25" s="286" t="s">
        <v>1076</v>
      </c>
      <c r="C25" s="383">
        <v>42200</v>
      </c>
      <c r="D25" s="188">
        <v>14200</v>
      </c>
      <c r="E25" s="188">
        <v>155100</v>
      </c>
      <c r="F25" s="384">
        <f>C25+D25+E25</f>
        <v>211500</v>
      </c>
      <c r="G25" s="383">
        <v>77300</v>
      </c>
      <c r="H25" s="188">
        <v>233950</v>
      </c>
      <c r="I25" s="188">
        <v>1330910</v>
      </c>
      <c r="J25" s="384">
        <f t="shared" si="3"/>
        <v>1642160</v>
      </c>
      <c r="K25" s="140">
        <f t="shared" si="0"/>
        <v>6.7643498817966901</v>
      </c>
      <c r="L25" s="189">
        <f t="shared" si="1"/>
        <v>38</v>
      </c>
    </row>
    <row r="26" spans="1:12" x14ac:dyDescent="0.3">
      <c r="A26" s="285" t="s">
        <v>804</v>
      </c>
      <c r="B26" s="286" t="s">
        <v>1077</v>
      </c>
      <c r="C26" s="383"/>
      <c r="D26" s="188"/>
      <c r="E26" s="188"/>
      <c r="F26" s="384"/>
      <c r="G26" s="383">
        <v>559150</v>
      </c>
      <c r="H26" s="188"/>
      <c r="I26" s="188">
        <v>1146500</v>
      </c>
      <c r="J26" s="384">
        <f t="shared" si="3"/>
        <v>1705650</v>
      </c>
      <c r="K26" s="140">
        <f t="shared" si="0"/>
        <v>0</v>
      </c>
      <c r="L26" s="189">
        <f t="shared" si="1"/>
        <v>36</v>
      </c>
    </row>
    <row r="27" spans="1:12" x14ac:dyDescent="0.3">
      <c r="A27" s="285" t="s">
        <v>804</v>
      </c>
      <c r="B27" s="286" t="s">
        <v>708</v>
      </c>
      <c r="C27" s="383">
        <v>2502200</v>
      </c>
      <c r="D27" s="188"/>
      <c r="E27" s="188">
        <v>3755800</v>
      </c>
      <c r="F27" s="384">
        <f>C27+D27+E27</f>
        <v>6258000</v>
      </c>
      <c r="G27" s="383">
        <v>872500</v>
      </c>
      <c r="H27" s="188">
        <v>608200</v>
      </c>
      <c r="I27" s="188">
        <v>1011950</v>
      </c>
      <c r="J27" s="384">
        <f t="shared" si="3"/>
        <v>2492650</v>
      </c>
      <c r="K27" s="140">
        <f t="shared" si="0"/>
        <v>-0.60168584212208376</v>
      </c>
      <c r="L27" s="189">
        <f t="shared" si="1"/>
        <v>25</v>
      </c>
    </row>
    <row r="28" spans="1:12" x14ac:dyDescent="0.3">
      <c r="A28" s="285" t="s">
        <v>804</v>
      </c>
      <c r="B28" s="286" t="s">
        <v>842</v>
      </c>
      <c r="C28" s="383">
        <v>648950</v>
      </c>
      <c r="D28" s="188"/>
      <c r="E28" s="188">
        <v>712950</v>
      </c>
      <c r="F28" s="384">
        <f>C28+D28+E28</f>
        <v>1361900</v>
      </c>
      <c r="G28" s="383">
        <v>49900</v>
      </c>
      <c r="H28" s="188"/>
      <c r="I28" s="188">
        <v>642550</v>
      </c>
      <c r="J28" s="384">
        <f t="shared" si="3"/>
        <v>692450</v>
      </c>
      <c r="K28" s="140">
        <f t="shared" si="0"/>
        <v>-0.4915559145311697</v>
      </c>
      <c r="L28" s="189">
        <f t="shared" si="1"/>
        <v>63</v>
      </c>
    </row>
    <row r="29" spans="1:12" x14ac:dyDescent="0.3">
      <c r="A29" s="285" t="s">
        <v>804</v>
      </c>
      <c r="B29" s="286" t="s">
        <v>1078</v>
      </c>
      <c r="C29" s="383"/>
      <c r="D29" s="188"/>
      <c r="E29" s="188"/>
      <c r="F29" s="384"/>
      <c r="G29" s="383">
        <v>322500</v>
      </c>
      <c r="H29" s="188"/>
      <c r="I29" s="188">
        <v>2639300</v>
      </c>
      <c r="J29" s="384">
        <f t="shared" si="3"/>
        <v>2961800</v>
      </c>
      <c r="K29" s="140">
        <f t="shared" si="0"/>
        <v>0</v>
      </c>
      <c r="L29" s="189">
        <f t="shared" si="1"/>
        <v>19</v>
      </c>
    </row>
    <row r="30" spans="1:12" x14ac:dyDescent="0.3">
      <c r="A30" s="285" t="s">
        <v>804</v>
      </c>
      <c r="B30" s="286" t="s">
        <v>1079</v>
      </c>
      <c r="C30" s="383"/>
      <c r="D30" s="188"/>
      <c r="E30" s="188"/>
      <c r="F30" s="384"/>
      <c r="G30" s="383"/>
      <c r="H30" s="188">
        <v>249900</v>
      </c>
      <c r="I30" s="188">
        <v>868300</v>
      </c>
      <c r="J30" s="384">
        <f t="shared" si="3"/>
        <v>1118200</v>
      </c>
      <c r="K30" s="140">
        <f t="shared" si="0"/>
        <v>0</v>
      </c>
      <c r="L30" s="189">
        <f t="shared" si="1"/>
        <v>48</v>
      </c>
    </row>
    <row r="31" spans="1:12" x14ac:dyDescent="0.3">
      <c r="A31" s="285" t="s">
        <v>804</v>
      </c>
      <c r="B31" s="286" t="s">
        <v>1080</v>
      </c>
      <c r="C31" s="383"/>
      <c r="D31" s="188"/>
      <c r="E31" s="188"/>
      <c r="F31" s="384"/>
      <c r="G31" s="383">
        <v>1722000</v>
      </c>
      <c r="H31" s="188">
        <v>293250</v>
      </c>
      <c r="I31" s="188">
        <v>1280900</v>
      </c>
      <c r="J31" s="384">
        <f t="shared" si="3"/>
        <v>3296150</v>
      </c>
      <c r="K31" s="140">
        <f t="shared" si="0"/>
        <v>0</v>
      </c>
      <c r="L31" s="189">
        <f t="shared" si="1"/>
        <v>16</v>
      </c>
    </row>
    <row r="32" spans="1:12" x14ac:dyDescent="0.3">
      <c r="A32" s="285" t="s">
        <v>804</v>
      </c>
      <c r="B32" s="286" t="s">
        <v>1081</v>
      </c>
      <c r="C32" s="383"/>
      <c r="D32" s="188"/>
      <c r="E32" s="188"/>
      <c r="F32" s="384"/>
      <c r="G32" s="383">
        <v>2309000</v>
      </c>
      <c r="H32" s="188"/>
      <c r="I32" s="188">
        <v>605750</v>
      </c>
      <c r="J32" s="384">
        <f t="shared" si="3"/>
        <v>2914750</v>
      </c>
      <c r="K32" s="140">
        <f t="shared" si="0"/>
        <v>0</v>
      </c>
      <c r="L32" s="189">
        <f t="shared" si="1"/>
        <v>20</v>
      </c>
    </row>
    <row r="33" spans="1:12" x14ac:dyDescent="0.3">
      <c r="A33" s="285" t="s">
        <v>804</v>
      </c>
      <c r="B33" s="286" t="s">
        <v>705</v>
      </c>
      <c r="C33" s="383"/>
      <c r="D33" s="188"/>
      <c r="E33" s="188"/>
      <c r="F33" s="384"/>
      <c r="G33" s="383"/>
      <c r="H33" s="188"/>
      <c r="I33" s="188"/>
      <c r="J33" s="384"/>
      <c r="K33" s="140">
        <f t="shared" si="0"/>
        <v>0</v>
      </c>
      <c r="L33" s="189" t="str">
        <f t="shared" si="1"/>
        <v/>
      </c>
    </row>
    <row r="34" spans="1:12" x14ac:dyDescent="0.3">
      <c r="A34" s="285" t="s">
        <v>804</v>
      </c>
      <c r="B34" s="286" t="s">
        <v>1082</v>
      </c>
      <c r="C34" s="383">
        <v>409150</v>
      </c>
      <c r="D34" s="188">
        <v>151750</v>
      </c>
      <c r="E34" s="188"/>
      <c r="F34" s="384">
        <f>C34+D34+E34</f>
        <v>560900</v>
      </c>
      <c r="G34" s="383">
        <v>1203300</v>
      </c>
      <c r="H34" s="188">
        <v>731250</v>
      </c>
      <c r="I34" s="188">
        <v>469000</v>
      </c>
      <c r="J34" s="384">
        <f t="shared" si="3"/>
        <v>2403550</v>
      </c>
      <c r="K34" s="140">
        <f t="shared" si="0"/>
        <v>3.2851666963808164</v>
      </c>
      <c r="L34" s="189">
        <f t="shared" si="1"/>
        <v>27</v>
      </c>
    </row>
    <row r="35" spans="1:12" x14ac:dyDescent="0.3">
      <c r="A35" s="285" t="s">
        <v>804</v>
      </c>
      <c r="B35" s="286" t="s">
        <v>1083</v>
      </c>
      <c r="C35" s="383"/>
      <c r="D35" s="188"/>
      <c r="E35" s="188"/>
      <c r="F35" s="384"/>
      <c r="G35" s="383">
        <v>47250</v>
      </c>
      <c r="H35" s="188">
        <v>89500</v>
      </c>
      <c r="I35" s="188">
        <v>735300</v>
      </c>
      <c r="J35" s="384">
        <f t="shared" si="3"/>
        <v>872050</v>
      </c>
      <c r="K35" s="140">
        <f t="shared" si="0"/>
        <v>0</v>
      </c>
      <c r="L35" s="189">
        <f t="shared" si="1"/>
        <v>56</v>
      </c>
    </row>
    <row r="36" spans="1:12" x14ac:dyDescent="0.3">
      <c r="A36" s="285" t="s">
        <v>804</v>
      </c>
      <c r="B36" s="286" t="s">
        <v>1084</v>
      </c>
      <c r="C36" s="383"/>
      <c r="D36" s="188"/>
      <c r="E36" s="188"/>
      <c r="F36" s="384"/>
      <c r="G36" s="383"/>
      <c r="H36" s="188"/>
      <c r="I36" s="188">
        <v>2602850</v>
      </c>
      <c r="J36" s="384">
        <f t="shared" si="3"/>
        <v>2602850</v>
      </c>
      <c r="K36" s="140">
        <f t="shared" si="0"/>
        <v>0</v>
      </c>
      <c r="L36" s="189">
        <f t="shared" si="1"/>
        <v>23</v>
      </c>
    </row>
    <row r="37" spans="1:12" x14ac:dyDescent="0.3">
      <c r="A37" s="285" t="s">
        <v>804</v>
      </c>
      <c r="B37" s="286" t="s">
        <v>1085</v>
      </c>
      <c r="C37" s="383"/>
      <c r="D37" s="188"/>
      <c r="E37" s="188"/>
      <c r="F37" s="384"/>
      <c r="G37" s="383">
        <v>703500</v>
      </c>
      <c r="H37" s="188">
        <v>157000</v>
      </c>
      <c r="I37" s="188">
        <v>1217950</v>
      </c>
      <c r="J37" s="384">
        <f t="shared" si="3"/>
        <v>2078450</v>
      </c>
      <c r="K37" s="140">
        <f t="shared" si="0"/>
        <v>0</v>
      </c>
      <c r="L37" s="189">
        <f t="shared" si="1"/>
        <v>31</v>
      </c>
    </row>
    <row r="38" spans="1:12" x14ac:dyDescent="0.3">
      <c r="A38" s="285" t="s">
        <v>804</v>
      </c>
      <c r="B38" s="286" t="s">
        <v>1086</v>
      </c>
      <c r="C38" s="383"/>
      <c r="D38" s="188"/>
      <c r="E38" s="188"/>
      <c r="F38" s="384"/>
      <c r="G38" s="383"/>
      <c r="H38" s="188">
        <v>440600</v>
      </c>
      <c r="I38" s="188">
        <v>1569250</v>
      </c>
      <c r="J38" s="384">
        <f t="shared" si="3"/>
        <v>2009850</v>
      </c>
      <c r="K38" s="140">
        <f t="shared" si="0"/>
        <v>0</v>
      </c>
      <c r="L38" s="189">
        <f t="shared" si="1"/>
        <v>32</v>
      </c>
    </row>
    <row r="39" spans="1:12" x14ac:dyDescent="0.3">
      <c r="A39" s="285" t="s">
        <v>804</v>
      </c>
      <c r="B39" s="286" t="s">
        <v>1087</v>
      </c>
      <c r="C39" s="383"/>
      <c r="D39" s="188"/>
      <c r="E39" s="188"/>
      <c r="F39" s="384"/>
      <c r="G39" s="383">
        <v>667750</v>
      </c>
      <c r="H39" s="188">
        <v>95000</v>
      </c>
      <c r="I39" s="188">
        <v>1061600</v>
      </c>
      <c r="J39" s="384">
        <f t="shared" si="3"/>
        <v>1824350</v>
      </c>
      <c r="K39" s="140">
        <f t="shared" si="0"/>
        <v>0</v>
      </c>
      <c r="L39" s="189">
        <f t="shared" si="1"/>
        <v>34</v>
      </c>
    </row>
    <row r="40" spans="1:12" x14ac:dyDescent="0.3">
      <c r="A40" s="285" t="s">
        <v>804</v>
      </c>
      <c r="B40" s="286" t="s">
        <v>1088</v>
      </c>
      <c r="C40" s="383"/>
      <c r="D40" s="188"/>
      <c r="E40" s="188"/>
      <c r="F40" s="384"/>
      <c r="G40" s="383">
        <v>518000</v>
      </c>
      <c r="H40" s="188"/>
      <c r="I40" s="188">
        <v>516500</v>
      </c>
      <c r="J40" s="384">
        <f t="shared" si="3"/>
        <v>1034500</v>
      </c>
      <c r="K40" s="140">
        <f t="shared" si="0"/>
        <v>0</v>
      </c>
      <c r="L40" s="189">
        <f t="shared" si="1"/>
        <v>49</v>
      </c>
    </row>
    <row r="41" spans="1:12" x14ac:dyDescent="0.3">
      <c r="A41" s="285" t="s">
        <v>804</v>
      </c>
      <c r="B41" s="286" t="s">
        <v>1089</v>
      </c>
      <c r="C41" s="383"/>
      <c r="D41" s="188"/>
      <c r="E41" s="188"/>
      <c r="F41" s="384"/>
      <c r="G41" s="383"/>
      <c r="H41" s="188"/>
      <c r="I41" s="188">
        <v>1559950</v>
      </c>
      <c r="J41" s="384">
        <f t="shared" si="3"/>
        <v>1559950</v>
      </c>
      <c r="K41" s="140">
        <f t="shared" si="0"/>
        <v>0</v>
      </c>
      <c r="L41" s="189">
        <f t="shared" si="1"/>
        <v>42</v>
      </c>
    </row>
    <row r="42" spans="1:12" x14ac:dyDescent="0.3">
      <c r="A42" s="285" t="s">
        <v>804</v>
      </c>
      <c r="B42" s="286" t="s">
        <v>1090</v>
      </c>
      <c r="C42" s="383"/>
      <c r="D42" s="188"/>
      <c r="E42" s="188"/>
      <c r="F42" s="384"/>
      <c r="G42" s="383">
        <v>599360</v>
      </c>
      <c r="H42" s="188">
        <v>41300</v>
      </c>
      <c r="I42" s="188">
        <v>324820</v>
      </c>
      <c r="J42" s="384">
        <f t="shared" si="3"/>
        <v>965480</v>
      </c>
      <c r="K42" s="140">
        <f t="shared" si="0"/>
        <v>0</v>
      </c>
      <c r="L42" s="189">
        <f t="shared" si="1"/>
        <v>52</v>
      </c>
    </row>
    <row r="43" spans="1:12" x14ac:dyDescent="0.3">
      <c r="A43" s="285" t="s">
        <v>804</v>
      </c>
      <c r="B43" s="286" t="s">
        <v>1091</v>
      </c>
      <c r="C43" s="383"/>
      <c r="D43" s="188"/>
      <c r="E43" s="188"/>
      <c r="F43" s="384"/>
      <c r="G43" s="383">
        <v>582200</v>
      </c>
      <c r="H43" s="188">
        <v>154150</v>
      </c>
      <c r="I43" s="188">
        <v>1431250</v>
      </c>
      <c r="J43" s="384">
        <f t="shared" si="3"/>
        <v>2167600</v>
      </c>
      <c r="K43" s="140">
        <f t="shared" si="0"/>
        <v>0</v>
      </c>
      <c r="L43" s="189">
        <f t="shared" si="1"/>
        <v>29</v>
      </c>
    </row>
    <row r="44" spans="1:12" x14ac:dyDescent="0.3">
      <c r="A44" s="285" t="s">
        <v>804</v>
      </c>
      <c r="B44" s="286" t="s">
        <v>1092</v>
      </c>
      <c r="C44" s="383">
        <v>1284450</v>
      </c>
      <c r="D44" s="188"/>
      <c r="E44" s="188"/>
      <c r="F44" s="384">
        <f>C44+D44+E44</f>
        <v>1284450</v>
      </c>
      <c r="G44" s="383"/>
      <c r="H44" s="188"/>
      <c r="I44" s="188">
        <v>1690100</v>
      </c>
      <c r="J44" s="384">
        <f t="shared" si="3"/>
        <v>1690100</v>
      </c>
      <c r="K44" s="140">
        <f t="shared" si="0"/>
        <v>0.31581610806181631</v>
      </c>
      <c r="L44" s="189">
        <f t="shared" si="1"/>
        <v>37</v>
      </c>
    </row>
    <row r="45" spans="1:12" x14ac:dyDescent="0.3">
      <c r="A45" s="285" t="s">
        <v>804</v>
      </c>
      <c r="B45" s="286" t="s">
        <v>1093</v>
      </c>
      <c r="C45" s="383"/>
      <c r="D45" s="188"/>
      <c r="E45" s="188"/>
      <c r="F45" s="384"/>
      <c r="G45" s="383">
        <v>2225650</v>
      </c>
      <c r="H45" s="188">
        <v>41400</v>
      </c>
      <c r="I45" s="188"/>
      <c r="J45" s="384">
        <f t="shared" si="3"/>
        <v>2267050</v>
      </c>
      <c r="K45" s="140">
        <f t="shared" si="0"/>
        <v>0</v>
      </c>
      <c r="L45" s="189">
        <f t="shared" si="1"/>
        <v>28</v>
      </c>
    </row>
    <row r="46" spans="1:12" x14ac:dyDescent="0.3">
      <c r="A46" s="285" t="s">
        <v>804</v>
      </c>
      <c r="B46" s="286" t="s">
        <v>1094</v>
      </c>
      <c r="C46" s="383"/>
      <c r="D46" s="188"/>
      <c r="E46" s="188"/>
      <c r="F46" s="384"/>
      <c r="G46" s="383">
        <v>157500</v>
      </c>
      <c r="H46" s="188">
        <v>52300</v>
      </c>
      <c r="I46" s="188">
        <v>650800</v>
      </c>
      <c r="J46" s="384">
        <f t="shared" si="3"/>
        <v>860600</v>
      </c>
      <c r="K46" s="140">
        <f t="shared" si="0"/>
        <v>0</v>
      </c>
      <c r="L46" s="189">
        <f t="shared" si="1"/>
        <v>58</v>
      </c>
    </row>
    <row r="47" spans="1:12" x14ac:dyDescent="0.3">
      <c r="A47" s="285" t="s">
        <v>804</v>
      </c>
      <c r="B47" s="286" t="s">
        <v>1095</v>
      </c>
      <c r="C47" s="383"/>
      <c r="D47" s="188"/>
      <c r="E47" s="188"/>
      <c r="F47" s="384"/>
      <c r="G47" s="383"/>
      <c r="H47" s="188"/>
      <c r="I47" s="188"/>
      <c r="J47" s="384"/>
      <c r="K47" s="140">
        <f t="shared" si="0"/>
        <v>0</v>
      </c>
      <c r="L47" s="189" t="str">
        <f t="shared" si="1"/>
        <v/>
      </c>
    </row>
    <row r="48" spans="1:12" x14ac:dyDescent="0.3">
      <c r="A48" s="285" t="s">
        <v>804</v>
      </c>
      <c r="B48" s="286" t="s">
        <v>1096</v>
      </c>
      <c r="C48" s="383"/>
      <c r="D48" s="188">
        <v>89450</v>
      </c>
      <c r="E48" s="188">
        <v>256000</v>
      </c>
      <c r="F48" s="384">
        <f>C48+D48+E48</f>
        <v>345450</v>
      </c>
      <c r="G48" s="383"/>
      <c r="H48" s="188"/>
      <c r="I48" s="188"/>
      <c r="J48" s="384"/>
      <c r="K48" s="140">
        <f t="shared" si="0"/>
        <v>0</v>
      </c>
      <c r="L48" s="189" t="str">
        <f t="shared" si="1"/>
        <v/>
      </c>
    </row>
    <row r="49" spans="1:12" x14ac:dyDescent="0.3">
      <c r="A49" s="285" t="s">
        <v>804</v>
      </c>
      <c r="B49" s="286" t="s">
        <v>1097</v>
      </c>
      <c r="C49" s="383"/>
      <c r="D49" s="188"/>
      <c r="E49" s="188"/>
      <c r="F49" s="384"/>
      <c r="G49" s="383">
        <v>39200</v>
      </c>
      <c r="H49" s="188">
        <v>722600</v>
      </c>
      <c r="I49" s="188">
        <v>822150</v>
      </c>
      <c r="J49" s="384">
        <f t="shared" si="3"/>
        <v>1583950</v>
      </c>
      <c r="K49" s="140">
        <f t="shared" si="0"/>
        <v>0</v>
      </c>
      <c r="L49" s="189">
        <f t="shared" si="1"/>
        <v>40</v>
      </c>
    </row>
    <row r="50" spans="1:12" x14ac:dyDescent="0.3">
      <c r="A50" s="285" t="s">
        <v>804</v>
      </c>
      <c r="B50" s="286" t="s">
        <v>1098</v>
      </c>
      <c r="C50" s="383"/>
      <c r="D50" s="188"/>
      <c r="E50" s="188"/>
      <c r="F50" s="384"/>
      <c r="G50" s="383">
        <v>750700</v>
      </c>
      <c r="H50" s="188">
        <v>416500</v>
      </c>
      <c r="I50" s="188">
        <v>936250</v>
      </c>
      <c r="J50" s="384">
        <f t="shared" si="3"/>
        <v>2103450</v>
      </c>
      <c r="K50" s="140">
        <f t="shared" si="0"/>
        <v>0</v>
      </c>
      <c r="L50" s="189">
        <f t="shared" si="1"/>
        <v>30</v>
      </c>
    </row>
    <row r="51" spans="1:12" x14ac:dyDescent="0.3">
      <c r="A51" s="285" t="s">
        <v>804</v>
      </c>
      <c r="B51" s="286" t="s">
        <v>1099</v>
      </c>
      <c r="C51" s="383">
        <v>216750</v>
      </c>
      <c r="D51" s="188"/>
      <c r="E51" s="188"/>
      <c r="F51" s="384">
        <f>C51+D51+E51</f>
        <v>216750</v>
      </c>
      <c r="G51" s="383">
        <v>535000</v>
      </c>
      <c r="H51" s="188"/>
      <c r="I51" s="188">
        <v>116400</v>
      </c>
      <c r="J51" s="384">
        <f t="shared" si="3"/>
        <v>651400</v>
      </c>
      <c r="K51" s="140">
        <f t="shared" si="0"/>
        <v>2.0053056516724337</v>
      </c>
      <c r="L51" s="189">
        <f t="shared" si="1"/>
        <v>65</v>
      </c>
    </row>
    <row r="52" spans="1:12" x14ac:dyDescent="0.3">
      <c r="A52" s="285" t="s">
        <v>804</v>
      </c>
      <c r="B52" s="286" t="s">
        <v>1100</v>
      </c>
      <c r="C52" s="383"/>
      <c r="D52" s="188"/>
      <c r="E52" s="188"/>
      <c r="F52" s="384"/>
      <c r="G52" s="383"/>
      <c r="H52" s="188"/>
      <c r="I52" s="188">
        <v>1230050</v>
      </c>
      <c r="J52" s="384">
        <f t="shared" si="3"/>
        <v>1230050</v>
      </c>
      <c r="K52" s="140">
        <f t="shared" si="0"/>
        <v>0</v>
      </c>
      <c r="L52" s="189">
        <f t="shared" si="1"/>
        <v>45</v>
      </c>
    </row>
    <row r="53" spans="1:12" x14ac:dyDescent="0.3">
      <c r="A53" s="285" t="s">
        <v>804</v>
      </c>
      <c r="B53" s="286" t="s">
        <v>1101</v>
      </c>
      <c r="C53" s="383"/>
      <c r="D53" s="188"/>
      <c r="E53" s="188"/>
      <c r="F53" s="384"/>
      <c r="G53" s="383">
        <v>1754850</v>
      </c>
      <c r="H53" s="188">
        <v>135400</v>
      </c>
      <c r="I53" s="188"/>
      <c r="J53" s="384">
        <f t="shared" si="3"/>
        <v>1890250</v>
      </c>
      <c r="K53" s="140">
        <f t="shared" si="0"/>
        <v>0</v>
      </c>
      <c r="L53" s="189">
        <f t="shared" si="1"/>
        <v>33</v>
      </c>
    </row>
    <row r="54" spans="1:12" x14ac:dyDescent="0.3">
      <c r="A54" s="285" t="s">
        <v>804</v>
      </c>
      <c r="B54" s="286" t="s">
        <v>1102</v>
      </c>
      <c r="C54" s="383"/>
      <c r="D54" s="188"/>
      <c r="E54" s="188"/>
      <c r="F54" s="384"/>
      <c r="G54" s="383">
        <v>837400</v>
      </c>
      <c r="H54" s="188"/>
      <c r="I54" s="188">
        <v>573900</v>
      </c>
      <c r="J54" s="384">
        <f t="shared" si="3"/>
        <v>1411300</v>
      </c>
      <c r="K54" s="140">
        <f t="shared" si="0"/>
        <v>0</v>
      </c>
      <c r="L54" s="189">
        <f t="shared" si="1"/>
        <v>44</v>
      </c>
    </row>
    <row r="55" spans="1:12" x14ac:dyDescent="0.3">
      <c r="A55" s="285" t="s">
        <v>804</v>
      </c>
      <c r="B55" s="286" t="s">
        <v>1103</v>
      </c>
      <c r="C55" s="383">
        <v>1301800</v>
      </c>
      <c r="D55" s="188">
        <v>7100</v>
      </c>
      <c r="E55" s="188">
        <v>91900</v>
      </c>
      <c r="F55" s="384">
        <f>C55+D55+E55</f>
        <v>1400800</v>
      </c>
      <c r="G55" s="383">
        <v>1092400</v>
      </c>
      <c r="H55" s="188">
        <v>268350</v>
      </c>
      <c r="I55" s="188">
        <v>152050</v>
      </c>
      <c r="J55" s="384">
        <f t="shared" si="3"/>
        <v>1512800</v>
      </c>
      <c r="K55" s="140">
        <f t="shared" si="0"/>
        <v>7.9954311821816101E-2</v>
      </c>
      <c r="L55" s="189">
        <f t="shared" si="1"/>
        <v>43</v>
      </c>
    </row>
    <row r="56" spans="1:12" x14ac:dyDescent="0.3">
      <c r="A56" s="285" t="s">
        <v>804</v>
      </c>
      <c r="B56" s="286" t="s">
        <v>1104</v>
      </c>
      <c r="C56" s="383"/>
      <c r="D56" s="188"/>
      <c r="E56" s="188"/>
      <c r="F56" s="384"/>
      <c r="G56" s="383"/>
      <c r="H56" s="188"/>
      <c r="I56" s="188">
        <v>1710400</v>
      </c>
      <c r="J56" s="384">
        <f t="shared" si="3"/>
        <v>1710400</v>
      </c>
      <c r="K56" s="140">
        <f t="shared" si="0"/>
        <v>0</v>
      </c>
      <c r="L56" s="189">
        <f t="shared" si="1"/>
        <v>35</v>
      </c>
    </row>
    <row r="57" spans="1:12" x14ac:dyDescent="0.3">
      <c r="A57" s="285" t="s">
        <v>804</v>
      </c>
      <c r="B57" s="286" t="s">
        <v>718</v>
      </c>
      <c r="C57" s="383"/>
      <c r="D57" s="188"/>
      <c r="E57" s="188"/>
      <c r="F57" s="384"/>
      <c r="G57" s="383"/>
      <c r="H57" s="188">
        <v>329750</v>
      </c>
      <c r="I57" s="188">
        <v>418850</v>
      </c>
      <c r="J57" s="384">
        <f t="shared" si="3"/>
        <v>748600</v>
      </c>
      <c r="K57" s="140">
        <f t="shared" si="0"/>
        <v>0</v>
      </c>
      <c r="L57" s="189">
        <f t="shared" si="1"/>
        <v>61</v>
      </c>
    </row>
    <row r="58" spans="1:12" x14ac:dyDescent="0.3">
      <c r="A58" s="285" t="s">
        <v>804</v>
      </c>
      <c r="B58" s="286" t="s">
        <v>1105</v>
      </c>
      <c r="C58" s="383"/>
      <c r="D58" s="188">
        <v>203050</v>
      </c>
      <c r="E58" s="188">
        <v>516400</v>
      </c>
      <c r="F58" s="384">
        <f>C58+D58+E58</f>
        <v>719450</v>
      </c>
      <c r="G58" s="383">
        <v>285200</v>
      </c>
      <c r="H58" s="188">
        <v>305800</v>
      </c>
      <c r="I58" s="188">
        <v>566550</v>
      </c>
      <c r="J58" s="384">
        <f t="shared" si="3"/>
        <v>1157550</v>
      </c>
      <c r="K58" s="140">
        <f t="shared" si="0"/>
        <v>0.60893738272291331</v>
      </c>
      <c r="L58" s="189">
        <f t="shared" si="1"/>
        <v>46</v>
      </c>
    </row>
    <row r="59" spans="1:12" x14ac:dyDescent="0.3">
      <c r="A59" s="285" t="s">
        <v>804</v>
      </c>
      <c r="B59" s="286" t="s">
        <v>1106</v>
      </c>
      <c r="C59" s="383" t="s">
        <v>251</v>
      </c>
      <c r="D59" s="188" t="s">
        <v>251</v>
      </c>
      <c r="E59" s="188" t="s">
        <v>251</v>
      </c>
      <c r="F59" s="384"/>
      <c r="G59" s="383"/>
      <c r="H59" s="188"/>
      <c r="I59" s="188">
        <v>1616000</v>
      </c>
      <c r="J59" s="384">
        <f t="shared" si="3"/>
        <v>1616000</v>
      </c>
      <c r="K59" s="140">
        <f t="shared" si="0"/>
        <v>0</v>
      </c>
      <c r="L59" s="189">
        <f t="shared" si="1"/>
        <v>39</v>
      </c>
    </row>
    <row r="60" spans="1:12" x14ac:dyDescent="0.3">
      <c r="A60" s="285" t="s">
        <v>804</v>
      </c>
      <c r="B60" s="286" t="s">
        <v>1107</v>
      </c>
      <c r="C60" s="383">
        <v>294200</v>
      </c>
      <c r="D60" s="188"/>
      <c r="E60" s="188">
        <v>456700</v>
      </c>
      <c r="F60" s="384">
        <f>C60+D60+E60</f>
        <v>750900</v>
      </c>
      <c r="G60" s="383">
        <v>274500</v>
      </c>
      <c r="H60" s="188">
        <v>247100</v>
      </c>
      <c r="I60" s="188">
        <v>386600</v>
      </c>
      <c r="J60" s="384">
        <f t="shared" si="3"/>
        <v>908200</v>
      </c>
      <c r="K60" s="140">
        <f t="shared" si="0"/>
        <v>0.20948195498734851</v>
      </c>
      <c r="L60" s="189">
        <f t="shared" si="1"/>
        <v>54</v>
      </c>
    </row>
    <row r="61" spans="1:12" x14ac:dyDescent="0.3">
      <c r="A61" s="285" t="s">
        <v>804</v>
      </c>
      <c r="B61" s="286" t="s">
        <v>1108</v>
      </c>
      <c r="C61" s="383"/>
      <c r="D61" s="188"/>
      <c r="E61" s="188"/>
      <c r="F61" s="384"/>
      <c r="G61" s="383"/>
      <c r="H61" s="188">
        <v>724850</v>
      </c>
      <c r="I61" s="188">
        <v>117000</v>
      </c>
      <c r="J61" s="384">
        <f t="shared" si="3"/>
        <v>841850</v>
      </c>
      <c r="K61" s="140">
        <f t="shared" si="0"/>
        <v>0</v>
      </c>
      <c r="L61" s="189">
        <f t="shared" si="1"/>
        <v>60</v>
      </c>
    </row>
    <row r="62" spans="1:12" x14ac:dyDescent="0.3">
      <c r="A62" s="285" t="s">
        <v>804</v>
      </c>
      <c r="B62" s="286" t="s">
        <v>1109</v>
      </c>
      <c r="C62" s="383"/>
      <c r="D62" s="188"/>
      <c r="E62" s="188"/>
      <c r="F62" s="384"/>
      <c r="G62" s="383">
        <v>751900</v>
      </c>
      <c r="H62" s="188">
        <v>115150</v>
      </c>
      <c r="I62" s="188"/>
      <c r="J62" s="384">
        <f t="shared" si="3"/>
        <v>867050</v>
      </c>
      <c r="K62" s="140">
        <f t="shared" si="0"/>
        <v>0</v>
      </c>
      <c r="L62" s="189">
        <f t="shared" si="1"/>
        <v>57</v>
      </c>
    </row>
    <row r="63" spans="1:12" x14ac:dyDescent="0.3">
      <c r="A63" s="285" t="s">
        <v>804</v>
      </c>
      <c r="B63" s="286" t="s">
        <v>704</v>
      </c>
      <c r="C63" s="383"/>
      <c r="D63" s="188"/>
      <c r="E63" s="188"/>
      <c r="F63" s="384"/>
      <c r="G63" s="383">
        <v>267570</v>
      </c>
      <c r="H63" s="188">
        <v>169350</v>
      </c>
      <c r="I63" s="188">
        <v>95400</v>
      </c>
      <c r="J63" s="384">
        <f t="shared" si="3"/>
        <v>532320</v>
      </c>
      <c r="K63" s="140">
        <f t="shared" si="0"/>
        <v>0</v>
      </c>
      <c r="L63" s="189">
        <f t="shared" si="1"/>
        <v>71</v>
      </c>
    </row>
    <row r="64" spans="1:12" x14ac:dyDescent="0.3">
      <c r="A64" s="285" t="s">
        <v>804</v>
      </c>
      <c r="B64" s="286" t="s">
        <v>1110</v>
      </c>
      <c r="C64" s="383"/>
      <c r="D64" s="188"/>
      <c r="E64" s="188"/>
      <c r="F64" s="384"/>
      <c r="G64" s="383"/>
      <c r="H64" s="188">
        <v>40950</v>
      </c>
      <c r="I64" s="188">
        <v>280050</v>
      </c>
      <c r="J64" s="384">
        <f t="shared" si="3"/>
        <v>321000</v>
      </c>
      <c r="K64" s="140">
        <f t="shared" si="0"/>
        <v>0</v>
      </c>
      <c r="L64" s="189">
        <f t="shared" si="1"/>
        <v>82</v>
      </c>
    </row>
    <row r="65" spans="1:12" x14ac:dyDescent="0.3">
      <c r="A65" s="285" t="s">
        <v>804</v>
      </c>
      <c r="B65" s="286" t="s">
        <v>1111</v>
      </c>
      <c r="C65" s="383"/>
      <c r="D65" s="188"/>
      <c r="E65" s="188"/>
      <c r="F65" s="384"/>
      <c r="G65" s="383"/>
      <c r="H65" s="188"/>
      <c r="I65" s="188">
        <v>993420</v>
      </c>
      <c r="J65" s="384">
        <f t="shared" si="3"/>
        <v>993420</v>
      </c>
      <c r="K65" s="140">
        <f t="shared" si="0"/>
        <v>0</v>
      </c>
      <c r="L65" s="189">
        <f t="shared" si="1"/>
        <v>50</v>
      </c>
    </row>
    <row r="66" spans="1:12" x14ac:dyDescent="0.3">
      <c r="A66" s="285" t="s">
        <v>804</v>
      </c>
      <c r="B66" s="286" t="s">
        <v>725</v>
      </c>
      <c r="C66" s="383">
        <v>1737150</v>
      </c>
      <c r="D66" s="188"/>
      <c r="E66" s="188">
        <v>715700</v>
      </c>
      <c r="F66" s="384">
        <f>C66+D66+E66</f>
        <v>2452850</v>
      </c>
      <c r="G66" s="383">
        <v>146600</v>
      </c>
      <c r="H66" s="188">
        <v>93300</v>
      </c>
      <c r="I66" s="188">
        <v>651050</v>
      </c>
      <c r="J66" s="384">
        <f t="shared" si="3"/>
        <v>890950</v>
      </c>
      <c r="K66" s="140">
        <f t="shared" ref="K66:K129" si="4">IF(OR(J66="", F66=""), 0, IFERROR((J66-F66)/F66, IF(J66&lt;&gt;0, 1, 0)))</f>
        <v>-0.63676947224657032</v>
      </c>
      <c r="L66" s="189">
        <f t="shared" ref="L66:L129" si="5">IFERROR(_xlfn.RANK.EQ(J66, $J$2:$J$308), "")</f>
        <v>55</v>
      </c>
    </row>
    <row r="67" spans="1:12" x14ac:dyDescent="0.3">
      <c r="A67" s="285" t="s">
        <v>804</v>
      </c>
      <c r="B67" s="286" t="s">
        <v>710</v>
      </c>
      <c r="C67" s="383">
        <v>13400</v>
      </c>
      <c r="D67" s="188">
        <v>13400</v>
      </c>
      <c r="E67" s="188">
        <v>332850</v>
      </c>
      <c r="F67" s="384">
        <f>C67+D67+E67</f>
        <v>359650</v>
      </c>
      <c r="G67" s="383">
        <v>330800</v>
      </c>
      <c r="H67" s="188"/>
      <c r="I67" s="188">
        <v>590850</v>
      </c>
      <c r="J67" s="384">
        <f t="shared" ref="J67:J129" si="6">G67+H67+I67</f>
        <v>921650</v>
      </c>
      <c r="K67" s="140">
        <f t="shared" si="4"/>
        <v>1.5626303350479633</v>
      </c>
      <c r="L67" s="189">
        <f t="shared" si="5"/>
        <v>53</v>
      </c>
    </row>
    <row r="68" spans="1:12" x14ac:dyDescent="0.3">
      <c r="A68" s="285" t="s">
        <v>804</v>
      </c>
      <c r="B68" s="286" t="s">
        <v>1112</v>
      </c>
      <c r="C68" s="383"/>
      <c r="D68" s="188"/>
      <c r="E68" s="188"/>
      <c r="F68" s="384"/>
      <c r="G68" s="383"/>
      <c r="H68" s="188"/>
      <c r="I68" s="188">
        <v>1151700</v>
      </c>
      <c r="J68" s="384">
        <f t="shared" si="6"/>
        <v>1151700</v>
      </c>
      <c r="K68" s="140">
        <f t="shared" si="4"/>
        <v>0</v>
      </c>
      <c r="L68" s="189">
        <f t="shared" si="5"/>
        <v>47</v>
      </c>
    </row>
    <row r="69" spans="1:12" x14ac:dyDescent="0.3">
      <c r="A69" s="285" t="s">
        <v>804</v>
      </c>
      <c r="B69" s="286" t="s">
        <v>1113</v>
      </c>
      <c r="C69" s="383"/>
      <c r="D69" s="188"/>
      <c r="E69" s="188"/>
      <c r="F69" s="384"/>
      <c r="G69" s="383">
        <v>205000</v>
      </c>
      <c r="H69" s="188"/>
      <c r="I69" s="188">
        <v>387800</v>
      </c>
      <c r="J69" s="384">
        <f t="shared" si="6"/>
        <v>592800</v>
      </c>
      <c r="K69" s="140">
        <f t="shared" si="4"/>
        <v>0</v>
      </c>
      <c r="L69" s="189">
        <f t="shared" si="5"/>
        <v>69</v>
      </c>
    </row>
    <row r="70" spans="1:12" x14ac:dyDescent="0.3">
      <c r="A70" s="285" t="s">
        <v>804</v>
      </c>
      <c r="B70" s="286" t="s">
        <v>808</v>
      </c>
      <c r="C70" s="383"/>
      <c r="D70" s="188"/>
      <c r="E70" s="188"/>
      <c r="F70" s="384"/>
      <c r="G70" s="383">
        <v>218950</v>
      </c>
      <c r="H70" s="188"/>
      <c r="I70" s="188"/>
      <c r="J70" s="384">
        <f t="shared" si="6"/>
        <v>218950</v>
      </c>
      <c r="K70" s="140">
        <f t="shared" si="4"/>
        <v>0</v>
      </c>
      <c r="L70" s="189">
        <f t="shared" si="5"/>
        <v>92</v>
      </c>
    </row>
    <row r="71" spans="1:12" x14ac:dyDescent="0.3">
      <c r="A71" s="285" t="s">
        <v>804</v>
      </c>
      <c r="B71" s="286" t="s">
        <v>1114</v>
      </c>
      <c r="C71" s="383"/>
      <c r="D71" s="188"/>
      <c r="E71" s="188"/>
      <c r="F71" s="384"/>
      <c r="G71" s="383"/>
      <c r="H71" s="188">
        <v>241400</v>
      </c>
      <c r="I71" s="188">
        <v>724200</v>
      </c>
      <c r="J71" s="384">
        <f t="shared" si="6"/>
        <v>965600</v>
      </c>
      <c r="K71" s="140">
        <f t="shared" si="4"/>
        <v>0</v>
      </c>
      <c r="L71" s="189">
        <f t="shared" si="5"/>
        <v>51</v>
      </c>
    </row>
    <row r="72" spans="1:12" x14ac:dyDescent="0.3">
      <c r="A72" s="285" t="s">
        <v>804</v>
      </c>
      <c r="B72" s="286" t="s">
        <v>1115</v>
      </c>
      <c r="C72" s="383"/>
      <c r="D72" s="188"/>
      <c r="E72" s="188"/>
      <c r="F72" s="384"/>
      <c r="G72" s="383">
        <v>110500</v>
      </c>
      <c r="H72" s="188"/>
      <c r="I72" s="188"/>
      <c r="J72" s="384">
        <f t="shared" si="6"/>
        <v>110500</v>
      </c>
      <c r="K72" s="140">
        <f t="shared" si="4"/>
        <v>0</v>
      </c>
      <c r="L72" s="189">
        <f t="shared" si="5"/>
        <v>106</v>
      </c>
    </row>
    <row r="73" spans="1:12" x14ac:dyDescent="0.3">
      <c r="A73" s="285" t="s">
        <v>804</v>
      </c>
      <c r="B73" s="286" t="s">
        <v>1116</v>
      </c>
      <c r="C73" s="383"/>
      <c r="D73" s="188">
        <v>50600</v>
      </c>
      <c r="E73" s="188"/>
      <c r="F73" s="384">
        <f>C73+D73+E73</f>
        <v>50600</v>
      </c>
      <c r="G73" s="383"/>
      <c r="H73" s="188">
        <v>60550</v>
      </c>
      <c r="I73" s="188">
        <v>265800</v>
      </c>
      <c r="J73" s="384">
        <f t="shared" si="6"/>
        <v>326350</v>
      </c>
      <c r="K73" s="140">
        <f t="shared" si="4"/>
        <v>5.4496047430830039</v>
      </c>
      <c r="L73" s="189">
        <f t="shared" si="5"/>
        <v>81</v>
      </c>
    </row>
    <row r="74" spans="1:12" x14ac:dyDescent="0.3">
      <c r="A74" s="285" t="s">
        <v>804</v>
      </c>
      <c r="B74" s="286" t="s">
        <v>1117</v>
      </c>
      <c r="C74" s="383"/>
      <c r="D74" s="188"/>
      <c r="E74" s="188"/>
      <c r="F74" s="384"/>
      <c r="G74" s="383"/>
      <c r="H74" s="188"/>
      <c r="I74" s="188">
        <v>48650</v>
      </c>
      <c r="J74" s="384">
        <f t="shared" si="6"/>
        <v>48650</v>
      </c>
      <c r="K74" s="140">
        <f t="shared" si="4"/>
        <v>0</v>
      </c>
      <c r="L74" s="189">
        <f t="shared" si="5"/>
        <v>110</v>
      </c>
    </row>
    <row r="75" spans="1:12" x14ac:dyDescent="0.3">
      <c r="A75" s="285" t="s">
        <v>804</v>
      </c>
      <c r="B75" s="286" t="s">
        <v>1118</v>
      </c>
      <c r="C75" s="383"/>
      <c r="D75" s="188"/>
      <c r="E75" s="188"/>
      <c r="F75" s="384"/>
      <c r="G75" s="383">
        <v>306000</v>
      </c>
      <c r="H75" s="188"/>
      <c r="I75" s="188"/>
      <c r="J75" s="384">
        <f t="shared" si="6"/>
        <v>306000</v>
      </c>
      <c r="K75" s="140">
        <f t="shared" si="4"/>
        <v>0</v>
      </c>
      <c r="L75" s="189">
        <f t="shared" si="5"/>
        <v>84</v>
      </c>
    </row>
    <row r="76" spans="1:12" x14ac:dyDescent="0.3">
      <c r="A76" s="285" t="s">
        <v>804</v>
      </c>
      <c r="B76" s="286" t="s">
        <v>818</v>
      </c>
      <c r="C76" s="383">
        <v>728300</v>
      </c>
      <c r="D76" s="188"/>
      <c r="E76" s="188"/>
      <c r="F76" s="384">
        <f>C76+D76+E76</f>
        <v>728300</v>
      </c>
      <c r="G76" s="383"/>
      <c r="H76" s="188">
        <v>218150</v>
      </c>
      <c r="I76" s="188">
        <v>633700</v>
      </c>
      <c r="J76" s="384">
        <f t="shared" si="6"/>
        <v>851850</v>
      </c>
      <c r="K76" s="140">
        <f t="shared" si="4"/>
        <v>0.16964163119593573</v>
      </c>
      <c r="L76" s="189">
        <f t="shared" si="5"/>
        <v>59</v>
      </c>
    </row>
    <row r="77" spans="1:12" x14ac:dyDescent="0.3">
      <c r="A77" s="285" t="s">
        <v>804</v>
      </c>
      <c r="B77" s="286" t="s">
        <v>1119</v>
      </c>
      <c r="C77" s="383"/>
      <c r="D77" s="188"/>
      <c r="E77" s="188"/>
      <c r="F77" s="384"/>
      <c r="G77" s="383">
        <v>206750</v>
      </c>
      <c r="H77" s="188"/>
      <c r="I77" s="188">
        <v>457900</v>
      </c>
      <c r="J77" s="384">
        <f t="shared" si="6"/>
        <v>664650</v>
      </c>
      <c r="K77" s="140">
        <f t="shared" si="4"/>
        <v>0</v>
      </c>
      <c r="L77" s="189">
        <f t="shared" si="5"/>
        <v>64</v>
      </c>
    </row>
    <row r="78" spans="1:12" x14ac:dyDescent="0.3">
      <c r="A78" s="285" t="s">
        <v>804</v>
      </c>
      <c r="B78" s="286" t="s">
        <v>1120</v>
      </c>
      <c r="C78" s="383">
        <v>438750</v>
      </c>
      <c r="D78" s="188"/>
      <c r="E78" s="188"/>
      <c r="F78" s="384">
        <f>C78+D78+E78</f>
        <v>438750</v>
      </c>
      <c r="G78" s="383"/>
      <c r="H78" s="188"/>
      <c r="I78" s="188"/>
      <c r="J78" s="384"/>
      <c r="K78" s="140">
        <f t="shared" si="4"/>
        <v>0</v>
      </c>
      <c r="L78" s="189" t="str">
        <f t="shared" si="5"/>
        <v/>
      </c>
    </row>
    <row r="79" spans="1:12" x14ac:dyDescent="0.3">
      <c r="A79" s="285" t="s">
        <v>804</v>
      </c>
      <c r="B79" s="286" t="s">
        <v>828</v>
      </c>
      <c r="C79" s="383"/>
      <c r="D79" s="188"/>
      <c r="E79" s="188">
        <v>399400</v>
      </c>
      <c r="F79" s="384">
        <f>C79+D79+E79</f>
        <v>399400</v>
      </c>
      <c r="G79" s="383"/>
      <c r="H79" s="188">
        <v>22500</v>
      </c>
      <c r="I79" s="188">
        <v>429200</v>
      </c>
      <c r="J79" s="384">
        <f t="shared" si="6"/>
        <v>451700</v>
      </c>
      <c r="K79" s="140">
        <f t="shared" si="4"/>
        <v>0.13094641962944417</v>
      </c>
      <c r="L79" s="189">
        <f t="shared" si="5"/>
        <v>77</v>
      </c>
    </row>
    <row r="80" spans="1:12" x14ac:dyDescent="0.3">
      <c r="A80" s="285" t="s">
        <v>804</v>
      </c>
      <c r="B80" s="286" t="s">
        <v>1121</v>
      </c>
      <c r="C80" s="383">
        <v>132800</v>
      </c>
      <c r="D80" s="188"/>
      <c r="E80" s="188">
        <v>169100</v>
      </c>
      <c r="F80" s="384">
        <f>C80+D80+E80</f>
        <v>301900</v>
      </c>
      <c r="G80" s="383">
        <v>68500</v>
      </c>
      <c r="H80" s="188">
        <v>33200</v>
      </c>
      <c r="I80" s="188">
        <v>108000</v>
      </c>
      <c r="J80" s="384">
        <f t="shared" si="6"/>
        <v>209700</v>
      </c>
      <c r="K80" s="140">
        <f t="shared" si="4"/>
        <v>-0.30539913878767805</v>
      </c>
      <c r="L80" s="189">
        <f t="shared" si="5"/>
        <v>95</v>
      </c>
    </row>
    <row r="81" spans="1:12" x14ac:dyDescent="0.3">
      <c r="A81" s="285" t="s">
        <v>804</v>
      </c>
      <c r="B81" s="286" t="s">
        <v>1122</v>
      </c>
      <c r="C81" s="383"/>
      <c r="D81" s="188"/>
      <c r="E81" s="188"/>
      <c r="F81" s="384"/>
      <c r="G81" s="383"/>
      <c r="H81" s="188"/>
      <c r="I81" s="188"/>
      <c r="J81" s="384"/>
      <c r="K81" s="140">
        <f t="shared" si="4"/>
        <v>0</v>
      </c>
      <c r="L81" s="189" t="str">
        <f t="shared" si="5"/>
        <v/>
      </c>
    </row>
    <row r="82" spans="1:12" x14ac:dyDescent="0.3">
      <c r="A82" s="285" t="s">
        <v>804</v>
      </c>
      <c r="B82" s="286" t="s">
        <v>1123</v>
      </c>
      <c r="C82" s="383"/>
      <c r="D82" s="188"/>
      <c r="E82" s="188"/>
      <c r="F82" s="384"/>
      <c r="G82" s="383">
        <v>241400</v>
      </c>
      <c r="H82" s="188"/>
      <c r="I82" s="188">
        <v>241400</v>
      </c>
      <c r="J82" s="384">
        <f t="shared" si="6"/>
        <v>482800</v>
      </c>
      <c r="K82" s="140">
        <f t="shared" si="4"/>
        <v>0</v>
      </c>
      <c r="L82" s="189">
        <f t="shared" si="5"/>
        <v>74</v>
      </c>
    </row>
    <row r="83" spans="1:12" x14ac:dyDescent="0.3">
      <c r="A83" s="285" t="s">
        <v>804</v>
      </c>
      <c r="B83" s="286" t="s">
        <v>858</v>
      </c>
      <c r="C83" s="383"/>
      <c r="D83" s="188"/>
      <c r="E83" s="188"/>
      <c r="F83" s="384"/>
      <c r="G83" s="383"/>
      <c r="H83" s="188"/>
      <c r="I83" s="188"/>
      <c r="J83" s="384"/>
      <c r="K83" s="140">
        <f t="shared" si="4"/>
        <v>0</v>
      </c>
      <c r="L83" s="189" t="str">
        <f t="shared" si="5"/>
        <v/>
      </c>
    </row>
    <row r="84" spans="1:12" x14ac:dyDescent="0.3">
      <c r="A84" s="285" t="s">
        <v>804</v>
      </c>
      <c r="B84" s="286" t="s">
        <v>1124</v>
      </c>
      <c r="C84" s="383"/>
      <c r="D84" s="188"/>
      <c r="E84" s="188"/>
      <c r="F84" s="384"/>
      <c r="G84" s="383">
        <v>343050</v>
      </c>
      <c r="H84" s="188">
        <v>201600</v>
      </c>
      <c r="I84" s="188">
        <v>186350</v>
      </c>
      <c r="J84" s="384">
        <f t="shared" si="6"/>
        <v>731000</v>
      </c>
      <c r="K84" s="140">
        <f t="shared" si="4"/>
        <v>0</v>
      </c>
      <c r="L84" s="189">
        <f t="shared" si="5"/>
        <v>62</v>
      </c>
    </row>
    <row r="85" spans="1:12" x14ac:dyDescent="0.3">
      <c r="A85" s="285" t="s">
        <v>804</v>
      </c>
      <c r="B85" s="286" t="s">
        <v>839</v>
      </c>
      <c r="C85" s="383"/>
      <c r="D85" s="188"/>
      <c r="E85" s="188"/>
      <c r="F85" s="384"/>
      <c r="G85" s="383">
        <v>85250</v>
      </c>
      <c r="H85" s="188"/>
      <c r="I85" s="188">
        <v>127650</v>
      </c>
      <c r="J85" s="384">
        <f t="shared" si="6"/>
        <v>212900</v>
      </c>
      <c r="K85" s="140">
        <f t="shared" si="4"/>
        <v>0</v>
      </c>
      <c r="L85" s="189">
        <f t="shared" si="5"/>
        <v>94</v>
      </c>
    </row>
    <row r="86" spans="1:12" x14ac:dyDescent="0.3">
      <c r="A86" s="285" t="s">
        <v>804</v>
      </c>
      <c r="B86" s="286" t="s">
        <v>1125</v>
      </c>
      <c r="C86" s="383"/>
      <c r="D86" s="188"/>
      <c r="E86" s="188"/>
      <c r="F86" s="384"/>
      <c r="G86" s="383" t="s">
        <v>251</v>
      </c>
      <c r="H86" s="188" t="s">
        <v>251</v>
      </c>
      <c r="I86" s="188" t="s">
        <v>251</v>
      </c>
      <c r="J86" s="384"/>
      <c r="K86" s="140">
        <f t="shared" si="4"/>
        <v>0</v>
      </c>
      <c r="L86" s="189" t="str">
        <f t="shared" si="5"/>
        <v/>
      </c>
    </row>
    <row r="87" spans="1:12" x14ac:dyDescent="0.3">
      <c r="A87" s="285" t="s">
        <v>804</v>
      </c>
      <c r="B87" s="286" t="s">
        <v>1126</v>
      </c>
      <c r="C87" s="383"/>
      <c r="D87" s="188"/>
      <c r="E87" s="188"/>
      <c r="F87" s="384"/>
      <c r="G87" s="383"/>
      <c r="H87" s="188"/>
      <c r="I87" s="188">
        <v>615000</v>
      </c>
      <c r="J87" s="384">
        <f t="shared" si="6"/>
        <v>615000</v>
      </c>
      <c r="K87" s="140">
        <f t="shared" si="4"/>
        <v>0</v>
      </c>
      <c r="L87" s="189">
        <f t="shared" si="5"/>
        <v>67</v>
      </c>
    </row>
    <row r="88" spans="1:12" x14ac:dyDescent="0.3">
      <c r="A88" s="285" t="s">
        <v>804</v>
      </c>
      <c r="B88" s="286" t="s">
        <v>1127</v>
      </c>
      <c r="C88" s="383"/>
      <c r="D88" s="188"/>
      <c r="E88" s="188"/>
      <c r="F88" s="384"/>
      <c r="G88" s="383">
        <v>306400</v>
      </c>
      <c r="H88" s="188"/>
      <c r="I88" s="188">
        <v>301400</v>
      </c>
      <c r="J88" s="384">
        <f t="shared" si="6"/>
        <v>607800</v>
      </c>
      <c r="K88" s="140">
        <f t="shared" si="4"/>
        <v>0</v>
      </c>
      <c r="L88" s="189">
        <f t="shared" si="5"/>
        <v>68</v>
      </c>
    </row>
    <row r="89" spans="1:12" x14ac:dyDescent="0.3">
      <c r="A89" s="285" t="s">
        <v>804</v>
      </c>
      <c r="B89" s="286" t="s">
        <v>826</v>
      </c>
      <c r="C89" s="383"/>
      <c r="D89" s="188"/>
      <c r="E89" s="188"/>
      <c r="F89" s="384"/>
      <c r="G89" s="383"/>
      <c r="H89" s="188">
        <v>273800</v>
      </c>
      <c r="I89" s="188">
        <v>73000</v>
      </c>
      <c r="J89" s="384">
        <f t="shared" si="6"/>
        <v>346800</v>
      </c>
      <c r="K89" s="140">
        <f t="shared" si="4"/>
        <v>0</v>
      </c>
      <c r="L89" s="189">
        <f t="shared" si="5"/>
        <v>80</v>
      </c>
    </row>
    <row r="90" spans="1:12" x14ac:dyDescent="0.3">
      <c r="A90" s="285" t="s">
        <v>804</v>
      </c>
      <c r="B90" s="286" t="s">
        <v>1128</v>
      </c>
      <c r="C90" s="383"/>
      <c r="D90" s="188"/>
      <c r="E90" s="188"/>
      <c r="F90" s="384"/>
      <c r="G90" s="383">
        <v>465600</v>
      </c>
      <c r="H90" s="188">
        <v>82000</v>
      </c>
      <c r="I90" s="188"/>
      <c r="J90" s="384">
        <f t="shared" si="6"/>
        <v>547600</v>
      </c>
      <c r="K90" s="140">
        <f t="shared" si="4"/>
        <v>0</v>
      </c>
      <c r="L90" s="189">
        <f t="shared" si="5"/>
        <v>70</v>
      </c>
    </row>
    <row r="91" spans="1:12" x14ac:dyDescent="0.3">
      <c r="A91" s="285" t="s">
        <v>804</v>
      </c>
      <c r="B91" s="286" t="s">
        <v>1129</v>
      </c>
      <c r="C91" s="383"/>
      <c r="D91" s="188"/>
      <c r="E91" s="188"/>
      <c r="F91" s="384"/>
      <c r="G91" s="383"/>
      <c r="H91" s="188">
        <v>282800</v>
      </c>
      <c r="I91" s="188"/>
      <c r="J91" s="384">
        <f t="shared" si="6"/>
        <v>282800</v>
      </c>
      <c r="K91" s="140">
        <f t="shared" si="4"/>
        <v>0</v>
      </c>
      <c r="L91" s="189">
        <f t="shared" si="5"/>
        <v>87</v>
      </c>
    </row>
    <row r="92" spans="1:12" x14ac:dyDescent="0.3">
      <c r="A92" s="285" t="s">
        <v>804</v>
      </c>
      <c r="B92" s="286" t="s">
        <v>813</v>
      </c>
      <c r="C92" s="383"/>
      <c r="D92" s="188"/>
      <c r="E92" s="188"/>
      <c r="F92" s="384"/>
      <c r="G92" s="383">
        <v>214050</v>
      </c>
      <c r="H92" s="188"/>
      <c r="I92" s="188">
        <v>317950</v>
      </c>
      <c r="J92" s="384">
        <f t="shared" si="6"/>
        <v>532000</v>
      </c>
      <c r="K92" s="140">
        <f t="shared" si="4"/>
        <v>0</v>
      </c>
      <c r="L92" s="189">
        <f t="shared" si="5"/>
        <v>72</v>
      </c>
    </row>
    <row r="93" spans="1:12" x14ac:dyDescent="0.3">
      <c r="A93" s="285" t="s">
        <v>804</v>
      </c>
      <c r="B93" s="286" t="s">
        <v>849</v>
      </c>
      <c r="C93" s="383">
        <v>218700</v>
      </c>
      <c r="D93" s="188"/>
      <c r="E93" s="188"/>
      <c r="F93" s="384">
        <f>C93+D93+E93</f>
        <v>218700</v>
      </c>
      <c r="G93" s="383"/>
      <c r="H93" s="188"/>
      <c r="I93" s="188">
        <v>171450</v>
      </c>
      <c r="J93" s="384">
        <f t="shared" si="6"/>
        <v>171450</v>
      </c>
      <c r="K93" s="140">
        <f t="shared" si="4"/>
        <v>-0.21604938271604937</v>
      </c>
      <c r="L93" s="189">
        <f t="shared" si="5"/>
        <v>98</v>
      </c>
    </row>
    <row r="94" spans="1:12" x14ac:dyDescent="0.3">
      <c r="A94" s="285" t="s">
        <v>804</v>
      </c>
      <c r="B94" s="286" t="s">
        <v>1130</v>
      </c>
      <c r="C94" s="383">
        <v>239800</v>
      </c>
      <c r="D94" s="188"/>
      <c r="E94" s="188"/>
      <c r="F94" s="384">
        <f>C94+D94+E94</f>
        <v>239800</v>
      </c>
      <c r="G94" s="383">
        <v>75000</v>
      </c>
      <c r="H94" s="188">
        <v>211300</v>
      </c>
      <c r="I94" s="188"/>
      <c r="J94" s="384">
        <f t="shared" si="6"/>
        <v>286300</v>
      </c>
      <c r="K94" s="140">
        <f t="shared" si="4"/>
        <v>0.1939115929941618</v>
      </c>
      <c r="L94" s="189">
        <f t="shared" si="5"/>
        <v>85</v>
      </c>
    </row>
    <row r="95" spans="1:12" x14ac:dyDescent="0.3">
      <c r="A95" s="285" t="s">
        <v>804</v>
      </c>
      <c r="B95" s="286" t="s">
        <v>1131</v>
      </c>
      <c r="C95" s="383" t="s">
        <v>251</v>
      </c>
      <c r="D95" s="188" t="s">
        <v>251</v>
      </c>
      <c r="E95" s="188" t="s">
        <v>251</v>
      </c>
      <c r="F95" s="384"/>
      <c r="G95" s="383"/>
      <c r="H95" s="188">
        <v>213500</v>
      </c>
      <c r="I95" s="188">
        <v>276000</v>
      </c>
      <c r="J95" s="384">
        <f t="shared" si="6"/>
        <v>489500</v>
      </c>
      <c r="K95" s="140">
        <f t="shared" si="4"/>
        <v>0</v>
      </c>
      <c r="L95" s="189">
        <f t="shared" si="5"/>
        <v>73</v>
      </c>
    </row>
    <row r="96" spans="1:12" x14ac:dyDescent="0.3">
      <c r="A96" s="285" t="s">
        <v>804</v>
      </c>
      <c r="B96" s="286" t="s">
        <v>1132</v>
      </c>
      <c r="C96" s="383" t="s">
        <v>251</v>
      </c>
      <c r="D96" s="188" t="s">
        <v>251</v>
      </c>
      <c r="E96" s="188" t="s">
        <v>251</v>
      </c>
      <c r="F96" s="384"/>
      <c r="G96" s="383"/>
      <c r="H96" s="188"/>
      <c r="I96" s="188"/>
      <c r="J96" s="384"/>
      <c r="K96" s="140">
        <f t="shared" si="4"/>
        <v>0</v>
      </c>
      <c r="L96" s="189" t="str">
        <f t="shared" si="5"/>
        <v/>
      </c>
    </row>
    <row r="97" spans="1:12" x14ac:dyDescent="0.3">
      <c r="A97" s="285" t="s">
        <v>804</v>
      </c>
      <c r="B97" s="286" t="s">
        <v>1133</v>
      </c>
      <c r="C97" s="383" t="s">
        <v>251</v>
      </c>
      <c r="D97" s="188" t="s">
        <v>251</v>
      </c>
      <c r="E97" s="188" t="s">
        <v>251</v>
      </c>
      <c r="F97" s="384"/>
      <c r="G97" s="383"/>
      <c r="H97" s="188">
        <v>235900</v>
      </c>
      <c r="I97" s="188">
        <v>235900</v>
      </c>
      <c r="J97" s="384">
        <f t="shared" si="6"/>
        <v>471800</v>
      </c>
      <c r="K97" s="140">
        <f t="shared" si="4"/>
        <v>0</v>
      </c>
      <c r="L97" s="189">
        <f t="shared" si="5"/>
        <v>75</v>
      </c>
    </row>
    <row r="98" spans="1:12" x14ac:dyDescent="0.3">
      <c r="A98" s="285" t="s">
        <v>804</v>
      </c>
      <c r="B98" s="286" t="s">
        <v>1134</v>
      </c>
      <c r="C98" s="383" t="s">
        <v>251</v>
      </c>
      <c r="D98" s="188" t="s">
        <v>251</v>
      </c>
      <c r="E98" s="188" t="s">
        <v>251</v>
      </c>
      <c r="F98" s="384"/>
      <c r="G98" s="383"/>
      <c r="H98" s="188"/>
      <c r="I98" s="188">
        <v>454850</v>
      </c>
      <c r="J98" s="384">
        <f t="shared" si="6"/>
        <v>454850</v>
      </c>
      <c r="K98" s="140">
        <f t="shared" si="4"/>
        <v>0</v>
      </c>
      <c r="L98" s="189">
        <f t="shared" si="5"/>
        <v>76</v>
      </c>
    </row>
    <row r="99" spans="1:12" x14ac:dyDescent="0.3">
      <c r="A99" s="285" t="s">
        <v>804</v>
      </c>
      <c r="B99" s="286" t="s">
        <v>709</v>
      </c>
      <c r="C99" s="383">
        <v>1166650</v>
      </c>
      <c r="D99" s="188"/>
      <c r="E99" s="188">
        <v>908700</v>
      </c>
      <c r="F99" s="384">
        <f>C99+D99+E99</f>
        <v>2075350</v>
      </c>
      <c r="G99" s="383">
        <v>146600</v>
      </c>
      <c r="H99" s="188">
        <v>136700</v>
      </c>
      <c r="I99" s="188"/>
      <c r="J99" s="384">
        <f t="shared" si="6"/>
        <v>283300</v>
      </c>
      <c r="K99" s="140">
        <f t="shared" si="4"/>
        <v>-0.86349290481123664</v>
      </c>
      <c r="L99" s="189">
        <f t="shared" si="5"/>
        <v>86</v>
      </c>
    </row>
    <row r="100" spans="1:12" x14ac:dyDescent="0.3">
      <c r="A100" s="285" t="s">
        <v>804</v>
      </c>
      <c r="B100" s="286" t="s">
        <v>856</v>
      </c>
      <c r="C100" s="383" t="s">
        <v>251</v>
      </c>
      <c r="D100" s="188" t="s">
        <v>251</v>
      </c>
      <c r="E100" s="188" t="s">
        <v>251</v>
      </c>
      <c r="F100" s="384"/>
      <c r="G100" s="383"/>
      <c r="H100" s="188"/>
      <c r="I100" s="188"/>
      <c r="J100" s="384"/>
      <c r="K100" s="140">
        <f t="shared" si="4"/>
        <v>0</v>
      </c>
      <c r="L100" s="189" t="str">
        <f t="shared" si="5"/>
        <v/>
      </c>
    </row>
    <row r="101" spans="1:12" x14ac:dyDescent="0.3">
      <c r="A101" s="285" t="s">
        <v>804</v>
      </c>
      <c r="B101" s="286" t="s">
        <v>1135</v>
      </c>
      <c r="C101" s="383" t="s">
        <v>251</v>
      </c>
      <c r="D101" s="188" t="s">
        <v>251</v>
      </c>
      <c r="E101" s="188" t="s">
        <v>251</v>
      </c>
      <c r="F101" s="384"/>
      <c r="G101" s="383"/>
      <c r="H101" s="188"/>
      <c r="I101" s="188">
        <v>419600</v>
      </c>
      <c r="J101" s="384">
        <f t="shared" si="6"/>
        <v>419600</v>
      </c>
      <c r="K101" s="140">
        <f t="shared" si="4"/>
        <v>0</v>
      </c>
      <c r="L101" s="189">
        <f t="shared" si="5"/>
        <v>78</v>
      </c>
    </row>
    <row r="102" spans="1:12" x14ac:dyDescent="0.3">
      <c r="A102" s="285" t="s">
        <v>804</v>
      </c>
      <c r="B102" s="286" t="s">
        <v>1136</v>
      </c>
      <c r="C102" s="383">
        <v>589250</v>
      </c>
      <c r="D102" s="188"/>
      <c r="E102" s="188">
        <v>80900</v>
      </c>
      <c r="F102" s="384">
        <f>C102+D102+E102</f>
        <v>670150</v>
      </c>
      <c r="G102" s="383"/>
      <c r="H102" s="188"/>
      <c r="I102" s="188">
        <v>386100</v>
      </c>
      <c r="J102" s="384">
        <f t="shared" si="6"/>
        <v>386100</v>
      </c>
      <c r="K102" s="140">
        <f t="shared" si="4"/>
        <v>-0.42386032977691562</v>
      </c>
      <c r="L102" s="189">
        <f t="shared" si="5"/>
        <v>79</v>
      </c>
    </row>
    <row r="103" spans="1:12" x14ac:dyDescent="0.3">
      <c r="A103" s="285" t="s">
        <v>804</v>
      </c>
      <c r="B103" s="286" t="s">
        <v>806</v>
      </c>
      <c r="C103" s="383"/>
      <c r="D103" s="188"/>
      <c r="E103" s="188"/>
      <c r="F103" s="384"/>
      <c r="G103" s="383">
        <v>65850</v>
      </c>
      <c r="H103" s="188">
        <v>105050</v>
      </c>
      <c r="I103" s="188"/>
      <c r="J103" s="384">
        <f t="shared" si="6"/>
        <v>170900</v>
      </c>
      <c r="K103" s="140">
        <f t="shared" si="4"/>
        <v>0</v>
      </c>
      <c r="L103" s="189">
        <f t="shared" si="5"/>
        <v>99</v>
      </c>
    </row>
    <row r="104" spans="1:12" x14ac:dyDescent="0.3">
      <c r="A104" s="285" t="s">
        <v>804</v>
      </c>
      <c r="B104" s="286" t="s">
        <v>1137</v>
      </c>
      <c r="C104" s="383"/>
      <c r="D104" s="188"/>
      <c r="E104" s="188"/>
      <c r="F104" s="384"/>
      <c r="G104" s="383"/>
      <c r="H104" s="188"/>
      <c r="I104" s="188"/>
      <c r="J104" s="384"/>
      <c r="K104" s="140">
        <f t="shared" si="4"/>
        <v>0</v>
      </c>
      <c r="L104" s="189" t="str">
        <f t="shared" si="5"/>
        <v/>
      </c>
    </row>
    <row r="105" spans="1:12" x14ac:dyDescent="0.3">
      <c r="A105" s="285" t="s">
        <v>804</v>
      </c>
      <c r="B105" s="286" t="s">
        <v>811</v>
      </c>
      <c r="C105" s="383"/>
      <c r="D105" s="188"/>
      <c r="E105" s="188"/>
      <c r="F105" s="384"/>
      <c r="G105" s="383"/>
      <c r="H105" s="188"/>
      <c r="I105" s="188"/>
      <c r="J105" s="384"/>
      <c r="K105" s="140">
        <f t="shared" si="4"/>
        <v>0</v>
      </c>
      <c r="L105" s="189" t="str">
        <f t="shared" si="5"/>
        <v/>
      </c>
    </row>
    <row r="106" spans="1:12" x14ac:dyDescent="0.3">
      <c r="A106" s="285" t="s">
        <v>804</v>
      </c>
      <c r="B106" s="286" t="s">
        <v>816</v>
      </c>
      <c r="C106" s="383">
        <v>146600</v>
      </c>
      <c r="D106" s="188"/>
      <c r="E106" s="188"/>
      <c r="F106" s="384">
        <f>C106+D106+E106</f>
        <v>146600</v>
      </c>
      <c r="G106" s="383">
        <v>98700</v>
      </c>
      <c r="H106" s="188"/>
      <c r="I106" s="188">
        <v>209150</v>
      </c>
      <c r="J106" s="384">
        <f t="shared" si="6"/>
        <v>307850</v>
      </c>
      <c r="K106" s="140">
        <f t="shared" si="4"/>
        <v>1.0999317871759891</v>
      </c>
      <c r="L106" s="189">
        <f t="shared" si="5"/>
        <v>83</v>
      </c>
    </row>
    <row r="107" spans="1:12" x14ac:dyDescent="0.3">
      <c r="A107" s="285" t="s">
        <v>804</v>
      </c>
      <c r="B107" s="286" t="s">
        <v>641</v>
      </c>
      <c r="C107" s="383" t="s">
        <v>251</v>
      </c>
      <c r="D107" s="188" t="s">
        <v>251</v>
      </c>
      <c r="E107" s="188" t="s">
        <v>251</v>
      </c>
      <c r="F107" s="384"/>
      <c r="G107" s="383"/>
      <c r="H107" s="188"/>
      <c r="I107" s="188"/>
      <c r="J107" s="384"/>
      <c r="K107" s="140">
        <f t="shared" si="4"/>
        <v>0</v>
      </c>
      <c r="L107" s="189" t="str">
        <f t="shared" si="5"/>
        <v/>
      </c>
    </row>
    <row r="108" spans="1:12" x14ac:dyDescent="0.3">
      <c r="A108" s="285" t="s">
        <v>804</v>
      </c>
      <c r="B108" s="286" t="s">
        <v>1138</v>
      </c>
      <c r="C108" s="383" t="s">
        <v>251</v>
      </c>
      <c r="D108" s="188" t="s">
        <v>251</v>
      </c>
      <c r="E108" s="188" t="s">
        <v>251</v>
      </c>
      <c r="F108" s="384"/>
      <c r="G108" s="383"/>
      <c r="H108" s="188"/>
      <c r="I108" s="188">
        <v>256100</v>
      </c>
      <c r="J108" s="384">
        <f t="shared" si="6"/>
        <v>256100</v>
      </c>
      <c r="K108" s="140">
        <f t="shared" si="4"/>
        <v>0</v>
      </c>
      <c r="L108" s="189">
        <f t="shared" si="5"/>
        <v>89</v>
      </c>
    </row>
    <row r="109" spans="1:12" x14ac:dyDescent="0.3">
      <c r="A109" s="285" t="s">
        <v>804</v>
      </c>
      <c r="B109" s="286" t="s">
        <v>628</v>
      </c>
      <c r="C109" s="383" t="s">
        <v>251</v>
      </c>
      <c r="D109" s="188" t="s">
        <v>251</v>
      </c>
      <c r="E109" s="188" t="s">
        <v>251</v>
      </c>
      <c r="F109" s="384"/>
      <c r="G109" s="383"/>
      <c r="H109" s="188"/>
      <c r="I109" s="188">
        <v>245800</v>
      </c>
      <c r="J109" s="384">
        <f t="shared" si="6"/>
        <v>245800</v>
      </c>
      <c r="K109" s="140">
        <f t="shared" si="4"/>
        <v>0</v>
      </c>
      <c r="L109" s="189">
        <f t="shared" si="5"/>
        <v>90</v>
      </c>
    </row>
    <row r="110" spans="1:12" x14ac:dyDescent="0.3">
      <c r="A110" s="285" t="s">
        <v>804</v>
      </c>
      <c r="B110" s="286" t="s">
        <v>815</v>
      </c>
      <c r="C110" s="383" t="s">
        <v>251</v>
      </c>
      <c r="D110" s="188" t="s">
        <v>251</v>
      </c>
      <c r="E110" s="188" t="s">
        <v>251</v>
      </c>
      <c r="F110" s="384"/>
      <c r="G110" s="383"/>
      <c r="H110" s="188">
        <v>22500</v>
      </c>
      <c r="I110" s="188"/>
      <c r="J110" s="384">
        <f t="shared" si="6"/>
        <v>22500</v>
      </c>
      <c r="K110" s="140">
        <f t="shared" si="4"/>
        <v>0</v>
      </c>
      <c r="L110" s="189">
        <f t="shared" si="5"/>
        <v>112</v>
      </c>
    </row>
    <row r="111" spans="1:12" x14ac:dyDescent="0.3">
      <c r="A111" s="285" t="s">
        <v>804</v>
      </c>
      <c r="B111" s="286" t="s">
        <v>1139</v>
      </c>
      <c r="C111" s="383">
        <v>57200</v>
      </c>
      <c r="D111" s="188">
        <v>40500</v>
      </c>
      <c r="E111" s="188">
        <v>101700</v>
      </c>
      <c r="F111" s="384">
        <f>C111+D111+E111</f>
        <v>199400</v>
      </c>
      <c r="G111" s="383"/>
      <c r="H111" s="188"/>
      <c r="I111" s="188">
        <v>113200</v>
      </c>
      <c r="J111" s="384">
        <f t="shared" si="6"/>
        <v>113200</v>
      </c>
      <c r="K111" s="140">
        <f t="shared" si="4"/>
        <v>-0.43229689067201604</v>
      </c>
      <c r="L111" s="189">
        <f t="shared" si="5"/>
        <v>105</v>
      </c>
    </row>
    <row r="112" spans="1:12" x14ac:dyDescent="0.3">
      <c r="A112" s="285" t="s">
        <v>804</v>
      </c>
      <c r="B112" s="286" t="s">
        <v>1140</v>
      </c>
      <c r="C112" s="383" t="s">
        <v>251</v>
      </c>
      <c r="D112" s="188" t="s">
        <v>251</v>
      </c>
      <c r="E112" s="188" t="s">
        <v>251</v>
      </c>
      <c r="F112" s="384"/>
      <c r="G112" s="383"/>
      <c r="H112" s="188">
        <v>222200</v>
      </c>
      <c r="I112" s="188"/>
      <c r="J112" s="384">
        <f t="shared" si="6"/>
        <v>222200</v>
      </c>
      <c r="K112" s="140">
        <f t="shared" si="4"/>
        <v>0</v>
      </c>
      <c r="L112" s="189">
        <f t="shared" si="5"/>
        <v>91</v>
      </c>
    </row>
    <row r="113" spans="1:12" x14ac:dyDescent="0.3">
      <c r="A113" s="285" t="s">
        <v>804</v>
      </c>
      <c r="B113" s="286" t="s">
        <v>805</v>
      </c>
      <c r="C113" s="383">
        <v>531670</v>
      </c>
      <c r="D113" s="188"/>
      <c r="E113" s="188">
        <v>70100</v>
      </c>
      <c r="F113" s="384">
        <f>C113+D113+E113</f>
        <v>601770</v>
      </c>
      <c r="G113" s="383">
        <v>218950</v>
      </c>
      <c r="H113" s="188"/>
      <c r="I113" s="188"/>
      <c r="J113" s="384">
        <f t="shared" si="6"/>
        <v>218950</v>
      </c>
      <c r="K113" s="140">
        <f t="shared" si="4"/>
        <v>-0.63615667115343066</v>
      </c>
      <c r="L113" s="189">
        <f t="shared" si="5"/>
        <v>92</v>
      </c>
    </row>
    <row r="114" spans="1:12" x14ac:dyDescent="0.3">
      <c r="A114" s="285" t="s">
        <v>804</v>
      </c>
      <c r="B114" s="286" t="s">
        <v>819</v>
      </c>
      <c r="C114" s="383"/>
      <c r="D114" s="188"/>
      <c r="E114" s="188"/>
      <c r="F114" s="384"/>
      <c r="G114" s="383">
        <v>171450</v>
      </c>
      <c r="H114" s="188">
        <v>7450</v>
      </c>
      <c r="I114" s="188"/>
      <c r="J114" s="384">
        <f t="shared" si="6"/>
        <v>178900</v>
      </c>
      <c r="K114" s="140">
        <f t="shared" si="4"/>
        <v>0</v>
      </c>
      <c r="L114" s="189">
        <f t="shared" si="5"/>
        <v>96</v>
      </c>
    </row>
    <row r="115" spans="1:12" x14ac:dyDescent="0.3">
      <c r="A115" s="285" t="s">
        <v>804</v>
      </c>
      <c r="B115" s="286" t="s">
        <v>1141</v>
      </c>
      <c r="C115" s="383"/>
      <c r="D115" s="188"/>
      <c r="E115" s="188"/>
      <c r="F115" s="384"/>
      <c r="G115" s="383">
        <v>165950</v>
      </c>
      <c r="H115" s="188"/>
      <c r="I115" s="188"/>
      <c r="J115" s="384">
        <f t="shared" si="6"/>
        <v>165950</v>
      </c>
      <c r="K115" s="140">
        <f t="shared" si="4"/>
        <v>0</v>
      </c>
      <c r="L115" s="189">
        <f t="shared" si="5"/>
        <v>100</v>
      </c>
    </row>
    <row r="116" spans="1:12" x14ac:dyDescent="0.3">
      <c r="A116" s="285" t="s">
        <v>804</v>
      </c>
      <c r="B116" s="286" t="s">
        <v>837</v>
      </c>
      <c r="C116" s="383"/>
      <c r="D116" s="188"/>
      <c r="E116" s="188"/>
      <c r="F116" s="384"/>
      <c r="G116" s="383"/>
      <c r="H116" s="188"/>
      <c r="I116" s="188"/>
      <c r="J116" s="384"/>
      <c r="K116" s="140">
        <f t="shared" si="4"/>
        <v>0</v>
      </c>
      <c r="L116" s="189" t="str">
        <f t="shared" si="5"/>
        <v/>
      </c>
    </row>
    <row r="117" spans="1:12" x14ac:dyDescent="0.3">
      <c r="A117" s="285" t="s">
        <v>804</v>
      </c>
      <c r="B117" s="286" t="s">
        <v>1142</v>
      </c>
      <c r="C117" s="383"/>
      <c r="D117" s="188"/>
      <c r="E117" s="188"/>
      <c r="F117" s="384"/>
      <c r="G117" s="383"/>
      <c r="H117" s="188">
        <v>153200</v>
      </c>
      <c r="I117" s="188"/>
      <c r="J117" s="384">
        <f t="shared" si="6"/>
        <v>153200</v>
      </c>
      <c r="K117" s="140">
        <f t="shared" si="4"/>
        <v>0</v>
      </c>
      <c r="L117" s="189">
        <f t="shared" si="5"/>
        <v>101</v>
      </c>
    </row>
    <row r="118" spans="1:12" x14ac:dyDescent="0.3">
      <c r="A118" s="285" t="s">
        <v>804</v>
      </c>
      <c r="B118" s="286" t="s">
        <v>447</v>
      </c>
      <c r="C118" s="383"/>
      <c r="D118" s="188"/>
      <c r="E118" s="188">
        <v>96600</v>
      </c>
      <c r="F118" s="384">
        <f>C118+D118+E118</f>
        <v>96600</v>
      </c>
      <c r="G118" s="383"/>
      <c r="H118" s="188"/>
      <c r="I118" s="188"/>
      <c r="J118" s="384"/>
      <c r="K118" s="140">
        <f t="shared" si="4"/>
        <v>0</v>
      </c>
      <c r="L118" s="189" t="str">
        <f t="shared" si="5"/>
        <v/>
      </c>
    </row>
    <row r="119" spans="1:12" x14ac:dyDescent="0.3">
      <c r="A119" s="285" t="s">
        <v>804</v>
      </c>
      <c r="B119" s="286" t="s">
        <v>829</v>
      </c>
      <c r="C119" s="383" t="s">
        <v>251</v>
      </c>
      <c r="D119" s="188" t="s">
        <v>251</v>
      </c>
      <c r="E119" s="188" t="s">
        <v>251</v>
      </c>
      <c r="F119" s="384"/>
      <c r="G119" s="383"/>
      <c r="H119" s="188">
        <v>148700</v>
      </c>
      <c r="I119" s="188"/>
      <c r="J119" s="384">
        <f t="shared" si="6"/>
        <v>148700</v>
      </c>
      <c r="K119" s="140">
        <f t="shared" si="4"/>
        <v>0</v>
      </c>
      <c r="L119" s="189">
        <f t="shared" si="5"/>
        <v>102</v>
      </c>
    </row>
    <row r="120" spans="1:12" x14ac:dyDescent="0.3">
      <c r="A120" s="285" t="s">
        <v>804</v>
      </c>
      <c r="B120" s="286" t="s">
        <v>1143</v>
      </c>
      <c r="C120" s="383" t="s">
        <v>251</v>
      </c>
      <c r="D120" s="188" t="s">
        <v>251</v>
      </c>
      <c r="E120" s="188" t="s">
        <v>251</v>
      </c>
      <c r="F120" s="384"/>
      <c r="G120" s="383"/>
      <c r="H120" s="188"/>
      <c r="I120" s="188"/>
      <c r="J120" s="384"/>
      <c r="K120" s="140">
        <f t="shared" si="4"/>
        <v>0</v>
      </c>
      <c r="L120" s="189" t="str">
        <f t="shared" si="5"/>
        <v/>
      </c>
    </row>
    <row r="121" spans="1:12" x14ac:dyDescent="0.3">
      <c r="A121" s="285" t="s">
        <v>804</v>
      </c>
      <c r="B121" s="286" t="s">
        <v>878</v>
      </c>
      <c r="C121" s="383" t="s">
        <v>251</v>
      </c>
      <c r="D121" s="188" t="s">
        <v>251</v>
      </c>
      <c r="E121" s="188" t="s">
        <v>251</v>
      </c>
      <c r="F121" s="384"/>
      <c r="G121" s="383"/>
      <c r="H121" s="188"/>
      <c r="I121" s="188"/>
      <c r="J121" s="384"/>
      <c r="K121" s="140">
        <f t="shared" si="4"/>
        <v>0</v>
      </c>
      <c r="L121" s="189" t="str">
        <f t="shared" si="5"/>
        <v/>
      </c>
    </row>
    <row r="122" spans="1:12" x14ac:dyDescent="0.3">
      <c r="A122" s="285" t="s">
        <v>804</v>
      </c>
      <c r="B122" s="286" t="s">
        <v>854</v>
      </c>
      <c r="C122" s="383" t="s">
        <v>251</v>
      </c>
      <c r="D122" s="188" t="s">
        <v>251</v>
      </c>
      <c r="E122" s="188" t="s">
        <v>251</v>
      </c>
      <c r="F122" s="384"/>
      <c r="G122" s="383"/>
      <c r="H122" s="188"/>
      <c r="I122" s="188">
        <v>136950</v>
      </c>
      <c r="J122" s="384">
        <f t="shared" si="6"/>
        <v>136950</v>
      </c>
      <c r="K122" s="140">
        <f t="shared" si="4"/>
        <v>0</v>
      </c>
      <c r="L122" s="189">
        <f t="shared" si="5"/>
        <v>104</v>
      </c>
    </row>
    <row r="123" spans="1:12" x14ac:dyDescent="0.3">
      <c r="A123" s="285" t="s">
        <v>804</v>
      </c>
      <c r="B123" s="286" t="s">
        <v>1144</v>
      </c>
      <c r="C123" s="383" t="s">
        <v>251</v>
      </c>
      <c r="D123" s="188" t="s">
        <v>251</v>
      </c>
      <c r="E123" s="188" t="s">
        <v>251</v>
      </c>
      <c r="F123" s="384"/>
      <c r="G123" s="383"/>
      <c r="H123" s="188"/>
      <c r="I123" s="188"/>
      <c r="J123" s="384"/>
      <c r="K123" s="140">
        <f t="shared" si="4"/>
        <v>0</v>
      </c>
      <c r="L123" s="189" t="str">
        <f t="shared" si="5"/>
        <v/>
      </c>
    </row>
    <row r="124" spans="1:12" x14ac:dyDescent="0.3">
      <c r="A124" s="285" t="s">
        <v>804</v>
      </c>
      <c r="B124" s="286" t="s">
        <v>196</v>
      </c>
      <c r="C124" s="383"/>
      <c r="D124" s="188"/>
      <c r="E124" s="188">
        <v>148700</v>
      </c>
      <c r="F124" s="384">
        <f>C124+D124+E124</f>
        <v>148700</v>
      </c>
      <c r="G124" s="383"/>
      <c r="H124" s="188"/>
      <c r="I124" s="188"/>
      <c r="J124" s="384"/>
      <c r="K124" s="140">
        <f t="shared" si="4"/>
        <v>0</v>
      </c>
      <c r="L124" s="189" t="str">
        <f t="shared" si="5"/>
        <v/>
      </c>
    </row>
    <row r="125" spans="1:12" x14ac:dyDescent="0.3">
      <c r="A125" s="285" t="s">
        <v>804</v>
      </c>
      <c r="B125" s="286" t="s">
        <v>1145</v>
      </c>
      <c r="C125" s="383"/>
      <c r="D125" s="188"/>
      <c r="E125" s="188"/>
      <c r="F125" s="384"/>
      <c r="G125" s="383"/>
      <c r="H125" s="188"/>
      <c r="I125" s="188"/>
      <c r="J125" s="384"/>
      <c r="K125" s="140">
        <f t="shared" si="4"/>
        <v>0</v>
      </c>
      <c r="L125" s="189" t="str">
        <f t="shared" si="5"/>
        <v/>
      </c>
    </row>
    <row r="126" spans="1:12" x14ac:dyDescent="0.3">
      <c r="A126" s="285" t="s">
        <v>804</v>
      </c>
      <c r="B126" s="286" t="s">
        <v>1146</v>
      </c>
      <c r="C126" s="383"/>
      <c r="D126" s="188"/>
      <c r="E126" s="188"/>
      <c r="F126" s="384"/>
      <c r="G126" s="383"/>
      <c r="H126" s="188"/>
      <c r="I126" s="188"/>
      <c r="J126" s="384"/>
      <c r="K126" s="140">
        <f t="shared" si="4"/>
        <v>0</v>
      </c>
      <c r="L126" s="189" t="str">
        <f t="shared" si="5"/>
        <v/>
      </c>
    </row>
    <row r="127" spans="1:12" x14ac:dyDescent="0.3">
      <c r="A127" s="285" t="s">
        <v>804</v>
      </c>
      <c r="B127" s="286" t="s">
        <v>830</v>
      </c>
      <c r="C127" s="383"/>
      <c r="D127" s="188"/>
      <c r="E127" s="188"/>
      <c r="F127" s="384"/>
      <c r="G127" s="383">
        <v>103450</v>
      </c>
      <c r="H127" s="188"/>
      <c r="I127" s="188"/>
      <c r="J127" s="384">
        <f t="shared" si="6"/>
        <v>103450</v>
      </c>
      <c r="K127" s="140">
        <f t="shared" si="4"/>
        <v>0</v>
      </c>
      <c r="L127" s="189">
        <f t="shared" si="5"/>
        <v>107</v>
      </c>
    </row>
    <row r="128" spans="1:12" x14ac:dyDescent="0.3">
      <c r="A128" s="285" t="s">
        <v>804</v>
      </c>
      <c r="B128" s="286" t="s">
        <v>1147</v>
      </c>
      <c r="C128" s="383"/>
      <c r="D128" s="188"/>
      <c r="E128" s="188"/>
      <c r="F128" s="384"/>
      <c r="G128" s="383"/>
      <c r="H128" s="188"/>
      <c r="I128" s="188"/>
      <c r="J128" s="384"/>
      <c r="K128" s="140">
        <f t="shared" si="4"/>
        <v>0</v>
      </c>
      <c r="L128" s="189" t="str">
        <f t="shared" si="5"/>
        <v/>
      </c>
    </row>
    <row r="129" spans="1:12" x14ac:dyDescent="0.3">
      <c r="A129" s="285" t="s">
        <v>804</v>
      </c>
      <c r="B129" s="286" t="s">
        <v>1148</v>
      </c>
      <c r="C129" s="383"/>
      <c r="D129" s="188"/>
      <c r="E129" s="188"/>
      <c r="F129" s="384"/>
      <c r="G129" s="383">
        <v>89850</v>
      </c>
      <c r="H129" s="188"/>
      <c r="I129" s="188"/>
      <c r="J129" s="384">
        <f t="shared" si="6"/>
        <v>89850</v>
      </c>
      <c r="K129" s="140">
        <f t="shared" si="4"/>
        <v>0</v>
      </c>
      <c r="L129" s="189">
        <f t="shared" si="5"/>
        <v>108</v>
      </c>
    </row>
    <row r="130" spans="1:12" x14ac:dyDescent="0.3">
      <c r="A130" s="285" t="s">
        <v>804</v>
      </c>
      <c r="B130" s="286" t="s">
        <v>851</v>
      </c>
      <c r="C130" s="383"/>
      <c r="D130" s="188"/>
      <c r="E130" s="188"/>
      <c r="F130" s="384"/>
      <c r="G130" s="383"/>
      <c r="H130" s="188"/>
      <c r="I130" s="188"/>
      <c r="J130" s="384"/>
      <c r="K130" s="140">
        <f t="shared" ref="K130:K193" si="7">IF(OR(J130="", F130=""), 0, IFERROR((J130-F130)/F130, IF(J130&lt;&gt;0, 1, 0)))</f>
        <v>0</v>
      </c>
      <c r="L130" s="189" t="str">
        <f t="shared" ref="L130:L193" si="8">IFERROR(_xlfn.RANK.EQ(J130, $J$2:$J$308), "")</f>
        <v/>
      </c>
    </row>
    <row r="131" spans="1:12" x14ac:dyDescent="0.3">
      <c r="A131" s="285" t="s">
        <v>804</v>
      </c>
      <c r="B131" s="286" t="s">
        <v>1149</v>
      </c>
      <c r="C131" s="383"/>
      <c r="D131" s="188"/>
      <c r="E131" s="188"/>
      <c r="F131" s="384"/>
      <c r="G131" s="383"/>
      <c r="H131" s="188"/>
      <c r="I131" s="188"/>
      <c r="J131" s="384"/>
      <c r="K131" s="140">
        <f t="shared" si="7"/>
        <v>0</v>
      </c>
      <c r="L131" s="189" t="str">
        <f t="shared" si="8"/>
        <v/>
      </c>
    </row>
    <row r="132" spans="1:12" x14ac:dyDescent="0.3">
      <c r="A132" s="285" t="s">
        <v>804</v>
      </c>
      <c r="B132" s="286" t="s">
        <v>1150</v>
      </c>
      <c r="C132" s="383"/>
      <c r="D132" s="188"/>
      <c r="E132" s="188"/>
      <c r="F132" s="384"/>
      <c r="G132" s="383"/>
      <c r="H132" s="188"/>
      <c r="I132" s="188"/>
      <c r="J132" s="384"/>
      <c r="K132" s="140">
        <f t="shared" si="7"/>
        <v>0</v>
      </c>
      <c r="L132" s="189" t="str">
        <f t="shared" si="8"/>
        <v/>
      </c>
    </row>
    <row r="133" spans="1:12" x14ac:dyDescent="0.3">
      <c r="A133" s="285" t="s">
        <v>804</v>
      </c>
      <c r="B133" s="286" t="s">
        <v>1151</v>
      </c>
      <c r="C133" s="383"/>
      <c r="D133" s="188"/>
      <c r="E133" s="188"/>
      <c r="F133" s="384"/>
      <c r="G133" s="383"/>
      <c r="H133" s="188"/>
      <c r="I133" s="188"/>
      <c r="J133" s="384"/>
      <c r="K133" s="140">
        <f t="shared" si="7"/>
        <v>0</v>
      </c>
      <c r="L133" s="189" t="str">
        <f t="shared" si="8"/>
        <v/>
      </c>
    </row>
    <row r="134" spans="1:12" x14ac:dyDescent="0.3">
      <c r="A134" s="285" t="s">
        <v>804</v>
      </c>
      <c r="B134" s="286" t="s">
        <v>774</v>
      </c>
      <c r="C134" s="383"/>
      <c r="D134" s="188"/>
      <c r="E134" s="188"/>
      <c r="F134" s="384"/>
      <c r="G134" s="383"/>
      <c r="H134" s="188"/>
      <c r="I134" s="188"/>
      <c r="J134" s="384"/>
      <c r="K134" s="140">
        <f t="shared" si="7"/>
        <v>0</v>
      </c>
      <c r="L134" s="189" t="str">
        <f t="shared" si="8"/>
        <v/>
      </c>
    </row>
    <row r="135" spans="1:12" x14ac:dyDescent="0.3">
      <c r="A135" s="285" t="s">
        <v>804</v>
      </c>
      <c r="B135" s="286" t="s">
        <v>1152</v>
      </c>
      <c r="C135" s="383"/>
      <c r="D135" s="188"/>
      <c r="E135" s="188"/>
      <c r="F135" s="384"/>
      <c r="G135" s="383"/>
      <c r="H135" s="188"/>
      <c r="I135" s="188">
        <v>57750</v>
      </c>
      <c r="J135" s="384">
        <f>G135+H135+I135</f>
        <v>57750</v>
      </c>
      <c r="K135" s="140">
        <f t="shared" si="7"/>
        <v>0</v>
      </c>
      <c r="L135" s="189">
        <f t="shared" si="8"/>
        <v>109</v>
      </c>
    </row>
    <row r="136" spans="1:12" x14ac:dyDescent="0.3">
      <c r="A136" s="285" t="s">
        <v>804</v>
      </c>
      <c r="B136" s="286" t="s">
        <v>1153</v>
      </c>
      <c r="C136" s="383"/>
      <c r="D136" s="188"/>
      <c r="E136" s="188"/>
      <c r="F136" s="384"/>
      <c r="G136" s="383"/>
      <c r="H136" s="188"/>
      <c r="I136" s="188"/>
      <c r="J136" s="384"/>
      <c r="K136" s="140">
        <f t="shared" si="7"/>
        <v>0</v>
      </c>
      <c r="L136" s="189" t="str">
        <f t="shared" si="8"/>
        <v/>
      </c>
    </row>
    <row r="137" spans="1:12" x14ac:dyDescent="0.3">
      <c r="A137" s="285" t="s">
        <v>804</v>
      </c>
      <c r="B137" s="286" t="s">
        <v>1154</v>
      </c>
      <c r="C137" s="383"/>
      <c r="D137" s="188"/>
      <c r="E137" s="188"/>
      <c r="F137" s="384"/>
      <c r="G137" s="383"/>
      <c r="H137" s="188"/>
      <c r="I137" s="188">
        <v>22240</v>
      </c>
      <c r="J137" s="384">
        <f>G137+H137+I137</f>
        <v>22240</v>
      </c>
      <c r="K137" s="140">
        <f t="shared" si="7"/>
        <v>0</v>
      </c>
      <c r="L137" s="189">
        <f t="shared" si="8"/>
        <v>113</v>
      </c>
    </row>
    <row r="138" spans="1:12" x14ac:dyDescent="0.3">
      <c r="A138" s="285" t="s">
        <v>804</v>
      </c>
      <c r="B138" s="286" t="s">
        <v>1155</v>
      </c>
      <c r="C138" s="383"/>
      <c r="D138" s="188"/>
      <c r="E138" s="188"/>
      <c r="F138" s="384"/>
      <c r="G138" s="383"/>
      <c r="H138" s="188"/>
      <c r="I138" s="188"/>
      <c r="J138" s="384"/>
      <c r="K138" s="140">
        <f t="shared" si="7"/>
        <v>0</v>
      </c>
      <c r="L138" s="189" t="str">
        <f t="shared" si="8"/>
        <v/>
      </c>
    </row>
    <row r="139" spans="1:12" x14ac:dyDescent="0.3">
      <c r="A139" s="285" t="s">
        <v>804</v>
      </c>
      <c r="B139" s="286" t="s">
        <v>1156</v>
      </c>
      <c r="C139" s="383"/>
      <c r="D139" s="188"/>
      <c r="E139" s="188"/>
      <c r="F139" s="384"/>
      <c r="G139" s="383"/>
      <c r="H139" s="188"/>
      <c r="I139" s="188">
        <v>14200</v>
      </c>
      <c r="J139" s="384">
        <f>G139+H139+I139</f>
        <v>14200</v>
      </c>
      <c r="K139" s="140">
        <f t="shared" si="7"/>
        <v>0</v>
      </c>
      <c r="L139" s="189">
        <f t="shared" si="8"/>
        <v>115</v>
      </c>
    </row>
    <row r="140" spans="1:12" x14ac:dyDescent="0.3">
      <c r="A140" s="285" t="s">
        <v>804</v>
      </c>
      <c r="B140" s="286" t="s">
        <v>1157</v>
      </c>
      <c r="C140" s="383"/>
      <c r="D140" s="188"/>
      <c r="E140" s="188"/>
      <c r="F140" s="384"/>
      <c r="G140" s="383"/>
      <c r="H140" s="188"/>
      <c r="I140" s="188"/>
      <c r="J140" s="384"/>
      <c r="K140" s="140">
        <f t="shared" si="7"/>
        <v>0</v>
      </c>
      <c r="L140" s="189" t="str">
        <f t="shared" si="8"/>
        <v/>
      </c>
    </row>
    <row r="141" spans="1:12" x14ac:dyDescent="0.3">
      <c r="A141" s="285" t="s">
        <v>804</v>
      </c>
      <c r="B141" s="286" t="s">
        <v>1158</v>
      </c>
      <c r="C141" s="383">
        <v>793000</v>
      </c>
      <c r="D141" s="188">
        <v>176000</v>
      </c>
      <c r="E141" s="188">
        <v>2531500</v>
      </c>
      <c r="F141" s="384">
        <f t="shared" ref="F141:F194" si="9">C141+D141+E141</f>
        <v>3500500</v>
      </c>
      <c r="G141" s="383" t="s">
        <v>251</v>
      </c>
      <c r="H141" s="188" t="s">
        <v>251</v>
      </c>
      <c r="I141" s="188" t="s">
        <v>251</v>
      </c>
      <c r="J141" s="384"/>
      <c r="K141" s="140">
        <f t="shared" si="7"/>
        <v>0</v>
      </c>
      <c r="L141" s="189" t="str">
        <f t="shared" si="8"/>
        <v/>
      </c>
    </row>
    <row r="142" spans="1:12" x14ac:dyDescent="0.3">
      <c r="A142" s="285" t="s">
        <v>804</v>
      </c>
      <c r="B142" s="286" t="s">
        <v>836</v>
      </c>
      <c r="C142" s="383">
        <v>218500</v>
      </c>
      <c r="D142" s="188"/>
      <c r="E142" s="188">
        <v>76650</v>
      </c>
      <c r="F142" s="384">
        <f t="shared" si="9"/>
        <v>295150</v>
      </c>
      <c r="G142" s="383" t="s">
        <v>251</v>
      </c>
      <c r="H142" s="188" t="s">
        <v>251</v>
      </c>
      <c r="I142" s="188" t="s">
        <v>251</v>
      </c>
      <c r="J142" s="384"/>
      <c r="K142" s="140">
        <f t="shared" si="7"/>
        <v>0</v>
      </c>
      <c r="L142" s="189" t="str">
        <f t="shared" si="8"/>
        <v/>
      </c>
    </row>
    <row r="143" spans="1:12" x14ac:dyDescent="0.3">
      <c r="A143" s="285" t="s">
        <v>804</v>
      </c>
      <c r="B143" s="286" t="s">
        <v>1159</v>
      </c>
      <c r="C143" s="383">
        <v>684050</v>
      </c>
      <c r="D143" s="188"/>
      <c r="E143" s="188"/>
      <c r="F143" s="384">
        <f t="shared" si="9"/>
        <v>684050</v>
      </c>
      <c r="G143" s="383" t="s">
        <v>251</v>
      </c>
      <c r="H143" s="188" t="s">
        <v>251</v>
      </c>
      <c r="I143" s="188" t="s">
        <v>251</v>
      </c>
      <c r="J143" s="384"/>
      <c r="K143" s="140">
        <f t="shared" si="7"/>
        <v>0</v>
      </c>
      <c r="L143" s="189" t="str">
        <f t="shared" si="8"/>
        <v/>
      </c>
    </row>
    <row r="144" spans="1:12" x14ac:dyDescent="0.3">
      <c r="A144" s="285" t="s">
        <v>804</v>
      </c>
      <c r="B144" s="286" t="s">
        <v>1160</v>
      </c>
      <c r="C144" s="383"/>
      <c r="D144" s="188"/>
      <c r="E144" s="188">
        <v>261500</v>
      </c>
      <c r="F144" s="384">
        <f t="shared" si="9"/>
        <v>261500</v>
      </c>
      <c r="G144" s="383" t="s">
        <v>251</v>
      </c>
      <c r="H144" s="188" t="s">
        <v>251</v>
      </c>
      <c r="I144" s="188" t="s">
        <v>251</v>
      </c>
      <c r="J144" s="384"/>
      <c r="K144" s="140">
        <f t="shared" si="7"/>
        <v>0</v>
      </c>
      <c r="L144" s="189" t="str">
        <f t="shared" si="8"/>
        <v/>
      </c>
    </row>
    <row r="145" spans="1:12" x14ac:dyDescent="0.3">
      <c r="A145" s="285" t="s">
        <v>804</v>
      </c>
      <c r="B145" s="286" t="s">
        <v>802</v>
      </c>
      <c r="C145" s="383"/>
      <c r="D145" s="188"/>
      <c r="E145" s="188"/>
      <c r="F145" s="384"/>
      <c r="G145" s="383" t="s">
        <v>251</v>
      </c>
      <c r="H145" s="188" t="s">
        <v>251</v>
      </c>
      <c r="I145" s="188" t="s">
        <v>251</v>
      </c>
      <c r="J145" s="384"/>
      <c r="K145" s="140">
        <f t="shared" si="7"/>
        <v>0</v>
      </c>
      <c r="L145" s="189" t="str">
        <f t="shared" si="8"/>
        <v/>
      </c>
    </row>
    <row r="146" spans="1:12" x14ac:dyDescent="0.3">
      <c r="A146" s="285" t="s">
        <v>804</v>
      </c>
      <c r="B146" s="286" t="s">
        <v>853</v>
      </c>
      <c r="C146" s="383"/>
      <c r="D146" s="188"/>
      <c r="E146" s="188"/>
      <c r="F146" s="384"/>
      <c r="G146" s="383" t="s">
        <v>251</v>
      </c>
      <c r="H146" s="188" t="s">
        <v>251</v>
      </c>
      <c r="I146" s="188" t="s">
        <v>251</v>
      </c>
      <c r="J146" s="384"/>
      <c r="K146" s="140">
        <f t="shared" si="7"/>
        <v>0</v>
      </c>
      <c r="L146" s="189" t="str">
        <f t="shared" si="8"/>
        <v/>
      </c>
    </row>
    <row r="147" spans="1:12" x14ac:dyDescent="0.3">
      <c r="A147" s="285" t="s">
        <v>804</v>
      </c>
      <c r="B147" s="286" t="s">
        <v>833</v>
      </c>
      <c r="C147" s="383"/>
      <c r="D147" s="188"/>
      <c r="E147" s="188"/>
      <c r="F147" s="384"/>
      <c r="G147" s="383" t="s">
        <v>251</v>
      </c>
      <c r="H147" s="188" t="s">
        <v>251</v>
      </c>
      <c r="I147" s="188" t="s">
        <v>251</v>
      </c>
      <c r="J147" s="384"/>
      <c r="K147" s="140">
        <f t="shared" si="7"/>
        <v>0</v>
      </c>
      <c r="L147" s="189" t="str">
        <f t="shared" si="8"/>
        <v/>
      </c>
    </row>
    <row r="148" spans="1:12" x14ac:dyDescent="0.3">
      <c r="A148" s="285" t="s">
        <v>804</v>
      </c>
      <c r="B148" s="286" t="s">
        <v>1161</v>
      </c>
      <c r="C148" s="383">
        <v>59600</v>
      </c>
      <c r="D148" s="188"/>
      <c r="E148" s="188"/>
      <c r="F148" s="384">
        <f t="shared" si="9"/>
        <v>59600</v>
      </c>
      <c r="G148" s="383" t="s">
        <v>251</v>
      </c>
      <c r="H148" s="188" t="s">
        <v>251</v>
      </c>
      <c r="I148" s="188" t="s">
        <v>251</v>
      </c>
      <c r="J148" s="384"/>
      <c r="K148" s="140">
        <f t="shared" si="7"/>
        <v>0</v>
      </c>
      <c r="L148" s="189" t="str">
        <f t="shared" si="8"/>
        <v/>
      </c>
    </row>
    <row r="149" spans="1:12" x14ac:dyDescent="0.3">
      <c r="A149" s="285" t="s">
        <v>804</v>
      </c>
      <c r="B149" s="286" t="s">
        <v>860</v>
      </c>
      <c r="C149" s="383"/>
      <c r="D149" s="188"/>
      <c r="E149" s="188"/>
      <c r="F149" s="384"/>
      <c r="G149" s="383" t="s">
        <v>251</v>
      </c>
      <c r="H149" s="188" t="s">
        <v>251</v>
      </c>
      <c r="I149" s="188" t="s">
        <v>251</v>
      </c>
      <c r="J149" s="384"/>
      <c r="K149" s="140">
        <f t="shared" si="7"/>
        <v>0</v>
      </c>
      <c r="L149" s="189" t="str">
        <f t="shared" si="8"/>
        <v/>
      </c>
    </row>
    <row r="150" spans="1:12" x14ac:dyDescent="0.3">
      <c r="A150" s="285" t="s">
        <v>804</v>
      </c>
      <c r="B150" s="286" t="s">
        <v>1162</v>
      </c>
      <c r="C150" s="383">
        <v>209750</v>
      </c>
      <c r="D150" s="188"/>
      <c r="E150" s="188"/>
      <c r="F150" s="384">
        <f t="shared" si="9"/>
        <v>209750</v>
      </c>
      <c r="G150" s="383" t="s">
        <v>251</v>
      </c>
      <c r="H150" s="188" t="s">
        <v>251</v>
      </c>
      <c r="I150" s="188" t="s">
        <v>251</v>
      </c>
      <c r="J150" s="384"/>
      <c r="K150" s="140">
        <f t="shared" si="7"/>
        <v>0</v>
      </c>
      <c r="L150" s="189" t="str">
        <f t="shared" si="8"/>
        <v/>
      </c>
    </row>
    <row r="151" spans="1:12" x14ac:dyDescent="0.3">
      <c r="A151" s="285" t="s">
        <v>804</v>
      </c>
      <c r="B151" s="286" t="s">
        <v>814</v>
      </c>
      <c r="C151" s="383">
        <v>48850</v>
      </c>
      <c r="D151" s="188"/>
      <c r="E151" s="188"/>
      <c r="F151" s="384">
        <f t="shared" si="9"/>
        <v>48850</v>
      </c>
      <c r="G151" s="383" t="s">
        <v>251</v>
      </c>
      <c r="H151" s="188" t="s">
        <v>251</v>
      </c>
      <c r="I151" s="188" t="s">
        <v>251</v>
      </c>
      <c r="J151" s="384"/>
      <c r="K151" s="140">
        <f t="shared" si="7"/>
        <v>0</v>
      </c>
      <c r="L151" s="189" t="str">
        <f t="shared" si="8"/>
        <v/>
      </c>
    </row>
    <row r="152" spans="1:12" x14ac:dyDescent="0.3">
      <c r="A152" s="285" t="s">
        <v>804</v>
      </c>
      <c r="B152" s="286" t="s">
        <v>844</v>
      </c>
      <c r="C152" s="383">
        <v>115000</v>
      </c>
      <c r="D152" s="188"/>
      <c r="E152" s="188"/>
      <c r="F152" s="384">
        <f t="shared" si="9"/>
        <v>115000</v>
      </c>
      <c r="G152" s="383" t="s">
        <v>251</v>
      </c>
      <c r="H152" s="188" t="s">
        <v>251</v>
      </c>
      <c r="I152" s="188" t="s">
        <v>251</v>
      </c>
      <c r="J152" s="384"/>
      <c r="K152" s="140">
        <f t="shared" si="7"/>
        <v>0</v>
      </c>
      <c r="L152" s="189" t="str">
        <f t="shared" si="8"/>
        <v/>
      </c>
    </row>
    <row r="153" spans="1:12" x14ac:dyDescent="0.3">
      <c r="A153" s="285" t="s">
        <v>804</v>
      </c>
      <c r="B153" s="286" t="s">
        <v>809</v>
      </c>
      <c r="C153" s="383"/>
      <c r="D153" s="188"/>
      <c r="E153" s="188"/>
      <c r="F153" s="384"/>
      <c r="G153" s="383" t="s">
        <v>251</v>
      </c>
      <c r="H153" s="188" t="s">
        <v>251</v>
      </c>
      <c r="I153" s="188" t="s">
        <v>251</v>
      </c>
      <c r="J153" s="384"/>
      <c r="K153" s="140">
        <f t="shared" si="7"/>
        <v>0</v>
      </c>
      <c r="L153" s="189" t="str">
        <f t="shared" si="8"/>
        <v/>
      </c>
    </row>
    <row r="154" spans="1:12" x14ac:dyDescent="0.3">
      <c r="A154" s="285" t="s">
        <v>804</v>
      </c>
      <c r="B154" s="286" t="s">
        <v>1163</v>
      </c>
      <c r="C154" s="383"/>
      <c r="D154" s="188"/>
      <c r="E154" s="188"/>
      <c r="F154" s="384"/>
      <c r="G154" s="383" t="s">
        <v>251</v>
      </c>
      <c r="H154" s="188" t="s">
        <v>251</v>
      </c>
      <c r="I154" s="188" t="s">
        <v>251</v>
      </c>
      <c r="J154" s="384"/>
      <c r="K154" s="140">
        <f t="shared" si="7"/>
        <v>0</v>
      </c>
      <c r="L154" s="189" t="str">
        <f t="shared" si="8"/>
        <v/>
      </c>
    </row>
    <row r="155" spans="1:12" x14ac:dyDescent="0.3">
      <c r="A155" s="285" t="s">
        <v>804</v>
      </c>
      <c r="B155" s="286" t="s">
        <v>1164</v>
      </c>
      <c r="C155" s="383">
        <v>149050</v>
      </c>
      <c r="D155" s="188"/>
      <c r="E155" s="188"/>
      <c r="F155" s="384">
        <f t="shared" si="9"/>
        <v>149050</v>
      </c>
      <c r="G155" s="383" t="s">
        <v>251</v>
      </c>
      <c r="H155" s="188" t="s">
        <v>251</v>
      </c>
      <c r="I155" s="188" t="s">
        <v>251</v>
      </c>
      <c r="J155" s="384"/>
      <c r="K155" s="140">
        <f t="shared" si="7"/>
        <v>0</v>
      </c>
      <c r="L155" s="189" t="str">
        <f t="shared" si="8"/>
        <v/>
      </c>
    </row>
    <row r="156" spans="1:12" x14ac:dyDescent="0.3">
      <c r="A156" s="285" t="s">
        <v>804</v>
      </c>
      <c r="B156" s="286" t="s">
        <v>1165</v>
      </c>
      <c r="C156" s="383">
        <v>76850</v>
      </c>
      <c r="D156" s="188"/>
      <c r="E156" s="188"/>
      <c r="F156" s="384">
        <f t="shared" si="9"/>
        <v>76850</v>
      </c>
      <c r="G156" s="383" t="s">
        <v>251</v>
      </c>
      <c r="H156" s="188" t="s">
        <v>251</v>
      </c>
      <c r="I156" s="188" t="s">
        <v>251</v>
      </c>
      <c r="J156" s="384"/>
      <c r="K156" s="140">
        <f t="shared" si="7"/>
        <v>0</v>
      </c>
      <c r="L156" s="189" t="str">
        <f t="shared" si="8"/>
        <v/>
      </c>
    </row>
    <row r="157" spans="1:12" x14ac:dyDescent="0.3">
      <c r="A157" s="285" t="s">
        <v>804</v>
      </c>
      <c r="B157" s="286" t="s">
        <v>1166</v>
      </c>
      <c r="C157" s="383"/>
      <c r="D157" s="188"/>
      <c r="E157" s="188">
        <v>115000</v>
      </c>
      <c r="F157" s="384">
        <f t="shared" si="9"/>
        <v>115000</v>
      </c>
      <c r="G157" s="383" t="s">
        <v>251</v>
      </c>
      <c r="H157" s="188" t="s">
        <v>251</v>
      </c>
      <c r="I157" s="188" t="s">
        <v>251</v>
      </c>
      <c r="J157" s="384"/>
      <c r="K157" s="140">
        <f t="shared" si="7"/>
        <v>0</v>
      </c>
      <c r="L157" s="189" t="str">
        <f t="shared" si="8"/>
        <v/>
      </c>
    </row>
    <row r="158" spans="1:12" x14ac:dyDescent="0.3">
      <c r="A158" s="285" t="s">
        <v>804</v>
      </c>
      <c r="B158" s="286" t="s">
        <v>1167</v>
      </c>
      <c r="C158" s="383"/>
      <c r="D158" s="188">
        <v>99050</v>
      </c>
      <c r="E158" s="188"/>
      <c r="F158" s="384">
        <f t="shared" si="9"/>
        <v>99050</v>
      </c>
      <c r="G158" s="383" t="s">
        <v>251</v>
      </c>
      <c r="H158" s="188" t="s">
        <v>251</v>
      </c>
      <c r="I158" s="188" t="s">
        <v>251</v>
      </c>
      <c r="J158" s="384"/>
      <c r="K158" s="140">
        <f t="shared" si="7"/>
        <v>0</v>
      </c>
      <c r="L158" s="189" t="str">
        <f t="shared" si="8"/>
        <v/>
      </c>
    </row>
    <row r="159" spans="1:12" x14ac:dyDescent="0.3">
      <c r="A159" s="285" t="s">
        <v>804</v>
      </c>
      <c r="B159" s="286" t="s">
        <v>1168</v>
      </c>
      <c r="C159" s="383"/>
      <c r="D159" s="188"/>
      <c r="E159" s="188">
        <v>95400</v>
      </c>
      <c r="F159" s="384">
        <f t="shared" si="9"/>
        <v>95400</v>
      </c>
      <c r="G159" s="383" t="s">
        <v>251</v>
      </c>
      <c r="H159" s="188" t="s">
        <v>251</v>
      </c>
      <c r="I159" s="188" t="s">
        <v>251</v>
      </c>
      <c r="J159" s="384"/>
      <c r="K159" s="140">
        <f t="shared" si="7"/>
        <v>0</v>
      </c>
      <c r="L159" s="189" t="str">
        <f t="shared" si="8"/>
        <v/>
      </c>
    </row>
    <row r="160" spans="1:12" x14ac:dyDescent="0.3">
      <c r="A160" s="285" t="s">
        <v>804</v>
      </c>
      <c r="B160" s="286" t="s">
        <v>1169</v>
      </c>
      <c r="C160" s="383"/>
      <c r="D160" s="188"/>
      <c r="E160" s="188">
        <v>86500</v>
      </c>
      <c r="F160" s="384">
        <f t="shared" si="9"/>
        <v>86500</v>
      </c>
      <c r="G160" s="383" t="s">
        <v>251</v>
      </c>
      <c r="H160" s="188" t="s">
        <v>251</v>
      </c>
      <c r="I160" s="188" t="s">
        <v>251</v>
      </c>
      <c r="J160" s="384"/>
      <c r="K160" s="140">
        <f t="shared" si="7"/>
        <v>0</v>
      </c>
      <c r="L160" s="189" t="str">
        <f t="shared" si="8"/>
        <v/>
      </c>
    </row>
    <row r="161" spans="1:12" x14ac:dyDescent="0.3">
      <c r="A161" s="285" t="s">
        <v>804</v>
      </c>
      <c r="B161" s="286" t="s">
        <v>1170</v>
      </c>
      <c r="C161" s="383"/>
      <c r="D161" s="188"/>
      <c r="E161" s="188"/>
      <c r="F161" s="384"/>
      <c r="G161" s="383" t="s">
        <v>251</v>
      </c>
      <c r="H161" s="188" t="s">
        <v>251</v>
      </c>
      <c r="I161" s="188" t="s">
        <v>251</v>
      </c>
      <c r="J161" s="384"/>
      <c r="K161" s="140">
        <f t="shared" si="7"/>
        <v>0</v>
      </c>
      <c r="L161" s="189" t="str">
        <f t="shared" si="8"/>
        <v/>
      </c>
    </row>
    <row r="162" spans="1:12" x14ac:dyDescent="0.3">
      <c r="A162" s="285" t="s">
        <v>804</v>
      </c>
      <c r="B162" s="286" t="s">
        <v>1171</v>
      </c>
      <c r="C162" s="383"/>
      <c r="D162" s="188"/>
      <c r="E162" s="188"/>
      <c r="F162" s="384"/>
      <c r="G162" s="383" t="s">
        <v>251</v>
      </c>
      <c r="H162" s="188" t="s">
        <v>251</v>
      </c>
      <c r="I162" s="188" t="s">
        <v>251</v>
      </c>
      <c r="J162" s="384"/>
      <c r="K162" s="140">
        <f t="shared" si="7"/>
        <v>0</v>
      </c>
      <c r="L162" s="189" t="str">
        <f t="shared" si="8"/>
        <v/>
      </c>
    </row>
    <row r="163" spans="1:12" x14ac:dyDescent="0.3">
      <c r="A163" s="285" t="s">
        <v>804</v>
      </c>
      <c r="B163" s="286" t="s">
        <v>1172</v>
      </c>
      <c r="C163" s="383"/>
      <c r="D163" s="188"/>
      <c r="E163" s="188"/>
      <c r="F163" s="384"/>
      <c r="G163" s="383" t="s">
        <v>251</v>
      </c>
      <c r="H163" s="188" t="s">
        <v>251</v>
      </c>
      <c r="I163" s="188" t="s">
        <v>251</v>
      </c>
      <c r="J163" s="384"/>
      <c r="K163" s="140">
        <f t="shared" si="7"/>
        <v>0</v>
      </c>
      <c r="L163" s="189" t="str">
        <f t="shared" si="8"/>
        <v/>
      </c>
    </row>
    <row r="164" spans="1:12" x14ac:dyDescent="0.3">
      <c r="A164" s="285" t="s">
        <v>804</v>
      </c>
      <c r="B164" s="286" t="s">
        <v>807</v>
      </c>
      <c r="C164" s="383">
        <v>43600</v>
      </c>
      <c r="D164" s="188"/>
      <c r="E164" s="188"/>
      <c r="F164" s="384">
        <f t="shared" si="9"/>
        <v>43600</v>
      </c>
      <c r="G164" s="383" t="s">
        <v>251</v>
      </c>
      <c r="H164" s="188" t="s">
        <v>251</v>
      </c>
      <c r="I164" s="188" t="s">
        <v>251</v>
      </c>
      <c r="J164" s="384"/>
      <c r="K164" s="140">
        <f t="shared" si="7"/>
        <v>0</v>
      </c>
      <c r="L164" s="189" t="str">
        <f t="shared" si="8"/>
        <v/>
      </c>
    </row>
    <row r="165" spans="1:12" x14ac:dyDescent="0.3">
      <c r="A165" s="285" t="s">
        <v>804</v>
      </c>
      <c r="B165" s="286" t="s">
        <v>1173</v>
      </c>
      <c r="C165" s="383"/>
      <c r="D165" s="188"/>
      <c r="E165" s="188"/>
      <c r="F165" s="384"/>
      <c r="G165" s="383" t="s">
        <v>251</v>
      </c>
      <c r="H165" s="188" t="s">
        <v>251</v>
      </c>
      <c r="I165" s="188" t="s">
        <v>251</v>
      </c>
      <c r="J165" s="384"/>
      <c r="K165" s="140">
        <f t="shared" si="7"/>
        <v>0</v>
      </c>
      <c r="L165" s="189" t="str">
        <f t="shared" si="8"/>
        <v/>
      </c>
    </row>
    <row r="166" spans="1:12" x14ac:dyDescent="0.3">
      <c r="A166" s="285" t="s">
        <v>804</v>
      </c>
      <c r="B166" s="286" t="s">
        <v>838</v>
      </c>
      <c r="C166" s="383"/>
      <c r="D166" s="188"/>
      <c r="E166" s="188"/>
      <c r="F166" s="384"/>
      <c r="G166" s="383" t="s">
        <v>251</v>
      </c>
      <c r="H166" s="188" t="s">
        <v>251</v>
      </c>
      <c r="I166" s="188" t="s">
        <v>251</v>
      </c>
      <c r="J166" s="384"/>
      <c r="K166" s="140">
        <f t="shared" si="7"/>
        <v>0</v>
      </c>
      <c r="L166" s="189" t="str">
        <f t="shared" si="8"/>
        <v/>
      </c>
    </row>
    <row r="167" spans="1:12" x14ac:dyDescent="0.3">
      <c r="A167" s="285" t="s">
        <v>804</v>
      </c>
      <c r="B167" s="286" t="s">
        <v>1174</v>
      </c>
      <c r="C167" s="383"/>
      <c r="D167" s="188"/>
      <c r="E167" s="188"/>
      <c r="F167" s="384"/>
      <c r="G167" s="383" t="s">
        <v>251</v>
      </c>
      <c r="H167" s="188" t="s">
        <v>251</v>
      </c>
      <c r="I167" s="188" t="s">
        <v>251</v>
      </c>
      <c r="J167" s="384"/>
      <c r="K167" s="140">
        <f t="shared" si="7"/>
        <v>0</v>
      </c>
      <c r="L167" s="189" t="str">
        <f t="shared" si="8"/>
        <v/>
      </c>
    </row>
    <row r="168" spans="1:12" x14ac:dyDescent="0.3">
      <c r="A168" s="285" t="s">
        <v>804</v>
      </c>
      <c r="B168" s="286" t="s">
        <v>1175</v>
      </c>
      <c r="C168" s="383"/>
      <c r="D168" s="188"/>
      <c r="E168" s="188"/>
      <c r="F168" s="384"/>
      <c r="G168" s="383" t="s">
        <v>251</v>
      </c>
      <c r="H168" s="188" t="s">
        <v>251</v>
      </c>
      <c r="I168" s="188" t="s">
        <v>251</v>
      </c>
      <c r="J168" s="384"/>
      <c r="K168" s="140">
        <f t="shared" si="7"/>
        <v>0</v>
      </c>
      <c r="L168" s="189" t="str">
        <f t="shared" si="8"/>
        <v/>
      </c>
    </row>
    <row r="169" spans="1:12" x14ac:dyDescent="0.3">
      <c r="A169" s="285" t="s">
        <v>804</v>
      </c>
      <c r="B169" s="286" t="s">
        <v>1176</v>
      </c>
      <c r="C169" s="383"/>
      <c r="D169" s="188"/>
      <c r="E169" s="188">
        <v>11300</v>
      </c>
      <c r="F169" s="384">
        <f t="shared" si="9"/>
        <v>11300</v>
      </c>
      <c r="G169" s="383" t="s">
        <v>251</v>
      </c>
      <c r="H169" s="188" t="s">
        <v>251</v>
      </c>
      <c r="I169" s="188" t="s">
        <v>251</v>
      </c>
      <c r="J169" s="384"/>
      <c r="K169" s="140">
        <f t="shared" si="7"/>
        <v>0</v>
      </c>
      <c r="L169" s="189" t="str">
        <f t="shared" si="8"/>
        <v/>
      </c>
    </row>
    <row r="170" spans="1:12" x14ac:dyDescent="0.3">
      <c r="A170" s="285" t="s">
        <v>804</v>
      </c>
      <c r="B170" s="286" t="s">
        <v>1681</v>
      </c>
      <c r="C170" s="385">
        <v>1166350</v>
      </c>
      <c r="D170" s="188"/>
      <c r="E170" s="188"/>
      <c r="F170" s="384">
        <f t="shared" si="9"/>
        <v>1166350</v>
      </c>
      <c r="G170" s="383">
        <v>643500</v>
      </c>
      <c r="H170" s="188"/>
      <c r="I170" s="188"/>
      <c r="J170" s="384">
        <f>G170+H170+I170</f>
        <v>643500</v>
      </c>
      <c r="K170" s="140">
        <f t="shared" si="7"/>
        <v>-0.4482788185364599</v>
      </c>
      <c r="L170" s="189">
        <f t="shared" si="8"/>
        <v>66</v>
      </c>
    </row>
    <row r="171" spans="1:12" x14ac:dyDescent="0.3">
      <c r="A171" s="287" t="s">
        <v>1411</v>
      </c>
      <c r="B171" s="288" t="s">
        <v>1083</v>
      </c>
      <c r="C171" s="386"/>
      <c r="D171" s="190"/>
      <c r="E171" s="190">
        <v>99400</v>
      </c>
      <c r="F171" s="387">
        <f t="shared" si="9"/>
        <v>99400</v>
      </c>
      <c r="G171" s="386">
        <v>39200</v>
      </c>
      <c r="H171" s="190">
        <v>229850</v>
      </c>
      <c r="I171" s="190"/>
      <c r="J171" s="387">
        <f>G171+H171+I171</f>
        <v>269050</v>
      </c>
      <c r="K171" s="141">
        <f t="shared" si="7"/>
        <v>1.7067404426559356</v>
      </c>
      <c r="L171" s="191">
        <f t="shared" si="8"/>
        <v>88</v>
      </c>
    </row>
    <row r="172" spans="1:12" x14ac:dyDescent="0.3">
      <c r="A172" s="287" t="s">
        <v>1411</v>
      </c>
      <c r="B172" s="288" t="s">
        <v>1106</v>
      </c>
      <c r="C172" s="386"/>
      <c r="D172" s="190"/>
      <c r="E172" s="190">
        <v>1036800</v>
      </c>
      <c r="F172" s="387">
        <f t="shared" si="9"/>
        <v>1036800</v>
      </c>
      <c r="G172" s="386">
        <v>140000</v>
      </c>
      <c r="H172" s="190"/>
      <c r="I172" s="190"/>
      <c r="J172" s="387">
        <f>G172+H172+I172</f>
        <v>140000</v>
      </c>
      <c r="K172" s="141">
        <f t="shared" si="7"/>
        <v>-0.86496913580246915</v>
      </c>
      <c r="L172" s="191">
        <f t="shared" si="8"/>
        <v>103</v>
      </c>
    </row>
    <row r="173" spans="1:12" x14ac:dyDescent="0.3">
      <c r="A173" s="287" t="s">
        <v>1411</v>
      </c>
      <c r="B173" s="288" t="s">
        <v>719</v>
      </c>
      <c r="C173" s="386">
        <v>8140530</v>
      </c>
      <c r="D173" s="190">
        <v>1274500</v>
      </c>
      <c r="E173" s="190">
        <v>9457580</v>
      </c>
      <c r="F173" s="387">
        <f t="shared" si="9"/>
        <v>18872610</v>
      </c>
      <c r="G173" s="386" t="s">
        <v>251</v>
      </c>
      <c r="H173" s="190" t="s">
        <v>251</v>
      </c>
      <c r="I173" s="190" t="s">
        <v>251</v>
      </c>
      <c r="J173" s="387"/>
      <c r="K173" s="141">
        <f t="shared" si="7"/>
        <v>0</v>
      </c>
      <c r="L173" s="191" t="str">
        <f t="shared" si="8"/>
        <v/>
      </c>
    </row>
    <row r="174" spans="1:12" x14ac:dyDescent="0.3">
      <c r="A174" s="287" t="s">
        <v>1411</v>
      </c>
      <c r="B174" s="288" t="s">
        <v>708</v>
      </c>
      <c r="C174" s="386">
        <v>1021950</v>
      </c>
      <c r="D174" s="190">
        <v>100450</v>
      </c>
      <c r="E174" s="190">
        <v>99500</v>
      </c>
      <c r="F174" s="387">
        <f t="shared" si="9"/>
        <v>1221900</v>
      </c>
      <c r="G174" s="386" t="s">
        <v>251</v>
      </c>
      <c r="H174" s="190" t="s">
        <v>251</v>
      </c>
      <c r="I174" s="190" t="s">
        <v>251</v>
      </c>
      <c r="J174" s="387"/>
      <c r="K174" s="141">
        <f t="shared" si="7"/>
        <v>0</v>
      </c>
      <c r="L174" s="191" t="str">
        <f t="shared" si="8"/>
        <v/>
      </c>
    </row>
    <row r="175" spans="1:12" x14ac:dyDescent="0.3">
      <c r="A175" s="287" t="s">
        <v>1411</v>
      </c>
      <c r="B175" s="288" t="s">
        <v>724</v>
      </c>
      <c r="C175" s="386">
        <v>9223630</v>
      </c>
      <c r="D175" s="190">
        <v>1683200</v>
      </c>
      <c r="E175" s="190">
        <v>10040400</v>
      </c>
      <c r="F175" s="387">
        <f t="shared" si="9"/>
        <v>20947230</v>
      </c>
      <c r="G175" s="386" t="s">
        <v>251</v>
      </c>
      <c r="H175" s="190" t="s">
        <v>251</v>
      </c>
      <c r="I175" s="190" t="s">
        <v>251</v>
      </c>
      <c r="J175" s="387"/>
      <c r="K175" s="141">
        <f t="shared" si="7"/>
        <v>0</v>
      </c>
      <c r="L175" s="191" t="str">
        <f t="shared" si="8"/>
        <v/>
      </c>
    </row>
    <row r="176" spans="1:12" x14ac:dyDescent="0.3">
      <c r="A176" s="287" t="s">
        <v>1411</v>
      </c>
      <c r="B176" s="288" t="s">
        <v>1078</v>
      </c>
      <c r="C176" s="386">
        <v>3303550</v>
      </c>
      <c r="D176" s="190"/>
      <c r="E176" s="190">
        <v>4935100</v>
      </c>
      <c r="F176" s="387">
        <f t="shared" si="9"/>
        <v>8238650</v>
      </c>
      <c r="G176" s="386" t="s">
        <v>251</v>
      </c>
      <c r="H176" s="190" t="s">
        <v>251</v>
      </c>
      <c r="I176" s="190" t="s">
        <v>251</v>
      </c>
      <c r="J176" s="387"/>
      <c r="K176" s="141">
        <f t="shared" si="7"/>
        <v>0</v>
      </c>
      <c r="L176" s="191" t="str">
        <f t="shared" si="8"/>
        <v/>
      </c>
    </row>
    <row r="177" spans="1:12" x14ac:dyDescent="0.3">
      <c r="A177" s="287" t="s">
        <v>1411</v>
      </c>
      <c r="B177" s="288" t="s">
        <v>1064</v>
      </c>
      <c r="C177" s="386">
        <v>4428250</v>
      </c>
      <c r="D177" s="190"/>
      <c r="E177" s="190">
        <v>4692750</v>
      </c>
      <c r="F177" s="387">
        <f t="shared" si="9"/>
        <v>9121000</v>
      </c>
      <c r="G177" s="386" t="s">
        <v>251</v>
      </c>
      <c r="H177" s="190" t="s">
        <v>251</v>
      </c>
      <c r="I177" s="190" t="s">
        <v>251</v>
      </c>
      <c r="J177" s="387"/>
      <c r="K177" s="141">
        <f t="shared" si="7"/>
        <v>0</v>
      </c>
      <c r="L177" s="191" t="str">
        <f t="shared" si="8"/>
        <v/>
      </c>
    </row>
    <row r="178" spans="1:12" x14ac:dyDescent="0.3">
      <c r="A178" s="287" t="s">
        <v>1411</v>
      </c>
      <c r="B178" s="288" t="s">
        <v>1067</v>
      </c>
      <c r="C178" s="386">
        <v>2835900</v>
      </c>
      <c r="D178" s="190">
        <v>3022500</v>
      </c>
      <c r="E178" s="190">
        <v>2947650</v>
      </c>
      <c r="F178" s="387">
        <f t="shared" si="9"/>
        <v>8806050</v>
      </c>
      <c r="G178" s="386" t="s">
        <v>251</v>
      </c>
      <c r="H178" s="190" t="s">
        <v>251</v>
      </c>
      <c r="I178" s="190" t="s">
        <v>251</v>
      </c>
      <c r="J178" s="387"/>
      <c r="K178" s="141">
        <f t="shared" si="7"/>
        <v>0</v>
      </c>
      <c r="L178" s="191" t="str">
        <f t="shared" si="8"/>
        <v/>
      </c>
    </row>
    <row r="179" spans="1:12" x14ac:dyDescent="0.3">
      <c r="A179" s="287" t="s">
        <v>1411</v>
      </c>
      <c r="B179" s="288" t="s">
        <v>1074</v>
      </c>
      <c r="C179" s="386">
        <v>2311000</v>
      </c>
      <c r="D179" s="190">
        <v>208750</v>
      </c>
      <c r="E179" s="190">
        <v>2889000</v>
      </c>
      <c r="F179" s="387">
        <f t="shared" si="9"/>
        <v>5408750</v>
      </c>
      <c r="G179" s="386" t="s">
        <v>251</v>
      </c>
      <c r="H179" s="190" t="s">
        <v>251</v>
      </c>
      <c r="I179" s="190" t="s">
        <v>251</v>
      </c>
      <c r="J179" s="387"/>
      <c r="K179" s="141">
        <f t="shared" si="7"/>
        <v>0</v>
      </c>
      <c r="L179" s="191" t="str">
        <f t="shared" si="8"/>
        <v/>
      </c>
    </row>
    <row r="180" spans="1:12" x14ac:dyDescent="0.3">
      <c r="A180" s="287" t="s">
        <v>1411</v>
      </c>
      <c r="B180" s="288" t="s">
        <v>1071</v>
      </c>
      <c r="C180" s="386"/>
      <c r="D180" s="190">
        <v>110250</v>
      </c>
      <c r="E180" s="190">
        <v>206550</v>
      </c>
      <c r="F180" s="387">
        <f t="shared" si="9"/>
        <v>316800</v>
      </c>
      <c r="G180" s="386" t="s">
        <v>251</v>
      </c>
      <c r="H180" s="190" t="s">
        <v>251</v>
      </c>
      <c r="I180" s="190" t="s">
        <v>251</v>
      </c>
      <c r="J180" s="387"/>
      <c r="K180" s="141">
        <f t="shared" si="7"/>
        <v>0</v>
      </c>
      <c r="L180" s="191" t="str">
        <f t="shared" si="8"/>
        <v/>
      </c>
    </row>
    <row r="181" spans="1:12" x14ac:dyDescent="0.3">
      <c r="A181" s="287" t="s">
        <v>1411</v>
      </c>
      <c r="B181" s="288" t="s">
        <v>818</v>
      </c>
      <c r="C181" s="386">
        <v>3267150</v>
      </c>
      <c r="D181" s="190"/>
      <c r="E181" s="190">
        <v>2186700</v>
      </c>
      <c r="F181" s="387">
        <f t="shared" si="9"/>
        <v>5453850</v>
      </c>
      <c r="G181" s="386" t="s">
        <v>251</v>
      </c>
      <c r="H181" s="190" t="s">
        <v>251</v>
      </c>
      <c r="I181" s="190" t="s">
        <v>251</v>
      </c>
      <c r="J181" s="387"/>
      <c r="K181" s="141">
        <f t="shared" si="7"/>
        <v>0</v>
      </c>
      <c r="L181" s="191" t="str">
        <f t="shared" si="8"/>
        <v/>
      </c>
    </row>
    <row r="182" spans="1:12" x14ac:dyDescent="0.3">
      <c r="A182" s="287" t="s">
        <v>1411</v>
      </c>
      <c r="B182" s="288" t="s">
        <v>725</v>
      </c>
      <c r="C182" s="386"/>
      <c r="D182" s="190"/>
      <c r="E182" s="190">
        <v>35500</v>
      </c>
      <c r="F182" s="387">
        <f t="shared" si="9"/>
        <v>35500</v>
      </c>
      <c r="G182" s="386" t="s">
        <v>251</v>
      </c>
      <c r="H182" s="190" t="s">
        <v>251</v>
      </c>
      <c r="I182" s="190" t="s">
        <v>251</v>
      </c>
      <c r="J182" s="387"/>
      <c r="K182" s="141">
        <f t="shared" si="7"/>
        <v>0</v>
      </c>
      <c r="L182" s="191" t="str">
        <f t="shared" si="8"/>
        <v/>
      </c>
    </row>
    <row r="183" spans="1:12" x14ac:dyDescent="0.3">
      <c r="A183" s="287" t="s">
        <v>1411</v>
      </c>
      <c r="B183" s="288" t="s">
        <v>715</v>
      </c>
      <c r="C183" s="386">
        <v>3084800</v>
      </c>
      <c r="D183" s="190">
        <v>43050</v>
      </c>
      <c r="E183" s="190">
        <v>2606750</v>
      </c>
      <c r="F183" s="387">
        <f t="shared" si="9"/>
        <v>5734600</v>
      </c>
      <c r="G183" s="386" t="s">
        <v>251</v>
      </c>
      <c r="H183" s="190" t="s">
        <v>251</v>
      </c>
      <c r="I183" s="190" t="s">
        <v>251</v>
      </c>
      <c r="J183" s="387"/>
      <c r="K183" s="141">
        <f t="shared" si="7"/>
        <v>0</v>
      </c>
      <c r="L183" s="191" t="str">
        <f t="shared" si="8"/>
        <v/>
      </c>
    </row>
    <row r="184" spans="1:12" x14ac:dyDescent="0.3">
      <c r="A184" s="287" t="s">
        <v>1411</v>
      </c>
      <c r="B184" s="288" t="s">
        <v>1065</v>
      </c>
      <c r="C184" s="386">
        <v>1554550</v>
      </c>
      <c r="D184" s="190">
        <v>94500</v>
      </c>
      <c r="E184" s="190">
        <v>180950</v>
      </c>
      <c r="F184" s="387">
        <f t="shared" si="9"/>
        <v>1830000</v>
      </c>
      <c r="G184" s="386" t="s">
        <v>251</v>
      </c>
      <c r="H184" s="190" t="s">
        <v>251</v>
      </c>
      <c r="I184" s="190" t="s">
        <v>251</v>
      </c>
      <c r="J184" s="387"/>
      <c r="K184" s="141">
        <f t="shared" si="7"/>
        <v>0</v>
      </c>
      <c r="L184" s="191" t="str">
        <f t="shared" si="8"/>
        <v/>
      </c>
    </row>
    <row r="185" spans="1:12" x14ac:dyDescent="0.3">
      <c r="A185" s="287" t="s">
        <v>1411</v>
      </c>
      <c r="B185" s="288" t="s">
        <v>1129</v>
      </c>
      <c r="C185" s="386">
        <v>1927600</v>
      </c>
      <c r="D185" s="190"/>
      <c r="E185" s="190">
        <v>4536520</v>
      </c>
      <c r="F185" s="387">
        <f t="shared" si="9"/>
        <v>6464120</v>
      </c>
      <c r="G185" s="386" t="s">
        <v>251</v>
      </c>
      <c r="H185" s="190" t="s">
        <v>251</v>
      </c>
      <c r="I185" s="190" t="s">
        <v>251</v>
      </c>
      <c r="J185" s="387"/>
      <c r="K185" s="141">
        <f t="shared" si="7"/>
        <v>0</v>
      </c>
      <c r="L185" s="191" t="str">
        <f t="shared" si="8"/>
        <v/>
      </c>
    </row>
    <row r="186" spans="1:12" x14ac:dyDescent="0.3">
      <c r="A186" s="287" t="s">
        <v>1411</v>
      </c>
      <c r="B186" s="288" t="s">
        <v>803</v>
      </c>
      <c r="C186" s="386">
        <v>1351500</v>
      </c>
      <c r="D186" s="190"/>
      <c r="E186" s="190">
        <v>660750</v>
      </c>
      <c r="F186" s="387">
        <f t="shared" si="9"/>
        <v>2012250</v>
      </c>
      <c r="G186" s="386" t="s">
        <v>251</v>
      </c>
      <c r="H186" s="190" t="s">
        <v>251</v>
      </c>
      <c r="I186" s="190" t="s">
        <v>251</v>
      </c>
      <c r="J186" s="387"/>
      <c r="K186" s="141">
        <f t="shared" si="7"/>
        <v>0</v>
      </c>
      <c r="L186" s="191" t="str">
        <f t="shared" si="8"/>
        <v/>
      </c>
    </row>
    <row r="187" spans="1:12" x14ac:dyDescent="0.3">
      <c r="A187" s="287" t="s">
        <v>1411</v>
      </c>
      <c r="B187" s="288" t="s">
        <v>709</v>
      </c>
      <c r="C187" s="386">
        <v>94150</v>
      </c>
      <c r="D187" s="190"/>
      <c r="E187" s="190"/>
      <c r="F187" s="387">
        <f t="shared" si="9"/>
        <v>94150</v>
      </c>
      <c r="G187" s="386" t="s">
        <v>251</v>
      </c>
      <c r="H187" s="190" t="s">
        <v>251</v>
      </c>
      <c r="I187" s="190" t="s">
        <v>251</v>
      </c>
      <c r="J187" s="387"/>
      <c r="K187" s="141">
        <f t="shared" si="7"/>
        <v>0</v>
      </c>
      <c r="L187" s="191" t="str">
        <f t="shared" si="8"/>
        <v/>
      </c>
    </row>
    <row r="188" spans="1:12" x14ac:dyDescent="0.3">
      <c r="A188" s="287" t="s">
        <v>1411</v>
      </c>
      <c r="B188" s="288" t="s">
        <v>1073</v>
      </c>
      <c r="C188" s="386"/>
      <c r="D188" s="190"/>
      <c r="E188" s="190">
        <v>4036150</v>
      </c>
      <c r="F188" s="387">
        <f t="shared" si="9"/>
        <v>4036150</v>
      </c>
      <c r="G188" s="386" t="s">
        <v>251</v>
      </c>
      <c r="H188" s="190" t="s">
        <v>251</v>
      </c>
      <c r="I188" s="190" t="s">
        <v>251</v>
      </c>
      <c r="J188" s="387"/>
      <c r="K188" s="141">
        <f t="shared" si="7"/>
        <v>0</v>
      </c>
      <c r="L188" s="191" t="str">
        <f t="shared" si="8"/>
        <v/>
      </c>
    </row>
    <row r="189" spans="1:12" x14ac:dyDescent="0.3">
      <c r="A189" s="287" t="s">
        <v>1411</v>
      </c>
      <c r="B189" s="288" t="s">
        <v>1412</v>
      </c>
      <c r="C189" s="386">
        <v>1203800</v>
      </c>
      <c r="D189" s="190"/>
      <c r="E189" s="190">
        <v>1413500</v>
      </c>
      <c r="F189" s="387">
        <f t="shared" si="9"/>
        <v>2617300</v>
      </c>
      <c r="G189" s="386" t="s">
        <v>251</v>
      </c>
      <c r="H189" s="190" t="s">
        <v>251</v>
      </c>
      <c r="I189" s="190" t="s">
        <v>251</v>
      </c>
      <c r="J189" s="387"/>
      <c r="K189" s="141">
        <f t="shared" si="7"/>
        <v>0</v>
      </c>
      <c r="L189" s="191" t="str">
        <f t="shared" si="8"/>
        <v/>
      </c>
    </row>
    <row r="190" spans="1:12" x14ac:dyDescent="0.3">
      <c r="A190" s="287" t="s">
        <v>1411</v>
      </c>
      <c r="B190" s="288" t="s">
        <v>1070</v>
      </c>
      <c r="C190" s="386">
        <v>605000</v>
      </c>
      <c r="D190" s="190"/>
      <c r="E190" s="190">
        <v>134500</v>
      </c>
      <c r="F190" s="387">
        <f t="shared" si="9"/>
        <v>739500</v>
      </c>
      <c r="G190" s="386" t="s">
        <v>251</v>
      </c>
      <c r="H190" s="190" t="s">
        <v>251</v>
      </c>
      <c r="I190" s="190" t="s">
        <v>251</v>
      </c>
      <c r="J190" s="387"/>
      <c r="K190" s="141">
        <f t="shared" si="7"/>
        <v>0</v>
      </c>
      <c r="L190" s="191" t="str">
        <f t="shared" si="8"/>
        <v/>
      </c>
    </row>
    <row r="191" spans="1:12" x14ac:dyDescent="0.3">
      <c r="A191" s="287" t="s">
        <v>1411</v>
      </c>
      <c r="B191" s="288" t="s">
        <v>1134</v>
      </c>
      <c r="C191" s="386">
        <v>3096400</v>
      </c>
      <c r="D191" s="190"/>
      <c r="E191" s="190"/>
      <c r="F191" s="387">
        <f t="shared" si="9"/>
        <v>3096400</v>
      </c>
      <c r="G191" s="386" t="s">
        <v>251</v>
      </c>
      <c r="H191" s="190" t="s">
        <v>251</v>
      </c>
      <c r="I191" s="190" t="s">
        <v>251</v>
      </c>
      <c r="J191" s="387"/>
      <c r="K191" s="141">
        <f t="shared" si="7"/>
        <v>0</v>
      </c>
      <c r="L191" s="191" t="str">
        <f t="shared" si="8"/>
        <v/>
      </c>
    </row>
    <row r="192" spans="1:12" x14ac:dyDescent="0.3">
      <c r="A192" s="287" t="s">
        <v>1411</v>
      </c>
      <c r="B192" s="288" t="s">
        <v>1066</v>
      </c>
      <c r="C192" s="386">
        <v>2343450</v>
      </c>
      <c r="D192" s="190"/>
      <c r="E192" s="190">
        <v>1239210</v>
      </c>
      <c r="F192" s="387">
        <f t="shared" si="9"/>
        <v>3582660</v>
      </c>
      <c r="G192" s="386" t="s">
        <v>251</v>
      </c>
      <c r="H192" s="190" t="s">
        <v>251</v>
      </c>
      <c r="I192" s="190" t="s">
        <v>251</v>
      </c>
      <c r="J192" s="387"/>
      <c r="K192" s="141">
        <f t="shared" si="7"/>
        <v>0</v>
      </c>
      <c r="L192" s="191" t="str">
        <f t="shared" si="8"/>
        <v/>
      </c>
    </row>
    <row r="193" spans="1:12" x14ac:dyDescent="0.3">
      <c r="A193" s="287" t="s">
        <v>1411</v>
      </c>
      <c r="B193" s="288" t="s">
        <v>1080</v>
      </c>
      <c r="C193" s="386">
        <v>1038650</v>
      </c>
      <c r="D193" s="190">
        <v>419500</v>
      </c>
      <c r="E193" s="190">
        <v>2136850</v>
      </c>
      <c r="F193" s="387">
        <f t="shared" si="9"/>
        <v>3595000</v>
      </c>
      <c r="G193" s="386"/>
      <c r="H193" s="190"/>
      <c r="I193" s="190"/>
      <c r="J193" s="387"/>
      <c r="K193" s="141">
        <f t="shared" si="7"/>
        <v>0</v>
      </c>
      <c r="L193" s="191" t="str">
        <f t="shared" si="8"/>
        <v/>
      </c>
    </row>
    <row r="194" spans="1:12" x14ac:dyDescent="0.3">
      <c r="A194" s="287" t="s">
        <v>1411</v>
      </c>
      <c r="B194" s="288" t="s">
        <v>842</v>
      </c>
      <c r="C194" s="386">
        <v>709950</v>
      </c>
      <c r="D194" s="190">
        <v>150700</v>
      </c>
      <c r="E194" s="190">
        <v>588250</v>
      </c>
      <c r="F194" s="387">
        <f t="shared" si="9"/>
        <v>1448900</v>
      </c>
      <c r="G194" s="386"/>
      <c r="H194" s="190"/>
      <c r="I194" s="190"/>
      <c r="J194" s="387"/>
      <c r="K194" s="141">
        <f t="shared" ref="K194:K257" si="10">IF(OR(J194="", F194=""), 0, IFERROR((J194-F194)/F194, IF(J194&lt;&gt;0, 1, 0)))</f>
        <v>0</v>
      </c>
      <c r="L194" s="191" t="str">
        <f t="shared" ref="L194:L257" si="11">IFERROR(_xlfn.RANK.EQ(J194, $J$2:$J$308), "")</f>
        <v/>
      </c>
    </row>
    <row r="195" spans="1:12" x14ac:dyDescent="0.3">
      <c r="A195" s="287" t="s">
        <v>1411</v>
      </c>
      <c r="B195" s="288" t="s">
        <v>701</v>
      </c>
      <c r="C195" s="386">
        <v>1264400</v>
      </c>
      <c r="D195" s="190"/>
      <c r="E195" s="190">
        <v>1700390</v>
      </c>
      <c r="F195" s="387">
        <f t="shared" ref="F195:F258" si="12">C195+D195+E195</f>
        <v>2964790</v>
      </c>
      <c r="G195" s="386"/>
      <c r="H195" s="190"/>
      <c r="I195" s="190"/>
      <c r="J195" s="387"/>
      <c r="K195" s="141">
        <f t="shared" si="10"/>
        <v>0</v>
      </c>
      <c r="L195" s="191" t="str">
        <f t="shared" si="11"/>
        <v/>
      </c>
    </row>
    <row r="196" spans="1:12" x14ac:dyDescent="0.3">
      <c r="A196" s="287" t="s">
        <v>1411</v>
      </c>
      <c r="B196" s="288" t="s">
        <v>1101</v>
      </c>
      <c r="C196" s="386">
        <v>967250</v>
      </c>
      <c r="D196" s="190"/>
      <c r="E196" s="190">
        <v>775600</v>
      </c>
      <c r="F196" s="387">
        <f t="shared" si="12"/>
        <v>1742850</v>
      </c>
      <c r="G196" s="386"/>
      <c r="H196" s="190"/>
      <c r="I196" s="190"/>
      <c r="J196" s="387"/>
      <c r="K196" s="141">
        <f t="shared" si="10"/>
        <v>0</v>
      </c>
      <c r="L196" s="191" t="str">
        <f t="shared" si="11"/>
        <v/>
      </c>
    </row>
    <row r="197" spans="1:12" x14ac:dyDescent="0.3">
      <c r="A197" s="287" t="s">
        <v>1411</v>
      </c>
      <c r="B197" s="288" t="s">
        <v>767</v>
      </c>
      <c r="C197" s="386">
        <v>468800</v>
      </c>
      <c r="D197" s="190"/>
      <c r="E197" s="190">
        <v>168700</v>
      </c>
      <c r="F197" s="387">
        <f t="shared" si="12"/>
        <v>637500</v>
      </c>
      <c r="G197" s="386"/>
      <c r="H197" s="190"/>
      <c r="I197" s="190"/>
      <c r="J197" s="387"/>
      <c r="K197" s="141">
        <f t="shared" si="10"/>
        <v>0</v>
      </c>
      <c r="L197" s="191" t="str">
        <f t="shared" si="11"/>
        <v/>
      </c>
    </row>
    <row r="198" spans="1:12" x14ac:dyDescent="0.3">
      <c r="A198" s="287" t="s">
        <v>1411</v>
      </c>
      <c r="B198" s="288" t="s">
        <v>1077</v>
      </c>
      <c r="C198" s="386">
        <v>329350</v>
      </c>
      <c r="D198" s="190"/>
      <c r="E198" s="190">
        <v>476350</v>
      </c>
      <c r="F198" s="387">
        <f t="shared" si="12"/>
        <v>805700</v>
      </c>
      <c r="G198" s="386"/>
      <c r="H198" s="190"/>
      <c r="I198" s="190"/>
      <c r="J198" s="387"/>
      <c r="K198" s="141">
        <f t="shared" si="10"/>
        <v>0</v>
      </c>
      <c r="L198" s="191" t="str">
        <f t="shared" si="11"/>
        <v/>
      </c>
    </row>
    <row r="199" spans="1:12" x14ac:dyDescent="0.3">
      <c r="A199" s="287" t="s">
        <v>1411</v>
      </c>
      <c r="B199" s="288" t="s">
        <v>1075</v>
      </c>
      <c r="C199" s="386">
        <v>528000</v>
      </c>
      <c r="D199" s="190">
        <v>47250</v>
      </c>
      <c r="E199" s="190">
        <v>294800</v>
      </c>
      <c r="F199" s="387">
        <f t="shared" si="12"/>
        <v>870050</v>
      </c>
      <c r="G199" s="386"/>
      <c r="H199" s="190"/>
      <c r="I199" s="190"/>
      <c r="J199" s="387"/>
      <c r="K199" s="141">
        <f t="shared" si="10"/>
        <v>0</v>
      </c>
      <c r="L199" s="191" t="str">
        <f t="shared" si="11"/>
        <v/>
      </c>
    </row>
    <row r="200" spans="1:12" x14ac:dyDescent="0.3">
      <c r="A200" s="287" t="s">
        <v>1411</v>
      </c>
      <c r="B200" s="288" t="s">
        <v>1099</v>
      </c>
      <c r="C200" s="386">
        <v>670000</v>
      </c>
      <c r="D200" s="190">
        <v>350750</v>
      </c>
      <c r="E200" s="190">
        <v>335000</v>
      </c>
      <c r="F200" s="387">
        <f t="shared" si="12"/>
        <v>1355750</v>
      </c>
      <c r="G200" s="386"/>
      <c r="H200" s="190"/>
      <c r="I200" s="190"/>
      <c r="J200" s="387"/>
      <c r="K200" s="141">
        <f t="shared" si="10"/>
        <v>0</v>
      </c>
      <c r="L200" s="191" t="str">
        <f t="shared" si="11"/>
        <v/>
      </c>
    </row>
    <row r="201" spans="1:12" x14ac:dyDescent="0.3">
      <c r="A201" s="287" t="s">
        <v>1411</v>
      </c>
      <c r="B201" s="288" t="s">
        <v>1093</v>
      </c>
      <c r="C201" s="386">
        <v>1911200</v>
      </c>
      <c r="D201" s="190"/>
      <c r="E201" s="190">
        <v>842400</v>
      </c>
      <c r="F201" s="387">
        <f t="shared" si="12"/>
        <v>2753600</v>
      </c>
      <c r="G201" s="386"/>
      <c r="H201" s="190"/>
      <c r="I201" s="190"/>
      <c r="J201" s="387"/>
      <c r="K201" s="141">
        <f t="shared" si="10"/>
        <v>0</v>
      </c>
      <c r="L201" s="191" t="str">
        <f t="shared" si="11"/>
        <v/>
      </c>
    </row>
    <row r="202" spans="1:12" x14ac:dyDescent="0.3">
      <c r="A202" s="287" t="s">
        <v>1411</v>
      </c>
      <c r="B202" s="288" t="s">
        <v>1069</v>
      </c>
      <c r="C202" s="386">
        <v>230500</v>
      </c>
      <c r="D202" s="190"/>
      <c r="E202" s="190">
        <v>2194200</v>
      </c>
      <c r="F202" s="387">
        <f t="shared" si="12"/>
        <v>2424700</v>
      </c>
      <c r="G202" s="386"/>
      <c r="H202" s="190"/>
      <c r="I202" s="190"/>
      <c r="J202" s="387"/>
      <c r="K202" s="141">
        <f t="shared" si="10"/>
        <v>0</v>
      </c>
      <c r="L202" s="191" t="str">
        <f t="shared" si="11"/>
        <v/>
      </c>
    </row>
    <row r="203" spans="1:12" x14ac:dyDescent="0.3">
      <c r="A203" s="287" t="s">
        <v>1411</v>
      </c>
      <c r="B203" s="288" t="s">
        <v>1102</v>
      </c>
      <c r="C203" s="386">
        <v>415700</v>
      </c>
      <c r="D203" s="190"/>
      <c r="E203" s="190">
        <v>3312500</v>
      </c>
      <c r="F203" s="387">
        <f t="shared" si="12"/>
        <v>3728200</v>
      </c>
      <c r="G203" s="386"/>
      <c r="H203" s="190"/>
      <c r="I203" s="190"/>
      <c r="J203" s="387"/>
      <c r="K203" s="141">
        <f t="shared" si="10"/>
        <v>0</v>
      </c>
      <c r="L203" s="191" t="str">
        <f t="shared" si="11"/>
        <v/>
      </c>
    </row>
    <row r="204" spans="1:12" x14ac:dyDescent="0.3">
      <c r="A204" s="287" t="s">
        <v>1411</v>
      </c>
      <c r="B204" s="288" t="s">
        <v>1413</v>
      </c>
      <c r="C204" s="386"/>
      <c r="D204" s="190"/>
      <c r="E204" s="190">
        <v>1546600</v>
      </c>
      <c r="F204" s="387">
        <f t="shared" si="12"/>
        <v>1546600</v>
      </c>
      <c r="G204" s="386"/>
      <c r="H204" s="190"/>
      <c r="I204" s="190"/>
      <c r="J204" s="387"/>
      <c r="K204" s="141">
        <f t="shared" si="10"/>
        <v>0</v>
      </c>
      <c r="L204" s="191" t="str">
        <f t="shared" si="11"/>
        <v/>
      </c>
    </row>
    <row r="205" spans="1:12" x14ac:dyDescent="0.3">
      <c r="A205" s="287" t="s">
        <v>1411</v>
      </c>
      <c r="B205" s="288" t="s">
        <v>710</v>
      </c>
      <c r="C205" s="386"/>
      <c r="D205" s="190"/>
      <c r="E205" s="190">
        <v>61600</v>
      </c>
      <c r="F205" s="387">
        <f t="shared" si="12"/>
        <v>61600</v>
      </c>
      <c r="G205" s="386"/>
      <c r="H205" s="190"/>
      <c r="I205" s="190"/>
      <c r="J205" s="387"/>
      <c r="K205" s="141">
        <f t="shared" si="10"/>
        <v>0</v>
      </c>
      <c r="L205" s="191" t="str">
        <f t="shared" si="11"/>
        <v/>
      </c>
    </row>
    <row r="206" spans="1:12" x14ac:dyDescent="0.3">
      <c r="A206" s="287" t="s">
        <v>1411</v>
      </c>
      <c r="B206" s="288" t="s">
        <v>720</v>
      </c>
      <c r="C206" s="386">
        <v>375070</v>
      </c>
      <c r="D206" s="190"/>
      <c r="E206" s="190">
        <v>1157800</v>
      </c>
      <c r="F206" s="387">
        <f t="shared" si="12"/>
        <v>1532870</v>
      </c>
      <c r="G206" s="386"/>
      <c r="H206" s="190"/>
      <c r="I206" s="190"/>
      <c r="J206" s="387"/>
      <c r="K206" s="141">
        <f t="shared" si="10"/>
        <v>0</v>
      </c>
      <c r="L206" s="191" t="str">
        <f t="shared" si="11"/>
        <v/>
      </c>
    </row>
    <row r="207" spans="1:12" x14ac:dyDescent="0.3">
      <c r="A207" s="287" t="s">
        <v>1411</v>
      </c>
      <c r="B207" s="288" t="s">
        <v>1414</v>
      </c>
      <c r="C207" s="386">
        <v>626250</v>
      </c>
      <c r="D207" s="190"/>
      <c r="E207" s="190"/>
      <c r="F207" s="387">
        <f t="shared" si="12"/>
        <v>626250</v>
      </c>
      <c r="G207" s="386"/>
      <c r="H207" s="190"/>
      <c r="I207" s="190"/>
      <c r="J207" s="387"/>
      <c r="K207" s="141">
        <f t="shared" si="10"/>
        <v>0</v>
      </c>
      <c r="L207" s="191" t="str">
        <f t="shared" si="11"/>
        <v/>
      </c>
    </row>
    <row r="208" spans="1:12" x14ac:dyDescent="0.3">
      <c r="A208" s="287" t="s">
        <v>1411</v>
      </c>
      <c r="B208" s="288" t="s">
        <v>1415</v>
      </c>
      <c r="C208" s="386"/>
      <c r="D208" s="190"/>
      <c r="E208" s="190">
        <v>2256600</v>
      </c>
      <c r="F208" s="387">
        <f t="shared" si="12"/>
        <v>2256600</v>
      </c>
      <c r="G208" s="386"/>
      <c r="H208" s="190"/>
      <c r="I208" s="190"/>
      <c r="J208" s="387"/>
      <c r="K208" s="141">
        <f t="shared" si="10"/>
        <v>0</v>
      </c>
      <c r="L208" s="191" t="str">
        <f t="shared" si="11"/>
        <v/>
      </c>
    </row>
    <row r="209" spans="1:12" x14ac:dyDescent="0.3">
      <c r="A209" s="287" t="s">
        <v>1411</v>
      </c>
      <c r="B209" s="288" t="s">
        <v>1084</v>
      </c>
      <c r="C209" s="386">
        <v>706200</v>
      </c>
      <c r="D209" s="190"/>
      <c r="E209" s="190"/>
      <c r="F209" s="387">
        <f t="shared" si="12"/>
        <v>706200</v>
      </c>
      <c r="G209" s="386"/>
      <c r="H209" s="190"/>
      <c r="I209" s="190"/>
      <c r="J209" s="387"/>
      <c r="K209" s="141">
        <f t="shared" si="10"/>
        <v>0</v>
      </c>
      <c r="L209" s="191" t="str">
        <f t="shared" si="11"/>
        <v/>
      </c>
    </row>
    <row r="210" spans="1:12" x14ac:dyDescent="0.3">
      <c r="A210" s="287" t="s">
        <v>1411</v>
      </c>
      <c r="B210" s="288" t="s">
        <v>1090</v>
      </c>
      <c r="C210" s="386"/>
      <c r="D210" s="190"/>
      <c r="E210" s="190">
        <v>86450</v>
      </c>
      <c r="F210" s="387">
        <f t="shared" si="12"/>
        <v>86450</v>
      </c>
      <c r="G210" s="386"/>
      <c r="H210" s="190"/>
      <c r="I210" s="190"/>
      <c r="J210" s="387"/>
      <c r="K210" s="141">
        <f t="shared" si="10"/>
        <v>0</v>
      </c>
      <c r="L210" s="191" t="str">
        <f t="shared" si="11"/>
        <v/>
      </c>
    </row>
    <row r="211" spans="1:12" x14ac:dyDescent="0.3">
      <c r="A211" s="287" t="s">
        <v>1411</v>
      </c>
      <c r="B211" s="288" t="s">
        <v>1416</v>
      </c>
      <c r="C211" s="386"/>
      <c r="D211" s="190"/>
      <c r="E211" s="190"/>
      <c r="F211" s="387"/>
      <c r="G211" s="386"/>
      <c r="H211" s="190"/>
      <c r="I211" s="190"/>
      <c r="J211" s="387"/>
      <c r="K211" s="141">
        <f t="shared" si="10"/>
        <v>0</v>
      </c>
      <c r="L211" s="191" t="str">
        <f t="shared" si="11"/>
        <v/>
      </c>
    </row>
    <row r="212" spans="1:12" x14ac:dyDescent="0.3">
      <c r="A212" s="287" t="s">
        <v>1411</v>
      </c>
      <c r="B212" s="288" t="s">
        <v>1114</v>
      </c>
      <c r="C212" s="386">
        <v>2655400</v>
      </c>
      <c r="D212" s="190"/>
      <c r="E212" s="190"/>
      <c r="F212" s="387">
        <f t="shared" si="12"/>
        <v>2655400</v>
      </c>
      <c r="G212" s="386"/>
      <c r="H212" s="190"/>
      <c r="I212" s="190"/>
      <c r="J212" s="387"/>
      <c r="K212" s="141">
        <f t="shared" si="10"/>
        <v>0</v>
      </c>
      <c r="L212" s="191" t="str">
        <f t="shared" si="11"/>
        <v/>
      </c>
    </row>
    <row r="213" spans="1:12" x14ac:dyDescent="0.3">
      <c r="A213" s="287" t="s">
        <v>1411</v>
      </c>
      <c r="B213" s="288" t="s">
        <v>1118</v>
      </c>
      <c r="C213" s="386"/>
      <c r="D213" s="190">
        <v>57750</v>
      </c>
      <c r="E213" s="190">
        <v>1294650</v>
      </c>
      <c r="F213" s="387">
        <f t="shared" si="12"/>
        <v>1352400</v>
      </c>
      <c r="G213" s="386"/>
      <c r="H213" s="190"/>
      <c r="I213" s="190"/>
      <c r="J213" s="387"/>
      <c r="K213" s="141">
        <f t="shared" si="10"/>
        <v>0</v>
      </c>
      <c r="L213" s="191" t="str">
        <f t="shared" si="11"/>
        <v/>
      </c>
    </row>
    <row r="214" spans="1:12" x14ac:dyDescent="0.3">
      <c r="A214" s="287" t="s">
        <v>1411</v>
      </c>
      <c r="B214" s="288" t="s">
        <v>718</v>
      </c>
      <c r="C214" s="386">
        <v>396400</v>
      </c>
      <c r="D214" s="190"/>
      <c r="E214" s="190">
        <v>106700</v>
      </c>
      <c r="F214" s="387">
        <f t="shared" si="12"/>
        <v>503100</v>
      </c>
      <c r="G214" s="386"/>
      <c r="H214" s="190"/>
      <c r="I214" s="190"/>
      <c r="J214" s="387"/>
      <c r="K214" s="141">
        <f t="shared" si="10"/>
        <v>0</v>
      </c>
      <c r="L214" s="191" t="str">
        <f t="shared" si="11"/>
        <v/>
      </c>
    </row>
    <row r="215" spans="1:12" x14ac:dyDescent="0.3">
      <c r="A215" s="287" t="s">
        <v>1411</v>
      </c>
      <c r="B215" s="288" t="s">
        <v>1091</v>
      </c>
      <c r="C215" s="386">
        <v>285900</v>
      </c>
      <c r="D215" s="190">
        <v>190000</v>
      </c>
      <c r="E215" s="190">
        <v>128700</v>
      </c>
      <c r="F215" s="387">
        <f t="shared" si="12"/>
        <v>604600</v>
      </c>
      <c r="G215" s="386"/>
      <c r="H215" s="190"/>
      <c r="I215" s="190"/>
      <c r="J215" s="387"/>
      <c r="K215" s="141">
        <f t="shared" si="10"/>
        <v>0</v>
      </c>
      <c r="L215" s="191" t="str">
        <f t="shared" si="11"/>
        <v/>
      </c>
    </row>
    <row r="216" spans="1:12" x14ac:dyDescent="0.3">
      <c r="A216" s="287" t="s">
        <v>1411</v>
      </c>
      <c r="B216" s="288" t="s">
        <v>828</v>
      </c>
      <c r="C216" s="386">
        <v>429200</v>
      </c>
      <c r="D216" s="190"/>
      <c r="E216" s="190">
        <v>429200</v>
      </c>
      <c r="F216" s="387">
        <f t="shared" si="12"/>
        <v>858400</v>
      </c>
      <c r="G216" s="386"/>
      <c r="H216" s="190"/>
      <c r="I216" s="190"/>
      <c r="J216" s="387"/>
      <c r="K216" s="141">
        <f t="shared" si="10"/>
        <v>0</v>
      </c>
      <c r="L216" s="191" t="str">
        <f t="shared" si="11"/>
        <v/>
      </c>
    </row>
    <row r="217" spans="1:12" x14ac:dyDescent="0.3">
      <c r="A217" s="287" t="s">
        <v>1411</v>
      </c>
      <c r="B217" s="288" t="s">
        <v>1094</v>
      </c>
      <c r="C217" s="386">
        <v>457620</v>
      </c>
      <c r="D217" s="190">
        <v>62000</v>
      </c>
      <c r="E217" s="190">
        <v>260800</v>
      </c>
      <c r="F217" s="387">
        <f t="shared" si="12"/>
        <v>780420</v>
      </c>
      <c r="G217" s="386"/>
      <c r="H217" s="190"/>
      <c r="I217" s="190"/>
      <c r="J217" s="387"/>
      <c r="K217" s="141">
        <f t="shared" si="10"/>
        <v>0</v>
      </c>
      <c r="L217" s="191" t="str">
        <f t="shared" si="11"/>
        <v/>
      </c>
    </row>
    <row r="218" spans="1:12" x14ac:dyDescent="0.3">
      <c r="A218" s="287" t="s">
        <v>1411</v>
      </c>
      <c r="B218" s="288" t="s">
        <v>1132</v>
      </c>
      <c r="C218" s="386">
        <v>1458400</v>
      </c>
      <c r="D218" s="190"/>
      <c r="E218" s="190"/>
      <c r="F218" s="387">
        <f t="shared" si="12"/>
        <v>1458400</v>
      </c>
      <c r="G218" s="386"/>
      <c r="H218" s="190"/>
      <c r="I218" s="190"/>
      <c r="J218" s="387"/>
      <c r="K218" s="141">
        <f t="shared" si="10"/>
        <v>0</v>
      </c>
      <c r="L218" s="191" t="str">
        <f t="shared" si="11"/>
        <v/>
      </c>
    </row>
    <row r="219" spans="1:12" x14ac:dyDescent="0.3">
      <c r="A219" s="287" t="s">
        <v>1411</v>
      </c>
      <c r="B219" s="288" t="s">
        <v>705</v>
      </c>
      <c r="C219" s="386">
        <v>65000</v>
      </c>
      <c r="D219" s="190"/>
      <c r="E219" s="190">
        <v>95000</v>
      </c>
      <c r="F219" s="387">
        <f t="shared" si="12"/>
        <v>160000</v>
      </c>
      <c r="G219" s="386"/>
      <c r="H219" s="190"/>
      <c r="I219" s="190"/>
      <c r="J219" s="387"/>
      <c r="K219" s="141">
        <f t="shared" si="10"/>
        <v>0</v>
      </c>
      <c r="L219" s="191" t="str">
        <f t="shared" si="11"/>
        <v/>
      </c>
    </row>
    <row r="220" spans="1:12" x14ac:dyDescent="0.3">
      <c r="A220" s="287" t="s">
        <v>1411</v>
      </c>
      <c r="B220" s="288" t="s">
        <v>1124</v>
      </c>
      <c r="C220" s="386">
        <v>168650</v>
      </c>
      <c r="D220" s="190">
        <v>481200</v>
      </c>
      <c r="E220" s="190">
        <v>682450</v>
      </c>
      <c r="F220" s="387">
        <f t="shared" si="12"/>
        <v>1332300</v>
      </c>
      <c r="G220" s="386" t="s">
        <v>251</v>
      </c>
      <c r="H220" s="190" t="s">
        <v>251</v>
      </c>
      <c r="I220" s="190" t="s">
        <v>251</v>
      </c>
      <c r="J220" s="387"/>
      <c r="K220" s="141">
        <f t="shared" si="10"/>
        <v>0</v>
      </c>
      <c r="L220" s="191" t="str">
        <f t="shared" si="11"/>
        <v/>
      </c>
    </row>
    <row r="221" spans="1:12" x14ac:dyDescent="0.3">
      <c r="A221" s="287" t="s">
        <v>1411</v>
      </c>
      <c r="B221" s="288" t="s">
        <v>1082</v>
      </c>
      <c r="C221" s="386">
        <v>225000</v>
      </c>
      <c r="D221" s="190">
        <v>65000</v>
      </c>
      <c r="E221" s="190">
        <v>795600</v>
      </c>
      <c r="F221" s="387">
        <f t="shared" si="12"/>
        <v>1085600</v>
      </c>
      <c r="G221" s="386" t="s">
        <v>251</v>
      </c>
      <c r="H221" s="190" t="s">
        <v>251</v>
      </c>
      <c r="I221" s="190" t="s">
        <v>251</v>
      </c>
      <c r="J221" s="387"/>
      <c r="K221" s="141">
        <f t="shared" si="10"/>
        <v>0</v>
      </c>
      <c r="L221" s="191" t="str">
        <f t="shared" si="11"/>
        <v/>
      </c>
    </row>
    <row r="222" spans="1:12" x14ac:dyDescent="0.3">
      <c r="A222" s="287" t="s">
        <v>1411</v>
      </c>
      <c r="B222" s="288" t="s">
        <v>808</v>
      </c>
      <c r="C222" s="386"/>
      <c r="D222" s="190"/>
      <c r="E222" s="190">
        <v>523250</v>
      </c>
      <c r="F222" s="387">
        <f t="shared" si="12"/>
        <v>523250</v>
      </c>
      <c r="G222" s="386" t="s">
        <v>251</v>
      </c>
      <c r="H222" s="190" t="s">
        <v>251</v>
      </c>
      <c r="I222" s="190" t="s">
        <v>251</v>
      </c>
      <c r="J222" s="387"/>
      <c r="K222" s="141">
        <f t="shared" si="10"/>
        <v>0</v>
      </c>
      <c r="L222" s="191" t="str">
        <f t="shared" si="11"/>
        <v/>
      </c>
    </row>
    <row r="223" spans="1:12" x14ac:dyDescent="0.3">
      <c r="A223" s="287" t="s">
        <v>1411</v>
      </c>
      <c r="B223" s="288" t="s">
        <v>1153</v>
      </c>
      <c r="C223" s="386">
        <v>39200</v>
      </c>
      <c r="D223" s="190"/>
      <c r="E223" s="190"/>
      <c r="F223" s="387">
        <f t="shared" si="12"/>
        <v>39200</v>
      </c>
      <c r="G223" s="386" t="s">
        <v>251</v>
      </c>
      <c r="H223" s="190" t="s">
        <v>251</v>
      </c>
      <c r="I223" s="190" t="s">
        <v>251</v>
      </c>
      <c r="J223" s="387"/>
      <c r="K223" s="141">
        <f t="shared" si="10"/>
        <v>0</v>
      </c>
      <c r="L223" s="191" t="str">
        <f t="shared" si="11"/>
        <v/>
      </c>
    </row>
    <row r="224" spans="1:12" x14ac:dyDescent="0.3">
      <c r="A224" s="287" t="s">
        <v>1411</v>
      </c>
      <c r="B224" s="288" t="s">
        <v>1136</v>
      </c>
      <c r="C224" s="386">
        <v>7100</v>
      </c>
      <c r="D224" s="190"/>
      <c r="E224" s="190"/>
      <c r="F224" s="387">
        <f t="shared" si="12"/>
        <v>7100</v>
      </c>
      <c r="G224" s="386" t="s">
        <v>251</v>
      </c>
      <c r="H224" s="190" t="s">
        <v>251</v>
      </c>
      <c r="I224" s="190" t="s">
        <v>251</v>
      </c>
      <c r="J224" s="387"/>
      <c r="K224" s="141">
        <f t="shared" si="10"/>
        <v>0</v>
      </c>
      <c r="L224" s="191" t="str">
        <f t="shared" si="11"/>
        <v/>
      </c>
    </row>
    <row r="225" spans="1:12" x14ac:dyDescent="0.3">
      <c r="A225" s="287" t="s">
        <v>1411</v>
      </c>
      <c r="B225" s="288" t="s">
        <v>1097</v>
      </c>
      <c r="C225" s="386">
        <v>39200</v>
      </c>
      <c r="D225" s="190"/>
      <c r="E225" s="190">
        <v>276150</v>
      </c>
      <c r="F225" s="387">
        <f t="shared" si="12"/>
        <v>315350</v>
      </c>
      <c r="G225" s="386" t="s">
        <v>251</v>
      </c>
      <c r="H225" s="190" t="s">
        <v>251</v>
      </c>
      <c r="I225" s="190" t="s">
        <v>251</v>
      </c>
      <c r="J225" s="387"/>
      <c r="K225" s="141">
        <f t="shared" si="10"/>
        <v>0</v>
      </c>
      <c r="L225" s="191" t="str">
        <f t="shared" si="11"/>
        <v/>
      </c>
    </row>
    <row r="226" spans="1:12" x14ac:dyDescent="0.3">
      <c r="A226" s="287" t="s">
        <v>1411</v>
      </c>
      <c r="B226" s="288" t="s">
        <v>1145</v>
      </c>
      <c r="C226" s="386">
        <v>646900</v>
      </c>
      <c r="D226" s="190"/>
      <c r="E226" s="190">
        <v>597650</v>
      </c>
      <c r="F226" s="387">
        <f t="shared" si="12"/>
        <v>1244550</v>
      </c>
      <c r="G226" s="386" t="s">
        <v>251</v>
      </c>
      <c r="H226" s="190" t="s">
        <v>251</v>
      </c>
      <c r="I226" s="190" t="s">
        <v>251</v>
      </c>
      <c r="J226" s="387"/>
      <c r="K226" s="141">
        <f t="shared" si="10"/>
        <v>0</v>
      </c>
      <c r="L226" s="191" t="str">
        <f t="shared" si="11"/>
        <v/>
      </c>
    </row>
    <row r="227" spans="1:12" x14ac:dyDescent="0.3">
      <c r="A227" s="287" t="s">
        <v>1411</v>
      </c>
      <c r="B227" s="288" t="s">
        <v>1092</v>
      </c>
      <c r="C227" s="386"/>
      <c r="D227" s="190"/>
      <c r="E227" s="190"/>
      <c r="F227" s="387"/>
      <c r="G227" s="386" t="s">
        <v>251</v>
      </c>
      <c r="H227" s="190" t="s">
        <v>251</v>
      </c>
      <c r="I227" s="190" t="s">
        <v>251</v>
      </c>
      <c r="J227" s="387"/>
      <c r="K227" s="141">
        <f t="shared" si="10"/>
        <v>0</v>
      </c>
      <c r="L227" s="191" t="str">
        <f t="shared" si="11"/>
        <v/>
      </c>
    </row>
    <row r="228" spans="1:12" x14ac:dyDescent="0.3">
      <c r="A228" s="287" t="s">
        <v>1411</v>
      </c>
      <c r="B228" s="288" t="s">
        <v>1417</v>
      </c>
      <c r="C228" s="386"/>
      <c r="D228" s="190"/>
      <c r="E228" s="190"/>
      <c r="F228" s="387"/>
      <c r="G228" s="386" t="s">
        <v>251</v>
      </c>
      <c r="H228" s="190" t="s">
        <v>251</v>
      </c>
      <c r="I228" s="190" t="s">
        <v>251</v>
      </c>
      <c r="J228" s="387"/>
      <c r="K228" s="141">
        <f t="shared" si="10"/>
        <v>0</v>
      </c>
      <c r="L228" s="191" t="str">
        <f t="shared" si="11"/>
        <v/>
      </c>
    </row>
    <row r="229" spans="1:12" x14ac:dyDescent="0.3">
      <c r="A229" s="287" t="s">
        <v>1411</v>
      </c>
      <c r="B229" s="288" t="s">
        <v>1135</v>
      </c>
      <c r="C229" s="386">
        <v>429600</v>
      </c>
      <c r="D229" s="190"/>
      <c r="E229" s="190">
        <v>876450</v>
      </c>
      <c r="F229" s="387">
        <f t="shared" si="12"/>
        <v>1306050</v>
      </c>
      <c r="G229" s="386" t="s">
        <v>251</v>
      </c>
      <c r="H229" s="190" t="s">
        <v>251</v>
      </c>
      <c r="I229" s="190" t="s">
        <v>251</v>
      </c>
      <c r="J229" s="387"/>
      <c r="K229" s="141">
        <f t="shared" si="10"/>
        <v>0</v>
      </c>
      <c r="L229" s="191" t="str">
        <f t="shared" si="11"/>
        <v/>
      </c>
    </row>
    <row r="230" spans="1:12" x14ac:dyDescent="0.3">
      <c r="A230" s="287" t="s">
        <v>1411</v>
      </c>
      <c r="B230" s="288" t="s">
        <v>815</v>
      </c>
      <c r="C230" s="386"/>
      <c r="D230" s="190"/>
      <c r="E230" s="190"/>
      <c r="F230" s="387"/>
      <c r="G230" s="386" t="s">
        <v>251</v>
      </c>
      <c r="H230" s="190" t="s">
        <v>251</v>
      </c>
      <c r="I230" s="190" t="s">
        <v>251</v>
      </c>
      <c r="J230" s="387"/>
      <c r="K230" s="141">
        <f t="shared" si="10"/>
        <v>0</v>
      </c>
      <c r="L230" s="191" t="str">
        <f t="shared" si="11"/>
        <v/>
      </c>
    </row>
    <row r="231" spans="1:12" x14ac:dyDescent="0.3">
      <c r="A231" s="287" t="s">
        <v>1411</v>
      </c>
      <c r="B231" s="288" t="s">
        <v>1087</v>
      </c>
      <c r="C231" s="386">
        <v>393150</v>
      </c>
      <c r="D231" s="190">
        <v>226200</v>
      </c>
      <c r="E231" s="190">
        <v>117750</v>
      </c>
      <c r="F231" s="387">
        <f t="shared" si="12"/>
        <v>737100</v>
      </c>
      <c r="G231" s="386" t="s">
        <v>251</v>
      </c>
      <c r="H231" s="190" t="s">
        <v>251</v>
      </c>
      <c r="I231" s="190" t="s">
        <v>251</v>
      </c>
      <c r="J231" s="387"/>
      <c r="K231" s="141">
        <f t="shared" si="10"/>
        <v>0</v>
      </c>
      <c r="L231" s="191" t="str">
        <f t="shared" si="11"/>
        <v/>
      </c>
    </row>
    <row r="232" spans="1:12" x14ac:dyDescent="0.3">
      <c r="A232" s="287" t="s">
        <v>1411</v>
      </c>
      <c r="B232" s="288" t="s">
        <v>1068</v>
      </c>
      <c r="C232" s="386"/>
      <c r="D232" s="190"/>
      <c r="E232" s="190"/>
      <c r="F232" s="387"/>
      <c r="G232" s="386" t="s">
        <v>251</v>
      </c>
      <c r="H232" s="190" t="s">
        <v>251</v>
      </c>
      <c r="I232" s="190" t="s">
        <v>251</v>
      </c>
      <c r="J232" s="387"/>
      <c r="K232" s="141">
        <f t="shared" si="10"/>
        <v>0</v>
      </c>
      <c r="L232" s="191" t="str">
        <f t="shared" si="11"/>
        <v/>
      </c>
    </row>
    <row r="233" spans="1:12" x14ac:dyDescent="0.3">
      <c r="A233" s="287" t="s">
        <v>1411</v>
      </c>
      <c r="B233" s="288" t="s">
        <v>1116</v>
      </c>
      <c r="C233" s="386">
        <v>169850</v>
      </c>
      <c r="D233" s="190">
        <v>125650</v>
      </c>
      <c r="E233" s="190">
        <v>385350</v>
      </c>
      <c r="F233" s="387">
        <f t="shared" si="12"/>
        <v>680850</v>
      </c>
      <c r="G233" s="386" t="s">
        <v>251</v>
      </c>
      <c r="H233" s="190" t="s">
        <v>251</v>
      </c>
      <c r="I233" s="190" t="s">
        <v>251</v>
      </c>
      <c r="J233" s="387"/>
      <c r="K233" s="141">
        <f t="shared" si="10"/>
        <v>0</v>
      </c>
      <c r="L233" s="191" t="str">
        <f t="shared" si="11"/>
        <v/>
      </c>
    </row>
    <row r="234" spans="1:12" x14ac:dyDescent="0.3">
      <c r="A234" s="287" t="s">
        <v>1411</v>
      </c>
      <c r="B234" s="288" t="s">
        <v>1100</v>
      </c>
      <c r="C234" s="386"/>
      <c r="D234" s="190"/>
      <c r="E234" s="190">
        <v>837400</v>
      </c>
      <c r="F234" s="387">
        <f t="shared" si="12"/>
        <v>837400</v>
      </c>
      <c r="G234" s="386" t="s">
        <v>251</v>
      </c>
      <c r="H234" s="190" t="s">
        <v>251</v>
      </c>
      <c r="I234" s="190" t="s">
        <v>251</v>
      </c>
      <c r="J234" s="387"/>
      <c r="K234" s="141">
        <f t="shared" si="10"/>
        <v>0</v>
      </c>
      <c r="L234" s="191" t="str">
        <f t="shared" si="11"/>
        <v/>
      </c>
    </row>
    <row r="235" spans="1:12" x14ac:dyDescent="0.3">
      <c r="A235" s="287" t="s">
        <v>1411</v>
      </c>
      <c r="B235" s="288" t="s">
        <v>1105</v>
      </c>
      <c r="C235" s="386"/>
      <c r="D235" s="190"/>
      <c r="E235" s="190">
        <v>57750</v>
      </c>
      <c r="F235" s="387">
        <f t="shared" si="12"/>
        <v>57750</v>
      </c>
      <c r="G235" s="386" t="s">
        <v>251</v>
      </c>
      <c r="H235" s="190" t="s">
        <v>251</v>
      </c>
      <c r="I235" s="190" t="s">
        <v>251</v>
      </c>
      <c r="J235" s="387"/>
      <c r="K235" s="141">
        <f t="shared" si="10"/>
        <v>0</v>
      </c>
      <c r="L235" s="191" t="str">
        <f t="shared" si="11"/>
        <v/>
      </c>
    </row>
    <row r="236" spans="1:12" x14ac:dyDescent="0.3">
      <c r="A236" s="287" t="s">
        <v>1411</v>
      </c>
      <c r="B236" s="288" t="s">
        <v>1115</v>
      </c>
      <c r="C236" s="386">
        <v>147750</v>
      </c>
      <c r="D236" s="190"/>
      <c r="E236" s="190">
        <v>336000</v>
      </c>
      <c r="F236" s="387">
        <f t="shared" si="12"/>
        <v>483750</v>
      </c>
      <c r="G236" s="386" t="s">
        <v>251</v>
      </c>
      <c r="H236" s="190" t="s">
        <v>251</v>
      </c>
      <c r="I236" s="190" t="s">
        <v>251</v>
      </c>
      <c r="J236" s="387"/>
      <c r="K236" s="141">
        <f t="shared" si="10"/>
        <v>0</v>
      </c>
      <c r="L236" s="191" t="str">
        <f t="shared" si="11"/>
        <v/>
      </c>
    </row>
    <row r="237" spans="1:12" x14ac:dyDescent="0.3">
      <c r="A237" s="287" t="s">
        <v>1411</v>
      </c>
      <c r="B237" s="288" t="s">
        <v>1133</v>
      </c>
      <c r="C237" s="386">
        <v>1173950</v>
      </c>
      <c r="D237" s="190"/>
      <c r="E237" s="190"/>
      <c r="F237" s="387">
        <f t="shared" si="12"/>
        <v>1173950</v>
      </c>
      <c r="G237" s="386" t="s">
        <v>251</v>
      </c>
      <c r="H237" s="190" t="s">
        <v>251</v>
      </c>
      <c r="I237" s="190" t="s">
        <v>251</v>
      </c>
      <c r="J237" s="387"/>
      <c r="K237" s="141">
        <f t="shared" si="10"/>
        <v>0</v>
      </c>
      <c r="L237" s="191" t="str">
        <f t="shared" si="11"/>
        <v/>
      </c>
    </row>
    <row r="238" spans="1:12" x14ac:dyDescent="0.3">
      <c r="A238" s="287" t="s">
        <v>1411</v>
      </c>
      <c r="B238" s="288" t="s">
        <v>1110</v>
      </c>
      <c r="C238" s="386"/>
      <c r="D238" s="190">
        <v>59500</v>
      </c>
      <c r="E238" s="190">
        <v>305000</v>
      </c>
      <c r="F238" s="387">
        <f t="shared" si="12"/>
        <v>364500</v>
      </c>
      <c r="G238" s="386" t="s">
        <v>251</v>
      </c>
      <c r="H238" s="190" t="s">
        <v>251</v>
      </c>
      <c r="I238" s="190" t="s">
        <v>251</v>
      </c>
      <c r="J238" s="387"/>
      <c r="K238" s="141">
        <f t="shared" si="10"/>
        <v>0</v>
      </c>
      <c r="L238" s="191" t="str">
        <f t="shared" si="11"/>
        <v/>
      </c>
    </row>
    <row r="239" spans="1:12" x14ac:dyDescent="0.3">
      <c r="A239" s="287" t="s">
        <v>1411</v>
      </c>
      <c r="B239" s="288" t="s">
        <v>1418</v>
      </c>
      <c r="C239" s="386">
        <v>341600</v>
      </c>
      <c r="D239" s="190"/>
      <c r="E239" s="190"/>
      <c r="F239" s="387">
        <f t="shared" si="12"/>
        <v>341600</v>
      </c>
      <c r="G239" s="386" t="s">
        <v>251</v>
      </c>
      <c r="H239" s="190" t="s">
        <v>251</v>
      </c>
      <c r="I239" s="190" t="s">
        <v>251</v>
      </c>
      <c r="J239" s="387"/>
      <c r="K239" s="141">
        <f t="shared" si="10"/>
        <v>0</v>
      </c>
      <c r="L239" s="191" t="str">
        <f t="shared" si="11"/>
        <v/>
      </c>
    </row>
    <row r="240" spans="1:12" x14ac:dyDescent="0.3">
      <c r="A240" s="287" t="s">
        <v>1411</v>
      </c>
      <c r="B240" s="288" t="s">
        <v>805</v>
      </c>
      <c r="C240" s="386"/>
      <c r="D240" s="190"/>
      <c r="E240" s="190">
        <v>272200</v>
      </c>
      <c r="F240" s="387">
        <f t="shared" si="12"/>
        <v>272200</v>
      </c>
      <c r="G240" s="386" t="s">
        <v>251</v>
      </c>
      <c r="H240" s="190" t="s">
        <v>251</v>
      </c>
      <c r="I240" s="190" t="s">
        <v>251</v>
      </c>
      <c r="J240" s="387"/>
      <c r="K240" s="141">
        <f t="shared" si="10"/>
        <v>0</v>
      </c>
      <c r="L240" s="191" t="str">
        <f t="shared" si="11"/>
        <v/>
      </c>
    </row>
    <row r="241" spans="1:12" x14ac:dyDescent="0.3">
      <c r="A241" s="287" t="s">
        <v>1411</v>
      </c>
      <c r="B241" s="288" t="s">
        <v>447</v>
      </c>
      <c r="C241" s="386"/>
      <c r="D241" s="190"/>
      <c r="E241" s="190"/>
      <c r="F241" s="387"/>
      <c r="G241" s="386" t="s">
        <v>251</v>
      </c>
      <c r="H241" s="190" t="s">
        <v>251</v>
      </c>
      <c r="I241" s="190" t="s">
        <v>251</v>
      </c>
      <c r="J241" s="387"/>
      <c r="K241" s="141">
        <f t="shared" si="10"/>
        <v>0</v>
      </c>
      <c r="L241" s="191" t="str">
        <f t="shared" si="11"/>
        <v/>
      </c>
    </row>
    <row r="242" spans="1:12" x14ac:dyDescent="0.3">
      <c r="A242" s="287" t="s">
        <v>1411</v>
      </c>
      <c r="B242" s="288" t="s">
        <v>1086</v>
      </c>
      <c r="C242" s="386">
        <v>702100</v>
      </c>
      <c r="D242" s="190"/>
      <c r="E242" s="190">
        <v>170100</v>
      </c>
      <c r="F242" s="387">
        <f t="shared" si="12"/>
        <v>872200</v>
      </c>
      <c r="G242" s="386" t="s">
        <v>251</v>
      </c>
      <c r="H242" s="190" t="s">
        <v>251</v>
      </c>
      <c r="I242" s="190" t="s">
        <v>251</v>
      </c>
      <c r="J242" s="387"/>
      <c r="K242" s="141">
        <f t="shared" si="10"/>
        <v>0</v>
      </c>
      <c r="L242" s="191" t="str">
        <f t="shared" si="11"/>
        <v/>
      </c>
    </row>
    <row r="243" spans="1:12" x14ac:dyDescent="0.3">
      <c r="A243" s="287" t="s">
        <v>1411</v>
      </c>
      <c r="B243" s="288" t="s">
        <v>1419</v>
      </c>
      <c r="C243" s="386"/>
      <c r="D243" s="190"/>
      <c r="E243" s="190"/>
      <c r="F243" s="387"/>
      <c r="G243" s="386" t="s">
        <v>251</v>
      </c>
      <c r="H243" s="190" t="s">
        <v>251</v>
      </c>
      <c r="I243" s="190" t="s">
        <v>251</v>
      </c>
      <c r="J243" s="387"/>
      <c r="K243" s="141">
        <f t="shared" si="10"/>
        <v>0</v>
      </c>
      <c r="L243" s="191" t="str">
        <f t="shared" si="11"/>
        <v/>
      </c>
    </row>
    <row r="244" spans="1:12" x14ac:dyDescent="0.3">
      <c r="A244" s="287" t="s">
        <v>1411</v>
      </c>
      <c r="B244" s="288" t="s">
        <v>1420</v>
      </c>
      <c r="C244" s="386">
        <v>175000</v>
      </c>
      <c r="D244" s="190">
        <v>148050</v>
      </c>
      <c r="E244" s="190">
        <v>400000</v>
      </c>
      <c r="F244" s="387">
        <f t="shared" si="12"/>
        <v>723050</v>
      </c>
      <c r="G244" s="386" t="s">
        <v>251</v>
      </c>
      <c r="H244" s="190" t="s">
        <v>251</v>
      </c>
      <c r="I244" s="190" t="s">
        <v>251</v>
      </c>
      <c r="J244" s="387"/>
      <c r="K244" s="141">
        <f t="shared" si="10"/>
        <v>0</v>
      </c>
      <c r="L244" s="191" t="str">
        <f t="shared" si="11"/>
        <v/>
      </c>
    </row>
    <row r="245" spans="1:12" x14ac:dyDescent="0.3">
      <c r="A245" s="287" t="s">
        <v>1411</v>
      </c>
      <c r="B245" s="288" t="s">
        <v>779</v>
      </c>
      <c r="C245" s="386"/>
      <c r="D245" s="190"/>
      <c r="E245" s="190"/>
      <c r="F245" s="387"/>
      <c r="G245" s="386" t="s">
        <v>251</v>
      </c>
      <c r="H245" s="190" t="s">
        <v>251</v>
      </c>
      <c r="I245" s="190" t="s">
        <v>251</v>
      </c>
      <c r="J245" s="387"/>
      <c r="K245" s="141">
        <f t="shared" si="10"/>
        <v>0</v>
      </c>
      <c r="L245" s="191" t="str">
        <f t="shared" si="11"/>
        <v/>
      </c>
    </row>
    <row r="246" spans="1:12" x14ac:dyDescent="0.3">
      <c r="A246" s="287" t="s">
        <v>1411</v>
      </c>
      <c r="B246" s="288" t="s">
        <v>1421</v>
      </c>
      <c r="C246" s="386"/>
      <c r="D246" s="190"/>
      <c r="E246" s="190">
        <v>412500</v>
      </c>
      <c r="F246" s="387">
        <f t="shared" si="12"/>
        <v>412500</v>
      </c>
      <c r="G246" s="386" t="s">
        <v>251</v>
      </c>
      <c r="H246" s="190" t="s">
        <v>251</v>
      </c>
      <c r="I246" s="190" t="s">
        <v>251</v>
      </c>
      <c r="J246" s="387"/>
      <c r="K246" s="141">
        <f t="shared" si="10"/>
        <v>0</v>
      </c>
      <c r="L246" s="191" t="str">
        <f t="shared" si="11"/>
        <v/>
      </c>
    </row>
    <row r="247" spans="1:12" x14ac:dyDescent="0.3">
      <c r="A247" s="287" t="s">
        <v>1411</v>
      </c>
      <c r="B247" s="288" t="s">
        <v>1142</v>
      </c>
      <c r="C247" s="386"/>
      <c r="D247" s="190"/>
      <c r="E247" s="190">
        <v>271400</v>
      </c>
      <c r="F247" s="387">
        <f t="shared" si="12"/>
        <v>271400</v>
      </c>
      <c r="G247" s="386" t="s">
        <v>251</v>
      </c>
      <c r="H247" s="190" t="s">
        <v>251</v>
      </c>
      <c r="I247" s="190" t="s">
        <v>251</v>
      </c>
      <c r="J247" s="387"/>
      <c r="K247" s="141">
        <f t="shared" si="10"/>
        <v>0</v>
      </c>
      <c r="L247" s="191" t="str">
        <f t="shared" si="11"/>
        <v/>
      </c>
    </row>
    <row r="248" spans="1:12" x14ac:dyDescent="0.3">
      <c r="A248" s="287" t="s">
        <v>1411</v>
      </c>
      <c r="B248" s="288" t="s">
        <v>1159</v>
      </c>
      <c r="C248" s="386">
        <v>178000</v>
      </c>
      <c r="D248" s="190"/>
      <c r="E248" s="190"/>
      <c r="F248" s="387">
        <f t="shared" si="12"/>
        <v>178000</v>
      </c>
      <c r="G248" s="386" t="s">
        <v>251</v>
      </c>
      <c r="H248" s="190" t="s">
        <v>251</v>
      </c>
      <c r="I248" s="190" t="s">
        <v>251</v>
      </c>
      <c r="J248" s="387"/>
      <c r="K248" s="141">
        <f t="shared" si="10"/>
        <v>0</v>
      </c>
      <c r="L248" s="191" t="str">
        <f t="shared" si="11"/>
        <v/>
      </c>
    </row>
    <row r="249" spans="1:12" x14ac:dyDescent="0.3">
      <c r="A249" s="287" t="s">
        <v>1411</v>
      </c>
      <c r="B249" s="288" t="s">
        <v>1422</v>
      </c>
      <c r="C249" s="386"/>
      <c r="D249" s="190"/>
      <c r="E249" s="190">
        <v>232500</v>
      </c>
      <c r="F249" s="387">
        <f t="shared" si="12"/>
        <v>232500</v>
      </c>
      <c r="G249" s="386" t="s">
        <v>251</v>
      </c>
      <c r="H249" s="190" t="s">
        <v>251</v>
      </c>
      <c r="I249" s="190" t="s">
        <v>251</v>
      </c>
      <c r="J249" s="387"/>
      <c r="K249" s="141">
        <f t="shared" si="10"/>
        <v>0</v>
      </c>
      <c r="L249" s="191" t="str">
        <f t="shared" si="11"/>
        <v/>
      </c>
    </row>
    <row r="250" spans="1:12" x14ac:dyDescent="0.3">
      <c r="A250" s="287" t="s">
        <v>1411</v>
      </c>
      <c r="B250" s="288" t="s">
        <v>1423</v>
      </c>
      <c r="C250" s="386">
        <v>449600</v>
      </c>
      <c r="D250" s="190"/>
      <c r="E250" s="190"/>
      <c r="F250" s="387">
        <f t="shared" si="12"/>
        <v>449600</v>
      </c>
      <c r="G250" s="386" t="s">
        <v>251</v>
      </c>
      <c r="H250" s="190" t="s">
        <v>251</v>
      </c>
      <c r="I250" s="190" t="s">
        <v>251</v>
      </c>
      <c r="J250" s="387"/>
      <c r="K250" s="141">
        <f t="shared" si="10"/>
        <v>0</v>
      </c>
      <c r="L250" s="191" t="str">
        <f t="shared" si="11"/>
        <v/>
      </c>
    </row>
    <row r="251" spans="1:12" x14ac:dyDescent="0.3">
      <c r="A251" s="287" t="s">
        <v>1411</v>
      </c>
      <c r="B251" s="288" t="s">
        <v>1424</v>
      </c>
      <c r="C251" s="386"/>
      <c r="D251" s="190"/>
      <c r="E251" s="190">
        <v>716000</v>
      </c>
      <c r="F251" s="387">
        <f t="shared" si="12"/>
        <v>716000</v>
      </c>
      <c r="G251" s="386" t="s">
        <v>251</v>
      </c>
      <c r="H251" s="190" t="s">
        <v>251</v>
      </c>
      <c r="I251" s="190" t="s">
        <v>251</v>
      </c>
      <c r="J251" s="387"/>
      <c r="K251" s="141">
        <f t="shared" si="10"/>
        <v>0</v>
      </c>
      <c r="L251" s="191" t="str">
        <f t="shared" si="11"/>
        <v/>
      </c>
    </row>
    <row r="252" spans="1:12" x14ac:dyDescent="0.3">
      <c r="A252" s="287" t="s">
        <v>1411</v>
      </c>
      <c r="B252" s="288" t="s">
        <v>1098</v>
      </c>
      <c r="C252" s="386"/>
      <c r="D252" s="190"/>
      <c r="E252" s="190"/>
      <c r="F252" s="387"/>
      <c r="G252" s="386" t="s">
        <v>251</v>
      </c>
      <c r="H252" s="190" t="s">
        <v>251</v>
      </c>
      <c r="I252" s="190" t="s">
        <v>251</v>
      </c>
      <c r="J252" s="387"/>
      <c r="K252" s="141">
        <f t="shared" si="10"/>
        <v>0</v>
      </c>
      <c r="L252" s="191" t="str">
        <f t="shared" si="11"/>
        <v/>
      </c>
    </row>
    <row r="253" spans="1:12" x14ac:dyDescent="0.3">
      <c r="A253" s="287" t="s">
        <v>1411</v>
      </c>
      <c r="B253" s="288" t="s">
        <v>848</v>
      </c>
      <c r="C253" s="386"/>
      <c r="D253" s="190"/>
      <c r="E253" s="190">
        <v>118050</v>
      </c>
      <c r="F253" s="387">
        <f t="shared" si="12"/>
        <v>118050</v>
      </c>
      <c r="G253" s="386" t="s">
        <v>251</v>
      </c>
      <c r="H253" s="190" t="s">
        <v>251</v>
      </c>
      <c r="I253" s="190" t="s">
        <v>251</v>
      </c>
      <c r="J253" s="387"/>
      <c r="K253" s="141">
        <f t="shared" si="10"/>
        <v>0</v>
      </c>
      <c r="L253" s="191" t="str">
        <f t="shared" si="11"/>
        <v/>
      </c>
    </row>
    <row r="254" spans="1:12" x14ac:dyDescent="0.3">
      <c r="A254" s="287" t="s">
        <v>1411</v>
      </c>
      <c r="B254" s="288" t="s">
        <v>852</v>
      </c>
      <c r="C254" s="386"/>
      <c r="D254" s="190"/>
      <c r="E254" s="190"/>
      <c r="F254" s="387"/>
      <c r="G254" s="386" t="s">
        <v>251</v>
      </c>
      <c r="H254" s="190" t="s">
        <v>251</v>
      </c>
      <c r="I254" s="190" t="s">
        <v>251</v>
      </c>
      <c r="J254" s="387"/>
      <c r="K254" s="141">
        <f t="shared" si="10"/>
        <v>0</v>
      </c>
      <c r="L254" s="191" t="str">
        <f t="shared" si="11"/>
        <v/>
      </c>
    </row>
    <row r="255" spans="1:12" x14ac:dyDescent="0.3">
      <c r="A255" s="287" t="s">
        <v>1411</v>
      </c>
      <c r="B255" s="288" t="s">
        <v>1088</v>
      </c>
      <c r="C255" s="386"/>
      <c r="D255" s="190"/>
      <c r="E255" s="190"/>
      <c r="F255" s="387"/>
      <c r="G255" s="386" t="s">
        <v>251</v>
      </c>
      <c r="H255" s="190" t="s">
        <v>251</v>
      </c>
      <c r="I255" s="190" t="s">
        <v>251</v>
      </c>
      <c r="J255" s="387"/>
      <c r="K255" s="141">
        <f t="shared" si="10"/>
        <v>0</v>
      </c>
      <c r="L255" s="191" t="str">
        <f t="shared" si="11"/>
        <v/>
      </c>
    </row>
    <row r="256" spans="1:12" x14ac:dyDescent="0.3">
      <c r="A256" s="287" t="s">
        <v>1411</v>
      </c>
      <c r="B256" s="288" t="s">
        <v>1149</v>
      </c>
      <c r="C256" s="386"/>
      <c r="D256" s="190"/>
      <c r="E256" s="190"/>
      <c r="F256" s="387"/>
      <c r="G256" s="386" t="s">
        <v>251</v>
      </c>
      <c r="H256" s="190" t="s">
        <v>251</v>
      </c>
      <c r="I256" s="190" t="s">
        <v>251</v>
      </c>
      <c r="J256" s="387"/>
      <c r="K256" s="141">
        <f t="shared" si="10"/>
        <v>0</v>
      </c>
      <c r="L256" s="191" t="str">
        <f t="shared" si="11"/>
        <v/>
      </c>
    </row>
    <row r="257" spans="1:12" x14ac:dyDescent="0.3">
      <c r="A257" s="287" t="s">
        <v>1411</v>
      </c>
      <c r="B257" s="288" t="s">
        <v>1425</v>
      </c>
      <c r="C257" s="386"/>
      <c r="D257" s="190"/>
      <c r="E257" s="190"/>
      <c r="F257" s="387"/>
      <c r="G257" s="386" t="s">
        <v>251</v>
      </c>
      <c r="H257" s="190" t="s">
        <v>251</v>
      </c>
      <c r="I257" s="190" t="s">
        <v>251</v>
      </c>
      <c r="J257" s="387"/>
      <c r="K257" s="141">
        <f t="shared" si="10"/>
        <v>0</v>
      </c>
      <c r="L257" s="191" t="str">
        <f t="shared" si="11"/>
        <v/>
      </c>
    </row>
    <row r="258" spans="1:12" x14ac:dyDescent="0.3">
      <c r="A258" s="287" t="s">
        <v>1411</v>
      </c>
      <c r="B258" s="288" t="s">
        <v>1426</v>
      </c>
      <c r="C258" s="386">
        <v>631500</v>
      </c>
      <c r="D258" s="190"/>
      <c r="E258" s="190"/>
      <c r="F258" s="387">
        <f t="shared" si="12"/>
        <v>631500</v>
      </c>
      <c r="G258" s="386" t="s">
        <v>251</v>
      </c>
      <c r="H258" s="190" t="s">
        <v>251</v>
      </c>
      <c r="I258" s="190" t="s">
        <v>251</v>
      </c>
      <c r="J258" s="387"/>
      <c r="K258" s="141">
        <f t="shared" ref="K258:K321" si="13">IF(OR(J258="", F258=""), 0, IFERROR((J258-F258)/F258, IF(J258&lt;&gt;0, 1, 0)))</f>
        <v>0</v>
      </c>
      <c r="L258" s="191" t="str">
        <f t="shared" ref="L258:L321" si="14">IFERROR(_xlfn.RANK.EQ(J258, $J$2:$J$308), "")</f>
        <v/>
      </c>
    </row>
    <row r="259" spans="1:12" x14ac:dyDescent="0.3">
      <c r="A259" s="287" t="s">
        <v>1411</v>
      </c>
      <c r="B259" s="288" t="s">
        <v>1427</v>
      </c>
      <c r="C259" s="386"/>
      <c r="D259" s="190"/>
      <c r="E259" s="190">
        <v>185700</v>
      </c>
      <c r="F259" s="387">
        <f t="shared" ref="F259:F322" si="15">C259+D259+E259</f>
        <v>185700</v>
      </c>
      <c r="G259" s="386" t="s">
        <v>251</v>
      </c>
      <c r="H259" s="190" t="s">
        <v>251</v>
      </c>
      <c r="I259" s="190" t="s">
        <v>251</v>
      </c>
      <c r="J259" s="387"/>
      <c r="K259" s="141">
        <f t="shared" si="13"/>
        <v>0</v>
      </c>
      <c r="L259" s="191" t="str">
        <f t="shared" si="14"/>
        <v/>
      </c>
    </row>
    <row r="260" spans="1:12" x14ac:dyDescent="0.3">
      <c r="A260" s="287" t="s">
        <v>1411</v>
      </c>
      <c r="B260" s="288" t="s">
        <v>1428</v>
      </c>
      <c r="C260" s="386"/>
      <c r="D260" s="190"/>
      <c r="E260" s="190"/>
      <c r="F260" s="387"/>
      <c r="G260" s="386" t="s">
        <v>251</v>
      </c>
      <c r="H260" s="190" t="s">
        <v>251</v>
      </c>
      <c r="I260" s="190" t="s">
        <v>251</v>
      </c>
      <c r="J260" s="387"/>
      <c r="K260" s="141">
        <f t="shared" si="13"/>
        <v>0</v>
      </c>
      <c r="L260" s="191" t="str">
        <f t="shared" si="14"/>
        <v/>
      </c>
    </row>
    <row r="261" spans="1:12" x14ac:dyDescent="0.3">
      <c r="A261" s="287" t="s">
        <v>1411</v>
      </c>
      <c r="B261" s="288" t="s">
        <v>1119</v>
      </c>
      <c r="C261" s="386">
        <v>412000</v>
      </c>
      <c r="D261" s="190"/>
      <c r="E261" s="190"/>
      <c r="F261" s="387">
        <f t="shared" si="15"/>
        <v>412000</v>
      </c>
      <c r="G261" s="386" t="s">
        <v>251</v>
      </c>
      <c r="H261" s="190" t="s">
        <v>251</v>
      </c>
      <c r="I261" s="190" t="s">
        <v>251</v>
      </c>
      <c r="J261" s="387"/>
      <c r="K261" s="141">
        <f t="shared" si="13"/>
        <v>0</v>
      </c>
      <c r="L261" s="191" t="str">
        <f t="shared" si="14"/>
        <v/>
      </c>
    </row>
    <row r="262" spans="1:12" x14ac:dyDescent="0.3">
      <c r="A262" s="287" t="s">
        <v>1411</v>
      </c>
      <c r="B262" s="288" t="s">
        <v>1108</v>
      </c>
      <c r="C262" s="386"/>
      <c r="D262" s="190">
        <v>95000</v>
      </c>
      <c r="E262" s="190"/>
      <c r="F262" s="387">
        <f t="shared" si="15"/>
        <v>95000</v>
      </c>
      <c r="G262" s="386" t="s">
        <v>251</v>
      </c>
      <c r="H262" s="190" t="s">
        <v>251</v>
      </c>
      <c r="I262" s="190" t="s">
        <v>251</v>
      </c>
      <c r="J262" s="387"/>
      <c r="K262" s="141">
        <f t="shared" si="13"/>
        <v>0</v>
      </c>
      <c r="L262" s="191" t="str">
        <f t="shared" si="14"/>
        <v/>
      </c>
    </row>
    <row r="263" spans="1:12" x14ac:dyDescent="0.3">
      <c r="A263" s="287" t="s">
        <v>1411</v>
      </c>
      <c r="B263" s="288" t="s">
        <v>1429</v>
      </c>
      <c r="C263" s="386"/>
      <c r="D263" s="190"/>
      <c r="E263" s="190">
        <v>467550</v>
      </c>
      <c r="F263" s="387">
        <f t="shared" si="15"/>
        <v>467550</v>
      </c>
      <c r="G263" s="386" t="s">
        <v>251</v>
      </c>
      <c r="H263" s="190" t="s">
        <v>251</v>
      </c>
      <c r="I263" s="190" t="s">
        <v>251</v>
      </c>
      <c r="J263" s="387"/>
      <c r="K263" s="141">
        <f t="shared" si="13"/>
        <v>0</v>
      </c>
      <c r="L263" s="191" t="str">
        <f t="shared" si="14"/>
        <v/>
      </c>
    </row>
    <row r="264" spans="1:12" x14ac:dyDescent="0.3">
      <c r="A264" s="287" t="s">
        <v>1411</v>
      </c>
      <c r="B264" s="288" t="s">
        <v>1160</v>
      </c>
      <c r="C264" s="386"/>
      <c r="D264" s="190"/>
      <c r="E264" s="190"/>
      <c r="F264" s="387"/>
      <c r="G264" s="386" t="s">
        <v>251</v>
      </c>
      <c r="H264" s="190" t="s">
        <v>251</v>
      </c>
      <c r="I264" s="190" t="s">
        <v>251</v>
      </c>
      <c r="J264" s="387"/>
      <c r="K264" s="141">
        <f t="shared" si="13"/>
        <v>0</v>
      </c>
      <c r="L264" s="191" t="str">
        <f t="shared" si="14"/>
        <v/>
      </c>
    </row>
    <row r="265" spans="1:12" x14ac:dyDescent="0.3">
      <c r="A265" s="287" t="s">
        <v>1411</v>
      </c>
      <c r="B265" s="288" t="s">
        <v>1130</v>
      </c>
      <c r="C265" s="386"/>
      <c r="D265" s="190"/>
      <c r="E265" s="190"/>
      <c r="F265" s="387"/>
      <c r="G265" s="386" t="s">
        <v>251</v>
      </c>
      <c r="H265" s="190" t="s">
        <v>251</v>
      </c>
      <c r="I265" s="190" t="s">
        <v>251</v>
      </c>
      <c r="J265" s="387"/>
      <c r="K265" s="141">
        <f t="shared" si="13"/>
        <v>0</v>
      </c>
      <c r="L265" s="191" t="str">
        <f t="shared" si="14"/>
        <v/>
      </c>
    </row>
    <row r="266" spans="1:12" x14ac:dyDescent="0.3">
      <c r="A266" s="287" t="s">
        <v>1411</v>
      </c>
      <c r="B266" s="288" t="s">
        <v>816</v>
      </c>
      <c r="C266" s="386"/>
      <c r="D266" s="190"/>
      <c r="E266" s="190"/>
      <c r="F266" s="387"/>
      <c r="G266" s="386" t="s">
        <v>251</v>
      </c>
      <c r="H266" s="190" t="s">
        <v>251</v>
      </c>
      <c r="I266" s="190" t="s">
        <v>251</v>
      </c>
      <c r="J266" s="387"/>
      <c r="K266" s="141">
        <f t="shared" si="13"/>
        <v>0</v>
      </c>
      <c r="L266" s="191" t="str">
        <f t="shared" si="14"/>
        <v/>
      </c>
    </row>
    <row r="267" spans="1:12" x14ac:dyDescent="0.3">
      <c r="A267" s="287" t="s">
        <v>1411</v>
      </c>
      <c r="B267" s="288" t="s">
        <v>853</v>
      </c>
      <c r="C267" s="386">
        <v>17600</v>
      </c>
      <c r="D267" s="190"/>
      <c r="E267" s="190"/>
      <c r="F267" s="387">
        <f t="shared" si="15"/>
        <v>17600</v>
      </c>
      <c r="G267" s="386" t="s">
        <v>251</v>
      </c>
      <c r="H267" s="190" t="s">
        <v>251</v>
      </c>
      <c r="I267" s="190" t="s">
        <v>251</v>
      </c>
      <c r="J267" s="387"/>
      <c r="K267" s="141">
        <f t="shared" si="13"/>
        <v>0</v>
      </c>
      <c r="L267" s="191" t="str">
        <f t="shared" si="14"/>
        <v/>
      </c>
    </row>
    <row r="268" spans="1:12" x14ac:dyDescent="0.3">
      <c r="A268" s="287" t="s">
        <v>1411</v>
      </c>
      <c r="B268" s="288" t="s">
        <v>1430</v>
      </c>
      <c r="C268" s="386"/>
      <c r="D268" s="190"/>
      <c r="E268" s="190"/>
      <c r="F268" s="387"/>
      <c r="G268" s="386" t="s">
        <v>251</v>
      </c>
      <c r="H268" s="190" t="s">
        <v>251</v>
      </c>
      <c r="I268" s="190" t="s">
        <v>251</v>
      </c>
      <c r="J268" s="387"/>
      <c r="K268" s="141">
        <f t="shared" si="13"/>
        <v>0</v>
      </c>
      <c r="L268" s="191" t="str">
        <f t="shared" si="14"/>
        <v/>
      </c>
    </row>
    <row r="269" spans="1:12" x14ac:dyDescent="0.3">
      <c r="A269" s="287" t="s">
        <v>1411</v>
      </c>
      <c r="B269" s="288" t="s">
        <v>1431</v>
      </c>
      <c r="C269" s="386"/>
      <c r="D269" s="190"/>
      <c r="E269" s="190">
        <v>123200</v>
      </c>
      <c r="F269" s="387">
        <f t="shared" si="15"/>
        <v>123200</v>
      </c>
      <c r="G269" s="386" t="s">
        <v>251</v>
      </c>
      <c r="H269" s="190" t="s">
        <v>251</v>
      </c>
      <c r="I269" s="190" t="s">
        <v>251</v>
      </c>
      <c r="J269" s="387"/>
      <c r="K269" s="141">
        <f t="shared" si="13"/>
        <v>0</v>
      </c>
      <c r="L269" s="191" t="str">
        <f t="shared" si="14"/>
        <v/>
      </c>
    </row>
    <row r="270" spans="1:12" x14ac:dyDescent="0.3">
      <c r="A270" s="287" t="s">
        <v>1411</v>
      </c>
      <c r="B270" s="288" t="s">
        <v>1432</v>
      </c>
      <c r="C270" s="386">
        <v>355050</v>
      </c>
      <c r="D270" s="190"/>
      <c r="E270" s="190"/>
      <c r="F270" s="387">
        <f t="shared" si="15"/>
        <v>355050</v>
      </c>
      <c r="G270" s="386" t="s">
        <v>251</v>
      </c>
      <c r="H270" s="190" t="s">
        <v>251</v>
      </c>
      <c r="I270" s="190" t="s">
        <v>251</v>
      </c>
      <c r="J270" s="387"/>
      <c r="K270" s="141">
        <f t="shared" si="13"/>
        <v>0</v>
      </c>
      <c r="L270" s="191" t="str">
        <f t="shared" si="14"/>
        <v/>
      </c>
    </row>
    <row r="271" spans="1:12" x14ac:dyDescent="0.3">
      <c r="A271" s="287" t="s">
        <v>1411</v>
      </c>
      <c r="B271" s="288" t="s">
        <v>1433</v>
      </c>
      <c r="C271" s="386"/>
      <c r="D271" s="190"/>
      <c r="E271" s="190"/>
      <c r="F271" s="387"/>
      <c r="G271" s="386" t="s">
        <v>251</v>
      </c>
      <c r="H271" s="190" t="s">
        <v>251</v>
      </c>
      <c r="I271" s="190" t="s">
        <v>251</v>
      </c>
      <c r="J271" s="387"/>
      <c r="K271" s="141">
        <f t="shared" si="13"/>
        <v>0</v>
      </c>
      <c r="L271" s="191" t="str">
        <f t="shared" si="14"/>
        <v/>
      </c>
    </row>
    <row r="272" spans="1:12" x14ac:dyDescent="0.3">
      <c r="A272" s="287" t="s">
        <v>1411</v>
      </c>
      <c r="B272" s="288" t="s">
        <v>1434</v>
      </c>
      <c r="C272" s="386">
        <v>71400</v>
      </c>
      <c r="D272" s="190"/>
      <c r="E272" s="190"/>
      <c r="F272" s="387">
        <f t="shared" si="15"/>
        <v>71400</v>
      </c>
      <c r="G272" s="386" t="s">
        <v>251</v>
      </c>
      <c r="H272" s="190" t="s">
        <v>251</v>
      </c>
      <c r="I272" s="190" t="s">
        <v>251</v>
      </c>
      <c r="J272" s="387"/>
      <c r="K272" s="141">
        <f t="shared" si="13"/>
        <v>0</v>
      </c>
      <c r="L272" s="191" t="str">
        <f t="shared" si="14"/>
        <v/>
      </c>
    </row>
    <row r="273" spans="1:12" x14ac:dyDescent="0.3">
      <c r="A273" s="287" t="s">
        <v>1411</v>
      </c>
      <c r="B273" s="288" t="s">
        <v>1435</v>
      </c>
      <c r="C273" s="386"/>
      <c r="D273" s="190"/>
      <c r="E273" s="190"/>
      <c r="F273" s="387"/>
      <c r="G273" s="386" t="s">
        <v>251</v>
      </c>
      <c r="H273" s="190" t="s">
        <v>251</v>
      </c>
      <c r="I273" s="190" t="s">
        <v>251</v>
      </c>
      <c r="J273" s="387"/>
      <c r="K273" s="141">
        <f t="shared" si="13"/>
        <v>0</v>
      </c>
      <c r="L273" s="191" t="str">
        <f t="shared" si="14"/>
        <v/>
      </c>
    </row>
    <row r="274" spans="1:12" x14ac:dyDescent="0.3">
      <c r="A274" s="287" t="s">
        <v>1411</v>
      </c>
      <c r="B274" s="288" t="s">
        <v>1137</v>
      </c>
      <c r="C274" s="386"/>
      <c r="D274" s="190"/>
      <c r="E274" s="190"/>
      <c r="F274" s="387"/>
      <c r="G274" s="386" t="s">
        <v>251</v>
      </c>
      <c r="H274" s="190" t="s">
        <v>251</v>
      </c>
      <c r="I274" s="190" t="s">
        <v>251</v>
      </c>
      <c r="J274" s="387"/>
      <c r="K274" s="141">
        <f t="shared" si="13"/>
        <v>0</v>
      </c>
      <c r="L274" s="191" t="str">
        <f t="shared" si="14"/>
        <v/>
      </c>
    </row>
    <row r="275" spans="1:12" x14ac:dyDescent="0.3">
      <c r="A275" s="287" t="s">
        <v>1411</v>
      </c>
      <c r="B275" s="288" t="s">
        <v>1150</v>
      </c>
      <c r="C275" s="386">
        <v>109800</v>
      </c>
      <c r="D275" s="190"/>
      <c r="E275" s="190"/>
      <c r="F275" s="387">
        <f t="shared" si="15"/>
        <v>109800</v>
      </c>
      <c r="G275" s="386" t="s">
        <v>251</v>
      </c>
      <c r="H275" s="190" t="s">
        <v>251</v>
      </c>
      <c r="I275" s="190" t="s">
        <v>251</v>
      </c>
      <c r="J275" s="387"/>
      <c r="K275" s="141">
        <f t="shared" si="13"/>
        <v>0</v>
      </c>
      <c r="L275" s="191" t="str">
        <f t="shared" si="14"/>
        <v/>
      </c>
    </row>
    <row r="276" spans="1:12" x14ac:dyDescent="0.3">
      <c r="A276" s="287" t="s">
        <v>1411</v>
      </c>
      <c r="B276" s="288" t="s">
        <v>839</v>
      </c>
      <c r="C276" s="386"/>
      <c r="D276" s="190"/>
      <c r="E276" s="190"/>
      <c r="F276" s="387"/>
      <c r="G276" s="386" t="s">
        <v>251</v>
      </c>
      <c r="H276" s="190" t="s">
        <v>251</v>
      </c>
      <c r="I276" s="190" t="s">
        <v>251</v>
      </c>
      <c r="J276" s="387"/>
      <c r="K276" s="141">
        <f t="shared" si="13"/>
        <v>0</v>
      </c>
      <c r="L276" s="191" t="str">
        <f t="shared" si="14"/>
        <v/>
      </c>
    </row>
    <row r="277" spans="1:12" x14ac:dyDescent="0.3">
      <c r="A277" s="287" t="s">
        <v>1411</v>
      </c>
      <c r="B277" s="288" t="s">
        <v>833</v>
      </c>
      <c r="C277" s="386"/>
      <c r="D277" s="190"/>
      <c r="E277" s="190"/>
      <c r="F277" s="387"/>
      <c r="G277" s="386" t="s">
        <v>251</v>
      </c>
      <c r="H277" s="190" t="s">
        <v>251</v>
      </c>
      <c r="I277" s="190" t="s">
        <v>251</v>
      </c>
      <c r="J277" s="387"/>
      <c r="K277" s="141">
        <f t="shared" si="13"/>
        <v>0</v>
      </c>
      <c r="L277" s="191" t="str">
        <f t="shared" si="14"/>
        <v/>
      </c>
    </row>
    <row r="278" spans="1:12" x14ac:dyDescent="0.3">
      <c r="A278" s="287" t="s">
        <v>1411</v>
      </c>
      <c r="B278" s="288" t="s">
        <v>1436</v>
      </c>
      <c r="C278" s="386"/>
      <c r="D278" s="190"/>
      <c r="E278" s="190"/>
      <c r="F278" s="387"/>
      <c r="G278" s="386" t="s">
        <v>251</v>
      </c>
      <c r="H278" s="190" t="s">
        <v>251</v>
      </c>
      <c r="I278" s="190" t="s">
        <v>251</v>
      </c>
      <c r="J278" s="387"/>
      <c r="K278" s="141">
        <f t="shared" si="13"/>
        <v>0</v>
      </c>
      <c r="L278" s="191" t="str">
        <f t="shared" si="14"/>
        <v/>
      </c>
    </row>
    <row r="279" spans="1:12" x14ac:dyDescent="0.3">
      <c r="A279" s="287" t="s">
        <v>1411</v>
      </c>
      <c r="B279" s="288" t="s">
        <v>1148</v>
      </c>
      <c r="C279" s="386">
        <v>88550</v>
      </c>
      <c r="D279" s="190"/>
      <c r="E279" s="190">
        <v>57400</v>
      </c>
      <c r="F279" s="387">
        <f t="shared" si="15"/>
        <v>145950</v>
      </c>
      <c r="G279" s="386" t="s">
        <v>251</v>
      </c>
      <c r="H279" s="190" t="s">
        <v>251</v>
      </c>
      <c r="I279" s="190" t="s">
        <v>251</v>
      </c>
      <c r="J279" s="387"/>
      <c r="K279" s="141">
        <f t="shared" si="13"/>
        <v>0</v>
      </c>
      <c r="L279" s="191" t="str">
        <f t="shared" si="14"/>
        <v/>
      </c>
    </row>
    <row r="280" spans="1:12" x14ac:dyDescent="0.3">
      <c r="A280" s="287" t="s">
        <v>1411</v>
      </c>
      <c r="B280" s="288" t="s">
        <v>840</v>
      </c>
      <c r="C280" s="386"/>
      <c r="D280" s="190"/>
      <c r="E280" s="190"/>
      <c r="F280" s="387"/>
      <c r="G280" s="386" t="s">
        <v>251</v>
      </c>
      <c r="H280" s="190" t="s">
        <v>251</v>
      </c>
      <c r="I280" s="190" t="s">
        <v>251</v>
      </c>
      <c r="J280" s="387"/>
      <c r="K280" s="141">
        <f t="shared" si="13"/>
        <v>0</v>
      </c>
      <c r="L280" s="191" t="str">
        <f t="shared" si="14"/>
        <v/>
      </c>
    </row>
    <row r="281" spans="1:12" x14ac:dyDescent="0.3">
      <c r="A281" s="287" t="s">
        <v>1411</v>
      </c>
      <c r="B281" s="288" t="s">
        <v>1437</v>
      </c>
      <c r="C281" s="386"/>
      <c r="D281" s="190"/>
      <c r="E281" s="190">
        <v>170500</v>
      </c>
      <c r="F281" s="387">
        <f t="shared" si="15"/>
        <v>170500</v>
      </c>
      <c r="G281" s="386" t="s">
        <v>251</v>
      </c>
      <c r="H281" s="190" t="s">
        <v>251</v>
      </c>
      <c r="I281" s="190" t="s">
        <v>251</v>
      </c>
      <c r="J281" s="387"/>
      <c r="K281" s="141">
        <f t="shared" si="13"/>
        <v>0</v>
      </c>
      <c r="L281" s="191" t="str">
        <f t="shared" si="14"/>
        <v/>
      </c>
    </row>
    <row r="282" spans="1:12" x14ac:dyDescent="0.3">
      <c r="A282" s="287" t="s">
        <v>1411</v>
      </c>
      <c r="B282" s="288" t="s">
        <v>1165</v>
      </c>
      <c r="C282" s="386"/>
      <c r="D282" s="190"/>
      <c r="E282" s="190">
        <v>69650</v>
      </c>
      <c r="F282" s="387">
        <f t="shared" si="15"/>
        <v>69650</v>
      </c>
      <c r="G282" s="386" t="s">
        <v>251</v>
      </c>
      <c r="H282" s="190" t="s">
        <v>251</v>
      </c>
      <c r="I282" s="190" t="s">
        <v>251</v>
      </c>
      <c r="J282" s="387"/>
      <c r="K282" s="141">
        <f t="shared" si="13"/>
        <v>0</v>
      </c>
      <c r="L282" s="191" t="str">
        <f t="shared" si="14"/>
        <v/>
      </c>
    </row>
    <row r="283" spans="1:12" x14ac:dyDescent="0.3">
      <c r="A283" s="287" t="s">
        <v>1411</v>
      </c>
      <c r="B283" s="288" t="s">
        <v>1438</v>
      </c>
      <c r="C283" s="386"/>
      <c r="D283" s="190"/>
      <c r="E283" s="190"/>
      <c r="F283" s="387"/>
      <c r="G283" s="386" t="s">
        <v>251</v>
      </c>
      <c r="H283" s="190" t="s">
        <v>251</v>
      </c>
      <c r="I283" s="190" t="s">
        <v>251</v>
      </c>
      <c r="J283" s="387"/>
      <c r="K283" s="141">
        <f t="shared" si="13"/>
        <v>0</v>
      </c>
      <c r="L283" s="191" t="str">
        <f t="shared" si="14"/>
        <v/>
      </c>
    </row>
    <row r="284" spans="1:12" x14ac:dyDescent="0.3">
      <c r="A284" s="287" t="s">
        <v>1411</v>
      </c>
      <c r="B284" s="288" t="s">
        <v>821</v>
      </c>
      <c r="C284" s="386"/>
      <c r="D284" s="190"/>
      <c r="E284" s="190"/>
      <c r="F284" s="387"/>
      <c r="G284" s="386" t="s">
        <v>251</v>
      </c>
      <c r="H284" s="190" t="s">
        <v>251</v>
      </c>
      <c r="I284" s="190" t="s">
        <v>251</v>
      </c>
      <c r="J284" s="387"/>
      <c r="K284" s="141">
        <f t="shared" si="13"/>
        <v>0</v>
      </c>
      <c r="L284" s="191" t="str">
        <f t="shared" si="14"/>
        <v/>
      </c>
    </row>
    <row r="285" spans="1:12" x14ac:dyDescent="0.3">
      <c r="A285" s="287" t="s">
        <v>1411</v>
      </c>
      <c r="B285" s="288" t="s">
        <v>1439</v>
      </c>
      <c r="C285" s="386">
        <v>123200</v>
      </c>
      <c r="D285" s="190"/>
      <c r="E285" s="190"/>
      <c r="F285" s="387">
        <f t="shared" si="15"/>
        <v>123200</v>
      </c>
      <c r="G285" s="386" t="s">
        <v>251</v>
      </c>
      <c r="H285" s="190" t="s">
        <v>251</v>
      </c>
      <c r="I285" s="190" t="s">
        <v>251</v>
      </c>
      <c r="J285" s="387"/>
      <c r="K285" s="141">
        <f t="shared" si="13"/>
        <v>0</v>
      </c>
      <c r="L285" s="191" t="str">
        <f t="shared" si="14"/>
        <v/>
      </c>
    </row>
    <row r="286" spans="1:12" x14ac:dyDescent="0.3">
      <c r="A286" s="287" t="s">
        <v>1411</v>
      </c>
      <c r="B286" s="288" t="s">
        <v>1109</v>
      </c>
      <c r="C286" s="386"/>
      <c r="D286" s="190"/>
      <c r="E286" s="190">
        <v>123100</v>
      </c>
      <c r="F286" s="387">
        <f t="shared" si="15"/>
        <v>123100</v>
      </c>
      <c r="G286" s="386" t="s">
        <v>251</v>
      </c>
      <c r="H286" s="190" t="s">
        <v>251</v>
      </c>
      <c r="I286" s="190" t="s">
        <v>251</v>
      </c>
      <c r="J286" s="387"/>
      <c r="K286" s="141">
        <f t="shared" si="13"/>
        <v>0</v>
      </c>
      <c r="L286" s="191" t="str">
        <f t="shared" si="14"/>
        <v/>
      </c>
    </row>
    <row r="287" spans="1:12" x14ac:dyDescent="0.3">
      <c r="A287" s="287" t="s">
        <v>1411</v>
      </c>
      <c r="B287" s="288" t="s">
        <v>1440</v>
      </c>
      <c r="C287" s="386">
        <v>120500</v>
      </c>
      <c r="D287" s="190"/>
      <c r="E287" s="190"/>
      <c r="F287" s="387">
        <f t="shared" si="15"/>
        <v>120500</v>
      </c>
      <c r="G287" s="386" t="s">
        <v>251</v>
      </c>
      <c r="H287" s="190" t="s">
        <v>251</v>
      </c>
      <c r="I287" s="190" t="s">
        <v>251</v>
      </c>
      <c r="J287" s="387"/>
      <c r="K287" s="141">
        <f t="shared" si="13"/>
        <v>0</v>
      </c>
      <c r="L287" s="191" t="str">
        <f t="shared" si="14"/>
        <v/>
      </c>
    </row>
    <row r="288" spans="1:12" x14ac:dyDescent="0.3">
      <c r="A288" s="287" t="s">
        <v>1411</v>
      </c>
      <c r="B288" s="288" t="s">
        <v>774</v>
      </c>
      <c r="C288" s="386"/>
      <c r="D288" s="190"/>
      <c r="E288" s="190">
        <v>37100</v>
      </c>
      <c r="F288" s="387">
        <f t="shared" si="15"/>
        <v>37100</v>
      </c>
      <c r="G288" s="386" t="s">
        <v>251</v>
      </c>
      <c r="H288" s="190" t="s">
        <v>251</v>
      </c>
      <c r="I288" s="190" t="s">
        <v>251</v>
      </c>
      <c r="J288" s="387"/>
      <c r="K288" s="141">
        <f t="shared" si="13"/>
        <v>0</v>
      </c>
      <c r="L288" s="191" t="str">
        <f t="shared" si="14"/>
        <v/>
      </c>
    </row>
    <row r="289" spans="1:12" x14ac:dyDescent="0.3">
      <c r="A289" s="287" t="s">
        <v>1411</v>
      </c>
      <c r="B289" s="288" t="s">
        <v>1441</v>
      </c>
      <c r="C289" s="386"/>
      <c r="D289" s="190"/>
      <c r="E289" s="190"/>
      <c r="F289" s="387"/>
      <c r="G289" s="386" t="s">
        <v>251</v>
      </c>
      <c r="H289" s="190" t="s">
        <v>251</v>
      </c>
      <c r="I289" s="190" t="s">
        <v>251</v>
      </c>
      <c r="J289" s="387"/>
      <c r="K289" s="141">
        <f t="shared" si="13"/>
        <v>0</v>
      </c>
      <c r="L289" s="191" t="str">
        <f t="shared" si="14"/>
        <v/>
      </c>
    </row>
    <row r="290" spans="1:12" x14ac:dyDescent="0.3">
      <c r="A290" s="287" t="s">
        <v>1411</v>
      </c>
      <c r="B290" s="288" t="s">
        <v>1089</v>
      </c>
      <c r="C290" s="386"/>
      <c r="D290" s="190"/>
      <c r="E290" s="190"/>
      <c r="F290" s="387"/>
      <c r="G290" s="386" t="s">
        <v>251</v>
      </c>
      <c r="H290" s="190" t="s">
        <v>251</v>
      </c>
      <c r="I290" s="190" t="s">
        <v>251</v>
      </c>
      <c r="J290" s="387"/>
      <c r="K290" s="141">
        <f t="shared" si="13"/>
        <v>0</v>
      </c>
      <c r="L290" s="191" t="str">
        <f t="shared" si="14"/>
        <v/>
      </c>
    </row>
    <row r="291" spans="1:12" x14ac:dyDescent="0.3">
      <c r="A291" s="287" t="s">
        <v>1411</v>
      </c>
      <c r="B291" s="288" t="s">
        <v>856</v>
      </c>
      <c r="C291" s="386"/>
      <c r="D291" s="190"/>
      <c r="E291" s="190"/>
      <c r="F291" s="387"/>
      <c r="G291" s="386" t="s">
        <v>251</v>
      </c>
      <c r="H291" s="190" t="s">
        <v>251</v>
      </c>
      <c r="I291" s="190" t="s">
        <v>251</v>
      </c>
      <c r="J291" s="387"/>
      <c r="K291" s="141">
        <f t="shared" si="13"/>
        <v>0</v>
      </c>
      <c r="L291" s="191" t="str">
        <f t="shared" si="14"/>
        <v/>
      </c>
    </row>
    <row r="292" spans="1:12" x14ac:dyDescent="0.3">
      <c r="A292" s="287" t="s">
        <v>1411</v>
      </c>
      <c r="B292" s="288" t="s">
        <v>1442</v>
      </c>
      <c r="C292" s="386"/>
      <c r="D292" s="190"/>
      <c r="E292" s="190">
        <v>51450</v>
      </c>
      <c r="F292" s="387">
        <f t="shared" si="15"/>
        <v>51450</v>
      </c>
      <c r="G292" s="386" t="s">
        <v>251</v>
      </c>
      <c r="H292" s="190" t="s">
        <v>251</v>
      </c>
      <c r="I292" s="190" t="s">
        <v>251</v>
      </c>
      <c r="J292" s="387"/>
      <c r="K292" s="141">
        <f t="shared" si="13"/>
        <v>0</v>
      </c>
      <c r="L292" s="191" t="str">
        <f t="shared" si="14"/>
        <v/>
      </c>
    </row>
    <row r="293" spans="1:12" x14ac:dyDescent="0.3">
      <c r="A293" s="287" t="s">
        <v>1411</v>
      </c>
      <c r="B293" s="288" t="s">
        <v>714</v>
      </c>
      <c r="C293" s="386">
        <v>35000</v>
      </c>
      <c r="D293" s="190"/>
      <c r="E293" s="190"/>
      <c r="F293" s="387">
        <f t="shared" si="15"/>
        <v>35000</v>
      </c>
      <c r="G293" s="386" t="s">
        <v>251</v>
      </c>
      <c r="H293" s="190" t="s">
        <v>251</v>
      </c>
      <c r="I293" s="190" t="s">
        <v>251</v>
      </c>
      <c r="J293" s="387"/>
      <c r="K293" s="141">
        <f t="shared" si="13"/>
        <v>0</v>
      </c>
      <c r="L293" s="191" t="str">
        <f t="shared" si="14"/>
        <v/>
      </c>
    </row>
    <row r="294" spans="1:12" x14ac:dyDescent="0.3">
      <c r="A294" s="287" t="s">
        <v>1411</v>
      </c>
      <c r="B294" s="288" t="s">
        <v>386</v>
      </c>
      <c r="C294" s="386">
        <v>10250</v>
      </c>
      <c r="D294" s="190"/>
      <c r="E294" s="190"/>
      <c r="F294" s="387">
        <f t="shared" si="15"/>
        <v>10250</v>
      </c>
      <c r="G294" s="386" t="s">
        <v>251</v>
      </c>
      <c r="H294" s="190" t="s">
        <v>251</v>
      </c>
      <c r="I294" s="190" t="s">
        <v>251</v>
      </c>
      <c r="J294" s="387"/>
      <c r="K294" s="141">
        <f t="shared" si="13"/>
        <v>0</v>
      </c>
      <c r="L294" s="191" t="str">
        <f t="shared" si="14"/>
        <v/>
      </c>
    </row>
    <row r="295" spans="1:12" x14ac:dyDescent="0.3">
      <c r="A295" s="287" t="s">
        <v>1411</v>
      </c>
      <c r="B295" s="288" t="s">
        <v>1443</v>
      </c>
      <c r="C295" s="386"/>
      <c r="D295" s="190"/>
      <c r="E295" s="190"/>
      <c r="F295" s="387"/>
      <c r="G295" s="386" t="s">
        <v>251</v>
      </c>
      <c r="H295" s="190" t="s">
        <v>251</v>
      </c>
      <c r="I295" s="190" t="s">
        <v>251</v>
      </c>
      <c r="J295" s="387"/>
      <c r="K295" s="141">
        <f t="shared" si="13"/>
        <v>0</v>
      </c>
      <c r="L295" s="191" t="str">
        <f t="shared" si="14"/>
        <v/>
      </c>
    </row>
    <row r="296" spans="1:12" x14ac:dyDescent="0.3">
      <c r="A296" s="287" t="s">
        <v>1411</v>
      </c>
      <c r="B296" s="288" t="s">
        <v>1113</v>
      </c>
      <c r="C296" s="386"/>
      <c r="D296" s="190"/>
      <c r="E296" s="190"/>
      <c r="F296" s="387"/>
      <c r="G296" s="386" t="s">
        <v>251</v>
      </c>
      <c r="H296" s="190" t="s">
        <v>251</v>
      </c>
      <c r="I296" s="190" t="s">
        <v>251</v>
      </c>
      <c r="J296" s="387"/>
      <c r="K296" s="141">
        <f t="shared" si="13"/>
        <v>0</v>
      </c>
      <c r="L296" s="191" t="str">
        <f t="shared" si="14"/>
        <v/>
      </c>
    </row>
    <row r="297" spans="1:12" x14ac:dyDescent="0.3">
      <c r="A297" s="289" t="s">
        <v>1451</v>
      </c>
      <c r="B297" s="290" t="s">
        <v>1124</v>
      </c>
      <c r="C297" s="388" t="s">
        <v>251</v>
      </c>
      <c r="D297" s="192"/>
      <c r="E297" s="192"/>
      <c r="F297" s="389"/>
      <c r="G297" s="388">
        <v>163450</v>
      </c>
      <c r="H297" s="192">
        <v>12350</v>
      </c>
      <c r="I297" s="192"/>
      <c r="J297" s="389">
        <f>G297+H297+I297</f>
        <v>175800</v>
      </c>
      <c r="K297" s="142">
        <f t="shared" si="13"/>
        <v>0</v>
      </c>
      <c r="L297" s="193">
        <f t="shared" si="14"/>
        <v>97</v>
      </c>
    </row>
    <row r="298" spans="1:12" x14ac:dyDescent="0.3">
      <c r="A298" s="289" t="s">
        <v>1451</v>
      </c>
      <c r="B298" s="290" t="s">
        <v>805</v>
      </c>
      <c r="C298" s="388"/>
      <c r="D298" s="192"/>
      <c r="E298" s="192"/>
      <c r="F298" s="389"/>
      <c r="G298" s="388"/>
      <c r="H298" s="192"/>
      <c r="I298" s="192">
        <v>29250</v>
      </c>
      <c r="J298" s="389">
        <f>G298+H298+I298</f>
        <v>29250</v>
      </c>
      <c r="K298" s="142">
        <f t="shared" si="13"/>
        <v>0</v>
      </c>
      <c r="L298" s="193">
        <f t="shared" si="14"/>
        <v>111</v>
      </c>
    </row>
    <row r="299" spans="1:12" x14ac:dyDescent="0.3">
      <c r="A299" s="289" t="s">
        <v>1451</v>
      </c>
      <c r="B299" s="290" t="s">
        <v>1154</v>
      </c>
      <c r="C299" s="388" t="s">
        <v>251</v>
      </c>
      <c r="D299" s="192"/>
      <c r="E299" s="192" t="s">
        <v>251</v>
      </c>
      <c r="F299" s="389"/>
      <c r="G299" s="388"/>
      <c r="H299" s="192"/>
      <c r="I299" s="192">
        <v>22240</v>
      </c>
      <c r="J299" s="389">
        <f>G299+H299+I299</f>
        <v>22240</v>
      </c>
      <c r="K299" s="142">
        <f t="shared" si="13"/>
        <v>0</v>
      </c>
      <c r="L299" s="193">
        <f t="shared" si="14"/>
        <v>113</v>
      </c>
    </row>
    <row r="300" spans="1:12" x14ac:dyDescent="0.3">
      <c r="A300" s="289" t="s">
        <v>1451</v>
      </c>
      <c r="B300" s="290" t="s">
        <v>1083</v>
      </c>
      <c r="C300" s="388">
        <v>359300</v>
      </c>
      <c r="D300" s="192"/>
      <c r="E300" s="192">
        <v>165120</v>
      </c>
      <c r="F300" s="389">
        <f t="shared" si="15"/>
        <v>524420</v>
      </c>
      <c r="G300" s="388">
        <v>7450</v>
      </c>
      <c r="H300" s="192"/>
      <c r="I300" s="192"/>
      <c r="J300" s="389">
        <f>G300+H300+I300</f>
        <v>7450</v>
      </c>
      <c r="K300" s="142">
        <f t="shared" si="13"/>
        <v>-0.98579382937340299</v>
      </c>
      <c r="L300" s="193">
        <f t="shared" si="14"/>
        <v>116</v>
      </c>
    </row>
    <row r="301" spans="1:12" x14ac:dyDescent="0.3">
      <c r="A301" s="289" t="s">
        <v>1451</v>
      </c>
      <c r="B301" s="290" t="s">
        <v>811</v>
      </c>
      <c r="C301" s="388"/>
      <c r="D301" s="192"/>
      <c r="E301" s="192"/>
      <c r="F301" s="389"/>
      <c r="G301" s="388"/>
      <c r="H301" s="192">
        <v>7450</v>
      </c>
      <c r="I301" s="192"/>
      <c r="J301" s="389">
        <f>G301+H301+I301</f>
        <v>7450</v>
      </c>
      <c r="K301" s="142">
        <f t="shared" si="13"/>
        <v>0</v>
      </c>
      <c r="L301" s="193">
        <f t="shared" si="14"/>
        <v>116</v>
      </c>
    </row>
    <row r="302" spans="1:12" x14ac:dyDescent="0.3">
      <c r="A302" s="289" t="s">
        <v>1451</v>
      </c>
      <c r="B302" s="290" t="s">
        <v>719</v>
      </c>
      <c r="C302" s="388">
        <v>42800</v>
      </c>
      <c r="D302" s="192"/>
      <c r="E302" s="192"/>
      <c r="F302" s="389">
        <f t="shared" si="15"/>
        <v>42800</v>
      </c>
      <c r="G302" s="388"/>
      <c r="H302" s="192"/>
      <c r="I302" s="192"/>
      <c r="J302" s="389"/>
      <c r="K302" s="142">
        <f t="shared" si="13"/>
        <v>0</v>
      </c>
      <c r="L302" s="193" t="str">
        <f t="shared" si="14"/>
        <v/>
      </c>
    </row>
    <row r="303" spans="1:12" x14ac:dyDescent="0.3">
      <c r="A303" s="289" t="s">
        <v>1451</v>
      </c>
      <c r="B303" s="290" t="s">
        <v>708</v>
      </c>
      <c r="C303" s="388">
        <v>1580630</v>
      </c>
      <c r="D303" s="192"/>
      <c r="E303" s="192">
        <v>4386960</v>
      </c>
      <c r="F303" s="389">
        <f t="shared" si="15"/>
        <v>5967590</v>
      </c>
      <c r="G303" s="388"/>
      <c r="H303" s="192"/>
      <c r="I303" s="192"/>
      <c r="J303" s="389"/>
      <c r="K303" s="142">
        <f t="shared" si="13"/>
        <v>0</v>
      </c>
      <c r="L303" s="193" t="str">
        <f t="shared" si="14"/>
        <v/>
      </c>
    </row>
    <row r="304" spans="1:12" x14ac:dyDescent="0.3">
      <c r="A304" s="289" t="s">
        <v>1451</v>
      </c>
      <c r="B304" s="290" t="s">
        <v>1071</v>
      </c>
      <c r="C304" s="388">
        <v>275200</v>
      </c>
      <c r="D304" s="192"/>
      <c r="E304" s="192">
        <v>348050</v>
      </c>
      <c r="F304" s="389">
        <f t="shared" si="15"/>
        <v>623250</v>
      </c>
      <c r="G304" s="388"/>
      <c r="H304" s="192"/>
      <c r="I304" s="192"/>
      <c r="J304" s="389"/>
      <c r="K304" s="142">
        <f t="shared" si="13"/>
        <v>0</v>
      </c>
      <c r="L304" s="193" t="str">
        <f t="shared" si="14"/>
        <v/>
      </c>
    </row>
    <row r="305" spans="1:12" x14ac:dyDescent="0.3">
      <c r="A305" s="289" t="s">
        <v>1451</v>
      </c>
      <c r="B305" s="290" t="s">
        <v>725</v>
      </c>
      <c r="C305" s="388">
        <v>1370000</v>
      </c>
      <c r="D305" s="192">
        <v>7100</v>
      </c>
      <c r="E305" s="192">
        <v>670900</v>
      </c>
      <c r="F305" s="389">
        <f t="shared" si="15"/>
        <v>2048000</v>
      </c>
      <c r="G305" s="388"/>
      <c r="H305" s="192"/>
      <c r="I305" s="192"/>
      <c r="J305" s="389"/>
      <c r="K305" s="142">
        <f t="shared" si="13"/>
        <v>0</v>
      </c>
      <c r="L305" s="193" t="str">
        <f t="shared" si="14"/>
        <v/>
      </c>
    </row>
    <row r="306" spans="1:12" x14ac:dyDescent="0.3">
      <c r="A306" s="289" t="s">
        <v>1451</v>
      </c>
      <c r="B306" s="290" t="s">
        <v>715</v>
      </c>
      <c r="C306" s="388">
        <v>162750</v>
      </c>
      <c r="D306" s="192"/>
      <c r="E306" s="192"/>
      <c r="F306" s="389">
        <f t="shared" si="15"/>
        <v>162750</v>
      </c>
      <c r="G306" s="388"/>
      <c r="H306" s="192"/>
      <c r="I306" s="192"/>
      <c r="J306" s="389"/>
      <c r="K306" s="142">
        <f t="shared" si="13"/>
        <v>0</v>
      </c>
      <c r="L306" s="193" t="str">
        <f t="shared" si="14"/>
        <v/>
      </c>
    </row>
    <row r="307" spans="1:12" x14ac:dyDescent="0.3">
      <c r="A307" s="289" t="s">
        <v>1451</v>
      </c>
      <c r="B307" s="290" t="s">
        <v>1065</v>
      </c>
      <c r="C307" s="388"/>
      <c r="D307" s="192">
        <v>401600</v>
      </c>
      <c r="E307" s="192">
        <v>128450</v>
      </c>
      <c r="F307" s="389">
        <f t="shared" si="15"/>
        <v>530050</v>
      </c>
      <c r="G307" s="388"/>
      <c r="H307" s="192"/>
      <c r="I307" s="192"/>
      <c r="J307" s="389"/>
      <c r="K307" s="142">
        <f t="shared" si="13"/>
        <v>0</v>
      </c>
      <c r="L307" s="193" t="str">
        <f t="shared" si="14"/>
        <v/>
      </c>
    </row>
    <row r="308" spans="1:12" x14ac:dyDescent="0.3">
      <c r="A308" s="289" t="s">
        <v>1451</v>
      </c>
      <c r="B308" s="290" t="s">
        <v>803</v>
      </c>
      <c r="C308" s="388"/>
      <c r="D308" s="192"/>
      <c r="E308" s="192">
        <v>164500</v>
      </c>
      <c r="F308" s="389">
        <f t="shared" si="15"/>
        <v>164500</v>
      </c>
      <c r="G308" s="388"/>
      <c r="H308" s="192"/>
      <c r="I308" s="192"/>
      <c r="J308" s="389"/>
      <c r="K308" s="142">
        <f t="shared" si="13"/>
        <v>0</v>
      </c>
      <c r="L308" s="193" t="str">
        <f t="shared" si="14"/>
        <v/>
      </c>
    </row>
    <row r="309" spans="1:12" x14ac:dyDescent="0.3">
      <c r="A309" s="289" t="s">
        <v>1451</v>
      </c>
      <c r="B309" s="290" t="s">
        <v>709</v>
      </c>
      <c r="C309" s="388">
        <v>539120</v>
      </c>
      <c r="D309" s="192"/>
      <c r="E309" s="192">
        <v>495450</v>
      </c>
      <c r="F309" s="389">
        <f t="shared" si="15"/>
        <v>1034570</v>
      </c>
      <c r="G309" s="388"/>
      <c r="H309" s="192"/>
      <c r="I309" s="192"/>
      <c r="J309" s="389"/>
      <c r="K309" s="142">
        <f t="shared" si="13"/>
        <v>0</v>
      </c>
      <c r="L309" s="193" t="str">
        <f t="shared" si="14"/>
        <v/>
      </c>
    </row>
    <row r="310" spans="1:12" x14ac:dyDescent="0.3">
      <c r="A310" s="289" t="s">
        <v>1451</v>
      </c>
      <c r="B310" s="290" t="s">
        <v>1073</v>
      </c>
      <c r="C310" s="388">
        <v>1218120</v>
      </c>
      <c r="D310" s="192"/>
      <c r="E310" s="192"/>
      <c r="F310" s="389">
        <f t="shared" si="15"/>
        <v>1218120</v>
      </c>
      <c r="G310" s="388"/>
      <c r="H310" s="192"/>
      <c r="I310" s="192"/>
      <c r="J310" s="389"/>
      <c r="K310" s="142">
        <f t="shared" si="13"/>
        <v>0</v>
      </c>
      <c r="L310" s="193" t="str">
        <f t="shared" si="14"/>
        <v/>
      </c>
    </row>
    <row r="311" spans="1:12" x14ac:dyDescent="0.3">
      <c r="A311" s="289" t="s">
        <v>1451</v>
      </c>
      <c r="B311" s="290" t="s">
        <v>1070</v>
      </c>
      <c r="C311" s="388">
        <v>554400</v>
      </c>
      <c r="D311" s="192"/>
      <c r="E311" s="192"/>
      <c r="F311" s="389">
        <f t="shared" si="15"/>
        <v>554400</v>
      </c>
      <c r="G311" s="388"/>
      <c r="H311" s="192"/>
      <c r="I311" s="192"/>
      <c r="J311" s="389"/>
      <c r="K311" s="142">
        <f t="shared" si="13"/>
        <v>0</v>
      </c>
      <c r="L311" s="193" t="str">
        <f t="shared" si="14"/>
        <v/>
      </c>
    </row>
    <row r="312" spans="1:12" x14ac:dyDescent="0.3">
      <c r="A312" s="289" t="s">
        <v>1451</v>
      </c>
      <c r="B312" s="290" t="s">
        <v>701</v>
      </c>
      <c r="C312" s="388">
        <v>330300</v>
      </c>
      <c r="D312" s="192"/>
      <c r="E312" s="192"/>
      <c r="F312" s="389">
        <f t="shared" si="15"/>
        <v>330300</v>
      </c>
      <c r="G312" s="388"/>
      <c r="H312" s="192"/>
      <c r="I312" s="192"/>
      <c r="J312" s="389"/>
      <c r="K312" s="142">
        <f t="shared" si="13"/>
        <v>0</v>
      </c>
      <c r="L312" s="193" t="str">
        <f t="shared" si="14"/>
        <v/>
      </c>
    </row>
    <row r="313" spans="1:12" x14ac:dyDescent="0.3">
      <c r="A313" s="289" t="s">
        <v>1451</v>
      </c>
      <c r="B313" s="290" t="s">
        <v>767</v>
      </c>
      <c r="C313" s="388">
        <v>829450</v>
      </c>
      <c r="D313" s="192"/>
      <c r="E313" s="192"/>
      <c r="F313" s="389">
        <f t="shared" si="15"/>
        <v>829450</v>
      </c>
      <c r="G313" s="388"/>
      <c r="H313" s="192"/>
      <c r="I313" s="192"/>
      <c r="J313" s="389"/>
      <c r="K313" s="142">
        <f t="shared" si="13"/>
        <v>0</v>
      </c>
      <c r="L313" s="193" t="str">
        <f t="shared" si="14"/>
        <v/>
      </c>
    </row>
    <row r="314" spans="1:12" x14ac:dyDescent="0.3">
      <c r="A314" s="289" t="s">
        <v>1451</v>
      </c>
      <c r="B314" s="290" t="s">
        <v>1075</v>
      </c>
      <c r="C314" s="388"/>
      <c r="D314" s="192"/>
      <c r="E314" s="192"/>
      <c r="F314" s="389"/>
      <c r="G314" s="388"/>
      <c r="H314" s="192"/>
      <c r="I314" s="192"/>
      <c r="J314" s="389"/>
      <c r="K314" s="142">
        <f t="shared" si="13"/>
        <v>0</v>
      </c>
      <c r="L314" s="193" t="str">
        <f t="shared" si="14"/>
        <v/>
      </c>
    </row>
    <row r="315" spans="1:12" x14ac:dyDescent="0.3">
      <c r="A315" s="289" t="s">
        <v>1451</v>
      </c>
      <c r="B315" s="290" t="s">
        <v>710</v>
      </c>
      <c r="C315" s="388">
        <v>492950</v>
      </c>
      <c r="D315" s="192"/>
      <c r="E315" s="192">
        <v>79200</v>
      </c>
      <c r="F315" s="389">
        <f t="shared" si="15"/>
        <v>572150</v>
      </c>
      <c r="G315" s="388"/>
      <c r="H315" s="192"/>
      <c r="I315" s="192"/>
      <c r="J315" s="389"/>
      <c r="K315" s="142">
        <f t="shared" si="13"/>
        <v>0</v>
      </c>
      <c r="L315" s="193" t="str">
        <f t="shared" si="14"/>
        <v/>
      </c>
    </row>
    <row r="316" spans="1:12" x14ac:dyDescent="0.3">
      <c r="A316" s="289" t="s">
        <v>1451</v>
      </c>
      <c r="B316" s="290" t="s">
        <v>720</v>
      </c>
      <c r="C316" s="388"/>
      <c r="D316" s="192"/>
      <c r="E316" s="192"/>
      <c r="F316" s="389"/>
      <c r="G316" s="388"/>
      <c r="H316" s="192"/>
      <c r="I316" s="192"/>
      <c r="J316" s="389"/>
      <c r="K316" s="142">
        <f t="shared" si="13"/>
        <v>0</v>
      </c>
      <c r="L316" s="193" t="str">
        <f t="shared" si="14"/>
        <v/>
      </c>
    </row>
    <row r="317" spans="1:12" x14ac:dyDescent="0.3">
      <c r="A317" s="289" t="s">
        <v>1451</v>
      </c>
      <c r="B317" s="290" t="s">
        <v>1090</v>
      </c>
      <c r="C317" s="388"/>
      <c r="D317" s="192"/>
      <c r="E317" s="192"/>
      <c r="F317" s="389"/>
      <c r="G317" s="388"/>
      <c r="H317" s="192"/>
      <c r="I317" s="192"/>
      <c r="J317" s="389"/>
      <c r="K317" s="142">
        <f t="shared" si="13"/>
        <v>0</v>
      </c>
      <c r="L317" s="193" t="str">
        <f t="shared" si="14"/>
        <v/>
      </c>
    </row>
    <row r="318" spans="1:12" x14ac:dyDescent="0.3">
      <c r="A318" s="289" t="s">
        <v>1451</v>
      </c>
      <c r="B318" s="290" t="s">
        <v>1091</v>
      </c>
      <c r="C318" s="388"/>
      <c r="D318" s="192"/>
      <c r="E318" s="192"/>
      <c r="F318" s="389"/>
      <c r="G318" s="388"/>
      <c r="H318" s="192"/>
      <c r="I318" s="192"/>
      <c r="J318" s="389"/>
      <c r="K318" s="142">
        <f t="shared" si="13"/>
        <v>0</v>
      </c>
      <c r="L318" s="193" t="str">
        <f t="shared" si="14"/>
        <v/>
      </c>
    </row>
    <row r="319" spans="1:12" x14ac:dyDescent="0.3">
      <c r="A319" s="289" t="s">
        <v>1451</v>
      </c>
      <c r="B319" s="290" t="s">
        <v>808</v>
      </c>
      <c r="C319" s="388"/>
      <c r="D319" s="192">
        <v>77700</v>
      </c>
      <c r="E319" s="192"/>
      <c r="F319" s="389">
        <f t="shared" si="15"/>
        <v>77700</v>
      </c>
      <c r="G319" s="388"/>
      <c r="H319" s="192"/>
      <c r="I319" s="192"/>
      <c r="J319" s="389"/>
      <c r="K319" s="142">
        <f t="shared" si="13"/>
        <v>0</v>
      </c>
      <c r="L319" s="193" t="str">
        <f t="shared" si="14"/>
        <v/>
      </c>
    </row>
    <row r="320" spans="1:12" x14ac:dyDescent="0.3">
      <c r="A320" s="289" t="s">
        <v>1451</v>
      </c>
      <c r="B320" s="290" t="s">
        <v>1136</v>
      </c>
      <c r="C320" s="388">
        <v>333650</v>
      </c>
      <c r="D320" s="192"/>
      <c r="E320" s="192"/>
      <c r="F320" s="389">
        <f t="shared" si="15"/>
        <v>333650</v>
      </c>
      <c r="G320" s="388"/>
      <c r="H320" s="192"/>
      <c r="I320" s="192"/>
      <c r="J320" s="389"/>
      <c r="K320" s="142">
        <f t="shared" si="13"/>
        <v>0</v>
      </c>
      <c r="L320" s="193" t="str">
        <f t="shared" si="14"/>
        <v/>
      </c>
    </row>
    <row r="321" spans="1:12" x14ac:dyDescent="0.3">
      <c r="A321" s="289" t="s">
        <v>1451</v>
      </c>
      <c r="B321" s="290" t="s">
        <v>1097</v>
      </c>
      <c r="C321" s="388"/>
      <c r="D321" s="192"/>
      <c r="E321" s="192"/>
      <c r="F321" s="389"/>
      <c r="G321" s="388" t="s">
        <v>251</v>
      </c>
      <c r="H321" s="192" t="s">
        <v>251</v>
      </c>
      <c r="I321" s="192" t="s">
        <v>251</v>
      </c>
      <c r="J321" s="389"/>
      <c r="K321" s="142">
        <f t="shared" si="13"/>
        <v>0</v>
      </c>
      <c r="L321" s="193" t="str">
        <f t="shared" si="14"/>
        <v/>
      </c>
    </row>
    <row r="322" spans="1:12" x14ac:dyDescent="0.3">
      <c r="A322" s="289" t="s">
        <v>1451</v>
      </c>
      <c r="B322" s="290" t="s">
        <v>1417</v>
      </c>
      <c r="C322" s="388">
        <v>1229750</v>
      </c>
      <c r="D322" s="192"/>
      <c r="E322" s="192"/>
      <c r="F322" s="389">
        <f t="shared" si="15"/>
        <v>1229750</v>
      </c>
      <c r="G322" s="388" t="s">
        <v>251</v>
      </c>
      <c r="H322" s="192" t="s">
        <v>251</v>
      </c>
      <c r="I322" s="192" t="s">
        <v>251</v>
      </c>
      <c r="J322" s="389"/>
      <c r="K322" s="142">
        <f t="shared" ref="K322:K385" si="16">IF(OR(J322="", F322=""), 0, IFERROR((J322-F322)/F322, IF(J322&lt;&gt;0, 1, 0)))</f>
        <v>0</v>
      </c>
      <c r="L322" s="193" t="str">
        <f t="shared" ref="L322:L385" si="17">IFERROR(_xlfn.RANK.EQ(J322, $J$2:$J$308), "")</f>
        <v/>
      </c>
    </row>
    <row r="323" spans="1:12" x14ac:dyDescent="0.3">
      <c r="A323" s="289" t="s">
        <v>1451</v>
      </c>
      <c r="B323" s="290" t="s">
        <v>815</v>
      </c>
      <c r="C323" s="388"/>
      <c r="D323" s="192"/>
      <c r="E323" s="192"/>
      <c r="F323" s="389"/>
      <c r="G323" s="388" t="s">
        <v>251</v>
      </c>
      <c r="H323" s="192" t="s">
        <v>251</v>
      </c>
      <c r="I323" s="192" t="s">
        <v>251</v>
      </c>
      <c r="J323" s="389"/>
      <c r="K323" s="142">
        <f t="shared" si="16"/>
        <v>0</v>
      </c>
      <c r="L323" s="193" t="str">
        <f t="shared" si="17"/>
        <v/>
      </c>
    </row>
    <row r="324" spans="1:12" x14ac:dyDescent="0.3">
      <c r="A324" s="289" t="s">
        <v>1451</v>
      </c>
      <c r="B324" s="290" t="s">
        <v>648</v>
      </c>
      <c r="C324" s="388"/>
      <c r="D324" s="192"/>
      <c r="E324" s="192">
        <v>464470</v>
      </c>
      <c r="F324" s="389">
        <f>C324+D324+E324</f>
        <v>464470</v>
      </c>
      <c r="G324" s="388" t="s">
        <v>251</v>
      </c>
      <c r="H324" s="192" t="s">
        <v>251</v>
      </c>
      <c r="I324" s="192" t="s">
        <v>251</v>
      </c>
      <c r="J324" s="389"/>
      <c r="K324" s="142">
        <f t="shared" si="16"/>
        <v>0</v>
      </c>
      <c r="L324" s="193" t="str">
        <f t="shared" si="17"/>
        <v/>
      </c>
    </row>
    <row r="325" spans="1:12" x14ac:dyDescent="0.3">
      <c r="A325" s="289" t="s">
        <v>1451</v>
      </c>
      <c r="B325" s="290" t="s">
        <v>849</v>
      </c>
      <c r="C325" s="388"/>
      <c r="D325" s="192"/>
      <c r="E325" s="192"/>
      <c r="F325" s="389"/>
      <c r="G325" s="388" t="s">
        <v>251</v>
      </c>
      <c r="H325" s="192" t="s">
        <v>251</v>
      </c>
      <c r="I325" s="192" t="s">
        <v>251</v>
      </c>
      <c r="J325" s="389"/>
      <c r="K325" s="142">
        <f t="shared" si="16"/>
        <v>0</v>
      </c>
      <c r="L325" s="193" t="str">
        <f t="shared" si="17"/>
        <v/>
      </c>
    </row>
    <row r="326" spans="1:12" x14ac:dyDescent="0.3">
      <c r="A326" s="289" t="s">
        <v>1451</v>
      </c>
      <c r="B326" s="290" t="s">
        <v>836</v>
      </c>
      <c r="C326" s="388">
        <v>414400</v>
      </c>
      <c r="D326" s="192"/>
      <c r="E326" s="192">
        <v>326550</v>
      </c>
      <c r="F326" s="389">
        <f>C326+D326+E326</f>
        <v>740950</v>
      </c>
      <c r="G326" s="388" t="s">
        <v>251</v>
      </c>
      <c r="H326" s="192" t="s">
        <v>251</v>
      </c>
      <c r="I326" s="192" t="s">
        <v>251</v>
      </c>
      <c r="J326" s="389"/>
      <c r="K326" s="142">
        <f t="shared" si="16"/>
        <v>0</v>
      </c>
      <c r="L326" s="193" t="str">
        <f t="shared" si="17"/>
        <v/>
      </c>
    </row>
    <row r="327" spans="1:12" x14ac:dyDescent="0.3">
      <c r="A327" s="289" t="s">
        <v>1451</v>
      </c>
      <c r="B327" s="290" t="s">
        <v>447</v>
      </c>
      <c r="C327" s="388">
        <v>225580</v>
      </c>
      <c r="D327" s="192"/>
      <c r="E327" s="192">
        <v>170800</v>
      </c>
      <c r="F327" s="389">
        <f>C327+D327+E327</f>
        <v>396380</v>
      </c>
      <c r="G327" s="388" t="s">
        <v>251</v>
      </c>
      <c r="H327" s="192" t="s">
        <v>251</v>
      </c>
      <c r="I327" s="192" t="s">
        <v>251</v>
      </c>
      <c r="J327" s="389"/>
      <c r="K327" s="142">
        <f t="shared" si="16"/>
        <v>0</v>
      </c>
      <c r="L327" s="193" t="str">
        <f t="shared" si="17"/>
        <v/>
      </c>
    </row>
    <row r="328" spans="1:12" x14ac:dyDescent="0.3">
      <c r="A328" s="289" t="s">
        <v>1451</v>
      </c>
      <c r="B328" s="290" t="s">
        <v>1086</v>
      </c>
      <c r="C328" s="388"/>
      <c r="D328" s="192"/>
      <c r="E328" s="192"/>
      <c r="F328" s="389"/>
      <c r="G328" s="388" t="s">
        <v>251</v>
      </c>
      <c r="H328" s="192" t="s">
        <v>251</v>
      </c>
      <c r="I328" s="192" t="s">
        <v>251</v>
      </c>
      <c r="J328" s="389"/>
      <c r="K328" s="142">
        <f t="shared" si="16"/>
        <v>0</v>
      </c>
      <c r="L328" s="193" t="str">
        <f t="shared" si="17"/>
        <v/>
      </c>
    </row>
    <row r="329" spans="1:12" x14ac:dyDescent="0.3">
      <c r="A329" s="289" t="s">
        <v>1451</v>
      </c>
      <c r="B329" s="290" t="s">
        <v>779</v>
      </c>
      <c r="C329" s="388">
        <v>310570</v>
      </c>
      <c r="D329" s="192">
        <v>15500</v>
      </c>
      <c r="E329" s="192"/>
      <c r="F329" s="389">
        <f>C329+D329+E329</f>
        <v>326070</v>
      </c>
      <c r="G329" s="388" t="s">
        <v>251</v>
      </c>
      <c r="H329" s="192" t="s">
        <v>251</v>
      </c>
      <c r="I329" s="192" t="s">
        <v>251</v>
      </c>
      <c r="J329" s="389"/>
      <c r="K329" s="142">
        <f t="shared" si="16"/>
        <v>0</v>
      </c>
      <c r="L329" s="193" t="str">
        <f t="shared" si="17"/>
        <v/>
      </c>
    </row>
    <row r="330" spans="1:12" x14ac:dyDescent="0.3">
      <c r="A330" s="289" t="s">
        <v>1451</v>
      </c>
      <c r="B330" s="290" t="s">
        <v>851</v>
      </c>
      <c r="C330" s="388"/>
      <c r="D330" s="192"/>
      <c r="E330" s="192">
        <v>85400</v>
      </c>
      <c r="F330" s="389">
        <f>C330+D330+E330</f>
        <v>85400</v>
      </c>
      <c r="G330" s="388" t="s">
        <v>251</v>
      </c>
      <c r="H330" s="192" t="s">
        <v>251</v>
      </c>
      <c r="I330" s="192" t="s">
        <v>251</v>
      </c>
      <c r="J330" s="389"/>
      <c r="K330" s="142">
        <f t="shared" si="16"/>
        <v>0</v>
      </c>
      <c r="L330" s="193" t="str">
        <f t="shared" si="17"/>
        <v/>
      </c>
    </row>
    <row r="331" spans="1:12" x14ac:dyDescent="0.3">
      <c r="A331" s="289" t="s">
        <v>1451</v>
      </c>
      <c r="B331" s="290" t="s">
        <v>848</v>
      </c>
      <c r="C331" s="388"/>
      <c r="D331" s="192"/>
      <c r="E331" s="192">
        <v>145950</v>
      </c>
      <c r="F331" s="389">
        <f>C331+D331+E331</f>
        <v>145950</v>
      </c>
      <c r="G331" s="388" t="s">
        <v>251</v>
      </c>
      <c r="H331" s="192" t="s">
        <v>251</v>
      </c>
      <c r="I331" s="192" t="s">
        <v>251</v>
      </c>
      <c r="J331" s="389"/>
      <c r="K331" s="142">
        <f t="shared" si="16"/>
        <v>0</v>
      </c>
      <c r="L331" s="193" t="str">
        <f t="shared" si="17"/>
        <v/>
      </c>
    </row>
    <row r="332" spans="1:12" x14ac:dyDescent="0.3">
      <c r="A332" s="289" t="s">
        <v>1451</v>
      </c>
      <c r="B332" s="290" t="s">
        <v>852</v>
      </c>
      <c r="C332" s="388"/>
      <c r="D332" s="192"/>
      <c r="E332" s="192">
        <v>224350</v>
      </c>
      <c r="F332" s="389">
        <f>C332+D332+E332</f>
        <v>224350</v>
      </c>
      <c r="G332" s="388" t="s">
        <v>251</v>
      </c>
      <c r="H332" s="192" t="s">
        <v>251</v>
      </c>
      <c r="I332" s="192" t="s">
        <v>251</v>
      </c>
      <c r="J332" s="389"/>
      <c r="K332" s="142">
        <f t="shared" si="16"/>
        <v>0</v>
      </c>
      <c r="L332" s="193" t="str">
        <f t="shared" si="17"/>
        <v/>
      </c>
    </row>
    <row r="333" spans="1:12" x14ac:dyDescent="0.3">
      <c r="A333" s="289" t="s">
        <v>1451</v>
      </c>
      <c r="B333" s="290" t="s">
        <v>1149</v>
      </c>
      <c r="C333" s="388"/>
      <c r="D333" s="192"/>
      <c r="E333" s="192"/>
      <c r="F333" s="389"/>
      <c r="G333" s="388" t="s">
        <v>251</v>
      </c>
      <c r="H333" s="192" t="s">
        <v>251</v>
      </c>
      <c r="I333" s="192" t="s">
        <v>251</v>
      </c>
      <c r="J333" s="389"/>
      <c r="K333" s="142">
        <f t="shared" si="16"/>
        <v>0</v>
      </c>
      <c r="L333" s="193" t="str">
        <f t="shared" si="17"/>
        <v/>
      </c>
    </row>
    <row r="334" spans="1:12" x14ac:dyDescent="0.3">
      <c r="A334" s="289" t="s">
        <v>1451</v>
      </c>
      <c r="B334" s="290" t="s">
        <v>1428</v>
      </c>
      <c r="C334" s="388"/>
      <c r="D334" s="192"/>
      <c r="E334" s="192">
        <v>179200</v>
      </c>
      <c r="F334" s="389">
        <f>C334+D334+E334</f>
        <v>179200</v>
      </c>
      <c r="G334" s="388" t="s">
        <v>251</v>
      </c>
      <c r="H334" s="192" t="s">
        <v>251</v>
      </c>
      <c r="I334" s="192" t="s">
        <v>251</v>
      </c>
      <c r="J334" s="389"/>
      <c r="K334" s="142">
        <f t="shared" si="16"/>
        <v>0</v>
      </c>
      <c r="L334" s="193" t="str">
        <f t="shared" si="17"/>
        <v/>
      </c>
    </row>
    <row r="335" spans="1:12" x14ac:dyDescent="0.3">
      <c r="A335" s="289" t="s">
        <v>1451</v>
      </c>
      <c r="B335" s="290" t="s">
        <v>802</v>
      </c>
      <c r="C335" s="388"/>
      <c r="D335" s="192"/>
      <c r="E335" s="192"/>
      <c r="F335" s="389"/>
      <c r="G335" s="388" t="s">
        <v>251</v>
      </c>
      <c r="H335" s="192" t="s">
        <v>251</v>
      </c>
      <c r="I335" s="192" t="s">
        <v>251</v>
      </c>
      <c r="J335" s="389"/>
      <c r="K335" s="142">
        <f t="shared" si="16"/>
        <v>0</v>
      </c>
      <c r="L335" s="193" t="str">
        <f t="shared" si="17"/>
        <v/>
      </c>
    </row>
    <row r="336" spans="1:12" x14ac:dyDescent="0.3">
      <c r="A336" s="289" t="s">
        <v>1451</v>
      </c>
      <c r="B336" s="290" t="s">
        <v>853</v>
      </c>
      <c r="C336" s="388"/>
      <c r="D336" s="192"/>
      <c r="E336" s="192"/>
      <c r="F336" s="389"/>
      <c r="G336" s="388" t="s">
        <v>251</v>
      </c>
      <c r="H336" s="192" t="s">
        <v>251</v>
      </c>
      <c r="I336" s="192" t="s">
        <v>251</v>
      </c>
      <c r="J336" s="389"/>
      <c r="K336" s="142">
        <f t="shared" si="16"/>
        <v>0</v>
      </c>
      <c r="L336" s="193" t="str">
        <f t="shared" si="17"/>
        <v/>
      </c>
    </row>
    <row r="337" spans="1:12" x14ac:dyDescent="0.3">
      <c r="A337" s="289" t="s">
        <v>1451</v>
      </c>
      <c r="B337" s="290" t="s">
        <v>832</v>
      </c>
      <c r="C337" s="388"/>
      <c r="D337" s="192"/>
      <c r="E337" s="192"/>
      <c r="F337" s="389"/>
      <c r="G337" s="388" t="s">
        <v>251</v>
      </c>
      <c r="H337" s="192" t="s">
        <v>251</v>
      </c>
      <c r="I337" s="192" t="s">
        <v>251</v>
      </c>
      <c r="J337" s="389"/>
      <c r="K337" s="142">
        <f t="shared" si="16"/>
        <v>0</v>
      </c>
      <c r="L337" s="193" t="str">
        <f t="shared" si="17"/>
        <v/>
      </c>
    </row>
    <row r="338" spans="1:12" x14ac:dyDescent="0.3">
      <c r="A338" s="289" t="s">
        <v>1451</v>
      </c>
      <c r="B338" s="290" t="s">
        <v>858</v>
      </c>
      <c r="C338" s="388">
        <v>177100</v>
      </c>
      <c r="D338" s="192"/>
      <c r="E338" s="192"/>
      <c r="F338" s="389">
        <f>C338+D338+E338</f>
        <v>177100</v>
      </c>
      <c r="G338" s="388" t="s">
        <v>251</v>
      </c>
      <c r="H338" s="192" t="s">
        <v>251</v>
      </c>
      <c r="I338" s="192" t="s">
        <v>251</v>
      </c>
      <c r="J338" s="389"/>
      <c r="K338" s="142">
        <f t="shared" si="16"/>
        <v>0</v>
      </c>
      <c r="L338" s="193" t="str">
        <f t="shared" si="17"/>
        <v/>
      </c>
    </row>
    <row r="339" spans="1:12" x14ac:dyDescent="0.3">
      <c r="A339" s="289" t="s">
        <v>1451</v>
      </c>
      <c r="B339" s="290" t="s">
        <v>840</v>
      </c>
      <c r="C339" s="388">
        <v>71050</v>
      </c>
      <c r="D339" s="192"/>
      <c r="E339" s="192"/>
      <c r="F339" s="389">
        <f>C339+D339+E339</f>
        <v>71050</v>
      </c>
      <c r="G339" s="388" t="s">
        <v>251</v>
      </c>
      <c r="H339" s="192" t="s">
        <v>251</v>
      </c>
      <c r="I339" s="192" t="s">
        <v>251</v>
      </c>
      <c r="J339" s="389"/>
      <c r="K339" s="142">
        <f t="shared" si="16"/>
        <v>0</v>
      </c>
      <c r="L339" s="193" t="str">
        <f t="shared" si="17"/>
        <v/>
      </c>
    </row>
    <row r="340" spans="1:12" x14ac:dyDescent="0.3">
      <c r="A340" s="289" t="s">
        <v>1451</v>
      </c>
      <c r="B340" s="290" t="s">
        <v>860</v>
      </c>
      <c r="C340" s="388"/>
      <c r="D340" s="192"/>
      <c r="E340" s="192"/>
      <c r="F340" s="389"/>
      <c r="G340" s="388" t="s">
        <v>251</v>
      </c>
      <c r="H340" s="192" t="s">
        <v>251</v>
      </c>
      <c r="I340" s="192" t="s">
        <v>251</v>
      </c>
      <c r="J340" s="389"/>
      <c r="K340" s="142">
        <f t="shared" si="16"/>
        <v>0</v>
      </c>
      <c r="L340" s="193" t="str">
        <f t="shared" si="17"/>
        <v/>
      </c>
    </row>
    <row r="341" spans="1:12" x14ac:dyDescent="0.3">
      <c r="A341" s="289" t="s">
        <v>1451</v>
      </c>
      <c r="B341" s="290" t="s">
        <v>814</v>
      </c>
      <c r="C341" s="388"/>
      <c r="D341" s="192"/>
      <c r="E341" s="192"/>
      <c r="F341" s="389"/>
      <c r="G341" s="388" t="s">
        <v>251</v>
      </c>
      <c r="H341" s="192" t="s">
        <v>251</v>
      </c>
      <c r="I341" s="192" t="s">
        <v>251</v>
      </c>
      <c r="J341" s="389"/>
      <c r="K341" s="142">
        <f t="shared" si="16"/>
        <v>0</v>
      </c>
      <c r="L341" s="193" t="str">
        <f t="shared" si="17"/>
        <v/>
      </c>
    </row>
    <row r="342" spans="1:12" x14ac:dyDescent="0.3">
      <c r="A342" s="289" t="s">
        <v>1451</v>
      </c>
      <c r="B342" s="290" t="s">
        <v>844</v>
      </c>
      <c r="C342" s="388"/>
      <c r="D342" s="192"/>
      <c r="E342" s="192"/>
      <c r="F342" s="389"/>
      <c r="G342" s="388" t="s">
        <v>251</v>
      </c>
      <c r="H342" s="192" t="s">
        <v>251</v>
      </c>
      <c r="I342" s="192" t="s">
        <v>251</v>
      </c>
      <c r="J342" s="389"/>
      <c r="K342" s="142">
        <f t="shared" si="16"/>
        <v>0</v>
      </c>
      <c r="L342" s="193" t="str">
        <f t="shared" si="17"/>
        <v/>
      </c>
    </row>
    <row r="343" spans="1:12" x14ac:dyDescent="0.3">
      <c r="A343" s="289" t="s">
        <v>1451</v>
      </c>
      <c r="B343" s="290" t="s">
        <v>1163</v>
      </c>
      <c r="C343" s="388"/>
      <c r="D343" s="192"/>
      <c r="E343" s="192"/>
      <c r="F343" s="389"/>
      <c r="G343" s="388" t="s">
        <v>251</v>
      </c>
      <c r="H343" s="192" t="s">
        <v>251</v>
      </c>
      <c r="I343" s="192" t="s">
        <v>251</v>
      </c>
      <c r="J343" s="389"/>
      <c r="K343" s="142">
        <f t="shared" si="16"/>
        <v>0</v>
      </c>
      <c r="L343" s="193" t="str">
        <f t="shared" si="17"/>
        <v/>
      </c>
    </row>
    <row r="344" spans="1:12" x14ac:dyDescent="0.3">
      <c r="A344" s="289" t="s">
        <v>1451</v>
      </c>
      <c r="B344" s="290" t="s">
        <v>821</v>
      </c>
      <c r="C344" s="388"/>
      <c r="D344" s="192"/>
      <c r="E344" s="192"/>
      <c r="F344" s="389"/>
      <c r="G344" s="388" t="s">
        <v>251</v>
      </c>
      <c r="H344" s="192" t="s">
        <v>251</v>
      </c>
      <c r="I344" s="192" t="s">
        <v>251</v>
      </c>
      <c r="J344" s="389"/>
      <c r="K344" s="142">
        <f t="shared" si="16"/>
        <v>0</v>
      </c>
      <c r="L344" s="193" t="str">
        <f t="shared" si="17"/>
        <v/>
      </c>
    </row>
    <row r="345" spans="1:12" x14ac:dyDescent="0.3">
      <c r="A345" s="289" t="s">
        <v>1451</v>
      </c>
      <c r="B345" s="290" t="s">
        <v>1452</v>
      </c>
      <c r="C345" s="388"/>
      <c r="D345" s="192"/>
      <c r="E345" s="192"/>
      <c r="F345" s="389"/>
      <c r="G345" s="388"/>
      <c r="H345" s="192"/>
      <c r="I345" s="192"/>
      <c r="J345" s="389"/>
      <c r="K345" s="142">
        <f t="shared" si="16"/>
        <v>0</v>
      </c>
      <c r="L345" s="193" t="str">
        <f t="shared" si="17"/>
        <v/>
      </c>
    </row>
    <row r="346" spans="1:12" x14ac:dyDescent="0.3">
      <c r="A346" s="289" t="s">
        <v>1451</v>
      </c>
      <c r="B346" s="290" t="s">
        <v>1453</v>
      </c>
      <c r="C346" s="388"/>
      <c r="D346" s="192"/>
      <c r="E346" s="192">
        <v>122850</v>
      </c>
      <c r="F346" s="389">
        <f>C346+D346+E346</f>
        <v>122850</v>
      </c>
      <c r="G346" s="388"/>
      <c r="H346" s="192"/>
      <c r="I346" s="192"/>
      <c r="J346" s="389"/>
      <c r="K346" s="142">
        <f t="shared" si="16"/>
        <v>0</v>
      </c>
      <c r="L346" s="193" t="str">
        <f t="shared" si="17"/>
        <v/>
      </c>
    </row>
    <row r="347" spans="1:12" x14ac:dyDescent="0.3">
      <c r="A347" s="289" t="s">
        <v>1451</v>
      </c>
      <c r="B347" s="290" t="s">
        <v>1454</v>
      </c>
      <c r="C347" s="388"/>
      <c r="D347" s="192"/>
      <c r="E347" s="192"/>
      <c r="F347" s="389"/>
      <c r="G347" s="388"/>
      <c r="H347" s="192"/>
      <c r="I347" s="192"/>
      <c r="J347" s="389"/>
      <c r="K347" s="142">
        <f t="shared" si="16"/>
        <v>0</v>
      </c>
      <c r="L347" s="193" t="str">
        <f t="shared" si="17"/>
        <v/>
      </c>
    </row>
    <row r="348" spans="1:12" x14ac:dyDescent="0.3">
      <c r="A348" s="289" t="s">
        <v>1451</v>
      </c>
      <c r="B348" s="290" t="s">
        <v>850</v>
      </c>
      <c r="C348" s="388"/>
      <c r="D348" s="192"/>
      <c r="E348" s="192"/>
      <c r="F348" s="389"/>
      <c r="G348" s="388"/>
      <c r="H348" s="192"/>
      <c r="I348" s="192"/>
      <c r="J348" s="389"/>
      <c r="K348" s="142">
        <f t="shared" si="16"/>
        <v>0</v>
      </c>
      <c r="L348" s="193" t="str">
        <f t="shared" si="17"/>
        <v/>
      </c>
    </row>
    <row r="349" spans="1:12" x14ac:dyDescent="0.3">
      <c r="A349" s="289" t="s">
        <v>1451</v>
      </c>
      <c r="B349" s="290" t="s">
        <v>1455</v>
      </c>
      <c r="C349" s="388"/>
      <c r="D349" s="192"/>
      <c r="E349" s="192"/>
      <c r="F349" s="389"/>
      <c r="G349" s="388"/>
      <c r="H349" s="192"/>
      <c r="I349" s="192"/>
      <c r="J349" s="389"/>
      <c r="K349" s="142">
        <f t="shared" si="16"/>
        <v>0</v>
      </c>
      <c r="L349" s="193" t="str">
        <f t="shared" si="17"/>
        <v/>
      </c>
    </row>
    <row r="350" spans="1:12" x14ac:dyDescent="0.3">
      <c r="A350" s="289" t="s">
        <v>1451</v>
      </c>
      <c r="B350" s="290" t="s">
        <v>806</v>
      </c>
      <c r="C350" s="388"/>
      <c r="D350" s="192"/>
      <c r="E350" s="192"/>
      <c r="F350" s="389"/>
      <c r="G350" s="388"/>
      <c r="H350" s="192"/>
      <c r="I350" s="192"/>
      <c r="J350" s="389"/>
      <c r="K350" s="142">
        <f t="shared" si="16"/>
        <v>0</v>
      </c>
      <c r="L350" s="193" t="str">
        <f t="shared" si="17"/>
        <v/>
      </c>
    </row>
    <row r="351" spans="1:12" x14ac:dyDescent="0.3">
      <c r="A351" s="289" t="s">
        <v>1451</v>
      </c>
      <c r="B351" s="290" t="s">
        <v>837</v>
      </c>
      <c r="C351" s="388"/>
      <c r="D351" s="192"/>
      <c r="E351" s="192"/>
      <c r="F351" s="389"/>
      <c r="G351" s="388"/>
      <c r="H351" s="192"/>
      <c r="I351" s="192"/>
      <c r="J351" s="389"/>
      <c r="K351" s="142">
        <f t="shared" si="16"/>
        <v>0</v>
      </c>
      <c r="L351" s="193" t="str">
        <f t="shared" si="17"/>
        <v/>
      </c>
    </row>
    <row r="352" spans="1:12" x14ac:dyDescent="0.3">
      <c r="A352" s="289" t="s">
        <v>1451</v>
      </c>
      <c r="B352" s="290" t="s">
        <v>1456</v>
      </c>
      <c r="C352" s="388">
        <v>50770</v>
      </c>
      <c r="D352" s="192"/>
      <c r="E352" s="192"/>
      <c r="F352" s="389">
        <f>C352+D352+E352</f>
        <v>50770</v>
      </c>
      <c r="G352" s="388"/>
      <c r="H352" s="192"/>
      <c r="I352" s="192"/>
      <c r="J352" s="389"/>
      <c r="K352" s="142">
        <f t="shared" si="16"/>
        <v>0</v>
      </c>
      <c r="L352" s="193" t="str">
        <f t="shared" si="17"/>
        <v/>
      </c>
    </row>
    <row r="353" spans="1:12" x14ac:dyDescent="0.3">
      <c r="A353" s="291" t="s">
        <v>1177</v>
      </c>
      <c r="B353" s="292" t="s">
        <v>1178</v>
      </c>
      <c r="C353" s="390">
        <v>5558000</v>
      </c>
      <c r="D353" s="194"/>
      <c r="E353" s="194">
        <v>5664500</v>
      </c>
      <c r="F353" s="391">
        <f>C353+D353+E353</f>
        <v>11222500</v>
      </c>
      <c r="G353" s="390">
        <v>14927500</v>
      </c>
      <c r="H353" s="194">
        <v>1114000</v>
      </c>
      <c r="I353" s="194">
        <v>6015500</v>
      </c>
      <c r="J353" s="391">
        <f t="shared" ref="J353:J386" si="18">G353+H353+I353</f>
        <v>22057000</v>
      </c>
      <c r="K353" s="143">
        <f t="shared" si="16"/>
        <v>0.965426598351526</v>
      </c>
      <c r="L353" s="195" t="str">
        <f t="shared" si="17"/>
        <v/>
      </c>
    </row>
    <row r="354" spans="1:12" x14ac:dyDescent="0.3">
      <c r="A354" s="291" t="s">
        <v>1177</v>
      </c>
      <c r="B354" s="292" t="s">
        <v>1179</v>
      </c>
      <c r="C354" s="390">
        <v>15122500</v>
      </c>
      <c r="D354" s="194">
        <v>1983500</v>
      </c>
      <c r="E354" s="194">
        <v>9363000</v>
      </c>
      <c r="F354" s="391">
        <f>C354+D354+E354</f>
        <v>26469000</v>
      </c>
      <c r="G354" s="390">
        <v>4371000</v>
      </c>
      <c r="H354" s="194">
        <v>270500</v>
      </c>
      <c r="I354" s="194">
        <v>6721000</v>
      </c>
      <c r="J354" s="391">
        <f t="shared" si="18"/>
        <v>11362500</v>
      </c>
      <c r="K354" s="143">
        <f t="shared" si="16"/>
        <v>-0.57072424345460726</v>
      </c>
      <c r="L354" s="195" t="str">
        <f t="shared" si="17"/>
        <v/>
      </c>
    </row>
    <row r="355" spans="1:12" x14ac:dyDescent="0.3">
      <c r="A355" s="291" t="s">
        <v>1177</v>
      </c>
      <c r="B355" s="292" t="s">
        <v>1180</v>
      </c>
      <c r="C355" s="390">
        <v>25838750</v>
      </c>
      <c r="D355" s="194">
        <v>1521500</v>
      </c>
      <c r="E355" s="194">
        <v>3654500</v>
      </c>
      <c r="F355" s="391">
        <f>C355+D355+E355</f>
        <v>31014750</v>
      </c>
      <c r="G355" s="390">
        <v>6206500</v>
      </c>
      <c r="H355" s="194">
        <v>2929000</v>
      </c>
      <c r="I355" s="194">
        <v>1117500</v>
      </c>
      <c r="J355" s="391">
        <f t="shared" si="18"/>
        <v>10253000</v>
      </c>
      <c r="K355" s="143">
        <f t="shared" si="16"/>
        <v>-0.66941535882120606</v>
      </c>
      <c r="L355" s="195" t="str">
        <f t="shared" si="17"/>
        <v/>
      </c>
    </row>
    <row r="356" spans="1:12" x14ac:dyDescent="0.3">
      <c r="A356" s="291" t="s">
        <v>1177</v>
      </c>
      <c r="B356" s="292" t="s">
        <v>1181</v>
      </c>
      <c r="C356" s="390"/>
      <c r="D356" s="194"/>
      <c r="E356" s="194"/>
      <c r="F356" s="391"/>
      <c r="G356" s="390">
        <v>1304000</v>
      </c>
      <c r="H356" s="194"/>
      <c r="I356" s="194"/>
      <c r="J356" s="391">
        <f t="shared" si="18"/>
        <v>1304000</v>
      </c>
      <c r="K356" s="143">
        <f t="shared" si="16"/>
        <v>0</v>
      </c>
      <c r="L356" s="195" t="str">
        <f t="shared" si="17"/>
        <v/>
      </c>
    </row>
    <row r="357" spans="1:12" x14ac:dyDescent="0.3">
      <c r="A357" s="291" t="s">
        <v>1177</v>
      </c>
      <c r="B357" s="292" t="s">
        <v>1182</v>
      </c>
      <c r="C357" s="390"/>
      <c r="D357" s="194"/>
      <c r="E357" s="194">
        <v>2064500</v>
      </c>
      <c r="F357" s="391">
        <f>C357+D357+E357</f>
        <v>2064500</v>
      </c>
      <c r="G357" s="390"/>
      <c r="H357" s="194"/>
      <c r="I357" s="194">
        <v>1180000</v>
      </c>
      <c r="J357" s="391">
        <f t="shared" si="18"/>
        <v>1180000</v>
      </c>
      <c r="K357" s="143">
        <f t="shared" si="16"/>
        <v>-0.42843303463308308</v>
      </c>
      <c r="L357" s="195" t="str">
        <f t="shared" si="17"/>
        <v/>
      </c>
    </row>
    <row r="358" spans="1:12" x14ac:dyDescent="0.3">
      <c r="A358" s="291" t="s">
        <v>1177</v>
      </c>
      <c r="B358" s="292" t="s">
        <v>1177</v>
      </c>
      <c r="C358" s="390"/>
      <c r="D358" s="194"/>
      <c r="E358" s="194"/>
      <c r="F358" s="391"/>
      <c r="G358" s="390"/>
      <c r="H358" s="194"/>
      <c r="I358" s="194">
        <v>417500</v>
      </c>
      <c r="J358" s="391">
        <f t="shared" si="18"/>
        <v>417500</v>
      </c>
      <c r="K358" s="143">
        <f t="shared" si="16"/>
        <v>0</v>
      </c>
      <c r="L358" s="195" t="str">
        <f t="shared" si="17"/>
        <v/>
      </c>
    </row>
    <row r="359" spans="1:12" x14ac:dyDescent="0.3">
      <c r="A359" s="291" t="s">
        <v>1177</v>
      </c>
      <c r="B359" s="292" t="s">
        <v>1183</v>
      </c>
      <c r="C359" s="390"/>
      <c r="D359" s="194"/>
      <c r="E359" s="194"/>
      <c r="F359" s="391"/>
      <c r="G359" s="390"/>
      <c r="H359" s="194"/>
      <c r="I359" s="194"/>
      <c r="J359" s="391"/>
      <c r="K359" s="143">
        <f t="shared" si="16"/>
        <v>0</v>
      </c>
      <c r="L359" s="195" t="str">
        <f t="shared" si="17"/>
        <v/>
      </c>
    </row>
    <row r="360" spans="1:12" x14ac:dyDescent="0.3">
      <c r="A360" s="8" t="s">
        <v>1184</v>
      </c>
      <c r="B360" s="9" t="s">
        <v>1185</v>
      </c>
      <c r="C360" s="392"/>
      <c r="D360" s="196"/>
      <c r="E360" s="196"/>
      <c r="F360" s="393"/>
      <c r="G360" s="392">
        <v>1381900</v>
      </c>
      <c r="H360" s="196">
        <v>746200</v>
      </c>
      <c r="I360" s="196">
        <v>1716400</v>
      </c>
      <c r="J360" s="393">
        <f t="shared" si="18"/>
        <v>3844500</v>
      </c>
      <c r="K360" s="23">
        <f t="shared" si="16"/>
        <v>0</v>
      </c>
      <c r="L360" s="197" t="str">
        <f t="shared" si="17"/>
        <v/>
      </c>
    </row>
    <row r="361" spans="1:12" x14ac:dyDescent="0.3">
      <c r="A361" s="8" t="s">
        <v>1184</v>
      </c>
      <c r="B361" s="9" t="s">
        <v>1186</v>
      </c>
      <c r="C361" s="392"/>
      <c r="D361" s="196"/>
      <c r="E361" s="196"/>
      <c r="F361" s="393"/>
      <c r="G361" s="392">
        <v>552150</v>
      </c>
      <c r="H361" s="196">
        <v>679350</v>
      </c>
      <c r="I361" s="196">
        <v>985300</v>
      </c>
      <c r="J361" s="393">
        <f t="shared" si="18"/>
        <v>2216800</v>
      </c>
      <c r="K361" s="23">
        <f t="shared" si="16"/>
        <v>0</v>
      </c>
      <c r="L361" s="197" t="str">
        <f t="shared" si="17"/>
        <v/>
      </c>
    </row>
    <row r="362" spans="1:12" x14ac:dyDescent="0.3">
      <c r="A362" s="8" t="s">
        <v>1184</v>
      </c>
      <c r="B362" s="9" t="s">
        <v>1187</v>
      </c>
      <c r="C362" s="392"/>
      <c r="D362" s="196"/>
      <c r="E362" s="196"/>
      <c r="F362" s="393"/>
      <c r="G362" s="392">
        <v>1008100</v>
      </c>
      <c r="H362" s="196">
        <v>1688800</v>
      </c>
      <c r="I362" s="196">
        <v>1571200</v>
      </c>
      <c r="J362" s="393">
        <f t="shared" si="18"/>
        <v>4268100</v>
      </c>
      <c r="K362" s="23">
        <f t="shared" si="16"/>
        <v>0</v>
      </c>
      <c r="L362" s="197" t="str">
        <f t="shared" si="17"/>
        <v/>
      </c>
    </row>
    <row r="363" spans="1:12" x14ac:dyDescent="0.3">
      <c r="A363" s="8" t="s">
        <v>1184</v>
      </c>
      <c r="B363" s="9" t="s">
        <v>1188</v>
      </c>
      <c r="C363" s="392"/>
      <c r="D363" s="196"/>
      <c r="E363" s="196"/>
      <c r="F363" s="393"/>
      <c r="G363" s="392">
        <v>158550</v>
      </c>
      <c r="H363" s="196">
        <v>100100</v>
      </c>
      <c r="I363" s="196">
        <v>283700</v>
      </c>
      <c r="J363" s="393">
        <f t="shared" si="18"/>
        <v>542350</v>
      </c>
      <c r="K363" s="23">
        <f t="shared" si="16"/>
        <v>0</v>
      </c>
      <c r="L363" s="197" t="str">
        <f t="shared" si="17"/>
        <v/>
      </c>
    </row>
    <row r="364" spans="1:12" x14ac:dyDescent="0.3">
      <c r="A364" s="8" t="s">
        <v>1184</v>
      </c>
      <c r="B364" s="9" t="s">
        <v>1189</v>
      </c>
      <c r="C364" s="392"/>
      <c r="D364" s="196"/>
      <c r="E364" s="196"/>
      <c r="F364" s="393"/>
      <c r="G364" s="392">
        <v>1149400</v>
      </c>
      <c r="H364" s="196">
        <v>138400</v>
      </c>
      <c r="I364" s="196">
        <v>690050</v>
      </c>
      <c r="J364" s="393">
        <f t="shared" si="18"/>
        <v>1977850</v>
      </c>
      <c r="K364" s="23">
        <f t="shared" si="16"/>
        <v>0</v>
      </c>
      <c r="L364" s="197" t="str">
        <f t="shared" si="17"/>
        <v/>
      </c>
    </row>
    <row r="365" spans="1:12" x14ac:dyDescent="0.3">
      <c r="A365" s="8" t="s">
        <v>1184</v>
      </c>
      <c r="B365" s="9" t="s">
        <v>1190</v>
      </c>
      <c r="C365" s="392"/>
      <c r="D365" s="196"/>
      <c r="E365" s="196"/>
      <c r="F365" s="393"/>
      <c r="G365" s="392">
        <v>891350</v>
      </c>
      <c r="H365" s="196">
        <v>168950</v>
      </c>
      <c r="I365" s="196">
        <v>661050</v>
      </c>
      <c r="J365" s="393">
        <f t="shared" si="18"/>
        <v>1721350</v>
      </c>
      <c r="K365" s="23">
        <f t="shared" si="16"/>
        <v>0</v>
      </c>
      <c r="L365" s="197" t="str">
        <f t="shared" si="17"/>
        <v/>
      </c>
    </row>
    <row r="366" spans="1:12" x14ac:dyDescent="0.3">
      <c r="A366" s="8" t="s">
        <v>1184</v>
      </c>
      <c r="B366" s="9" t="s">
        <v>1191</v>
      </c>
      <c r="C366" s="392"/>
      <c r="D366" s="196"/>
      <c r="E366" s="196"/>
      <c r="F366" s="393"/>
      <c r="G366" s="392">
        <v>538900</v>
      </c>
      <c r="H366" s="196">
        <v>232200</v>
      </c>
      <c r="I366" s="196">
        <v>554700</v>
      </c>
      <c r="J366" s="393">
        <f t="shared" si="18"/>
        <v>1325800</v>
      </c>
      <c r="K366" s="23">
        <f t="shared" si="16"/>
        <v>0</v>
      </c>
      <c r="L366" s="197" t="str">
        <f t="shared" si="17"/>
        <v/>
      </c>
    </row>
    <row r="367" spans="1:12" x14ac:dyDescent="0.3">
      <c r="A367" s="8" t="s">
        <v>1184</v>
      </c>
      <c r="B367" s="9" t="s">
        <v>1192</v>
      </c>
      <c r="C367" s="392"/>
      <c r="D367" s="196"/>
      <c r="E367" s="196"/>
      <c r="F367" s="393"/>
      <c r="G367" s="392">
        <v>264350</v>
      </c>
      <c r="H367" s="196">
        <v>59600</v>
      </c>
      <c r="I367" s="196">
        <v>614100</v>
      </c>
      <c r="J367" s="393">
        <f t="shared" si="18"/>
        <v>938050</v>
      </c>
      <c r="K367" s="23">
        <f t="shared" si="16"/>
        <v>0</v>
      </c>
      <c r="L367" s="197" t="str">
        <f t="shared" si="17"/>
        <v/>
      </c>
    </row>
    <row r="368" spans="1:12" x14ac:dyDescent="0.3">
      <c r="A368" s="8" t="s">
        <v>1184</v>
      </c>
      <c r="B368" s="9" t="s">
        <v>1193</v>
      </c>
      <c r="C368" s="392"/>
      <c r="D368" s="196"/>
      <c r="E368" s="196"/>
      <c r="F368" s="393"/>
      <c r="G368" s="392">
        <v>245400</v>
      </c>
      <c r="H368" s="196">
        <v>114700</v>
      </c>
      <c r="I368" s="196">
        <v>307100</v>
      </c>
      <c r="J368" s="393">
        <f t="shared" si="18"/>
        <v>667200</v>
      </c>
      <c r="K368" s="23">
        <f t="shared" si="16"/>
        <v>0</v>
      </c>
      <c r="L368" s="197" t="str">
        <f t="shared" si="17"/>
        <v/>
      </c>
    </row>
    <row r="369" spans="1:12" x14ac:dyDescent="0.3">
      <c r="A369" s="8" t="s">
        <v>1184</v>
      </c>
      <c r="B369" s="9" t="s">
        <v>1107</v>
      </c>
      <c r="C369" s="392"/>
      <c r="D369" s="196"/>
      <c r="E369" s="196"/>
      <c r="F369" s="393"/>
      <c r="G369" s="392">
        <v>516100</v>
      </c>
      <c r="H369" s="196">
        <v>81350</v>
      </c>
      <c r="I369" s="196"/>
      <c r="J369" s="393">
        <f t="shared" si="18"/>
        <v>597450</v>
      </c>
      <c r="K369" s="23">
        <f t="shared" si="16"/>
        <v>0</v>
      </c>
      <c r="L369" s="197" t="str">
        <f t="shared" si="17"/>
        <v/>
      </c>
    </row>
    <row r="370" spans="1:12" x14ac:dyDescent="0.3">
      <c r="A370" s="8" t="s">
        <v>1184</v>
      </c>
      <c r="B370" s="9" t="s">
        <v>1194</v>
      </c>
      <c r="C370" s="392"/>
      <c r="D370" s="196"/>
      <c r="E370" s="196"/>
      <c r="F370" s="393"/>
      <c r="G370" s="392">
        <v>436620</v>
      </c>
      <c r="H370" s="196">
        <v>325950</v>
      </c>
      <c r="I370" s="196">
        <v>78050</v>
      </c>
      <c r="J370" s="393">
        <f t="shared" si="18"/>
        <v>840620</v>
      </c>
      <c r="K370" s="23">
        <f t="shared" si="16"/>
        <v>0</v>
      </c>
      <c r="L370" s="197" t="str">
        <f t="shared" si="17"/>
        <v/>
      </c>
    </row>
    <row r="371" spans="1:12" x14ac:dyDescent="0.3">
      <c r="A371" s="8" t="s">
        <v>1184</v>
      </c>
      <c r="B371" s="9" t="s">
        <v>1195</v>
      </c>
      <c r="C371" s="392"/>
      <c r="D371" s="196"/>
      <c r="E371" s="196"/>
      <c r="F371" s="393"/>
      <c r="G371" s="392"/>
      <c r="H371" s="196"/>
      <c r="I371" s="196"/>
      <c r="J371" s="393"/>
      <c r="K371" s="23">
        <f t="shared" si="16"/>
        <v>0</v>
      </c>
      <c r="L371" s="197" t="str">
        <f t="shared" si="17"/>
        <v/>
      </c>
    </row>
    <row r="372" spans="1:12" x14ac:dyDescent="0.3">
      <c r="A372" s="8" t="s">
        <v>1184</v>
      </c>
      <c r="B372" s="9" t="s">
        <v>1196</v>
      </c>
      <c r="C372" s="392"/>
      <c r="D372" s="196"/>
      <c r="E372" s="196"/>
      <c r="F372" s="393"/>
      <c r="G372" s="392"/>
      <c r="H372" s="196"/>
      <c r="I372" s="196"/>
      <c r="J372" s="393"/>
      <c r="K372" s="23">
        <f t="shared" si="16"/>
        <v>0</v>
      </c>
      <c r="L372" s="197" t="str">
        <f t="shared" si="17"/>
        <v/>
      </c>
    </row>
    <row r="373" spans="1:12" x14ac:dyDescent="0.3">
      <c r="A373" s="8" t="s">
        <v>1184</v>
      </c>
      <c r="B373" s="9" t="s">
        <v>1197</v>
      </c>
      <c r="C373" s="392"/>
      <c r="D373" s="196"/>
      <c r="E373" s="196"/>
      <c r="F373" s="393"/>
      <c r="G373" s="392">
        <v>293700</v>
      </c>
      <c r="H373" s="196">
        <v>193600</v>
      </c>
      <c r="I373" s="196">
        <v>96800</v>
      </c>
      <c r="J373" s="393">
        <f t="shared" si="18"/>
        <v>584100</v>
      </c>
      <c r="K373" s="23">
        <f t="shared" si="16"/>
        <v>0</v>
      </c>
      <c r="L373" s="197" t="str">
        <f t="shared" si="17"/>
        <v/>
      </c>
    </row>
    <row r="374" spans="1:12" x14ac:dyDescent="0.3">
      <c r="A374" s="8" t="s">
        <v>1184</v>
      </c>
      <c r="B374" s="9" t="s">
        <v>1198</v>
      </c>
      <c r="C374" s="392"/>
      <c r="D374" s="196"/>
      <c r="E374" s="196"/>
      <c r="F374" s="393"/>
      <c r="G374" s="392"/>
      <c r="H374" s="196"/>
      <c r="I374" s="196">
        <v>494800</v>
      </c>
      <c r="J374" s="393">
        <f t="shared" si="18"/>
        <v>494800</v>
      </c>
      <c r="K374" s="23">
        <f t="shared" si="16"/>
        <v>0</v>
      </c>
      <c r="L374" s="197" t="str">
        <f t="shared" si="17"/>
        <v/>
      </c>
    </row>
    <row r="375" spans="1:12" x14ac:dyDescent="0.3">
      <c r="A375" s="8" t="s">
        <v>1184</v>
      </c>
      <c r="B375" s="9" t="s">
        <v>1199</v>
      </c>
      <c r="C375" s="392"/>
      <c r="D375" s="196"/>
      <c r="E375" s="196"/>
      <c r="F375" s="393"/>
      <c r="G375" s="392"/>
      <c r="H375" s="196"/>
      <c r="I375" s="196"/>
      <c r="J375" s="393"/>
      <c r="K375" s="23">
        <f t="shared" si="16"/>
        <v>0</v>
      </c>
      <c r="L375" s="197" t="str">
        <f t="shared" si="17"/>
        <v/>
      </c>
    </row>
    <row r="376" spans="1:12" x14ac:dyDescent="0.3">
      <c r="A376" s="8" t="s">
        <v>1184</v>
      </c>
      <c r="B376" s="9" t="s">
        <v>1200</v>
      </c>
      <c r="C376" s="392"/>
      <c r="D376" s="196"/>
      <c r="E376" s="196"/>
      <c r="F376" s="393"/>
      <c r="G376" s="392"/>
      <c r="H376" s="196">
        <v>257250</v>
      </c>
      <c r="I376" s="196">
        <v>239500</v>
      </c>
      <c r="J376" s="393">
        <f t="shared" si="18"/>
        <v>496750</v>
      </c>
      <c r="K376" s="23">
        <f t="shared" si="16"/>
        <v>0</v>
      </c>
      <c r="L376" s="197" t="str">
        <f t="shared" si="17"/>
        <v/>
      </c>
    </row>
    <row r="377" spans="1:12" x14ac:dyDescent="0.3">
      <c r="A377" s="8" t="s">
        <v>1184</v>
      </c>
      <c r="B377" s="9" t="s">
        <v>1201</v>
      </c>
      <c r="C377" s="392"/>
      <c r="D377" s="196"/>
      <c r="E377" s="196"/>
      <c r="F377" s="393"/>
      <c r="G377" s="392"/>
      <c r="H377" s="196"/>
      <c r="I377" s="196">
        <v>439000</v>
      </c>
      <c r="J377" s="393">
        <f t="shared" si="18"/>
        <v>439000</v>
      </c>
      <c r="K377" s="23">
        <f t="shared" si="16"/>
        <v>0</v>
      </c>
      <c r="L377" s="197" t="str">
        <f t="shared" si="17"/>
        <v/>
      </c>
    </row>
    <row r="378" spans="1:12" x14ac:dyDescent="0.3">
      <c r="A378" s="8" t="s">
        <v>1184</v>
      </c>
      <c r="B378" s="9" t="s">
        <v>1202</v>
      </c>
      <c r="C378" s="392"/>
      <c r="D378" s="196"/>
      <c r="E378" s="196"/>
      <c r="F378" s="393"/>
      <c r="G378" s="392"/>
      <c r="H378" s="196"/>
      <c r="I378" s="196">
        <v>319000</v>
      </c>
      <c r="J378" s="393">
        <f t="shared" si="18"/>
        <v>319000</v>
      </c>
      <c r="K378" s="23">
        <f t="shared" si="16"/>
        <v>0</v>
      </c>
      <c r="L378" s="197" t="str">
        <f t="shared" si="17"/>
        <v/>
      </c>
    </row>
    <row r="379" spans="1:12" x14ac:dyDescent="0.3">
      <c r="A379" s="8" t="s">
        <v>1184</v>
      </c>
      <c r="B379" s="9" t="s">
        <v>1203</v>
      </c>
      <c r="C379" s="392"/>
      <c r="D379" s="196"/>
      <c r="E379" s="196"/>
      <c r="F379" s="393"/>
      <c r="G379" s="392">
        <v>167100</v>
      </c>
      <c r="H379" s="196"/>
      <c r="I379" s="196"/>
      <c r="J379" s="393">
        <f t="shared" si="18"/>
        <v>167100</v>
      </c>
      <c r="K379" s="23">
        <f t="shared" si="16"/>
        <v>0</v>
      </c>
      <c r="L379" s="197" t="str">
        <f t="shared" si="17"/>
        <v/>
      </c>
    </row>
    <row r="380" spans="1:12" x14ac:dyDescent="0.3">
      <c r="A380" s="8" t="s">
        <v>1184</v>
      </c>
      <c r="B380" s="9" t="s">
        <v>1204</v>
      </c>
      <c r="C380" s="392"/>
      <c r="D380" s="196"/>
      <c r="E380" s="196"/>
      <c r="F380" s="393"/>
      <c r="G380" s="392"/>
      <c r="H380" s="196">
        <v>140900</v>
      </c>
      <c r="I380" s="196">
        <v>106800</v>
      </c>
      <c r="J380" s="393">
        <f t="shared" si="18"/>
        <v>247700</v>
      </c>
      <c r="K380" s="23">
        <f t="shared" si="16"/>
        <v>0</v>
      </c>
      <c r="L380" s="197" t="str">
        <f t="shared" si="17"/>
        <v/>
      </c>
    </row>
    <row r="381" spans="1:12" x14ac:dyDescent="0.3">
      <c r="A381" s="8" t="s">
        <v>1184</v>
      </c>
      <c r="B381" s="9" t="s">
        <v>1205</v>
      </c>
      <c r="C381" s="392"/>
      <c r="D381" s="196"/>
      <c r="E381" s="196"/>
      <c r="F381" s="393"/>
      <c r="G381" s="392">
        <v>159400</v>
      </c>
      <c r="H381" s="196">
        <v>27600</v>
      </c>
      <c r="I381" s="196"/>
      <c r="J381" s="393">
        <f t="shared" si="18"/>
        <v>187000</v>
      </c>
      <c r="K381" s="23">
        <f t="shared" si="16"/>
        <v>0</v>
      </c>
      <c r="L381" s="197" t="str">
        <f t="shared" si="17"/>
        <v/>
      </c>
    </row>
    <row r="382" spans="1:12" x14ac:dyDescent="0.3">
      <c r="A382" s="8" t="s">
        <v>1184</v>
      </c>
      <c r="B382" s="9" t="s">
        <v>1206</v>
      </c>
      <c r="C382" s="392"/>
      <c r="D382" s="196"/>
      <c r="E382" s="196"/>
      <c r="F382" s="393"/>
      <c r="G382" s="392"/>
      <c r="H382" s="196"/>
      <c r="I382" s="196"/>
      <c r="J382" s="393"/>
      <c r="K382" s="23">
        <f t="shared" si="16"/>
        <v>0</v>
      </c>
      <c r="L382" s="197" t="str">
        <f t="shared" si="17"/>
        <v/>
      </c>
    </row>
    <row r="383" spans="1:12" x14ac:dyDescent="0.3">
      <c r="A383" s="8" t="s">
        <v>1184</v>
      </c>
      <c r="B383" s="9" t="s">
        <v>1207</v>
      </c>
      <c r="C383" s="392"/>
      <c r="D383" s="196"/>
      <c r="E383" s="196"/>
      <c r="F383" s="393"/>
      <c r="G383" s="392"/>
      <c r="H383" s="196"/>
      <c r="I383" s="196"/>
      <c r="J383" s="393"/>
      <c r="K383" s="23">
        <f t="shared" si="16"/>
        <v>0</v>
      </c>
      <c r="L383" s="197" t="str">
        <f t="shared" si="17"/>
        <v/>
      </c>
    </row>
    <row r="384" spans="1:12" x14ac:dyDescent="0.3">
      <c r="A384" s="8" t="s">
        <v>1184</v>
      </c>
      <c r="B384" s="9" t="s">
        <v>1208</v>
      </c>
      <c r="C384" s="392"/>
      <c r="D384" s="196"/>
      <c r="E384" s="196"/>
      <c r="F384" s="393"/>
      <c r="G384" s="392"/>
      <c r="H384" s="196"/>
      <c r="I384" s="196"/>
      <c r="J384" s="393"/>
      <c r="K384" s="23">
        <f t="shared" si="16"/>
        <v>0</v>
      </c>
      <c r="L384" s="197" t="str">
        <f t="shared" si="17"/>
        <v/>
      </c>
    </row>
    <row r="385" spans="1:12" x14ac:dyDescent="0.3">
      <c r="A385" s="8" t="s">
        <v>1184</v>
      </c>
      <c r="B385" s="9" t="s">
        <v>1209</v>
      </c>
      <c r="C385" s="392"/>
      <c r="D385" s="196"/>
      <c r="E385" s="196"/>
      <c r="F385" s="393"/>
      <c r="G385" s="392"/>
      <c r="H385" s="196">
        <v>107570</v>
      </c>
      <c r="I385" s="196">
        <v>12700</v>
      </c>
      <c r="J385" s="393">
        <f t="shared" si="18"/>
        <v>120270</v>
      </c>
      <c r="K385" s="23">
        <f t="shared" si="16"/>
        <v>0</v>
      </c>
      <c r="L385" s="197" t="str">
        <f t="shared" si="17"/>
        <v/>
      </c>
    </row>
    <row r="386" spans="1:12" x14ac:dyDescent="0.3">
      <c r="A386" s="8" t="s">
        <v>1184</v>
      </c>
      <c r="B386" s="9" t="s">
        <v>1210</v>
      </c>
      <c r="C386" s="392"/>
      <c r="D386" s="196"/>
      <c r="E386" s="196"/>
      <c r="F386" s="393"/>
      <c r="G386" s="392"/>
      <c r="H386" s="196"/>
      <c r="I386" s="196">
        <v>89400</v>
      </c>
      <c r="J386" s="393">
        <f t="shared" si="18"/>
        <v>89400</v>
      </c>
      <c r="K386" s="23">
        <f t="shared" ref="K386:K449" si="19">IF(OR(J386="", F386=""), 0, IFERROR((J386-F386)/F386, IF(J386&lt;&gt;0, 1, 0)))</f>
        <v>0</v>
      </c>
      <c r="L386" s="197" t="str">
        <f t="shared" ref="L386:L449" si="20">IFERROR(_xlfn.RANK.EQ(J386, $J$2:$J$308), "")</f>
        <v/>
      </c>
    </row>
    <row r="387" spans="1:12" x14ac:dyDescent="0.3">
      <c r="A387" s="8" t="s">
        <v>1184</v>
      </c>
      <c r="B387" s="9" t="s">
        <v>1184</v>
      </c>
      <c r="C387" s="392"/>
      <c r="D387" s="196"/>
      <c r="E387" s="196"/>
      <c r="F387" s="393"/>
      <c r="G387" s="392"/>
      <c r="H387" s="196"/>
      <c r="I387" s="196"/>
      <c r="J387" s="393"/>
      <c r="K387" s="23">
        <f t="shared" si="19"/>
        <v>0</v>
      </c>
      <c r="L387" s="197" t="str">
        <f t="shared" si="20"/>
        <v/>
      </c>
    </row>
    <row r="388" spans="1:12" x14ac:dyDescent="0.3">
      <c r="A388" s="8" t="s">
        <v>1184</v>
      </c>
      <c r="B388" s="9" t="s">
        <v>1211</v>
      </c>
      <c r="C388" s="392"/>
      <c r="D388" s="196"/>
      <c r="E388" s="196"/>
      <c r="F388" s="393"/>
      <c r="G388" s="392"/>
      <c r="H388" s="196"/>
      <c r="I388" s="196"/>
      <c r="J388" s="393"/>
      <c r="K388" s="23">
        <f t="shared" si="19"/>
        <v>0</v>
      </c>
      <c r="L388" s="197" t="str">
        <f t="shared" si="20"/>
        <v/>
      </c>
    </row>
    <row r="389" spans="1:12" x14ac:dyDescent="0.3">
      <c r="A389" s="8" t="s">
        <v>1184</v>
      </c>
      <c r="B389" s="9" t="s">
        <v>1212</v>
      </c>
      <c r="C389" s="392"/>
      <c r="D389" s="196"/>
      <c r="E389" s="196"/>
      <c r="F389" s="393"/>
      <c r="G389" s="392"/>
      <c r="H389" s="196"/>
      <c r="I389" s="196">
        <v>85200</v>
      </c>
      <c r="J389" s="393">
        <f t="shared" ref="J389:J442" si="21">G389+H389+I389</f>
        <v>85200</v>
      </c>
      <c r="K389" s="23">
        <f t="shared" si="19"/>
        <v>0</v>
      </c>
      <c r="L389" s="197" t="str">
        <f t="shared" si="20"/>
        <v/>
      </c>
    </row>
    <row r="390" spans="1:12" x14ac:dyDescent="0.3">
      <c r="A390" s="8" t="s">
        <v>1184</v>
      </c>
      <c r="B390" s="9" t="s">
        <v>1213</v>
      </c>
      <c r="C390" s="392"/>
      <c r="D390" s="196"/>
      <c r="E390" s="196"/>
      <c r="F390" s="393"/>
      <c r="G390" s="392"/>
      <c r="H390" s="196">
        <v>30300</v>
      </c>
      <c r="I390" s="196"/>
      <c r="J390" s="393">
        <f t="shared" si="21"/>
        <v>30300</v>
      </c>
      <c r="K390" s="23">
        <f t="shared" si="19"/>
        <v>0</v>
      </c>
      <c r="L390" s="197" t="str">
        <f t="shared" si="20"/>
        <v/>
      </c>
    </row>
    <row r="391" spans="1:12" x14ac:dyDescent="0.3">
      <c r="A391" s="8" t="s">
        <v>1184</v>
      </c>
      <c r="B391" s="9" t="s">
        <v>1214</v>
      </c>
      <c r="C391" s="392"/>
      <c r="D391" s="196"/>
      <c r="E391" s="196"/>
      <c r="F391" s="393"/>
      <c r="G391" s="392" t="s">
        <v>251</v>
      </c>
      <c r="H391" s="196" t="s">
        <v>251</v>
      </c>
      <c r="I391" s="196" t="s">
        <v>251</v>
      </c>
      <c r="J391" s="393"/>
      <c r="K391" s="23">
        <f t="shared" si="19"/>
        <v>0</v>
      </c>
      <c r="L391" s="197" t="str">
        <f t="shared" si="20"/>
        <v/>
      </c>
    </row>
    <row r="392" spans="1:12" x14ac:dyDescent="0.3">
      <c r="A392" s="8" t="s">
        <v>1184</v>
      </c>
      <c r="B392" s="9" t="s">
        <v>1215</v>
      </c>
      <c r="C392" s="392"/>
      <c r="D392" s="196"/>
      <c r="E392" s="196"/>
      <c r="F392" s="393"/>
      <c r="G392" s="392" t="s">
        <v>251</v>
      </c>
      <c r="H392" s="196" t="s">
        <v>251</v>
      </c>
      <c r="I392" s="196" t="s">
        <v>251</v>
      </c>
      <c r="J392" s="393"/>
      <c r="K392" s="23">
        <f t="shared" si="19"/>
        <v>0</v>
      </c>
      <c r="L392" s="197" t="str">
        <f t="shared" si="20"/>
        <v/>
      </c>
    </row>
    <row r="393" spans="1:12" x14ac:dyDescent="0.3">
      <c r="A393" s="8" t="s">
        <v>1184</v>
      </c>
      <c r="B393" s="9" t="s">
        <v>1216</v>
      </c>
      <c r="C393" s="392"/>
      <c r="D393" s="196"/>
      <c r="E393" s="196"/>
      <c r="F393" s="393"/>
      <c r="G393" s="392" t="s">
        <v>251</v>
      </c>
      <c r="H393" s="196" t="s">
        <v>251</v>
      </c>
      <c r="I393" s="196" t="s">
        <v>251</v>
      </c>
      <c r="J393" s="393"/>
      <c r="K393" s="23">
        <f t="shared" si="19"/>
        <v>0</v>
      </c>
      <c r="L393" s="197" t="str">
        <f t="shared" si="20"/>
        <v/>
      </c>
    </row>
    <row r="394" spans="1:12" x14ac:dyDescent="0.3">
      <c r="A394" s="8" t="s">
        <v>1184</v>
      </c>
      <c r="B394" s="9" t="s">
        <v>1217</v>
      </c>
      <c r="C394" s="392"/>
      <c r="D394" s="196"/>
      <c r="E394" s="196"/>
      <c r="F394" s="393"/>
      <c r="G394" s="392" t="s">
        <v>251</v>
      </c>
      <c r="H394" s="196" t="s">
        <v>251</v>
      </c>
      <c r="I394" s="196" t="s">
        <v>251</v>
      </c>
      <c r="J394" s="393"/>
      <c r="K394" s="23">
        <f t="shared" si="19"/>
        <v>0</v>
      </c>
      <c r="L394" s="197" t="str">
        <f t="shared" si="20"/>
        <v/>
      </c>
    </row>
    <row r="395" spans="1:12" x14ac:dyDescent="0.3">
      <c r="A395" s="8" t="s">
        <v>1184</v>
      </c>
      <c r="B395" s="9" t="s">
        <v>1218</v>
      </c>
      <c r="C395" s="392"/>
      <c r="D395" s="196"/>
      <c r="E395" s="196"/>
      <c r="F395" s="393"/>
      <c r="G395" s="392" t="s">
        <v>251</v>
      </c>
      <c r="H395" s="196" t="s">
        <v>251</v>
      </c>
      <c r="I395" s="196" t="s">
        <v>251</v>
      </c>
      <c r="J395" s="393"/>
      <c r="K395" s="23">
        <f t="shared" si="19"/>
        <v>0</v>
      </c>
      <c r="L395" s="197" t="str">
        <f t="shared" si="20"/>
        <v/>
      </c>
    </row>
    <row r="396" spans="1:12" x14ac:dyDescent="0.3">
      <c r="A396" s="8" t="s">
        <v>1184</v>
      </c>
      <c r="B396" s="9" t="s">
        <v>1219</v>
      </c>
      <c r="C396" s="392"/>
      <c r="D396" s="196"/>
      <c r="E396" s="196"/>
      <c r="F396" s="393"/>
      <c r="G396" s="392" t="s">
        <v>251</v>
      </c>
      <c r="H396" s="196" t="s">
        <v>251</v>
      </c>
      <c r="I396" s="196" t="s">
        <v>251</v>
      </c>
      <c r="J396" s="393"/>
      <c r="K396" s="23">
        <f t="shared" si="19"/>
        <v>0</v>
      </c>
      <c r="L396" s="197" t="str">
        <f t="shared" si="20"/>
        <v/>
      </c>
    </row>
    <row r="397" spans="1:12" x14ac:dyDescent="0.3">
      <c r="A397" s="8" t="s">
        <v>1184</v>
      </c>
      <c r="B397" s="9" t="s">
        <v>1220</v>
      </c>
      <c r="C397" s="392"/>
      <c r="D397" s="196"/>
      <c r="E397" s="196"/>
      <c r="F397" s="393"/>
      <c r="G397" s="392" t="s">
        <v>251</v>
      </c>
      <c r="H397" s="196" t="s">
        <v>251</v>
      </c>
      <c r="I397" s="196" t="s">
        <v>251</v>
      </c>
      <c r="J397" s="393"/>
      <c r="K397" s="23">
        <f t="shared" si="19"/>
        <v>0</v>
      </c>
      <c r="L397" s="197" t="str">
        <f t="shared" si="20"/>
        <v/>
      </c>
    </row>
    <row r="398" spans="1:12" x14ac:dyDescent="0.3">
      <c r="A398" s="8" t="s">
        <v>1184</v>
      </c>
      <c r="B398" s="9" t="s">
        <v>1221</v>
      </c>
      <c r="C398" s="392"/>
      <c r="D398" s="196"/>
      <c r="E398" s="196"/>
      <c r="F398" s="393"/>
      <c r="G398" s="392" t="s">
        <v>251</v>
      </c>
      <c r="H398" s="196" t="s">
        <v>251</v>
      </c>
      <c r="I398" s="196" t="s">
        <v>251</v>
      </c>
      <c r="J398" s="393"/>
      <c r="K398" s="23">
        <f t="shared" si="19"/>
        <v>0</v>
      </c>
      <c r="L398" s="197" t="str">
        <f t="shared" si="20"/>
        <v/>
      </c>
    </row>
    <row r="399" spans="1:12" x14ac:dyDescent="0.3">
      <c r="A399" s="293" t="s">
        <v>618</v>
      </c>
      <c r="B399" s="294" t="s">
        <v>624</v>
      </c>
      <c r="C399" s="394">
        <v>5000</v>
      </c>
      <c r="D399" s="198"/>
      <c r="E399" s="198"/>
      <c r="F399" s="395">
        <f>C399+D399+E399</f>
        <v>5000</v>
      </c>
      <c r="G399" s="394">
        <v>1460000</v>
      </c>
      <c r="H399" s="198">
        <v>1397440</v>
      </c>
      <c r="I399" s="198">
        <v>705000</v>
      </c>
      <c r="J399" s="395">
        <f t="shared" si="21"/>
        <v>3562440</v>
      </c>
      <c r="K399" s="144">
        <f t="shared" si="19"/>
        <v>711.48800000000006</v>
      </c>
      <c r="L399" s="199" t="str">
        <f t="shared" si="20"/>
        <v/>
      </c>
    </row>
    <row r="400" spans="1:12" x14ac:dyDescent="0.3">
      <c r="A400" s="293" t="s">
        <v>618</v>
      </c>
      <c r="B400" s="294" t="s">
        <v>627</v>
      </c>
      <c r="C400" s="394"/>
      <c r="D400" s="198"/>
      <c r="E400" s="198"/>
      <c r="F400" s="395"/>
      <c r="G400" s="394"/>
      <c r="H400" s="198"/>
      <c r="I400" s="198"/>
      <c r="J400" s="395"/>
      <c r="K400" s="144">
        <f t="shared" si="19"/>
        <v>0</v>
      </c>
      <c r="L400" s="199" t="str">
        <f t="shared" si="20"/>
        <v/>
      </c>
    </row>
    <row r="401" spans="1:12" x14ac:dyDescent="0.3">
      <c r="A401" s="293" t="s">
        <v>618</v>
      </c>
      <c r="B401" s="294" t="s">
        <v>619</v>
      </c>
      <c r="C401" s="394">
        <v>1498750</v>
      </c>
      <c r="D401" s="198">
        <v>252000</v>
      </c>
      <c r="E401" s="198">
        <v>233000</v>
      </c>
      <c r="F401" s="395">
        <f>C401+D401+E401</f>
        <v>1983750</v>
      </c>
      <c r="G401" s="394">
        <v>82000</v>
      </c>
      <c r="H401" s="198">
        <v>5000</v>
      </c>
      <c r="I401" s="198">
        <v>20000</v>
      </c>
      <c r="J401" s="395">
        <f t="shared" si="21"/>
        <v>107000</v>
      </c>
      <c r="K401" s="144">
        <f t="shared" si="19"/>
        <v>-0.94606175173282925</v>
      </c>
      <c r="L401" s="199" t="str">
        <f t="shared" si="20"/>
        <v/>
      </c>
    </row>
    <row r="402" spans="1:12" x14ac:dyDescent="0.3">
      <c r="A402" s="293" t="s">
        <v>618</v>
      </c>
      <c r="B402" s="294" t="s">
        <v>620</v>
      </c>
      <c r="C402" s="394">
        <v>5000</v>
      </c>
      <c r="D402" s="198"/>
      <c r="E402" s="198">
        <v>457500</v>
      </c>
      <c r="F402" s="395">
        <f>C402+D402+E402</f>
        <v>462500</v>
      </c>
      <c r="G402" s="394"/>
      <c r="H402" s="198">
        <v>98000</v>
      </c>
      <c r="I402" s="198">
        <v>1822600</v>
      </c>
      <c r="J402" s="395">
        <f t="shared" si="21"/>
        <v>1920600</v>
      </c>
      <c r="K402" s="144">
        <f t="shared" si="19"/>
        <v>3.1526486486486487</v>
      </c>
      <c r="L402" s="199" t="str">
        <f t="shared" si="20"/>
        <v/>
      </c>
    </row>
    <row r="403" spans="1:12" x14ac:dyDescent="0.3">
      <c r="A403" s="293" t="s">
        <v>618</v>
      </c>
      <c r="B403" s="294" t="s">
        <v>623</v>
      </c>
      <c r="C403" s="394">
        <v>27070</v>
      </c>
      <c r="D403" s="198">
        <v>25140</v>
      </c>
      <c r="E403" s="198">
        <v>67000</v>
      </c>
      <c r="F403" s="395">
        <f>C403+D403+E403</f>
        <v>119210</v>
      </c>
      <c r="G403" s="394">
        <v>127500</v>
      </c>
      <c r="H403" s="198">
        <v>49500</v>
      </c>
      <c r="I403" s="198">
        <v>976500</v>
      </c>
      <c r="J403" s="395">
        <f t="shared" si="21"/>
        <v>1153500</v>
      </c>
      <c r="K403" s="144">
        <f t="shared" si="19"/>
        <v>8.6762016609344847</v>
      </c>
      <c r="L403" s="199" t="str">
        <f t="shared" si="20"/>
        <v/>
      </c>
    </row>
    <row r="404" spans="1:12" x14ac:dyDescent="0.3">
      <c r="A404" s="293" t="s">
        <v>618</v>
      </c>
      <c r="B404" s="294" t="s">
        <v>639</v>
      </c>
      <c r="C404" s="394" t="s">
        <v>251</v>
      </c>
      <c r="D404" s="198" t="s">
        <v>251</v>
      </c>
      <c r="E404" s="198" t="s">
        <v>251</v>
      </c>
      <c r="F404" s="395"/>
      <c r="G404" s="394"/>
      <c r="H404" s="198"/>
      <c r="I404" s="198">
        <v>465000</v>
      </c>
      <c r="J404" s="395">
        <f t="shared" si="21"/>
        <v>465000</v>
      </c>
      <c r="K404" s="144">
        <f t="shared" si="19"/>
        <v>0</v>
      </c>
      <c r="L404" s="199" t="str">
        <f t="shared" si="20"/>
        <v/>
      </c>
    </row>
    <row r="405" spans="1:12" x14ac:dyDescent="0.3">
      <c r="A405" s="293" t="s">
        <v>618</v>
      </c>
      <c r="B405" s="294" t="s">
        <v>621</v>
      </c>
      <c r="C405" s="394">
        <v>38500</v>
      </c>
      <c r="D405" s="198">
        <v>15000</v>
      </c>
      <c r="E405" s="198">
        <v>201750</v>
      </c>
      <c r="F405" s="395">
        <f>C405+D405+E405</f>
        <v>255250</v>
      </c>
      <c r="G405" s="394">
        <v>8500</v>
      </c>
      <c r="H405" s="198">
        <v>40250</v>
      </c>
      <c r="I405" s="198">
        <v>798010</v>
      </c>
      <c r="J405" s="395">
        <f t="shared" si="21"/>
        <v>846760</v>
      </c>
      <c r="K405" s="144">
        <f t="shared" si="19"/>
        <v>2.3173751224289911</v>
      </c>
      <c r="L405" s="199" t="str">
        <f t="shared" si="20"/>
        <v/>
      </c>
    </row>
    <row r="406" spans="1:12" x14ac:dyDescent="0.3">
      <c r="A406" s="293" t="s">
        <v>618</v>
      </c>
      <c r="B406" s="294" t="s">
        <v>628</v>
      </c>
      <c r="C406" s="394">
        <v>22500</v>
      </c>
      <c r="D406" s="198"/>
      <c r="E406" s="198">
        <v>136000</v>
      </c>
      <c r="F406" s="395">
        <f>C406+D406+E406</f>
        <v>158500</v>
      </c>
      <c r="G406" s="394"/>
      <c r="H406" s="198">
        <v>5000</v>
      </c>
      <c r="I406" s="198">
        <v>510000</v>
      </c>
      <c r="J406" s="395">
        <f t="shared" si="21"/>
        <v>515000</v>
      </c>
      <c r="K406" s="144">
        <f t="shared" si="19"/>
        <v>2.2492113564668768</v>
      </c>
      <c r="L406" s="199" t="str">
        <f t="shared" si="20"/>
        <v/>
      </c>
    </row>
    <row r="407" spans="1:12" x14ac:dyDescent="0.3">
      <c r="A407" s="293" t="s">
        <v>618</v>
      </c>
      <c r="B407" s="294" t="s">
        <v>622</v>
      </c>
      <c r="C407" s="394"/>
      <c r="D407" s="198">
        <v>70500</v>
      </c>
      <c r="E407" s="198">
        <v>713500</v>
      </c>
      <c r="F407" s="395">
        <f>C407+D407+E407</f>
        <v>784000</v>
      </c>
      <c r="G407" s="394">
        <v>67000</v>
      </c>
      <c r="H407" s="198">
        <v>15000</v>
      </c>
      <c r="I407" s="198">
        <v>656500</v>
      </c>
      <c r="J407" s="395">
        <f t="shared" si="21"/>
        <v>738500</v>
      </c>
      <c r="K407" s="144">
        <f t="shared" si="19"/>
        <v>-5.8035714285714288E-2</v>
      </c>
      <c r="L407" s="199" t="str">
        <f t="shared" si="20"/>
        <v/>
      </c>
    </row>
    <row r="408" spans="1:12" x14ac:dyDescent="0.3">
      <c r="A408" s="293" t="s">
        <v>618</v>
      </c>
      <c r="B408" s="294" t="s">
        <v>632</v>
      </c>
      <c r="C408" s="394"/>
      <c r="D408" s="198"/>
      <c r="E408" s="198">
        <v>276000</v>
      </c>
      <c r="F408" s="395">
        <f>C408+D408+E408</f>
        <v>276000</v>
      </c>
      <c r="G408" s="394"/>
      <c r="H408" s="198"/>
      <c r="I408" s="198">
        <v>519000</v>
      </c>
      <c r="J408" s="395">
        <f t="shared" si="21"/>
        <v>519000</v>
      </c>
      <c r="K408" s="144">
        <f t="shared" si="19"/>
        <v>0.88043478260869568</v>
      </c>
      <c r="L408" s="199" t="str">
        <f t="shared" si="20"/>
        <v/>
      </c>
    </row>
    <row r="409" spans="1:12" x14ac:dyDescent="0.3">
      <c r="A409" s="293" t="s">
        <v>618</v>
      </c>
      <c r="B409" s="294" t="s">
        <v>642</v>
      </c>
      <c r="C409" s="394" t="s">
        <v>251</v>
      </c>
      <c r="D409" s="198" t="s">
        <v>251</v>
      </c>
      <c r="E409" s="198" t="s">
        <v>251</v>
      </c>
      <c r="F409" s="395"/>
      <c r="G409" s="394">
        <v>20000</v>
      </c>
      <c r="H409" s="198">
        <v>192500</v>
      </c>
      <c r="I409" s="198">
        <v>370000</v>
      </c>
      <c r="J409" s="395">
        <f t="shared" si="21"/>
        <v>582500</v>
      </c>
      <c r="K409" s="144">
        <f t="shared" si="19"/>
        <v>0</v>
      </c>
      <c r="L409" s="199" t="str">
        <f t="shared" si="20"/>
        <v/>
      </c>
    </row>
    <row r="410" spans="1:12" x14ac:dyDescent="0.3">
      <c r="A410" s="293" t="s">
        <v>618</v>
      </c>
      <c r="B410" s="294" t="s">
        <v>629</v>
      </c>
      <c r="C410" s="394">
        <v>204500</v>
      </c>
      <c r="D410" s="198"/>
      <c r="E410" s="198">
        <v>168000</v>
      </c>
      <c r="F410" s="395">
        <f>C410+D410+E410</f>
        <v>372500</v>
      </c>
      <c r="G410" s="394">
        <v>5000</v>
      </c>
      <c r="H410" s="198"/>
      <c r="I410" s="198">
        <v>327500</v>
      </c>
      <c r="J410" s="395">
        <f t="shared" si="21"/>
        <v>332500</v>
      </c>
      <c r="K410" s="144">
        <f t="shared" si="19"/>
        <v>-0.10738255033557047</v>
      </c>
      <c r="L410" s="199" t="str">
        <f t="shared" si="20"/>
        <v/>
      </c>
    </row>
    <row r="411" spans="1:12" x14ac:dyDescent="0.3">
      <c r="A411" s="293" t="s">
        <v>618</v>
      </c>
      <c r="B411" s="294" t="s">
        <v>643</v>
      </c>
      <c r="C411" s="394"/>
      <c r="D411" s="198"/>
      <c r="E411" s="198">
        <v>47000</v>
      </c>
      <c r="F411" s="395">
        <f>C411+D411+E411</f>
        <v>47000</v>
      </c>
      <c r="G411" s="394">
        <v>20000</v>
      </c>
      <c r="H411" s="198"/>
      <c r="I411" s="198"/>
      <c r="J411" s="395">
        <f t="shared" si="21"/>
        <v>20000</v>
      </c>
      <c r="K411" s="144">
        <f t="shared" si="19"/>
        <v>-0.57446808510638303</v>
      </c>
      <c r="L411" s="199" t="str">
        <f t="shared" si="20"/>
        <v/>
      </c>
    </row>
    <row r="412" spans="1:12" x14ac:dyDescent="0.3">
      <c r="A412" s="293" t="s">
        <v>618</v>
      </c>
      <c r="B412" s="294" t="s">
        <v>626</v>
      </c>
      <c r="C412" s="394"/>
      <c r="D412" s="198"/>
      <c r="E412" s="198"/>
      <c r="F412" s="395"/>
      <c r="G412" s="394"/>
      <c r="H412" s="198"/>
      <c r="I412" s="198">
        <v>280000</v>
      </c>
      <c r="J412" s="395">
        <f t="shared" si="21"/>
        <v>280000</v>
      </c>
      <c r="K412" s="144">
        <f t="shared" si="19"/>
        <v>0</v>
      </c>
      <c r="L412" s="199" t="str">
        <f t="shared" si="20"/>
        <v/>
      </c>
    </row>
    <row r="413" spans="1:12" x14ac:dyDescent="0.3">
      <c r="A413" s="293" t="s">
        <v>618</v>
      </c>
      <c r="B413" s="294" t="s">
        <v>634</v>
      </c>
      <c r="C413" s="394"/>
      <c r="D413" s="198"/>
      <c r="E413" s="198"/>
      <c r="F413" s="395"/>
      <c r="G413" s="394"/>
      <c r="H413" s="198">
        <v>49300</v>
      </c>
      <c r="I413" s="198">
        <v>477750</v>
      </c>
      <c r="J413" s="395">
        <f t="shared" si="21"/>
        <v>527050</v>
      </c>
      <c r="K413" s="144">
        <f t="shared" si="19"/>
        <v>0</v>
      </c>
      <c r="L413" s="199" t="str">
        <f t="shared" si="20"/>
        <v/>
      </c>
    </row>
    <row r="414" spans="1:12" x14ac:dyDescent="0.3">
      <c r="A414" s="293" t="s">
        <v>618</v>
      </c>
      <c r="B414" s="294" t="s">
        <v>739</v>
      </c>
      <c r="C414" s="394" t="s">
        <v>251</v>
      </c>
      <c r="D414" s="198"/>
      <c r="E414" s="198" t="s">
        <v>251</v>
      </c>
      <c r="F414" s="395"/>
      <c r="G414" s="394"/>
      <c r="H414" s="198"/>
      <c r="I414" s="198">
        <v>630000</v>
      </c>
      <c r="J414" s="395">
        <f t="shared" si="21"/>
        <v>630000</v>
      </c>
      <c r="K414" s="144">
        <f t="shared" si="19"/>
        <v>0</v>
      </c>
      <c r="L414" s="199" t="str">
        <f t="shared" si="20"/>
        <v/>
      </c>
    </row>
    <row r="415" spans="1:12" x14ac:dyDescent="0.3">
      <c r="A415" s="293" t="s">
        <v>618</v>
      </c>
      <c r="B415" s="294" t="s">
        <v>635</v>
      </c>
      <c r="C415" s="394">
        <v>37000</v>
      </c>
      <c r="D415" s="198"/>
      <c r="E415" s="198"/>
      <c r="F415" s="395">
        <f>C415+D415+E415</f>
        <v>37000</v>
      </c>
      <c r="G415" s="394">
        <v>66000</v>
      </c>
      <c r="H415" s="198"/>
      <c r="I415" s="198">
        <v>226000</v>
      </c>
      <c r="J415" s="395">
        <f t="shared" si="21"/>
        <v>292000</v>
      </c>
      <c r="K415" s="144">
        <f t="shared" si="19"/>
        <v>6.8918918918918921</v>
      </c>
      <c r="L415" s="199" t="str">
        <f t="shared" si="20"/>
        <v/>
      </c>
    </row>
    <row r="416" spans="1:12" x14ac:dyDescent="0.3">
      <c r="A416" s="293" t="s">
        <v>618</v>
      </c>
      <c r="B416" s="294" t="s">
        <v>625</v>
      </c>
      <c r="C416" s="394"/>
      <c r="D416" s="198"/>
      <c r="E416" s="198"/>
      <c r="F416" s="395"/>
      <c r="G416" s="394"/>
      <c r="H416" s="198"/>
      <c r="I416" s="198"/>
      <c r="J416" s="395"/>
      <c r="K416" s="144">
        <f t="shared" si="19"/>
        <v>0</v>
      </c>
      <c r="L416" s="199" t="str">
        <f t="shared" si="20"/>
        <v/>
      </c>
    </row>
    <row r="417" spans="1:12" x14ac:dyDescent="0.3">
      <c r="A417" s="293" t="s">
        <v>618</v>
      </c>
      <c r="B417" s="294" t="s">
        <v>647</v>
      </c>
      <c r="C417" s="394"/>
      <c r="D417" s="198"/>
      <c r="E417" s="198"/>
      <c r="F417" s="395"/>
      <c r="G417" s="394"/>
      <c r="H417" s="198"/>
      <c r="I417" s="198">
        <v>465000</v>
      </c>
      <c r="J417" s="395">
        <f t="shared" si="21"/>
        <v>465000</v>
      </c>
      <c r="K417" s="144">
        <f t="shared" si="19"/>
        <v>0</v>
      </c>
      <c r="L417" s="199" t="str">
        <f t="shared" si="20"/>
        <v/>
      </c>
    </row>
    <row r="418" spans="1:12" x14ac:dyDescent="0.3">
      <c r="A418" s="293" t="s">
        <v>618</v>
      </c>
      <c r="B418" s="294" t="s">
        <v>636</v>
      </c>
      <c r="C418" s="394">
        <v>15000</v>
      </c>
      <c r="D418" s="198">
        <v>126000</v>
      </c>
      <c r="E418" s="198">
        <v>88000</v>
      </c>
      <c r="F418" s="395">
        <f>C418+D418+E418</f>
        <v>229000</v>
      </c>
      <c r="G418" s="394"/>
      <c r="H418" s="198"/>
      <c r="I418" s="198">
        <v>210000</v>
      </c>
      <c r="J418" s="395">
        <f t="shared" si="21"/>
        <v>210000</v>
      </c>
      <c r="K418" s="144">
        <f t="shared" si="19"/>
        <v>-8.296943231441048E-2</v>
      </c>
      <c r="L418" s="199" t="str">
        <f t="shared" si="20"/>
        <v/>
      </c>
    </row>
    <row r="419" spans="1:12" x14ac:dyDescent="0.3">
      <c r="A419" s="293" t="s">
        <v>618</v>
      </c>
      <c r="B419" s="294" t="s">
        <v>648</v>
      </c>
      <c r="C419" s="394"/>
      <c r="D419" s="198"/>
      <c r="E419" s="198"/>
      <c r="F419" s="395"/>
      <c r="G419" s="394"/>
      <c r="H419" s="198"/>
      <c r="I419" s="198"/>
      <c r="J419" s="395"/>
      <c r="K419" s="144">
        <f t="shared" si="19"/>
        <v>0</v>
      </c>
      <c r="L419" s="199" t="str">
        <f t="shared" si="20"/>
        <v/>
      </c>
    </row>
    <row r="420" spans="1:12" x14ac:dyDescent="0.3">
      <c r="A420" s="293" t="s">
        <v>618</v>
      </c>
      <c r="B420" s="294" t="s">
        <v>633</v>
      </c>
      <c r="C420" s="394"/>
      <c r="D420" s="198"/>
      <c r="E420" s="198"/>
      <c r="F420" s="395"/>
      <c r="G420" s="394"/>
      <c r="H420" s="198"/>
      <c r="I420" s="198">
        <v>350000</v>
      </c>
      <c r="J420" s="395">
        <f t="shared" si="21"/>
        <v>350000</v>
      </c>
      <c r="K420" s="144">
        <f t="shared" si="19"/>
        <v>0</v>
      </c>
      <c r="L420" s="199" t="str">
        <f t="shared" si="20"/>
        <v/>
      </c>
    </row>
    <row r="421" spans="1:12" x14ac:dyDescent="0.3">
      <c r="A421" s="293" t="s">
        <v>618</v>
      </c>
      <c r="B421" s="294" t="s">
        <v>631</v>
      </c>
      <c r="C421" s="394"/>
      <c r="D421" s="198"/>
      <c r="E421" s="198"/>
      <c r="F421" s="395"/>
      <c r="G421" s="394"/>
      <c r="H421" s="198"/>
      <c r="I421" s="198"/>
      <c r="J421" s="395"/>
      <c r="K421" s="144">
        <f t="shared" si="19"/>
        <v>0</v>
      </c>
      <c r="L421" s="199" t="str">
        <f t="shared" si="20"/>
        <v/>
      </c>
    </row>
    <row r="422" spans="1:12" x14ac:dyDescent="0.3">
      <c r="A422" s="293" t="s">
        <v>618</v>
      </c>
      <c r="B422" s="294" t="s">
        <v>655</v>
      </c>
      <c r="C422" s="394"/>
      <c r="D422" s="198"/>
      <c r="E422" s="198"/>
      <c r="F422" s="395"/>
      <c r="G422" s="394"/>
      <c r="H422" s="198"/>
      <c r="I422" s="198"/>
      <c r="J422" s="395"/>
      <c r="K422" s="144">
        <f t="shared" si="19"/>
        <v>0</v>
      </c>
      <c r="L422" s="199" t="str">
        <f t="shared" si="20"/>
        <v/>
      </c>
    </row>
    <row r="423" spans="1:12" x14ac:dyDescent="0.3">
      <c r="A423" s="293" t="s">
        <v>618</v>
      </c>
      <c r="B423" s="294" t="s">
        <v>637</v>
      </c>
      <c r="C423" s="394"/>
      <c r="D423" s="198"/>
      <c r="E423" s="198"/>
      <c r="F423" s="395"/>
      <c r="G423" s="394"/>
      <c r="H423" s="198"/>
      <c r="I423" s="198"/>
      <c r="J423" s="395"/>
      <c r="K423" s="144">
        <f t="shared" si="19"/>
        <v>0</v>
      </c>
      <c r="L423" s="199" t="str">
        <f t="shared" si="20"/>
        <v/>
      </c>
    </row>
    <row r="424" spans="1:12" x14ac:dyDescent="0.3">
      <c r="A424" s="293" t="s">
        <v>618</v>
      </c>
      <c r="B424" s="294" t="s">
        <v>645</v>
      </c>
      <c r="C424" s="394"/>
      <c r="D424" s="198"/>
      <c r="E424" s="198">
        <v>176000</v>
      </c>
      <c r="F424" s="395">
        <f>C424+D424+E424</f>
        <v>176000</v>
      </c>
      <c r="G424" s="394"/>
      <c r="H424" s="198"/>
      <c r="I424" s="198">
        <v>80000</v>
      </c>
      <c r="J424" s="395">
        <f t="shared" si="21"/>
        <v>80000</v>
      </c>
      <c r="K424" s="144">
        <f t="shared" si="19"/>
        <v>-0.54545454545454541</v>
      </c>
      <c r="L424" s="199" t="str">
        <f t="shared" si="20"/>
        <v/>
      </c>
    </row>
    <row r="425" spans="1:12" x14ac:dyDescent="0.3">
      <c r="A425" s="293" t="s">
        <v>618</v>
      </c>
      <c r="B425" s="294" t="s">
        <v>644</v>
      </c>
      <c r="C425" s="394"/>
      <c r="D425" s="198"/>
      <c r="E425" s="198">
        <v>98500</v>
      </c>
      <c r="F425" s="395">
        <f>C425+D425+E425</f>
        <v>98500</v>
      </c>
      <c r="G425" s="394">
        <v>52000</v>
      </c>
      <c r="H425" s="198">
        <v>5000</v>
      </c>
      <c r="I425" s="198">
        <v>87500</v>
      </c>
      <c r="J425" s="395">
        <f t="shared" si="21"/>
        <v>144500</v>
      </c>
      <c r="K425" s="144">
        <f t="shared" si="19"/>
        <v>0.46700507614213199</v>
      </c>
      <c r="L425" s="199" t="str">
        <f t="shared" si="20"/>
        <v/>
      </c>
    </row>
    <row r="426" spans="1:12" x14ac:dyDescent="0.3">
      <c r="A426" s="293" t="s">
        <v>618</v>
      </c>
      <c r="B426" s="294" t="s">
        <v>641</v>
      </c>
      <c r="C426" s="394"/>
      <c r="D426" s="198"/>
      <c r="E426" s="198">
        <v>15000</v>
      </c>
      <c r="F426" s="395">
        <f>C426+D426+E426</f>
        <v>15000</v>
      </c>
      <c r="G426" s="394"/>
      <c r="H426" s="198"/>
      <c r="I426" s="198">
        <v>97500</v>
      </c>
      <c r="J426" s="395">
        <f t="shared" si="21"/>
        <v>97500</v>
      </c>
      <c r="K426" s="144">
        <f t="shared" si="19"/>
        <v>5.5</v>
      </c>
      <c r="L426" s="199" t="str">
        <f t="shared" si="20"/>
        <v/>
      </c>
    </row>
    <row r="427" spans="1:12" x14ac:dyDescent="0.3">
      <c r="A427" s="293" t="s">
        <v>618</v>
      </c>
      <c r="B427" s="294" t="s">
        <v>630</v>
      </c>
      <c r="C427" s="394">
        <v>10000</v>
      </c>
      <c r="D427" s="198"/>
      <c r="E427" s="198">
        <v>40000</v>
      </c>
      <c r="F427" s="395">
        <f>C427+D427+E427</f>
        <v>50000</v>
      </c>
      <c r="G427" s="394">
        <v>5000</v>
      </c>
      <c r="H427" s="198"/>
      <c r="I427" s="198">
        <v>5000</v>
      </c>
      <c r="J427" s="395">
        <f t="shared" si="21"/>
        <v>10000</v>
      </c>
      <c r="K427" s="144">
        <f t="shared" si="19"/>
        <v>-0.8</v>
      </c>
      <c r="L427" s="199" t="str">
        <f t="shared" si="20"/>
        <v/>
      </c>
    </row>
    <row r="428" spans="1:12" x14ac:dyDescent="0.3">
      <c r="A428" s="293" t="s">
        <v>618</v>
      </c>
      <c r="B428" s="294" t="s">
        <v>640</v>
      </c>
      <c r="C428" s="394"/>
      <c r="D428" s="198"/>
      <c r="E428" s="198"/>
      <c r="F428" s="395"/>
      <c r="G428" s="394"/>
      <c r="H428" s="198"/>
      <c r="I428" s="198"/>
      <c r="J428" s="395"/>
      <c r="K428" s="144">
        <f t="shared" si="19"/>
        <v>0</v>
      </c>
      <c r="L428" s="199" t="str">
        <f t="shared" si="20"/>
        <v/>
      </c>
    </row>
    <row r="429" spans="1:12" x14ac:dyDescent="0.3">
      <c r="A429" s="293" t="s">
        <v>618</v>
      </c>
      <c r="B429" s="294" t="s">
        <v>649</v>
      </c>
      <c r="C429" s="394"/>
      <c r="D429" s="198"/>
      <c r="E429" s="198"/>
      <c r="F429" s="395"/>
      <c r="G429" s="394"/>
      <c r="H429" s="198">
        <v>30000</v>
      </c>
      <c r="I429" s="198">
        <v>108500</v>
      </c>
      <c r="J429" s="395">
        <f t="shared" si="21"/>
        <v>138500</v>
      </c>
      <c r="K429" s="144">
        <f t="shared" si="19"/>
        <v>0</v>
      </c>
      <c r="L429" s="199" t="str">
        <f t="shared" si="20"/>
        <v/>
      </c>
    </row>
    <row r="430" spans="1:12" x14ac:dyDescent="0.3">
      <c r="A430" s="293" t="s">
        <v>618</v>
      </c>
      <c r="B430" s="294" t="s">
        <v>646</v>
      </c>
      <c r="C430" s="394"/>
      <c r="D430" s="198"/>
      <c r="E430" s="198"/>
      <c r="F430" s="395"/>
      <c r="G430" s="394"/>
      <c r="H430" s="198"/>
      <c r="I430" s="198"/>
      <c r="J430" s="395"/>
      <c r="K430" s="144">
        <f t="shared" si="19"/>
        <v>0</v>
      </c>
      <c r="L430" s="199" t="str">
        <f t="shared" si="20"/>
        <v/>
      </c>
    </row>
    <row r="431" spans="1:12" x14ac:dyDescent="0.3">
      <c r="A431" s="293" t="s">
        <v>618</v>
      </c>
      <c r="B431" s="294" t="s">
        <v>638</v>
      </c>
      <c r="C431" s="394"/>
      <c r="D431" s="198"/>
      <c r="E431" s="198">
        <v>5000</v>
      </c>
      <c r="F431" s="395">
        <f>C431+D431+E431</f>
        <v>5000</v>
      </c>
      <c r="G431" s="394"/>
      <c r="H431" s="198"/>
      <c r="I431" s="198">
        <v>35000</v>
      </c>
      <c r="J431" s="395">
        <f t="shared" si="21"/>
        <v>35000</v>
      </c>
      <c r="K431" s="144">
        <f t="shared" si="19"/>
        <v>6</v>
      </c>
      <c r="L431" s="199" t="str">
        <f t="shared" si="20"/>
        <v/>
      </c>
    </row>
    <row r="432" spans="1:12" x14ac:dyDescent="0.3">
      <c r="A432" s="293" t="s">
        <v>618</v>
      </c>
      <c r="B432" s="294" t="s">
        <v>652</v>
      </c>
      <c r="C432" s="394" t="s">
        <v>251</v>
      </c>
      <c r="D432" s="198" t="s">
        <v>251</v>
      </c>
      <c r="E432" s="198" t="s">
        <v>251</v>
      </c>
      <c r="F432" s="395"/>
      <c r="G432" s="394"/>
      <c r="H432" s="198"/>
      <c r="I432" s="198">
        <v>69000</v>
      </c>
      <c r="J432" s="395">
        <f t="shared" si="21"/>
        <v>69000</v>
      </c>
      <c r="K432" s="144">
        <f t="shared" si="19"/>
        <v>0</v>
      </c>
      <c r="L432" s="199" t="str">
        <f t="shared" si="20"/>
        <v/>
      </c>
    </row>
    <row r="433" spans="1:12" x14ac:dyDescent="0.3">
      <c r="A433" s="293" t="s">
        <v>618</v>
      </c>
      <c r="B433" s="294" t="s">
        <v>653</v>
      </c>
      <c r="C433" s="394" t="s">
        <v>251</v>
      </c>
      <c r="D433" s="198" t="s">
        <v>251</v>
      </c>
      <c r="E433" s="198" t="s">
        <v>251</v>
      </c>
      <c r="F433" s="395"/>
      <c r="G433" s="394"/>
      <c r="H433" s="198"/>
      <c r="I433" s="198"/>
      <c r="J433" s="395"/>
      <c r="K433" s="144">
        <f t="shared" si="19"/>
        <v>0</v>
      </c>
      <c r="L433" s="199" t="str">
        <f t="shared" si="20"/>
        <v/>
      </c>
    </row>
    <row r="434" spans="1:12" x14ac:dyDescent="0.3">
      <c r="A434" s="293" t="s">
        <v>618</v>
      </c>
      <c r="B434" s="294" t="s">
        <v>654</v>
      </c>
      <c r="C434" s="394"/>
      <c r="D434" s="198"/>
      <c r="E434" s="198">
        <v>23500</v>
      </c>
      <c r="F434" s="395">
        <f>C434+D434+E434</f>
        <v>23500</v>
      </c>
      <c r="G434" s="394"/>
      <c r="H434" s="198"/>
      <c r="I434" s="198"/>
      <c r="J434" s="395"/>
      <c r="K434" s="144">
        <f t="shared" si="19"/>
        <v>0</v>
      </c>
      <c r="L434" s="199" t="str">
        <f t="shared" si="20"/>
        <v/>
      </c>
    </row>
    <row r="435" spans="1:12" x14ac:dyDescent="0.3">
      <c r="A435" s="293" t="s">
        <v>618</v>
      </c>
      <c r="B435" s="294" t="s">
        <v>650</v>
      </c>
      <c r="C435" s="394" t="s">
        <v>251</v>
      </c>
      <c r="D435" s="198" t="s">
        <v>251</v>
      </c>
      <c r="E435" s="198" t="s">
        <v>251</v>
      </c>
      <c r="F435" s="395"/>
      <c r="G435" s="394"/>
      <c r="H435" s="198"/>
      <c r="I435" s="198">
        <v>5000</v>
      </c>
      <c r="J435" s="395">
        <f t="shared" si="21"/>
        <v>5000</v>
      </c>
      <c r="K435" s="144">
        <f t="shared" si="19"/>
        <v>0</v>
      </c>
      <c r="L435" s="199" t="str">
        <f t="shared" si="20"/>
        <v/>
      </c>
    </row>
    <row r="436" spans="1:12" x14ac:dyDescent="0.3">
      <c r="A436" s="293" t="s">
        <v>618</v>
      </c>
      <c r="B436" s="294" t="s">
        <v>651</v>
      </c>
      <c r="C436" s="394" t="s">
        <v>251</v>
      </c>
      <c r="D436" s="198" t="s">
        <v>251</v>
      </c>
      <c r="E436" s="198" t="s">
        <v>251</v>
      </c>
      <c r="F436" s="395"/>
      <c r="G436" s="394"/>
      <c r="H436" s="198"/>
      <c r="I436" s="198">
        <v>30000</v>
      </c>
      <c r="J436" s="395">
        <f t="shared" si="21"/>
        <v>30000</v>
      </c>
      <c r="K436" s="144">
        <f t="shared" si="19"/>
        <v>0</v>
      </c>
      <c r="L436" s="199" t="str">
        <f t="shared" si="20"/>
        <v/>
      </c>
    </row>
    <row r="437" spans="1:12" x14ac:dyDescent="0.3">
      <c r="A437" s="293" t="s">
        <v>618</v>
      </c>
      <c r="B437" s="294" t="s">
        <v>656</v>
      </c>
      <c r="C437" s="394" t="s">
        <v>251</v>
      </c>
      <c r="D437" s="198" t="s">
        <v>251</v>
      </c>
      <c r="E437" s="198" t="s">
        <v>251</v>
      </c>
      <c r="F437" s="395"/>
      <c r="G437" s="394"/>
      <c r="H437" s="198"/>
      <c r="I437" s="198"/>
      <c r="J437" s="395"/>
      <c r="K437" s="144">
        <f t="shared" si="19"/>
        <v>0</v>
      </c>
      <c r="L437" s="199" t="str">
        <f t="shared" si="20"/>
        <v/>
      </c>
    </row>
    <row r="438" spans="1:12" x14ac:dyDescent="0.3">
      <c r="A438" s="293" t="s">
        <v>618</v>
      </c>
      <c r="B438" s="294" t="s">
        <v>657</v>
      </c>
      <c r="C438" s="394"/>
      <c r="D438" s="198"/>
      <c r="E438" s="198">
        <v>159500</v>
      </c>
      <c r="F438" s="395">
        <f>C438+D438+E438</f>
        <v>159500</v>
      </c>
      <c r="G438" s="394">
        <v>25000</v>
      </c>
      <c r="H438" s="198"/>
      <c r="I438" s="198"/>
      <c r="J438" s="395">
        <f t="shared" si="21"/>
        <v>25000</v>
      </c>
      <c r="K438" s="144">
        <f t="shared" si="19"/>
        <v>-0.84326018808777425</v>
      </c>
      <c r="L438" s="199" t="str">
        <f t="shared" si="20"/>
        <v/>
      </c>
    </row>
    <row r="439" spans="1:12" x14ac:dyDescent="0.3">
      <c r="A439" s="293" t="s">
        <v>618</v>
      </c>
      <c r="B439" s="294" t="s">
        <v>740</v>
      </c>
      <c r="C439" s="394" t="s">
        <v>251</v>
      </c>
      <c r="D439" s="198" t="s">
        <v>251</v>
      </c>
      <c r="E439" s="198" t="s">
        <v>251</v>
      </c>
      <c r="F439" s="395"/>
      <c r="G439" s="394"/>
      <c r="H439" s="198"/>
      <c r="I439" s="198"/>
      <c r="J439" s="395"/>
      <c r="K439" s="144">
        <f t="shared" si="19"/>
        <v>0</v>
      </c>
      <c r="L439" s="199" t="str">
        <f t="shared" si="20"/>
        <v/>
      </c>
    </row>
    <row r="440" spans="1:12" x14ac:dyDescent="0.3">
      <c r="A440" s="293" t="s">
        <v>618</v>
      </c>
      <c r="B440" s="294" t="s">
        <v>658</v>
      </c>
      <c r="C440" s="394"/>
      <c r="D440" s="198">
        <v>5000</v>
      </c>
      <c r="E440" s="198">
        <v>5000</v>
      </c>
      <c r="F440" s="395">
        <f>C440+D440+E440</f>
        <v>10000</v>
      </c>
      <c r="G440" s="394"/>
      <c r="H440" s="198"/>
      <c r="I440" s="198">
        <v>5000</v>
      </c>
      <c r="J440" s="395">
        <f t="shared" si="21"/>
        <v>5000</v>
      </c>
      <c r="K440" s="144">
        <f t="shared" si="19"/>
        <v>-0.5</v>
      </c>
      <c r="L440" s="199" t="str">
        <f t="shared" si="20"/>
        <v/>
      </c>
    </row>
    <row r="441" spans="1:12" x14ac:dyDescent="0.3">
      <c r="A441" s="293" t="s">
        <v>618</v>
      </c>
      <c r="B441" s="294" t="s">
        <v>741</v>
      </c>
      <c r="C441" s="394" t="s">
        <v>251</v>
      </c>
      <c r="D441" s="198" t="s">
        <v>251</v>
      </c>
      <c r="E441" s="198" t="s">
        <v>251</v>
      </c>
      <c r="F441" s="395"/>
      <c r="G441" s="394"/>
      <c r="H441" s="198"/>
      <c r="I441" s="198"/>
      <c r="J441" s="395"/>
      <c r="K441" s="144">
        <f t="shared" si="19"/>
        <v>0</v>
      </c>
      <c r="L441" s="199" t="str">
        <f t="shared" si="20"/>
        <v/>
      </c>
    </row>
    <row r="442" spans="1:12" x14ac:dyDescent="0.3">
      <c r="A442" s="293" t="s">
        <v>618</v>
      </c>
      <c r="B442" s="294" t="s">
        <v>661</v>
      </c>
      <c r="C442" s="394"/>
      <c r="D442" s="198"/>
      <c r="E442" s="198"/>
      <c r="F442" s="395"/>
      <c r="G442" s="394"/>
      <c r="H442" s="198"/>
      <c r="I442" s="198">
        <v>10000</v>
      </c>
      <c r="J442" s="395">
        <f t="shared" si="21"/>
        <v>10000</v>
      </c>
      <c r="K442" s="144">
        <f t="shared" si="19"/>
        <v>0</v>
      </c>
      <c r="L442" s="199" t="str">
        <f t="shared" si="20"/>
        <v/>
      </c>
    </row>
    <row r="443" spans="1:12" x14ac:dyDescent="0.3">
      <c r="A443" s="293" t="s">
        <v>618</v>
      </c>
      <c r="B443" s="294" t="s">
        <v>659</v>
      </c>
      <c r="C443" s="394"/>
      <c r="D443" s="198"/>
      <c r="E443" s="198">
        <v>47000</v>
      </c>
      <c r="F443" s="395">
        <f>C443+D443+E443</f>
        <v>47000</v>
      </c>
      <c r="G443" s="394"/>
      <c r="H443" s="198"/>
      <c r="I443" s="198"/>
      <c r="J443" s="395"/>
      <c r="K443" s="144">
        <f t="shared" si="19"/>
        <v>0</v>
      </c>
      <c r="L443" s="199" t="str">
        <f t="shared" si="20"/>
        <v/>
      </c>
    </row>
    <row r="444" spans="1:12" x14ac:dyDescent="0.3">
      <c r="A444" s="293" t="s">
        <v>618</v>
      </c>
      <c r="B444" s="294" t="s">
        <v>667</v>
      </c>
      <c r="C444" s="394"/>
      <c r="D444" s="198"/>
      <c r="E444" s="198"/>
      <c r="F444" s="395"/>
      <c r="G444" s="394"/>
      <c r="H444" s="198"/>
      <c r="I444" s="198"/>
      <c r="J444" s="395"/>
      <c r="K444" s="144">
        <f t="shared" si="19"/>
        <v>0</v>
      </c>
      <c r="L444" s="199" t="str">
        <f t="shared" si="20"/>
        <v/>
      </c>
    </row>
    <row r="445" spans="1:12" x14ac:dyDescent="0.3">
      <c r="A445" s="293" t="s">
        <v>618</v>
      </c>
      <c r="B445" s="294" t="s">
        <v>666</v>
      </c>
      <c r="C445" s="394">
        <v>300000</v>
      </c>
      <c r="D445" s="198">
        <v>846220</v>
      </c>
      <c r="E445" s="198"/>
      <c r="F445" s="395">
        <f>C445+D445+E445</f>
        <v>1146220</v>
      </c>
      <c r="G445" s="394"/>
      <c r="H445" s="198"/>
      <c r="I445" s="198"/>
      <c r="J445" s="395"/>
      <c r="K445" s="144">
        <f t="shared" si="19"/>
        <v>0</v>
      </c>
      <c r="L445" s="199" t="str">
        <f t="shared" si="20"/>
        <v/>
      </c>
    </row>
    <row r="446" spans="1:12" x14ac:dyDescent="0.3">
      <c r="A446" s="293" t="s">
        <v>618</v>
      </c>
      <c r="B446" s="294" t="s">
        <v>663</v>
      </c>
      <c r="C446" s="394"/>
      <c r="D446" s="198"/>
      <c r="E446" s="198"/>
      <c r="F446" s="395"/>
      <c r="G446" s="394"/>
      <c r="H446" s="198"/>
      <c r="I446" s="198"/>
      <c r="J446" s="395"/>
      <c r="K446" s="144">
        <f t="shared" si="19"/>
        <v>0</v>
      </c>
      <c r="L446" s="199" t="str">
        <f t="shared" si="20"/>
        <v/>
      </c>
    </row>
    <row r="447" spans="1:12" x14ac:dyDescent="0.3">
      <c r="A447" s="293" t="s">
        <v>618</v>
      </c>
      <c r="B447" s="294" t="s">
        <v>662</v>
      </c>
      <c r="C447" s="394"/>
      <c r="D447" s="198"/>
      <c r="E447" s="198"/>
      <c r="F447" s="395"/>
      <c r="G447" s="394"/>
      <c r="H447" s="198"/>
      <c r="I447" s="198"/>
      <c r="J447" s="395"/>
      <c r="K447" s="144">
        <f t="shared" si="19"/>
        <v>0</v>
      </c>
      <c r="L447" s="199" t="str">
        <f t="shared" si="20"/>
        <v/>
      </c>
    </row>
    <row r="448" spans="1:12" x14ac:dyDescent="0.3">
      <c r="A448" s="293" t="s">
        <v>618</v>
      </c>
      <c r="B448" s="294" t="s">
        <v>267</v>
      </c>
      <c r="C448" s="394"/>
      <c r="D448" s="198"/>
      <c r="E448" s="198">
        <v>30000</v>
      </c>
      <c r="F448" s="395">
        <f>C448+D448+E448</f>
        <v>30000</v>
      </c>
      <c r="G448" s="394"/>
      <c r="H448" s="198"/>
      <c r="I448" s="198"/>
      <c r="J448" s="395"/>
      <c r="K448" s="144">
        <f t="shared" si="19"/>
        <v>0</v>
      </c>
      <c r="L448" s="199" t="str">
        <f t="shared" si="20"/>
        <v/>
      </c>
    </row>
    <row r="449" spans="1:12" x14ac:dyDescent="0.3">
      <c r="A449" s="293" t="s">
        <v>618</v>
      </c>
      <c r="B449" s="294" t="s">
        <v>664</v>
      </c>
      <c r="C449" s="394"/>
      <c r="D449" s="198"/>
      <c r="E449" s="198">
        <v>37000</v>
      </c>
      <c r="F449" s="395">
        <f>C449+D449+E449</f>
        <v>37000</v>
      </c>
      <c r="G449" s="394"/>
      <c r="H449" s="198"/>
      <c r="I449" s="198"/>
      <c r="J449" s="395"/>
      <c r="K449" s="144">
        <f t="shared" si="19"/>
        <v>0</v>
      </c>
      <c r="L449" s="199" t="str">
        <f t="shared" si="20"/>
        <v/>
      </c>
    </row>
    <row r="450" spans="1:12" x14ac:dyDescent="0.3">
      <c r="A450" s="293" t="s">
        <v>618</v>
      </c>
      <c r="B450" s="294" t="s">
        <v>665</v>
      </c>
      <c r="C450" s="394"/>
      <c r="D450" s="198"/>
      <c r="E450" s="198">
        <v>64000</v>
      </c>
      <c r="F450" s="395">
        <f>C450+D450+E450</f>
        <v>64000</v>
      </c>
      <c r="G450" s="394"/>
      <c r="H450" s="198"/>
      <c r="I450" s="198"/>
      <c r="J450" s="395"/>
      <c r="K450" s="144">
        <f t="shared" ref="K450:K513" si="22">IF(OR(J450="", F450=""), 0, IFERROR((J450-F450)/F450, IF(J450&lt;&gt;0, 1, 0)))</f>
        <v>0</v>
      </c>
      <c r="L450" s="199" t="str">
        <f t="shared" ref="L450:L513" si="23">IFERROR(_xlfn.RANK.EQ(J450, $J$2:$J$308), "")</f>
        <v/>
      </c>
    </row>
    <row r="451" spans="1:12" x14ac:dyDescent="0.3">
      <c r="A451" s="293" t="s">
        <v>618</v>
      </c>
      <c r="B451" s="294" t="s">
        <v>668</v>
      </c>
      <c r="C451" s="394"/>
      <c r="D451" s="198"/>
      <c r="E451" s="198"/>
      <c r="F451" s="395"/>
      <c r="G451" s="394"/>
      <c r="H451" s="198"/>
      <c r="I451" s="198"/>
      <c r="J451" s="395"/>
      <c r="K451" s="144">
        <f t="shared" si="22"/>
        <v>0</v>
      </c>
      <c r="L451" s="199" t="str">
        <f t="shared" si="23"/>
        <v/>
      </c>
    </row>
    <row r="452" spans="1:12" x14ac:dyDescent="0.3">
      <c r="A452" s="293" t="s">
        <v>618</v>
      </c>
      <c r="B452" s="294" t="s">
        <v>670</v>
      </c>
      <c r="C452" s="394"/>
      <c r="D452" s="198"/>
      <c r="E452" s="198"/>
      <c r="F452" s="395"/>
      <c r="G452" s="394"/>
      <c r="H452" s="198"/>
      <c r="I452" s="198"/>
      <c r="J452" s="395"/>
      <c r="K452" s="144">
        <f t="shared" si="22"/>
        <v>0</v>
      </c>
      <c r="L452" s="199" t="str">
        <f t="shared" si="23"/>
        <v/>
      </c>
    </row>
    <row r="453" spans="1:12" x14ac:dyDescent="0.3">
      <c r="A453" s="293" t="s">
        <v>618</v>
      </c>
      <c r="B453" s="294" t="s">
        <v>674</v>
      </c>
      <c r="C453" s="394">
        <v>5000</v>
      </c>
      <c r="D453" s="198"/>
      <c r="E453" s="198"/>
      <c r="F453" s="395">
        <f>C453+D453+E453</f>
        <v>5000</v>
      </c>
      <c r="G453" s="394"/>
      <c r="H453" s="198"/>
      <c r="I453" s="198"/>
      <c r="J453" s="395"/>
      <c r="K453" s="144">
        <f t="shared" si="22"/>
        <v>0</v>
      </c>
      <c r="L453" s="199" t="str">
        <f t="shared" si="23"/>
        <v/>
      </c>
    </row>
    <row r="454" spans="1:12" x14ac:dyDescent="0.3">
      <c r="A454" s="293" t="s">
        <v>618</v>
      </c>
      <c r="B454" s="294" t="s">
        <v>672</v>
      </c>
      <c r="C454" s="394"/>
      <c r="D454" s="198">
        <v>5000</v>
      </c>
      <c r="E454" s="198"/>
      <c r="F454" s="395">
        <f>C454+D454+E454</f>
        <v>5000</v>
      </c>
      <c r="G454" s="394"/>
      <c r="H454" s="198"/>
      <c r="I454" s="198"/>
      <c r="J454" s="395"/>
      <c r="K454" s="144">
        <f t="shared" si="22"/>
        <v>0</v>
      </c>
      <c r="L454" s="199" t="str">
        <f t="shared" si="23"/>
        <v/>
      </c>
    </row>
    <row r="455" spans="1:12" x14ac:dyDescent="0.3">
      <c r="A455" s="293" t="s">
        <v>618</v>
      </c>
      <c r="B455" s="294" t="s">
        <v>673</v>
      </c>
      <c r="C455" s="394">
        <v>5000</v>
      </c>
      <c r="D455" s="198"/>
      <c r="E455" s="198"/>
      <c r="F455" s="395">
        <f>C455+D455+E455</f>
        <v>5000</v>
      </c>
      <c r="G455" s="394"/>
      <c r="H455" s="198"/>
      <c r="I455" s="198"/>
      <c r="J455" s="395"/>
      <c r="K455" s="144">
        <f t="shared" si="22"/>
        <v>0</v>
      </c>
      <c r="L455" s="199" t="str">
        <f t="shared" si="23"/>
        <v/>
      </c>
    </row>
    <row r="456" spans="1:12" x14ac:dyDescent="0.3">
      <c r="A456" s="293" t="s">
        <v>618</v>
      </c>
      <c r="B456" s="294" t="s">
        <v>671</v>
      </c>
      <c r="C456" s="394"/>
      <c r="D456" s="198">
        <v>5000</v>
      </c>
      <c r="E456" s="198"/>
      <c r="F456" s="395">
        <f>C456+D456+E456</f>
        <v>5000</v>
      </c>
      <c r="G456" s="394"/>
      <c r="H456" s="198"/>
      <c r="I456" s="198"/>
      <c r="J456" s="395"/>
      <c r="K456" s="144">
        <f t="shared" si="22"/>
        <v>0</v>
      </c>
      <c r="L456" s="199" t="str">
        <f t="shared" si="23"/>
        <v/>
      </c>
    </row>
    <row r="457" spans="1:12" x14ac:dyDescent="0.3">
      <c r="A457" s="295" t="s">
        <v>1222</v>
      </c>
      <c r="B457" s="296" t="s">
        <v>1223</v>
      </c>
      <c r="C457" s="3">
        <v>3556480</v>
      </c>
      <c r="D457" s="3">
        <v>45800</v>
      </c>
      <c r="E457" s="3">
        <v>2210900</v>
      </c>
      <c r="F457" s="397">
        <f>C457+D457+E457</f>
        <v>5813180</v>
      </c>
      <c r="G457" s="3">
        <v>1313000</v>
      </c>
      <c r="H457" s="3">
        <v>1003200</v>
      </c>
      <c r="I457" s="3">
        <v>978800</v>
      </c>
      <c r="J457" s="397"/>
      <c r="K457" s="145">
        <f t="shared" si="22"/>
        <v>0</v>
      </c>
      <c r="L457" s="201" t="str">
        <f t="shared" si="23"/>
        <v/>
      </c>
    </row>
    <row r="458" spans="1:12" x14ac:dyDescent="0.3">
      <c r="A458" s="295" t="s">
        <v>1222</v>
      </c>
      <c r="B458" s="296" t="s">
        <v>1224</v>
      </c>
      <c r="C458" s="396" t="s">
        <v>251</v>
      </c>
      <c r="D458" s="200" t="s">
        <v>251</v>
      </c>
      <c r="E458" s="3">
        <v>141600</v>
      </c>
      <c r="F458" s="397">
        <f>E458</f>
        <v>141600</v>
      </c>
      <c r="G458" s="396"/>
      <c r="H458" s="3">
        <v>73800</v>
      </c>
      <c r="I458" s="3">
        <v>443400</v>
      </c>
      <c r="J458" s="397"/>
      <c r="K458" s="145">
        <f t="shared" si="22"/>
        <v>0</v>
      </c>
      <c r="L458" s="201" t="str">
        <f t="shared" si="23"/>
        <v/>
      </c>
    </row>
    <row r="459" spans="1:12" x14ac:dyDescent="0.3">
      <c r="A459" s="295" t="s">
        <v>1222</v>
      </c>
      <c r="B459" s="296" t="s">
        <v>1225</v>
      </c>
      <c r="C459" s="396" t="s">
        <v>251</v>
      </c>
      <c r="D459" s="200" t="s">
        <v>251</v>
      </c>
      <c r="E459" s="200" t="s">
        <v>251</v>
      </c>
      <c r="F459" s="397"/>
      <c r="G459" s="396"/>
      <c r="H459" s="200"/>
      <c r="I459" s="200"/>
      <c r="J459" s="397"/>
      <c r="K459" s="145">
        <f t="shared" si="22"/>
        <v>0</v>
      </c>
      <c r="L459" s="201" t="str">
        <f t="shared" si="23"/>
        <v/>
      </c>
    </row>
    <row r="460" spans="1:12" x14ac:dyDescent="0.3">
      <c r="A460" s="295" t="s">
        <v>1226</v>
      </c>
      <c r="B460" s="296" t="s">
        <v>1227</v>
      </c>
      <c r="C460" s="396" t="s">
        <v>251</v>
      </c>
      <c r="D460" s="200" t="s">
        <v>251</v>
      </c>
      <c r="E460" s="200" t="s">
        <v>251</v>
      </c>
      <c r="F460" s="397"/>
      <c r="G460" s="398">
        <v>249600</v>
      </c>
      <c r="H460" s="146">
        <v>230200</v>
      </c>
      <c r="I460" s="146">
        <v>10400</v>
      </c>
      <c r="J460" s="397">
        <f>G460+H460+I460</f>
        <v>490200</v>
      </c>
      <c r="K460" s="145">
        <f t="shared" si="22"/>
        <v>0</v>
      </c>
      <c r="L460" s="201" t="str">
        <f t="shared" si="23"/>
        <v/>
      </c>
    </row>
    <row r="461" spans="1:12" x14ac:dyDescent="0.3">
      <c r="A461" s="295" t="s">
        <v>1226</v>
      </c>
      <c r="B461" s="296" t="s">
        <v>1228</v>
      </c>
      <c r="C461" s="396" t="s">
        <v>251</v>
      </c>
      <c r="D461" s="200" t="s">
        <v>251</v>
      </c>
      <c r="E461" s="200" t="s">
        <v>251</v>
      </c>
      <c r="F461" s="397"/>
      <c r="G461" s="396" t="s">
        <v>251</v>
      </c>
      <c r="H461" s="200" t="s">
        <v>251</v>
      </c>
      <c r="I461" s="200" t="s">
        <v>251</v>
      </c>
      <c r="J461" s="397"/>
      <c r="K461" s="145">
        <f t="shared" si="22"/>
        <v>0</v>
      </c>
      <c r="L461" s="201" t="str">
        <f t="shared" si="23"/>
        <v/>
      </c>
    </row>
    <row r="462" spans="1:12" x14ac:dyDescent="0.3">
      <c r="A462" s="295" t="s">
        <v>1226</v>
      </c>
      <c r="B462" s="296" t="s">
        <v>1229</v>
      </c>
      <c r="C462" s="396" t="s">
        <v>251</v>
      </c>
      <c r="D462" s="200" t="s">
        <v>251</v>
      </c>
      <c r="E462" s="200" t="s">
        <v>251</v>
      </c>
      <c r="F462" s="397"/>
      <c r="G462" s="3">
        <v>220000</v>
      </c>
      <c r="H462" s="3">
        <v>169200</v>
      </c>
      <c r="I462" s="3">
        <v>218700</v>
      </c>
      <c r="J462" s="397"/>
      <c r="K462" s="145">
        <f t="shared" si="22"/>
        <v>0</v>
      </c>
      <c r="L462" s="201" t="str">
        <f t="shared" si="23"/>
        <v/>
      </c>
    </row>
    <row r="463" spans="1:12" x14ac:dyDescent="0.3">
      <c r="A463" s="295" t="s">
        <v>1226</v>
      </c>
      <c r="B463" s="296" t="s">
        <v>1230</v>
      </c>
      <c r="C463" s="396" t="s">
        <v>251</v>
      </c>
      <c r="D463" s="200" t="s">
        <v>251</v>
      </c>
      <c r="E463" s="200" t="s">
        <v>251</v>
      </c>
      <c r="F463" s="397"/>
      <c r="G463" s="398">
        <v>250200</v>
      </c>
      <c r="H463" s="146">
        <v>192600</v>
      </c>
      <c r="I463" s="146">
        <v>374400</v>
      </c>
      <c r="J463" s="397">
        <f>G463+H463+I463</f>
        <v>817200</v>
      </c>
      <c r="K463" s="145">
        <f t="shared" si="22"/>
        <v>0</v>
      </c>
      <c r="L463" s="201" t="str">
        <f t="shared" si="23"/>
        <v/>
      </c>
    </row>
    <row r="464" spans="1:12" x14ac:dyDescent="0.3">
      <c r="A464" s="295" t="s">
        <v>1226</v>
      </c>
      <c r="B464" s="296" t="s">
        <v>1231</v>
      </c>
      <c r="C464" s="3">
        <v>3182000</v>
      </c>
      <c r="D464" s="3">
        <v>1132000</v>
      </c>
      <c r="E464" s="200" t="s">
        <v>251</v>
      </c>
      <c r="F464" s="397">
        <f>C464+D464</f>
        <v>4314000</v>
      </c>
      <c r="G464" s="396" t="s">
        <v>251</v>
      </c>
      <c r="H464" s="3">
        <v>556000</v>
      </c>
      <c r="I464" s="3">
        <v>292000</v>
      </c>
      <c r="J464" s="397"/>
      <c r="K464" s="145">
        <f t="shared" si="22"/>
        <v>0</v>
      </c>
      <c r="L464" s="201" t="str">
        <f t="shared" si="23"/>
        <v/>
      </c>
    </row>
    <row r="465" spans="1:12" x14ac:dyDescent="0.3">
      <c r="A465" s="295" t="s">
        <v>1226</v>
      </c>
      <c r="B465" s="296" t="s">
        <v>1232</v>
      </c>
      <c r="C465" s="396" t="s">
        <v>251</v>
      </c>
      <c r="D465" s="200" t="s">
        <v>251</v>
      </c>
      <c r="E465" s="3">
        <v>1604600</v>
      </c>
      <c r="F465" s="397">
        <f>E465</f>
        <v>1604600</v>
      </c>
      <c r="G465" s="396" t="s">
        <v>251</v>
      </c>
      <c r="H465" s="3">
        <v>838600</v>
      </c>
      <c r="I465" s="200" t="s">
        <v>251</v>
      </c>
      <c r="J465" s="397"/>
      <c r="K465" s="145">
        <f t="shared" si="22"/>
        <v>0</v>
      </c>
      <c r="L465" s="201" t="str">
        <f t="shared" si="23"/>
        <v/>
      </c>
    </row>
    <row r="466" spans="1:12" x14ac:dyDescent="0.3">
      <c r="A466" s="295" t="s">
        <v>1226</v>
      </c>
      <c r="B466" s="296" t="s">
        <v>1233</v>
      </c>
      <c r="C466" s="396" t="s">
        <v>251</v>
      </c>
      <c r="D466" s="200" t="s">
        <v>251</v>
      </c>
      <c r="E466" s="200" t="s">
        <v>251</v>
      </c>
      <c r="F466" s="397"/>
      <c r="G466" s="396" t="s">
        <v>251</v>
      </c>
      <c r="H466" s="200" t="s">
        <v>251</v>
      </c>
      <c r="I466" s="200" t="s">
        <v>251</v>
      </c>
      <c r="J466" s="397"/>
      <c r="K466" s="145">
        <f t="shared" si="22"/>
        <v>0</v>
      </c>
      <c r="L466" s="201" t="str">
        <f t="shared" si="23"/>
        <v/>
      </c>
    </row>
    <row r="467" spans="1:12" x14ac:dyDescent="0.3">
      <c r="A467" s="295" t="s">
        <v>1226</v>
      </c>
      <c r="B467" s="296" t="s">
        <v>1234</v>
      </c>
      <c r="C467" s="396" t="s">
        <v>251</v>
      </c>
      <c r="D467" s="200" t="s">
        <v>251</v>
      </c>
      <c r="E467" s="200" t="s">
        <v>251</v>
      </c>
      <c r="F467" s="397"/>
      <c r="G467" s="396" t="s">
        <v>251</v>
      </c>
      <c r="H467" s="200" t="s">
        <v>251</v>
      </c>
      <c r="I467" s="200" t="s">
        <v>251</v>
      </c>
      <c r="J467" s="397"/>
      <c r="K467" s="145">
        <f t="shared" si="22"/>
        <v>0</v>
      </c>
      <c r="L467" s="201" t="str">
        <f t="shared" si="23"/>
        <v/>
      </c>
    </row>
    <row r="468" spans="1:12" x14ac:dyDescent="0.3">
      <c r="A468" s="295" t="s">
        <v>1226</v>
      </c>
      <c r="B468" s="296" t="s">
        <v>1091</v>
      </c>
      <c r="C468" s="396" t="s">
        <v>251</v>
      </c>
      <c r="D468" s="200" t="s">
        <v>251</v>
      </c>
      <c r="E468" s="200" t="s">
        <v>251</v>
      </c>
      <c r="F468" s="397"/>
      <c r="G468" s="3">
        <v>757800</v>
      </c>
      <c r="H468" s="200" t="s">
        <v>251</v>
      </c>
      <c r="I468" s="200" t="s">
        <v>251</v>
      </c>
      <c r="J468" s="397"/>
      <c r="K468" s="145">
        <f t="shared" si="22"/>
        <v>0</v>
      </c>
      <c r="L468" s="201" t="str">
        <f t="shared" si="23"/>
        <v/>
      </c>
    </row>
    <row r="469" spans="1:12" x14ac:dyDescent="0.3">
      <c r="A469" s="295" t="s">
        <v>1226</v>
      </c>
      <c r="B469" s="296" t="s">
        <v>1235</v>
      </c>
      <c r="C469" s="396" t="s">
        <v>251</v>
      </c>
      <c r="D469" s="200" t="s">
        <v>251</v>
      </c>
      <c r="E469" s="200" t="s">
        <v>251</v>
      </c>
      <c r="F469" s="397"/>
      <c r="G469" s="3">
        <v>91800</v>
      </c>
      <c r="H469" s="3">
        <v>156400</v>
      </c>
      <c r="I469" s="3">
        <v>222000</v>
      </c>
      <c r="J469" s="397"/>
      <c r="K469" s="145">
        <f t="shared" si="22"/>
        <v>0</v>
      </c>
      <c r="L469" s="201" t="str">
        <f t="shared" si="23"/>
        <v/>
      </c>
    </row>
    <row r="470" spans="1:12" x14ac:dyDescent="0.3">
      <c r="A470" s="295" t="s">
        <v>1226</v>
      </c>
      <c r="B470" s="296" t="s">
        <v>1236</v>
      </c>
      <c r="C470" s="396" t="s">
        <v>251</v>
      </c>
      <c r="D470" s="200" t="s">
        <v>251</v>
      </c>
      <c r="E470" s="200" t="s">
        <v>251</v>
      </c>
      <c r="F470" s="397"/>
      <c r="G470" s="3">
        <v>415000</v>
      </c>
      <c r="H470" s="200" t="s">
        <v>251</v>
      </c>
      <c r="I470" s="200" t="s">
        <v>251</v>
      </c>
      <c r="J470" s="397"/>
      <c r="K470" s="145">
        <f t="shared" si="22"/>
        <v>0</v>
      </c>
      <c r="L470" s="201" t="str">
        <f t="shared" si="23"/>
        <v/>
      </c>
    </row>
    <row r="471" spans="1:12" x14ac:dyDescent="0.3">
      <c r="A471" s="295" t="s">
        <v>1226</v>
      </c>
      <c r="B471" s="296" t="s">
        <v>1237</v>
      </c>
      <c r="C471" s="396" t="s">
        <v>251</v>
      </c>
      <c r="D471" s="200" t="s">
        <v>251</v>
      </c>
      <c r="E471" s="3">
        <v>672000</v>
      </c>
      <c r="F471" s="397">
        <f>E471</f>
        <v>672000</v>
      </c>
      <c r="G471" s="3">
        <v>531600</v>
      </c>
      <c r="H471" s="200" t="s">
        <v>251</v>
      </c>
      <c r="I471" s="200" t="s">
        <v>251</v>
      </c>
      <c r="J471" s="397"/>
      <c r="K471" s="145">
        <f t="shared" si="22"/>
        <v>0</v>
      </c>
      <c r="L471" s="201" t="str">
        <f t="shared" si="23"/>
        <v/>
      </c>
    </row>
    <row r="472" spans="1:12" x14ac:dyDescent="0.3">
      <c r="A472" s="295" t="s">
        <v>1226</v>
      </c>
      <c r="B472" s="296" t="s">
        <v>1238</v>
      </c>
      <c r="C472" s="396" t="s">
        <v>251</v>
      </c>
      <c r="D472" s="200" t="s">
        <v>251</v>
      </c>
      <c r="E472" s="200" t="s">
        <v>251</v>
      </c>
      <c r="F472" s="397"/>
      <c r="G472" s="396" t="s">
        <v>251</v>
      </c>
      <c r="H472" s="200" t="s">
        <v>251</v>
      </c>
      <c r="I472" s="200" t="s">
        <v>251</v>
      </c>
      <c r="J472" s="397"/>
      <c r="K472" s="145">
        <f t="shared" si="22"/>
        <v>0</v>
      </c>
      <c r="L472" s="201" t="str">
        <f t="shared" si="23"/>
        <v/>
      </c>
    </row>
    <row r="473" spans="1:12" x14ac:dyDescent="0.3">
      <c r="A473" s="295" t="s">
        <v>1226</v>
      </c>
      <c r="B473" s="296" t="s">
        <v>1239</v>
      </c>
      <c r="C473" s="396" t="s">
        <v>251</v>
      </c>
      <c r="D473" s="200" t="s">
        <v>251</v>
      </c>
      <c r="E473" s="200" t="s">
        <v>251</v>
      </c>
      <c r="F473" s="397"/>
      <c r="G473" s="396" t="s">
        <v>251</v>
      </c>
      <c r="H473" s="200" t="s">
        <v>251</v>
      </c>
      <c r="I473" s="146">
        <v>181000</v>
      </c>
      <c r="J473" s="397">
        <f>I473</f>
        <v>181000</v>
      </c>
      <c r="K473" s="145">
        <f t="shared" si="22"/>
        <v>0</v>
      </c>
      <c r="L473" s="201" t="str">
        <f t="shared" si="23"/>
        <v/>
      </c>
    </row>
    <row r="474" spans="1:12" x14ac:dyDescent="0.3">
      <c r="A474" s="295" t="s">
        <v>1226</v>
      </c>
      <c r="B474" s="296" t="s">
        <v>1240</v>
      </c>
      <c r="C474" s="396" t="s">
        <v>251</v>
      </c>
      <c r="D474" s="200" t="s">
        <v>251</v>
      </c>
      <c r="E474" s="200" t="s">
        <v>251</v>
      </c>
      <c r="F474" s="397"/>
      <c r="G474" s="3">
        <v>142600</v>
      </c>
      <c r="H474" s="200" t="s">
        <v>251</v>
      </c>
      <c r="I474" s="200" t="s">
        <v>251</v>
      </c>
      <c r="J474" s="397"/>
      <c r="K474" s="145">
        <f t="shared" si="22"/>
        <v>0</v>
      </c>
      <c r="L474" s="201" t="str">
        <f t="shared" si="23"/>
        <v/>
      </c>
    </row>
    <row r="475" spans="1:12" x14ac:dyDescent="0.3">
      <c r="A475" s="295" t="s">
        <v>1226</v>
      </c>
      <c r="B475" s="296" t="s">
        <v>1241</v>
      </c>
      <c r="C475" s="3">
        <v>119600</v>
      </c>
      <c r="D475" s="200" t="s">
        <v>251</v>
      </c>
      <c r="E475" s="3">
        <v>390600</v>
      </c>
      <c r="F475" s="397">
        <f>C475+E475</f>
        <v>510200</v>
      </c>
      <c r="G475" s="3">
        <v>142600</v>
      </c>
      <c r="H475" s="200" t="s">
        <v>251</v>
      </c>
      <c r="I475" s="200" t="s">
        <v>251</v>
      </c>
      <c r="J475" s="397"/>
      <c r="K475" s="145">
        <f t="shared" si="22"/>
        <v>0</v>
      </c>
      <c r="L475" s="201" t="str">
        <f t="shared" si="23"/>
        <v/>
      </c>
    </row>
    <row r="476" spans="1:12" x14ac:dyDescent="0.3">
      <c r="A476" s="295" t="s">
        <v>1226</v>
      </c>
      <c r="B476" s="296" t="s">
        <v>1242</v>
      </c>
      <c r="C476" s="396" t="s">
        <v>251</v>
      </c>
      <c r="D476" s="200" t="s">
        <v>251</v>
      </c>
      <c r="E476" s="200" t="s">
        <v>251</v>
      </c>
      <c r="F476" s="397"/>
      <c r="G476" s="396" t="s">
        <v>251</v>
      </c>
      <c r="H476" s="200" t="s">
        <v>251</v>
      </c>
      <c r="I476" s="200" t="s">
        <v>251</v>
      </c>
      <c r="J476" s="397"/>
      <c r="K476" s="145">
        <f t="shared" si="22"/>
        <v>0</v>
      </c>
      <c r="L476" s="201" t="str">
        <f t="shared" si="23"/>
        <v/>
      </c>
    </row>
    <row r="477" spans="1:12" x14ac:dyDescent="0.3">
      <c r="A477" s="295" t="s">
        <v>1226</v>
      </c>
      <c r="B477" s="296" t="s">
        <v>1243</v>
      </c>
      <c r="C477" s="396" t="s">
        <v>251</v>
      </c>
      <c r="D477" s="200" t="s">
        <v>251</v>
      </c>
      <c r="E477" s="200" t="s">
        <v>251</v>
      </c>
      <c r="F477" s="397"/>
      <c r="G477" s="396" t="s">
        <v>251</v>
      </c>
      <c r="H477" s="200" t="s">
        <v>251</v>
      </c>
      <c r="I477" s="200" t="s">
        <v>251</v>
      </c>
      <c r="J477" s="397"/>
      <c r="K477" s="145">
        <f t="shared" si="22"/>
        <v>0</v>
      </c>
      <c r="L477" s="201" t="str">
        <f t="shared" si="23"/>
        <v/>
      </c>
    </row>
    <row r="478" spans="1:12" x14ac:dyDescent="0.3">
      <c r="A478" s="295" t="s">
        <v>1226</v>
      </c>
      <c r="B478" s="296" t="s">
        <v>1244</v>
      </c>
      <c r="C478" s="396" t="s">
        <v>251</v>
      </c>
      <c r="D478" s="200" t="s">
        <v>251</v>
      </c>
      <c r="E478" s="200" t="s">
        <v>251</v>
      </c>
      <c r="F478" s="397"/>
      <c r="G478" s="3">
        <v>115000</v>
      </c>
      <c r="H478" s="200" t="s">
        <v>251</v>
      </c>
      <c r="I478" s="3">
        <v>120000</v>
      </c>
      <c r="J478" s="397"/>
      <c r="K478" s="145">
        <f t="shared" si="22"/>
        <v>0</v>
      </c>
      <c r="L478" s="201" t="str">
        <f t="shared" si="23"/>
        <v/>
      </c>
    </row>
    <row r="479" spans="1:12" x14ac:dyDescent="0.3">
      <c r="A479" s="295" t="s">
        <v>1226</v>
      </c>
      <c r="B479" s="296" t="s">
        <v>1245</v>
      </c>
      <c r="C479" s="3">
        <v>35600</v>
      </c>
      <c r="D479" s="200" t="s">
        <v>251</v>
      </c>
      <c r="E479" s="3">
        <v>35600</v>
      </c>
      <c r="F479" s="397">
        <f>C479+E479</f>
        <v>71200</v>
      </c>
      <c r="G479" s="3">
        <v>14600</v>
      </c>
      <c r="H479" s="200" t="s">
        <v>251</v>
      </c>
      <c r="I479" s="200" t="s">
        <v>251</v>
      </c>
      <c r="J479" s="397"/>
      <c r="K479" s="145">
        <f t="shared" si="22"/>
        <v>0</v>
      </c>
      <c r="L479" s="201" t="str">
        <f t="shared" si="23"/>
        <v/>
      </c>
    </row>
    <row r="480" spans="1:12" x14ac:dyDescent="0.3">
      <c r="A480" s="295" t="s">
        <v>1226</v>
      </c>
      <c r="B480" s="296" t="s">
        <v>1246</v>
      </c>
      <c r="C480" s="396" t="s">
        <v>251</v>
      </c>
      <c r="D480" s="200" t="s">
        <v>251</v>
      </c>
      <c r="E480" s="200" t="s">
        <v>251</v>
      </c>
      <c r="F480" s="397"/>
      <c r="G480" s="3">
        <v>127800</v>
      </c>
      <c r="H480" s="3">
        <v>141600</v>
      </c>
      <c r="I480" s="200" t="s">
        <v>251</v>
      </c>
      <c r="J480" s="397"/>
      <c r="K480" s="145">
        <f t="shared" si="22"/>
        <v>0</v>
      </c>
      <c r="L480" s="201" t="str">
        <f t="shared" si="23"/>
        <v/>
      </c>
    </row>
    <row r="481" spans="1:12" x14ac:dyDescent="0.3">
      <c r="A481" s="295" t="s">
        <v>1226</v>
      </c>
      <c r="B481" s="296" t="s">
        <v>1247</v>
      </c>
      <c r="C481" s="396" t="s">
        <v>251</v>
      </c>
      <c r="D481" s="200" t="s">
        <v>251</v>
      </c>
      <c r="E481" s="200" t="s">
        <v>251</v>
      </c>
      <c r="F481" s="397"/>
      <c r="G481" s="396" t="s">
        <v>251</v>
      </c>
      <c r="H481" s="200" t="s">
        <v>251</v>
      </c>
      <c r="I481" s="3">
        <v>169000</v>
      </c>
      <c r="J481" s="397"/>
      <c r="K481" s="145">
        <f t="shared" si="22"/>
        <v>0</v>
      </c>
      <c r="L481" s="201" t="str">
        <f t="shared" si="23"/>
        <v/>
      </c>
    </row>
    <row r="482" spans="1:12" x14ac:dyDescent="0.3">
      <c r="A482" s="295" t="s">
        <v>1226</v>
      </c>
      <c r="B482" s="296" t="s">
        <v>1248</v>
      </c>
      <c r="C482" s="396" t="s">
        <v>251</v>
      </c>
      <c r="D482" s="200" t="s">
        <v>251</v>
      </c>
      <c r="E482" s="200" t="s">
        <v>251</v>
      </c>
      <c r="F482" s="397"/>
      <c r="G482" s="396" t="s">
        <v>251</v>
      </c>
      <c r="H482" s="3">
        <v>44600</v>
      </c>
      <c r="I482" s="3">
        <v>62800</v>
      </c>
      <c r="J482" s="397"/>
      <c r="K482" s="145">
        <f t="shared" si="22"/>
        <v>0</v>
      </c>
      <c r="L482" s="201" t="str">
        <f t="shared" si="23"/>
        <v/>
      </c>
    </row>
    <row r="483" spans="1:12" x14ac:dyDescent="0.3">
      <c r="A483" s="295" t="s">
        <v>1226</v>
      </c>
      <c r="B483" s="296" t="s">
        <v>1249</v>
      </c>
      <c r="C483" s="396" t="s">
        <v>251</v>
      </c>
      <c r="D483" s="200" t="s">
        <v>251</v>
      </c>
      <c r="E483" s="200" t="s">
        <v>251</v>
      </c>
      <c r="F483" s="397"/>
      <c r="G483" s="396" t="s">
        <v>251</v>
      </c>
      <c r="H483" s="200" t="s">
        <v>251</v>
      </c>
      <c r="I483" s="200" t="s">
        <v>251</v>
      </c>
      <c r="J483" s="397"/>
      <c r="K483" s="145">
        <f t="shared" si="22"/>
        <v>0</v>
      </c>
      <c r="L483" s="201" t="str">
        <f t="shared" si="23"/>
        <v/>
      </c>
    </row>
    <row r="484" spans="1:12" x14ac:dyDescent="0.3">
      <c r="A484" s="295" t="s">
        <v>1226</v>
      </c>
      <c r="B484" s="296" t="s">
        <v>1250</v>
      </c>
      <c r="C484" s="396" t="s">
        <v>251</v>
      </c>
      <c r="D484" s="200" t="s">
        <v>251</v>
      </c>
      <c r="E484" s="200" t="s">
        <v>251</v>
      </c>
      <c r="F484" s="397"/>
      <c r="G484" s="396" t="s">
        <v>251</v>
      </c>
      <c r="H484" s="200" t="s">
        <v>251</v>
      </c>
      <c r="I484" s="200" t="s">
        <v>251</v>
      </c>
      <c r="J484" s="397"/>
      <c r="K484" s="145">
        <f t="shared" si="22"/>
        <v>0</v>
      </c>
      <c r="L484" s="201" t="str">
        <f t="shared" si="23"/>
        <v/>
      </c>
    </row>
    <row r="485" spans="1:12" x14ac:dyDescent="0.3">
      <c r="A485" s="295" t="s">
        <v>1226</v>
      </c>
      <c r="B485" s="296" t="s">
        <v>1251</v>
      </c>
      <c r="C485" s="396" t="s">
        <v>251</v>
      </c>
      <c r="D485" s="200" t="s">
        <v>251</v>
      </c>
      <c r="E485" s="200" t="s">
        <v>251</v>
      </c>
      <c r="F485" s="397"/>
      <c r="G485" s="396" t="s">
        <v>251</v>
      </c>
      <c r="H485" s="200" t="s">
        <v>251</v>
      </c>
      <c r="I485" s="200" t="s">
        <v>251</v>
      </c>
      <c r="J485" s="397"/>
      <c r="K485" s="145">
        <f t="shared" si="22"/>
        <v>0</v>
      </c>
      <c r="L485" s="201" t="str">
        <f t="shared" si="23"/>
        <v/>
      </c>
    </row>
    <row r="486" spans="1:12" x14ac:dyDescent="0.3">
      <c r="A486" s="295" t="s">
        <v>1226</v>
      </c>
      <c r="B486" s="296" t="s">
        <v>1252</v>
      </c>
      <c r="C486" s="396" t="s">
        <v>251</v>
      </c>
      <c r="D486" s="200" t="s">
        <v>251</v>
      </c>
      <c r="E486" s="200" t="s">
        <v>251</v>
      </c>
      <c r="F486" s="397"/>
      <c r="G486" s="3">
        <v>32600</v>
      </c>
      <c r="H486" s="200" t="s">
        <v>251</v>
      </c>
      <c r="I486" s="200" t="s">
        <v>251</v>
      </c>
      <c r="J486" s="397"/>
      <c r="K486" s="145">
        <f t="shared" si="22"/>
        <v>0</v>
      </c>
      <c r="L486" s="201" t="str">
        <f t="shared" si="23"/>
        <v/>
      </c>
    </row>
    <row r="487" spans="1:12" x14ac:dyDescent="0.3">
      <c r="A487" s="295" t="s">
        <v>1226</v>
      </c>
      <c r="B487" s="296" t="s">
        <v>1253</v>
      </c>
      <c r="C487" s="398">
        <v>2154600</v>
      </c>
      <c r="D487" s="200" t="s">
        <v>251</v>
      </c>
      <c r="E487" s="146">
        <v>2238800</v>
      </c>
      <c r="F487" s="397">
        <f>C487+E487</f>
        <v>4393400</v>
      </c>
      <c r="G487" s="396" t="s">
        <v>251</v>
      </c>
      <c r="H487" s="200" t="s">
        <v>251</v>
      </c>
      <c r="I487" s="146">
        <v>60800</v>
      </c>
      <c r="J487" s="397">
        <f>I487</f>
        <v>60800</v>
      </c>
      <c r="K487" s="145">
        <f t="shared" si="22"/>
        <v>-0.98616105977147539</v>
      </c>
      <c r="L487" s="201" t="str">
        <f t="shared" si="23"/>
        <v/>
      </c>
    </row>
    <row r="488" spans="1:12" x14ac:dyDescent="0.3">
      <c r="A488" s="295" t="s">
        <v>1226</v>
      </c>
      <c r="B488" s="296" t="s">
        <v>1254</v>
      </c>
      <c r="C488" s="396" t="s">
        <v>251</v>
      </c>
      <c r="D488" s="200" t="s">
        <v>251</v>
      </c>
      <c r="E488" s="200" t="s">
        <v>251</v>
      </c>
      <c r="F488" s="397"/>
      <c r="G488" s="396" t="s">
        <v>251</v>
      </c>
      <c r="H488" s="200" t="s">
        <v>251</v>
      </c>
      <c r="I488" s="200" t="s">
        <v>251</v>
      </c>
      <c r="J488" s="397"/>
      <c r="K488" s="145">
        <f t="shared" si="22"/>
        <v>0</v>
      </c>
      <c r="L488" s="201" t="str">
        <f t="shared" si="23"/>
        <v/>
      </c>
    </row>
    <row r="489" spans="1:12" x14ac:dyDescent="0.3">
      <c r="A489" s="295" t="s">
        <v>1226</v>
      </c>
      <c r="B489" s="296" t="s">
        <v>1255</v>
      </c>
      <c r="C489" s="396" t="s">
        <v>251</v>
      </c>
      <c r="D489" s="200" t="s">
        <v>251</v>
      </c>
      <c r="E489" s="200" t="s">
        <v>251</v>
      </c>
      <c r="F489" s="397"/>
      <c r="G489" s="396" t="s">
        <v>251</v>
      </c>
      <c r="H489" s="200" t="s">
        <v>251</v>
      </c>
      <c r="I489" s="200" t="s">
        <v>251</v>
      </c>
      <c r="J489" s="397"/>
      <c r="K489" s="145">
        <f t="shared" si="22"/>
        <v>0</v>
      </c>
      <c r="L489" s="201" t="str">
        <f t="shared" si="23"/>
        <v/>
      </c>
    </row>
    <row r="490" spans="1:12" x14ac:dyDescent="0.3">
      <c r="A490" s="295" t="s">
        <v>1226</v>
      </c>
      <c r="B490" s="296" t="s">
        <v>1256</v>
      </c>
      <c r="C490" s="396" t="s">
        <v>251</v>
      </c>
      <c r="D490" s="200" t="s">
        <v>251</v>
      </c>
      <c r="E490" s="200" t="s">
        <v>251</v>
      </c>
      <c r="F490" s="397"/>
      <c r="G490" s="396" t="s">
        <v>251</v>
      </c>
      <c r="H490" s="200" t="s">
        <v>251</v>
      </c>
      <c r="I490" s="3">
        <v>46400</v>
      </c>
      <c r="J490" s="397"/>
      <c r="K490" s="145">
        <f t="shared" si="22"/>
        <v>0</v>
      </c>
      <c r="L490" s="201" t="str">
        <f t="shared" si="23"/>
        <v/>
      </c>
    </row>
    <row r="491" spans="1:12" x14ac:dyDescent="0.3">
      <c r="A491" s="295" t="s">
        <v>1226</v>
      </c>
      <c r="B491" s="296" t="s">
        <v>1257</v>
      </c>
      <c r="C491" s="396" t="s">
        <v>251</v>
      </c>
      <c r="D491" s="200" t="s">
        <v>251</v>
      </c>
      <c r="E491" s="200" t="s">
        <v>251</v>
      </c>
      <c r="F491" s="397"/>
      <c r="G491" s="396" t="s">
        <v>251</v>
      </c>
      <c r="H491" s="200" t="s">
        <v>251</v>
      </c>
      <c r="I491" s="3">
        <v>130000</v>
      </c>
      <c r="J491" s="397"/>
      <c r="K491" s="145">
        <f t="shared" si="22"/>
        <v>0</v>
      </c>
      <c r="L491" s="201" t="str">
        <f t="shared" si="23"/>
        <v/>
      </c>
    </row>
    <row r="492" spans="1:12" x14ac:dyDescent="0.3">
      <c r="A492" s="295" t="s">
        <v>1226</v>
      </c>
      <c r="B492" s="296" t="s">
        <v>1183</v>
      </c>
      <c r="C492" s="396" t="s">
        <v>251</v>
      </c>
      <c r="D492" s="200" t="s">
        <v>251</v>
      </c>
      <c r="E492" s="200" t="s">
        <v>251</v>
      </c>
      <c r="F492" s="397"/>
      <c r="G492" s="396" t="s">
        <v>251</v>
      </c>
      <c r="H492" s="200" t="s">
        <v>251</v>
      </c>
      <c r="I492" s="146">
        <v>110000</v>
      </c>
      <c r="J492" s="397">
        <f>I492</f>
        <v>110000</v>
      </c>
      <c r="K492" s="145">
        <f t="shared" si="22"/>
        <v>0</v>
      </c>
      <c r="L492" s="201" t="str">
        <f t="shared" si="23"/>
        <v/>
      </c>
    </row>
    <row r="493" spans="1:12" x14ac:dyDescent="0.3">
      <c r="A493" s="295" t="s">
        <v>1226</v>
      </c>
      <c r="B493" s="296" t="s">
        <v>1258</v>
      </c>
      <c r="C493" s="396" t="s">
        <v>251</v>
      </c>
      <c r="D493" s="200" t="s">
        <v>251</v>
      </c>
      <c r="E493" s="200" t="s">
        <v>251</v>
      </c>
      <c r="F493" s="397"/>
      <c r="G493" s="396" t="s">
        <v>251</v>
      </c>
      <c r="H493" s="200" t="s">
        <v>251</v>
      </c>
      <c r="I493" s="200" t="s">
        <v>251</v>
      </c>
      <c r="J493" s="397"/>
      <c r="K493" s="145">
        <f t="shared" si="22"/>
        <v>0</v>
      </c>
      <c r="L493" s="201" t="str">
        <f t="shared" si="23"/>
        <v/>
      </c>
    </row>
    <row r="494" spans="1:12" x14ac:dyDescent="0.3">
      <c r="A494" s="295" t="s">
        <v>1226</v>
      </c>
      <c r="B494" s="296" t="s">
        <v>1259</v>
      </c>
      <c r="C494" s="396" t="s">
        <v>251</v>
      </c>
      <c r="D494" s="200" t="s">
        <v>251</v>
      </c>
      <c r="E494" s="200" t="s">
        <v>251</v>
      </c>
      <c r="F494" s="397"/>
      <c r="G494" s="396" t="s">
        <v>251</v>
      </c>
      <c r="H494" s="200" t="s">
        <v>251</v>
      </c>
      <c r="I494" s="200" t="s">
        <v>251</v>
      </c>
      <c r="J494" s="397"/>
      <c r="K494" s="145">
        <f t="shared" si="22"/>
        <v>0</v>
      </c>
      <c r="L494" s="201" t="str">
        <f t="shared" si="23"/>
        <v/>
      </c>
    </row>
    <row r="495" spans="1:12" x14ac:dyDescent="0.3">
      <c r="A495" s="295" t="s">
        <v>1226</v>
      </c>
      <c r="B495" s="296" t="s">
        <v>1260</v>
      </c>
      <c r="C495" s="396" t="s">
        <v>251</v>
      </c>
      <c r="D495" s="200" t="s">
        <v>251</v>
      </c>
      <c r="E495" s="200" t="s">
        <v>251</v>
      </c>
      <c r="F495" s="397"/>
      <c r="G495" s="396" t="s">
        <v>251</v>
      </c>
      <c r="H495" s="3">
        <v>46400</v>
      </c>
      <c r="I495" s="200" t="s">
        <v>251</v>
      </c>
      <c r="J495" s="397"/>
      <c r="K495" s="145">
        <f t="shared" si="22"/>
        <v>0</v>
      </c>
      <c r="L495" s="201" t="str">
        <f t="shared" si="23"/>
        <v/>
      </c>
    </row>
    <row r="496" spans="1:12" x14ac:dyDescent="0.3">
      <c r="A496" s="295" t="s">
        <v>1226</v>
      </c>
      <c r="B496" s="296" t="s">
        <v>1261</v>
      </c>
      <c r="C496" s="396" t="s">
        <v>251</v>
      </c>
      <c r="D496" s="200" t="s">
        <v>251</v>
      </c>
      <c r="E496" s="200" t="s">
        <v>251</v>
      </c>
      <c r="F496" s="397"/>
      <c r="G496" s="396" t="s">
        <v>251</v>
      </c>
      <c r="H496" s="200" t="s">
        <v>251</v>
      </c>
      <c r="I496" s="3">
        <v>73800</v>
      </c>
      <c r="J496" s="397"/>
      <c r="K496" s="145">
        <f t="shared" si="22"/>
        <v>0</v>
      </c>
      <c r="L496" s="201" t="str">
        <f t="shared" si="23"/>
        <v/>
      </c>
    </row>
    <row r="497" spans="1:12" x14ac:dyDescent="0.3">
      <c r="A497" s="295" t="s">
        <v>1226</v>
      </c>
      <c r="B497" s="296" t="s">
        <v>1262</v>
      </c>
      <c r="C497" s="396" t="s">
        <v>251</v>
      </c>
      <c r="D497" s="200" t="s">
        <v>251</v>
      </c>
      <c r="E497" s="200" t="s">
        <v>251</v>
      </c>
      <c r="F497" s="397"/>
      <c r="G497" s="396" t="s">
        <v>251</v>
      </c>
      <c r="H497" s="200" t="s">
        <v>251</v>
      </c>
      <c r="I497" s="200" t="s">
        <v>251</v>
      </c>
      <c r="J497" s="397"/>
      <c r="K497" s="145">
        <f t="shared" si="22"/>
        <v>0</v>
      </c>
      <c r="L497" s="201" t="str">
        <f t="shared" si="23"/>
        <v/>
      </c>
    </row>
    <row r="498" spans="1:12" x14ac:dyDescent="0.3">
      <c r="A498" s="295" t="s">
        <v>1226</v>
      </c>
      <c r="B498" s="296" t="s">
        <v>1263</v>
      </c>
      <c r="C498" s="396" t="s">
        <v>251</v>
      </c>
      <c r="D498" s="200" t="s">
        <v>251</v>
      </c>
      <c r="E498" s="200" t="s">
        <v>251</v>
      </c>
      <c r="F498" s="397"/>
      <c r="G498" s="396" t="s">
        <v>251</v>
      </c>
      <c r="H498" s="200" t="s">
        <v>251</v>
      </c>
      <c r="I498" s="200" t="s">
        <v>251</v>
      </c>
      <c r="J498" s="397"/>
      <c r="K498" s="145">
        <f t="shared" si="22"/>
        <v>0</v>
      </c>
      <c r="L498" s="201" t="str">
        <f t="shared" si="23"/>
        <v/>
      </c>
    </row>
    <row r="499" spans="1:12" x14ac:dyDescent="0.3">
      <c r="A499" s="295" t="s">
        <v>1226</v>
      </c>
      <c r="B499" s="296" t="s">
        <v>1264</v>
      </c>
      <c r="C499" s="396" t="s">
        <v>251</v>
      </c>
      <c r="D499" s="200" t="s">
        <v>251</v>
      </c>
      <c r="E499" s="200" t="s">
        <v>251</v>
      </c>
      <c r="F499" s="397"/>
      <c r="G499" s="396" t="s">
        <v>251</v>
      </c>
      <c r="H499" s="200" t="s">
        <v>251</v>
      </c>
      <c r="I499" s="200" t="s">
        <v>251</v>
      </c>
      <c r="J499" s="397"/>
      <c r="K499" s="145">
        <f t="shared" si="22"/>
        <v>0</v>
      </c>
      <c r="L499" s="201" t="str">
        <f t="shared" si="23"/>
        <v/>
      </c>
    </row>
    <row r="500" spans="1:12" x14ac:dyDescent="0.3">
      <c r="A500" s="295" t="s">
        <v>1226</v>
      </c>
      <c r="B500" s="296" t="s">
        <v>1265</v>
      </c>
      <c r="C500" s="396" t="s">
        <v>251</v>
      </c>
      <c r="D500" s="200" t="s">
        <v>251</v>
      </c>
      <c r="E500" s="3">
        <v>1827200</v>
      </c>
      <c r="F500" s="397">
        <f>E500</f>
        <v>1827200</v>
      </c>
      <c r="G500" s="396" t="s">
        <v>251</v>
      </c>
      <c r="H500" s="200" t="s">
        <v>251</v>
      </c>
      <c r="I500" s="200" t="s">
        <v>251</v>
      </c>
      <c r="J500" s="397"/>
      <c r="K500" s="145">
        <f t="shared" si="22"/>
        <v>0</v>
      </c>
      <c r="L500" s="201" t="str">
        <f t="shared" si="23"/>
        <v/>
      </c>
    </row>
    <row r="501" spans="1:12" x14ac:dyDescent="0.3">
      <c r="A501" s="295" t="s">
        <v>1226</v>
      </c>
      <c r="B501" s="296" t="s">
        <v>1266</v>
      </c>
      <c r="C501" s="396" t="s">
        <v>251</v>
      </c>
      <c r="D501" s="200" t="s">
        <v>251</v>
      </c>
      <c r="E501" s="3">
        <v>225200</v>
      </c>
      <c r="F501" s="397">
        <f>E501</f>
        <v>225200</v>
      </c>
      <c r="G501" s="396" t="s">
        <v>251</v>
      </c>
      <c r="H501" s="200" t="s">
        <v>251</v>
      </c>
      <c r="I501" s="200" t="s">
        <v>251</v>
      </c>
      <c r="J501" s="397"/>
      <c r="K501" s="145">
        <f t="shared" si="22"/>
        <v>0</v>
      </c>
      <c r="L501" s="201" t="str">
        <f t="shared" si="23"/>
        <v/>
      </c>
    </row>
    <row r="502" spans="1:12" x14ac:dyDescent="0.3">
      <c r="A502" s="295" t="s">
        <v>1226</v>
      </c>
      <c r="B502" s="296" t="s">
        <v>1267</v>
      </c>
      <c r="C502" s="396" t="s">
        <v>251</v>
      </c>
      <c r="D502" s="3">
        <v>335400</v>
      </c>
      <c r="E502" s="200" t="s">
        <v>251</v>
      </c>
      <c r="F502" s="397">
        <f>D502</f>
        <v>335400</v>
      </c>
      <c r="G502" s="396" t="s">
        <v>251</v>
      </c>
      <c r="H502" s="200" t="s">
        <v>251</v>
      </c>
      <c r="I502" s="200" t="s">
        <v>251</v>
      </c>
      <c r="J502" s="397"/>
      <c r="K502" s="145">
        <f t="shared" si="22"/>
        <v>0</v>
      </c>
      <c r="L502" s="201" t="str">
        <f t="shared" si="23"/>
        <v/>
      </c>
    </row>
    <row r="503" spans="1:12" x14ac:dyDescent="0.3">
      <c r="A503" s="295" t="s">
        <v>1226</v>
      </c>
      <c r="B503" s="296" t="s">
        <v>1268</v>
      </c>
      <c r="C503" s="396" t="s">
        <v>251</v>
      </c>
      <c r="D503" s="200" t="s">
        <v>251</v>
      </c>
      <c r="E503" s="3">
        <v>156400</v>
      </c>
      <c r="F503" s="397">
        <f>E503</f>
        <v>156400</v>
      </c>
      <c r="G503" s="396" t="s">
        <v>251</v>
      </c>
      <c r="H503" s="200" t="s">
        <v>251</v>
      </c>
      <c r="I503" s="200" t="s">
        <v>251</v>
      </c>
      <c r="J503" s="397"/>
      <c r="K503" s="145">
        <f t="shared" si="22"/>
        <v>0</v>
      </c>
      <c r="L503" s="201" t="str">
        <f t="shared" si="23"/>
        <v/>
      </c>
    </row>
    <row r="504" spans="1:12" x14ac:dyDescent="0.3">
      <c r="A504" s="295" t="s">
        <v>1226</v>
      </c>
      <c r="B504" s="296" t="s">
        <v>1269</v>
      </c>
      <c r="C504" s="396"/>
      <c r="D504" s="200"/>
      <c r="E504" s="3">
        <v>221400</v>
      </c>
      <c r="F504" s="397">
        <f t="shared" ref="F504:F511" si="24">C504+D504+E504</f>
        <v>221400</v>
      </c>
      <c r="G504" s="396" t="s">
        <v>251</v>
      </c>
      <c r="H504" s="200" t="s">
        <v>251</v>
      </c>
      <c r="I504" s="200" t="s">
        <v>251</v>
      </c>
      <c r="J504" s="397"/>
      <c r="K504" s="145">
        <f t="shared" si="22"/>
        <v>0</v>
      </c>
      <c r="L504" s="201" t="str">
        <f t="shared" si="23"/>
        <v/>
      </c>
    </row>
    <row r="505" spans="1:12" x14ac:dyDescent="0.3">
      <c r="A505" s="295" t="s">
        <v>1226</v>
      </c>
      <c r="B505" s="296" t="s">
        <v>1270</v>
      </c>
      <c r="C505" s="396"/>
      <c r="D505" s="200"/>
      <c r="E505" s="200"/>
      <c r="F505" s="397"/>
      <c r="G505" s="396" t="s">
        <v>251</v>
      </c>
      <c r="H505" s="200" t="s">
        <v>251</v>
      </c>
      <c r="I505" s="200" t="s">
        <v>251</v>
      </c>
      <c r="J505" s="397"/>
      <c r="K505" s="145">
        <f t="shared" si="22"/>
        <v>0</v>
      </c>
      <c r="L505" s="201" t="str">
        <f t="shared" si="23"/>
        <v/>
      </c>
    </row>
    <row r="506" spans="1:12" x14ac:dyDescent="0.3">
      <c r="A506" s="295" t="s">
        <v>1226</v>
      </c>
      <c r="B506" s="296" t="s">
        <v>1271</v>
      </c>
      <c r="C506" s="396"/>
      <c r="D506" s="3">
        <v>142600</v>
      </c>
      <c r="E506" s="200"/>
      <c r="F506" s="397">
        <f t="shared" si="24"/>
        <v>142600</v>
      </c>
      <c r="G506" s="396" t="s">
        <v>251</v>
      </c>
      <c r="H506" s="200" t="s">
        <v>251</v>
      </c>
      <c r="I506" s="200" t="s">
        <v>251</v>
      </c>
      <c r="J506" s="397"/>
      <c r="K506" s="145">
        <f t="shared" si="22"/>
        <v>0</v>
      </c>
      <c r="L506" s="201" t="str">
        <f t="shared" si="23"/>
        <v/>
      </c>
    </row>
    <row r="507" spans="1:12" x14ac:dyDescent="0.3">
      <c r="A507" s="295" t="s">
        <v>1226</v>
      </c>
      <c r="B507" s="296" t="s">
        <v>1272</v>
      </c>
      <c r="C507" s="396"/>
      <c r="D507" s="200"/>
      <c r="E507" s="3">
        <v>133800</v>
      </c>
      <c r="F507" s="397">
        <f t="shared" si="24"/>
        <v>133800</v>
      </c>
      <c r="G507" s="396" t="s">
        <v>251</v>
      </c>
      <c r="H507" s="200" t="s">
        <v>251</v>
      </c>
      <c r="I507" s="200" t="s">
        <v>251</v>
      </c>
      <c r="J507" s="397"/>
      <c r="K507" s="145">
        <f t="shared" si="22"/>
        <v>0</v>
      </c>
      <c r="L507" s="201" t="str">
        <f t="shared" si="23"/>
        <v/>
      </c>
    </row>
    <row r="508" spans="1:12" x14ac:dyDescent="0.3">
      <c r="A508" s="295" t="s">
        <v>1226</v>
      </c>
      <c r="B508" s="296" t="s">
        <v>1273</v>
      </c>
      <c r="C508" s="3">
        <v>89200</v>
      </c>
      <c r="D508" s="200"/>
      <c r="E508" s="3">
        <v>41000</v>
      </c>
      <c r="F508" s="397">
        <f t="shared" si="24"/>
        <v>130200</v>
      </c>
      <c r="G508" s="396" t="s">
        <v>251</v>
      </c>
      <c r="H508" s="200" t="s">
        <v>251</v>
      </c>
      <c r="I508" s="200" t="s">
        <v>251</v>
      </c>
      <c r="J508" s="397"/>
      <c r="K508" s="145">
        <f t="shared" si="22"/>
        <v>0</v>
      </c>
      <c r="L508" s="201" t="str">
        <f t="shared" si="23"/>
        <v/>
      </c>
    </row>
    <row r="509" spans="1:12" x14ac:dyDescent="0.3">
      <c r="A509" s="295" t="s">
        <v>1226</v>
      </c>
      <c r="B509" s="296" t="s">
        <v>1274</v>
      </c>
      <c r="C509" s="396"/>
      <c r="D509" s="200"/>
      <c r="E509" s="3">
        <v>56000</v>
      </c>
      <c r="F509" s="397">
        <f t="shared" si="24"/>
        <v>56000</v>
      </c>
      <c r="G509" s="396" t="s">
        <v>251</v>
      </c>
      <c r="H509" s="200" t="s">
        <v>251</v>
      </c>
      <c r="I509" s="200" t="s">
        <v>251</v>
      </c>
      <c r="J509" s="397"/>
      <c r="K509" s="145">
        <f t="shared" si="22"/>
        <v>0</v>
      </c>
      <c r="L509" s="201" t="str">
        <f t="shared" si="23"/>
        <v/>
      </c>
    </row>
    <row r="510" spans="1:12" x14ac:dyDescent="0.3">
      <c r="A510" s="295" t="s">
        <v>1226</v>
      </c>
      <c r="B510" s="296" t="s">
        <v>1275</v>
      </c>
      <c r="C510" s="396"/>
      <c r="D510" s="200"/>
      <c r="E510" s="3">
        <v>84000</v>
      </c>
      <c r="F510" s="397">
        <f t="shared" si="24"/>
        <v>84000</v>
      </c>
      <c r="G510" s="396" t="s">
        <v>251</v>
      </c>
      <c r="H510" s="200" t="s">
        <v>251</v>
      </c>
      <c r="I510" s="200" t="s">
        <v>251</v>
      </c>
      <c r="J510" s="397"/>
      <c r="K510" s="145">
        <f t="shared" si="22"/>
        <v>0</v>
      </c>
      <c r="L510" s="201" t="str">
        <f t="shared" si="23"/>
        <v/>
      </c>
    </row>
    <row r="511" spans="1:12" x14ac:dyDescent="0.3">
      <c r="A511" s="295" t="s">
        <v>1226</v>
      </c>
      <c r="B511" s="296" t="s">
        <v>1276</v>
      </c>
      <c r="C511" s="396"/>
      <c r="D511" s="200"/>
      <c r="E511" s="3">
        <v>65000</v>
      </c>
      <c r="F511" s="397">
        <f t="shared" si="24"/>
        <v>65000</v>
      </c>
      <c r="G511" s="396" t="s">
        <v>251</v>
      </c>
      <c r="H511" s="200" t="s">
        <v>251</v>
      </c>
      <c r="I511" s="200" t="s">
        <v>251</v>
      </c>
      <c r="J511" s="397"/>
      <c r="K511" s="145">
        <f t="shared" si="22"/>
        <v>0</v>
      </c>
      <c r="L511" s="201" t="str">
        <f t="shared" si="23"/>
        <v/>
      </c>
    </row>
    <row r="512" spans="1:12" x14ac:dyDescent="0.3">
      <c r="A512" s="295" t="s">
        <v>1226</v>
      </c>
      <c r="B512" s="296" t="s">
        <v>1277</v>
      </c>
      <c r="C512" s="396"/>
      <c r="D512" s="200"/>
      <c r="E512" s="200"/>
      <c r="F512" s="397"/>
      <c r="G512" s="396" t="s">
        <v>251</v>
      </c>
      <c r="H512" s="200" t="s">
        <v>251</v>
      </c>
      <c r="I512" s="200" t="s">
        <v>251</v>
      </c>
      <c r="J512" s="397"/>
      <c r="K512" s="145">
        <f t="shared" si="22"/>
        <v>0</v>
      </c>
      <c r="L512" s="201" t="str">
        <f t="shared" si="23"/>
        <v/>
      </c>
    </row>
    <row r="513" spans="1:12" x14ac:dyDescent="0.3">
      <c r="A513" s="297" t="s">
        <v>688</v>
      </c>
      <c r="B513" s="298" t="s">
        <v>660</v>
      </c>
      <c r="C513" s="399"/>
      <c r="D513" s="202"/>
      <c r="E513" s="202"/>
      <c r="F513" s="400"/>
      <c r="G513" s="399">
        <v>42500</v>
      </c>
      <c r="H513" s="202"/>
      <c r="I513" s="202">
        <v>3932000</v>
      </c>
      <c r="J513" s="400">
        <f>G513+H513+I513</f>
        <v>3974500</v>
      </c>
      <c r="K513" s="147">
        <f t="shared" si="22"/>
        <v>0</v>
      </c>
      <c r="L513" s="203" t="str">
        <f t="shared" si="23"/>
        <v/>
      </c>
    </row>
    <row r="514" spans="1:12" x14ac:dyDescent="0.3">
      <c r="A514" s="297" t="s">
        <v>688</v>
      </c>
      <c r="B514" s="298" t="s">
        <v>628</v>
      </c>
      <c r="C514" s="399"/>
      <c r="D514" s="202"/>
      <c r="E514" s="202"/>
      <c r="F514" s="400"/>
      <c r="G514" s="399">
        <v>5000</v>
      </c>
      <c r="H514" s="202"/>
      <c r="I514" s="202"/>
      <c r="J514" s="400">
        <f>G514+H514+I514</f>
        <v>5000</v>
      </c>
      <c r="K514" s="147">
        <f t="shared" ref="K514:K577" si="25">IF(OR(J514="", F514=""), 0, IFERROR((J514-F514)/F514, IF(J514&lt;&gt;0, 1, 0)))</f>
        <v>0</v>
      </c>
      <c r="L514" s="203" t="str">
        <f t="shared" ref="L514:L577" si="26">IFERROR(_xlfn.RANK.EQ(J514, $J$2:$J$308), "")</f>
        <v/>
      </c>
    </row>
    <row r="515" spans="1:12" x14ac:dyDescent="0.3">
      <c r="A515" s="297" t="s">
        <v>688</v>
      </c>
      <c r="B515" s="298" t="s">
        <v>374</v>
      </c>
      <c r="C515" s="399"/>
      <c r="D515" s="202"/>
      <c r="E515" s="202"/>
      <c r="F515" s="400"/>
      <c r="G515" s="399"/>
      <c r="H515" s="202"/>
      <c r="I515" s="202"/>
      <c r="J515" s="400"/>
      <c r="K515" s="147">
        <f t="shared" si="25"/>
        <v>0</v>
      </c>
      <c r="L515" s="203" t="str">
        <f t="shared" si="26"/>
        <v/>
      </c>
    </row>
    <row r="516" spans="1:12" x14ac:dyDescent="0.3">
      <c r="A516" s="297" t="s">
        <v>688</v>
      </c>
      <c r="B516" s="298" t="s">
        <v>634</v>
      </c>
      <c r="C516" s="399"/>
      <c r="D516" s="202"/>
      <c r="E516" s="202"/>
      <c r="F516" s="400"/>
      <c r="G516" s="399"/>
      <c r="H516" s="202"/>
      <c r="I516" s="202"/>
      <c r="J516" s="400"/>
      <c r="K516" s="147">
        <f t="shared" si="25"/>
        <v>0</v>
      </c>
      <c r="L516" s="203" t="str">
        <f t="shared" si="26"/>
        <v/>
      </c>
    </row>
    <row r="517" spans="1:12" x14ac:dyDescent="0.3">
      <c r="A517" s="297" t="s">
        <v>688</v>
      </c>
      <c r="B517" s="298" t="s">
        <v>690</v>
      </c>
      <c r="C517" s="399"/>
      <c r="D517" s="202"/>
      <c r="E517" s="202"/>
      <c r="F517" s="400"/>
      <c r="G517" s="399"/>
      <c r="H517" s="202"/>
      <c r="I517" s="202">
        <v>367000</v>
      </c>
      <c r="J517" s="400">
        <f>G517+H517+I517</f>
        <v>367000</v>
      </c>
      <c r="K517" s="147">
        <f t="shared" si="25"/>
        <v>0</v>
      </c>
      <c r="L517" s="203" t="str">
        <f t="shared" si="26"/>
        <v/>
      </c>
    </row>
    <row r="518" spans="1:12" x14ac:dyDescent="0.3">
      <c r="A518" s="297" t="s">
        <v>688</v>
      </c>
      <c r="B518" s="298" t="s">
        <v>621</v>
      </c>
      <c r="C518" s="399"/>
      <c r="D518" s="202"/>
      <c r="E518" s="202"/>
      <c r="F518" s="400"/>
      <c r="G518" s="399"/>
      <c r="H518" s="202">
        <v>41000</v>
      </c>
      <c r="I518" s="202">
        <v>158000</v>
      </c>
      <c r="J518" s="400">
        <f>G518+H518+I518</f>
        <v>199000</v>
      </c>
      <c r="K518" s="147">
        <f t="shared" si="25"/>
        <v>0</v>
      </c>
      <c r="L518" s="203" t="str">
        <f t="shared" si="26"/>
        <v/>
      </c>
    </row>
    <row r="519" spans="1:12" x14ac:dyDescent="0.3">
      <c r="A519" s="297" t="s">
        <v>688</v>
      </c>
      <c r="B519" s="298" t="s">
        <v>619</v>
      </c>
      <c r="C519" s="399"/>
      <c r="D519" s="202"/>
      <c r="E519" s="202"/>
      <c r="F519" s="400"/>
      <c r="G519" s="399"/>
      <c r="H519" s="202"/>
      <c r="I519" s="202"/>
      <c r="J519" s="400"/>
      <c r="K519" s="147">
        <f t="shared" si="25"/>
        <v>0</v>
      </c>
      <c r="L519" s="203" t="str">
        <f t="shared" si="26"/>
        <v/>
      </c>
    </row>
    <row r="520" spans="1:12" x14ac:dyDescent="0.3">
      <c r="A520" s="297" t="s">
        <v>688</v>
      </c>
      <c r="B520" s="298" t="s">
        <v>692</v>
      </c>
      <c r="C520" s="399"/>
      <c r="D520" s="202"/>
      <c r="E520" s="202"/>
      <c r="F520" s="400"/>
      <c r="G520" s="399"/>
      <c r="H520" s="202"/>
      <c r="I520" s="202">
        <v>5000</v>
      </c>
      <c r="J520" s="400">
        <f>G520+H520+I520</f>
        <v>5000</v>
      </c>
      <c r="K520" s="147">
        <f t="shared" si="25"/>
        <v>0</v>
      </c>
      <c r="L520" s="203" t="str">
        <f t="shared" si="26"/>
        <v/>
      </c>
    </row>
    <row r="521" spans="1:12" x14ac:dyDescent="0.3">
      <c r="A521" s="297" t="s">
        <v>688</v>
      </c>
      <c r="B521" s="298" t="s">
        <v>645</v>
      </c>
      <c r="C521" s="399"/>
      <c r="D521" s="202"/>
      <c r="E521" s="202"/>
      <c r="F521" s="400"/>
      <c r="G521" s="399" t="s">
        <v>251</v>
      </c>
      <c r="H521" s="202" t="s">
        <v>251</v>
      </c>
      <c r="I521" s="202" t="s">
        <v>251</v>
      </c>
      <c r="J521" s="400"/>
      <c r="K521" s="147">
        <f t="shared" si="25"/>
        <v>0</v>
      </c>
      <c r="L521" s="203" t="str">
        <f t="shared" si="26"/>
        <v/>
      </c>
    </row>
    <row r="522" spans="1:12" x14ac:dyDescent="0.3">
      <c r="A522" s="16" t="s">
        <v>1278</v>
      </c>
      <c r="B522" s="17" t="s">
        <v>1279</v>
      </c>
      <c r="C522" s="401">
        <v>2226400</v>
      </c>
      <c r="D522" s="204">
        <v>59000</v>
      </c>
      <c r="E522" s="204">
        <v>1435300</v>
      </c>
      <c r="F522" s="402">
        <f>C522+D522+E522</f>
        <v>3720700</v>
      </c>
      <c r="G522" s="401">
        <v>3392400</v>
      </c>
      <c r="H522" s="204">
        <v>5003200</v>
      </c>
      <c r="I522" s="204">
        <v>1328700</v>
      </c>
      <c r="J522" s="402">
        <f>G522+H522+I522</f>
        <v>9724300</v>
      </c>
      <c r="K522" s="24">
        <f t="shared" si="25"/>
        <v>1.6135673394791303</v>
      </c>
      <c r="L522" s="205" t="str">
        <f t="shared" si="26"/>
        <v/>
      </c>
    </row>
    <row r="523" spans="1:12" x14ac:dyDescent="0.3">
      <c r="A523" s="16" t="s">
        <v>1278</v>
      </c>
      <c r="B523" s="17" t="s">
        <v>1280</v>
      </c>
      <c r="C523" s="401" t="s">
        <v>251</v>
      </c>
      <c r="D523" s="204" t="s">
        <v>251</v>
      </c>
      <c r="E523" s="204" t="s">
        <v>251</v>
      </c>
      <c r="F523" s="402"/>
      <c r="G523" s="401">
        <v>45000</v>
      </c>
      <c r="H523" s="204">
        <v>8426300</v>
      </c>
      <c r="I523" s="204">
        <v>414100</v>
      </c>
      <c r="J523" s="402">
        <f>G523+H523+I523</f>
        <v>8885400</v>
      </c>
      <c r="K523" s="24">
        <f t="shared" si="25"/>
        <v>0</v>
      </c>
      <c r="L523" s="205" t="str">
        <f t="shared" si="26"/>
        <v/>
      </c>
    </row>
    <row r="524" spans="1:12" x14ac:dyDescent="0.3">
      <c r="A524" s="16" t="s">
        <v>1278</v>
      </c>
      <c r="B524" s="17" t="s">
        <v>1281</v>
      </c>
      <c r="C524" s="401" t="s">
        <v>251</v>
      </c>
      <c r="D524" s="204" t="s">
        <v>251</v>
      </c>
      <c r="E524" s="204" t="s">
        <v>251</v>
      </c>
      <c r="F524" s="402"/>
      <c r="G524" s="401">
        <v>933700</v>
      </c>
      <c r="H524" s="204"/>
      <c r="I524" s="204"/>
      <c r="J524" s="402">
        <f>G524+H524+I524</f>
        <v>933700</v>
      </c>
      <c r="K524" s="24">
        <f t="shared" si="25"/>
        <v>0</v>
      </c>
      <c r="L524" s="205" t="str">
        <f t="shared" si="26"/>
        <v/>
      </c>
    </row>
    <row r="525" spans="1:12" x14ac:dyDescent="0.3">
      <c r="A525" s="16" t="s">
        <v>1278</v>
      </c>
      <c r="B525" s="17" t="s">
        <v>1282</v>
      </c>
      <c r="C525" s="401" t="s">
        <v>251</v>
      </c>
      <c r="D525" s="204" t="s">
        <v>251</v>
      </c>
      <c r="E525" s="204" t="s">
        <v>251</v>
      </c>
      <c r="F525" s="402"/>
      <c r="G525" s="401"/>
      <c r="H525" s="204">
        <v>25800</v>
      </c>
      <c r="I525" s="204">
        <v>50000</v>
      </c>
      <c r="J525" s="402">
        <f>G525+H525+I525</f>
        <v>75800</v>
      </c>
      <c r="K525" s="24">
        <f t="shared" si="25"/>
        <v>0</v>
      </c>
      <c r="L525" s="205" t="str">
        <f t="shared" si="26"/>
        <v/>
      </c>
    </row>
    <row r="526" spans="1:12" x14ac:dyDescent="0.3">
      <c r="A526" s="16" t="s">
        <v>1278</v>
      </c>
      <c r="B526" s="17" t="s">
        <v>1283</v>
      </c>
      <c r="C526" s="401" t="s">
        <v>251</v>
      </c>
      <c r="D526" s="204" t="s">
        <v>251</v>
      </c>
      <c r="E526" s="204" t="s">
        <v>251</v>
      </c>
      <c r="F526" s="402"/>
      <c r="G526" s="401">
        <v>38800</v>
      </c>
      <c r="H526" s="204"/>
      <c r="I526" s="204"/>
      <c r="J526" s="402">
        <f>G526+H526+I526</f>
        <v>38800</v>
      </c>
      <c r="K526" s="24">
        <f t="shared" si="25"/>
        <v>0</v>
      </c>
      <c r="L526" s="205" t="str">
        <f t="shared" si="26"/>
        <v/>
      </c>
    </row>
    <row r="527" spans="1:12" x14ac:dyDescent="0.3">
      <c r="A527" s="16" t="s">
        <v>1278</v>
      </c>
      <c r="B527" s="17" t="s">
        <v>1060</v>
      </c>
      <c r="C527" s="401"/>
      <c r="D527" s="204"/>
      <c r="E527" s="204">
        <v>642500</v>
      </c>
      <c r="F527" s="402">
        <f>C527+D527+E527</f>
        <v>642500</v>
      </c>
      <c r="G527" s="401" t="s">
        <v>251</v>
      </c>
      <c r="H527" s="204" t="s">
        <v>251</v>
      </c>
      <c r="I527" s="204" t="s">
        <v>251</v>
      </c>
      <c r="J527" s="402"/>
      <c r="K527" s="24">
        <f t="shared" si="25"/>
        <v>0</v>
      </c>
      <c r="L527" s="205" t="str">
        <f t="shared" si="26"/>
        <v/>
      </c>
    </row>
    <row r="528" spans="1:12" x14ac:dyDescent="0.3">
      <c r="A528" s="16" t="s">
        <v>1278</v>
      </c>
      <c r="B528" s="17" t="s">
        <v>1284</v>
      </c>
      <c r="C528" s="401"/>
      <c r="D528" s="204">
        <v>41000</v>
      </c>
      <c r="E528" s="204"/>
      <c r="F528" s="402">
        <f>C528+D528+E528</f>
        <v>41000</v>
      </c>
      <c r="G528" s="401"/>
      <c r="H528" s="204"/>
      <c r="I528" s="204"/>
      <c r="J528" s="402"/>
      <c r="K528" s="24">
        <f t="shared" si="25"/>
        <v>0</v>
      </c>
      <c r="L528" s="205" t="str">
        <f t="shared" si="26"/>
        <v/>
      </c>
    </row>
    <row r="529" spans="1:12" x14ac:dyDescent="0.3">
      <c r="A529" s="299" t="s">
        <v>1285</v>
      </c>
      <c r="B529" s="300" t="s">
        <v>1286</v>
      </c>
      <c r="C529" s="403">
        <v>4375700</v>
      </c>
      <c r="D529" s="206">
        <v>29600</v>
      </c>
      <c r="E529" s="206">
        <v>2208600</v>
      </c>
      <c r="F529" s="404">
        <f>C529+D529+E529</f>
        <v>6613900</v>
      </c>
      <c r="G529" s="403">
        <v>2869200</v>
      </c>
      <c r="H529" s="206">
        <v>1488300</v>
      </c>
      <c r="I529" s="206">
        <v>4341900</v>
      </c>
      <c r="J529" s="404">
        <f>G529+H529+I529</f>
        <v>8699400</v>
      </c>
      <c r="K529" s="148">
        <f t="shared" si="25"/>
        <v>0.31532076384583985</v>
      </c>
      <c r="L529" s="207" t="str">
        <f t="shared" si="26"/>
        <v/>
      </c>
    </row>
    <row r="530" spans="1:12" x14ac:dyDescent="0.3">
      <c r="A530" s="299" t="s">
        <v>1285</v>
      </c>
      <c r="B530" s="300" t="s">
        <v>374</v>
      </c>
      <c r="C530" s="403">
        <v>155800</v>
      </c>
      <c r="D530" s="206"/>
      <c r="E530" s="206">
        <v>970600</v>
      </c>
      <c r="F530" s="404">
        <f>C530+D530+E530</f>
        <v>1126400</v>
      </c>
      <c r="G530" s="403"/>
      <c r="H530" s="206"/>
      <c r="I530" s="206">
        <v>1207200</v>
      </c>
      <c r="J530" s="404">
        <f>G530+H530+I530</f>
        <v>1207200</v>
      </c>
      <c r="K530" s="148">
        <f t="shared" si="25"/>
        <v>7.1732954545454544E-2</v>
      </c>
      <c r="L530" s="207" t="str">
        <f t="shared" si="26"/>
        <v/>
      </c>
    </row>
    <row r="531" spans="1:12" x14ac:dyDescent="0.3">
      <c r="A531" s="299" t="s">
        <v>1285</v>
      </c>
      <c r="B531" s="300" t="s">
        <v>1287</v>
      </c>
      <c r="C531" s="403" t="s">
        <v>251</v>
      </c>
      <c r="D531" s="206" t="s">
        <v>251</v>
      </c>
      <c r="E531" s="206" t="s">
        <v>251</v>
      </c>
      <c r="F531" s="404"/>
      <c r="G531" s="403"/>
      <c r="H531" s="206"/>
      <c r="I531" s="206" t="s">
        <v>251</v>
      </c>
      <c r="J531" s="404"/>
      <c r="K531" s="148">
        <f t="shared" si="25"/>
        <v>0</v>
      </c>
      <c r="L531" s="207" t="str">
        <f t="shared" si="26"/>
        <v/>
      </c>
    </row>
    <row r="532" spans="1:12" x14ac:dyDescent="0.3">
      <c r="A532" s="299" t="s">
        <v>1285</v>
      </c>
      <c r="B532" s="300" t="s">
        <v>1288</v>
      </c>
      <c r="C532" s="403" t="s">
        <v>251</v>
      </c>
      <c r="D532" s="206" t="s">
        <v>251</v>
      </c>
      <c r="E532" s="206" t="s">
        <v>251</v>
      </c>
      <c r="F532" s="404"/>
      <c r="G532" s="403"/>
      <c r="H532" s="206"/>
      <c r="I532" s="206">
        <v>173800</v>
      </c>
      <c r="J532" s="404">
        <f>G532+H532+I532</f>
        <v>173800</v>
      </c>
      <c r="K532" s="148">
        <f t="shared" si="25"/>
        <v>0</v>
      </c>
      <c r="L532" s="207" t="str">
        <f t="shared" si="26"/>
        <v/>
      </c>
    </row>
    <row r="533" spans="1:12" x14ac:dyDescent="0.3">
      <c r="A533" s="301" t="s">
        <v>970</v>
      </c>
      <c r="B533" s="302" t="s">
        <v>1030</v>
      </c>
      <c r="C533" s="405" t="s">
        <v>251</v>
      </c>
      <c r="D533" s="208" t="s">
        <v>251</v>
      </c>
      <c r="E533" s="208" t="s">
        <v>251</v>
      </c>
      <c r="F533" s="406"/>
      <c r="G533" s="405"/>
      <c r="H533" s="208">
        <v>733700</v>
      </c>
      <c r="I533" s="208">
        <v>5421300</v>
      </c>
      <c r="J533" s="406">
        <f>G533+H533+I533</f>
        <v>6155000</v>
      </c>
      <c r="K533" s="149">
        <f t="shared" si="25"/>
        <v>0</v>
      </c>
      <c r="L533" s="209" t="str">
        <f t="shared" si="26"/>
        <v/>
      </c>
    </row>
    <row r="534" spans="1:12" x14ac:dyDescent="0.3">
      <c r="A534" s="301" t="s">
        <v>970</v>
      </c>
      <c r="B534" s="302" t="s">
        <v>1289</v>
      </c>
      <c r="C534" s="405">
        <v>589850</v>
      </c>
      <c r="D534" s="208"/>
      <c r="E534" s="208">
        <v>14450</v>
      </c>
      <c r="F534" s="406">
        <f>C534+D534+E534</f>
        <v>604300</v>
      </c>
      <c r="G534" s="405">
        <v>933000</v>
      </c>
      <c r="H534" s="208">
        <v>447850</v>
      </c>
      <c r="I534" s="208">
        <v>755250</v>
      </c>
      <c r="J534" s="406">
        <f>G534+H534+I534</f>
        <v>2136100</v>
      </c>
      <c r="K534" s="149">
        <f t="shared" si="25"/>
        <v>2.5348336918748964</v>
      </c>
      <c r="L534" s="209" t="str">
        <f t="shared" si="26"/>
        <v/>
      </c>
    </row>
    <row r="535" spans="1:12" x14ac:dyDescent="0.3">
      <c r="A535" s="301" t="s">
        <v>970</v>
      </c>
      <c r="B535" s="302" t="s">
        <v>1290</v>
      </c>
      <c r="C535" s="405" t="s">
        <v>251</v>
      </c>
      <c r="D535" s="208" t="s">
        <v>251</v>
      </c>
      <c r="E535" s="208" t="s">
        <v>251</v>
      </c>
      <c r="F535" s="406"/>
      <c r="G535" s="405"/>
      <c r="H535" s="208">
        <v>56500</v>
      </c>
      <c r="I535" s="208">
        <v>1400700</v>
      </c>
      <c r="J535" s="406">
        <f>G535+H535+I535</f>
        <v>1457200</v>
      </c>
      <c r="K535" s="149">
        <f t="shared" si="25"/>
        <v>0</v>
      </c>
      <c r="L535" s="209" t="str">
        <f t="shared" si="26"/>
        <v/>
      </c>
    </row>
    <row r="536" spans="1:12" x14ac:dyDescent="0.3">
      <c r="A536" s="301" t="s">
        <v>970</v>
      </c>
      <c r="B536" s="302" t="s">
        <v>1291</v>
      </c>
      <c r="C536" s="405">
        <v>457500</v>
      </c>
      <c r="D536" s="208">
        <v>198500</v>
      </c>
      <c r="E536" s="208">
        <v>902500</v>
      </c>
      <c r="F536" s="406">
        <f>C536+D536+E536</f>
        <v>1558500</v>
      </c>
      <c r="G536" s="405">
        <v>250000</v>
      </c>
      <c r="H536" s="208">
        <v>120000</v>
      </c>
      <c r="I536" s="208">
        <v>427700</v>
      </c>
      <c r="J536" s="406">
        <f>G536+H536+I536</f>
        <v>797700</v>
      </c>
      <c r="K536" s="149">
        <f t="shared" si="25"/>
        <v>-0.4881616939364774</v>
      </c>
      <c r="L536" s="209" t="str">
        <f t="shared" si="26"/>
        <v/>
      </c>
    </row>
    <row r="537" spans="1:12" x14ac:dyDescent="0.3">
      <c r="A537" s="301" t="s">
        <v>970</v>
      </c>
      <c r="B537" s="302" t="s">
        <v>1033</v>
      </c>
      <c r="C537" s="405" t="s">
        <v>251</v>
      </c>
      <c r="D537" s="208" t="s">
        <v>251</v>
      </c>
      <c r="E537" s="208" t="s">
        <v>251</v>
      </c>
      <c r="F537" s="406"/>
      <c r="G537" s="405"/>
      <c r="H537" s="208"/>
      <c r="I537" s="208"/>
      <c r="J537" s="406"/>
      <c r="K537" s="149">
        <f t="shared" si="25"/>
        <v>0</v>
      </c>
      <c r="L537" s="209" t="str">
        <f t="shared" si="26"/>
        <v/>
      </c>
    </row>
    <row r="538" spans="1:12" x14ac:dyDescent="0.3">
      <c r="A538" s="301" t="s">
        <v>970</v>
      </c>
      <c r="B538" s="302" t="s">
        <v>1292</v>
      </c>
      <c r="C538" s="405">
        <v>258600</v>
      </c>
      <c r="D538" s="208"/>
      <c r="E538" s="208">
        <v>126800</v>
      </c>
      <c r="F538" s="406">
        <f>C538+D538+E538</f>
        <v>385400</v>
      </c>
      <c r="G538" s="405">
        <v>715000</v>
      </c>
      <c r="H538" s="208">
        <v>228800</v>
      </c>
      <c r="I538" s="208">
        <v>57200</v>
      </c>
      <c r="J538" s="406">
        <f>G538+H538+I538</f>
        <v>1001000</v>
      </c>
      <c r="K538" s="149">
        <f t="shared" si="25"/>
        <v>1.5973015049299428</v>
      </c>
      <c r="L538" s="209" t="str">
        <f t="shared" si="26"/>
        <v/>
      </c>
    </row>
    <row r="539" spans="1:12" x14ac:dyDescent="0.3">
      <c r="A539" s="301" t="s">
        <v>970</v>
      </c>
      <c r="B539" s="302" t="s">
        <v>1293</v>
      </c>
      <c r="C539" s="405" t="s">
        <v>251</v>
      </c>
      <c r="D539" s="208" t="s">
        <v>251</v>
      </c>
      <c r="E539" s="208" t="s">
        <v>251</v>
      </c>
      <c r="F539" s="406"/>
      <c r="G539" s="405"/>
      <c r="H539" s="208"/>
      <c r="I539" s="208"/>
      <c r="J539" s="406"/>
      <c r="K539" s="149">
        <f t="shared" si="25"/>
        <v>0</v>
      </c>
      <c r="L539" s="209" t="str">
        <f t="shared" si="26"/>
        <v/>
      </c>
    </row>
    <row r="540" spans="1:12" x14ac:dyDescent="0.3">
      <c r="A540" s="301" t="s">
        <v>970</v>
      </c>
      <c r="B540" s="302" t="s">
        <v>1294</v>
      </c>
      <c r="C540" s="405" t="s">
        <v>251</v>
      </c>
      <c r="D540" s="208" t="s">
        <v>251</v>
      </c>
      <c r="E540" s="208" t="s">
        <v>251</v>
      </c>
      <c r="F540" s="406"/>
      <c r="G540" s="405">
        <v>80000</v>
      </c>
      <c r="H540" s="208">
        <v>620300</v>
      </c>
      <c r="I540" s="208">
        <v>129700</v>
      </c>
      <c r="J540" s="406">
        <f>G540+H540+I540</f>
        <v>830000</v>
      </c>
      <c r="K540" s="149">
        <f t="shared" si="25"/>
        <v>0</v>
      </c>
      <c r="L540" s="209" t="str">
        <f t="shared" si="26"/>
        <v/>
      </c>
    </row>
    <row r="541" spans="1:12" x14ac:dyDescent="0.3">
      <c r="A541" s="301" t="s">
        <v>970</v>
      </c>
      <c r="B541" s="302" t="s">
        <v>979</v>
      </c>
      <c r="C541" s="405" t="s">
        <v>251</v>
      </c>
      <c r="D541" s="208" t="s">
        <v>251</v>
      </c>
      <c r="E541" s="208" t="s">
        <v>251</v>
      </c>
      <c r="F541" s="406"/>
      <c r="G541" s="405">
        <v>367700</v>
      </c>
      <c r="H541" s="208">
        <v>170600</v>
      </c>
      <c r="I541" s="208"/>
      <c r="J541" s="406">
        <f>G541+H541+I541</f>
        <v>538300</v>
      </c>
      <c r="K541" s="149">
        <f t="shared" si="25"/>
        <v>0</v>
      </c>
      <c r="L541" s="209" t="str">
        <f t="shared" si="26"/>
        <v/>
      </c>
    </row>
    <row r="542" spans="1:12" x14ac:dyDescent="0.3">
      <c r="A542" s="301" t="s">
        <v>970</v>
      </c>
      <c r="B542" s="302" t="s">
        <v>1295</v>
      </c>
      <c r="C542" s="405">
        <v>387500</v>
      </c>
      <c r="D542" s="208"/>
      <c r="E542" s="208"/>
      <c r="F542" s="406">
        <f>C542+D542+E542</f>
        <v>387500</v>
      </c>
      <c r="G542" s="405"/>
      <c r="H542" s="208">
        <v>493200</v>
      </c>
      <c r="I542" s="208"/>
      <c r="J542" s="406">
        <f>G542+H542+I542</f>
        <v>493200</v>
      </c>
      <c r="K542" s="149">
        <f t="shared" si="25"/>
        <v>0.27277419354838711</v>
      </c>
      <c r="L542" s="209" t="str">
        <f t="shared" si="26"/>
        <v/>
      </c>
    </row>
    <row r="543" spans="1:12" x14ac:dyDescent="0.3">
      <c r="A543" s="301" t="s">
        <v>970</v>
      </c>
      <c r="B543" s="302" t="s">
        <v>1296</v>
      </c>
      <c r="C543" s="405"/>
      <c r="D543" s="208"/>
      <c r="E543" s="208"/>
      <c r="F543" s="406"/>
      <c r="G543" s="405"/>
      <c r="H543" s="208"/>
      <c r="I543" s="208"/>
      <c r="J543" s="406"/>
      <c r="K543" s="149">
        <f t="shared" si="25"/>
        <v>0</v>
      </c>
      <c r="L543" s="209" t="str">
        <f t="shared" si="26"/>
        <v/>
      </c>
    </row>
    <row r="544" spans="1:12" x14ac:dyDescent="0.3">
      <c r="A544" s="301" t="s">
        <v>970</v>
      </c>
      <c r="B544" s="302" t="s">
        <v>719</v>
      </c>
      <c r="C544" s="405"/>
      <c r="D544" s="208"/>
      <c r="E544" s="208"/>
      <c r="F544" s="406"/>
      <c r="G544" s="405"/>
      <c r="H544" s="208"/>
      <c r="I544" s="208"/>
      <c r="J544" s="406"/>
      <c r="K544" s="149">
        <f t="shared" si="25"/>
        <v>0</v>
      </c>
      <c r="L544" s="209" t="str">
        <f t="shared" si="26"/>
        <v/>
      </c>
    </row>
    <row r="545" spans="1:12" x14ac:dyDescent="0.3">
      <c r="A545" s="301" t="s">
        <v>970</v>
      </c>
      <c r="B545" s="302" t="s">
        <v>1297</v>
      </c>
      <c r="C545" s="405">
        <v>4340100</v>
      </c>
      <c r="D545" s="208">
        <v>375500</v>
      </c>
      <c r="E545" s="208"/>
      <c r="F545" s="406">
        <f t="shared" ref="F545:F553" si="27">C545+D545+E545</f>
        <v>4715600</v>
      </c>
      <c r="G545" s="405"/>
      <c r="H545" s="208"/>
      <c r="I545" s="208"/>
      <c r="J545" s="406"/>
      <c r="K545" s="149">
        <f t="shared" si="25"/>
        <v>0</v>
      </c>
      <c r="L545" s="209" t="str">
        <f t="shared" si="26"/>
        <v/>
      </c>
    </row>
    <row r="546" spans="1:12" x14ac:dyDescent="0.3">
      <c r="A546" s="301" t="s">
        <v>970</v>
      </c>
      <c r="B546" s="302" t="s">
        <v>1298</v>
      </c>
      <c r="C546" s="405">
        <v>545900</v>
      </c>
      <c r="D546" s="208"/>
      <c r="E546" s="208">
        <v>1581150</v>
      </c>
      <c r="F546" s="406">
        <f t="shared" si="27"/>
        <v>2127050</v>
      </c>
      <c r="G546" s="405"/>
      <c r="H546" s="208"/>
      <c r="I546" s="208"/>
      <c r="J546" s="406"/>
      <c r="K546" s="149">
        <f t="shared" si="25"/>
        <v>0</v>
      </c>
      <c r="L546" s="209" t="str">
        <f t="shared" si="26"/>
        <v/>
      </c>
    </row>
    <row r="547" spans="1:12" x14ac:dyDescent="0.3">
      <c r="A547" s="301" t="s">
        <v>970</v>
      </c>
      <c r="B547" s="302" t="s">
        <v>1299</v>
      </c>
      <c r="C547" s="405">
        <v>123750</v>
      </c>
      <c r="D547" s="208"/>
      <c r="E547" s="208"/>
      <c r="F547" s="406">
        <f t="shared" si="27"/>
        <v>123750</v>
      </c>
      <c r="G547" s="405"/>
      <c r="H547" s="208"/>
      <c r="I547" s="208"/>
      <c r="J547" s="406"/>
      <c r="K547" s="149">
        <f t="shared" si="25"/>
        <v>0</v>
      </c>
      <c r="L547" s="209" t="str">
        <f t="shared" si="26"/>
        <v/>
      </c>
    </row>
    <row r="548" spans="1:12" x14ac:dyDescent="0.3">
      <c r="A548" s="301" t="s">
        <v>970</v>
      </c>
      <c r="B548" s="302" t="s">
        <v>870</v>
      </c>
      <c r="C548" s="405">
        <v>1716200</v>
      </c>
      <c r="D548" s="208">
        <v>198200</v>
      </c>
      <c r="E548" s="208">
        <v>77100</v>
      </c>
      <c r="F548" s="406">
        <f t="shared" si="27"/>
        <v>1991500</v>
      </c>
      <c r="G548" s="405"/>
      <c r="H548" s="208"/>
      <c r="I548" s="208"/>
      <c r="J548" s="406"/>
      <c r="K548" s="149">
        <f t="shared" si="25"/>
        <v>0</v>
      </c>
      <c r="L548" s="209" t="str">
        <f t="shared" si="26"/>
        <v/>
      </c>
    </row>
    <row r="549" spans="1:12" x14ac:dyDescent="0.3">
      <c r="A549" s="301" t="s">
        <v>970</v>
      </c>
      <c r="B549" s="302" t="s">
        <v>1048</v>
      </c>
      <c r="C549" s="405">
        <v>17000</v>
      </c>
      <c r="D549" s="208">
        <v>219000</v>
      </c>
      <c r="E549" s="208">
        <v>256100</v>
      </c>
      <c r="F549" s="406">
        <f t="shared" si="27"/>
        <v>492100</v>
      </c>
      <c r="G549" s="405"/>
      <c r="H549" s="208"/>
      <c r="I549" s="208"/>
      <c r="J549" s="406"/>
      <c r="K549" s="149">
        <f t="shared" si="25"/>
        <v>0</v>
      </c>
      <c r="L549" s="209" t="str">
        <f t="shared" si="26"/>
        <v/>
      </c>
    </row>
    <row r="550" spans="1:12" x14ac:dyDescent="0.3">
      <c r="A550" s="301" t="s">
        <v>970</v>
      </c>
      <c r="B550" s="302" t="s">
        <v>1300</v>
      </c>
      <c r="C550" s="405">
        <v>377000</v>
      </c>
      <c r="D550" s="208"/>
      <c r="E550" s="208">
        <v>65400</v>
      </c>
      <c r="F550" s="406">
        <f t="shared" si="27"/>
        <v>442400</v>
      </c>
      <c r="G550" s="405"/>
      <c r="H550" s="208"/>
      <c r="I550" s="208"/>
      <c r="J550" s="406"/>
      <c r="K550" s="149">
        <f t="shared" si="25"/>
        <v>0</v>
      </c>
      <c r="L550" s="209" t="str">
        <f t="shared" si="26"/>
        <v/>
      </c>
    </row>
    <row r="551" spans="1:12" x14ac:dyDescent="0.3">
      <c r="A551" s="301" t="s">
        <v>970</v>
      </c>
      <c r="B551" s="302" t="s">
        <v>1301</v>
      </c>
      <c r="C551" s="405"/>
      <c r="D551" s="208">
        <v>75000</v>
      </c>
      <c r="E551" s="208">
        <v>597000</v>
      </c>
      <c r="F551" s="406">
        <f t="shared" si="27"/>
        <v>672000</v>
      </c>
      <c r="G551" s="405"/>
      <c r="H551" s="208"/>
      <c r="I551" s="208"/>
      <c r="J551" s="406"/>
      <c r="K551" s="149">
        <f t="shared" si="25"/>
        <v>0</v>
      </c>
      <c r="L551" s="209" t="str">
        <f t="shared" si="26"/>
        <v/>
      </c>
    </row>
    <row r="552" spans="1:12" x14ac:dyDescent="0.3">
      <c r="A552" s="301" t="s">
        <v>970</v>
      </c>
      <c r="B552" s="302" t="s">
        <v>1302</v>
      </c>
      <c r="C552" s="405">
        <v>503400</v>
      </c>
      <c r="D552" s="208">
        <v>19900</v>
      </c>
      <c r="E552" s="208"/>
      <c r="F552" s="406">
        <f t="shared" si="27"/>
        <v>523300</v>
      </c>
      <c r="G552" s="405"/>
      <c r="H552" s="208"/>
      <c r="I552" s="208"/>
      <c r="J552" s="406"/>
      <c r="K552" s="149">
        <f t="shared" si="25"/>
        <v>0</v>
      </c>
      <c r="L552" s="209" t="str">
        <f t="shared" si="26"/>
        <v/>
      </c>
    </row>
    <row r="553" spans="1:12" x14ac:dyDescent="0.3">
      <c r="A553" s="301" t="s">
        <v>970</v>
      </c>
      <c r="B553" s="302" t="s">
        <v>1303</v>
      </c>
      <c r="C553" s="405">
        <v>420000</v>
      </c>
      <c r="D553" s="208"/>
      <c r="E553" s="208">
        <v>71450</v>
      </c>
      <c r="F553" s="406">
        <f t="shared" si="27"/>
        <v>491450</v>
      </c>
      <c r="G553" s="405"/>
      <c r="H553" s="208"/>
      <c r="I553" s="208"/>
      <c r="J553" s="406"/>
      <c r="K553" s="149">
        <f t="shared" si="25"/>
        <v>0</v>
      </c>
      <c r="L553" s="209" t="str">
        <f t="shared" si="26"/>
        <v/>
      </c>
    </row>
    <row r="554" spans="1:12" x14ac:dyDescent="0.3">
      <c r="A554" s="301" t="s">
        <v>970</v>
      </c>
      <c r="B554" s="302" t="s">
        <v>1304</v>
      </c>
      <c r="C554" s="405"/>
      <c r="D554" s="208"/>
      <c r="E554" s="208"/>
      <c r="F554" s="406"/>
      <c r="G554" s="405"/>
      <c r="H554" s="208"/>
      <c r="I554" s="208"/>
      <c r="J554" s="406"/>
      <c r="K554" s="149">
        <f t="shared" si="25"/>
        <v>0</v>
      </c>
      <c r="L554" s="209" t="str">
        <f t="shared" si="26"/>
        <v/>
      </c>
    </row>
    <row r="555" spans="1:12" x14ac:dyDescent="0.3">
      <c r="A555" s="301" t="s">
        <v>970</v>
      </c>
      <c r="B555" s="302" t="s">
        <v>1305</v>
      </c>
      <c r="C555" s="405">
        <v>235600</v>
      </c>
      <c r="D555" s="208"/>
      <c r="E555" s="208"/>
      <c r="F555" s="406">
        <f t="shared" ref="F555:F560" si="28">C555+D555+E555</f>
        <v>235600</v>
      </c>
      <c r="G555" s="405"/>
      <c r="H555" s="208"/>
      <c r="I555" s="208"/>
      <c r="J555" s="406"/>
      <c r="K555" s="149">
        <f t="shared" si="25"/>
        <v>0</v>
      </c>
      <c r="L555" s="209" t="str">
        <f t="shared" si="26"/>
        <v/>
      </c>
    </row>
    <row r="556" spans="1:12" x14ac:dyDescent="0.3">
      <c r="A556" s="301" t="s">
        <v>970</v>
      </c>
      <c r="B556" s="302" t="s">
        <v>87</v>
      </c>
      <c r="C556" s="405">
        <v>48900</v>
      </c>
      <c r="D556" s="208">
        <v>34700</v>
      </c>
      <c r="E556" s="208"/>
      <c r="F556" s="406">
        <f t="shared" si="28"/>
        <v>83600</v>
      </c>
      <c r="G556" s="405"/>
      <c r="H556" s="208"/>
      <c r="I556" s="208"/>
      <c r="J556" s="406"/>
      <c r="K556" s="149">
        <f t="shared" si="25"/>
        <v>0</v>
      </c>
      <c r="L556" s="209" t="str">
        <f t="shared" si="26"/>
        <v/>
      </c>
    </row>
    <row r="557" spans="1:12" x14ac:dyDescent="0.3">
      <c r="A557" s="301" t="s">
        <v>970</v>
      </c>
      <c r="B557" s="302" t="s">
        <v>1306</v>
      </c>
      <c r="C557" s="405">
        <v>75000</v>
      </c>
      <c r="D557" s="208"/>
      <c r="E557" s="208"/>
      <c r="F557" s="406">
        <f t="shared" si="28"/>
        <v>75000</v>
      </c>
      <c r="G557" s="405"/>
      <c r="H557" s="208"/>
      <c r="I557" s="208"/>
      <c r="J557" s="406"/>
      <c r="K557" s="149">
        <f t="shared" si="25"/>
        <v>0</v>
      </c>
      <c r="L557" s="209" t="str">
        <f t="shared" si="26"/>
        <v/>
      </c>
    </row>
    <row r="558" spans="1:12" x14ac:dyDescent="0.3">
      <c r="A558" s="301" t="s">
        <v>970</v>
      </c>
      <c r="B558" s="302" t="s">
        <v>1307</v>
      </c>
      <c r="C558" s="405">
        <v>26000</v>
      </c>
      <c r="D558" s="208"/>
      <c r="E558" s="208"/>
      <c r="F558" s="406">
        <f t="shared" si="28"/>
        <v>26000</v>
      </c>
      <c r="G558" s="405"/>
      <c r="H558" s="208"/>
      <c r="I558" s="208"/>
      <c r="J558" s="406"/>
      <c r="K558" s="149">
        <f t="shared" si="25"/>
        <v>0</v>
      </c>
      <c r="L558" s="209" t="str">
        <f t="shared" si="26"/>
        <v/>
      </c>
    </row>
    <row r="559" spans="1:12" x14ac:dyDescent="0.3">
      <c r="A559" s="301" t="s">
        <v>970</v>
      </c>
      <c r="B559" s="302" t="s">
        <v>1308</v>
      </c>
      <c r="C559" s="405"/>
      <c r="D559" s="208"/>
      <c r="E559" s="208">
        <v>26000</v>
      </c>
      <c r="F559" s="406">
        <f t="shared" si="28"/>
        <v>26000</v>
      </c>
      <c r="G559" s="405"/>
      <c r="H559" s="208"/>
      <c r="I559" s="208"/>
      <c r="J559" s="406"/>
      <c r="K559" s="149">
        <f t="shared" si="25"/>
        <v>0</v>
      </c>
      <c r="L559" s="209" t="str">
        <f t="shared" si="26"/>
        <v/>
      </c>
    </row>
    <row r="560" spans="1:12" x14ac:dyDescent="0.3">
      <c r="A560" s="301" t="s">
        <v>970</v>
      </c>
      <c r="B560" s="302" t="s">
        <v>977</v>
      </c>
      <c r="C560" s="405"/>
      <c r="D560" s="208">
        <v>22250</v>
      </c>
      <c r="E560" s="208"/>
      <c r="F560" s="406">
        <f t="shared" si="28"/>
        <v>22250</v>
      </c>
      <c r="G560" s="405" t="s">
        <v>251</v>
      </c>
      <c r="H560" s="208" t="s">
        <v>251</v>
      </c>
      <c r="I560" s="208" t="s">
        <v>251</v>
      </c>
      <c r="J560" s="406"/>
      <c r="K560" s="149">
        <f t="shared" si="25"/>
        <v>0</v>
      </c>
      <c r="L560" s="209" t="str">
        <f t="shared" si="26"/>
        <v/>
      </c>
    </row>
    <row r="561" spans="1:12" x14ac:dyDescent="0.3">
      <c r="A561" s="301" t="s">
        <v>970</v>
      </c>
      <c r="B561" s="302" t="s">
        <v>1668</v>
      </c>
      <c r="C561" s="405"/>
      <c r="D561" s="208"/>
      <c r="E561" s="208"/>
      <c r="F561" s="406"/>
      <c r="G561" s="405"/>
      <c r="H561" s="208"/>
      <c r="I561" s="150">
        <v>308200</v>
      </c>
      <c r="J561" s="406">
        <f>G561+H561+I561</f>
        <v>308200</v>
      </c>
      <c r="K561" s="149">
        <f t="shared" si="25"/>
        <v>0</v>
      </c>
      <c r="L561" s="209" t="str">
        <f t="shared" si="26"/>
        <v/>
      </c>
    </row>
    <row r="562" spans="1:12" x14ac:dyDescent="0.3">
      <c r="A562" s="303" t="s">
        <v>931</v>
      </c>
      <c r="B562" s="304" t="s">
        <v>1288</v>
      </c>
      <c r="C562" s="407" t="s">
        <v>251</v>
      </c>
      <c r="D562" s="210" t="s">
        <v>251</v>
      </c>
      <c r="E562" s="210" t="s">
        <v>251</v>
      </c>
      <c r="F562" s="408"/>
      <c r="G562" s="407" t="s">
        <v>251</v>
      </c>
      <c r="H562" s="210" t="s">
        <v>251</v>
      </c>
      <c r="I562" s="210" t="s">
        <v>251</v>
      </c>
      <c r="J562" s="408"/>
      <c r="K562" s="151">
        <f t="shared" si="25"/>
        <v>0</v>
      </c>
      <c r="L562" s="211" t="str">
        <f t="shared" si="26"/>
        <v/>
      </c>
    </row>
    <row r="563" spans="1:12" x14ac:dyDescent="0.3">
      <c r="A563" s="303" t="s">
        <v>931</v>
      </c>
      <c r="B563" s="304" t="s">
        <v>1309</v>
      </c>
      <c r="C563" s="407" t="s">
        <v>251</v>
      </c>
      <c r="D563" s="210" t="s">
        <v>251</v>
      </c>
      <c r="E563" s="210" t="s">
        <v>251</v>
      </c>
      <c r="F563" s="408"/>
      <c r="G563" s="409">
        <v>957200</v>
      </c>
      <c r="H563" s="210" t="s">
        <v>251</v>
      </c>
      <c r="I563" s="152">
        <v>177000</v>
      </c>
      <c r="J563" s="408">
        <f>G563+I563</f>
        <v>1134200</v>
      </c>
      <c r="K563" s="151">
        <f t="shared" si="25"/>
        <v>0</v>
      </c>
      <c r="L563" s="211" t="str">
        <f t="shared" si="26"/>
        <v/>
      </c>
    </row>
    <row r="564" spans="1:12" x14ac:dyDescent="0.3">
      <c r="A564" s="303" t="s">
        <v>931</v>
      </c>
      <c r="B564" s="304" t="s">
        <v>1310</v>
      </c>
      <c r="C564" s="409">
        <v>2213600</v>
      </c>
      <c r="D564" s="152">
        <v>170600</v>
      </c>
      <c r="E564" s="210" t="s">
        <v>251</v>
      </c>
      <c r="F564" s="408">
        <f>D564+C564</f>
        <v>2384200</v>
      </c>
      <c r="G564" s="409">
        <v>1181650</v>
      </c>
      <c r="H564" s="152">
        <v>1056300</v>
      </c>
      <c r="I564" s="152">
        <v>79100</v>
      </c>
      <c r="J564" s="408">
        <f>G564+H564+I564</f>
        <v>2317050</v>
      </c>
      <c r="K564" s="151">
        <f t="shared" si="25"/>
        <v>-2.8164583508094958E-2</v>
      </c>
      <c r="L564" s="211" t="str">
        <f t="shared" si="26"/>
        <v/>
      </c>
    </row>
    <row r="565" spans="1:12" x14ac:dyDescent="0.3">
      <c r="A565" s="303" t="s">
        <v>931</v>
      </c>
      <c r="B565" s="304" t="s">
        <v>1311</v>
      </c>
      <c r="C565" s="407" t="s">
        <v>251</v>
      </c>
      <c r="D565" s="210" t="s">
        <v>251</v>
      </c>
      <c r="E565" s="210" t="s">
        <v>251</v>
      </c>
      <c r="F565" s="408"/>
      <c r="G565" s="409">
        <v>1027650</v>
      </c>
      <c r="H565" s="210" t="s">
        <v>251</v>
      </c>
      <c r="I565" s="152">
        <v>1236250</v>
      </c>
      <c r="J565" s="408">
        <f>G565+I565</f>
        <v>2263900</v>
      </c>
      <c r="K565" s="151">
        <f t="shared" si="25"/>
        <v>0</v>
      </c>
      <c r="L565" s="211" t="str">
        <f t="shared" si="26"/>
        <v/>
      </c>
    </row>
    <row r="566" spans="1:12" x14ac:dyDescent="0.3">
      <c r="A566" s="303" t="s">
        <v>931</v>
      </c>
      <c r="B566" s="304" t="s">
        <v>947</v>
      </c>
      <c r="C566" s="407" t="s">
        <v>251</v>
      </c>
      <c r="D566" s="210" t="s">
        <v>251</v>
      </c>
      <c r="E566" s="210" t="s">
        <v>251</v>
      </c>
      <c r="F566" s="408"/>
      <c r="G566" s="407" t="s">
        <v>251</v>
      </c>
      <c r="H566" s="210" t="s">
        <v>251</v>
      </c>
      <c r="I566" s="210" t="s">
        <v>251</v>
      </c>
      <c r="J566" s="408"/>
      <c r="K566" s="151">
        <f t="shared" si="25"/>
        <v>0</v>
      </c>
      <c r="L566" s="211" t="str">
        <f t="shared" si="26"/>
        <v/>
      </c>
    </row>
    <row r="567" spans="1:12" x14ac:dyDescent="0.3">
      <c r="A567" s="303" t="s">
        <v>931</v>
      </c>
      <c r="B567" s="304" t="s">
        <v>1312</v>
      </c>
      <c r="C567" s="407" t="s">
        <v>251</v>
      </c>
      <c r="D567" s="210" t="s">
        <v>251</v>
      </c>
      <c r="E567" s="210" t="s">
        <v>251</v>
      </c>
      <c r="F567" s="408"/>
      <c r="G567" s="407" t="s">
        <v>251</v>
      </c>
      <c r="H567" s="210" t="s">
        <v>251</v>
      </c>
      <c r="I567" s="210" t="s">
        <v>251</v>
      </c>
      <c r="J567" s="408"/>
      <c r="K567" s="151">
        <f t="shared" si="25"/>
        <v>0</v>
      </c>
      <c r="L567" s="211" t="str">
        <f t="shared" si="26"/>
        <v/>
      </c>
    </row>
    <row r="568" spans="1:12" x14ac:dyDescent="0.3">
      <c r="A568" s="303" t="s">
        <v>931</v>
      </c>
      <c r="B568" s="304" t="s">
        <v>1238</v>
      </c>
      <c r="C568" s="407" t="s">
        <v>251</v>
      </c>
      <c r="D568" s="210" t="s">
        <v>251</v>
      </c>
      <c r="E568" s="210" t="s">
        <v>251</v>
      </c>
      <c r="F568" s="408"/>
      <c r="G568" s="407" t="s">
        <v>251</v>
      </c>
      <c r="H568" s="210" t="s">
        <v>251</v>
      </c>
      <c r="I568" s="152">
        <v>451000</v>
      </c>
      <c r="J568" s="408">
        <f>I568</f>
        <v>451000</v>
      </c>
      <c r="K568" s="151">
        <f t="shared" si="25"/>
        <v>0</v>
      </c>
      <c r="L568" s="211" t="str">
        <f t="shared" si="26"/>
        <v/>
      </c>
    </row>
    <row r="569" spans="1:12" x14ac:dyDescent="0.3">
      <c r="A569" s="303" t="s">
        <v>931</v>
      </c>
      <c r="B569" s="304" t="s">
        <v>883</v>
      </c>
      <c r="C569" s="409">
        <v>12000</v>
      </c>
      <c r="D569" s="210" t="s">
        <v>251</v>
      </c>
      <c r="E569" s="210" t="s">
        <v>251</v>
      </c>
      <c r="F569" s="408">
        <f>C569</f>
        <v>12000</v>
      </c>
      <c r="G569" s="407" t="s">
        <v>251</v>
      </c>
      <c r="H569" s="210" t="s">
        <v>251</v>
      </c>
      <c r="I569" s="210" t="s">
        <v>251</v>
      </c>
      <c r="J569" s="408"/>
      <c r="K569" s="151">
        <f t="shared" si="25"/>
        <v>0</v>
      </c>
      <c r="L569" s="211" t="str">
        <f t="shared" si="26"/>
        <v/>
      </c>
    </row>
    <row r="570" spans="1:12" x14ac:dyDescent="0.3">
      <c r="A570" s="303" t="s">
        <v>931</v>
      </c>
      <c r="B570" s="304" t="s">
        <v>942</v>
      </c>
      <c r="C570" s="409">
        <v>1329750</v>
      </c>
      <c r="D570" s="152">
        <v>38500</v>
      </c>
      <c r="E570" s="152">
        <v>1663750</v>
      </c>
      <c r="F570" s="408">
        <f>C570+D570+E570</f>
        <v>3032000</v>
      </c>
      <c r="G570" s="407" t="s">
        <v>251</v>
      </c>
      <c r="H570" s="210" t="s">
        <v>251</v>
      </c>
      <c r="I570" s="210" t="s">
        <v>251</v>
      </c>
      <c r="J570" s="408"/>
      <c r="K570" s="151">
        <f t="shared" si="25"/>
        <v>0</v>
      </c>
      <c r="L570" s="211" t="str">
        <f t="shared" si="26"/>
        <v/>
      </c>
    </row>
    <row r="571" spans="1:12" x14ac:dyDescent="0.3">
      <c r="A571" s="303" t="s">
        <v>931</v>
      </c>
      <c r="B571" s="304" t="s">
        <v>405</v>
      </c>
      <c r="C571" s="407" t="s">
        <v>251</v>
      </c>
      <c r="D571" s="152">
        <v>98250</v>
      </c>
      <c r="E571" s="210" t="s">
        <v>251</v>
      </c>
      <c r="F571" s="408">
        <f>D571</f>
        <v>98250</v>
      </c>
      <c r="G571" s="407" t="s">
        <v>251</v>
      </c>
      <c r="H571" s="210" t="s">
        <v>251</v>
      </c>
      <c r="I571" s="210" t="s">
        <v>251</v>
      </c>
      <c r="J571" s="408"/>
      <c r="K571" s="151">
        <f t="shared" si="25"/>
        <v>0</v>
      </c>
      <c r="L571" s="211" t="str">
        <f t="shared" si="26"/>
        <v/>
      </c>
    </row>
    <row r="572" spans="1:12" x14ac:dyDescent="0.3">
      <c r="A572" s="303" t="s">
        <v>931</v>
      </c>
      <c r="B572" s="304" t="s">
        <v>1313</v>
      </c>
      <c r="C572" s="409">
        <v>441400</v>
      </c>
      <c r="D572" s="210" t="s">
        <v>251</v>
      </c>
      <c r="E572" s="210" t="s">
        <v>251</v>
      </c>
      <c r="F572" s="408">
        <f>C572</f>
        <v>441400</v>
      </c>
      <c r="G572" s="407" t="s">
        <v>251</v>
      </c>
      <c r="H572" s="210" t="s">
        <v>251</v>
      </c>
      <c r="I572" s="210" t="s">
        <v>251</v>
      </c>
      <c r="J572" s="408"/>
      <c r="K572" s="151">
        <f t="shared" si="25"/>
        <v>0</v>
      </c>
      <c r="L572" s="211" t="str">
        <f t="shared" si="26"/>
        <v/>
      </c>
    </row>
    <row r="573" spans="1:12" x14ac:dyDescent="0.3">
      <c r="A573" s="305" t="s">
        <v>1314</v>
      </c>
      <c r="B573" s="306" t="s">
        <v>1315</v>
      </c>
      <c r="C573" s="410" t="s">
        <v>251</v>
      </c>
      <c r="D573" s="212" t="s">
        <v>251</v>
      </c>
      <c r="E573" s="212" t="s">
        <v>251</v>
      </c>
      <c r="F573" s="411"/>
      <c r="G573" s="410">
        <v>1389900</v>
      </c>
      <c r="H573" s="212">
        <v>125000</v>
      </c>
      <c r="I573" s="212">
        <v>821200</v>
      </c>
      <c r="J573" s="411">
        <f>G573+H573+I573</f>
        <v>2336100</v>
      </c>
      <c r="K573" s="153">
        <f t="shared" si="25"/>
        <v>0</v>
      </c>
      <c r="L573" s="213" t="str">
        <f t="shared" si="26"/>
        <v/>
      </c>
    </row>
    <row r="574" spans="1:12" x14ac:dyDescent="0.3">
      <c r="A574" s="305" t="s">
        <v>1314</v>
      </c>
      <c r="B574" s="306" t="s">
        <v>1316</v>
      </c>
      <c r="C574" s="410"/>
      <c r="D574" s="212"/>
      <c r="E574" s="212"/>
      <c r="F574" s="411"/>
      <c r="G574" s="410"/>
      <c r="H574" s="212"/>
      <c r="I574" s="212"/>
      <c r="J574" s="411"/>
      <c r="K574" s="153">
        <f t="shared" si="25"/>
        <v>0</v>
      </c>
      <c r="L574" s="213" t="str">
        <f t="shared" si="26"/>
        <v/>
      </c>
    </row>
    <row r="575" spans="1:12" x14ac:dyDescent="0.3">
      <c r="A575" s="305" t="s">
        <v>1314</v>
      </c>
      <c r="B575" s="306" t="s">
        <v>1317</v>
      </c>
      <c r="C575" s="410" t="s">
        <v>251</v>
      </c>
      <c r="D575" s="212" t="s">
        <v>251</v>
      </c>
      <c r="E575" s="212" t="s">
        <v>251</v>
      </c>
      <c r="F575" s="411"/>
      <c r="G575" s="410"/>
      <c r="H575" s="212"/>
      <c r="I575" s="212"/>
      <c r="J575" s="411"/>
      <c r="K575" s="153">
        <f t="shared" si="25"/>
        <v>0</v>
      </c>
      <c r="L575" s="213" t="str">
        <f t="shared" si="26"/>
        <v/>
      </c>
    </row>
    <row r="576" spans="1:12" x14ac:dyDescent="0.3">
      <c r="A576" s="305" t="s">
        <v>1314</v>
      </c>
      <c r="B576" s="306" t="s">
        <v>1297</v>
      </c>
      <c r="C576" s="410">
        <v>2621600</v>
      </c>
      <c r="D576" s="212">
        <v>163900</v>
      </c>
      <c r="E576" s="212">
        <v>314000</v>
      </c>
      <c r="F576" s="411">
        <f>C576+D576+E576</f>
        <v>3099500</v>
      </c>
      <c r="G576" s="410">
        <v>1597000</v>
      </c>
      <c r="H576" s="212"/>
      <c r="I576" s="212"/>
      <c r="J576" s="411">
        <f>G576+H576+I576</f>
        <v>1597000</v>
      </c>
      <c r="K576" s="153">
        <f t="shared" si="25"/>
        <v>-0.48475560574286175</v>
      </c>
      <c r="L576" s="213" t="str">
        <f t="shared" si="26"/>
        <v/>
      </c>
    </row>
    <row r="577" spans="1:12" x14ac:dyDescent="0.3">
      <c r="A577" s="305" t="s">
        <v>1314</v>
      </c>
      <c r="B577" s="306" t="s">
        <v>444</v>
      </c>
      <c r="C577" s="410">
        <v>1146750</v>
      </c>
      <c r="D577" s="212">
        <v>100000</v>
      </c>
      <c r="E577" s="212">
        <v>200000</v>
      </c>
      <c r="F577" s="411">
        <f>C577+D577+E577</f>
        <v>1446750</v>
      </c>
      <c r="G577" s="410">
        <v>1031450</v>
      </c>
      <c r="H577" s="212">
        <v>82000</v>
      </c>
      <c r="I577" s="212"/>
      <c r="J577" s="411">
        <f>G577+H577+I577</f>
        <v>1113450</v>
      </c>
      <c r="K577" s="153">
        <f t="shared" si="25"/>
        <v>-0.2303784344219803</v>
      </c>
      <c r="L577" s="213" t="str">
        <f t="shared" si="26"/>
        <v/>
      </c>
    </row>
    <row r="578" spans="1:12" x14ac:dyDescent="0.3">
      <c r="A578" s="305" t="s">
        <v>1314</v>
      </c>
      <c r="B578" s="306" t="s">
        <v>1318</v>
      </c>
      <c r="C578" s="410" t="s">
        <v>251</v>
      </c>
      <c r="D578" s="212" t="s">
        <v>251</v>
      </c>
      <c r="E578" s="212" t="s">
        <v>251</v>
      </c>
      <c r="F578" s="411"/>
      <c r="G578" s="410">
        <v>833500</v>
      </c>
      <c r="H578" s="212"/>
      <c r="I578" s="212"/>
      <c r="J578" s="411">
        <f>G578+H578+I578</f>
        <v>833500</v>
      </c>
      <c r="K578" s="153">
        <f t="shared" ref="K578:K641" si="29">IF(OR(J578="", F578=""), 0, IFERROR((J578-F578)/F578, IF(J578&lt;&gt;0, 1, 0)))</f>
        <v>0</v>
      </c>
      <c r="L578" s="213" t="str">
        <f t="shared" ref="L578:L641" si="30">IFERROR(_xlfn.RANK.EQ(J578, $J$2:$J$308), "")</f>
        <v/>
      </c>
    </row>
    <row r="579" spans="1:12" x14ac:dyDescent="0.3">
      <c r="A579" s="305" t="s">
        <v>1314</v>
      </c>
      <c r="B579" s="306" t="s">
        <v>1319</v>
      </c>
      <c r="C579" s="410" t="s">
        <v>251</v>
      </c>
      <c r="D579" s="212" t="s">
        <v>251</v>
      </c>
      <c r="E579" s="212" t="s">
        <v>251</v>
      </c>
      <c r="F579" s="411"/>
      <c r="G579" s="410"/>
      <c r="H579" s="212"/>
      <c r="I579" s="212"/>
      <c r="J579" s="411"/>
      <c r="K579" s="153">
        <f t="shared" si="29"/>
        <v>0</v>
      </c>
      <c r="L579" s="213" t="str">
        <f t="shared" si="30"/>
        <v/>
      </c>
    </row>
    <row r="580" spans="1:12" x14ac:dyDescent="0.3">
      <c r="A580" s="305" t="s">
        <v>1314</v>
      </c>
      <c r="B580" s="306" t="s">
        <v>1279</v>
      </c>
      <c r="C580" s="410">
        <v>488600</v>
      </c>
      <c r="D580" s="212"/>
      <c r="E580" s="212"/>
      <c r="F580" s="411">
        <f>C580+D580+E580</f>
        <v>488600</v>
      </c>
      <c r="G580" s="410"/>
      <c r="H580" s="212"/>
      <c r="I580" s="212">
        <v>680800</v>
      </c>
      <c r="J580" s="411">
        <f t="shared" ref="J580:J642" si="31">G580+H580+I580</f>
        <v>680800</v>
      </c>
      <c r="K580" s="153">
        <f t="shared" si="29"/>
        <v>0.3933688088415882</v>
      </c>
      <c r="L580" s="213" t="str">
        <f t="shared" si="30"/>
        <v/>
      </c>
    </row>
    <row r="581" spans="1:12" x14ac:dyDescent="0.3">
      <c r="A581" s="305" t="s">
        <v>1314</v>
      </c>
      <c r="B581" s="306" t="s">
        <v>1320</v>
      </c>
      <c r="C581" s="410" t="s">
        <v>251</v>
      </c>
      <c r="D581" s="212" t="s">
        <v>251</v>
      </c>
      <c r="E581" s="212" t="s">
        <v>251</v>
      </c>
      <c r="F581" s="411"/>
      <c r="G581" s="410"/>
      <c r="H581" s="212"/>
      <c r="I581" s="212"/>
      <c r="J581" s="411"/>
      <c r="K581" s="153">
        <f t="shared" si="29"/>
        <v>0</v>
      </c>
      <c r="L581" s="213" t="str">
        <f t="shared" si="30"/>
        <v/>
      </c>
    </row>
    <row r="582" spans="1:12" x14ac:dyDescent="0.3">
      <c r="A582" s="305" t="s">
        <v>1314</v>
      </c>
      <c r="B582" s="306" t="s">
        <v>883</v>
      </c>
      <c r="C582" s="410">
        <v>1103400</v>
      </c>
      <c r="D582" s="212"/>
      <c r="E582" s="212">
        <v>180000</v>
      </c>
      <c r="F582" s="411">
        <f>C582+D582+E582</f>
        <v>1283400</v>
      </c>
      <c r="G582" s="410">
        <v>217600</v>
      </c>
      <c r="H582" s="212">
        <v>62000</v>
      </c>
      <c r="I582" s="212">
        <v>13400</v>
      </c>
      <c r="J582" s="411">
        <f t="shared" si="31"/>
        <v>293000</v>
      </c>
      <c r="K582" s="153">
        <f t="shared" si="29"/>
        <v>-0.77170017141966651</v>
      </c>
      <c r="L582" s="213" t="str">
        <f t="shared" si="30"/>
        <v/>
      </c>
    </row>
    <row r="583" spans="1:12" x14ac:dyDescent="0.3">
      <c r="A583" s="305" t="s">
        <v>1314</v>
      </c>
      <c r="B583" s="306" t="s">
        <v>1321</v>
      </c>
      <c r="C583" s="410"/>
      <c r="D583" s="212"/>
      <c r="E583" s="212"/>
      <c r="F583" s="411"/>
      <c r="G583" s="410"/>
      <c r="H583" s="212"/>
      <c r="I583" s="212">
        <v>177800</v>
      </c>
      <c r="J583" s="411">
        <f t="shared" si="31"/>
        <v>177800</v>
      </c>
      <c r="K583" s="153">
        <f t="shared" si="29"/>
        <v>0</v>
      </c>
      <c r="L583" s="213" t="str">
        <f t="shared" si="30"/>
        <v/>
      </c>
    </row>
    <row r="584" spans="1:12" x14ac:dyDescent="0.3">
      <c r="A584" s="305" t="s">
        <v>1314</v>
      </c>
      <c r="B584" s="306" t="s">
        <v>1042</v>
      </c>
      <c r="C584" s="410"/>
      <c r="D584" s="212"/>
      <c r="E584" s="212"/>
      <c r="F584" s="411"/>
      <c r="G584" s="410">
        <v>93700</v>
      </c>
      <c r="H584" s="212"/>
      <c r="I584" s="212"/>
      <c r="J584" s="411">
        <f t="shared" si="31"/>
        <v>93700</v>
      </c>
      <c r="K584" s="153">
        <f t="shared" si="29"/>
        <v>0</v>
      </c>
      <c r="L584" s="213" t="str">
        <f t="shared" si="30"/>
        <v/>
      </c>
    </row>
    <row r="585" spans="1:12" x14ac:dyDescent="0.3">
      <c r="A585" s="305" t="s">
        <v>1314</v>
      </c>
      <c r="B585" s="306" t="s">
        <v>1298</v>
      </c>
      <c r="C585" s="410"/>
      <c r="D585" s="212"/>
      <c r="E585" s="212"/>
      <c r="F585" s="411"/>
      <c r="G585" s="410">
        <v>54200</v>
      </c>
      <c r="H585" s="212">
        <v>17250</v>
      </c>
      <c r="I585" s="212"/>
      <c r="J585" s="411">
        <f t="shared" si="31"/>
        <v>71450</v>
      </c>
      <c r="K585" s="153">
        <f t="shared" si="29"/>
        <v>0</v>
      </c>
      <c r="L585" s="213" t="str">
        <f t="shared" si="30"/>
        <v/>
      </c>
    </row>
    <row r="586" spans="1:12" x14ac:dyDescent="0.3">
      <c r="A586" s="305" t="s">
        <v>1314</v>
      </c>
      <c r="B586" s="306" t="s">
        <v>690</v>
      </c>
      <c r="C586" s="410"/>
      <c r="D586" s="212"/>
      <c r="E586" s="212"/>
      <c r="F586" s="411"/>
      <c r="G586" s="410"/>
      <c r="H586" s="212"/>
      <c r="I586" s="212"/>
      <c r="J586" s="411"/>
      <c r="K586" s="153">
        <f t="shared" si="29"/>
        <v>0</v>
      </c>
      <c r="L586" s="213" t="str">
        <f t="shared" si="30"/>
        <v/>
      </c>
    </row>
    <row r="587" spans="1:12" x14ac:dyDescent="0.3">
      <c r="A587" s="305" t="s">
        <v>1314</v>
      </c>
      <c r="B587" s="306" t="s">
        <v>1322</v>
      </c>
      <c r="C587" s="410"/>
      <c r="D587" s="212">
        <v>826000</v>
      </c>
      <c r="E587" s="212"/>
      <c r="F587" s="411">
        <f>C587+D587+E587</f>
        <v>826000</v>
      </c>
      <c r="G587" s="410"/>
      <c r="H587" s="212"/>
      <c r="I587" s="212"/>
      <c r="J587" s="411"/>
      <c r="K587" s="153">
        <f t="shared" si="29"/>
        <v>0</v>
      </c>
      <c r="L587" s="213" t="str">
        <f t="shared" si="30"/>
        <v/>
      </c>
    </row>
    <row r="588" spans="1:12" x14ac:dyDescent="0.3">
      <c r="A588" s="305" t="s">
        <v>1314</v>
      </c>
      <c r="B588" s="306" t="s">
        <v>1323</v>
      </c>
      <c r="C588" s="410">
        <v>1161250</v>
      </c>
      <c r="D588" s="212"/>
      <c r="E588" s="212"/>
      <c r="F588" s="411">
        <f>C588+D588+E588</f>
        <v>1161250</v>
      </c>
      <c r="G588" s="410"/>
      <c r="H588" s="212"/>
      <c r="I588" s="212"/>
      <c r="J588" s="411"/>
      <c r="K588" s="153">
        <f t="shared" si="29"/>
        <v>0</v>
      </c>
      <c r="L588" s="213" t="str">
        <f t="shared" si="30"/>
        <v/>
      </c>
    </row>
    <row r="589" spans="1:12" x14ac:dyDescent="0.3">
      <c r="A589" s="305" t="s">
        <v>1314</v>
      </c>
      <c r="B589" s="306" t="s">
        <v>1324</v>
      </c>
      <c r="C589" s="410">
        <v>312800</v>
      </c>
      <c r="D589" s="212"/>
      <c r="E589" s="212"/>
      <c r="F589" s="411">
        <f>C589+D589+E589</f>
        <v>312800</v>
      </c>
      <c r="G589" s="410"/>
      <c r="H589" s="212"/>
      <c r="I589" s="212"/>
      <c r="J589" s="411"/>
      <c r="K589" s="153">
        <f t="shared" si="29"/>
        <v>0</v>
      </c>
      <c r="L589" s="213" t="str">
        <f t="shared" si="30"/>
        <v/>
      </c>
    </row>
    <row r="590" spans="1:12" x14ac:dyDescent="0.3">
      <c r="A590" s="305" t="s">
        <v>1314</v>
      </c>
      <c r="B590" s="306" t="s">
        <v>1325</v>
      </c>
      <c r="C590" s="410"/>
      <c r="D590" s="212">
        <v>70200</v>
      </c>
      <c r="E590" s="212"/>
      <c r="F590" s="411">
        <f>C590+D590+E590</f>
        <v>70200</v>
      </c>
      <c r="G590" s="410"/>
      <c r="H590" s="212"/>
      <c r="I590" s="212"/>
      <c r="J590" s="411"/>
      <c r="K590" s="153">
        <f t="shared" si="29"/>
        <v>0</v>
      </c>
      <c r="L590" s="213" t="str">
        <f t="shared" si="30"/>
        <v/>
      </c>
    </row>
    <row r="591" spans="1:12" x14ac:dyDescent="0.3">
      <c r="A591" s="305" t="s">
        <v>1314</v>
      </c>
      <c r="B591" s="306" t="s">
        <v>1326</v>
      </c>
      <c r="C591" s="410"/>
      <c r="D591" s="212"/>
      <c r="E591" s="212"/>
      <c r="F591" s="411"/>
      <c r="G591" s="410"/>
      <c r="H591" s="212"/>
      <c r="I591" s="212"/>
      <c r="J591" s="411"/>
      <c r="K591" s="153">
        <f t="shared" si="29"/>
        <v>0</v>
      </c>
      <c r="L591" s="213" t="str">
        <f t="shared" si="30"/>
        <v/>
      </c>
    </row>
    <row r="592" spans="1:12" x14ac:dyDescent="0.3">
      <c r="A592" s="18" t="s">
        <v>1327</v>
      </c>
      <c r="B592" s="19" t="s">
        <v>1328</v>
      </c>
      <c r="C592" s="412"/>
      <c r="D592" s="214"/>
      <c r="E592" s="214"/>
      <c r="F592" s="413"/>
      <c r="G592" s="412"/>
      <c r="H592" s="214">
        <v>1687500</v>
      </c>
      <c r="I592" s="214">
        <v>1367450</v>
      </c>
      <c r="J592" s="413">
        <f t="shared" si="31"/>
        <v>3054950</v>
      </c>
      <c r="K592" s="25">
        <f t="shared" si="29"/>
        <v>0</v>
      </c>
      <c r="L592" s="215" t="str">
        <f t="shared" si="30"/>
        <v/>
      </c>
    </row>
    <row r="593" spans="1:12" x14ac:dyDescent="0.3">
      <c r="A593" s="18" t="s">
        <v>1327</v>
      </c>
      <c r="B593" s="19" t="s">
        <v>444</v>
      </c>
      <c r="C593" s="412"/>
      <c r="D593" s="214"/>
      <c r="E593" s="214"/>
      <c r="F593" s="413"/>
      <c r="G593" s="412"/>
      <c r="H593" s="214"/>
      <c r="I593" s="214">
        <v>1988250</v>
      </c>
      <c r="J593" s="413">
        <f t="shared" si="31"/>
        <v>1988250</v>
      </c>
      <c r="K593" s="25">
        <f t="shared" si="29"/>
        <v>0</v>
      </c>
      <c r="L593" s="215" t="str">
        <f t="shared" si="30"/>
        <v/>
      </c>
    </row>
    <row r="594" spans="1:12" x14ac:dyDescent="0.3">
      <c r="A594" s="18" t="s">
        <v>1327</v>
      </c>
      <c r="B594" s="19" t="s">
        <v>883</v>
      </c>
      <c r="C594" s="412"/>
      <c r="D594" s="214"/>
      <c r="E594" s="214"/>
      <c r="F594" s="413"/>
      <c r="G594" s="412">
        <v>165450</v>
      </c>
      <c r="H594" s="214">
        <v>220400</v>
      </c>
      <c r="I594" s="214">
        <v>509800</v>
      </c>
      <c r="J594" s="413">
        <f t="shared" si="31"/>
        <v>895650</v>
      </c>
      <c r="K594" s="25">
        <f t="shared" si="29"/>
        <v>0</v>
      </c>
      <c r="L594" s="215" t="str">
        <f t="shared" si="30"/>
        <v/>
      </c>
    </row>
    <row r="595" spans="1:12" x14ac:dyDescent="0.3">
      <c r="A595" s="18" t="s">
        <v>1327</v>
      </c>
      <c r="B595" s="19" t="s">
        <v>972</v>
      </c>
      <c r="C595" s="412"/>
      <c r="D595" s="214"/>
      <c r="E595" s="214"/>
      <c r="F595" s="413"/>
      <c r="G595" s="412">
        <v>17600</v>
      </c>
      <c r="H595" s="214">
        <v>539600</v>
      </c>
      <c r="I595" s="214">
        <v>500900</v>
      </c>
      <c r="J595" s="413">
        <f t="shared" si="31"/>
        <v>1058100</v>
      </c>
      <c r="K595" s="25">
        <f t="shared" si="29"/>
        <v>0</v>
      </c>
      <c r="L595" s="215" t="str">
        <f t="shared" si="30"/>
        <v/>
      </c>
    </row>
    <row r="596" spans="1:12" x14ac:dyDescent="0.3">
      <c r="A596" s="18" t="s">
        <v>1327</v>
      </c>
      <c r="B596" s="19" t="s">
        <v>1318</v>
      </c>
      <c r="C596" s="412"/>
      <c r="D596" s="214"/>
      <c r="E596" s="214"/>
      <c r="F596" s="413"/>
      <c r="G596" s="412"/>
      <c r="H596" s="214"/>
      <c r="I596" s="214">
        <v>915600</v>
      </c>
      <c r="J596" s="413">
        <f t="shared" si="31"/>
        <v>915600</v>
      </c>
      <c r="K596" s="25">
        <f t="shared" si="29"/>
        <v>0</v>
      </c>
      <c r="L596" s="215" t="str">
        <f t="shared" si="30"/>
        <v/>
      </c>
    </row>
    <row r="597" spans="1:12" x14ac:dyDescent="0.3">
      <c r="A597" s="18" t="s">
        <v>1327</v>
      </c>
      <c r="B597" s="19" t="s">
        <v>1298</v>
      </c>
      <c r="C597" s="412"/>
      <c r="D597" s="214"/>
      <c r="E597" s="214"/>
      <c r="F597" s="413"/>
      <c r="G597" s="412">
        <v>517000</v>
      </c>
      <c r="H597" s="214">
        <v>196400</v>
      </c>
      <c r="I597" s="214">
        <v>61000</v>
      </c>
      <c r="J597" s="413">
        <f t="shared" si="31"/>
        <v>774400</v>
      </c>
      <c r="K597" s="25">
        <f t="shared" si="29"/>
        <v>0</v>
      </c>
      <c r="L597" s="215" t="str">
        <f t="shared" si="30"/>
        <v/>
      </c>
    </row>
    <row r="598" spans="1:12" x14ac:dyDescent="0.3">
      <c r="A598" s="18" t="s">
        <v>1327</v>
      </c>
      <c r="B598" s="19" t="s">
        <v>1295</v>
      </c>
      <c r="C598" s="412"/>
      <c r="D598" s="214"/>
      <c r="E598" s="214"/>
      <c r="F598" s="413"/>
      <c r="G598" s="412"/>
      <c r="H598" s="214">
        <v>261900</v>
      </c>
      <c r="I598" s="214">
        <v>69500</v>
      </c>
      <c r="J598" s="413">
        <f t="shared" si="31"/>
        <v>331400</v>
      </c>
      <c r="K598" s="25">
        <f t="shared" si="29"/>
        <v>0</v>
      </c>
      <c r="L598" s="215" t="str">
        <f t="shared" si="30"/>
        <v/>
      </c>
    </row>
    <row r="599" spans="1:12" x14ac:dyDescent="0.3">
      <c r="A599" s="18" t="s">
        <v>1327</v>
      </c>
      <c r="B599" s="19" t="s">
        <v>1329</v>
      </c>
      <c r="C599" s="412"/>
      <c r="D599" s="214"/>
      <c r="E599" s="214"/>
      <c r="F599" s="413"/>
      <c r="G599" s="412">
        <v>207800</v>
      </c>
      <c r="H599" s="214">
        <v>88000</v>
      </c>
      <c r="I599" s="214"/>
      <c r="J599" s="413">
        <f t="shared" si="31"/>
        <v>295800</v>
      </c>
      <c r="K599" s="25">
        <f t="shared" si="29"/>
        <v>0</v>
      </c>
      <c r="L599" s="215" t="str">
        <f t="shared" si="30"/>
        <v/>
      </c>
    </row>
    <row r="600" spans="1:12" x14ac:dyDescent="0.3">
      <c r="A600" s="18" t="s">
        <v>1327</v>
      </c>
      <c r="B600" s="19" t="s">
        <v>1330</v>
      </c>
      <c r="C600" s="412"/>
      <c r="D600" s="214"/>
      <c r="E600" s="214"/>
      <c r="F600" s="413"/>
      <c r="G600" s="412"/>
      <c r="H600" s="214">
        <v>83000</v>
      </c>
      <c r="I600" s="214"/>
      <c r="J600" s="413">
        <f t="shared" si="31"/>
        <v>83000</v>
      </c>
      <c r="K600" s="25">
        <f t="shared" si="29"/>
        <v>0</v>
      </c>
      <c r="L600" s="215" t="str">
        <f t="shared" si="30"/>
        <v/>
      </c>
    </row>
    <row r="601" spans="1:12" x14ac:dyDescent="0.3">
      <c r="A601" s="18" t="s">
        <v>1327</v>
      </c>
      <c r="B601" s="19" t="s">
        <v>1331</v>
      </c>
      <c r="C601" s="412"/>
      <c r="D601" s="214"/>
      <c r="E601" s="214"/>
      <c r="F601" s="413"/>
      <c r="G601" s="412">
        <v>53300</v>
      </c>
      <c r="H601" s="214"/>
      <c r="I601" s="214"/>
      <c r="J601" s="413">
        <f t="shared" si="31"/>
        <v>53300</v>
      </c>
      <c r="K601" s="25">
        <f t="shared" si="29"/>
        <v>0</v>
      </c>
      <c r="L601" s="215" t="str">
        <f t="shared" si="30"/>
        <v/>
      </c>
    </row>
    <row r="602" spans="1:12" x14ac:dyDescent="0.3">
      <c r="A602" s="307" t="s">
        <v>974</v>
      </c>
      <c r="B602" s="308" t="s">
        <v>1295</v>
      </c>
      <c r="C602" s="414">
        <v>213600</v>
      </c>
      <c r="D602" s="216"/>
      <c r="E602" s="216">
        <v>290300</v>
      </c>
      <c r="F602" s="415">
        <f>C602+D602+E602</f>
        <v>503900</v>
      </c>
      <c r="G602" s="414">
        <v>796300</v>
      </c>
      <c r="H602" s="216">
        <v>64800</v>
      </c>
      <c r="I602" s="216">
        <v>682000</v>
      </c>
      <c r="J602" s="415">
        <f t="shared" si="31"/>
        <v>1543100</v>
      </c>
      <c r="K602" s="154">
        <f t="shared" si="29"/>
        <v>2.0623139511807898</v>
      </c>
      <c r="L602" s="217" t="str">
        <f t="shared" si="30"/>
        <v/>
      </c>
    </row>
    <row r="603" spans="1:12" x14ac:dyDescent="0.3">
      <c r="A603" s="307" t="s">
        <v>974</v>
      </c>
      <c r="B603" s="308" t="s">
        <v>1332</v>
      </c>
      <c r="C603" s="414"/>
      <c r="D603" s="216"/>
      <c r="E603" s="216">
        <v>234500</v>
      </c>
      <c r="F603" s="415">
        <f>C603+D603+E603</f>
        <v>234500</v>
      </c>
      <c r="G603" s="414">
        <v>1305000</v>
      </c>
      <c r="H603" s="216"/>
      <c r="I603" s="216">
        <v>1123800</v>
      </c>
      <c r="J603" s="415">
        <f t="shared" si="31"/>
        <v>2428800</v>
      </c>
      <c r="K603" s="154">
        <f t="shared" si="29"/>
        <v>9.3573560767590624</v>
      </c>
      <c r="L603" s="217" t="str">
        <f t="shared" si="30"/>
        <v/>
      </c>
    </row>
    <row r="604" spans="1:12" x14ac:dyDescent="0.3">
      <c r="A604" s="307" t="s">
        <v>974</v>
      </c>
      <c r="B604" s="308" t="s">
        <v>1317</v>
      </c>
      <c r="C604" s="414">
        <v>437100</v>
      </c>
      <c r="D604" s="216">
        <v>338300</v>
      </c>
      <c r="E604" s="216">
        <v>9900</v>
      </c>
      <c r="F604" s="415">
        <f>C604+D604+E604</f>
        <v>785300</v>
      </c>
      <c r="G604" s="414">
        <v>371100</v>
      </c>
      <c r="H604" s="216">
        <v>247400</v>
      </c>
      <c r="I604" s="216">
        <v>296600</v>
      </c>
      <c r="J604" s="415">
        <f t="shared" si="31"/>
        <v>915100</v>
      </c>
      <c r="K604" s="154">
        <f t="shared" si="29"/>
        <v>0.16528715140710556</v>
      </c>
      <c r="L604" s="217" t="str">
        <f t="shared" si="30"/>
        <v/>
      </c>
    </row>
    <row r="605" spans="1:12" x14ac:dyDescent="0.3">
      <c r="A605" s="307" t="s">
        <v>974</v>
      </c>
      <c r="B605" s="308" t="s">
        <v>883</v>
      </c>
      <c r="C605" s="414">
        <v>528350</v>
      </c>
      <c r="D605" s="216">
        <v>68000</v>
      </c>
      <c r="E605" s="216">
        <v>93000</v>
      </c>
      <c r="F605" s="415">
        <f>C605+D605+E605</f>
        <v>689350</v>
      </c>
      <c r="G605" s="414">
        <v>70400</v>
      </c>
      <c r="H605" s="216">
        <v>166400</v>
      </c>
      <c r="I605" s="216">
        <v>213200</v>
      </c>
      <c r="J605" s="415">
        <f t="shared" si="31"/>
        <v>450000</v>
      </c>
      <c r="K605" s="154">
        <f t="shared" si="29"/>
        <v>-0.34721114092986144</v>
      </c>
      <c r="L605" s="217" t="str">
        <f t="shared" si="30"/>
        <v/>
      </c>
    </row>
    <row r="606" spans="1:12" x14ac:dyDescent="0.3">
      <c r="A606" s="307" t="s">
        <v>974</v>
      </c>
      <c r="B606" s="308" t="s">
        <v>1329</v>
      </c>
      <c r="C606" s="414">
        <v>160050</v>
      </c>
      <c r="D606" s="216"/>
      <c r="E606" s="216"/>
      <c r="F606" s="415">
        <f>C606+D606+E606</f>
        <v>160050</v>
      </c>
      <c r="G606" s="414">
        <v>19800</v>
      </c>
      <c r="H606" s="216"/>
      <c r="I606" s="216"/>
      <c r="J606" s="415">
        <f t="shared" si="31"/>
        <v>19800</v>
      </c>
      <c r="K606" s="154">
        <f t="shared" si="29"/>
        <v>-0.87628865979381443</v>
      </c>
      <c r="L606" s="217" t="str">
        <f t="shared" si="30"/>
        <v/>
      </c>
    </row>
    <row r="607" spans="1:12" x14ac:dyDescent="0.3">
      <c r="A607" s="307" t="s">
        <v>974</v>
      </c>
      <c r="B607" s="308" t="s">
        <v>1333</v>
      </c>
      <c r="C607" s="414"/>
      <c r="D607" s="216"/>
      <c r="E607" s="216"/>
      <c r="F607" s="415"/>
      <c r="G607" s="414">
        <v>962100</v>
      </c>
      <c r="H607" s="216">
        <v>69600</v>
      </c>
      <c r="I607" s="216"/>
      <c r="J607" s="415">
        <f t="shared" si="31"/>
        <v>1031700</v>
      </c>
      <c r="K607" s="154">
        <f t="shared" si="29"/>
        <v>0</v>
      </c>
      <c r="L607" s="217" t="str">
        <f t="shared" si="30"/>
        <v/>
      </c>
    </row>
    <row r="608" spans="1:12" x14ac:dyDescent="0.3">
      <c r="A608" s="307" t="s">
        <v>974</v>
      </c>
      <c r="B608" s="308" t="s">
        <v>1330</v>
      </c>
      <c r="C608" s="414"/>
      <c r="D608" s="216"/>
      <c r="E608" s="216"/>
      <c r="F608" s="415"/>
      <c r="G608" s="414">
        <v>336900</v>
      </c>
      <c r="H608" s="216">
        <v>131000</v>
      </c>
      <c r="I608" s="216">
        <v>253400</v>
      </c>
      <c r="J608" s="415">
        <f t="shared" si="31"/>
        <v>721300</v>
      </c>
      <c r="K608" s="154">
        <f t="shared" si="29"/>
        <v>0</v>
      </c>
      <c r="L608" s="217" t="str">
        <f t="shared" si="30"/>
        <v/>
      </c>
    </row>
    <row r="609" spans="1:12" x14ac:dyDescent="0.3">
      <c r="A609" s="307" t="s">
        <v>974</v>
      </c>
      <c r="B609" s="308" t="s">
        <v>1294</v>
      </c>
      <c r="C609" s="414"/>
      <c r="D609" s="216"/>
      <c r="E609" s="216"/>
      <c r="F609" s="415"/>
      <c r="G609" s="414"/>
      <c r="H609" s="216">
        <v>399600</v>
      </c>
      <c r="I609" s="216">
        <v>141600</v>
      </c>
      <c r="J609" s="415">
        <f t="shared" si="31"/>
        <v>541200</v>
      </c>
      <c r="K609" s="154">
        <f t="shared" si="29"/>
        <v>0</v>
      </c>
      <c r="L609" s="217" t="str">
        <f t="shared" si="30"/>
        <v/>
      </c>
    </row>
    <row r="610" spans="1:12" x14ac:dyDescent="0.3">
      <c r="A610" s="307" t="s">
        <v>974</v>
      </c>
      <c r="B610" s="308" t="s">
        <v>1042</v>
      </c>
      <c r="C610" s="414"/>
      <c r="D610" s="216"/>
      <c r="E610" s="216"/>
      <c r="F610" s="415"/>
      <c r="G610" s="414">
        <v>190700</v>
      </c>
      <c r="H610" s="216"/>
      <c r="I610" s="216"/>
      <c r="J610" s="415">
        <f t="shared" si="31"/>
        <v>190700</v>
      </c>
      <c r="K610" s="154">
        <f t="shared" si="29"/>
        <v>0</v>
      </c>
      <c r="L610" s="217" t="str">
        <f t="shared" si="30"/>
        <v/>
      </c>
    </row>
    <row r="611" spans="1:12" x14ac:dyDescent="0.3">
      <c r="A611" s="307" t="s">
        <v>974</v>
      </c>
      <c r="B611" s="308" t="s">
        <v>1334</v>
      </c>
      <c r="C611" s="414"/>
      <c r="D611" s="216"/>
      <c r="E611" s="216"/>
      <c r="F611" s="415"/>
      <c r="G611" s="414"/>
      <c r="H611" s="216">
        <v>108000</v>
      </c>
      <c r="I611" s="216"/>
      <c r="J611" s="415">
        <f t="shared" si="31"/>
        <v>108000</v>
      </c>
      <c r="K611" s="154">
        <f t="shared" si="29"/>
        <v>0</v>
      </c>
      <c r="L611" s="217" t="str">
        <f t="shared" si="30"/>
        <v/>
      </c>
    </row>
    <row r="612" spans="1:12" x14ac:dyDescent="0.3">
      <c r="A612" s="307" t="s">
        <v>974</v>
      </c>
      <c r="B612" s="308" t="s">
        <v>1284</v>
      </c>
      <c r="C612" s="414"/>
      <c r="D612" s="216"/>
      <c r="E612" s="216"/>
      <c r="F612" s="415"/>
      <c r="G612" s="414">
        <v>89000</v>
      </c>
      <c r="H612" s="216"/>
      <c r="I612" s="216"/>
      <c r="J612" s="415">
        <f t="shared" si="31"/>
        <v>89000</v>
      </c>
      <c r="K612" s="154">
        <f t="shared" si="29"/>
        <v>0</v>
      </c>
      <c r="L612" s="217" t="str">
        <f t="shared" si="30"/>
        <v/>
      </c>
    </row>
    <row r="613" spans="1:12" x14ac:dyDescent="0.3">
      <c r="A613" s="307" t="s">
        <v>974</v>
      </c>
      <c r="B613" s="308" t="s">
        <v>1298</v>
      </c>
      <c r="C613" s="414">
        <v>2272100</v>
      </c>
      <c r="D613" s="216">
        <v>400600</v>
      </c>
      <c r="E613" s="216">
        <v>523750</v>
      </c>
      <c r="F613" s="415">
        <f>C613+D613+E613</f>
        <v>3196450</v>
      </c>
      <c r="G613" s="414">
        <v>60000</v>
      </c>
      <c r="H613" s="216"/>
      <c r="I613" s="216"/>
      <c r="J613" s="415">
        <f t="shared" si="31"/>
        <v>60000</v>
      </c>
      <c r="K613" s="154">
        <f t="shared" si="29"/>
        <v>-0.98122917611725513</v>
      </c>
      <c r="L613" s="217" t="str">
        <f t="shared" si="30"/>
        <v/>
      </c>
    </row>
    <row r="614" spans="1:12" x14ac:dyDescent="0.3">
      <c r="A614" s="307" t="s">
        <v>974</v>
      </c>
      <c r="B614" s="308" t="s">
        <v>1335</v>
      </c>
      <c r="C614" s="414" t="s">
        <v>251</v>
      </c>
      <c r="D614" s="216" t="s">
        <v>251</v>
      </c>
      <c r="E614" s="216" t="s">
        <v>251</v>
      </c>
      <c r="F614" s="415"/>
      <c r="G614" s="414">
        <v>17250</v>
      </c>
      <c r="H614" s="216"/>
      <c r="I614" s="216"/>
      <c r="J614" s="415">
        <f t="shared" si="31"/>
        <v>17250</v>
      </c>
      <c r="K614" s="154">
        <f t="shared" si="29"/>
        <v>0</v>
      </c>
      <c r="L614" s="217" t="str">
        <f t="shared" si="30"/>
        <v/>
      </c>
    </row>
    <row r="615" spans="1:12" x14ac:dyDescent="0.3">
      <c r="A615" s="307" t="s">
        <v>974</v>
      </c>
      <c r="B615" s="308" t="s">
        <v>972</v>
      </c>
      <c r="C615" s="414">
        <v>321400</v>
      </c>
      <c r="D615" s="216">
        <v>29800</v>
      </c>
      <c r="E615" s="216">
        <v>588600</v>
      </c>
      <c r="F615" s="415">
        <f t="shared" ref="F615:F621" si="32">C615+D615+E615</f>
        <v>939800</v>
      </c>
      <c r="G615" s="414"/>
      <c r="H615" s="216"/>
      <c r="I615" s="216"/>
      <c r="J615" s="415"/>
      <c r="K615" s="154">
        <f t="shared" si="29"/>
        <v>0</v>
      </c>
      <c r="L615" s="217" t="str">
        <f t="shared" si="30"/>
        <v/>
      </c>
    </row>
    <row r="616" spans="1:12" x14ac:dyDescent="0.3">
      <c r="A616" s="307" t="s">
        <v>974</v>
      </c>
      <c r="B616" s="308" t="s">
        <v>1048</v>
      </c>
      <c r="C616" s="414">
        <v>1029600</v>
      </c>
      <c r="D616" s="216">
        <v>86000</v>
      </c>
      <c r="E616" s="216">
        <v>125200</v>
      </c>
      <c r="F616" s="415">
        <f t="shared" si="32"/>
        <v>1240800</v>
      </c>
      <c r="G616" s="414"/>
      <c r="H616" s="216"/>
      <c r="I616" s="216"/>
      <c r="J616" s="415"/>
      <c r="K616" s="154">
        <f t="shared" si="29"/>
        <v>0</v>
      </c>
      <c r="L616" s="217" t="str">
        <f t="shared" si="30"/>
        <v/>
      </c>
    </row>
    <row r="617" spans="1:12" x14ac:dyDescent="0.3">
      <c r="A617" s="307" t="s">
        <v>974</v>
      </c>
      <c r="B617" s="308" t="s">
        <v>878</v>
      </c>
      <c r="C617" s="414">
        <v>750600</v>
      </c>
      <c r="D617" s="216"/>
      <c r="E617" s="216">
        <v>373200</v>
      </c>
      <c r="F617" s="415">
        <f t="shared" si="32"/>
        <v>1123800</v>
      </c>
      <c r="G617" s="414"/>
      <c r="H617" s="216"/>
      <c r="I617" s="216"/>
      <c r="J617" s="415"/>
      <c r="K617" s="154">
        <f t="shared" si="29"/>
        <v>0</v>
      </c>
      <c r="L617" s="217" t="str">
        <f t="shared" si="30"/>
        <v/>
      </c>
    </row>
    <row r="618" spans="1:12" x14ac:dyDescent="0.3">
      <c r="A618" s="307" t="s">
        <v>974</v>
      </c>
      <c r="B618" s="308" t="s">
        <v>1319</v>
      </c>
      <c r="C618" s="414">
        <v>1101000</v>
      </c>
      <c r="D618" s="216">
        <v>12000</v>
      </c>
      <c r="E618" s="216"/>
      <c r="F618" s="415">
        <f t="shared" si="32"/>
        <v>1113000</v>
      </c>
      <c r="G618" s="414"/>
      <c r="H618" s="216"/>
      <c r="I618" s="216"/>
      <c r="J618" s="415"/>
      <c r="K618" s="154">
        <f t="shared" si="29"/>
        <v>0</v>
      </c>
      <c r="L618" s="217" t="str">
        <f t="shared" si="30"/>
        <v/>
      </c>
    </row>
    <row r="619" spans="1:12" x14ac:dyDescent="0.3">
      <c r="A619" s="307" t="s">
        <v>974</v>
      </c>
      <c r="B619" s="308" t="s">
        <v>1336</v>
      </c>
      <c r="C619" s="414">
        <v>781100</v>
      </c>
      <c r="D619" s="216"/>
      <c r="E619" s="216"/>
      <c r="F619" s="415">
        <f t="shared" si="32"/>
        <v>781100</v>
      </c>
      <c r="G619" s="414"/>
      <c r="H619" s="216"/>
      <c r="I619" s="216"/>
      <c r="J619" s="415"/>
      <c r="K619" s="154">
        <f t="shared" si="29"/>
        <v>0</v>
      </c>
      <c r="L619" s="217" t="str">
        <f t="shared" si="30"/>
        <v/>
      </c>
    </row>
    <row r="620" spans="1:12" x14ac:dyDescent="0.3">
      <c r="A620" s="307" t="s">
        <v>974</v>
      </c>
      <c r="B620" s="308" t="s">
        <v>1337</v>
      </c>
      <c r="C620" s="414">
        <v>56800</v>
      </c>
      <c r="D620" s="216"/>
      <c r="E620" s="216"/>
      <c r="F620" s="415">
        <f t="shared" si="32"/>
        <v>56800</v>
      </c>
      <c r="G620" s="414"/>
      <c r="H620" s="216"/>
      <c r="I620" s="216"/>
      <c r="J620" s="415"/>
      <c r="K620" s="154">
        <f t="shared" si="29"/>
        <v>0</v>
      </c>
      <c r="L620" s="217" t="str">
        <f t="shared" si="30"/>
        <v/>
      </c>
    </row>
    <row r="621" spans="1:12" x14ac:dyDescent="0.3">
      <c r="A621" s="307" t="s">
        <v>974</v>
      </c>
      <c r="B621" s="308" t="s">
        <v>1338</v>
      </c>
      <c r="C621" s="414">
        <v>590900</v>
      </c>
      <c r="D621" s="216"/>
      <c r="E621" s="216"/>
      <c r="F621" s="415">
        <f t="shared" si="32"/>
        <v>590900</v>
      </c>
      <c r="G621" s="414"/>
      <c r="H621" s="216"/>
      <c r="I621" s="216"/>
      <c r="J621" s="415"/>
      <c r="K621" s="154">
        <f t="shared" si="29"/>
        <v>0</v>
      </c>
      <c r="L621" s="217" t="str">
        <f t="shared" si="30"/>
        <v/>
      </c>
    </row>
    <row r="622" spans="1:12" x14ac:dyDescent="0.3">
      <c r="A622" s="307" t="s">
        <v>974</v>
      </c>
      <c r="B622" s="308" t="s">
        <v>1339</v>
      </c>
      <c r="C622" s="414"/>
      <c r="D622" s="216"/>
      <c r="E622" s="216"/>
      <c r="F622" s="415"/>
      <c r="G622" s="414"/>
      <c r="H622" s="216"/>
      <c r="I622" s="216"/>
      <c r="J622" s="415"/>
      <c r="K622" s="154">
        <f t="shared" si="29"/>
        <v>0</v>
      </c>
      <c r="L622" s="217" t="str">
        <f t="shared" si="30"/>
        <v/>
      </c>
    </row>
    <row r="623" spans="1:12" x14ac:dyDescent="0.3">
      <c r="A623" s="307" t="s">
        <v>974</v>
      </c>
      <c r="B623" s="308" t="s">
        <v>1216</v>
      </c>
      <c r="C623" s="414"/>
      <c r="D623" s="216"/>
      <c r="E623" s="216"/>
      <c r="F623" s="415"/>
      <c r="G623" s="414"/>
      <c r="H623" s="216"/>
      <c r="I623" s="216"/>
      <c r="J623" s="415"/>
      <c r="K623" s="154">
        <f t="shared" si="29"/>
        <v>0</v>
      </c>
      <c r="L623" s="217" t="str">
        <f t="shared" si="30"/>
        <v/>
      </c>
    </row>
    <row r="624" spans="1:12" x14ac:dyDescent="0.3">
      <c r="A624" s="307" t="s">
        <v>974</v>
      </c>
      <c r="B624" s="308" t="s">
        <v>1340</v>
      </c>
      <c r="C624" s="414"/>
      <c r="D624" s="216"/>
      <c r="E624" s="216">
        <v>131000</v>
      </c>
      <c r="F624" s="415">
        <f>C624+D624+E624</f>
        <v>131000</v>
      </c>
      <c r="G624" s="414"/>
      <c r="H624" s="216"/>
      <c r="I624" s="216"/>
      <c r="J624" s="415"/>
      <c r="K624" s="154">
        <f t="shared" si="29"/>
        <v>0</v>
      </c>
      <c r="L624" s="217" t="str">
        <f t="shared" si="30"/>
        <v/>
      </c>
    </row>
    <row r="625" spans="1:12" x14ac:dyDescent="0.3">
      <c r="A625" s="309" t="s">
        <v>785</v>
      </c>
      <c r="B625" s="310" t="s">
        <v>394</v>
      </c>
      <c r="C625" s="416">
        <v>986500</v>
      </c>
      <c r="D625" s="218"/>
      <c r="E625" s="218">
        <v>523250</v>
      </c>
      <c r="F625" s="417">
        <f>C625+D625+E625</f>
        <v>1509750</v>
      </c>
      <c r="G625" s="416">
        <v>987000</v>
      </c>
      <c r="H625" s="218">
        <v>417000</v>
      </c>
      <c r="I625" s="218">
        <v>822000</v>
      </c>
      <c r="J625" s="417">
        <f t="shared" si="31"/>
        <v>2226000</v>
      </c>
      <c r="K625" s="155">
        <f t="shared" si="29"/>
        <v>0.47441629408842523</v>
      </c>
      <c r="L625" s="219" t="str">
        <f t="shared" si="30"/>
        <v/>
      </c>
    </row>
    <row r="626" spans="1:12" x14ac:dyDescent="0.3">
      <c r="A626" s="309" t="s">
        <v>785</v>
      </c>
      <c r="B626" s="310" t="s">
        <v>1341</v>
      </c>
      <c r="C626" s="416" t="s">
        <v>251</v>
      </c>
      <c r="D626" s="218" t="s">
        <v>251</v>
      </c>
      <c r="E626" s="218" t="s">
        <v>251</v>
      </c>
      <c r="F626" s="417"/>
      <c r="G626" s="416">
        <v>286500</v>
      </c>
      <c r="H626" s="218">
        <v>1446000</v>
      </c>
      <c r="I626" s="218">
        <v>44000</v>
      </c>
      <c r="J626" s="417">
        <f t="shared" si="31"/>
        <v>1776500</v>
      </c>
      <c r="K626" s="155">
        <f t="shared" si="29"/>
        <v>0</v>
      </c>
      <c r="L626" s="219" t="str">
        <f t="shared" si="30"/>
        <v/>
      </c>
    </row>
    <row r="627" spans="1:12" x14ac:dyDescent="0.3">
      <c r="A627" s="309" t="s">
        <v>785</v>
      </c>
      <c r="B627" s="310" t="s">
        <v>1342</v>
      </c>
      <c r="C627" s="416" t="s">
        <v>251</v>
      </c>
      <c r="D627" s="218" t="s">
        <v>251</v>
      </c>
      <c r="E627" s="218" t="s">
        <v>251</v>
      </c>
      <c r="F627" s="417"/>
      <c r="G627" s="416"/>
      <c r="H627" s="218"/>
      <c r="I627" s="218">
        <v>430000</v>
      </c>
      <c r="J627" s="417">
        <f t="shared" si="31"/>
        <v>430000</v>
      </c>
      <c r="K627" s="155">
        <f t="shared" si="29"/>
        <v>0</v>
      </c>
      <c r="L627" s="219" t="str">
        <f t="shared" si="30"/>
        <v/>
      </c>
    </row>
    <row r="628" spans="1:12" x14ac:dyDescent="0.3">
      <c r="A628" s="309" t="s">
        <v>785</v>
      </c>
      <c r="B628" s="310" t="s">
        <v>690</v>
      </c>
      <c r="C628" s="416">
        <v>1479250</v>
      </c>
      <c r="D628" s="218">
        <v>14000</v>
      </c>
      <c r="E628" s="218">
        <v>42000</v>
      </c>
      <c r="F628" s="417">
        <f>C628+D628+E628</f>
        <v>1535250</v>
      </c>
      <c r="G628" s="416"/>
      <c r="H628" s="218"/>
      <c r="I628" s="218">
        <v>153500</v>
      </c>
      <c r="J628" s="417">
        <f t="shared" si="31"/>
        <v>153500</v>
      </c>
      <c r="K628" s="155">
        <f t="shared" si="29"/>
        <v>-0.90001628399283506</v>
      </c>
      <c r="L628" s="219" t="str">
        <f t="shared" si="30"/>
        <v/>
      </c>
    </row>
    <row r="629" spans="1:12" x14ac:dyDescent="0.3">
      <c r="A629" s="309" t="s">
        <v>785</v>
      </c>
      <c r="B629" s="310" t="s">
        <v>1161</v>
      </c>
      <c r="C629" s="416"/>
      <c r="D629" s="218"/>
      <c r="E629" s="218"/>
      <c r="F629" s="417"/>
      <c r="G629" s="416"/>
      <c r="H629" s="218">
        <v>665000</v>
      </c>
      <c r="I629" s="218"/>
      <c r="J629" s="417">
        <f t="shared" si="31"/>
        <v>665000</v>
      </c>
      <c r="K629" s="155">
        <f t="shared" si="29"/>
        <v>0</v>
      </c>
      <c r="L629" s="219" t="str">
        <f t="shared" si="30"/>
        <v/>
      </c>
    </row>
    <row r="630" spans="1:12" x14ac:dyDescent="0.3">
      <c r="A630" s="309" t="s">
        <v>785</v>
      </c>
      <c r="B630" s="310" t="s">
        <v>1343</v>
      </c>
      <c r="C630" s="416"/>
      <c r="D630" s="218"/>
      <c r="E630" s="218"/>
      <c r="F630" s="417"/>
      <c r="G630" s="416">
        <v>8500</v>
      </c>
      <c r="H630" s="218">
        <v>179250</v>
      </c>
      <c r="I630" s="218">
        <v>205000</v>
      </c>
      <c r="J630" s="417">
        <f t="shared" si="31"/>
        <v>392750</v>
      </c>
      <c r="K630" s="155">
        <f t="shared" si="29"/>
        <v>0</v>
      </c>
      <c r="L630" s="219" t="str">
        <f t="shared" si="30"/>
        <v/>
      </c>
    </row>
    <row r="631" spans="1:12" x14ac:dyDescent="0.3">
      <c r="A631" s="311" t="s">
        <v>1344</v>
      </c>
      <c r="B631" s="312" t="s">
        <v>1345</v>
      </c>
      <c r="C631" s="418"/>
      <c r="D631" s="220"/>
      <c r="E631" s="220"/>
      <c r="F631" s="419"/>
      <c r="G631" s="418">
        <v>1227400</v>
      </c>
      <c r="H631" s="220">
        <v>1414400</v>
      </c>
      <c r="I631" s="220">
        <v>4786000</v>
      </c>
      <c r="J631" s="419">
        <f t="shared" si="31"/>
        <v>7427800</v>
      </c>
      <c r="K631" s="156">
        <f t="shared" si="29"/>
        <v>0</v>
      </c>
      <c r="L631" s="221" t="str">
        <f t="shared" si="30"/>
        <v/>
      </c>
    </row>
    <row r="632" spans="1:12" x14ac:dyDescent="0.3">
      <c r="A632" s="311" t="s">
        <v>1344</v>
      </c>
      <c r="B632" s="312" t="s">
        <v>1346</v>
      </c>
      <c r="C632" s="418"/>
      <c r="D632" s="220"/>
      <c r="E632" s="220"/>
      <c r="F632" s="419"/>
      <c r="G632" s="418"/>
      <c r="H632" s="220"/>
      <c r="I632" s="220"/>
      <c r="J632" s="419"/>
      <c r="K632" s="156">
        <f t="shared" si="29"/>
        <v>0</v>
      </c>
      <c r="L632" s="221" t="str">
        <f t="shared" si="30"/>
        <v/>
      </c>
    </row>
    <row r="633" spans="1:12" x14ac:dyDescent="0.3">
      <c r="A633" s="313" t="s">
        <v>727</v>
      </c>
      <c r="B633" s="314" t="s">
        <v>728</v>
      </c>
      <c r="C633" s="420"/>
      <c r="D633" s="222"/>
      <c r="E633" s="222"/>
      <c r="F633" s="421"/>
      <c r="G633" s="420"/>
      <c r="H633" s="222"/>
      <c r="I633" s="222"/>
      <c r="J633" s="421"/>
      <c r="K633" s="157">
        <f t="shared" si="29"/>
        <v>0</v>
      </c>
      <c r="L633" s="223" t="str">
        <f t="shared" si="30"/>
        <v/>
      </c>
    </row>
    <row r="634" spans="1:12" x14ac:dyDescent="0.3">
      <c r="A634" s="313" t="s">
        <v>727</v>
      </c>
      <c r="B634" s="314" t="s">
        <v>729</v>
      </c>
      <c r="C634" s="420"/>
      <c r="D634" s="222"/>
      <c r="E634" s="222">
        <v>1884800</v>
      </c>
      <c r="F634" s="421">
        <f>C634+D634+E634</f>
        <v>1884800</v>
      </c>
      <c r="G634" s="420"/>
      <c r="H634" s="222"/>
      <c r="I634" s="222">
        <v>1990000</v>
      </c>
      <c r="J634" s="421">
        <f t="shared" si="31"/>
        <v>1990000</v>
      </c>
      <c r="K634" s="157">
        <f t="shared" si="29"/>
        <v>5.5814940577249575E-2</v>
      </c>
      <c r="L634" s="223" t="str">
        <f t="shared" si="30"/>
        <v/>
      </c>
    </row>
    <row r="635" spans="1:12" x14ac:dyDescent="0.3">
      <c r="A635" s="313" t="s">
        <v>727</v>
      </c>
      <c r="B635" s="314" t="s">
        <v>731</v>
      </c>
      <c r="C635" s="420"/>
      <c r="D635" s="222"/>
      <c r="E635" s="222"/>
      <c r="F635" s="421"/>
      <c r="G635" s="420"/>
      <c r="H635" s="222"/>
      <c r="I635" s="222"/>
      <c r="J635" s="421"/>
      <c r="K635" s="157">
        <f t="shared" si="29"/>
        <v>0</v>
      </c>
      <c r="L635" s="223" t="str">
        <f t="shared" si="30"/>
        <v/>
      </c>
    </row>
    <row r="636" spans="1:12" x14ac:dyDescent="0.3">
      <c r="A636" s="313" t="s">
        <v>727</v>
      </c>
      <c r="B636" s="314" t="s">
        <v>730</v>
      </c>
      <c r="C636" s="420"/>
      <c r="D636" s="222"/>
      <c r="E636" s="222"/>
      <c r="F636" s="421"/>
      <c r="G636" s="420"/>
      <c r="H636" s="222"/>
      <c r="I636" s="222"/>
      <c r="J636" s="421"/>
      <c r="K636" s="157">
        <f t="shared" si="29"/>
        <v>0</v>
      </c>
      <c r="L636" s="223" t="str">
        <f t="shared" si="30"/>
        <v/>
      </c>
    </row>
    <row r="637" spans="1:12" x14ac:dyDescent="0.3">
      <c r="A637" s="313" t="s">
        <v>727</v>
      </c>
      <c r="B637" s="314" t="s">
        <v>732</v>
      </c>
      <c r="C637" s="420"/>
      <c r="D637" s="222"/>
      <c r="E637" s="222"/>
      <c r="F637" s="421"/>
      <c r="G637" s="420" t="s">
        <v>251</v>
      </c>
      <c r="H637" s="222" t="s">
        <v>251</v>
      </c>
      <c r="I637" s="222"/>
      <c r="J637" s="421"/>
      <c r="K637" s="157">
        <f t="shared" si="29"/>
        <v>0</v>
      </c>
      <c r="L637" s="223" t="str">
        <f t="shared" si="30"/>
        <v/>
      </c>
    </row>
    <row r="638" spans="1:12" x14ac:dyDescent="0.3">
      <c r="A638" s="16" t="s">
        <v>1347</v>
      </c>
      <c r="B638" s="17" t="s">
        <v>1348</v>
      </c>
      <c r="C638" s="401"/>
      <c r="D638" s="204"/>
      <c r="E638" s="204"/>
      <c r="F638" s="402"/>
      <c r="G638" s="401">
        <v>515800</v>
      </c>
      <c r="H638" s="204">
        <v>730000</v>
      </c>
      <c r="I638" s="204">
        <v>266400</v>
      </c>
      <c r="J638" s="402">
        <f t="shared" si="31"/>
        <v>1512200</v>
      </c>
      <c r="K638" s="24">
        <f t="shared" si="29"/>
        <v>0</v>
      </c>
      <c r="L638" s="205" t="str">
        <f t="shared" si="30"/>
        <v/>
      </c>
    </row>
    <row r="639" spans="1:12" x14ac:dyDescent="0.3">
      <c r="A639" s="16" t="s">
        <v>1347</v>
      </c>
      <c r="B639" s="17" t="s">
        <v>1349</v>
      </c>
      <c r="C639" s="401"/>
      <c r="D639" s="204"/>
      <c r="E639" s="204"/>
      <c r="F639" s="402"/>
      <c r="G639" s="401"/>
      <c r="H639" s="204">
        <v>959700</v>
      </c>
      <c r="I639" s="204">
        <v>120200</v>
      </c>
      <c r="J639" s="402">
        <f t="shared" si="31"/>
        <v>1079900</v>
      </c>
      <c r="K639" s="24">
        <f t="shared" si="29"/>
        <v>0</v>
      </c>
      <c r="L639" s="205" t="str">
        <f t="shared" si="30"/>
        <v/>
      </c>
    </row>
    <row r="640" spans="1:12" x14ac:dyDescent="0.3">
      <c r="A640" s="16" t="s">
        <v>1347</v>
      </c>
      <c r="B640" s="17" t="s">
        <v>648</v>
      </c>
      <c r="C640" s="401"/>
      <c r="D640" s="204"/>
      <c r="E640" s="204"/>
      <c r="F640" s="402"/>
      <c r="G640" s="401">
        <v>269200</v>
      </c>
      <c r="H640" s="204"/>
      <c r="I640" s="204">
        <v>328600</v>
      </c>
      <c r="J640" s="402">
        <f t="shared" si="31"/>
        <v>597800</v>
      </c>
      <c r="K640" s="24">
        <f t="shared" si="29"/>
        <v>0</v>
      </c>
      <c r="L640" s="205" t="str">
        <f t="shared" si="30"/>
        <v/>
      </c>
    </row>
    <row r="641" spans="1:12" x14ac:dyDescent="0.3">
      <c r="A641" s="16" t="s">
        <v>1347</v>
      </c>
      <c r="B641" s="17" t="s">
        <v>1071</v>
      </c>
      <c r="C641" s="401"/>
      <c r="D641" s="204"/>
      <c r="E641" s="204">
        <v>88400</v>
      </c>
      <c r="F641" s="402">
        <f>C641+D641+E641</f>
        <v>88400</v>
      </c>
      <c r="G641" s="401">
        <v>8200</v>
      </c>
      <c r="H641" s="204">
        <v>510300</v>
      </c>
      <c r="I641" s="204">
        <v>202800</v>
      </c>
      <c r="J641" s="402">
        <f t="shared" si="31"/>
        <v>721300</v>
      </c>
      <c r="K641" s="24">
        <f t="shared" si="29"/>
        <v>7.1595022624434392</v>
      </c>
      <c r="L641" s="205" t="str">
        <f t="shared" si="30"/>
        <v/>
      </c>
    </row>
    <row r="642" spans="1:12" x14ac:dyDescent="0.3">
      <c r="A642" s="16" t="s">
        <v>1347</v>
      </c>
      <c r="B642" s="17" t="s">
        <v>1350</v>
      </c>
      <c r="C642" s="401"/>
      <c r="D642" s="204"/>
      <c r="E642" s="204"/>
      <c r="F642" s="402"/>
      <c r="G642" s="401">
        <v>604400</v>
      </c>
      <c r="H642" s="204"/>
      <c r="I642" s="204"/>
      <c r="J642" s="402">
        <f t="shared" si="31"/>
        <v>604400</v>
      </c>
      <c r="K642" s="24">
        <f t="shared" ref="K642:K705" si="33">IF(OR(J642="", F642=""), 0, IFERROR((J642-F642)/F642, IF(J642&lt;&gt;0, 1, 0)))</f>
        <v>0</v>
      </c>
      <c r="L642" s="205" t="str">
        <f t="shared" ref="L642:L705" si="34">IFERROR(_xlfn.RANK.EQ(J642, $J$2:$J$308), "")</f>
        <v/>
      </c>
    </row>
    <row r="643" spans="1:12" x14ac:dyDescent="0.3">
      <c r="A643" s="16" t="s">
        <v>1347</v>
      </c>
      <c r="B643" s="17" t="s">
        <v>724</v>
      </c>
      <c r="C643" s="401"/>
      <c r="D643" s="204"/>
      <c r="E643" s="204"/>
      <c r="F643" s="402"/>
      <c r="G643" s="401">
        <v>49000</v>
      </c>
      <c r="H643" s="204">
        <v>82000</v>
      </c>
      <c r="I643" s="204"/>
      <c r="J643" s="402">
        <f>G643+H643+I643</f>
        <v>131000</v>
      </c>
      <c r="K643" s="24">
        <f t="shared" si="33"/>
        <v>0</v>
      </c>
      <c r="L643" s="205" t="str">
        <f t="shared" si="34"/>
        <v/>
      </c>
    </row>
    <row r="644" spans="1:12" x14ac:dyDescent="0.3">
      <c r="A644" s="16" t="s">
        <v>1347</v>
      </c>
      <c r="B644" s="17" t="s">
        <v>767</v>
      </c>
      <c r="C644" s="401"/>
      <c r="D644" s="204"/>
      <c r="E644" s="204"/>
      <c r="F644" s="402"/>
      <c r="G644" s="401"/>
      <c r="H644" s="204"/>
      <c r="I644" s="204"/>
      <c r="J644" s="402"/>
      <c r="K644" s="24">
        <f t="shared" si="33"/>
        <v>0</v>
      </c>
      <c r="L644" s="205" t="str">
        <f t="shared" si="34"/>
        <v/>
      </c>
    </row>
    <row r="645" spans="1:12" x14ac:dyDescent="0.3">
      <c r="A645" s="16" t="s">
        <v>1347</v>
      </c>
      <c r="B645" s="17" t="s">
        <v>1351</v>
      </c>
      <c r="C645" s="401"/>
      <c r="D645" s="204"/>
      <c r="E645" s="204"/>
      <c r="F645" s="402"/>
      <c r="G645" s="401"/>
      <c r="H645" s="204"/>
      <c r="I645" s="204">
        <v>188400</v>
      </c>
      <c r="J645" s="402">
        <f>G645+H645+I645</f>
        <v>188400</v>
      </c>
      <c r="K645" s="24">
        <f t="shared" si="33"/>
        <v>0</v>
      </c>
      <c r="L645" s="205" t="str">
        <f t="shared" si="34"/>
        <v/>
      </c>
    </row>
    <row r="646" spans="1:12" x14ac:dyDescent="0.3">
      <c r="A646" s="16" t="s">
        <v>1347</v>
      </c>
      <c r="B646" s="17" t="s">
        <v>710</v>
      </c>
      <c r="C646" s="401"/>
      <c r="D646" s="204"/>
      <c r="E646" s="204"/>
      <c r="F646" s="402"/>
      <c r="G646" s="401"/>
      <c r="H646" s="204"/>
      <c r="I646" s="204">
        <v>117400</v>
      </c>
      <c r="J646" s="402">
        <f>G646+H646+I646</f>
        <v>117400</v>
      </c>
      <c r="K646" s="24">
        <f t="shared" si="33"/>
        <v>0</v>
      </c>
      <c r="L646" s="205" t="str">
        <f t="shared" si="34"/>
        <v/>
      </c>
    </row>
    <row r="647" spans="1:12" x14ac:dyDescent="0.3">
      <c r="A647" s="16" t="s">
        <v>1347</v>
      </c>
      <c r="B647" s="17" t="s">
        <v>701</v>
      </c>
      <c r="C647" s="401"/>
      <c r="D647" s="204"/>
      <c r="E647" s="204"/>
      <c r="F647" s="402"/>
      <c r="G647" s="401"/>
      <c r="H647" s="204"/>
      <c r="I647" s="204"/>
      <c r="J647" s="402"/>
      <c r="K647" s="24">
        <f t="shared" si="33"/>
        <v>0</v>
      </c>
      <c r="L647" s="205" t="str">
        <f t="shared" si="34"/>
        <v/>
      </c>
    </row>
    <row r="648" spans="1:12" x14ac:dyDescent="0.3">
      <c r="A648" s="16" t="s">
        <v>1347</v>
      </c>
      <c r="B648" s="17" t="s">
        <v>719</v>
      </c>
      <c r="C648" s="401"/>
      <c r="D648" s="204">
        <v>4897600</v>
      </c>
      <c r="E648" s="204"/>
      <c r="F648" s="402">
        <f>C648+D648+E648</f>
        <v>4897600</v>
      </c>
      <c r="G648" s="401"/>
      <c r="H648" s="204"/>
      <c r="I648" s="204"/>
      <c r="J648" s="402"/>
      <c r="K648" s="24">
        <f t="shared" si="33"/>
        <v>0</v>
      </c>
      <c r="L648" s="205" t="str">
        <f t="shared" si="34"/>
        <v/>
      </c>
    </row>
    <row r="649" spans="1:12" x14ac:dyDescent="0.3">
      <c r="A649" s="16" t="s">
        <v>1347</v>
      </c>
      <c r="B649" s="17" t="s">
        <v>803</v>
      </c>
      <c r="C649" s="401"/>
      <c r="D649" s="204"/>
      <c r="E649" s="204"/>
      <c r="F649" s="402"/>
      <c r="G649" s="401"/>
      <c r="H649" s="204"/>
      <c r="I649" s="204"/>
      <c r="J649" s="402"/>
      <c r="K649" s="24">
        <f t="shared" si="33"/>
        <v>0</v>
      </c>
      <c r="L649" s="205" t="str">
        <f t="shared" si="34"/>
        <v/>
      </c>
    </row>
    <row r="650" spans="1:12" x14ac:dyDescent="0.3">
      <c r="A650" s="16" t="s">
        <v>1347</v>
      </c>
      <c r="B650" s="17" t="s">
        <v>709</v>
      </c>
      <c r="C650" s="401"/>
      <c r="D650" s="204"/>
      <c r="E650" s="204"/>
      <c r="F650" s="402"/>
      <c r="G650" s="401"/>
      <c r="H650" s="204"/>
      <c r="I650" s="204"/>
      <c r="J650" s="402"/>
      <c r="K650" s="24">
        <f t="shared" si="33"/>
        <v>0</v>
      </c>
      <c r="L650" s="205" t="str">
        <f t="shared" si="34"/>
        <v/>
      </c>
    </row>
    <row r="651" spans="1:12" x14ac:dyDescent="0.3">
      <c r="A651" s="16" t="s">
        <v>1347</v>
      </c>
      <c r="B651" s="17" t="s">
        <v>842</v>
      </c>
      <c r="C651" s="401"/>
      <c r="D651" s="204"/>
      <c r="E651" s="204">
        <v>186000</v>
      </c>
      <c r="F651" s="402">
        <f>C651+D651+E651</f>
        <v>186000</v>
      </c>
      <c r="G651" s="401"/>
      <c r="H651" s="204"/>
      <c r="I651" s="204"/>
      <c r="J651" s="402"/>
      <c r="K651" s="24">
        <f t="shared" si="33"/>
        <v>0</v>
      </c>
      <c r="L651" s="205" t="str">
        <f t="shared" si="34"/>
        <v/>
      </c>
    </row>
    <row r="652" spans="1:12" x14ac:dyDescent="0.3">
      <c r="A652" s="16" t="s">
        <v>1347</v>
      </c>
      <c r="B652" s="17" t="s">
        <v>808</v>
      </c>
      <c r="C652" s="401"/>
      <c r="D652" s="204"/>
      <c r="E652" s="204"/>
      <c r="F652" s="402"/>
      <c r="G652" s="401"/>
      <c r="H652" s="204"/>
      <c r="I652" s="204"/>
      <c r="J652" s="402"/>
      <c r="K652" s="24">
        <f t="shared" si="33"/>
        <v>0</v>
      </c>
      <c r="L652" s="205" t="str">
        <f t="shared" si="34"/>
        <v/>
      </c>
    </row>
    <row r="653" spans="1:12" x14ac:dyDescent="0.3">
      <c r="A653" s="16" t="s">
        <v>1347</v>
      </c>
      <c r="B653" s="17" t="s">
        <v>815</v>
      </c>
      <c r="C653" s="401"/>
      <c r="D653" s="204"/>
      <c r="E653" s="204">
        <v>144800</v>
      </c>
      <c r="F653" s="402">
        <f>C653+D653+E653</f>
        <v>144800</v>
      </c>
      <c r="G653" s="401"/>
      <c r="H653" s="204"/>
      <c r="I653" s="204"/>
      <c r="J653" s="402"/>
      <c r="K653" s="24">
        <f t="shared" si="33"/>
        <v>0</v>
      </c>
      <c r="L653" s="205" t="str">
        <f t="shared" si="34"/>
        <v/>
      </c>
    </row>
    <row r="654" spans="1:12" x14ac:dyDescent="0.3">
      <c r="A654" s="16" t="s">
        <v>1347</v>
      </c>
      <c r="B654" s="17" t="s">
        <v>805</v>
      </c>
      <c r="C654" s="401"/>
      <c r="D654" s="204"/>
      <c r="E654" s="204">
        <v>159600</v>
      </c>
      <c r="F654" s="402">
        <f>C654+D654+E654</f>
        <v>159600</v>
      </c>
      <c r="G654" s="401"/>
      <c r="H654" s="204"/>
      <c r="I654" s="204"/>
      <c r="J654" s="402"/>
      <c r="K654" s="24">
        <f t="shared" si="33"/>
        <v>0</v>
      </c>
      <c r="L654" s="205" t="str">
        <f t="shared" si="34"/>
        <v/>
      </c>
    </row>
    <row r="655" spans="1:12" x14ac:dyDescent="0.3">
      <c r="A655" s="16" t="s">
        <v>1347</v>
      </c>
      <c r="B655" s="17" t="s">
        <v>447</v>
      </c>
      <c r="C655" s="401"/>
      <c r="D655" s="204"/>
      <c r="E655" s="204">
        <v>328000</v>
      </c>
      <c r="F655" s="402">
        <f>C655+D655+E655</f>
        <v>328000</v>
      </c>
      <c r="G655" s="401"/>
      <c r="H655" s="204"/>
      <c r="I655" s="204"/>
      <c r="J655" s="402"/>
      <c r="K655" s="24">
        <f t="shared" si="33"/>
        <v>0</v>
      </c>
      <c r="L655" s="205" t="str">
        <f t="shared" si="34"/>
        <v/>
      </c>
    </row>
    <row r="656" spans="1:12" x14ac:dyDescent="0.3">
      <c r="A656" s="16" t="s">
        <v>1347</v>
      </c>
      <c r="B656" s="17" t="s">
        <v>816</v>
      </c>
      <c r="C656" s="401"/>
      <c r="D656" s="204"/>
      <c r="E656" s="204"/>
      <c r="F656" s="402"/>
      <c r="G656" s="401"/>
      <c r="H656" s="204"/>
      <c r="I656" s="204"/>
      <c r="J656" s="402"/>
      <c r="K656" s="24">
        <f t="shared" si="33"/>
        <v>0</v>
      </c>
      <c r="L656" s="205" t="str">
        <f t="shared" si="34"/>
        <v/>
      </c>
    </row>
    <row r="657" spans="1:12" x14ac:dyDescent="0.3">
      <c r="A657" s="16" t="s">
        <v>1347</v>
      </c>
      <c r="B657" s="17" t="s">
        <v>1161</v>
      </c>
      <c r="C657" s="401"/>
      <c r="D657" s="204"/>
      <c r="E657" s="204">
        <v>186000</v>
      </c>
      <c r="F657" s="402">
        <f>C657+D657+E657</f>
        <v>186000</v>
      </c>
      <c r="G657" s="401"/>
      <c r="H657" s="204"/>
      <c r="I657" s="204"/>
      <c r="J657" s="402"/>
      <c r="K657" s="24">
        <f t="shared" si="33"/>
        <v>0</v>
      </c>
      <c r="L657" s="205" t="str">
        <f t="shared" si="34"/>
        <v/>
      </c>
    </row>
    <row r="658" spans="1:12" x14ac:dyDescent="0.3">
      <c r="A658" s="16" t="s">
        <v>1347</v>
      </c>
      <c r="B658" s="17" t="s">
        <v>823</v>
      </c>
      <c r="C658" s="401"/>
      <c r="D658" s="204"/>
      <c r="E658" s="204"/>
      <c r="F658" s="402"/>
      <c r="G658" s="401"/>
      <c r="H658" s="204"/>
      <c r="I658" s="204"/>
      <c r="J658" s="402"/>
      <c r="K658" s="24">
        <f t="shared" si="33"/>
        <v>0</v>
      </c>
      <c r="L658" s="205" t="str">
        <f t="shared" si="34"/>
        <v/>
      </c>
    </row>
    <row r="659" spans="1:12" x14ac:dyDescent="0.3">
      <c r="A659" s="16" t="s">
        <v>1347</v>
      </c>
      <c r="B659" s="17" t="s">
        <v>1352</v>
      </c>
      <c r="C659" s="401"/>
      <c r="D659" s="204"/>
      <c r="E659" s="204"/>
      <c r="F659" s="402"/>
      <c r="G659" s="401"/>
      <c r="H659" s="204"/>
      <c r="I659" s="204"/>
      <c r="J659" s="402"/>
      <c r="K659" s="24">
        <f t="shared" si="33"/>
        <v>0</v>
      </c>
      <c r="L659" s="205" t="str">
        <f t="shared" si="34"/>
        <v/>
      </c>
    </row>
    <row r="660" spans="1:12" x14ac:dyDescent="0.3">
      <c r="A660" s="16" t="s">
        <v>1347</v>
      </c>
      <c r="B660" s="17" t="s">
        <v>854</v>
      </c>
      <c r="C660" s="401"/>
      <c r="D660" s="204"/>
      <c r="E660" s="204"/>
      <c r="F660" s="402"/>
      <c r="G660" s="401"/>
      <c r="H660" s="204"/>
      <c r="I660" s="204"/>
      <c r="J660" s="402"/>
      <c r="K660" s="24">
        <f t="shared" si="33"/>
        <v>0</v>
      </c>
      <c r="L660" s="205" t="str">
        <f t="shared" si="34"/>
        <v/>
      </c>
    </row>
    <row r="661" spans="1:12" x14ac:dyDescent="0.3">
      <c r="A661" s="16" t="s">
        <v>1347</v>
      </c>
      <c r="B661" s="17" t="s">
        <v>1010</v>
      </c>
      <c r="C661" s="401"/>
      <c r="D661" s="204"/>
      <c r="E661" s="204">
        <v>84000</v>
      </c>
      <c r="F661" s="402">
        <f>C661+D661+E661</f>
        <v>84000</v>
      </c>
      <c r="G661" s="401"/>
      <c r="H661" s="204"/>
      <c r="I661" s="204"/>
      <c r="J661" s="402"/>
      <c r="K661" s="24">
        <f t="shared" si="33"/>
        <v>0</v>
      </c>
      <c r="L661" s="205" t="str">
        <f t="shared" si="34"/>
        <v/>
      </c>
    </row>
    <row r="662" spans="1:12" x14ac:dyDescent="0.3">
      <c r="A662" s="315" t="s">
        <v>1004</v>
      </c>
      <c r="B662" s="316" t="s">
        <v>1353</v>
      </c>
      <c r="C662" s="422"/>
      <c r="D662" s="224"/>
      <c r="E662" s="224"/>
      <c r="F662" s="423"/>
      <c r="G662" s="422"/>
      <c r="H662" s="224"/>
      <c r="I662" s="224">
        <v>1550950</v>
      </c>
      <c r="J662" s="423">
        <f>G662+H662+I662</f>
        <v>1550950</v>
      </c>
      <c r="K662" s="158">
        <f t="shared" si="33"/>
        <v>0</v>
      </c>
      <c r="L662" s="225" t="str">
        <f t="shared" si="34"/>
        <v/>
      </c>
    </row>
    <row r="663" spans="1:12" x14ac:dyDescent="0.3">
      <c r="A663" s="315" t="s">
        <v>1004</v>
      </c>
      <c r="B663" s="316" t="s">
        <v>980</v>
      </c>
      <c r="C663" s="422"/>
      <c r="D663" s="224"/>
      <c r="E663" s="224"/>
      <c r="F663" s="423"/>
      <c r="G663" s="422">
        <v>799600</v>
      </c>
      <c r="H663" s="224">
        <v>348800</v>
      </c>
      <c r="I663" s="224">
        <v>377000</v>
      </c>
      <c r="J663" s="423">
        <f>G663+H663+I663</f>
        <v>1525400</v>
      </c>
      <c r="K663" s="158">
        <f t="shared" si="33"/>
        <v>0</v>
      </c>
      <c r="L663" s="225" t="str">
        <f t="shared" si="34"/>
        <v/>
      </c>
    </row>
    <row r="664" spans="1:12" x14ac:dyDescent="0.3">
      <c r="A664" s="315" t="s">
        <v>1004</v>
      </c>
      <c r="B664" s="316" t="s">
        <v>1354</v>
      </c>
      <c r="C664" s="422"/>
      <c r="D664" s="224"/>
      <c r="E664" s="224"/>
      <c r="F664" s="423"/>
      <c r="G664" s="422"/>
      <c r="H664" s="224"/>
      <c r="I664" s="224"/>
      <c r="J664" s="423"/>
      <c r="K664" s="158">
        <f t="shared" si="33"/>
        <v>0</v>
      </c>
      <c r="L664" s="225" t="str">
        <f t="shared" si="34"/>
        <v/>
      </c>
    </row>
    <row r="665" spans="1:12" x14ac:dyDescent="0.3">
      <c r="A665" s="315" t="s">
        <v>1004</v>
      </c>
      <c r="B665" s="316" t="s">
        <v>888</v>
      </c>
      <c r="C665" s="422"/>
      <c r="D665" s="224"/>
      <c r="E665" s="224"/>
      <c r="F665" s="423"/>
      <c r="G665" s="422"/>
      <c r="H665" s="224"/>
      <c r="I665" s="224"/>
      <c r="J665" s="423"/>
      <c r="K665" s="158">
        <f t="shared" si="33"/>
        <v>0</v>
      </c>
      <c r="L665" s="225" t="str">
        <f t="shared" si="34"/>
        <v/>
      </c>
    </row>
    <row r="666" spans="1:12" x14ac:dyDescent="0.3">
      <c r="A666" s="317" t="s">
        <v>1355</v>
      </c>
      <c r="B666" s="318" t="s">
        <v>1356</v>
      </c>
      <c r="C666" s="424"/>
      <c r="D666" s="226"/>
      <c r="E666" s="226"/>
      <c r="F666" s="425"/>
      <c r="G666" s="424">
        <v>1229000</v>
      </c>
      <c r="H666" s="226">
        <v>105500</v>
      </c>
      <c r="I666" s="226">
        <v>1035100</v>
      </c>
      <c r="J666" s="425">
        <f>G666+H666+I666</f>
        <v>2369600</v>
      </c>
      <c r="K666" s="159">
        <f t="shared" si="33"/>
        <v>0</v>
      </c>
      <c r="L666" s="227" t="str">
        <f t="shared" si="34"/>
        <v/>
      </c>
    </row>
    <row r="667" spans="1:12" x14ac:dyDescent="0.3">
      <c r="A667" s="317" t="s">
        <v>1355</v>
      </c>
      <c r="B667" s="318" t="s">
        <v>1042</v>
      </c>
      <c r="C667" s="424"/>
      <c r="D667" s="226"/>
      <c r="E667" s="226"/>
      <c r="F667" s="425"/>
      <c r="G667" s="424">
        <v>92300</v>
      </c>
      <c r="H667" s="226"/>
      <c r="I667" s="226"/>
      <c r="J667" s="425">
        <f>G667+H667+I667</f>
        <v>92300</v>
      </c>
      <c r="K667" s="159">
        <f t="shared" si="33"/>
        <v>0</v>
      </c>
      <c r="L667" s="227" t="str">
        <f t="shared" si="34"/>
        <v/>
      </c>
    </row>
    <row r="668" spans="1:12" x14ac:dyDescent="0.3">
      <c r="A668" s="317" t="s">
        <v>1355</v>
      </c>
      <c r="B668" s="318" t="s">
        <v>1316</v>
      </c>
      <c r="C668" s="424"/>
      <c r="D668" s="226"/>
      <c r="E668" s="226"/>
      <c r="F668" s="425"/>
      <c r="G668" s="424"/>
      <c r="H668" s="226"/>
      <c r="I668" s="226"/>
      <c r="J668" s="425"/>
      <c r="K668" s="159">
        <f t="shared" si="33"/>
        <v>0</v>
      </c>
      <c r="L668" s="227" t="str">
        <f t="shared" si="34"/>
        <v/>
      </c>
    </row>
    <row r="669" spans="1:12" x14ac:dyDescent="0.3">
      <c r="A669" s="317" t="s">
        <v>1355</v>
      </c>
      <c r="B669" s="318" t="s">
        <v>1339</v>
      </c>
      <c r="C669" s="424"/>
      <c r="D669" s="226"/>
      <c r="E669" s="226"/>
      <c r="F669" s="425"/>
      <c r="G669" s="424"/>
      <c r="H669" s="226"/>
      <c r="I669" s="226"/>
      <c r="J669" s="425"/>
      <c r="K669" s="159">
        <f t="shared" si="33"/>
        <v>0</v>
      </c>
      <c r="L669" s="227" t="str">
        <f t="shared" si="34"/>
        <v/>
      </c>
    </row>
    <row r="670" spans="1:12" x14ac:dyDescent="0.3">
      <c r="A670" s="317" t="s">
        <v>1355</v>
      </c>
      <c r="B670" s="318" t="s">
        <v>1324</v>
      </c>
      <c r="C670" s="424">
        <v>192300</v>
      </c>
      <c r="D670" s="226">
        <v>34000</v>
      </c>
      <c r="E670" s="226"/>
      <c r="F670" s="425">
        <f>C670+D670+E670</f>
        <v>226300</v>
      </c>
      <c r="G670" s="424"/>
      <c r="H670" s="226"/>
      <c r="I670" s="226"/>
      <c r="J670" s="425"/>
      <c r="K670" s="159">
        <f t="shared" si="33"/>
        <v>0</v>
      </c>
      <c r="L670" s="227" t="str">
        <f t="shared" si="34"/>
        <v/>
      </c>
    </row>
    <row r="671" spans="1:12" x14ac:dyDescent="0.3">
      <c r="A671" s="317" t="s">
        <v>1355</v>
      </c>
      <c r="B671" s="318" t="s">
        <v>1357</v>
      </c>
      <c r="C671" s="424">
        <v>348200</v>
      </c>
      <c r="D671" s="226">
        <v>21800</v>
      </c>
      <c r="E671" s="226"/>
      <c r="F671" s="425">
        <f>C671+D671+E671</f>
        <v>370000</v>
      </c>
      <c r="G671" s="424"/>
      <c r="H671" s="226"/>
      <c r="I671" s="226"/>
      <c r="J671" s="425"/>
      <c r="K671" s="159">
        <f t="shared" si="33"/>
        <v>0</v>
      </c>
      <c r="L671" s="227" t="str">
        <f t="shared" si="34"/>
        <v/>
      </c>
    </row>
    <row r="672" spans="1:12" x14ac:dyDescent="0.3">
      <c r="A672" s="319" t="s">
        <v>1358</v>
      </c>
      <c r="B672" s="320" t="s">
        <v>1359</v>
      </c>
      <c r="C672" s="426"/>
      <c r="D672" s="228"/>
      <c r="E672" s="228"/>
      <c r="F672" s="427"/>
      <c r="G672" s="426"/>
      <c r="H672" s="228">
        <v>656000</v>
      </c>
      <c r="I672" s="228"/>
      <c r="J672" s="427">
        <f>G672+H672+I672</f>
        <v>656000</v>
      </c>
      <c r="K672" s="160">
        <f t="shared" si="33"/>
        <v>0</v>
      </c>
      <c r="L672" s="229" t="str">
        <f t="shared" si="34"/>
        <v/>
      </c>
    </row>
    <row r="673" spans="1:12" x14ac:dyDescent="0.3">
      <c r="A673" s="319" t="s">
        <v>1358</v>
      </c>
      <c r="B673" s="320" t="s">
        <v>1156</v>
      </c>
      <c r="C673" s="426"/>
      <c r="D673" s="228"/>
      <c r="E673" s="228"/>
      <c r="F673" s="427"/>
      <c r="G673" s="426"/>
      <c r="H673" s="228"/>
      <c r="I673" s="228"/>
      <c r="J673" s="427"/>
      <c r="K673" s="160">
        <f t="shared" si="33"/>
        <v>0</v>
      </c>
      <c r="L673" s="229" t="str">
        <f t="shared" si="34"/>
        <v/>
      </c>
    </row>
    <row r="674" spans="1:12" x14ac:dyDescent="0.3">
      <c r="A674" s="319" t="s">
        <v>1358</v>
      </c>
      <c r="B674" s="320" t="s">
        <v>888</v>
      </c>
      <c r="C674" s="426"/>
      <c r="D674" s="228"/>
      <c r="E674" s="228"/>
      <c r="F674" s="427"/>
      <c r="G674" s="426">
        <v>22000</v>
      </c>
      <c r="H674" s="228"/>
      <c r="I674" s="228"/>
      <c r="J674" s="427">
        <f t="shared" ref="J674:J681" si="35">G674+H674+I674</f>
        <v>22000</v>
      </c>
      <c r="K674" s="160">
        <f t="shared" si="33"/>
        <v>0</v>
      </c>
      <c r="L674" s="229" t="str">
        <f t="shared" si="34"/>
        <v/>
      </c>
    </row>
    <row r="675" spans="1:12" x14ac:dyDescent="0.3">
      <c r="A675" s="321" t="s">
        <v>1360</v>
      </c>
      <c r="B675" s="322" t="s">
        <v>1332</v>
      </c>
      <c r="C675" s="428"/>
      <c r="D675" s="230"/>
      <c r="E675" s="230"/>
      <c r="F675" s="429"/>
      <c r="G675" s="428">
        <v>829450</v>
      </c>
      <c r="H675" s="230">
        <v>468020</v>
      </c>
      <c r="I675" s="230">
        <v>924690</v>
      </c>
      <c r="J675" s="429">
        <f t="shared" si="35"/>
        <v>2222160</v>
      </c>
      <c r="K675" s="161">
        <f t="shared" si="33"/>
        <v>0</v>
      </c>
      <c r="L675" s="231" t="str">
        <f t="shared" si="34"/>
        <v/>
      </c>
    </row>
    <row r="676" spans="1:12" x14ac:dyDescent="0.3">
      <c r="A676" s="323" t="s">
        <v>1361</v>
      </c>
      <c r="B676" s="324" t="s">
        <v>1117</v>
      </c>
      <c r="C676" s="430"/>
      <c r="D676" s="232"/>
      <c r="E676" s="232"/>
      <c r="F676" s="431"/>
      <c r="G676" s="430"/>
      <c r="H676" s="232"/>
      <c r="I676" s="232">
        <v>89000</v>
      </c>
      <c r="J676" s="431">
        <f t="shared" si="35"/>
        <v>89000</v>
      </c>
      <c r="K676" s="162">
        <f t="shared" si="33"/>
        <v>0</v>
      </c>
      <c r="L676" s="233" t="str">
        <f t="shared" si="34"/>
        <v/>
      </c>
    </row>
    <row r="677" spans="1:12" x14ac:dyDescent="0.3">
      <c r="A677" s="323" t="s">
        <v>1361</v>
      </c>
      <c r="B677" s="324" t="s">
        <v>1362</v>
      </c>
      <c r="C677" s="430"/>
      <c r="D677" s="232"/>
      <c r="E677" s="232"/>
      <c r="F677" s="431"/>
      <c r="G677" s="430">
        <v>137500</v>
      </c>
      <c r="H677" s="232"/>
      <c r="I677" s="232">
        <v>135500</v>
      </c>
      <c r="J677" s="431">
        <f t="shared" si="35"/>
        <v>273000</v>
      </c>
      <c r="K677" s="162">
        <f t="shared" si="33"/>
        <v>0</v>
      </c>
      <c r="L677" s="233" t="str">
        <f t="shared" si="34"/>
        <v/>
      </c>
    </row>
    <row r="678" spans="1:12" x14ac:dyDescent="0.3">
      <c r="A678" s="323" t="s">
        <v>1361</v>
      </c>
      <c r="B678" s="324" t="s">
        <v>1363</v>
      </c>
      <c r="C678" s="430"/>
      <c r="D678" s="232"/>
      <c r="E678" s="232">
        <v>321500</v>
      </c>
      <c r="F678" s="431">
        <f>C678+D678+E678</f>
        <v>321500</v>
      </c>
      <c r="G678" s="430">
        <v>127500</v>
      </c>
      <c r="H678" s="232">
        <v>178000</v>
      </c>
      <c r="I678" s="232">
        <v>535500</v>
      </c>
      <c r="J678" s="431">
        <f t="shared" si="35"/>
        <v>841000</v>
      </c>
      <c r="K678" s="162">
        <f t="shared" si="33"/>
        <v>1.6158631415241058</v>
      </c>
      <c r="L678" s="233" t="str">
        <f t="shared" si="34"/>
        <v/>
      </c>
    </row>
    <row r="679" spans="1:12" x14ac:dyDescent="0.3">
      <c r="A679" s="323" t="s">
        <v>1361</v>
      </c>
      <c r="B679" s="324" t="s">
        <v>1136</v>
      </c>
      <c r="C679" s="430"/>
      <c r="D679" s="232"/>
      <c r="E679" s="232">
        <v>87500</v>
      </c>
      <c r="F679" s="431">
        <f>C679+D679+E679</f>
        <v>87500</v>
      </c>
      <c r="G679" s="430">
        <v>495000</v>
      </c>
      <c r="H679" s="232"/>
      <c r="I679" s="232"/>
      <c r="J679" s="431">
        <f t="shared" si="35"/>
        <v>495000</v>
      </c>
      <c r="K679" s="162">
        <f t="shared" si="33"/>
        <v>4.6571428571428575</v>
      </c>
      <c r="L679" s="233" t="str">
        <f t="shared" si="34"/>
        <v/>
      </c>
    </row>
    <row r="680" spans="1:12" x14ac:dyDescent="0.3">
      <c r="A680" s="325" t="s">
        <v>1364</v>
      </c>
      <c r="B680" s="326" t="s">
        <v>1193</v>
      </c>
      <c r="C680" s="432" t="s">
        <v>251</v>
      </c>
      <c r="D680" s="234" t="s">
        <v>251</v>
      </c>
      <c r="E680" s="234" t="s">
        <v>251</v>
      </c>
      <c r="F680" s="433"/>
      <c r="G680" s="432"/>
      <c r="H680" s="234">
        <v>2072200</v>
      </c>
      <c r="I680" s="234">
        <v>639000</v>
      </c>
      <c r="J680" s="433">
        <f t="shared" si="35"/>
        <v>2711200</v>
      </c>
      <c r="K680" s="163">
        <f t="shared" si="33"/>
        <v>0</v>
      </c>
      <c r="L680" s="235" t="str">
        <f t="shared" si="34"/>
        <v/>
      </c>
    </row>
    <row r="681" spans="1:12" x14ac:dyDescent="0.3">
      <c r="A681" s="325" t="s">
        <v>1364</v>
      </c>
      <c r="B681" s="326" t="s">
        <v>1281</v>
      </c>
      <c r="C681" s="432" t="s">
        <v>251</v>
      </c>
      <c r="D681" s="234" t="s">
        <v>251</v>
      </c>
      <c r="E681" s="234" t="s">
        <v>251</v>
      </c>
      <c r="F681" s="433"/>
      <c r="G681" s="432">
        <v>619500</v>
      </c>
      <c r="H681" s="234"/>
      <c r="I681" s="234"/>
      <c r="J681" s="433">
        <f t="shared" si="35"/>
        <v>619500</v>
      </c>
      <c r="K681" s="163">
        <f t="shared" si="33"/>
        <v>0</v>
      </c>
      <c r="L681" s="235" t="str">
        <f t="shared" si="34"/>
        <v/>
      </c>
    </row>
    <row r="682" spans="1:12" x14ac:dyDescent="0.3">
      <c r="A682" s="325" t="s">
        <v>1364</v>
      </c>
      <c r="B682" s="326" t="s">
        <v>1365</v>
      </c>
      <c r="C682" s="432" t="s">
        <v>251</v>
      </c>
      <c r="D682" s="234" t="s">
        <v>251</v>
      </c>
      <c r="E682" s="234" t="s">
        <v>251</v>
      </c>
      <c r="F682" s="433"/>
      <c r="G682" s="432"/>
      <c r="H682" s="234"/>
      <c r="I682" s="234"/>
      <c r="J682" s="433"/>
      <c r="K682" s="163">
        <f t="shared" si="33"/>
        <v>0</v>
      </c>
      <c r="L682" s="235" t="str">
        <f t="shared" si="34"/>
        <v/>
      </c>
    </row>
    <row r="683" spans="1:12" x14ac:dyDescent="0.3">
      <c r="A683" s="327" t="s">
        <v>693</v>
      </c>
      <c r="B683" s="328" t="s">
        <v>693</v>
      </c>
      <c r="C683" s="434" t="s">
        <v>251</v>
      </c>
      <c r="D683" s="236" t="s">
        <v>251</v>
      </c>
      <c r="E683" s="236" t="s">
        <v>251</v>
      </c>
      <c r="F683" s="435"/>
      <c r="G683" s="434">
        <v>1038100</v>
      </c>
      <c r="H683" s="236">
        <v>463150</v>
      </c>
      <c r="I683" s="236">
        <v>596750</v>
      </c>
      <c r="J683" s="435">
        <f>G683+H683+I683</f>
        <v>2098000</v>
      </c>
      <c r="K683" s="164">
        <f t="shared" si="33"/>
        <v>0</v>
      </c>
      <c r="L683" s="237" t="str">
        <f t="shared" si="34"/>
        <v/>
      </c>
    </row>
    <row r="684" spans="1:12" x14ac:dyDescent="0.3">
      <c r="A684" s="327" t="s">
        <v>693</v>
      </c>
      <c r="B684" s="328" t="s">
        <v>694</v>
      </c>
      <c r="C684" s="434" t="s">
        <v>251</v>
      </c>
      <c r="D684" s="236" t="s">
        <v>251</v>
      </c>
      <c r="E684" s="236" t="s">
        <v>251</v>
      </c>
      <c r="F684" s="435"/>
      <c r="G684" s="434">
        <v>0</v>
      </c>
      <c r="H684" s="236">
        <v>41100</v>
      </c>
      <c r="I684" s="236"/>
      <c r="J684" s="435">
        <f>G684+H684+I684</f>
        <v>41100</v>
      </c>
      <c r="K684" s="164">
        <f t="shared" si="33"/>
        <v>0</v>
      </c>
      <c r="L684" s="237" t="str">
        <f t="shared" si="34"/>
        <v/>
      </c>
    </row>
    <row r="685" spans="1:12" x14ac:dyDescent="0.3">
      <c r="A685" s="329" t="s">
        <v>1366</v>
      </c>
      <c r="B685" s="330" t="s">
        <v>1367</v>
      </c>
      <c r="C685" s="436"/>
      <c r="D685" s="238">
        <v>886000</v>
      </c>
      <c r="E685" s="238"/>
      <c r="F685" s="437">
        <f>C685+D685+E685</f>
        <v>886000</v>
      </c>
      <c r="G685" s="436">
        <v>1213600</v>
      </c>
      <c r="H685" s="238"/>
      <c r="I685" s="238"/>
      <c r="J685" s="437">
        <f>G685+H685+I685</f>
        <v>1213600</v>
      </c>
      <c r="K685" s="165">
        <f t="shared" si="33"/>
        <v>0.36975169300225735</v>
      </c>
      <c r="L685" s="239" t="str">
        <f t="shared" si="34"/>
        <v/>
      </c>
    </row>
    <row r="686" spans="1:12" x14ac:dyDescent="0.3">
      <c r="A686" s="329" t="s">
        <v>1366</v>
      </c>
      <c r="B686" s="330" t="s">
        <v>1366</v>
      </c>
      <c r="C686" s="436">
        <v>20736160</v>
      </c>
      <c r="D686" s="238"/>
      <c r="E686" s="238">
        <v>1437210</v>
      </c>
      <c r="F686" s="437">
        <f>C686+D686+E686</f>
        <v>22173370</v>
      </c>
      <c r="G686" s="436" t="s">
        <v>251</v>
      </c>
      <c r="H686" s="238" t="s">
        <v>251</v>
      </c>
      <c r="I686" s="238" t="s">
        <v>251</v>
      </c>
      <c r="J686" s="437"/>
      <c r="K686" s="165">
        <f t="shared" si="33"/>
        <v>0</v>
      </c>
      <c r="L686" s="239" t="str">
        <f t="shared" si="34"/>
        <v/>
      </c>
    </row>
    <row r="687" spans="1:12" x14ac:dyDescent="0.3">
      <c r="A687" s="331" t="s">
        <v>1368</v>
      </c>
      <c r="B687" s="332" t="s">
        <v>1198</v>
      </c>
      <c r="C687" s="438">
        <v>735700</v>
      </c>
      <c r="D687" s="240"/>
      <c r="E687" s="240"/>
      <c r="F687" s="439">
        <f>C687+D687+E687</f>
        <v>735700</v>
      </c>
      <c r="G687" s="438">
        <v>477800</v>
      </c>
      <c r="H687" s="240"/>
      <c r="I687" s="240"/>
      <c r="J687" s="439">
        <f>G687+H687+I687</f>
        <v>477800</v>
      </c>
      <c r="K687" s="166">
        <f t="shared" si="33"/>
        <v>-0.35055049612613837</v>
      </c>
      <c r="L687" s="241" t="str">
        <f t="shared" si="34"/>
        <v/>
      </c>
    </row>
    <row r="688" spans="1:12" x14ac:dyDescent="0.3">
      <c r="A688" s="331" t="s">
        <v>1368</v>
      </c>
      <c r="B688" s="332" t="s">
        <v>1369</v>
      </c>
      <c r="C688" s="438">
        <v>19400</v>
      </c>
      <c r="D688" s="240"/>
      <c r="E688" s="240">
        <v>23000</v>
      </c>
      <c r="F688" s="439">
        <f>C688+D688+E688</f>
        <v>42400</v>
      </c>
      <c r="G688" s="438">
        <v>341800</v>
      </c>
      <c r="H688" s="240">
        <v>101900</v>
      </c>
      <c r="I688" s="240">
        <v>171800</v>
      </c>
      <c r="J688" s="439">
        <f>G688+H688+I688</f>
        <v>615500</v>
      </c>
      <c r="K688" s="166">
        <f t="shared" si="33"/>
        <v>13.516509433962264</v>
      </c>
      <c r="L688" s="241" t="str">
        <f t="shared" si="34"/>
        <v/>
      </c>
    </row>
    <row r="689" spans="1:12" x14ac:dyDescent="0.3">
      <c r="A689" s="331" t="s">
        <v>1368</v>
      </c>
      <c r="B689" s="332" t="s">
        <v>1370</v>
      </c>
      <c r="C689" s="438"/>
      <c r="D689" s="240"/>
      <c r="E689" s="240"/>
      <c r="F689" s="439"/>
      <c r="G689" s="438"/>
      <c r="H689" s="240"/>
      <c r="I689" s="240"/>
      <c r="J689" s="439"/>
      <c r="K689" s="166">
        <f t="shared" si="33"/>
        <v>0</v>
      </c>
      <c r="L689" s="241" t="str">
        <f t="shared" si="34"/>
        <v/>
      </c>
    </row>
    <row r="690" spans="1:12" x14ac:dyDescent="0.3">
      <c r="A690" s="331" t="s">
        <v>1368</v>
      </c>
      <c r="B690" s="332" t="s">
        <v>1371</v>
      </c>
      <c r="C690" s="438"/>
      <c r="D690" s="240"/>
      <c r="E690" s="240"/>
      <c r="F690" s="439"/>
      <c r="G690" s="438"/>
      <c r="H690" s="240"/>
      <c r="I690" s="240"/>
      <c r="J690" s="439"/>
      <c r="K690" s="166">
        <f t="shared" si="33"/>
        <v>0</v>
      </c>
      <c r="L690" s="241" t="str">
        <f t="shared" si="34"/>
        <v/>
      </c>
    </row>
    <row r="691" spans="1:12" x14ac:dyDescent="0.3">
      <c r="A691" s="331" t="s">
        <v>1368</v>
      </c>
      <c r="B691" s="332" t="s">
        <v>394</v>
      </c>
      <c r="C691" s="438">
        <v>80000</v>
      </c>
      <c r="D691" s="240"/>
      <c r="E691" s="240"/>
      <c r="F691" s="439">
        <f>C691+D691+E691</f>
        <v>80000</v>
      </c>
      <c r="G691" s="438"/>
      <c r="H691" s="240"/>
      <c r="I691" s="240"/>
      <c r="J691" s="439"/>
      <c r="K691" s="166">
        <f t="shared" si="33"/>
        <v>0</v>
      </c>
      <c r="L691" s="241" t="str">
        <f t="shared" si="34"/>
        <v/>
      </c>
    </row>
    <row r="692" spans="1:12" x14ac:dyDescent="0.3">
      <c r="A692" s="331" t="s">
        <v>1368</v>
      </c>
      <c r="B692" s="332" t="s">
        <v>1372</v>
      </c>
      <c r="C692" s="438"/>
      <c r="D692" s="240"/>
      <c r="E692" s="240"/>
      <c r="F692" s="439"/>
      <c r="G692" s="438"/>
      <c r="H692" s="240"/>
      <c r="I692" s="240"/>
      <c r="J692" s="439"/>
      <c r="K692" s="166">
        <f t="shared" si="33"/>
        <v>0</v>
      </c>
      <c r="L692" s="241" t="str">
        <f t="shared" si="34"/>
        <v/>
      </c>
    </row>
    <row r="693" spans="1:12" x14ac:dyDescent="0.3">
      <c r="A693" s="331" t="s">
        <v>1368</v>
      </c>
      <c r="B693" s="332" t="s">
        <v>1373</v>
      </c>
      <c r="C693" s="438"/>
      <c r="D693" s="240"/>
      <c r="E693" s="240"/>
      <c r="F693" s="439"/>
      <c r="G693" s="438"/>
      <c r="H693" s="240"/>
      <c r="I693" s="240"/>
      <c r="J693" s="439"/>
      <c r="K693" s="166">
        <f t="shared" si="33"/>
        <v>0</v>
      </c>
      <c r="L693" s="241" t="str">
        <f t="shared" si="34"/>
        <v/>
      </c>
    </row>
    <row r="694" spans="1:12" x14ac:dyDescent="0.3">
      <c r="A694" s="331" t="s">
        <v>1368</v>
      </c>
      <c r="B694" s="332" t="s">
        <v>1374</v>
      </c>
      <c r="C694" s="438"/>
      <c r="D694" s="240"/>
      <c r="E694" s="240"/>
      <c r="F694" s="439"/>
      <c r="G694" s="438"/>
      <c r="H694" s="240"/>
      <c r="I694" s="240"/>
      <c r="J694" s="439"/>
      <c r="K694" s="166">
        <f t="shared" si="33"/>
        <v>0</v>
      </c>
      <c r="L694" s="241" t="str">
        <f t="shared" si="34"/>
        <v/>
      </c>
    </row>
    <row r="695" spans="1:12" x14ac:dyDescent="0.3">
      <c r="A695" s="333" t="s">
        <v>1375</v>
      </c>
      <c r="B695" s="334" t="s">
        <v>1287</v>
      </c>
      <c r="C695" s="440"/>
      <c r="D695" s="242"/>
      <c r="E695" s="242"/>
      <c r="F695" s="441"/>
      <c r="G695" s="440"/>
      <c r="H695" s="242">
        <v>156300</v>
      </c>
      <c r="I695" s="242">
        <v>177900</v>
      </c>
      <c r="J695" s="441">
        <f>G695+H695+I695</f>
        <v>334200</v>
      </c>
      <c r="K695" s="167">
        <f t="shared" si="33"/>
        <v>0</v>
      </c>
      <c r="L695" s="243" t="str">
        <f t="shared" si="34"/>
        <v/>
      </c>
    </row>
    <row r="696" spans="1:12" x14ac:dyDescent="0.3">
      <c r="A696" s="333" t="s">
        <v>1375</v>
      </c>
      <c r="B696" s="334" t="s">
        <v>1376</v>
      </c>
      <c r="C696" s="440"/>
      <c r="D696" s="242"/>
      <c r="E696" s="242"/>
      <c r="F696" s="441"/>
      <c r="G696" s="440">
        <v>197300</v>
      </c>
      <c r="H696" s="242"/>
      <c r="I696" s="242"/>
      <c r="J696" s="441">
        <f>G696+H696+I696</f>
        <v>197300</v>
      </c>
      <c r="K696" s="167">
        <f t="shared" si="33"/>
        <v>0</v>
      </c>
      <c r="L696" s="243" t="str">
        <f t="shared" si="34"/>
        <v/>
      </c>
    </row>
    <row r="697" spans="1:12" x14ac:dyDescent="0.3">
      <c r="A697" s="335" t="s">
        <v>758</v>
      </c>
      <c r="B697" s="336" t="s">
        <v>1377</v>
      </c>
      <c r="C697" s="442"/>
      <c r="D697" s="244"/>
      <c r="E697" s="244"/>
      <c r="F697" s="443"/>
      <c r="G697" s="442">
        <v>320000</v>
      </c>
      <c r="H697" s="244"/>
      <c r="I697" s="244">
        <v>977500</v>
      </c>
      <c r="J697" s="443">
        <f>G697+H697+I697</f>
        <v>1297500</v>
      </c>
      <c r="K697" s="168">
        <f t="shared" si="33"/>
        <v>0</v>
      </c>
      <c r="L697" s="245" t="str">
        <f t="shared" si="34"/>
        <v/>
      </c>
    </row>
    <row r="698" spans="1:12" x14ac:dyDescent="0.3">
      <c r="A698" s="335" t="s">
        <v>758</v>
      </c>
      <c r="B698" s="336" t="s">
        <v>1378</v>
      </c>
      <c r="C698" s="442"/>
      <c r="D698" s="244"/>
      <c r="E698" s="244"/>
      <c r="F698" s="443"/>
      <c r="G698" s="442"/>
      <c r="H698" s="244">
        <v>915000</v>
      </c>
      <c r="I698" s="244"/>
      <c r="J698" s="443">
        <f>G698+H698+I698</f>
        <v>915000</v>
      </c>
      <c r="K698" s="168">
        <f t="shared" si="33"/>
        <v>0</v>
      </c>
      <c r="L698" s="245" t="str">
        <f t="shared" si="34"/>
        <v/>
      </c>
    </row>
    <row r="699" spans="1:12" x14ac:dyDescent="0.3">
      <c r="A699" s="335" t="s">
        <v>758</v>
      </c>
      <c r="B699" s="336" t="s">
        <v>1379</v>
      </c>
      <c r="C699" s="442"/>
      <c r="D699" s="244"/>
      <c r="E699" s="244"/>
      <c r="F699" s="443"/>
      <c r="G699" s="442"/>
      <c r="H699" s="244">
        <v>283500</v>
      </c>
      <c r="I699" s="244"/>
      <c r="J699" s="443">
        <f>G699+H699+I699</f>
        <v>283500</v>
      </c>
      <c r="K699" s="168">
        <f t="shared" si="33"/>
        <v>0</v>
      </c>
      <c r="L699" s="245" t="str">
        <f t="shared" si="34"/>
        <v/>
      </c>
    </row>
    <row r="700" spans="1:12" x14ac:dyDescent="0.3">
      <c r="A700" s="335" t="s">
        <v>758</v>
      </c>
      <c r="B700" s="336" t="s">
        <v>621</v>
      </c>
      <c r="C700" s="442"/>
      <c r="D700" s="244"/>
      <c r="E700" s="244"/>
      <c r="F700" s="443"/>
      <c r="G700" s="442" t="s">
        <v>251</v>
      </c>
      <c r="H700" s="244" t="s">
        <v>251</v>
      </c>
      <c r="I700" s="244" t="s">
        <v>251</v>
      </c>
      <c r="J700" s="443"/>
      <c r="K700" s="168">
        <f t="shared" si="33"/>
        <v>0</v>
      </c>
      <c r="L700" s="245" t="str">
        <f t="shared" si="34"/>
        <v/>
      </c>
    </row>
    <row r="701" spans="1:12" x14ac:dyDescent="0.3">
      <c r="A701" s="335" t="s">
        <v>758</v>
      </c>
      <c r="B701" s="336" t="s">
        <v>622</v>
      </c>
      <c r="C701" s="442"/>
      <c r="D701" s="244"/>
      <c r="E701" s="244"/>
      <c r="F701" s="443"/>
      <c r="G701" s="442" t="s">
        <v>251</v>
      </c>
      <c r="H701" s="244" t="s">
        <v>251</v>
      </c>
      <c r="I701" s="244" t="s">
        <v>251</v>
      </c>
      <c r="J701" s="443"/>
      <c r="K701" s="168">
        <f t="shared" si="33"/>
        <v>0</v>
      </c>
      <c r="L701" s="245" t="str">
        <f t="shared" si="34"/>
        <v/>
      </c>
    </row>
    <row r="702" spans="1:12" x14ac:dyDescent="0.3">
      <c r="A702" s="335" t="s">
        <v>758</v>
      </c>
      <c r="B702" s="336" t="s">
        <v>628</v>
      </c>
      <c r="C702" s="442"/>
      <c r="D702" s="244"/>
      <c r="E702" s="244"/>
      <c r="F702" s="443"/>
      <c r="G702" s="442" t="s">
        <v>251</v>
      </c>
      <c r="H702" s="244" t="s">
        <v>251</v>
      </c>
      <c r="I702" s="244" t="s">
        <v>251</v>
      </c>
      <c r="J702" s="443"/>
      <c r="K702" s="168">
        <f t="shared" si="33"/>
        <v>0</v>
      </c>
      <c r="L702" s="245" t="str">
        <f t="shared" si="34"/>
        <v/>
      </c>
    </row>
    <row r="703" spans="1:12" x14ac:dyDescent="0.3">
      <c r="A703" s="335" t="s">
        <v>758</v>
      </c>
      <c r="B703" s="336" t="s">
        <v>623</v>
      </c>
      <c r="C703" s="442"/>
      <c r="D703" s="244"/>
      <c r="E703" s="244"/>
      <c r="F703" s="443"/>
      <c r="G703" s="442" t="s">
        <v>251</v>
      </c>
      <c r="H703" s="244" t="s">
        <v>251</v>
      </c>
      <c r="I703" s="244" t="s">
        <v>251</v>
      </c>
      <c r="J703" s="443"/>
      <c r="K703" s="168">
        <f t="shared" si="33"/>
        <v>0</v>
      </c>
      <c r="L703" s="245" t="str">
        <f t="shared" si="34"/>
        <v/>
      </c>
    </row>
    <row r="704" spans="1:12" x14ac:dyDescent="0.3">
      <c r="A704" s="337" t="s">
        <v>1380</v>
      </c>
      <c r="B704" s="338" t="s">
        <v>1381</v>
      </c>
      <c r="C704" s="444"/>
      <c r="D704" s="246"/>
      <c r="E704" s="246"/>
      <c r="F704" s="445"/>
      <c r="G704" s="444">
        <v>833600</v>
      </c>
      <c r="H704" s="246">
        <v>1046300</v>
      </c>
      <c r="I704" s="246">
        <v>145000</v>
      </c>
      <c r="J704" s="445">
        <f>G704+H704+I704</f>
        <v>2024900</v>
      </c>
      <c r="K704" s="169">
        <f t="shared" si="33"/>
        <v>0</v>
      </c>
      <c r="L704" s="247" t="str">
        <f t="shared" si="34"/>
        <v/>
      </c>
    </row>
    <row r="705" spans="1:12" x14ac:dyDescent="0.3">
      <c r="A705" s="337" t="s">
        <v>1380</v>
      </c>
      <c r="B705" s="338" t="s">
        <v>1382</v>
      </c>
      <c r="C705" s="444"/>
      <c r="D705" s="246">
        <v>312000</v>
      </c>
      <c r="E705" s="246"/>
      <c r="F705" s="445">
        <f>C705+D705+E705</f>
        <v>312000</v>
      </c>
      <c r="G705" s="444" t="s">
        <v>251</v>
      </c>
      <c r="H705" s="246" t="s">
        <v>251</v>
      </c>
      <c r="I705" s="246" t="s">
        <v>251</v>
      </c>
      <c r="J705" s="445"/>
      <c r="K705" s="169">
        <f t="shared" si="33"/>
        <v>0</v>
      </c>
      <c r="L705" s="247" t="str">
        <f t="shared" si="34"/>
        <v/>
      </c>
    </row>
    <row r="706" spans="1:12" x14ac:dyDescent="0.3">
      <c r="A706" s="339" t="s">
        <v>976</v>
      </c>
      <c r="B706" s="340" t="s">
        <v>1383</v>
      </c>
      <c r="C706" s="446"/>
      <c r="D706" s="248"/>
      <c r="E706" s="248"/>
      <c r="F706" s="447"/>
      <c r="G706" s="446">
        <v>455400</v>
      </c>
      <c r="H706" s="248">
        <v>20000</v>
      </c>
      <c r="I706" s="248">
        <v>14000</v>
      </c>
      <c r="J706" s="447">
        <f>G706+H706+I706</f>
        <v>489400</v>
      </c>
      <c r="K706" s="170">
        <f t="shared" ref="K706:K769" si="36">IF(OR(J706="", F706=""), 0, IFERROR((J706-F706)/F706, IF(J706&lt;&gt;0, 1, 0)))</f>
        <v>0</v>
      </c>
      <c r="L706" s="249" t="str">
        <f t="shared" ref="L706:L769" si="37">IFERROR(_xlfn.RANK.EQ(J706, $J$2:$J$308), "")</f>
        <v/>
      </c>
    </row>
    <row r="707" spans="1:12" x14ac:dyDescent="0.3">
      <c r="A707" s="339" t="s">
        <v>976</v>
      </c>
      <c r="B707" s="340" t="s">
        <v>1384</v>
      </c>
      <c r="C707" s="446"/>
      <c r="D707" s="248"/>
      <c r="E707" s="248"/>
      <c r="F707" s="447"/>
      <c r="G707" s="446">
        <v>326600</v>
      </c>
      <c r="H707" s="248"/>
      <c r="I707" s="248"/>
      <c r="J707" s="447">
        <f>G707+H707+I707</f>
        <v>326600</v>
      </c>
      <c r="K707" s="170">
        <f t="shared" si="36"/>
        <v>0</v>
      </c>
      <c r="L707" s="249" t="str">
        <f t="shared" si="37"/>
        <v/>
      </c>
    </row>
    <row r="708" spans="1:12" x14ac:dyDescent="0.3">
      <c r="A708" s="339" t="s">
        <v>976</v>
      </c>
      <c r="B708" s="340" t="s">
        <v>1385</v>
      </c>
      <c r="C708" s="446"/>
      <c r="D708" s="248"/>
      <c r="E708" s="248"/>
      <c r="F708" s="447"/>
      <c r="G708" s="446"/>
      <c r="H708" s="248"/>
      <c r="I708" s="248"/>
      <c r="J708" s="447"/>
      <c r="K708" s="170">
        <f t="shared" si="36"/>
        <v>0</v>
      </c>
      <c r="L708" s="249" t="str">
        <f t="shared" si="37"/>
        <v/>
      </c>
    </row>
    <row r="709" spans="1:12" x14ac:dyDescent="0.3">
      <c r="A709" s="339" t="s">
        <v>976</v>
      </c>
      <c r="B709" s="340" t="s">
        <v>1386</v>
      </c>
      <c r="C709" s="446"/>
      <c r="D709" s="248"/>
      <c r="E709" s="248"/>
      <c r="F709" s="447"/>
      <c r="G709" s="446"/>
      <c r="H709" s="248"/>
      <c r="I709" s="248"/>
      <c r="J709" s="447"/>
      <c r="K709" s="170">
        <f t="shared" si="36"/>
        <v>0</v>
      </c>
      <c r="L709" s="249" t="str">
        <f t="shared" si="37"/>
        <v/>
      </c>
    </row>
    <row r="710" spans="1:12" x14ac:dyDescent="0.3">
      <c r="A710" s="339" t="s">
        <v>976</v>
      </c>
      <c r="B710" s="340" t="s">
        <v>658</v>
      </c>
      <c r="C710" s="446"/>
      <c r="D710" s="248"/>
      <c r="E710" s="248"/>
      <c r="F710" s="447"/>
      <c r="G710" s="446"/>
      <c r="H710" s="248"/>
      <c r="I710" s="248"/>
      <c r="J710" s="447"/>
      <c r="K710" s="170">
        <f t="shared" si="36"/>
        <v>0</v>
      </c>
      <c r="L710" s="249" t="str">
        <f t="shared" si="37"/>
        <v/>
      </c>
    </row>
    <row r="711" spans="1:12" x14ac:dyDescent="0.3">
      <c r="A711" s="339" t="s">
        <v>976</v>
      </c>
      <c r="B711" s="340" t="s">
        <v>1387</v>
      </c>
      <c r="C711" s="446"/>
      <c r="D711" s="248"/>
      <c r="E711" s="248"/>
      <c r="F711" s="447"/>
      <c r="G711" s="446"/>
      <c r="H711" s="248"/>
      <c r="I711" s="248"/>
      <c r="J711" s="447"/>
      <c r="K711" s="170">
        <f t="shared" si="36"/>
        <v>0</v>
      </c>
      <c r="L711" s="249" t="str">
        <f t="shared" si="37"/>
        <v/>
      </c>
    </row>
    <row r="712" spans="1:12" x14ac:dyDescent="0.3">
      <c r="A712" s="341" t="s">
        <v>1388</v>
      </c>
      <c r="B712" s="342" t="s">
        <v>1389</v>
      </c>
      <c r="C712" s="448"/>
      <c r="D712" s="250"/>
      <c r="E712" s="250"/>
      <c r="F712" s="449"/>
      <c r="G712" s="448">
        <v>971800</v>
      </c>
      <c r="H712" s="250"/>
      <c r="I712" s="250">
        <v>175200</v>
      </c>
      <c r="J712" s="449">
        <f>G712+H712+I712</f>
        <v>1147000</v>
      </c>
      <c r="K712" s="171">
        <f t="shared" si="36"/>
        <v>0</v>
      </c>
      <c r="L712" s="251" t="str">
        <f t="shared" si="37"/>
        <v/>
      </c>
    </row>
    <row r="713" spans="1:12" x14ac:dyDescent="0.3">
      <c r="A713" s="341" t="s">
        <v>1388</v>
      </c>
      <c r="B713" s="342" t="s">
        <v>1390</v>
      </c>
      <c r="C713" s="448"/>
      <c r="D713" s="250"/>
      <c r="E713" s="250"/>
      <c r="F713" s="449"/>
      <c r="G713" s="448"/>
      <c r="H713" s="250"/>
      <c r="I713" s="250">
        <v>544000</v>
      </c>
      <c r="J713" s="449">
        <f>G713+H713+I713</f>
        <v>544000</v>
      </c>
      <c r="K713" s="171">
        <f t="shared" si="36"/>
        <v>0</v>
      </c>
      <c r="L713" s="251" t="str">
        <f t="shared" si="37"/>
        <v/>
      </c>
    </row>
    <row r="714" spans="1:12" x14ac:dyDescent="0.3">
      <c r="A714" s="341" t="s">
        <v>1388</v>
      </c>
      <c r="B714" s="342" t="s">
        <v>1388</v>
      </c>
      <c r="C714" s="448">
        <v>1102850</v>
      </c>
      <c r="D714" s="250"/>
      <c r="E714" s="250">
        <v>282600</v>
      </c>
      <c r="F714" s="449">
        <f>C714+D714+E714</f>
        <v>1385450</v>
      </c>
      <c r="G714" s="448"/>
      <c r="H714" s="250"/>
      <c r="I714" s="250"/>
      <c r="J714" s="449"/>
      <c r="K714" s="171">
        <f t="shared" si="36"/>
        <v>0</v>
      </c>
      <c r="L714" s="251" t="str">
        <f t="shared" si="37"/>
        <v/>
      </c>
    </row>
    <row r="715" spans="1:12" x14ac:dyDescent="0.3">
      <c r="A715" s="341" t="s">
        <v>1388</v>
      </c>
      <c r="B715" s="342" t="s">
        <v>1391</v>
      </c>
      <c r="C715" s="448">
        <v>1202500</v>
      </c>
      <c r="D715" s="250"/>
      <c r="E715" s="250"/>
      <c r="F715" s="449">
        <f>C715+D715+E715</f>
        <v>1202500</v>
      </c>
      <c r="G715" s="448"/>
      <c r="H715" s="250"/>
      <c r="I715" s="250"/>
      <c r="J715" s="449"/>
      <c r="K715" s="171">
        <f t="shared" si="36"/>
        <v>0</v>
      </c>
      <c r="L715" s="251" t="str">
        <f t="shared" si="37"/>
        <v/>
      </c>
    </row>
    <row r="716" spans="1:12" x14ac:dyDescent="0.3">
      <c r="A716" s="343" t="s">
        <v>1392</v>
      </c>
      <c r="B716" s="344" t="s">
        <v>1295</v>
      </c>
      <c r="C716" s="450"/>
      <c r="D716" s="252"/>
      <c r="E716" s="252"/>
      <c r="F716" s="451"/>
      <c r="G716" s="450">
        <v>337350</v>
      </c>
      <c r="H716" s="252"/>
      <c r="I716" s="252"/>
      <c r="J716" s="451">
        <f>G716+H716+I716</f>
        <v>337350</v>
      </c>
      <c r="K716" s="172">
        <f t="shared" si="36"/>
        <v>0</v>
      </c>
      <c r="L716" s="253" t="str">
        <f t="shared" si="37"/>
        <v/>
      </c>
    </row>
    <row r="717" spans="1:12" x14ac:dyDescent="0.3">
      <c r="A717" s="343" t="s">
        <v>1392</v>
      </c>
      <c r="B717" s="344" t="s">
        <v>1329</v>
      </c>
      <c r="C717" s="450"/>
      <c r="D717" s="252"/>
      <c r="E717" s="252"/>
      <c r="F717" s="451"/>
      <c r="G717" s="450">
        <v>338800</v>
      </c>
      <c r="H717" s="252">
        <v>99500</v>
      </c>
      <c r="I717" s="252"/>
      <c r="J717" s="451">
        <f>G717+H717+I717</f>
        <v>438300</v>
      </c>
      <c r="K717" s="172">
        <f t="shared" si="36"/>
        <v>0</v>
      </c>
      <c r="L717" s="253" t="str">
        <f t="shared" si="37"/>
        <v/>
      </c>
    </row>
    <row r="718" spans="1:12" x14ac:dyDescent="0.3">
      <c r="A718" s="343" t="s">
        <v>1392</v>
      </c>
      <c r="B718" s="344" t="s">
        <v>1357</v>
      </c>
      <c r="C718" s="450"/>
      <c r="D718" s="252"/>
      <c r="E718" s="252"/>
      <c r="F718" s="451"/>
      <c r="G718" s="450"/>
      <c r="H718" s="252">
        <v>136000</v>
      </c>
      <c r="I718" s="252"/>
      <c r="J718" s="451">
        <f>G718+H718+I718</f>
        <v>136000</v>
      </c>
      <c r="K718" s="172">
        <f t="shared" si="36"/>
        <v>0</v>
      </c>
      <c r="L718" s="253" t="str">
        <f t="shared" si="37"/>
        <v/>
      </c>
    </row>
    <row r="719" spans="1:12" x14ac:dyDescent="0.3">
      <c r="A719" s="343" t="s">
        <v>1392</v>
      </c>
      <c r="B719" s="344" t="s">
        <v>1393</v>
      </c>
      <c r="C719" s="450"/>
      <c r="D719" s="252"/>
      <c r="E719" s="252"/>
      <c r="F719" s="451"/>
      <c r="G719" s="450">
        <v>83500</v>
      </c>
      <c r="H719" s="252"/>
      <c r="I719" s="252"/>
      <c r="J719" s="451">
        <f>G719+H719+I719</f>
        <v>83500</v>
      </c>
      <c r="K719" s="172">
        <f t="shared" si="36"/>
        <v>0</v>
      </c>
      <c r="L719" s="253" t="str">
        <f t="shared" si="37"/>
        <v/>
      </c>
    </row>
    <row r="720" spans="1:12" x14ac:dyDescent="0.3">
      <c r="A720" s="343" t="s">
        <v>1392</v>
      </c>
      <c r="B720" s="344" t="s">
        <v>1331</v>
      </c>
      <c r="C720" s="450"/>
      <c r="D720" s="252"/>
      <c r="E720" s="252"/>
      <c r="F720" s="451"/>
      <c r="G720" s="450"/>
      <c r="H720" s="252"/>
      <c r="I720" s="252"/>
      <c r="J720" s="451"/>
      <c r="K720" s="172">
        <f t="shared" si="36"/>
        <v>0</v>
      </c>
      <c r="L720" s="253" t="str">
        <f t="shared" si="37"/>
        <v/>
      </c>
    </row>
    <row r="721" spans="1:12" x14ac:dyDescent="0.3">
      <c r="A721" s="343" t="s">
        <v>1392</v>
      </c>
      <c r="B721" s="344" t="s">
        <v>1298</v>
      </c>
      <c r="C721" s="450"/>
      <c r="D721" s="252">
        <v>392950</v>
      </c>
      <c r="E721" s="252">
        <v>41000</v>
      </c>
      <c r="F721" s="451">
        <f>C721+D721+E721</f>
        <v>433950</v>
      </c>
      <c r="G721" s="450" t="s">
        <v>251</v>
      </c>
      <c r="H721" s="252" t="s">
        <v>251</v>
      </c>
      <c r="I721" s="252"/>
      <c r="J721" s="451"/>
      <c r="K721" s="172">
        <f t="shared" si="36"/>
        <v>0</v>
      </c>
      <c r="L721" s="253" t="str">
        <f t="shared" si="37"/>
        <v/>
      </c>
    </row>
    <row r="722" spans="1:12" x14ac:dyDescent="0.3">
      <c r="A722" s="343" t="s">
        <v>1392</v>
      </c>
      <c r="B722" s="344" t="s">
        <v>972</v>
      </c>
      <c r="C722" s="450">
        <v>337600</v>
      </c>
      <c r="D722" s="252">
        <v>331300</v>
      </c>
      <c r="E722" s="252"/>
      <c r="F722" s="451">
        <f>C722+D722+E722</f>
        <v>668900</v>
      </c>
      <c r="G722" s="450" t="s">
        <v>251</v>
      </c>
      <c r="H722" s="252" t="s">
        <v>251</v>
      </c>
      <c r="I722" s="252"/>
      <c r="J722" s="451"/>
      <c r="K722" s="172">
        <f t="shared" si="36"/>
        <v>0</v>
      </c>
      <c r="L722" s="253" t="str">
        <f t="shared" si="37"/>
        <v/>
      </c>
    </row>
    <row r="723" spans="1:12" x14ac:dyDescent="0.3">
      <c r="A723" s="343" t="s">
        <v>1392</v>
      </c>
      <c r="B723" s="344" t="s">
        <v>979</v>
      </c>
      <c r="C723" s="450"/>
      <c r="D723" s="252"/>
      <c r="E723" s="252"/>
      <c r="F723" s="451"/>
      <c r="G723" s="450" t="s">
        <v>251</v>
      </c>
      <c r="H723" s="252" t="s">
        <v>251</v>
      </c>
      <c r="I723" s="252"/>
      <c r="J723" s="451"/>
      <c r="K723" s="172">
        <f t="shared" si="36"/>
        <v>0</v>
      </c>
      <c r="L723" s="253" t="str">
        <f t="shared" si="37"/>
        <v/>
      </c>
    </row>
    <row r="724" spans="1:12" x14ac:dyDescent="0.3">
      <c r="A724" s="345" t="s">
        <v>1394</v>
      </c>
      <c r="B724" s="346" t="s">
        <v>1395</v>
      </c>
      <c r="C724" s="452"/>
      <c r="D724" s="254"/>
      <c r="E724" s="254"/>
      <c r="F724" s="453"/>
      <c r="G724" s="452">
        <v>85000</v>
      </c>
      <c r="H724" s="254">
        <v>882100</v>
      </c>
      <c r="I724" s="254"/>
      <c r="J724" s="453">
        <f>G724+H724+I724</f>
        <v>967100</v>
      </c>
      <c r="K724" s="173">
        <f t="shared" si="36"/>
        <v>0</v>
      </c>
      <c r="L724" s="255" t="str">
        <f t="shared" si="37"/>
        <v/>
      </c>
    </row>
    <row r="725" spans="1:12" x14ac:dyDescent="0.3">
      <c r="A725" s="345" t="s">
        <v>1394</v>
      </c>
      <c r="B725" s="346" t="s">
        <v>1396</v>
      </c>
      <c r="C725" s="452"/>
      <c r="D725" s="254"/>
      <c r="E725" s="254"/>
      <c r="F725" s="453"/>
      <c r="G725" s="452"/>
      <c r="H725" s="254">
        <v>12200</v>
      </c>
      <c r="I725" s="254"/>
      <c r="J725" s="453">
        <f>G725+H725+I725</f>
        <v>12200</v>
      </c>
      <c r="K725" s="173">
        <f t="shared" si="36"/>
        <v>0</v>
      </c>
      <c r="L725" s="255" t="str">
        <f t="shared" si="37"/>
        <v/>
      </c>
    </row>
    <row r="726" spans="1:12" x14ac:dyDescent="0.3">
      <c r="A726" s="347" t="s">
        <v>1397</v>
      </c>
      <c r="B726" s="348" t="s">
        <v>1398</v>
      </c>
      <c r="C726" s="446"/>
      <c r="D726" s="248"/>
      <c r="E726" s="248"/>
      <c r="F726" s="447"/>
      <c r="G726" s="446">
        <v>420200</v>
      </c>
      <c r="H726" s="248"/>
      <c r="I726" s="248">
        <v>390600</v>
      </c>
      <c r="J726" s="447">
        <f>G726+H726+I726</f>
        <v>810800</v>
      </c>
      <c r="K726" s="170">
        <f t="shared" si="36"/>
        <v>0</v>
      </c>
      <c r="L726" s="249" t="str">
        <f t="shared" si="37"/>
        <v/>
      </c>
    </row>
    <row r="727" spans="1:12" x14ac:dyDescent="0.3">
      <c r="A727" s="347" t="s">
        <v>1397</v>
      </c>
      <c r="B727" s="348" t="s">
        <v>1330</v>
      </c>
      <c r="C727" s="446"/>
      <c r="D727" s="248"/>
      <c r="E727" s="248"/>
      <c r="F727" s="447"/>
      <c r="G727" s="446"/>
      <c r="H727" s="248"/>
      <c r="I727" s="248"/>
      <c r="J727" s="447"/>
      <c r="K727" s="170">
        <f t="shared" si="36"/>
        <v>0</v>
      </c>
      <c r="L727" s="249" t="str">
        <f t="shared" si="37"/>
        <v/>
      </c>
    </row>
    <row r="728" spans="1:12" x14ac:dyDescent="0.3">
      <c r="A728" s="349" t="s">
        <v>1399</v>
      </c>
      <c r="B728" s="350" t="s">
        <v>1400</v>
      </c>
      <c r="C728" s="454"/>
      <c r="D728" s="256"/>
      <c r="E728" s="256"/>
      <c r="F728" s="455"/>
      <c r="G728" s="454"/>
      <c r="H728" s="256"/>
      <c r="I728" s="256"/>
      <c r="J728" s="455"/>
      <c r="K728" s="174">
        <f t="shared" si="36"/>
        <v>0</v>
      </c>
      <c r="L728" s="257" t="str">
        <f t="shared" si="37"/>
        <v/>
      </c>
    </row>
    <row r="729" spans="1:12" x14ac:dyDescent="0.3">
      <c r="A729" s="349" t="s">
        <v>1399</v>
      </c>
      <c r="B729" s="350" t="s">
        <v>1401</v>
      </c>
      <c r="C729" s="454"/>
      <c r="D729" s="256"/>
      <c r="E729" s="256"/>
      <c r="F729" s="455"/>
      <c r="G729" s="454"/>
      <c r="H729" s="256"/>
      <c r="I729" s="256"/>
      <c r="J729" s="455"/>
      <c r="K729" s="174">
        <f t="shared" si="36"/>
        <v>0</v>
      </c>
      <c r="L729" s="257" t="str">
        <f t="shared" si="37"/>
        <v/>
      </c>
    </row>
    <row r="730" spans="1:12" x14ac:dyDescent="0.3">
      <c r="A730" s="349" t="s">
        <v>1399</v>
      </c>
      <c r="B730" s="350" t="s">
        <v>1402</v>
      </c>
      <c r="C730" s="454"/>
      <c r="D730" s="256"/>
      <c r="E730" s="256"/>
      <c r="F730" s="455"/>
      <c r="G730" s="454"/>
      <c r="H730" s="256"/>
      <c r="I730" s="256"/>
      <c r="J730" s="455"/>
      <c r="K730" s="174">
        <f t="shared" si="36"/>
        <v>0</v>
      </c>
      <c r="L730" s="257" t="str">
        <f t="shared" si="37"/>
        <v/>
      </c>
    </row>
    <row r="731" spans="1:12" x14ac:dyDescent="0.3">
      <c r="A731" s="351" t="s">
        <v>1403</v>
      </c>
      <c r="B731" s="352" t="s">
        <v>648</v>
      </c>
      <c r="C731" s="108"/>
      <c r="D731" s="109"/>
      <c r="E731" s="109"/>
      <c r="F731" s="110"/>
      <c r="G731" s="108">
        <v>292200</v>
      </c>
      <c r="H731" s="109">
        <v>24200</v>
      </c>
      <c r="I731" s="109"/>
      <c r="J731" s="110">
        <f>G731+H731+I731</f>
        <v>316400</v>
      </c>
      <c r="K731" s="111">
        <f t="shared" si="36"/>
        <v>0</v>
      </c>
      <c r="L731" s="112" t="str">
        <f t="shared" si="37"/>
        <v/>
      </c>
    </row>
    <row r="732" spans="1:12" x14ac:dyDescent="0.3">
      <c r="A732" s="353" t="s">
        <v>1404</v>
      </c>
      <c r="B732" s="354" t="s">
        <v>1405</v>
      </c>
      <c r="C732" s="456"/>
      <c r="D732" s="258"/>
      <c r="E732" s="258"/>
      <c r="F732" s="457"/>
      <c r="G732" s="456"/>
      <c r="H732" s="258"/>
      <c r="I732" s="258"/>
      <c r="J732" s="457"/>
      <c r="K732" s="175">
        <f t="shared" si="36"/>
        <v>0</v>
      </c>
      <c r="L732" s="259" t="str">
        <f t="shared" si="37"/>
        <v/>
      </c>
    </row>
    <row r="733" spans="1:12" x14ac:dyDescent="0.3">
      <c r="A733" s="355" t="s">
        <v>1406</v>
      </c>
      <c r="B733" s="356" t="s">
        <v>1407</v>
      </c>
      <c r="C733" s="458"/>
      <c r="D733" s="260"/>
      <c r="E733" s="260"/>
      <c r="F733" s="459"/>
      <c r="G733" s="458"/>
      <c r="H733" s="260"/>
      <c r="I733" s="260">
        <v>79800</v>
      </c>
      <c r="J733" s="459">
        <f>G733+H733+I733</f>
        <v>79800</v>
      </c>
      <c r="K733" s="176">
        <f t="shared" si="36"/>
        <v>0</v>
      </c>
      <c r="L733" s="261" t="str">
        <f t="shared" si="37"/>
        <v/>
      </c>
    </row>
    <row r="734" spans="1:12" x14ac:dyDescent="0.3">
      <c r="A734" s="355" t="s">
        <v>1406</v>
      </c>
      <c r="B734" s="356" t="s">
        <v>1408</v>
      </c>
      <c r="C734" s="458"/>
      <c r="D734" s="260"/>
      <c r="E734" s="260"/>
      <c r="F734" s="459"/>
      <c r="G734" s="458"/>
      <c r="H734" s="260"/>
      <c r="I734" s="260"/>
      <c r="J734" s="459"/>
      <c r="K734" s="176">
        <f t="shared" si="36"/>
        <v>0</v>
      </c>
      <c r="L734" s="261" t="str">
        <f t="shared" si="37"/>
        <v/>
      </c>
    </row>
    <row r="735" spans="1:12" x14ac:dyDescent="0.3">
      <c r="A735" s="355" t="s">
        <v>1406</v>
      </c>
      <c r="B735" s="356" t="s">
        <v>1409</v>
      </c>
      <c r="C735" s="458"/>
      <c r="D735" s="260"/>
      <c r="E735" s="260"/>
      <c r="F735" s="459"/>
      <c r="G735" s="458"/>
      <c r="H735" s="260"/>
      <c r="I735" s="260">
        <v>18800</v>
      </c>
      <c r="J735" s="459">
        <f>G735+H735+I735</f>
        <v>18800</v>
      </c>
      <c r="K735" s="176">
        <f t="shared" si="36"/>
        <v>0</v>
      </c>
      <c r="L735" s="261" t="str">
        <f t="shared" si="37"/>
        <v/>
      </c>
    </row>
    <row r="736" spans="1:12" x14ac:dyDescent="0.3">
      <c r="A736" s="355" t="s">
        <v>1406</v>
      </c>
      <c r="B736" s="356" t="s">
        <v>1410</v>
      </c>
      <c r="C736" s="458"/>
      <c r="D736" s="260"/>
      <c r="E736" s="260"/>
      <c r="F736" s="459"/>
      <c r="G736" s="458"/>
      <c r="H736" s="260">
        <v>11000</v>
      </c>
      <c r="I736" s="260"/>
      <c r="J736" s="459">
        <f>G736+H736+I736</f>
        <v>11000</v>
      </c>
      <c r="K736" s="176">
        <f t="shared" si="36"/>
        <v>0</v>
      </c>
      <c r="L736" s="261" t="str">
        <f t="shared" si="37"/>
        <v/>
      </c>
    </row>
    <row r="737" spans="1:12" x14ac:dyDescent="0.3">
      <c r="A737" s="357" t="s">
        <v>954</v>
      </c>
      <c r="B737" s="358" t="s">
        <v>980</v>
      </c>
      <c r="C737" s="115"/>
      <c r="D737" s="116"/>
      <c r="E737" s="116"/>
      <c r="F737" s="117"/>
      <c r="G737" s="115">
        <v>60600</v>
      </c>
      <c r="H737" s="116">
        <v>73200</v>
      </c>
      <c r="I737" s="116"/>
      <c r="J737" s="117">
        <f>G737+H737+I737</f>
        <v>133800</v>
      </c>
      <c r="K737" s="118">
        <f t="shared" si="36"/>
        <v>0</v>
      </c>
      <c r="L737" s="119" t="str">
        <f t="shared" si="37"/>
        <v/>
      </c>
    </row>
    <row r="738" spans="1:12" x14ac:dyDescent="0.3">
      <c r="A738" s="359" t="s">
        <v>1444</v>
      </c>
      <c r="B738" s="360" t="s">
        <v>1445</v>
      </c>
      <c r="C738" s="460"/>
      <c r="D738" s="262"/>
      <c r="E738" s="262"/>
      <c r="F738" s="461"/>
      <c r="G738" s="460">
        <v>172400</v>
      </c>
      <c r="H738" s="262"/>
      <c r="I738" s="262"/>
      <c r="J738" s="461">
        <f>G738+H738+I738</f>
        <v>172400</v>
      </c>
      <c r="K738" s="177">
        <f t="shared" si="36"/>
        <v>0</v>
      </c>
      <c r="L738" s="263" t="str">
        <f t="shared" si="37"/>
        <v/>
      </c>
    </row>
    <row r="739" spans="1:12" x14ac:dyDescent="0.3">
      <c r="A739" s="359" t="s">
        <v>1444</v>
      </c>
      <c r="B739" s="360" t="s">
        <v>1446</v>
      </c>
      <c r="C739" s="460"/>
      <c r="D739" s="262"/>
      <c r="E739" s="262"/>
      <c r="F739" s="461"/>
      <c r="G739" s="460">
        <v>151000</v>
      </c>
      <c r="H739" s="262"/>
      <c r="I739" s="262"/>
      <c r="J739" s="461">
        <f>G739+H739+I739</f>
        <v>151000</v>
      </c>
      <c r="K739" s="177">
        <f t="shared" si="36"/>
        <v>0</v>
      </c>
      <c r="L739" s="263" t="str">
        <f t="shared" si="37"/>
        <v/>
      </c>
    </row>
    <row r="740" spans="1:12" x14ac:dyDescent="0.3">
      <c r="A740" s="359" t="s">
        <v>1444</v>
      </c>
      <c r="B740" s="360" t="s">
        <v>883</v>
      </c>
      <c r="C740" s="460"/>
      <c r="D740" s="262"/>
      <c r="E740" s="262">
        <v>324550</v>
      </c>
      <c r="F740" s="461">
        <f>C740+D740+E740</f>
        <v>324550</v>
      </c>
      <c r="G740" s="460"/>
      <c r="H740" s="262"/>
      <c r="I740" s="262"/>
      <c r="J740" s="461"/>
      <c r="K740" s="177">
        <f t="shared" si="36"/>
        <v>0</v>
      </c>
      <c r="L740" s="263" t="str">
        <f t="shared" si="37"/>
        <v/>
      </c>
    </row>
    <row r="741" spans="1:12" x14ac:dyDescent="0.3">
      <c r="A741" s="359" t="s">
        <v>1444</v>
      </c>
      <c r="B741" s="360" t="s">
        <v>1447</v>
      </c>
      <c r="C741" s="460"/>
      <c r="D741" s="262"/>
      <c r="E741" s="262">
        <v>563200</v>
      </c>
      <c r="F741" s="461">
        <f>C741+D741+E741</f>
        <v>563200</v>
      </c>
      <c r="G741" s="460"/>
      <c r="H741" s="262"/>
      <c r="I741" s="262"/>
      <c r="J741" s="461"/>
      <c r="K741" s="177">
        <f t="shared" si="36"/>
        <v>0</v>
      </c>
      <c r="L741" s="263" t="str">
        <f t="shared" si="37"/>
        <v/>
      </c>
    </row>
    <row r="742" spans="1:12" x14ac:dyDescent="0.3">
      <c r="A742" s="341" t="s">
        <v>1448</v>
      </c>
      <c r="B742" s="361" t="s">
        <v>1449</v>
      </c>
      <c r="C742" s="462"/>
      <c r="D742" s="264"/>
      <c r="E742" s="264"/>
      <c r="F742" s="463"/>
      <c r="G742" s="462"/>
      <c r="H742" s="264"/>
      <c r="I742" s="264"/>
      <c r="J742" s="463"/>
      <c r="K742" s="178">
        <f t="shared" si="36"/>
        <v>0</v>
      </c>
      <c r="L742" s="265" t="str">
        <f t="shared" si="37"/>
        <v/>
      </c>
    </row>
    <row r="743" spans="1:12" x14ac:dyDescent="0.3">
      <c r="A743" s="341" t="s">
        <v>1448</v>
      </c>
      <c r="B743" s="361" t="s">
        <v>1450</v>
      </c>
      <c r="C743" s="462"/>
      <c r="D743" s="264"/>
      <c r="E743" s="264"/>
      <c r="F743" s="463"/>
      <c r="G743" s="462"/>
      <c r="H743" s="264"/>
      <c r="I743" s="264"/>
      <c r="J743" s="463"/>
      <c r="K743" s="178">
        <f t="shared" si="36"/>
        <v>0</v>
      </c>
      <c r="L743" s="265" t="str">
        <f t="shared" si="37"/>
        <v/>
      </c>
    </row>
    <row r="744" spans="1:12" x14ac:dyDescent="0.3">
      <c r="A744" s="362" t="s">
        <v>1457</v>
      </c>
      <c r="B744" s="363" t="s">
        <v>1458</v>
      </c>
      <c r="C744" s="464"/>
      <c r="D744" s="266"/>
      <c r="E744" s="266"/>
      <c r="F744" s="465"/>
      <c r="G744" s="464"/>
      <c r="H744" s="266">
        <v>82800</v>
      </c>
      <c r="I744" s="266"/>
      <c r="J744" s="465">
        <f>G744+H744+I744</f>
        <v>82800</v>
      </c>
      <c r="K744" s="179">
        <f t="shared" si="36"/>
        <v>0</v>
      </c>
      <c r="L744" s="267" t="str">
        <f t="shared" si="37"/>
        <v/>
      </c>
    </row>
    <row r="745" spans="1:12" x14ac:dyDescent="0.3">
      <c r="A745" s="364" t="s">
        <v>733</v>
      </c>
      <c r="B745" s="365" t="s">
        <v>734</v>
      </c>
      <c r="C745" s="466"/>
      <c r="D745" s="268"/>
      <c r="E745" s="268"/>
      <c r="F745" s="467"/>
      <c r="G745" s="483">
        <v>15000</v>
      </c>
      <c r="H745" s="180">
        <v>15000</v>
      </c>
      <c r="I745" s="268" t="s">
        <v>251</v>
      </c>
      <c r="J745" s="467">
        <f>G745+H745</f>
        <v>30000</v>
      </c>
      <c r="K745" s="181">
        <f t="shared" si="36"/>
        <v>0</v>
      </c>
      <c r="L745" s="269" t="str">
        <f t="shared" si="37"/>
        <v/>
      </c>
    </row>
    <row r="746" spans="1:12" x14ac:dyDescent="0.3">
      <c r="A746" s="364" t="s">
        <v>733</v>
      </c>
      <c r="B746" s="365" t="s">
        <v>736</v>
      </c>
      <c r="C746" s="466"/>
      <c r="D746" s="268"/>
      <c r="E746" s="268"/>
      <c r="F746" s="467"/>
      <c r="G746" s="483">
        <v>10000</v>
      </c>
      <c r="H746" s="180">
        <v>10000</v>
      </c>
      <c r="I746" s="268" t="s">
        <v>251</v>
      </c>
      <c r="J746" s="467">
        <f>G746+H746</f>
        <v>20000</v>
      </c>
      <c r="K746" s="181">
        <f t="shared" si="36"/>
        <v>0</v>
      </c>
      <c r="L746" s="269" t="str">
        <f t="shared" si="37"/>
        <v/>
      </c>
    </row>
    <row r="747" spans="1:12" x14ac:dyDescent="0.3">
      <c r="A747" s="364" t="s">
        <v>733</v>
      </c>
      <c r="B747" s="365" t="s">
        <v>735</v>
      </c>
      <c r="C747" s="466"/>
      <c r="D747" s="268"/>
      <c r="E747" s="268"/>
      <c r="F747" s="467"/>
      <c r="G747" s="483">
        <v>15000</v>
      </c>
      <c r="H747" s="180"/>
      <c r="I747" s="268" t="s">
        <v>251</v>
      </c>
      <c r="J747" s="467">
        <f>G747</f>
        <v>15000</v>
      </c>
      <c r="K747" s="181">
        <f t="shared" si="36"/>
        <v>0</v>
      </c>
      <c r="L747" s="269" t="str">
        <f t="shared" si="37"/>
        <v/>
      </c>
    </row>
    <row r="748" spans="1:12" x14ac:dyDescent="0.3">
      <c r="A748" s="364" t="s">
        <v>733</v>
      </c>
      <c r="B748" s="365" t="s">
        <v>737</v>
      </c>
      <c r="C748" s="466"/>
      <c r="D748" s="268"/>
      <c r="E748" s="268"/>
      <c r="F748" s="467"/>
      <c r="G748" s="466" t="s">
        <v>251</v>
      </c>
      <c r="H748" s="180">
        <v>15000</v>
      </c>
      <c r="I748" s="268" t="s">
        <v>251</v>
      </c>
      <c r="J748" s="467">
        <f>H748</f>
        <v>15000</v>
      </c>
      <c r="K748" s="181">
        <f t="shared" si="36"/>
        <v>0</v>
      </c>
      <c r="L748" s="269" t="str">
        <f t="shared" si="37"/>
        <v/>
      </c>
    </row>
    <row r="749" spans="1:12" x14ac:dyDescent="0.3">
      <c r="A749" s="364" t="s">
        <v>733</v>
      </c>
      <c r="B749" s="365" t="s">
        <v>738</v>
      </c>
      <c r="C749" s="466"/>
      <c r="D749" s="268"/>
      <c r="E749" s="268"/>
      <c r="F749" s="467"/>
      <c r="G749" s="483">
        <v>5000</v>
      </c>
      <c r="H749" s="268" t="s">
        <v>251</v>
      </c>
      <c r="I749" s="268" t="s">
        <v>251</v>
      </c>
      <c r="J749" s="467">
        <f>G749</f>
        <v>5000</v>
      </c>
      <c r="K749" s="181">
        <f t="shared" si="36"/>
        <v>0</v>
      </c>
      <c r="L749" s="269" t="str">
        <f t="shared" si="37"/>
        <v/>
      </c>
    </row>
    <row r="750" spans="1:12" x14ac:dyDescent="0.3">
      <c r="A750" s="366" t="s">
        <v>1459</v>
      </c>
      <c r="B750" s="367" t="s">
        <v>1280</v>
      </c>
      <c r="C750" s="468"/>
      <c r="D750" s="270"/>
      <c r="E750" s="270"/>
      <c r="F750" s="469"/>
      <c r="G750" s="468">
        <v>78600</v>
      </c>
      <c r="H750" s="270"/>
      <c r="I750" s="270"/>
      <c r="J750" s="469">
        <f>G750+H750+I750</f>
        <v>78600</v>
      </c>
      <c r="K750" s="182">
        <f t="shared" si="36"/>
        <v>0</v>
      </c>
      <c r="L750" s="271" t="str">
        <f t="shared" si="37"/>
        <v/>
      </c>
    </row>
    <row r="751" spans="1:12" x14ac:dyDescent="0.3">
      <c r="A751" s="366" t="s">
        <v>1459</v>
      </c>
      <c r="B751" s="367" t="s">
        <v>1446</v>
      </c>
      <c r="C751" s="468"/>
      <c r="D751" s="270">
        <v>91250</v>
      </c>
      <c r="E751" s="270"/>
      <c r="F751" s="469">
        <f>C751+D751+E751</f>
        <v>91250</v>
      </c>
      <c r="G751" s="468" t="s">
        <v>251</v>
      </c>
      <c r="H751" s="270" t="s">
        <v>251</v>
      </c>
      <c r="I751" s="270" t="s">
        <v>251</v>
      </c>
      <c r="J751" s="469"/>
      <c r="K751" s="182">
        <f t="shared" si="36"/>
        <v>0</v>
      </c>
      <c r="L751" s="271" t="str">
        <f t="shared" si="37"/>
        <v/>
      </c>
    </row>
    <row r="752" spans="1:12" x14ac:dyDescent="0.3">
      <c r="A752" s="368" t="s">
        <v>1460</v>
      </c>
      <c r="B752" s="369" t="s">
        <v>658</v>
      </c>
      <c r="C752" s="470" t="s">
        <v>251</v>
      </c>
      <c r="D752" s="272" t="s">
        <v>251</v>
      </c>
      <c r="E752" s="272" t="s">
        <v>251</v>
      </c>
      <c r="F752" s="471"/>
      <c r="G752" s="470"/>
      <c r="H752" s="272"/>
      <c r="I752" s="272">
        <v>23500</v>
      </c>
      <c r="J752" s="471">
        <f>G752+H752+I752</f>
        <v>23500</v>
      </c>
      <c r="K752" s="183">
        <f t="shared" si="36"/>
        <v>0</v>
      </c>
      <c r="L752" s="273" t="str">
        <f t="shared" si="37"/>
        <v/>
      </c>
    </row>
    <row r="753" spans="1:12" x14ac:dyDescent="0.3">
      <c r="A753" s="370" t="s">
        <v>752</v>
      </c>
      <c r="B753" s="371" t="s">
        <v>668</v>
      </c>
      <c r="C753" s="122" t="s">
        <v>251</v>
      </c>
      <c r="D753" s="123" t="s">
        <v>251</v>
      </c>
      <c r="E753" s="123" t="s">
        <v>251</v>
      </c>
      <c r="F753" s="124"/>
      <c r="G753" s="122"/>
      <c r="H753" s="123"/>
      <c r="I753" s="123"/>
      <c r="J753" s="124"/>
      <c r="K753" s="125">
        <f t="shared" si="36"/>
        <v>0</v>
      </c>
      <c r="L753" s="126" t="str">
        <f t="shared" si="37"/>
        <v/>
      </c>
    </row>
    <row r="754" spans="1:12" x14ac:dyDescent="0.3">
      <c r="A754" s="370" t="s">
        <v>752</v>
      </c>
      <c r="B754" s="371" t="s">
        <v>753</v>
      </c>
      <c r="C754" s="122"/>
      <c r="D754" s="123"/>
      <c r="E754" s="123">
        <v>7450</v>
      </c>
      <c r="F754" s="124">
        <f>C754+D754+E754</f>
        <v>7450</v>
      </c>
      <c r="G754" s="122"/>
      <c r="H754" s="123"/>
      <c r="I754" s="123" t="s">
        <v>251</v>
      </c>
      <c r="J754" s="124"/>
      <c r="K754" s="125">
        <f t="shared" si="36"/>
        <v>0</v>
      </c>
      <c r="L754" s="126" t="str">
        <f t="shared" si="37"/>
        <v/>
      </c>
    </row>
    <row r="755" spans="1:12" x14ac:dyDescent="0.3">
      <c r="A755" s="333" t="s">
        <v>691</v>
      </c>
      <c r="B755" s="334" t="s">
        <v>739</v>
      </c>
      <c r="C755" s="440" t="s">
        <v>251</v>
      </c>
      <c r="D755" s="242" t="s">
        <v>251</v>
      </c>
      <c r="E755" s="242" t="s">
        <v>251</v>
      </c>
      <c r="F755" s="441"/>
      <c r="G755" s="440"/>
      <c r="H755" s="242"/>
      <c r="I755" s="242">
        <v>5000</v>
      </c>
      <c r="J755" s="441">
        <f>G755+H755+I755</f>
        <v>5000</v>
      </c>
      <c r="K755" s="167">
        <f t="shared" si="36"/>
        <v>0</v>
      </c>
      <c r="L755" s="243" t="str">
        <f t="shared" si="37"/>
        <v/>
      </c>
    </row>
    <row r="756" spans="1:12" x14ac:dyDescent="0.3">
      <c r="A756" s="333" t="s">
        <v>691</v>
      </c>
      <c r="B756" s="334" t="s">
        <v>636</v>
      </c>
      <c r="C756" s="440"/>
      <c r="D756" s="242"/>
      <c r="E756" s="242">
        <v>13000</v>
      </c>
      <c r="F756" s="441">
        <f>C756+D756+E756</f>
        <v>13000</v>
      </c>
      <c r="G756" s="440" t="s">
        <v>251</v>
      </c>
      <c r="H756" s="242" t="s">
        <v>251</v>
      </c>
      <c r="I756" s="242" t="s">
        <v>251</v>
      </c>
      <c r="J756" s="441"/>
      <c r="K756" s="167">
        <f t="shared" si="36"/>
        <v>0</v>
      </c>
      <c r="L756" s="243" t="str">
        <f t="shared" si="37"/>
        <v/>
      </c>
    </row>
    <row r="757" spans="1:12" x14ac:dyDescent="0.3">
      <c r="A757" s="372" t="s">
        <v>1461</v>
      </c>
      <c r="B757" s="40" t="s">
        <v>1462</v>
      </c>
      <c r="C757" s="47"/>
      <c r="D757" s="31"/>
      <c r="E757" s="31"/>
      <c r="F757" s="48"/>
      <c r="G757" s="47" t="s">
        <v>251</v>
      </c>
      <c r="H757" s="31" t="s">
        <v>251</v>
      </c>
      <c r="I757" s="31" t="s">
        <v>251</v>
      </c>
      <c r="J757" s="48"/>
      <c r="K757" s="28">
        <f t="shared" si="36"/>
        <v>0</v>
      </c>
      <c r="L757" s="32" t="str">
        <f t="shared" si="37"/>
        <v/>
      </c>
    </row>
    <row r="758" spans="1:12" x14ac:dyDescent="0.3">
      <c r="A758" s="373" t="s">
        <v>1463</v>
      </c>
      <c r="B758" s="374" t="s">
        <v>624</v>
      </c>
      <c r="C758" s="472"/>
      <c r="D758" s="274"/>
      <c r="E758" s="274">
        <v>1015840</v>
      </c>
      <c r="F758" s="473">
        <f>C758+D758+E758</f>
        <v>1015840</v>
      </c>
      <c r="G758" s="472" t="s">
        <v>251</v>
      </c>
      <c r="H758" s="274" t="s">
        <v>251</v>
      </c>
      <c r="I758" s="274" t="s">
        <v>251</v>
      </c>
      <c r="J758" s="473"/>
      <c r="K758" s="184">
        <f t="shared" si="36"/>
        <v>0</v>
      </c>
      <c r="L758" s="275" t="str">
        <f t="shared" si="37"/>
        <v/>
      </c>
    </row>
    <row r="759" spans="1:12" x14ac:dyDescent="0.3">
      <c r="A759" s="373" t="s">
        <v>1463</v>
      </c>
      <c r="B759" s="374" t="s">
        <v>627</v>
      </c>
      <c r="C759" s="472"/>
      <c r="D759" s="274"/>
      <c r="E759" s="274"/>
      <c r="F759" s="473"/>
      <c r="G759" s="472" t="s">
        <v>251</v>
      </c>
      <c r="H759" s="274" t="s">
        <v>251</v>
      </c>
      <c r="I759" s="274" t="s">
        <v>251</v>
      </c>
      <c r="J759" s="473"/>
      <c r="K759" s="184">
        <f t="shared" si="36"/>
        <v>0</v>
      </c>
      <c r="L759" s="275" t="str">
        <f t="shared" si="37"/>
        <v/>
      </c>
    </row>
    <row r="760" spans="1:12" x14ac:dyDescent="0.3">
      <c r="A760" s="373" t="s">
        <v>1463</v>
      </c>
      <c r="B760" s="374" t="s">
        <v>1464</v>
      </c>
      <c r="C760" s="472"/>
      <c r="D760" s="274"/>
      <c r="E760" s="274"/>
      <c r="F760" s="473"/>
      <c r="G760" s="472" t="s">
        <v>251</v>
      </c>
      <c r="H760" s="274" t="s">
        <v>251</v>
      </c>
      <c r="I760" s="274" t="s">
        <v>251</v>
      </c>
      <c r="J760" s="473"/>
      <c r="K760" s="184">
        <f t="shared" si="36"/>
        <v>0</v>
      </c>
      <c r="L760" s="275" t="str">
        <f t="shared" si="37"/>
        <v/>
      </c>
    </row>
    <row r="761" spans="1:12" x14ac:dyDescent="0.3">
      <c r="A761" s="373" t="s">
        <v>1463</v>
      </c>
      <c r="B761" s="374" t="s">
        <v>669</v>
      </c>
      <c r="C761" s="472"/>
      <c r="D761" s="274"/>
      <c r="E761" s="274"/>
      <c r="F761" s="473"/>
      <c r="G761" s="472" t="s">
        <v>251</v>
      </c>
      <c r="H761" s="274" t="s">
        <v>251</v>
      </c>
      <c r="I761" s="274" t="s">
        <v>251</v>
      </c>
      <c r="J761" s="473"/>
      <c r="K761" s="184">
        <f t="shared" si="36"/>
        <v>0</v>
      </c>
      <c r="L761" s="275" t="str">
        <f t="shared" si="37"/>
        <v/>
      </c>
    </row>
    <row r="762" spans="1:12" x14ac:dyDescent="0.3">
      <c r="A762" s="373" t="s">
        <v>1463</v>
      </c>
      <c r="B762" s="374" t="s">
        <v>1465</v>
      </c>
      <c r="C762" s="472"/>
      <c r="D762" s="274"/>
      <c r="E762" s="274"/>
      <c r="F762" s="473"/>
      <c r="G762" s="472" t="s">
        <v>251</v>
      </c>
      <c r="H762" s="274" t="s">
        <v>251</v>
      </c>
      <c r="I762" s="274" t="s">
        <v>251</v>
      </c>
      <c r="J762" s="473"/>
      <c r="K762" s="184">
        <f t="shared" si="36"/>
        <v>0</v>
      </c>
      <c r="L762" s="275" t="str">
        <f t="shared" si="37"/>
        <v/>
      </c>
    </row>
    <row r="763" spans="1:12" x14ac:dyDescent="0.3">
      <c r="A763" s="375" t="s">
        <v>1466</v>
      </c>
      <c r="B763" s="376" t="s">
        <v>1186</v>
      </c>
      <c r="C763" s="474"/>
      <c r="D763" s="276"/>
      <c r="E763" s="276">
        <v>11000</v>
      </c>
      <c r="F763" s="475">
        <f>C763+D763+E763</f>
        <v>11000</v>
      </c>
      <c r="G763" s="474" t="s">
        <v>251</v>
      </c>
      <c r="H763" s="276" t="s">
        <v>251</v>
      </c>
      <c r="I763" s="276" t="s">
        <v>251</v>
      </c>
      <c r="J763" s="475"/>
      <c r="K763" s="185">
        <f t="shared" si="36"/>
        <v>0</v>
      </c>
      <c r="L763" s="277" t="str">
        <f t="shared" si="37"/>
        <v/>
      </c>
    </row>
    <row r="764" spans="1:12" x14ac:dyDescent="0.3">
      <c r="A764" s="377" t="s">
        <v>1467</v>
      </c>
      <c r="B764" s="378" t="s">
        <v>1371</v>
      </c>
      <c r="C764" s="476"/>
      <c r="D764" s="278">
        <v>42200</v>
      </c>
      <c r="E764" s="278"/>
      <c r="F764" s="477">
        <f>C764+D764+E764</f>
        <v>42200</v>
      </c>
      <c r="G764" s="476" t="s">
        <v>251</v>
      </c>
      <c r="H764" s="278" t="s">
        <v>251</v>
      </c>
      <c r="I764" s="278" t="s">
        <v>251</v>
      </c>
      <c r="J764" s="477"/>
      <c r="K764" s="186">
        <f t="shared" si="36"/>
        <v>0</v>
      </c>
      <c r="L764" s="279" t="str">
        <f t="shared" si="37"/>
        <v/>
      </c>
    </row>
    <row r="765" spans="1:12" x14ac:dyDescent="0.3">
      <c r="A765" s="379" t="s">
        <v>253</v>
      </c>
      <c r="B765" s="380" t="s">
        <v>1279</v>
      </c>
      <c r="C765" s="478"/>
      <c r="D765" s="280"/>
      <c r="E765" s="280"/>
      <c r="F765" s="479"/>
      <c r="G765" s="478" t="s">
        <v>251</v>
      </c>
      <c r="H765" s="280" t="s">
        <v>251</v>
      </c>
      <c r="I765" s="280" t="s">
        <v>251</v>
      </c>
      <c r="J765" s="479"/>
      <c r="K765" s="187">
        <f t="shared" si="36"/>
        <v>0</v>
      </c>
      <c r="L765" s="281" t="str">
        <f t="shared" si="37"/>
        <v/>
      </c>
    </row>
    <row r="766" spans="1:12" x14ac:dyDescent="0.3">
      <c r="A766" s="381" t="s">
        <v>759</v>
      </c>
      <c r="B766" s="382" t="s">
        <v>1074</v>
      </c>
      <c r="C766" s="480"/>
      <c r="D766" s="282"/>
      <c r="E766" s="282"/>
      <c r="F766" s="481"/>
      <c r="G766" s="480">
        <v>21708200</v>
      </c>
      <c r="H766" s="282"/>
      <c r="I766" s="282">
        <v>12420400</v>
      </c>
      <c r="J766" s="481">
        <f>G766+H766+I766</f>
        <v>34128600</v>
      </c>
      <c r="K766" s="29">
        <f t="shared" si="36"/>
        <v>0</v>
      </c>
      <c r="L766" s="283" t="str">
        <f t="shared" si="37"/>
        <v/>
      </c>
    </row>
    <row r="767" spans="1:12" x14ac:dyDescent="0.3">
      <c r="A767" s="381" t="s">
        <v>759</v>
      </c>
      <c r="B767" s="382" t="s">
        <v>1468</v>
      </c>
      <c r="C767" s="480">
        <v>2768600</v>
      </c>
      <c r="D767" s="282">
        <v>17200</v>
      </c>
      <c r="E767" s="282">
        <v>6984100</v>
      </c>
      <c r="F767" s="481">
        <f>C767+D767+E767</f>
        <v>9769900</v>
      </c>
      <c r="G767" s="480">
        <v>2165000</v>
      </c>
      <c r="H767" s="282">
        <v>76600</v>
      </c>
      <c r="I767" s="282">
        <v>6764800</v>
      </c>
      <c r="J767" s="481">
        <f>G767+H767+I767</f>
        <v>9006400</v>
      </c>
      <c r="K767" s="29">
        <f t="shared" si="36"/>
        <v>-7.8148189848411959E-2</v>
      </c>
      <c r="L767" s="283" t="str">
        <f t="shared" si="37"/>
        <v/>
      </c>
    </row>
    <row r="768" spans="1:12" x14ac:dyDescent="0.3">
      <c r="A768" s="381" t="s">
        <v>759</v>
      </c>
      <c r="B768" s="382" t="s">
        <v>1469</v>
      </c>
      <c r="C768" s="480">
        <v>4502000</v>
      </c>
      <c r="D768" s="282">
        <v>574800</v>
      </c>
      <c r="E768" s="282">
        <v>362200</v>
      </c>
      <c r="F768" s="481">
        <f>C768+D768+E768</f>
        <v>5439000</v>
      </c>
      <c r="G768" s="480">
        <v>608400</v>
      </c>
      <c r="H768" s="282">
        <v>334600</v>
      </c>
      <c r="I768" s="282">
        <v>1462400</v>
      </c>
      <c r="J768" s="481">
        <f>G768+H768+I768</f>
        <v>2405400</v>
      </c>
      <c r="K768" s="29">
        <f t="shared" si="36"/>
        <v>-0.5577495863210149</v>
      </c>
      <c r="L768" s="283" t="str">
        <f t="shared" si="37"/>
        <v/>
      </c>
    </row>
    <row r="769" spans="1:12" x14ac:dyDescent="0.3">
      <c r="A769" s="381" t="s">
        <v>759</v>
      </c>
      <c r="B769" s="382" t="s">
        <v>1470</v>
      </c>
      <c r="C769" s="480">
        <v>909200</v>
      </c>
      <c r="D769" s="282"/>
      <c r="E769" s="282"/>
      <c r="F769" s="481">
        <f>C769+D769+E769</f>
        <v>909200</v>
      </c>
      <c r="G769" s="480">
        <v>2139600</v>
      </c>
      <c r="H769" s="282">
        <v>544800</v>
      </c>
      <c r="I769" s="282">
        <v>2736820</v>
      </c>
      <c r="J769" s="481">
        <f>G769+H769+I769</f>
        <v>5421220</v>
      </c>
      <c r="K769" s="29">
        <f t="shared" si="36"/>
        <v>4.9626264848218211</v>
      </c>
      <c r="L769" s="283" t="str">
        <f t="shared" si="37"/>
        <v/>
      </c>
    </row>
    <row r="770" spans="1:12" x14ac:dyDescent="0.3">
      <c r="A770" s="381" t="s">
        <v>759</v>
      </c>
      <c r="B770" s="382" t="s">
        <v>1471</v>
      </c>
      <c r="C770" s="480">
        <v>1699000</v>
      </c>
      <c r="D770" s="282">
        <v>186800</v>
      </c>
      <c r="E770" s="282">
        <v>1446600</v>
      </c>
      <c r="F770" s="481">
        <f>C770+D770+E770</f>
        <v>3332400</v>
      </c>
      <c r="G770" s="480">
        <v>925500</v>
      </c>
      <c r="H770" s="282">
        <v>1547800</v>
      </c>
      <c r="I770" s="282">
        <v>1334000</v>
      </c>
      <c r="J770" s="481">
        <f>G770+H770+I770</f>
        <v>3807300</v>
      </c>
      <c r="K770" s="29">
        <f t="shared" ref="K770:K833" si="38">IF(OR(J770="", F770=""), 0, IFERROR((J770-F770)/F770, IF(J770&lt;&gt;0, 1, 0)))</f>
        <v>0.14250990277277636</v>
      </c>
      <c r="L770" s="283" t="str">
        <f t="shared" ref="L770:L833" si="39">IFERROR(_xlfn.RANK.EQ(J770, $J$2:$J$308), "")</f>
        <v/>
      </c>
    </row>
    <row r="771" spans="1:12" x14ac:dyDescent="0.3">
      <c r="A771" s="381" t="s">
        <v>759</v>
      </c>
      <c r="B771" s="382" t="s">
        <v>1193</v>
      </c>
      <c r="C771" s="480" t="s">
        <v>251</v>
      </c>
      <c r="D771" s="282" t="s">
        <v>251</v>
      </c>
      <c r="E771" s="282" t="s">
        <v>251</v>
      </c>
      <c r="F771" s="481"/>
      <c r="G771" s="480">
        <v>1215000</v>
      </c>
      <c r="H771" s="282">
        <v>1644200</v>
      </c>
      <c r="I771" s="282">
        <v>40000</v>
      </c>
      <c r="J771" s="481">
        <f t="shared" ref="J771:J834" si="40">G771+H771+I771</f>
        <v>2899200</v>
      </c>
      <c r="K771" s="29">
        <f t="shared" si="38"/>
        <v>0</v>
      </c>
      <c r="L771" s="283" t="str">
        <f t="shared" si="39"/>
        <v/>
      </c>
    </row>
    <row r="772" spans="1:12" x14ac:dyDescent="0.3">
      <c r="A772" s="381" t="s">
        <v>759</v>
      </c>
      <c r="B772" s="382" t="s">
        <v>1427</v>
      </c>
      <c r="C772" s="480">
        <v>34000</v>
      </c>
      <c r="D772" s="282">
        <v>40000</v>
      </c>
      <c r="E772" s="282">
        <v>125000</v>
      </c>
      <c r="F772" s="481">
        <f>C772+D772+E772</f>
        <v>199000</v>
      </c>
      <c r="G772" s="480">
        <v>905000</v>
      </c>
      <c r="H772" s="282">
        <v>36000</v>
      </c>
      <c r="I772" s="282">
        <v>1624000</v>
      </c>
      <c r="J772" s="481">
        <f t="shared" si="40"/>
        <v>2565000</v>
      </c>
      <c r="K772" s="29">
        <f t="shared" si="38"/>
        <v>11.889447236180905</v>
      </c>
      <c r="L772" s="283" t="str">
        <f t="shared" si="39"/>
        <v/>
      </c>
    </row>
    <row r="773" spans="1:12" x14ac:dyDescent="0.3">
      <c r="A773" s="381" t="s">
        <v>759</v>
      </c>
      <c r="B773" s="382" t="s">
        <v>1472</v>
      </c>
      <c r="C773" s="480" t="s">
        <v>251</v>
      </c>
      <c r="D773" s="282" t="s">
        <v>251</v>
      </c>
      <c r="E773" s="282" t="s">
        <v>251</v>
      </c>
      <c r="F773" s="481"/>
      <c r="G773" s="480">
        <v>1286000</v>
      </c>
      <c r="H773" s="282">
        <v>1142500</v>
      </c>
      <c r="I773" s="282">
        <v>305000</v>
      </c>
      <c r="J773" s="481">
        <f t="shared" si="40"/>
        <v>2733500</v>
      </c>
      <c r="K773" s="29">
        <f t="shared" si="38"/>
        <v>0</v>
      </c>
      <c r="L773" s="283" t="str">
        <f t="shared" si="39"/>
        <v/>
      </c>
    </row>
    <row r="774" spans="1:12" x14ac:dyDescent="0.3">
      <c r="A774" s="381" t="s">
        <v>759</v>
      </c>
      <c r="B774" s="382" t="s">
        <v>1153</v>
      </c>
      <c r="C774" s="480">
        <v>435000</v>
      </c>
      <c r="D774" s="282"/>
      <c r="E774" s="282">
        <v>320000</v>
      </c>
      <c r="F774" s="481">
        <f>C774+D774+E774</f>
        <v>755000</v>
      </c>
      <c r="G774" s="480">
        <v>490000</v>
      </c>
      <c r="H774" s="282">
        <v>1111000</v>
      </c>
      <c r="I774" s="282">
        <v>495300</v>
      </c>
      <c r="J774" s="481">
        <f t="shared" si="40"/>
        <v>2096300</v>
      </c>
      <c r="K774" s="29">
        <f t="shared" si="38"/>
        <v>1.7765562913907285</v>
      </c>
      <c r="L774" s="283" t="str">
        <f t="shared" si="39"/>
        <v/>
      </c>
    </row>
    <row r="775" spans="1:12" x14ac:dyDescent="0.3">
      <c r="A775" s="381" t="s">
        <v>759</v>
      </c>
      <c r="B775" s="382" t="s">
        <v>1473</v>
      </c>
      <c r="C775" s="480">
        <v>975000</v>
      </c>
      <c r="D775" s="282">
        <v>305200</v>
      </c>
      <c r="E775" s="282">
        <v>900000</v>
      </c>
      <c r="F775" s="481">
        <f>C775+D775+E775</f>
        <v>2180200</v>
      </c>
      <c r="G775" s="480">
        <v>300000</v>
      </c>
      <c r="H775" s="282">
        <v>855400</v>
      </c>
      <c r="I775" s="282">
        <v>1425000</v>
      </c>
      <c r="J775" s="481">
        <f t="shared" si="40"/>
        <v>2580400</v>
      </c>
      <c r="K775" s="29">
        <f t="shared" si="38"/>
        <v>0.18356114117970829</v>
      </c>
      <c r="L775" s="283" t="str">
        <f t="shared" si="39"/>
        <v/>
      </c>
    </row>
    <row r="776" spans="1:12" x14ac:dyDescent="0.3">
      <c r="A776" s="381" t="s">
        <v>759</v>
      </c>
      <c r="B776" s="382" t="s">
        <v>1474</v>
      </c>
      <c r="C776" s="480">
        <v>493000</v>
      </c>
      <c r="D776" s="282">
        <v>47600</v>
      </c>
      <c r="E776" s="282">
        <v>545000</v>
      </c>
      <c r="F776" s="481">
        <f>C776+D776+E776</f>
        <v>1085600</v>
      </c>
      <c r="G776" s="480">
        <v>567300</v>
      </c>
      <c r="H776" s="282">
        <v>677400</v>
      </c>
      <c r="I776" s="282">
        <v>744100</v>
      </c>
      <c r="J776" s="481">
        <f t="shared" si="40"/>
        <v>1988800</v>
      </c>
      <c r="K776" s="29">
        <f t="shared" si="38"/>
        <v>0.83198231392778188</v>
      </c>
      <c r="L776" s="283" t="str">
        <f t="shared" si="39"/>
        <v/>
      </c>
    </row>
    <row r="777" spans="1:12" x14ac:dyDescent="0.3">
      <c r="A777" s="381" t="s">
        <v>759</v>
      </c>
      <c r="B777" s="382" t="s">
        <v>1475</v>
      </c>
      <c r="C777" s="480" t="s">
        <v>251</v>
      </c>
      <c r="D777" s="282" t="s">
        <v>251</v>
      </c>
      <c r="E777" s="282" t="s">
        <v>251</v>
      </c>
      <c r="F777" s="481"/>
      <c r="G777" s="480"/>
      <c r="H777" s="282"/>
      <c r="I777" s="282">
        <v>1015000</v>
      </c>
      <c r="J777" s="481">
        <f t="shared" si="40"/>
        <v>1015000</v>
      </c>
      <c r="K777" s="29">
        <f t="shared" si="38"/>
        <v>0</v>
      </c>
      <c r="L777" s="283" t="str">
        <f t="shared" si="39"/>
        <v/>
      </c>
    </row>
    <row r="778" spans="1:12" x14ac:dyDescent="0.3">
      <c r="A778" s="381" t="s">
        <v>759</v>
      </c>
      <c r="B778" s="382" t="s">
        <v>1476</v>
      </c>
      <c r="C778" s="480">
        <v>825000</v>
      </c>
      <c r="D778" s="282">
        <v>506500</v>
      </c>
      <c r="E778" s="282">
        <v>286500</v>
      </c>
      <c r="F778" s="481">
        <f>C778+D778+E778</f>
        <v>1618000</v>
      </c>
      <c r="G778" s="480">
        <v>436200</v>
      </c>
      <c r="H778" s="282">
        <v>440000</v>
      </c>
      <c r="I778" s="282">
        <v>990000</v>
      </c>
      <c r="J778" s="481">
        <f t="shared" si="40"/>
        <v>1866200</v>
      </c>
      <c r="K778" s="29">
        <f t="shared" si="38"/>
        <v>0.1533992583436341</v>
      </c>
      <c r="L778" s="283" t="str">
        <f t="shared" si="39"/>
        <v/>
      </c>
    </row>
    <row r="779" spans="1:12" x14ac:dyDescent="0.3">
      <c r="A779" s="381" t="s">
        <v>759</v>
      </c>
      <c r="B779" s="382" t="s">
        <v>1477</v>
      </c>
      <c r="C779" s="480">
        <v>200000</v>
      </c>
      <c r="D779" s="282"/>
      <c r="E779" s="282"/>
      <c r="F779" s="481">
        <f>C779+D779+E779</f>
        <v>200000</v>
      </c>
      <c r="G779" s="480"/>
      <c r="H779" s="282">
        <v>594000</v>
      </c>
      <c r="I779" s="282">
        <v>672000</v>
      </c>
      <c r="J779" s="481">
        <f t="shared" si="40"/>
        <v>1266000</v>
      </c>
      <c r="K779" s="29">
        <f t="shared" si="38"/>
        <v>5.33</v>
      </c>
      <c r="L779" s="283" t="str">
        <f t="shared" si="39"/>
        <v/>
      </c>
    </row>
    <row r="780" spans="1:12" x14ac:dyDescent="0.3">
      <c r="A780" s="381" t="s">
        <v>759</v>
      </c>
      <c r="B780" s="382" t="s">
        <v>1478</v>
      </c>
      <c r="C780" s="480">
        <v>331700</v>
      </c>
      <c r="D780" s="282">
        <v>330000</v>
      </c>
      <c r="E780" s="282"/>
      <c r="F780" s="481">
        <f>C780+D780+E780</f>
        <v>661700</v>
      </c>
      <c r="G780" s="480">
        <v>691000</v>
      </c>
      <c r="H780" s="282"/>
      <c r="I780" s="282">
        <v>110000</v>
      </c>
      <c r="J780" s="481">
        <f t="shared" si="40"/>
        <v>801000</v>
      </c>
      <c r="K780" s="29">
        <f t="shared" si="38"/>
        <v>0.21051836179537556</v>
      </c>
      <c r="L780" s="283" t="str">
        <f t="shared" si="39"/>
        <v/>
      </c>
    </row>
    <row r="781" spans="1:12" x14ac:dyDescent="0.3">
      <c r="A781" s="381" t="s">
        <v>759</v>
      </c>
      <c r="B781" s="382" t="s">
        <v>1332</v>
      </c>
      <c r="C781" s="480"/>
      <c r="D781" s="282"/>
      <c r="E781" s="282"/>
      <c r="F781" s="481"/>
      <c r="G781" s="480">
        <v>1737950</v>
      </c>
      <c r="H781" s="282"/>
      <c r="I781" s="282"/>
      <c r="J781" s="481">
        <f t="shared" si="40"/>
        <v>1737950</v>
      </c>
      <c r="K781" s="29">
        <f t="shared" si="38"/>
        <v>0</v>
      </c>
      <c r="L781" s="283" t="str">
        <f t="shared" si="39"/>
        <v/>
      </c>
    </row>
    <row r="782" spans="1:12" x14ac:dyDescent="0.3">
      <c r="A782" s="381" t="s">
        <v>759</v>
      </c>
      <c r="B782" s="382" t="s">
        <v>1479</v>
      </c>
      <c r="C782" s="480"/>
      <c r="D782" s="282"/>
      <c r="E782" s="282"/>
      <c r="F782" s="481"/>
      <c r="G782" s="480"/>
      <c r="H782" s="282">
        <v>1680000</v>
      </c>
      <c r="I782" s="282"/>
      <c r="J782" s="481">
        <f t="shared" si="40"/>
        <v>1680000</v>
      </c>
      <c r="K782" s="29">
        <f t="shared" si="38"/>
        <v>0</v>
      </c>
      <c r="L782" s="283" t="str">
        <f t="shared" si="39"/>
        <v/>
      </c>
    </row>
    <row r="783" spans="1:12" x14ac:dyDescent="0.3">
      <c r="A783" s="381" t="s">
        <v>759</v>
      </c>
      <c r="B783" s="382" t="s">
        <v>1480</v>
      </c>
      <c r="C783" s="480">
        <v>145000</v>
      </c>
      <c r="D783" s="282"/>
      <c r="E783" s="282"/>
      <c r="F783" s="481">
        <f>C783+D783+E783</f>
        <v>145000</v>
      </c>
      <c r="G783" s="480">
        <v>622000</v>
      </c>
      <c r="H783" s="282">
        <v>449800</v>
      </c>
      <c r="I783" s="282">
        <v>378000</v>
      </c>
      <c r="J783" s="481">
        <f t="shared" si="40"/>
        <v>1449800</v>
      </c>
      <c r="K783" s="29">
        <f t="shared" si="38"/>
        <v>8.9986206896551728</v>
      </c>
      <c r="L783" s="283" t="str">
        <f t="shared" si="39"/>
        <v/>
      </c>
    </row>
    <row r="784" spans="1:12" x14ac:dyDescent="0.3">
      <c r="A784" s="381" t="s">
        <v>759</v>
      </c>
      <c r="B784" s="382" t="s">
        <v>405</v>
      </c>
      <c r="C784" s="480">
        <v>155700</v>
      </c>
      <c r="D784" s="282">
        <v>20500</v>
      </c>
      <c r="E784" s="282">
        <v>49000</v>
      </c>
      <c r="F784" s="481">
        <f>C784+D784+E784</f>
        <v>225200</v>
      </c>
      <c r="G784" s="480"/>
      <c r="H784" s="282">
        <v>23000</v>
      </c>
      <c r="I784" s="282">
        <v>150000</v>
      </c>
      <c r="J784" s="481">
        <f t="shared" si="40"/>
        <v>173000</v>
      </c>
      <c r="K784" s="29">
        <f t="shared" si="38"/>
        <v>-0.23179396092362345</v>
      </c>
      <c r="L784" s="283" t="str">
        <f t="shared" si="39"/>
        <v/>
      </c>
    </row>
    <row r="785" spans="1:12" x14ac:dyDescent="0.3">
      <c r="A785" s="381" t="s">
        <v>759</v>
      </c>
      <c r="B785" s="382" t="s">
        <v>1481</v>
      </c>
      <c r="C785" s="480"/>
      <c r="D785" s="282"/>
      <c r="E785" s="282"/>
      <c r="F785" s="481"/>
      <c r="G785" s="480"/>
      <c r="H785" s="282">
        <v>1380000</v>
      </c>
      <c r="I785" s="282"/>
      <c r="J785" s="481">
        <f t="shared" si="40"/>
        <v>1380000</v>
      </c>
      <c r="K785" s="29">
        <f t="shared" si="38"/>
        <v>0</v>
      </c>
      <c r="L785" s="283" t="str">
        <f t="shared" si="39"/>
        <v/>
      </c>
    </row>
    <row r="786" spans="1:12" x14ac:dyDescent="0.3">
      <c r="A786" s="381" t="s">
        <v>759</v>
      </c>
      <c r="B786" s="382" t="s">
        <v>1287</v>
      </c>
      <c r="C786" s="480"/>
      <c r="D786" s="282"/>
      <c r="E786" s="282"/>
      <c r="F786" s="481"/>
      <c r="G786" s="480"/>
      <c r="H786" s="282"/>
      <c r="I786" s="282">
        <v>1133000</v>
      </c>
      <c r="J786" s="481">
        <f t="shared" si="40"/>
        <v>1133000</v>
      </c>
      <c r="K786" s="29">
        <f t="shared" si="38"/>
        <v>0</v>
      </c>
      <c r="L786" s="283" t="str">
        <f t="shared" si="39"/>
        <v/>
      </c>
    </row>
    <row r="787" spans="1:12" x14ac:dyDescent="0.3">
      <c r="A787" s="381" t="s">
        <v>759</v>
      </c>
      <c r="B787" s="382" t="s">
        <v>1482</v>
      </c>
      <c r="C787" s="480"/>
      <c r="D787" s="282"/>
      <c r="E787" s="282"/>
      <c r="F787" s="481"/>
      <c r="G787" s="480"/>
      <c r="H787" s="282">
        <v>961100</v>
      </c>
      <c r="I787" s="282"/>
      <c r="J787" s="481">
        <f t="shared" si="40"/>
        <v>961100</v>
      </c>
      <c r="K787" s="29">
        <f t="shared" si="38"/>
        <v>0</v>
      </c>
      <c r="L787" s="283" t="str">
        <f t="shared" si="39"/>
        <v/>
      </c>
    </row>
    <row r="788" spans="1:12" x14ac:dyDescent="0.3">
      <c r="A788" s="381" t="s">
        <v>759</v>
      </c>
      <c r="B788" s="382" t="s">
        <v>1483</v>
      </c>
      <c r="C788" s="480"/>
      <c r="D788" s="282"/>
      <c r="E788" s="282"/>
      <c r="F788" s="481"/>
      <c r="G788" s="480">
        <v>851500</v>
      </c>
      <c r="H788" s="282">
        <v>190000</v>
      </c>
      <c r="I788" s="282">
        <v>102000</v>
      </c>
      <c r="J788" s="481">
        <f t="shared" si="40"/>
        <v>1143500</v>
      </c>
      <c r="K788" s="29">
        <f t="shared" si="38"/>
        <v>0</v>
      </c>
      <c r="L788" s="283" t="str">
        <f t="shared" si="39"/>
        <v/>
      </c>
    </row>
    <row r="789" spans="1:12" x14ac:dyDescent="0.3">
      <c r="A789" s="381" t="s">
        <v>759</v>
      </c>
      <c r="B789" s="382" t="s">
        <v>1484</v>
      </c>
      <c r="C789" s="480"/>
      <c r="D789" s="282"/>
      <c r="E789" s="282"/>
      <c r="F789" s="481"/>
      <c r="G789" s="480"/>
      <c r="H789" s="282">
        <v>180000</v>
      </c>
      <c r="I789" s="282">
        <v>180000</v>
      </c>
      <c r="J789" s="481">
        <f t="shared" si="40"/>
        <v>360000</v>
      </c>
      <c r="K789" s="29">
        <f t="shared" si="38"/>
        <v>0</v>
      </c>
      <c r="L789" s="283" t="str">
        <f t="shared" si="39"/>
        <v/>
      </c>
    </row>
    <row r="790" spans="1:12" x14ac:dyDescent="0.3">
      <c r="A790" s="381" t="s">
        <v>759</v>
      </c>
      <c r="B790" s="382" t="s">
        <v>1346</v>
      </c>
      <c r="C790" s="480">
        <v>1584000</v>
      </c>
      <c r="D790" s="282"/>
      <c r="E790" s="282"/>
      <c r="F790" s="481">
        <f>C790+D790+E790</f>
        <v>1584000</v>
      </c>
      <c r="G790" s="480">
        <v>778000</v>
      </c>
      <c r="H790" s="282">
        <v>431000</v>
      </c>
      <c r="I790" s="282"/>
      <c r="J790" s="481">
        <f t="shared" si="40"/>
        <v>1209000</v>
      </c>
      <c r="K790" s="29">
        <f t="shared" si="38"/>
        <v>-0.23674242424242425</v>
      </c>
      <c r="L790" s="283" t="str">
        <f t="shared" si="39"/>
        <v/>
      </c>
    </row>
    <row r="791" spans="1:12" x14ac:dyDescent="0.3">
      <c r="A791" s="381" t="s">
        <v>759</v>
      </c>
      <c r="B791" s="382" t="s">
        <v>1485</v>
      </c>
      <c r="C791" s="480"/>
      <c r="D791" s="282"/>
      <c r="E791" s="282">
        <v>1398000</v>
      </c>
      <c r="F791" s="481">
        <f>C791+D791+E791</f>
        <v>1398000</v>
      </c>
      <c r="G791" s="480"/>
      <c r="H791" s="282">
        <v>694000</v>
      </c>
      <c r="I791" s="282">
        <v>453000</v>
      </c>
      <c r="J791" s="481">
        <f t="shared" si="40"/>
        <v>1147000</v>
      </c>
      <c r="K791" s="29">
        <f t="shared" si="38"/>
        <v>-0.17954220314735336</v>
      </c>
      <c r="L791" s="283" t="str">
        <f t="shared" si="39"/>
        <v/>
      </c>
    </row>
    <row r="792" spans="1:12" x14ac:dyDescent="0.3">
      <c r="A792" s="381" t="s">
        <v>759</v>
      </c>
      <c r="B792" s="382" t="s">
        <v>1486</v>
      </c>
      <c r="C792" s="480">
        <v>900000</v>
      </c>
      <c r="D792" s="282"/>
      <c r="E792" s="282"/>
      <c r="F792" s="481">
        <f>C792+D792+E792</f>
        <v>900000</v>
      </c>
      <c r="G792" s="480">
        <v>1127500</v>
      </c>
      <c r="H792" s="282"/>
      <c r="I792" s="282"/>
      <c r="J792" s="481">
        <f t="shared" si="40"/>
        <v>1127500</v>
      </c>
      <c r="K792" s="29">
        <f t="shared" si="38"/>
        <v>0.25277777777777777</v>
      </c>
      <c r="L792" s="283" t="str">
        <f t="shared" si="39"/>
        <v/>
      </c>
    </row>
    <row r="793" spans="1:12" x14ac:dyDescent="0.3">
      <c r="A793" s="381" t="s">
        <v>759</v>
      </c>
      <c r="B793" s="382" t="s">
        <v>1266</v>
      </c>
      <c r="C793" s="480"/>
      <c r="D793" s="282">
        <v>181000</v>
      </c>
      <c r="E793" s="282"/>
      <c r="F793" s="481">
        <f>C793+D793+E793</f>
        <v>181000</v>
      </c>
      <c r="G793" s="480"/>
      <c r="H793" s="282">
        <v>230000</v>
      </c>
      <c r="I793" s="282">
        <v>55000</v>
      </c>
      <c r="J793" s="481">
        <f t="shared" si="40"/>
        <v>285000</v>
      </c>
      <c r="K793" s="29">
        <f t="shared" si="38"/>
        <v>0.574585635359116</v>
      </c>
      <c r="L793" s="283" t="str">
        <f t="shared" si="39"/>
        <v/>
      </c>
    </row>
    <row r="794" spans="1:12" x14ac:dyDescent="0.3">
      <c r="A794" s="381" t="s">
        <v>759</v>
      </c>
      <c r="B794" s="382" t="s">
        <v>1487</v>
      </c>
      <c r="C794" s="480" t="s">
        <v>251</v>
      </c>
      <c r="D794" s="282" t="s">
        <v>251</v>
      </c>
      <c r="E794" s="282" t="s">
        <v>251</v>
      </c>
      <c r="F794" s="481"/>
      <c r="G794" s="480"/>
      <c r="H794" s="282"/>
      <c r="I794" s="282"/>
      <c r="J794" s="481"/>
      <c r="K794" s="29">
        <f t="shared" si="38"/>
        <v>0</v>
      </c>
      <c r="L794" s="283" t="str">
        <f t="shared" si="39"/>
        <v/>
      </c>
    </row>
    <row r="795" spans="1:12" x14ac:dyDescent="0.3">
      <c r="A795" s="381" t="s">
        <v>759</v>
      </c>
      <c r="B795" s="382" t="s">
        <v>1488</v>
      </c>
      <c r="C795" s="480" t="s">
        <v>251</v>
      </c>
      <c r="D795" s="282" t="s">
        <v>251</v>
      </c>
      <c r="E795" s="282" t="s">
        <v>251</v>
      </c>
      <c r="F795" s="481"/>
      <c r="G795" s="480"/>
      <c r="H795" s="282"/>
      <c r="I795" s="282"/>
      <c r="J795" s="481"/>
      <c r="K795" s="29">
        <f t="shared" si="38"/>
        <v>0</v>
      </c>
      <c r="L795" s="283" t="str">
        <f t="shared" si="39"/>
        <v/>
      </c>
    </row>
    <row r="796" spans="1:12" x14ac:dyDescent="0.3">
      <c r="A796" s="381" t="s">
        <v>759</v>
      </c>
      <c r="B796" s="382" t="s">
        <v>1489</v>
      </c>
      <c r="C796" s="480" t="s">
        <v>251</v>
      </c>
      <c r="D796" s="282" t="s">
        <v>251</v>
      </c>
      <c r="E796" s="282" t="s">
        <v>251</v>
      </c>
      <c r="F796" s="481"/>
      <c r="G796" s="480">
        <v>1006000</v>
      </c>
      <c r="H796" s="282"/>
      <c r="I796" s="282"/>
      <c r="J796" s="481">
        <f t="shared" si="40"/>
        <v>1006000</v>
      </c>
      <c r="K796" s="29">
        <f t="shared" si="38"/>
        <v>0</v>
      </c>
      <c r="L796" s="283" t="str">
        <f t="shared" si="39"/>
        <v/>
      </c>
    </row>
    <row r="797" spans="1:12" x14ac:dyDescent="0.3">
      <c r="A797" s="381" t="s">
        <v>759</v>
      </c>
      <c r="B797" s="382" t="s">
        <v>1490</v>
      </c>
      <c r="C797" s="480">
        <v>180000</v>
      </c>
      <c r="D797" s="282"/>
      <c r="E797" s="282">
        <v>1280000</v>
      </c>
      <c r="F797" s="481">
        <f>C797+D797+E797</f>
        <v>1460000</v>
      </c>
      <c r="G797" s="480"/>
      <c r="H797" s="282">
        <v>960000</v>
      </c>
      <c r="I797" s="282"/>
      <c r="J797" s="481">
        <f t="shared" si="40"/>
        <v>960000</v>
      </c>
      <c r="K797" s="29">
        <f t="shared" si="38"/>
        <v>-0.34246575342465752</v>
      </c>
      <c r="L797" s="283" t="str">
        <f t="shared" si="39"/>
        <v/>
      </c>
    </row>
    <row r="798" spans="1:12" x14ac:dyDescent="0.3">
      <c r="A798" s="381" t="s">
        <v>759</v>
      </c>
      <c r="B798" s="382" t="s">
        <v>1491</v>
      </c>
      <c r="C798" s="480" t="s">
        <v>251</v>
      </c>
      <c r="D798" s="282" t="s">
        <v>251</v>
      </c>
      <c r="E798" s="282" t="s">
        <v>251</v>
      </c>
      <c r="F798" s="481"/>
      <c r="G798" s="480">
        <v>67000</v>
      </c>
      <c r="H798" s="282">
        <v>155000</v>
      </c>
      <c r="I798" s="282">
        <v>45000</v>
      </c>
      <c r="J798" s="481">
        <f t="shared" si="40"/>
        <v>267000</v>
      </c>
      <c r="K798" s="29">
        <f t="shared" si="38"/>
        <v>0</v>
      </c>
      <c r="L798" s="283" t="str">
        <f t="shared" si="39"/>
        <v/>
      </c>
    </row>
    <row r="799" spans="1:12" x14ac:dyDescent="0.3">
      <c r="A799" s="381" t="s">
        <v>759</v>
      </c>
      <c r="B799" s="382" t="s">
        <v>1464</v>
      </c>
      <c r="C799" s="480" t="s">
        <v>251</v>
      </c>
      <c r="D799" s="282" t="s">
        <v>251</v>
      </c>
      <c r="E799" s="282" t="s">
        <v>251</v>
      </c>
      <c r="F799" s="481"/>
      <c r="G799" s="480">
        <v>882000</v>
      </c>
      <c r="H799" s="282"/>
      <c r="I799" s="282">
        <v>28000</v>
      </c>
      <c r="J799" s="481">
        <f t="shared" si="40"/>
        <v>910000</v>
      </c>
      <c r="K799" s="29">
        <f t="shared" si="38"/>
        <v>0</v>
      </c>
      <c r="L799" s="283" t="str">
        <f t="shared" si="39"/>
        <v/>
      </c>
    </row>
    <row r="800" spans="1:12" x14ac:dyDescent="0.3">
      <c r="A800" s="381" t="s">
        <v>759</v>
      </c>
      <c r="B800" s="382" t="s">
        <v>1492</v>
      </c>
      <c r="C800" s="480" t="s">
        <v>251</v>
      </c>
      <c r="D800" s="282" t="s">
        <v>251</v>
      </c>
      <c r="E800" s="282" t="s">
        <v>251</v>
      </c>
      <c r="F800" s="481"/>
      <c r="G800" s="480"/>
      <c r="H800" s="282"/>
      <c r="I800" s="282">
        <v>809650</v>
      </c>
      <c r="J800" s="481">
        <f t="shared" si="40"/>
        <v>809650</v>
      </c>
      <c r="K800" s="29">
        <f t="shared" si="38"/>
        <v>0</v>
      </c>
      <c r="L800" s="283" t="str">
        <f t="shared" si="39"/>
        <v/>
      </c>
    </row>
    <row r="801" spans="1:12" x14ac:dyDescent="0.3">
      <c r="A801" s="381" t="s">
        <v>759</v>
      </c>
      <c r="B801" s="382" t="s">
        <v>1298</v>
      </c>
      <c r="C801" s="480">
        <v>970550</v>
      </c>
      <c r="D801" s="282">
        <v>1830800</v>
      </c>
      <c r="E801" s="282">
        <v>75400</v>
      </c>
      <c r="F801" s="481">
        <f>C801+D801+E801</f>
        <v>2876750</v>
      </c>
      <c r="G801" s="480"/>
      <c r="H801" s="282"/>
      <c r="I801" s="282">
        <v>730900</v>
      </c>
      <c r="J801" s="481">
        <f t="shared" si="40"/>
        <v>730900</v>
      </c>
      <c r="K801" s="29">
        <f t="shared" si="38"/>
        <v>-0.74592856522116968</v>
      </c>
      <c r="L801" s="283" t="str">
        <f t="shared" si="39"/>
        <v/>
      </c>
    </row>
    <row r="802" spans="1:12" x14ac:dyDescent="0.3">
      <c r="A802" s="381" t="s">
        <v>759</v>
      </c>
      <c r="B802" s="382" t="s">
        <v>1493</v>
      </c>
      <c r="C802" s="480" t="s">
        <v>251</v>
      </c>
      <c r="D802" s="282" t="s">
        <v>251</v>
      </c>
      <c r="E802" s="282" t="s">
        <v>251</v>
      </c>
      <c r="F802" s="481"/>
      <c r="G802" s="480"/>
      <c r="H802" s="282"/>
      <c r="I802" s="282">
        <v>105000</v>
      </c>
      <c r="J802" s="481">
        <f t="shared" si="40"/>
        <v>105000</v>
      </c>
      <c r="K802" s="29">
        <f t="shared" si="38"/>
        <v>0</v>
      </c>
      <c r="L802" s="283" t="str">
        <f t="shared" si="39"/>
        <v/>
      </c>
    </row>
    <row r="803" spans="1:12" x14ac:dyDescent="0.3">
      <c r="A803" s="381" t="s">
        <v>759</v>
      </c>
      <c r="B803" s="382" t="s">
        <v>1494</v>
      </c>
      <c r="C803" s="480">
        <v>199000</v>
      </c>
      <c r="D803" s="282">
        <v>96250</v>
      </c>
      <c r="E803" s="282">
        <v>83750</v>
      </c>
      <c r="F803" s="481">
        <f>C803+D803+E803</f>
        <v>379000</v>
      </c>
      <c r="G803" s="480"/>
      <c r="H803" s="282">
        <v>401500</v>
      </c>
      <c r="I803" s="282">
        <v>80500</v>
      </c>
      <c r="J803" s="481">
        <f t="shared" si="40"/>
        <v>482000</v>
      </c>
      <c r="K803" s="29">
        <f t="shared" si="38"/>
        <v>0.27176781002638523</v>
      </c>
      <c r="L803" s="283" t="str">
        <f t="shared" si="39"/>
        <v/>
      </c>
    </row>
    <row r="804" spans="1:12" x14ac:dyDescent="0.3">
      <c r="A804" s="381" t="s">
        <v>759</v>
      </c>
      <c r="B804" s="382" t="s">
        <v>1063</v>
      </c>
      <c r="C804" s="480">
        <v>1201000</v>
      </c>
      <c r="D804" s="282"/>
      <c r="E804" s="282">
        <v>3423500</v>
      </c>
      <c r="F804" s="481">
        <f>C804+D804+E804</f>
        <v>4624500</v>
      </c>
      <c r="G804" s="480">
        <v>550000</v>
      </c>
      <c r="H804" s="282">
        <v>71000</v>
      </c>
      <c r="I804" s="282"/>
      <c r="J804" s="481">
        <f t="shared" si="40"/>
        <v>621000</v>
      </c>
      <c r="K804" s="29">
        <f t="shared" si="38"/>
        <v>-0.86571521245540062</v>
      </c>
      <c r="L804" s="283" t="str">
        <f t="shared" si="39"/>
        <v/>
      </c>
    </row>
    <row r="805" spans="1:12" x14ac:dyDescent="0.3">
      <c r="A805" s="381" t="s">
        <v>759</v>
      </c>
      <c r="B805" s="382" t="s">
        <v>1495</v>
      </c>
      <c r="C805" s="480" t="s">
        <v>251</v>
      </c>
      <c r="D805" s="282" t="s">
        <v>251</v>
      </c>
      <c r="E805" s="282" t="s">
        <v>251</v>
      </c>
      <c r="F805" s="481"/>
      <c r="G805" s="480"/>
      <c r="H805" s="282"/>
      <c r="I805" s="282">
        <v>675000</v>
      </c>
      <c r="J805" s="481">
        <f t="shared" si="40"/>
        <v>675000</v>
      </c>
      <c r="K805" s="29">
        <f t="shared" si="38"/>
        <v>0</v>
      </c>
      <c r="L805" s="283" t="str">
        <f t="shared" si="39"/>
        <v/>
      </c>
    </row>
    <row r="806" spans="1:12" x14ac:dyDescent="0.3">
      <c r="A806" s="381" t="s">
        <v>759</v>
      </c>
      <c r="B806" s="382" t="s">
        <v>1496</v>
      </c>
      <c r="C806" s="480" t="s">
        <v>251</v>
      </c>
      <c r="D806" s="282" t="s">
        <v>251</v>
      </c>
      <c r="E806" s="282" t="s">
        <v>251</v>
      </c>
      <c r="F806" s="481"/>
      <c r="G806" s="480"/>
      <c r="H806" s="282"/>
      <c r="I806" s="282"/>
      <c r="J806" s="481"/>
      <c r="K806" s="29">
        <f t="shared" si="38"/>
        <v>0</v>
      </c>
      <c r="L806" s="283" t="str">
        <f t="shared" si="39"/>
        <v/>
      </c>
    </row>
    <row r="807" spans="1:12" x14ac:dyDescent="0.3">
      <c r="A807" s="381" t="s">
        <v>759</v>
      </c>
      <c r="B807" s="382" t="s">
        <v>1497</v>
      </c>
      <c r="C807" s="480"/>
      <c r="D807" s="282">
        <v>220980</v>
      </c>
      <c r="E807" s="282"/>
      <c r="F807" s="481">
        <f>C807+D807+E807</f>
        <v>220980</v>
      </c>
      <c r="G807" s="480">
        <v>369320</v>
      </c>
      <c r="H807" s="282"/>
      <c r="I807" s="282"/>
      <c r="J807" s="481">
        <f t="shared" si="40"/>
        <v>369320</v>
      </c>
      <c r="K807" s="29">
        <f t="shared" si="38"/>
        <v>0.67128246900171962</v>
      </c>
      <c r="L807" s="283" t="str">
        <f t="shared" si="39"/>
        <v/>
      </c>
    </row>
    <row r="808" spans="1:12" x14ac:dyDescent="0.3">
      <c r="A808" s="381" t="s">
        <v>759</v>
      </c>
      <c r="B808" s="382" t="s">
        <v>655</v>
      </c>
      <c r="C808" s="480" t="s">
        <v>251</v>
      </c>
      <c r="D808" s="282" t="s">
        <v>251</v>
      </c>
      <c r="E808" s="282" t="s">
        <v>251</v>
      </c>
      <c r="F808" s="481"/>
      <c r="G808" s="480"/>
      <c r="H808" s="282">
        <v>316000</v>
      </c>
      <c r="I808" s="282">
        <v>309000</v>
      </c>
      <c r="J808" s="481">
        <f t="shared" si="40"/>
        <v>625000</v>
      </c>
      <c r="K808" s="29">
        <f t="shared" si="38"/>
        <v>0</v>
      </c>
      <c r="L808" s="283" t="str">
        <f t="shared" si="39"/>
        <v/>
      </c>
    </row>
    <row r="809" spans="1:12" x14ac:dyDescent="0.3">
      <c r="A809" s="381" t="s">
        <v>759</v>
      </c>
      <c r="B809" s="382" t="s">
        <v>1498</v>
      </c>
      <c r="C809" s="480" t="s">
        <v>251</v>
      </c>
      <c r="D809" s="282" t="s">
        <v>251</v>
      </c>
      <c r="E809" s="282" t="s">
        <v>251</v>
      </c>
      <c r="F809" s="481"/>
      <c r="G809" s="480"/>
      <c r="H809" s="282"/>
      <c r="I809" s="282"/>
      <c r="J809" s="481"/>
      <c r="K809" s="29">
        <f t="shared" si="38"/>
        <v>0</v>
      </c>
      <c r="L809" s="283" t="str">
        <f t="shared" si="39"/>
        <v/>
      </c>
    </row>
    <row r="810" spans="1:12" x14ac:dyDescent="0.3">
      <c r="A810" s="381" t="s">
        <v>759</v>
      </c>
      <c r="B810" s="382" t="s">
        <v>1499</v>
      </c>
      <c r="C810" s="480"/>
      <c r="D810" s="282">
        <v>499100</v>
      </c>
      <c r="E810" s="282">
        <v>264500</v>
      </c>
      <c r="F810" s="481">
        <f>C810+D810+E810</f>
        <v>763600</v>
      </c>
      <c r="G810" s="480">
        <v>142550</v>
      </c>
      <c r="H810" s="282"/>
      <c r="I810" s="282"/>
      <c r="J810" s="481">
        <f t="shared" si="40"/>
        <v>142550</v>
      </c>
      <c r="K810" s="29">
        <f t="shared" si="38"/>
        <v>-0.81331849135673129</v>
      </c>
      <c r="L810" s="283" t="str">
        <f t="shared" si="39"/>
        <v/>
      </c>
    </row>
    <row r="811" spans="1:12" x14ac:dyDescent="0.3">
      <c r="A811" s="381" t="s">
        <v>759</v>
      </c>
      <c r="B811" s="382" t="s">
        <v>1500</v>
      </c>
      <c r="C811" s="480" t="s">
        <v>251</v>
      </c>
      <c r="D811" s="282" t="s">
        <v>251</v>
      </c>
      <c r="E811" s="282" t="s">
        <v>251</v>
      </c>
      <c r="F811" s="481"/>
      <c r="G811" s="480"/>
      <c r="H811" s="282">
        <v>288500</v>
      </c>
      <c r="I811" s="282"/>
      <c r="J811" s="481">
        <f t="shared" si="40"/>
        <v>288500</v>
      </c>
      <c r="K811" s="29">
        <f t="shared" si="38"/>
        <v>0</v>
      </c>
      <c r="L811" s="283" t="str">
        <f t="shared" si="39"/>
        <v/>
      </c>
    </row>
    <row r="812" spans="1:12" x14ac:dyDescent="0.3">
      <c r="A812" s="381" t="s">
        <v>759</v>
      </c>
      <c r="B812" s="382" t="s">
        <v>1501</v>
      </c>
      <c r="C812" s="480">
        <v>446000</v>
      </c>
      <c r="D812" s="282"/>
      <c r="E812" s="282">
        <v>700000</v>
      </c>
      <c r="F812" s="481">
        <f>C812+D812+E812</f>
        <v>1146000</v>
      </c>
      <c r="G812" s="480"/>
      <c r="H812" s="282"/>
      <c r="I812" s="282">
        <v>311000</v>
      </c>
      <c r="J812" s="481">
        <f t="shared" si="40"/>
        <v>311000</v>
      </c>
      <c r="K812" s="29">
        <f t="shared" si="38"/>
        <v>-0.72862129144851662</v>
      </c>
      <c r="L812" s="283" t="str">
        <f t="shared" si="39"/>
        <v/>
      </c>
    </row>
    <row r="813" spans="1:12" x14ac:dyDescent="0.3">
      <c r="A813" s="381" t="s">
        <v>759</v>
      </c>
      <c r="B813" s="382" t="s">
        <v>1279</v>
      </c>
      <c r="C813" s="480"/>
      <c r="D813" s="282"/>
      <c r="E813" s="282"/>
      <c r="F813" s="481"/>
      <c r="G813" s="480"/>
      <c r="H813" s="282"/>
      <c r="I813" s="282">
        <v>262000</v>
      </c>
      <c r="J813" s="481">
        <f t="shared" si="40"/>
        <v>262000</v>
      </c>
      <c r="K813" s="29">
        <f t="shared" si="38"/>
        <v>0</v>
      </c>
      <c r="L813" s="283" t="str">
        <f t="shared" si="39"/>
        <v/>
      </c>
    </row>
    <row r="814" spans="1:12" x14ac:dyDescent="0.3">
      <c r="A814" s="381" t="s">
        <v>759</v>
      </c>
      <c r="B814" s="382" t="s">
        <v>1502</v>
      </c>
      <c r="C814" s="480"/>
      <c r="D814" s="282"/>
      <c r="E814" s="282"/>
      <c r="F814" s="481"/>
      <c r="G814" s="480"/>
      <c r="H814" s="282"/>
      <c r="I814" s="282">
        <v>510000</v>
      </c>
      <c r="J814" s="481">
        <f t="shared" si="40"/>
        <v>510000</v>
      </c>
      <c r="K814" s="29">
        <f t="shared" si="38"/>
        <v>0</v>
      </c>
      <c r="L814" s="283" t="str">
        <f t="shared" si="39"/>
        <v/>
      </c>
    </row>
    <row r="815" spans="1:12" x14ac:dyDescent="0.3">
      <c r="A815" s="381" t="s">
        <v>759</v>
      </c>
      <c r="B815" s="382" t="s">
        <v>1503</v>
      </c>
      <c r="C815" s="480"/>
      <c r="D815" s="282"/>
      <c r="E815" s="282"/>
      <c r="F815" s="481"/>
      <c r="G815" s="480"/>
      <c r="H815" s="282"/>
      <c r="I815" s="282"/>
      <c r="J815" s="481"/>
      <c r="K815" s="29">
        <f t="shared" si="38"/>
        <v>0</v>
      </c>
      <c r="L815" s="283" t="str">
        <f t="shared" si="39"/>
        <v/>
      </c>
    </row>
    <row r="816" spans="1:12" x14ac:dyDescent="0.3">
      <c r="A816" s="381" t="s">
        <v>759</v>
      </c>
      <c r="B816" s="382" t="s">
        <v>1286</v>
      </c>
      <c r="C816" s="480"/>
      <c r="D816" s="282"/>
      <c r="E816" s="282">
        <v>29000</v>
      </c>
      <c r="F816" s="481">
        <f>C816+D816+E816</f>
        <v>29000</v>
      </c>
      <c r="G816" s="480">
        <v>80000</v>
      </c>
      <c r="H816" s="282">
        <v>212500</v>
      </c>
      <c r="I816" s="282"/>
      <c r="J816" s="481">
        <f t="shared" si="40"/>
        <v>292500</v>
      </c>
      <c r="K816" s="29">
        <f t="shared" si="38"/>
        <v>9.0862068965517242</v>
      </c>
      <c r="L816" s="283" t="str">
        <f t="shared" si="39"/>
        <v/>
      </c>
    </row>
    <row r="817" spans="1:12" x14ac:dyDescent="0.3">
      <c r="A817" s="381" t="s">
        <v>759</v>
      </c>
      <c r="B817" s="382" t="s">
        <v>1504</v>
      </c>
      <c r="C817" s="480" t="s">
        <v>251</v>
      </c>
      <c r="D817" s="282" t="s">
        <v>251</v>
      </c>
      <c r="E817" s="282" t="s">
        <v>251</v>
      </c>
      <c r="F817" s="481"/>
      <c r="G817" s="480"/>
      <c r="H817" s="282"/>
      <c r="I817" s="282">
        <v>455000</v>
      </c>
      <c r="J817" s="481">
        <f t="shared" si="40"/>
        <v>455000</v>
      </c>
      <c r="K817" s="29">
        <f t="shared" si="38"/>
        <v>0</v>
      </c>
      <c r="L817" s="283" t="str">
        <f t="shared" si="39"/>
        <v/>
      </c>
    </row>
    <row r="818" spans="1:12" x14ac:dyDescent="0.3">
      <c r="A818" s="381" t="s">
        <v>759</v>
      </c>
      <c r="B818" s="382" t="s">
        <v>1505</v>
      </c>
      <c r="C818" s="480" t="s">
        <v>251</v>
      </c>
      <c r="D818" s="282" t="s">
        <v>251</v>
      </c>
      <c r="E818" s="282" t="s">
        <v>251</v>
      </c>
      <c r="F818" s="481"/>
      <c r="G818" s="480"/>
      <c r="H818" s="282">
        <v>450000</v>
      </c>
      <c r="I818" s="282"/>
      <c r="J818" s="481">
        <f t="shared" si="40"/>
        <v>450000</v>
      </c>
      <c r="K818" s="29">
        <f t="shared" si="38"/>
        <v>0</v>
      </c>
      <c r="L818" s="283" t="str">
        <f t="shared" si="39"/>
        <v/>
      </c>
    </row>
    <row r="819" spans="1:12" x14ac:dyDescent="0.3">
      <c r="A819" s="381" t="s">
        <v>759</v>
      </c>
      <c r="B819" s="382" t="s">
        <v>1506</v>
      </c>
      <c r="C819" s="480" t="s">
        <v>251</v>
      </c>
      <c r="D819" s="282" t="s">
        <v>251</v>
      </c>
      <c r="E819" s="282" t="s">
        <v>251</v>
      </c>
      <c r="F819" s="481"/>
      <c r="G819" s="480"/>
      <c r="H819" s="282">
        <v>445000</v>
      </c>
      <c r="I819" s="282"/>
      <c r="J819" s="481">
        <f t="shared" si="40"/>
        <v>445000</v>
      </c>
      <c r="K819" s="29">
        <f t="shared" si="38"/>
        <v>0</v>
      </c>
      <c r="L819" s="283" t="str">
        <f t="shared" si="39"/>
        <v/>
      </c>
    </row>
    <row r="820" spans="1:12" x14ac:dyDescent="0.3">
      <c r="A820" s="381" t="s">
        <v>759</v>
      </c>
      <c r="B820" s="382" t="s">
        <v>1507</v>
      </c>
      <c r="C820" s="480" t="s">
        <v>251</v>
      </c>
      <c r="D820" s="282" t="s">
        <v>251</v>
      </c>
      <c r="E820" s="282" t="s">
        <v>251</v>
      </c>
      <c r="F820" s="481"/>
      <c r="G820" s="480">
        <v>408000</v>
      </c>
      <c r="H820" s="282"/>
      <c r="I820" s="282"/>
      <c r="J820" s="481">
        <f t="shared" si="40"/>
        <v>408000</v>
      </c>
      <c r="K820" s="29">
        <f t="shared" si="38"/>
        <v>0</v>
      </c>
      <c r="L820" s="283" t="str">
        <f t="shared" si="39"/>
        <v/>
      </c>
    </row>
    <row r="821" spans="1:12" x14ac:dyDescent="0.3">
      <c r="A821" s="381" t="s">
        <v>759</v>
      </c>
      <c r="B821" s="382" t="s">
        <v>1508</v>
      </c>
      <c r="C821" s="480">
        <v>73000</v>
      </c>
      <c r="D821" s="282">
        <v>50000</v>
      </c>
      <c r="E821" s="282">
        <v>50000</v>
      </c>
      <c r="F821" s="481">
        <f>C821+D821+E821</f>
        <v>173000</v>
      </c>
      <c r="G821" s="480"/>
      <c r="H821" s="282"/>
      <c r="I821" s="282"/>
      <c r="J821" s="481"/>
      <c r="K821" s="29">
        <f t="shared" si="38"/>
        <v>0</v>
      </c>
      <c r="L821" s="283" t="str">
        <f t="shared" si="39"/>
        <v/>
      </c>
    </row>
    <row r="822" spans="1:12" x14ac:dyDescent="0.3">
      <c r="A822" s="381" t="s">
        <v>759</v>
      </c>
      <c r="B822" s="382" t="s">
        <v>1351</v>
      </c>
      <c r="C822" s="480"/>
      <c r="D822" s="282"/>
      <c r="E822" s="282">
        <v>54000</v>
      </c>
      <c r="F822" s="481">
        <f>C822+D822+E822</f>
        <v>54000</v>
      </c>
      <c r="G822" s="480">
        <v>23000</v>
      </c>
      <c r="H822" s="282"/>
      <c r="I822" s="282">
        <v>176000</v>
      </c>
      <c r="J822" s="481">
        <f t="shared" si="40"/>
        <v>199000</v>
      </c>
      <c r="K822" s="29">
        <f t="shared" si="38"/>
        <v>2.6851851851851851</v>
      </c>
      <c r="L822" s="283" t="str">
        <f t="shared" si="39"/>
        <v/>
      </c>
    </row>
    <row r="823" spans="1:12" x14ac:dyDescent="0.3">
      <c r="A823" s="381" t="s">
        <v>759</v>
      </c>
      <c r="B823" s="382" t="s">
        <v>886</v>
      </c>
      <c r="C823" s="480"/>
      <c r="D823" s="282"/>
      <c r="E823" s="282"/>
      <c r="F823" s="481"/>
      <c r="G823" s="480"/>
      <c r="H823" s="282"/>
      <c r="I823" s="282"/>
      <c r="J823" s="481"/>
      <c r="K823" s="29">
        <f t="shared" si="38"/>
        <v>0</v>
      </c>
      <c r="L823" s="283" t="str">
        <f t="shared" si="39"/>
        <v/>
      </c>
    </row>
    <row r="824" spans="1:12" x14ac:dyDescent="0.3">
      <c r="A824" s="381" t="s">
        <v>759</v>
      </c>
      <c r="B824" s="382" t="s">
        <v>1509</v>
      </c>
      <c r="C824" s="480"/>
      <c r="D824" s="282"/>
      <c r="E824" s="282"/>
      <c r="F824" s="481"/>
      <c r="G824" s="480">
        <v>385000</v>
      </c>
      <c r="H824" s="282"/>
      <c r="I824" s="282"/>
      <c r="J824" s="481">
        <f t="shared" si="40"/>
        <v>385000</v>
      </c>
      <c r="K824" s="29">
        <f t="shared" si="38"/>
        <v>0</v>
      </c>
      <c r="L824" s="283" t="str">
        <f t="shared" si="39"/>
        <v/>
      </c>
    </row>
    <row r="825" spans="1:12" x14ac:dyDescent="0.3">
      <c r="A825" s="381" t="s">
        <v>759</v>
      </c>
      <c r="B825" s="382" t="s">
        <v>1510</v>
      </c>
      <c r="C825" s="480"/>
      <c r="D825" s="282"/>
      <c r="E825" s="282"/>
      <c r="F825" s="481"/>
      <c r="G825" s="480"/>
      <c r="H825" s="282">
        <v>210000</v>
      </c>
      <c r="I825" s="282">
        <v>165000</v>
      </c>
      <c r="J825" s="481">
        <f t="shared" si="40"/>
        <v>375000</v>
      </c>
      <c r="K825" s="29">
        <f t="shared" si="38"/>
        <v>0</v>
      </c>
      <c r="L825" s="283" t="str">
        <f t="shared" si="39"/>
        <v/>
      </c>
    </row>
    <row r="826" spans="1:12" x14ac:dyDescent="0.3">
      <c r="A826" s="381" t="s">
        <v>759</v>
      </c>
      <c r="B826" s="382" t="s">
        <v>1511</v>
      </c>
      <c r="C826" s="480"/>
      <c r="D826" s="282"/>
      <c r="E826" s="282"/>
      <c r="F826" s="481"/>
      <c r="G826" s="480"/>
      <c r="H826" s="282"/>
      <c r="I826" s="282">
        <v>124000</v>
      </c>
      <c r="J826" s="481">
        <f t="shared" si="40"/>
        <v>124000</v>
      </c>
      <c r="K826" s="29">
        <f t="shared" si="38"/>
        <v>0</v>
      </c>
      <c r="L826" s="283" t="str">
        <f t="shared" si="39"/>
        <v/>
      </c>
    </row>
    <row r="827" spans="1:12" x14ac:dyDescent="0.3">
      <c r="A827" s="381" t="s">
        <v>759</v>
      </c>
      <c r="B827" s="382" t="s">
        <v>701</v>
      </c>
      <c r="C827" s="480"/>
      <c r="D827" s="282"/>
      <c r="E827" s="282">
        <v>41000</v>
      </c>
      <c r="F827" s="481">
        <f>C827+D827+E827</f>
        <v>41000</v>
      </c>
      <c r="G827" s="480">
        <v>365000</v>
      </c>
      <c r="H827" s="282"/>
      <c r="I827" s="282"/>
      <c r="J827" s="481">
        <f t="shared" si="40"/>
        <v>365000</v>
      </c>
      <c r="K827" s="29">
        <f t="shared" si="38"/>
        <v>7.9024390243902438</v>
      </c>
      <c r="L827" s="283" t="str">
        <f t="shared" si="39"/>
        <v/>
      </c>
    </row>
    <row r="828" spans="1:12" x14ac:dyDescent="0.3">
      <c r="A828" s="381" t="s">
        <v>759</v>
      </c>
      <c r="B828" s="382" t="s">
        <v>1512</v>
      </c>
      <c r="C828" s="480"/>
      <c r="D828" s="282"/>
      <c r="E828" s="282"/>
      <c r="F828" s="481"/>
      <c r="G828" s="480"/>
      <c r="H828" s="282"/>
      <c r="I828" s="282"/>
      <c r="J828" s="481"/>
      <c r="K828" s="29">
        <f t="shared" si="38"/>
        <v>0</v>
      </c>
      <c r="L828" s="283" t="str">
        <f t="shared" si="39"/>
        <v/>
      </c>
    </row>
    <row r="829" spans="1:12" x14ac:dyDescent="0.3">
      <c r="A829" s="381" t="s">
        <v>759</v>
      </c>
      <c r="B829" s="382" t="s">
        <v>1513</v>
      </c>
      <c r="C829" s="480"/>
      <c r="D829" s="282"/>
      <c r="E829" s="282"/>
      <c r="F829" s="481"/>
      <c r="G829" s="480"/>
      <c r="H829" s="282"/>
      <c r="I829" s="282"/>
      <c r="J829" s="481"/>
      <c r="K829" s="29">
        <f t="shared" si="38"/>
        <v>0</v>
      </c>
      <c r="L829" s="283" t="str">
        <f t="shared" si="39"/>
        <v/>
      </c>
    </row>
    <row r="830" spans="1:12" x14ac:dyDescent="0.3">
      <c r="A830" s="381" t="s">
        <v>759</v>
      </c>
      <c r="B830" s="382" t="s">
        <v>1514</v>
      </c>
      <c r="C830" s="480"/>
      <c r="D830" s="282"/>
      <c r="E830" s="282"/>
      <c r="F830" s="481"/>
      <c r="G830" s="480"/>
      <c r="H830" s="282"/>
      <c r="I830" s="282">
        <v>340000</v>
      </c>
      <c r="J830" s="481">
        <f t="shared" si="40"/>
        <v>340000</v>
      </c>
      <c r="K830" s="29">
        <f t="shared" si="38"/>
        <v>0</v>
      </c>
      <c r="L830" s="283" t="str">
        <f t="shared" si="39"/>
        <v/>
      </c>
    </row>
    <row r="831" spans="1:12" x14ac:dyDescent="0.3">
      <c r="A831" s="381" t="s">
        <v>759</v>
      </c>
      <c r="B831" s="382" t="s">
        <v>1515</v>
      </c>
      <c r="C831" s="480"/>
      <c r="D831" s="282"/>
      <c r="E831" s="282"/>
      <c r="F831" s="481"/>
      <c r="G831" s="480"/>
      <c r="H831" s="282"/>
      <c r="I831" s="282">
        <v>337200</v>
      </c>
      <c r="J831" s="481">
        <f t="shared" si="40"/>
        <v>337200</v>
      </c>
      <c r="K831" s="29">
        <f t="shared" si="38"/>
        <v>0</v>
      </c>
      <c r="L831" s="283" t="str">
        <f t="shared" si="39"/>
        <v/>
      </c>
    </row>
    <row r="832" spans="1:12" x14ac:dyDescent="0.3">
      <c r="A832" s="381" t="s">
        <v>759</v>
      </c>
      <c r="B832" s="382" t="s">
        <v>1516</v>
      </c>
      <c r="C832" s="480">
        <v>40000</v>
      </c>
      <c r="D832" s="282"/>
      <c r="E832" s="282">
        <v>110000</v>
      </c>
      <c r="F832" s="481">
        <f>C832+D832+E832</f>
        <v>150000</v>
      </c>
      <c r="G832" s="480"/>
      <c r="H832" s="282"/>
      <c r="I832" s="282">
        <v>22000</v>
      </c>
      <c r="J832" s="481">
        <f t="shared" si="40"/>
        <v>22000</v>
      </c>
      <c r="K832" s="29">
        <f t="shared" si="38"/>
        <v>-0.85333333333333339</v>
      </c>
      <c r="L832" s="283" t="str">
        <f t="shared" si="39"/>
        <v/>
      </c>
    </row>
    <row r="833" spans="1:12" x14ac:dyDescent="0.3">
      <c r="A833" s="381" t="s">
        <v>759</v>
      </c>
      <c r="B833" s="382" t="s">
        <v>1517</v>
      </c>
      <c r="C833" s="480"/>
      <c r="D833" s="282"/>
      <c r="E833" s="282"/>
      <c r="F833" s="481"/>
      <c r="G833" s="480"/>
      <c r="H833" s="282">
        <v>320800</v>
      </c>
      <c r="I833" s="282"/>
      <c r="J833" s="481">
        <f t="shared" si="40"/>
        <v>320800</v>
      </c>
      <c r="K833" s="29">
        <f t="shared" si="38"/>
        <v>0</v>
      </c>
      <c r="L833" s="283" t="str">
        <f t="shared" si="39"/>
        <v/>
      </c>
    </row>
    <row r="834" spans="1:12" x14ac:dyDescent="0.3">
      <c r="A834" s="381" t="s">
        <v>759</v>
      </c>
      <c r="B834" s="382" t="s">
        <v>1311</v>
      </c>
      <c r="C834" s="480"/>
      <c r="D834" s="282"/>
      <c r="E834" s="282"/>
      <c r="F834" s="481"/>
      <c r="G834" s="480">
        <v>308640</v>
      </c>
      <c r="H834" s="282"/>
      <c r="I834" s="282"/>
      <c r="J834" s="481">
        <f t="shared" si="40"/>
        <v>308640</v>
      </c>
      <c r="K834" s="29">
        <f t="shared" ref="K834:K897" si="41">IF(OR(J834="", F834=""), 0, IFERROR((J834-F834)/F834, IF(J834&lt;&gt;0, 1, 0)))</f>
        <v>0</v>
      </c>
      <c r="L834" s="283" t="str">
        <f t="shared" ref="L834:L897" si="42">IFERROR(_xlfn.RANK.EQ(J834, $J$2:$J$308), "")</f>
        <v/>
      </c>
    </row>
    <row r="835" spans="1:12" x14ac:dyDescent="0.3">
      <c r="A835" s="381" t="s">
        <v>759</v>
      </c>
      <c r="B835" s="382" t="s">
        <v>1110</v>
      </c>
      <c r="C835" s="480"/>
      <c r="D835" s="282"/>
      <c r="E835" s="282"/>
      <c r="F835" s="481"/>
      <c r="G835" s="480">
        <v>221250</v>
      </c>
      <c r="H835" s="282"/>
      <c r="I835" s="282">
        <v>86200</v>
      </c>
      <c r="J835" s="481">
        <f t="shared" ref="J835:J898" si="43">G835+H835+I835</f>
        <v>307450</v>
      </c>
      <c r="K835" s="29">
        <f t="shared" si="41"/>
        <v>0</v>
      </c>
      <c r="L835" s="283" t="str">
        <f t="shared" si="42"/>
        <v/>
      </c>
    </row>
    <row r="836" spans="1:12" x14ac:dyDescent="0.3">
      <c r="A836" s="381" t="s">
        <v>759</v>
      </c>
      <c r="B836" s="382" t="s">
        <v>1518</v>
      </c>
      <c r="C836" s="480"/>
      <c r="D836" s="282"/>
      <c r="E836" s="282"/>
      <c r="F836" s="481"/>
      <c r="G836" s="480"/>
      <c r="H836" s="282"/>
      <c r="I836" s="282"/>
      <c r="J836" s="481"/>
      <c r="K836" s="29">
        <f t="shared" si="41"/>
        <v>0</v>
      </c>
      <c r="L836" s="283" t="str">
        <f t="shared" si="42"/>
        <v/>
      </c>
    </row>
    <row r="837" spans="1:12" x14ac:dyDescent="0.3">
      <c r="A837" s="381" t="s">
        <v>759</v>
      </c>
      <c r="B837" s="382" t="s">
        <v>820</v>
      </c>
      <c r="C837" s="480"/>
      <c r="D837" s="282"/>
      <c r="E837" s="282"/>
      <c r="F837" s="481"/>
      <c r="G837" s="480">
        <v>31000</v>
      </c>
      <c r="H837" s="282"/>
      <c r="I837" s="282">
        <v>47000</v>
      </c>
      <c r="J837" s="481">
        <f t="shared" si="43"/>
        <v>78000</v>
      </c>
      <c r="K837" s="29">
        <f t="shared" si="41"/>
        <v>0</v>
      </c>
      <c r="L837" s="283" t="str">
        <f t="shared" si="42"/>
        <v/>
      </c>
    </row>
    <row r="838" spans="1:12" x14ac:dyDescent="0.3">
      <c r="A838" s="381" t="s">
        <v>759</v>
      </c>
      <c r="B838" s="382" t="s">
        <v>444</v>
      </c>
      <c r="C838" s="480"/>
      <c r="D838" s="282"/>
      <c r="E838" s="282"/>
      <c r="F838" s="481"/>
      <c r="G838" s="480"/>
      <c r="H838" s="282"/>
      <c r="I838" s="282">
        <v>280000</v>
      </c>
      <c r="J838" s="481">
        <f t="shared" si="43"/>
        <v>280000</v>
      </c>
      <c r="K838" s="29">
        <f t="shared" si="41"/>
        <v>0</v>
      </c>
      <c r="L838" s="283" t="str">
        <f t="shared" si="42"/>
        <v/>
      </c>
    </row>
    <row r="839" spans="1:12" x14ac:dyDescent="0.3">
      <c r="A839" s="381" t="s">
        <v>759</v>
      </c>
      <c r="B839" s="382" t="s">
        <v>1086</v>
      </c>
      <c r="C839" s="480"/>
      <c r="D839" s="282"/>
      <c r="E839" s="282"/>
      <c r="F839" s="481"/>
      <c r="G839" s="480"/>
      <c r="H839" s="282"/>
      <c r="I839" s="282"/>
      <c r="J839" s="481"/>
      <c r="K839" s="29">
        <f t="shared" si="41"/>
        <v>0</v>
      </c>
      <c r="L839" s="283" t="str">
        <f t="shared" si="42"/>
        <v/>
      </c>
    </row>
    <row r="840" spans="1:12" x14ac:dyDescent="0.3">
      <c r="A840" s="381" t="s">
        <v>759</v>
      </c>
      <c r="B840" s="382" t="s">
        <v>1328</v>
      </c>
      <c r="C840" s="480">
        <v>474800</v>
      </c>
      <c r="D840" s="282">
        <v>71600</v>
      </c>
      <c r="E840" s="282">
        <v>639500</v>
      </c>
      <c r="F840" s="481">
        <f>C840+D840+E840</f>
        <v>1185900</v>
      </c>
      <c r="G840" s="480"/>
      <c r="H840" s="282"/>
      <c r="I840" s="282">
        <v>273700</v>
      </c>
      <c r="J840" s="481">
        <f t="shared" si="43"/>
        <v>273700</v>
      </c>
      <c r="K840" s="29">
        <f t="shared" si="41"/>
        <v>-0.76920482334092255</v>
      </c>
      <c r="L840" s="283" t="str">
        <f t="shared" si="42"/>
        <v/>
      </c>
    </row>
    <row r="841" spans="1:12" x14ac:dyDescent="0.3">
      <c r="A841" s="381" t="s">
        <v>759</v>
      </c>
      <c r="B841" s="382" t="s">
        <v>1519</v>
      </c>
      <c r="C841" s="480"/>
      <c r="D841" s="282"/>
      <c r="E841" s="282">
        <v>100000</v>
      </c>
      <c r="F841" s="481">
        <f>C841+D841+E841</f>
        <v>100000</v>
      </c>
      <c r="G841" s="480"/>
      <c r="H841" s="282"/>
      <c r="I841" s="282"/>
      <c r="J841" s="481"/>
      <c r="K841" s="29">
        <f t="shared" si="41"/>
        <v>0</v>
      </c>
      <c r="L841" s="283" t="str">
        <f t="shared" si="42"/>
        <v/>
      </c>
    </row>
    <row r="842" spans="1:12" x14ac:dyDescent="0.3">
      <c r="A842" s="381" t="s">
        <v>759</v>
      </c>
      <c r="B842" s="382" t="s">
        <v>1520</v>
      </c>
      <c r="C842" s="480"/>
      <c r="D842" s="282"/>
      <c r="E842" s="282"/>
      <c r="F842" s="481"/>
      <c r="G842" s="480"/>
      <c r="H842" s="282"/>
      <c r="I842" s="282">
        <v>262500</v>
      </c>
      <c r="J842" s="481">
        <f t="shared" si="43"/>
        <v>262500</v>
      </c>
      <c r="K842" s="29">
        <f t="shared" si="41"/>
        <v>0</v>
      </c>
      <c r="L842" s="283" t="str">
        <f t="shared" si="42"/>
        <v/>
      </c>
    </row>
    <row r="843" spans="1:12" x14ac:dyDescent="0.3">
      <c r="A843" s="381" t="s">
        <v>759</v>
      </c>
      <c r="B843" s="382" t="s">
        <v>693</v>
      </c>
      <c r="C843" s="480"/>
      <c r="D843" s="282"/>
      <c r="E843" s="282"/>
      <c r="F843" s="481"/>
      <c r="G843" s="480"/>
      <c r="H843" s="282"/>
      <c r="I843" s="282">
        <v>261100</v>
      </c>
      <c r="J843" s="481">
        <f t="shared" si="43"/>
        <v>261100</v>
      </c>
      <c r="K843" s="29">
        <f t="shared" si="41"/>
        <v>0</v>
      </c>
      <c r="L843" s="283" t="str">
        <f t="shared" si="42"/>
        <v/>
      </c>
    </row>
    <row r="844" spans="1:12" x14ac:dyDescent="0.3">
      <c r="A844" s="381" t="s">
        <v>759</v>
      </c>
      <c r="B844" s="382" t="s">
        <v>1521</v>
      </c>
      <c r="C844" s="480"/>
      <c r="D844" s="282"/>
      <c r="E844" s="282"/>
      <c r="F844" s="481"/>
      <c r="G844" s="480"/>
      <c r="H844" s="282"/>
      <c r="I844" s="282"/>
      <c r="J844" s="481"/>
      <c r="K844" s="29">
        <f t="shared" si="41"/>
        <v>0</v>
      </c>
      <c r="L844" s="283" t="str">
        <f t="shared" si="42"/>
        <v/>
      </c>
    </row>
    <row r="845" spans="1:12" x14ac:dyDescent="0.3">
      <c r="A845" s="381" t="s">
        <v>759</v>
      </c>
      <c r="B845" s="382" t="s">
        <v>1522</v>
      </c>
      <c r="C845" s="480"/>
      <c r="D845" s="282"/>
      <c r="E845" s="282"/>
      <c r="F845" s="481"/>
      <c r="G845" s="480"/>
      <c r="H845" s="282">
        <v>258000</v>
      </c>
      <c r="I845" s="282"/>
      <c r="J845" s="481">
        <f t="shared" si="43"/>
        <v>258000</v>
      </c>
      <c r="K845" s="29">
        <f t="shared" si="41"/>
        <v>0</v>
      </c>
      <c r="L845" s="283" t="str">
        <f t="shared" si="42"/>
        <v/>
      </c>
    </row>
    <row r="846" spans="1:12" x14ac:dyDescent="0.3">
      <c r="A846" s="381" t="s">
        <v>759</v>
      </c>
      <c r="B846" s="382" t="s">
        <v>1381</v>
      </c>
      <c r="C846" s="480"/>
      <c r="D846" s="282"/>
      <c r="E846" s="282"/>
      <c r="F846" s="481"/>
      <c r="G846" s="480"/>
      <c r="H846" s="282"/>
      <c r="I846" s="282"/>
      <c r="J846" s="481"/>
      <c r="K846" s="29">
        <f t="shared" si="41"/>
        <v>0</v>
      </c>
      <c r="L846" s="283" t="str">
        <f t="shared" si="42"/>
        <v/>
      </c>
    </row>
    <row r="847" spans="1:12" x14ac:dyDescent="0.3">
      <c r="A847" s="381" t="s">
        <v>759</v>
      </c>
      <c r="B847" s="382" t="s">
        <v>1523</v>
      </c>
      <c r="C847" s="480"/>
      <c r="D847" s="282"/>
      <c r="E847" s="282"/>
      <c r="F847" s="481"/>
      <c r="G847" s="480">
        <v>69000</v>
      </c>
      <c r="H847" s="282"/>
      <c r="I847" s="282">
        <v>12000</v>
      </c>
      <c r="J847" s="481">
        <f t="shared" si="43"/>
        <v>81000</v>
      </c>
      <c r="K847" s="29">
        <f t="shared" si="41"/>
        <v>0</v>
      </c>
      <c r="L847" s="283" t="str">
        <f t="shared" si="42"/>
        <v/>
      </c>
    </row>
    <row r="848" spans="1:12" x14ac:dyDescent="0.3">
      <c r="A848" s="381" t="s">
        <v>759</v>
      </c>
      <c r="B848" s="382" t="s">
        <v>660</v>
      </c>
      <c r="C848" s="480"/>
      <c r="D848" s="282"/>
      <c r="E848" s="282"/>
      <c r="F848" s="481"/>
      <c r="G848" s="480"/>
      <c r="H848" s="282"/>
      <c r="I848" s="282"/>
      <c r="J848" s="481"/>
      <c r="K848" s="29">
        <f t="shared" si="41"/>
        <v>0</v>
      </c>
      <c r="L848" s="283" t="str">
        <f t="shared" si="42"/>
        <v/>
      </c>
    </row>
    <row r="849" spans="1:12" x14ac:dyDescent="0.3">
      <c r="A849" s="381" t="s">
        <v>759</v>
      </c>
      <c r="B849" s="382" t="s">
        <v>620</v>
      </c>
      <c r="C849" s="480"/>
      <c r="D849" s="282"/>
      <c r="E849" s="282">
        <v>12000</v>
      </c>
      <c r="F849" s="481">
        <f>C849+D849+E849</f>
        <v>12000</v>
      </c>
      <c r="G849" s="480"/>
      <c r="H849" s="282"/>
      <c r="I849" s="282">
        <v>206000</v>
      </c>
      <c r="J849" s="481">
        <f t="shared" si="43"/>
        <v>206000</v>
      </c>
      <c r="K849" s="29">
        <f t="shared" si="41"/>
        <v>16.166666666666668</v>
      </c>
      <c r="L849" s="283" t="str">
        <f t="shared" si="42"/>
        <v/>
      </c>
    </row>
    <row r="850" spans="1:12" x14ac:dyDescent="0.3">
      <c r="A850" s="381" t="s">
        <v>759</v>
      </c>
      <c r="B850" s="382" t="s">
        <v>1524</v>
      </c>
      <c r="C850" s="480"/>
      <c r="D850" s="282"/>
      <c r="E850" s="282"/>
      <c r="F850" s="481"/>
      <c r="G850" s="480"/>
      <c r="H850" s="282"/>
      <c r="I850" s="282"/>
      <c r="J850" s="481"/>
      <c r="K850" s="29">
        <f t="shared" si="41"/>
        <v>0</v>
      </c>
      <c r="L850" s="283" t="str">
        <f t="shared" si="42"/>
        <v/>
      </c>
    </row>
    <row r="851" spans="1:12" x14ac:dyDescent="0.3">
      <c r="A851" s="381" t="s">
        <v>759</v>
      </c>
      <c r="B851" s="382" t="s">
        <v>1525</v>
      </c>
      <c r="C851" s="480"/>
      <c r="D851" s="282"/>
      <c r="E851" s="282"/>
      <c r="F851" s="481"/>
      <c r="G851" s="480"/>
      <c r="H851" s="282"/>
      <c r="I851" s="282">
        <v>225000</v>
      </c>
      <c r="J851" s="481">
        <f t="shared" si="43"/>
        <v>225000</v>
      </c>
      <c r="K851" s="29">
        <f t="shared" si="41"/>
        <v>0</v>
      </c>
      <c r="L851" s="283" t="str">
        <f t="shared" si="42"/>
        <v/>
      </c>
    </row>
    <row r="852" spans="1:12" x14ac:dyDescent="0.3">
      <c r="A852" s="381" t="s">
        <v>759</v>
      </c>
      <c r="B852" s="382" t="s">
        <v>1526</v>
      </c>
      <c r="C852" s="480"/>
      <c r="D852" s="282"/>
      <c r="E852" s="282"/>
      <c r="F852" s="481"/>
      <c r="G852" s="480"/>
      <c r="H852" s="282"/>
      <c r="I852" s="282"/>
      <c r="J852" s="481"/>
      <c r="K852" s="29">
        <f t="shared" si="41"/>
        <v>0</v>
      </c>
      <c r="L852" s="283" t="str">
        <f t="shared" si="42"/>
        <v/>
      </c>
    </row>
    <row r="853" spans="1:12" x14ac:dyDescent="0.3">
      <c r="A853" s="381" t="s">
        <v>759</v>
      </c>
      <c r="B853" s="382" t="s">
        <v>1527</v>
      </c>
      <c r="C853" s="480"/>
      <c r="D853" s="282"/>
      <c r="E853" s="282"/>
      <c r="F853" s="481"/>
      <c r="G853" s="480"/>
      <c r="H853" s="282"/>
      <c r="I853" s="282"/>
      <c r="J853" s="481"/>
      <c r="K853" s="29">
        <f t="shared" si="41"/>
        <v>0</v>
      </c>
      <c r="L853" s="283" t="str">
        <f t="shared" si="42"/>
        <v/>
      </c>
    </row>
    <row r="854" spans="1:12" x14ac:dyDescent="0.3">
      <c r="A854" s="381" t="s">
        <v>759</v>
      </c>
      <c r="B854" s="382" t="s">
        <v>1297</v>
      </c>
      <c r="C854" s="480"/>
      <c r="D854" s="282"/>
      <c r="E854" s="282"/>
      <c r="F854" s="481"/>
      <c r="G854" s="480"/>
      <c r="H854" s="282"/>
      <c r="I854" s="282">
        <v>209000</v>
      </c>
      <c r="J854" s="481">
        <f t="shared" si="43"/>
        <v>209000</v>
      </c>
      <c r="K854" s="29">
        <f t="shared" si="41"/>
        <v>0</v>
      </c>
      <c r="L854" s="283" t="str">
        <f t="shared" si="42"/>
        <v/>
      </c>
    </row>
    <row r="855" spans="1:12" x14ac:dyDescent="0.3">
      <c r="A855" s="381" t="s">
        <v>759</v>
      </c>
      <c r="B855" s="382" t="s">
        <v>1528</v>
      </c>
      <c r="C855" s="480"/>
      <c r="D855" s="282"/>
      <c r="E855" s="282"/>
      <c r="F855" s="481"/>
      <c r="G855" s="480"/>
      <c r="H855" s="282"/>
      <c r="I855" s="282">
        <v>27500</v>
      </c>
      <c r="J855" s="481">
        <f t="shared" si="43"/>
        <v>27500</v>
      </c>
      <c r="K855" s="29">
        <f t="shared" si="41"/>
        <v>0</v>
      </c>
      <c r="L855" s="283" t="str">
        <f t="shared" si="42"/>
        <v/>
      </c>
    </row>
    <row r="856" spans="1:12" x14ac:dyDescent="0.3">
      <c r="A856" s="381" t="s">
        <v>759</v>
      </c>
      <c r="B856" s="382" t="s">
        <v>1294</v>
      </c>
      <c r="C856" s="480"/>
      <c r="D856" s="282"/>
      <c r="E856" s="282">
        <v>195000</v>
      </c>
      <c r="F856" s="481">
        <f>C856+D856+E856</f>
        <v>195000</v>
      </c>
      <c r="G856" s="480">
        <v>23000</v>
      </c>
      <c r="H856" s="282"/>
      <c r="I856" s="282"/>
      <c r="J856" s="481">
        <f t="shared" si="43"/>
        <v>23000</v>
      </c>
      <c r="K856" s="29">
        <f t="shared" si="41"/>
        <v>-0.88205128205128203</v>
      </c>
      <c r="L856" s="283" t="str">
        <f t="shared" si="42"/>
        <v/>
      </c>
    </row>
    <row r="857" spans="1:12" x14ac:dyDescent="0.3">
      <c r="A857" s="381" t="s">
        <v>759</v>
      </c>
      <c r="B857" s="382" t="s">
        <v>1416</v>
      </c>
      <c r="C857" s="480"/>
      <c r="D857" s="282"/>
      <c r="E857" s="282"/>
      <c r="F857" s="481"/>
      <c r="G857" s="480"/>
      <c r="H857" s="282"/>
      <c r="I857" s="282">
        <v>179000</v>
      </c>
      <c r="J857" s="481">
        <f t="shared" si="43"/>
        <v>179000</v>
      </c>
      <c r="K857" s="29">
        <f t="shared" si="41"/>
        <v>0</v>
      </c>
      <c r="L857" s="283" t="str">
        <f t="shared" si="42"/>
        <v/>
      </c>
    </row>
    <row r="858" spans="1:12" x14ac:dyDescent="0.3">
      <c r="A858" s="381" t="s">
        <v>759</v>
      </c>
      <c r="B858" s="382" t="s">
        <v>1529</v>
      </c>
      <c r="C858" s="480"/>
      <c r="D858" s="282"/>
      <c r="E858" s="282"/>
      <c r="F858" s="481"/>
      <c r="G858" s="480">
        <v>55000</v>
      </c>
      <c r="H858" s="282">
        <v>80000</v>
      </c>
      <c r="I858" s="282">
        <v>60000</v>
      </c>
      <c r="J858" s="481">
        <f t="shared" si="43"/>
        <v>195000</v>
      </c>
      <c r="K858" s="29">
        <f t="shared" si="41"/>
        <v>0</v>
      </c>
      <c r="L858" s="283" t="str">
        <f t="shared" si="42"/>
        <v/>
      </c>
    </row>
    <row r="859" spans="1:12" x14ac:dyDescent="0.3">
      <c r="A859" s="381" t="s">
        <v>759</v>
      </c>
      <c r="B859" s="382" t="s">
        <v>1530</v>
      </c>
      <c r="C859" s="480"/>
      <c r="D859" s="282"/>
      <c r="E859" s="282"/>
      <c r="F859" s="481"/>
      <c r="G859" s="480"/>
      <c r="H859" s="282"/>
      <c r="I859" s="282">
        <v>183000</v>
      </c>
      <c r="J859" s="481">
        <f t="shared" si="43"/>
        <v>183000</v>
      </c>
      <c r="K859" s="29">
        <f t="shared" si="41"/>
        <v>0</v>
      </c>
      <c r="L859" s="283" t="str">
        <f t="shared" si="42"/>
        <v/>
      </c>
    </row>
    <row r="860" spans="1:12" x14ac:dyDescent="0.3">
      <c r="A860" s="381" t="s">
        <v>759</v>
      </c>
      <c r="B860" s="382" t="s">
        <v>623</v>
      </c>
      <c r="C860" s="480"/>
      <c r="D860" s="282"/>
      <c r="E860" s="282"/>
      <c r="F860" s="481"/>
      <c r="G860" s="480">
        <v>162500</v>
      </c>
      <c r="H860" s="282">
        <v>5000</v>
      </c>
      <c r="I860" s="282"/>
      <c r="J860" s="481">
        <f t="shared" si="43"/>
        <v>167500</v>
      </c>
      <c r="K860" s="29">
        <f t="shared" si="41"/>
        <v>0</v>
      </c>
      <c r="L860" s="283" t="str">
        <f t="shared" si="42"/>
        <v/>
      </c>
    </row>
    <row r="861" spans="1:12" x14ac:dyDescent="0.3">
      <c r="A861" s="381" t="s">
        <v>759</v>
      </c>
      <c r="B861" s="382" t="s">
        <v>1531</v>
      </c>
      <c r="C861" s="480"/>
      <c r="D861" s="282"/>
      <c r="E861" s="282"/>
      <c r="F861" s="481"/>
      <c r="G861" s="480"/>
      <c r="H861" s="282"/>
      <c r="I861" s="282"/>
      <c r="J861" s="481"/>
      <c r="K861" s="29">
        <f t="shared" si="41"/>
        <v>0</v>
      </c>
      <c r="L861" s="283" t="str">
        <f t="shared" si="42"/>
        <v/>
      </c>
    </row>
    <row r="862" spans="1:12" x14ac:dyDescent="0.3">
      <c r="A862" s="381" t="s">
        <v>759</v>
      </c>
      <c r="B862" s="382" t="s">
        <v>1072</v>
      </c>
      <c r="C862" s="480"/>
      <c r="D862" s="282"/>
      <c r="E862" s="282"/>
      <c r="F862" s="481"/>
      <c r="G862" s="480">
        <v>177000</v>
      </c>
      <c r="H862" s="282"/>
      <c r="I862" s="282"/>
      <c r="J862" s="481">
        <f t="shared" si="43"/>
        <v>177000</v>
      </c>
      <c r="K862" s="29">
        <f t="shared" si="41"/>
        <v>0</v>
      </c>
      <c r="L862" s="283" t="str">
        <f t="shared" si="42"/>
        <v/>
      </c>
    </row>
    <row r="863" spans="1:12" x14ac:dyDescent="0.3">
      <c r="A863" s="381" t="s">
        <v>759</v>
      </c>
      <c r="B863" s="382" t="s">
        <v>1532</v>
      </c>
      <c r="C863" s="480"/>
      <c r="D863" s="282"/>
      <c r="E863" s="282"/>
      <c r="F863" s="481"/>
      <c r="G863" s="480"/>
      <c r="H863" s="282"/>
      <c r="I863" s="282">
        <v>172000</v>
      </c>
      <c r="J863" s="481">
        <f t="shared" si="43"/>
        <v>172000</v>
      </c>
      <c r="K863" s="29">
        <f t="shared" si="41"/>
        <v>0</v>
      </c>
      <c r="L863" s="283" t="str">
        <f t="shared" si="42"/>
        <v/>
      </c>
    </row>
    <row r="864" spans="1:12" x14ac:dyDescent="0.3">
      <c r="A864" s="381" t="s">
        <v>759</v>
      </c>
      <c r="B864" s="382" t="s">
        <v>1533</v>
      </c>
      <c r="C864" s="480"/>
      <c r="D864" s="282"/>
      <c r="E864" s="282"/>
      <c r="F864" s="481"/>
      <c r="G864" s="480"/>
      <c r="H864" s="282"/>
      <c r="I864" s="282">
        <v>61500</v>
      </c>
      <c r="J864" s="481">
        <f t="shared" si="43"/>
        <v>61500</v>
      </c>
      <c r="K864" s="29">
        <f t="shared" si="41"/>
        <v>0</v>
      </c>
      <c r="L864" s="283" t="str">
        <f t="shared" si="42"/>
        <v/>
      </c>
    </row>
    <row r="865" spans="1:12" x14ac:dyDescent="0.3">
      <c r="A865" s="381" t="s">
        <v>759</v>
      </c>
      <c r="B865" s="382" t="s">
        <v>1534</v>
      </c>
      <c r="C865" s="480"/>
      <c r="D865" s="282"/>
      <c r="E865" s="282"/>
      <c r="F865" s="481"/>
      <c r="G865" s="480"/>
      <c r="H865" s="282"/>
      <c r="I865" s="282">
        <v>45000</v>
      </c>
      <c r="J865" s="481">
        <f t="shared" si="43"/>
        <v>45000</v>
      </c>
      <c r="K865" s="29">
        <f t="shared" si="41"/>
        <v>0</v>
      </c>
      <c r="L865" s="283" t="str">
        <f t="shared" si="42"/>
        <v/>
      </c>
    </row>
    <row r="866" spans="1:12" x14ac:dyDescent="0.3">
      <c r="A866" s="381" t="s">
        <v>759</v>
      </c>
      <c r="B866" s="382" t="s">
        <v>1535</v>
      </c>
      <c r="C866" s="480"/>
      <c r="D866" s="282"/>
      <c r="E866" s="282"/>
      <c r="F866" s="481"/>
      <c r="G866" s="480"/>
      <c r="H866" s="282">
        <v>160000</v>
      </c>
      <c r="I866" s="282"/>
      <c r="J866" s="481">
        <f t="shared" si="43"/>
        <v>160000</v>
      </c>
      <c r="K866" s="29">
        <f t="shared" si="41"/>
        <v>0</v>
      </c>
      <c r="L866" s="283" t="str">
        <f t="shared" si="42"/>
        <v/>
      </c>
    </row>
    <row r="867" spans="1:12" x14ac:dyDescent="0.3">
      <c r="A867" s="381" t="s">
        <v>759</v>
      </c>
      <c r="B867" s="382" t="s">
        <v>1410</v>
      </c>
      <c r="C867" s="480"/>
      <c r="D867" s="282"/>
      <c r="E867" s="282"/>
      <c r="F867" s="481"/>
      <c r="G867" s="480">
        <v>155000</v>
      </c>
      <c r="H867" s="282"/>
      <c r="I867" s="282"/>
      <c r="J867" s="481">
        <f t="shared" si="43"/>
        <v>155000</v>
      </c>
      <c r="K867" s="29">
        <f t="shared" si="41"/>
        <v>0</v>
      </c>
      <c r="L867" s="283" t="str">
        <f t="shared" si="42"/>
        <v/>
      </c>
    </row>
    <row r="868" spans="1:12" x14ac:dyDescent="0.3">
      <c r="A868" s="381" t="s">
        <v>759</v>
      </c>
      <c r="B868" s="382" t="s">
        <v>1536</v>
      </c>
      <c r="C868" s="480"/>
      <c r="D868" s="282"/>
      <c r="E868" s="282"/>
      <c r="F868" s="481"/>
      <c r="G868" s="480"/>
      <c r="H868" s="282"/>
      <c r="I868" s="282"/>
      <c r="J868" s="481"/>
      <c r="K868" s="29">
        <f t="shared" si="41"/>
        <v>0</v>
      </c>
      <c r="L868" s="283" t="str">
        <f t="shared" si="42"/>
        <v/>
      </c>
    </row>
    <row r="869" spans="1:12" x14ac:dyDescent="0.3">
      <c r="A869" s="381" t="s">
        <v>759</v>
      </c>
      <c r="B869" s="382" t="s">
        <v>1537</v>
      </c>
      <c r="C869" s="480"/>
      <c r="D869" s="282"/>
      <c r="E869" s="282"/>
      <c r="F869" s="481"/>
      <c r="G869" s="480">
        <v>88000</v>
      </c>
      <c r="H869" s="282">
        <v>65000</v>
      </c>
      <c r="I869" s="282"/>
      <c r="J869" s="481">
        <f t="shared" si="43"/>
        <v>153000</v>
      </c>
      <c r="K869" s="29">
        <f t="shared" si="41"/>
        <v>0</v>
      </c>
      <c r="L869" s="283" t="str">
        <f t="shared" si="42"/>
        <v/>
      </c>
    </row>
    <row r="870" spans="1:12" x14ac:dyDescent="0.3">
      <c r="A870" s="381" t="s">
        <v>759</v>
      </c>
      <c r="B870" s="382" t="s">
        <v>1103</v>
      </c>
      <c r="C870" s="480"/>
      <c r="D870" s="282"/>
      <c r="E870" s="282"/>
      <c r="F870" s="481"/>
      <c r="G870" s="480"/>
      <c r="H870" s="282"/>
      <c r="I870" s="282">
        <v>115000</v>
      </c>
      <c r="J870" s="481">
        <f t="shared" si="43"/>
        <v>115000</v>
      </c>
      <c r="K870" s="29">
        <f t="shared" si="41"/>
        <v>0</v>
      </c>
      <c r="L870" s="283" t="str">
        <f t="shared" si="42"/>
        <v/>
      </c>
    </row>
    <row r="871" spans="1:12" x14ac:dyDescent="0.3">
      <c r="A871" s="381" t="s">
        <v>759</v>
      </c>
      <c r="B871" s="382" t="s">
        <v>1538</v>
      </c>
      <c r="C871" s="480"/>
      <c r="D871" s="282"/>
      <c r="E871" s="282"/>
      <c r="F871" s="481"/>
      <c r="G871" s="480"/>
      <c r="H871" s="282"/>
      <c r="I871" s="282"/>
      <c r="J871" s="481"/>
      <c r="K871" s="29">
        <f t="shared" si="41"/>
        <v>0</v>
      </c>
      <c r="L871" s="283" t="str">
        <f t="shared" si="42"/>
        <v/>
      </c>
    </row>
    <row r="872" spans="1:12" x14ac:dyDescent="0.3">
      <c r="A872" s="381" t="s">
        <v>759</v>
      </c>
      <c r="B872" s="382" t="s">
        <v>1329</v>
      </c>
      <c r="C872" s="480"/>
      <c r="D872" s="282"/>
      <c r="E872" s="282"/>
      <c r="F872" s="481"/>
      <c r="G872" s="480"/>
      <c r="H872" s="282"/>
      <c r="I872" s="282">
        <v>140000</v>
      </c>
      <c r="J872" s="481">
        <f t="shared" si="43"/>
        <v>140000</v>
      </c>
      <c r="K872" s="29">
        <f t="shared" si="41"/>
        <v>0</v>
      </c>
      <c r="L872" s="283">
        <f t="shared" si="42"/>
        <v>103</v>
      </c>
    </row>
    <row r="873" spans="1:12" x14ac:dyDescent="0.3">
      <c r="A873" s="381" t="s">
        <v>759</v>
      </c>
      <c r="B873" s="382" t="s">
        <v>1539</v>
      </c>
      <c r="C873" s="480"/>
      <c r="D873" s="282">
        <v>99000</v>
      </c>
      <c r="E873" s="282"/>
      <c r="F873" s="481">
        <f>C873+D873+E873</f>
        <v>99000</v>
      </c>
      <c r="G873" s="480">
        <v>139500</v>
      </c>
      <c r="H873" s="282"/>
      <c r="I873" s="282"/>
      <c r="J873" s="481">
        <f t="shared" si="43"/>
        <v>139500</v>
      </c>
      <c r="K873" s="29">
        <f t="shared" si="41"/>
        <v>0.40909090909090912</v>
      </c>
      <c r="L873" s="283" t="str">
        <f t="shared" si="42"/>
        <v/>
      </c>
    </row>
    <row r="874" spans="1:12" x14ac:dyDescent="0.3">
      <c r="A874" s="381" t="s">
        <v>759</v>
      </c>
      <c r="B874" s="382" t="s">
        <v>1075</v>
      </c>
      <c r="C874" s="480"/>
      <c r="D874" s="282"/>
      <c r="E874" s="282"/>
      <c r="F874" s="481"/>
      <c r="G874" s="480">
        <v>139500</v>
      </c>
      <c r="H874" s="282"/>
      <c r="I874" s="282"/>
      <c r="J874" s="481">
        <f t="shared" si="43"/>
        <v>139500</v>
      </c>
      <c r="K874" s="29">
        <f t="shared" si="41"/>
        <v>0</v>
      </c>
      <c r="L874" s="283" t="str">
        <f t="shared" si="42"/>
        <v/>
      </c>
    </row>
    <row r="875" spans="1:12" x14ac:dyDescent="0.3">
      <c r="A875" s="381" t="s">
        <v>759</v>
      </c>
      <c r="B875" s="382" t="s">
        <v>1448</v>
      </c>
      <c r="C875" s="480"/>
      <c r="D875" s="282"/>
      <c r="E875" s="282"/>
      <c r="F875" s="481"/>
      <c r="G875" s="480"/>
      <c r="H875" s="282"/>
      <c r="I875" s="282"/>
      <c r="J875" s="481"/>
      <c r="K875" s="29">
        <f t="shared" si="41"/>
        <v>0</v>
      </c>
      <c r="L875" s="283" t="str">
        <f t="shared" si="42"/>
        <v/>
      </c>
    </row>
    <row r="876" spans="1:12" x14ac:dyDescent="0.3">
      <c r="A876" s="381" t="s">
        <v>759</v>
      </c>
      <c r="B876" s="382" t="s">
        <v>459</v>
      </c>
      <c r="C876" s="480"/>
      <c r="D876" s="282"/>
      <c r="E876" s="282"/>
      <c r="F876" s="481"/>
      <c r="G876" s="480"/>
      <c r="H876" s="282"/>
      <c r="I876" s="282"/>
      <c r="J876" s="481"/>
      <c r="K876" s="29">
        <f t="shared" si="41"/>
        <v>0</v>
      </c>
      <c r="L876" s="283" t="str">
        <f t="shared" si="42"/>
        <v/>
      </c>
    </row>
    <row r="877" spans="1:12" x14ac:dyDescent="0.3">
      <c r="A877" s="381" t="s">
        <v>759</v>
      </c>
      <c r="B877" s="382" t="s">
        <v>1458</v>
      </c>
      <c r="C877" s="480"/>
      <c r="D877" s="282"/>
      <c r="E877" s="282"/>
      <c r="F877" s="481"/>
      <c r="G877" s="480"/>
      <c r="H877" s="282"/>
      <c r="I877" s="282"/>
      <c r="J877" s="481"/>
      <c r="K877" s="29">
        <f t="shared" si="41"/>
        <v>0</v>
      </c>
      <c r="L877" s="283" t="str">
        <f t="shared" si="42"/>
        <v/>
      </c>
    </row>
    <row r="878" spans="1:12" x14ac:dyDescent="0.3">
      <c r="A878" s="381" t="s">
        <v>759</v>
      </c>
      <c r="B878" s="382" t="s">
        <v>1540</v>
      </c>
      <c r="C878" s="480"/>
      <c r="D878" s="282"/>
      <c r="E878" s="282">
        <v>33000</v>
      </c>
      <c r="F878" s="481">
        <f>C878+D878+E878</f>
        <v>33000</v>
      </c>
      <c r="G878" s="480">
        <v>28000</v>
      </c>
      <c r="H878" s="282">
        <v>51000</v>
      </c>
      <c r="I878" s="282"/>
      <c r="J878" s="481">
        <f t="shared" si="43"/>
        <v>79000</v>
      </c>
      <c r="K878" s="29">
        <f t="shared" si="41"/>
        <v>1.393939393939394</v>
      </c>
      <c r="L878" s="283" t="str">
        <f t="shared" si="42"/>
        <v/>
      </c>
    </row>
    <row r="879" spans="1:12" x14ac:dyDescent="0.3">
      <c r="A879" s="381" t="s">
        <v>759</v>
      </c>
      <c r="B879" s="382" t="s">
        <v>1541</v>
      </c>
      <c r="C879" s="480" t="s">
        <v>251</v>
      </c>
      <c r="D879" s="282" t="s">
        <v>251</v>
      </c>
      <c r="E879" s="282" t="s">
        <v>251</v>
      </c>
      <c r="F879" s="481"/>
      <c r="G879" s="480"/>
      <c r="H879" s="282"/>
      <c r="I879" s="282">
        <v>94000</v>
      </c>
      <c r="J879" s="481">
        <f t="shared" si="43"/>
        <v>94000</v>
      </c>
      <c r="K879" s="29">
        <f t="shared" si="41"/>
        <v>0</v>
      </c>
      <c r="L879" s="283" t="str">
        <f t="shared" si="42"/>
        <v/>
      </c>
    </row>
    <row r="880" spans="1:12" x14ac:dyDescent="0.3">
      <c r="A880" s="381" t="s">
        <v>759</v>
      </c>
      <c r="B880" s="382" t="s">
        <v>767</v>
      </c>
      <c r="C880" s="480">
        <v>827950</v>
      </c>
      <c r="D880" s="282">
        <v>306050</v>
      </c>
      <c r="E880" s="282"/>
      <c r="F880" s="481">
        <f>C880+D880+E880</f>
        <v>1134000</v>
      </c>
      <c r="G880" s="480">
        <v>122600</v>
      </c>
      <c r="H880" s="282"/>
      <c r="I880" s="282"/>
      <c r="J880" s="481">
        <f t="shared" si="43"/>
        <v>122600</v>
      </c>
      <c r="K880" s="29">
        <f t="shared" si="41"/>
        <v>-0.89188712522045854</v>
      </c>
      <c r="L880" s="283" t="str">
        <f t="shared" si="42"/>
        <v/>
      </c>
    </row>
    <row r="881" spans="1:12" x14ac:dyDescent="0.3">
      <c r="A881" s="381" t="s">
        <v>759</v>
      </c>
      <c r="B881" s="382" t="s">
        <v>1542</v>
      </c>
      <c r="C881" s="480"/>
      <c r="D881" s="282"/>
      <c r="E881" s="282"/>
      <c r="F881" s="481"/>
      <c r="G881" s="480"/>
      <c r="H881" s="282"/>
      <c r="I881" s="282">
        <v>75000</v>
      </c>
      <c r="J881" s="481">
        <f t="shared" si="43"/>
        <v>75000</v>
      </c>
      <c r="K881" s="29">
        <f t="shared" si="41"/>
        <v>0</v>
      </c>
      <c r="L881" s="283" t="str">
        <f t="shared" si="42"/>
        <v/>
      </c>
    </row>
    <row r="882" spans="1:12" x14ac:dyDescent="0.3">
      <c r="A882" s="381" t="s">
        <v>759</v>
      </c>
      <c r="B882" s="382" t="s">
        <v>887</v>
      </c>
      <c r="C882" s="480"/>
      <c r="D882" s="282"/>
      <c r="E882" s="282"/>
      <c r="F882" s="481"/>
      <c r="G882" s="480"/>
      <c r="H882" s="282"/>
      <c r="I882" s="282"/>
      <c r="J882" s="481"/>
      <c r="K882" s="29">
        <f t="shared" si="41"/>
        <v>0</v>
      </c>
      <c r="L882" s="283" t="str">
        <f t="shared" si="42"/>
        <v/>
      </c>
    </row>
    <row r="883" spans="1:12" x14ac:dyDescent="0.3">
      <c r="A883" s="381" t="s">
        <v>759</v>
      </c>
      <c r="B883" s="382" t="s">
        <v>774</v>
      </c>
      <c r="C883" s="480"/>
      <c r="D883" s="282"/>
      <c r="E883" s="282"/>
      <c r="F883" s="481"/>
      <c r="G883" s="480"/>
      <c r="H883" s="282"/>
      <c r="I883" s="282"/>
      <c r="J883" s="481"/>
      <c r="K883" s="29">
        <f t="shared" si="41"/>
        <v>0</v>
      </c>
      <c r="L883" s="283" t="str">
        <f t="shared" si="42"/>
        <v/>
      </c>
    </row>
    <row r="884" spans="1:12" x14ac:dyDescent="0.3">
      <c r="A884" s="381" t="s">
        <v>759</v>
      </c>
      <c r="B884" s="382" t="s">
        <v>1543</v>
      </c>
      <c r="C884" s="480"/>
      <c r="D884" s="282"/>
      <c r="E884" s="282"/>
      <c r="F884" s="481"/>
      <c r="G884" s="480"/>
      <c r="H884" s="282">
        <v>105000</v>
      </c>
      <c r="I884" s="282"/>
      <c r="J884" s="481">
        <f t="shared" si="43"/>
        <v>105000</v>
      </c>
      <c r="K884" s="29">
        <f t="shared" si="41"/>
        <v>0</v>
      </c>
      <c r="L884" s="283" t="str">
        <f t="shared" si="42"/>
        <v/>
      </c>
    </row>
    <row r="885" spans="1:12" x14ac:dyDescent="0.3">
      <c r="A885" s="381" t="s">
        <v>759</v>
      </c>
      <c r="B885" s="382" t="s">
        <v>1544</v>
      </c>
      <c r="C885" s="480"/>
      <c r="D885" s="282"/>
      <c r="E885" s="282"/>
      <c r="F885" s="481"/>
      <c r="G885" s="480"/>
      <c r="H885" s="282">
        <v>105000</v>
      </c>
      <c r="I885" s="282"/>
      <c r="J885" s="481">
        <f t="shared" si="43"/>
        <v>105000</v>
      </c>
      <c r="K885" s="29">
        <f t="shared" si="41"/>
        <v>0</v>
      </c>
      <c r="L885" s="283" t="str">
        <f t="shared" si="42"/>
        <v/>
      </c>
    </row>
    <row r="886" spans="1:12" x14ac:dyDescent="0.3">
      <c r="A886" s="381" t="s">
        <v>759</v>
      </c>
      <c r="B886" s="382" t="s">
        <v>1545</v>
      </c>
      <c r="C886" s="480"/>
      <c r="D886" s="282"/>
      <c r="E886" s="282"/>
      <c r="F886" s="481"/>
      <c r="G886" s="480"/>
      <c r="H886" s="282">
        <v>104850</v>
      </c>
      <c r="I886" s="282"/>
      <c r="J886" s="481">
        <f t="shared" si="43"/>
        <v>104850</v>
      </c>
      <c r="K886" s="29">
        <f t="shared" si="41"/>
        <v>0</v>
      </c>
      <c r="L886" s="283" t="str">
        <f t="shared" si="42"/>
        <v/>
      </c>
    </row>
    <row r="887" spans="1:12" x14ac:dyDescent="0.3">
      <c r="A887" s="381" t="s">
        <v>759</v>
      </c>
      <c r="B887" s="382" t="s">
        <v>1546</v>
      </c>
      <c r="C887" s="480"/>
      <c r="D887" s="282"/>
      <c r="E887" s="282"/>
      <c r="F887" s="481"/>
      <c r="G887" s="480">
        <v>104000</v>
      </c>
      <c r="H887" s="282"/>
      <c r="I887" s="282"/>
      <c r="J887" s="481">
        <f t="shared" si="43"/>
        <v>104000</v>
      </c>
      <c r="K887" s="29">
        <f t="shared" si="41"/>
        <v>0</v>
      </c>
      <c r="L887" s="283" t="str">
        <f t="shared" si="42"/>
        <v/>
      </c>
    </row>
    <row r="888" spans="1:12" x14ac:dyDescent="0.3">
      <c r="A888" s="381" t="s">
        <v>759</v>
      </c>
      <c r="B888" s="382" t="s">
        <v>1547</v>
      </c>
      <c r="C888" s="480"/>
      <c r="D888" s="282">
        <v>40000</v>
      </c>
      <c r="E888" s="282"/>
      <c r="F888" s="481">
        <f>C888+D888+E888</f>
        <v>40000</v>
      </c>
      <c r="G888" s="480"/>
      <c r="H888" s="282"/>
      <c r="I888" s="282">
        <v>103400</v>
      </c>
      <c r="J888" s="481">
        <f t="shared" si="43"/>
        <v>103400</v>
      </c>
      <c r="K888" s="29">
        <f t="shared" si="41"/>
        <v>1.585</v>
      </c>
      <c r="L888" s="283" t="str">
        <f t="shared" si="42"/>
        <v/>
      </c>
    </row>
    <row r="889" spans="1:12" x14ac:dyDescent="0.3">
      <c r="A889" s="381" t="s">
        <v>759</v>
      </c>
      <c r="B889" s="382" t="s">
        <v>1384</v>
      </c>
      <c r="C889" s="480"/>
      <c r="D889" s="282"/>
      <c r="E889" s="282"/>
      <c r="F889" s="481"/>
      <c r="G889" s="480"/>
      <c r="H889" s="282"/>
      <c r="I889" s="282">
        <v>97000</v>
      </c>
      <c r="J889" s="481">
        <f t="shared" si="43"/>
        <v>97000</v>
      </c>
      <c r="K889" s="29">
        <f t="shared" si="41"/>
        <v>0</v>
      </c>
      <c r="L889" s="283" t="str">
        <f t="shared" si="42"/>
        <v/>
      </c>
    </row>
    <row r="890" spans="1:12" x14ac:dyDescent="0.3">
      <c r="A890" s="381" t="s">
        <v>759</v>
      </c>
      <c r="B890" s="382" t="s">
        <v>1548</v>
      </c>
      <c r="C890" s="480"/>
      <c r="D890" s="282"/>
      <c r="E890" s="282"/>
      <c r="F890" s="481"/>
      <c r="G890" s="480"/>
      <c r="H890" s="282"/>
      <c r="I890" s="282"/>
      <c r="J890" s="481"/>
      <c r="K890" s="29">
        <f t="shared" si="41"/>
        <v>0</v>
      </c>
      <c r="L890" s="283" t="str">
        <f t="shared" si="42"/>
        <v/>
      </c>
    </row>
    <row r="891" spans="1:12" x14ac:dyDescent="0.3">
      <c r="A891" s="381" t="s">
        <v>759</v>
      </c>
      <c r="B891" s="382" t="s">
        <v>1549</v>
      </c>
      <c r="C891" s="480"/>
      <c r="D891" s="282"/>
      <c r="E891" s="282"/>
      <c r="F891" s="481"/>
      <c r="G891" s="480">
        <v>65000</v>
      </c>
      <c r="H891" s="282">
        <v>15000</v>
      </c>
      <c r="I891" s="282">
        <v>15000</v>
      </c>
      <c r="J891" s="481">
        <f t="shared" si="43"/>
        <v>95000</v>
      </c>
      <c r="K891" s="29">
        <f t="shared" si="41"/>
        <v>0</v>
      </c>
      <c r="L891" s="283" t="str">
        <f t="shared" si="42"/>
        <v/>
      </c>
    </row>
    <row r="892" spans="1:12" x14ac:dyDescent="0.3">
      <c r="A892" s="381" t="s">
        <v>759</v>
      </c>
      <c r="B892" s="382" t="s">
        <v>1550</v>
      </c>
      <c r="C892" s="480"/>
      <c r="D892" s="282"/>
      <c r="E892" s="282"/>
      <c r="F892" s="481"/>
      <c r="G892" s="480"/>
      <c r="H892" s="282"/>
      <c r="I892" s="282"/>
      <c r="J892" s="481"/>
      <c r="K892" s="29">
        <f t="shared" si="41"/>
        <v>0</v>
      </c>
      <c r="L892" s="283" t="str">
        <f t="shared" si="42"/>
        <v/>
      </c>
    </row>
    <row r="893" spans="1:12" x14ac:dyDescent="0.3">
      <c r="A893" s="381" t="s">
        <v>759</v>
      </c>
      <c r="B893" s="382" t="s">
        <v>1551</v>
      </c>
      <c r="C893" s="480"/>
      <c r="D893" s="282"/>
      <c r="E893" s="282"/>
      <c r="F893" s="481"/>
      <c r="G893" s="480"/>
      <c r="H893" s="282">
        <v>35000</v>
      </c>
      <c r="I893" s="282">
        <v>55000</v>
      </c>
      <c r="J893" s="481">
        <f t="shared" si="43"/>
        <v>90000</v>
      </c>
      <c r="K893" s="29">
        <f t="shared" si="41"/>
        <v>0</v>
      </c>
      <c r="L893" s="283" t="str">
        <f t="shared" si="42"/>
        <v/>
      </c>
    </row>
    <row r="894" spans="1:12" x14ac:dyDescent="0.3">
      <c r="A894" s="381" t="s">
        <v>759</v>
      </c>
      <c r="B894" s="382" t="s">
        <v>1552</v>
      </c>
      <c r="C894" s="480"/>
      <c r="D894" s="282"/>
      <c r="E894" s="282"/>
      <c r="F894" s="481"/>
      <c r="G894" s="480">
        <v>60000</v>
      </c>
      <c r="H894" s="282">
        <v>30000</v>
      </c>
      <c r="I894" s="282"/>
      <c r="J894" s="481">
        <f t="shared" si="43"/>
        <v>90000</v>
      </c>
      <c r="K894" s="29">
        <f t="shared" si="41"/>
        <v>0</v>
      </c>
      <c r="L894" s="283" t="str">
        <f t="shared" si="42"/>
        <v/>
      </c>
    </row>
    <row r="895" spans="1:12" x14ac:dyDescent="0.3">
      <c r="A895" s="381" t="s">
        <v>759</v>
      </c>
      <c r="B895" s="382" t="s">
        <v>1553</v>
      </c>
      <c r="C895" s="480"/>
      <c r="D895" s="282"/>
      <c r="E895" s="282"/>
      <c r="F895" s="481"/>
      <c r="G895" s="480"/>
      <c r="H895" s="282"/>
      <c r="I895" s="282">
        <v>85000</v>
      </c>
      <c r="J895" s="481">
        <f t="shared" si="43"/>
        <v>85000</v>
      </c>
      <c r="K895" s="29">
        <f t="shared" si="41"/>
        <v>0</v>
      </c>
      <c r="L895" s="283" t="str">
        <f t="shared" si="42"/>
        <v/>
      </c>
    </row>
    <row r="896" spans="1:12" x14ac:dyDescent="0.3">
      <c r="A896" s="381" t="s">
        <v>759</v>
      </c>
      <c r="B896" s="382" t="s">
        <v>1554</v>
      </c>
      <c r="C896" s="480"/>
      <c r="D896" s="282"/>
      <c r="E896" s="282"/>
      <c r="F896" s="481"/>
      <c r="G896" s="480"/>
      <c r="H896" s="282"/>
      <c r="I896" s="282">
        <v>83000</v>
      </c>
      <c r="J896" s="481">
        <f t="shared" si="43"/>
        <v>83000</v>
      </c>
      <c r="K896" s="29">
        <f t="shared" si="41"/>
        <v>0</v>
      </c>
      <c r="L896" s="283" t="str">
        <f t="shared" si="42"/>
        <v/>
      </c>
    </row>
    <row r="897" spans="1:12" x14ac:dyDescent="0.3">
      <c r="A897" s="381" t="s">
        <v>759</v>
      </c>
      <c r="B897" s="382" t="s">
        <v>1555</v>
      </c>
      <c r="C897" s="480"/>
      <c r="D897" s="282"/>
      <c r="E897" s="282"/>
      <c r="F897" s="481"/>
      <c r="G897" s="480"/>
      <c r="H897" s="282"/>
      <c r="I897" s="282"/>
      <c r="J897" s="481"/>
      <c r="K897" s="29">
        <f t="shared" si="41"/>
        <v>0</v>
      </c>
      <c r="L897" s="283" t="str">
        <f t="shared" si="42"/>
        <v/>
      </c>
    </row>
    <row r="898" spans="1:12" x14ac:dyDescent="0.3">
      <c r="A898" s="381" t="s">
        <v>759</v>
      </c>
      <c r="B898" s="382" t="s">
        <v>1391</v>
      </c>
      <c r="C898" s="480"/>
      <c r="D898" s="282"/>
      <c r="E898" s="282"/>
      <c r="F898" s="481"/>
      <c r="G898" s="480">
        <v>24000</v>
      </c>
      <c r="H898" s="282">
        <v>16000</v>
      </c>
      <c r="I898" s="282">
        <v>20000</v>
      </c>
      <c r="J898" s="481">
        <f t="shared" si="43"/>
        <v>60000</v>
      </c>
      <c r="K898" s="29">
        <f t="shared" ref="K898:K961" si="44">IF(OR(J898="", F898=""), 0, IFERROR((J898-F898)/F898, IF(J898&lt;&gt;0, 1, 0)))</f>
        <v>0</v>
      </c>
      <c r="L898" s="283" t="str">
        <f t="shared" ref="L898:L961" si="45">IFERROR(_xlfn.RANK.EQ(J898, $J$2:$J$308), "")</f>
        <v/>
      </c>
    </row>
    <row r="899" spans="1:12" x14ac:dyDescent="0.3">
      <c r="A899" s="381" t="s">
        <v>759</v>
      </c>
      <c r="B899" s="382" t="s">
        <v>1556</v>
      </c>
      <c r="C899" s="480"/>
      <c r="D899" s="282"/>
      <c r="E899" s="282"/>
      <c r="F899" s="481"/>
      <c r="G899" s="480"/>
      <c r="H899" s="282">
        <v>20000</v>
      </c>
      <c r="I899" s="282">
        <v>51500</v>
      </c>
      <c r="J899" s="481">
        <f t="shared" ref="J899:J961" si="46">G899+H899+I899</f>
        <v>71500</v>
      </c>
      <c r="K899" s="29">
        <f t="shared" si="44"/>
        <v>0</v>
      </c>
      <c r="L899" s="283" t="str">
        <f t="shared" si="45"/>
        <v/>
      </c>
    </row>
    <row r="900" spans="1:12" x14ac:dyDescent="0.3">
      <c r="A900" s="381" t="s">
        <v>759</v>
      </c>
      <c r="B900" s="382" t="s">
        <v>1335</v>
      </c>
      <c r="C900" s="480"/>
      <c r="D900" s="282"/>
      <c r="E900" s="282"/>
      <c r="F900" s="481"/>
      <c r="G900" s="480"/>
      <c r="H900" s="282">
        <v>71000</v>
      </c>
      <c r="I900" s="282"/>
      <c r="J900" s="481">
        <f t="shared" si="46"/>
        <v>71000</v>
      </c>
      <c r="K900" s="29">
        <f t="shared" si="44"/>
        <v>0</v>
      </c>
      <c r="L900" s="283" t="str">
        <f t="shared" si="45"/>
        <v/>
      </c>
    </row>
    <row r="901" spans="1:12" x14ac:dyDescent="0.3">
      <c r="A901" s="381" t="s">
        <v>759</v>
      </c>
      <c r="B901" s="382" t="s">
        <v>1557</v>
      </c>
      <c r="C901" s="480">
        <v>24000</v>
      </c>
      <c r="D901" s="282"/>
      <c r="E901" s="282"/>
      <c r="F901" s="481">
        <f>C901+D901+E901</f>
        <v>24000</v>
      </c>
      <c r="G901" s="480">
        <v>46000</v>
      </c>
      <c r="H901" s="282"/>
      <c r="I901" s="282">
        <v>23000</v>
      </c>
      <c r="J901" s="481">
        <f t="shared" si="46"/>
        <v>69000</v>
      </c>
      <c r="K901" s="29">
        <f t="shared" si="44"/>
        <v>1.875</v>
      </c>
      <c r="L901" s="283" t="str">
        <f t="shared" si="45"/>
        <v/>
      </c>
    </row>
    <row r="902" spans="1:12" x14ac:dyDescent="0.3">
      <c r="A902" s="381" t="s">
        <v>759</v>
      </c>
      <c r="B902" s="382" t="s">
        <v>888</v>
      </c>
      <c r="C902" s="480" t="s">
        <v>251</v>
      </c>
      <c r="D902" s="282" t="s">
        <v>251</v>
      </c>
      <c r="E902" s="282" t="s">
        <v>251</v>
      </c>
      <c r="F902" s="481"/>
      <c r="G902" s="480"/>
      <c r="H902" s="282"/>
      <c r="I902" s="282">
        <v>68000</v>
      </c>
      <c r="J902" s="481">
        <f t="shared" si="46"/>
        <v>68000</v>
      </c>
      <c r="K902" s="29">
        <f t="shared" si="44"/>
        <v>0</v>
      </c>
      <c r="L902" s="283" t="str">
        <f t="shared" si="45"/>
        <v/>
      </c>
    </row>
    <row r="903" spans="1:12" x14ac:dyDescent="0.3">
      <c r="A903" s="381" t="s">
        <v>759</v>
      </c>
      <c r="B903" s="382" t="s">
        <v>1558</v>
      </c>
      <c r="C903" s="480" t="s">
        <v>251</v>
      </c>
      <c r="D903" s="282" t="s">
        <v>251</v>
      </c>
      <c r="E903" s="282" t="s">
        <v>251</v>
      </c>
      <c r="F903" s="481"/>
      <c r="G903" s="480"/>
      <c r="H903" s="282"/>
      <c r="I903" s="282">
        <v>50000</v>
      </c>
      <c r="J903" s="481">
        <f t="shared" si="46"/>
        <v>50000</v>
      </c>
      <c r="K903" s="29">
        <f t="shared" si="44"/>
        <v>0</v>
      </c>
      <c r="L903" s="283" t="str">
        <f t="shared" si="45"/>
        <v/>
      </c>
    </row>
    <row r="904" spans="1:12" x14ac:dyDescent="0.3">
      <c r="A904" s="381" t="s">
        <v>759</v>
      </c>
      <c r="B904" s="382" t="s">
        <v>1559</v>
      </c>
      <c r="C904" s="480" t="s">
        <v>251</v>
      </c>
      <c r="D904" s="282" t="s">
        <v>251</v>
      </c>
      <c r="E904" s="282" t="s">
        <v>251</v>
      </c>
      <c r="F904" s="481"/>
      <c r="G904" s="480"/>
      <c r="H904" s="282"/>
      <c r="I904" s="282">
        <v>65000</v>
      </c>
      <c r="J904" s="481">
        <f t="shared" si="46"/>
        <v>65000</v>
      </c>
      <c r="K904" s="29">
        <f t="shared" si="44"/>
        <v>0</v>
      </c>
      <c r="L904" s="283" t="str">
        <f t="shared" si="45"/>
        <v/>
      </c>
    </row>
    <row r="905" spans="1:12" x14ac:dyDescent="0.3">
      <c r="A905" s="381" t="s">
        <v>759</v>
      </c>
      <c r="B905" s="382" t="s">
        <v>1560</v>
      </c>
      <c r="C905" s="480" t="s">
        <v>251</v>
      </c>
      <c r="D905" s="282" t="s">
        <v>251</v>
      </c>
      <c r="E905" s="282" t="s">
        <v>251</v>
      </c>
      <c r="F905" s="481"/>
      <c r="G905" s="480">
        <v>65000</v>
      </c>
      <c r="H905" s="282"/>
      <c r="I905" s="282"/>
      <c r="J905" s="481">
        <f t="shared" si="46"/>
        <v>65000</v>
      </c>
      <c r="K905" s="29">
        <f t="shared" si="44"/>
        <v>0</v>
      </c>
      <c r="L905" s="283" t="str">
        <f t="shared" si="45"/>
        <v/>
      </c>
    </row>
    <row r="906" spans="1:12" x14ac:dyDescent="0.3">
      <c r="A906" s="381" t="s">
        <v>759</v>
      </c>
      <c r="B906" s="382" t="s">
        <v>1561</v>
      </c>
      <c r="C906" s="480" t="s">
        <v>251</v>
      </c>
      <c r="D906" s="282" t="s">
        <v>251</v>
      </c>
      <c r="E906" s="282" t="s">
        <v>251</v>
      </c>
      <c r="F906" s="481"/>
      <c r="G906" s="480"/>
      <c r="H906" s="282"/>
      <c r="I906" s="282"/>
      <c r="J906" s="481"/>
      <c r="K906" s="29">
        <f t="shared" si="44"/>
        <v>0</v>
      </c>
      <c r="L906" s="283" t="str">
        <f t="shared" si="45"/>
        <v/>
      </c>
    </row>
    <row r="907" spans="1:12" x14ac:dyDescent="0.3">
      <c r="A907" s="381" t="s">
        <v>759</v>
      </c>
      <c r="B907" s="382" t="s">
        <v>394</v>
      </c>
      <c r="C907" s="480">
        <v>312000</v>
      </c>
      <c r="D907" s="282">
        <v>1456600</v>
      </c>
      <c r="E907" s="282">
        <v>1035000</v>
      </c>
      <c r="F907" s="481">
        <f>C907+D907+E907</f>
        <v>2803600</v>
      </c>
      <c r="G907" s="480"/>
      <c r="H907" s="282"/>
      <c r="I907" s="282"/>
      <c r="J907" s="481"/>
      <c r="K907" s="29">
        <f t="shared" si="44"/>
        <v>0</v>
      </c>
      <c r="L907" s="283" t="str">
        <f t="shared" si="45"/>
        <v/>
      </c>
    </row>
    <row r="908" spans="1:12" x14ac:dyDescent="0.3">
      <c r="A908" s="381" t="s">
        <v>759</v>
      </c>
      <c r="B908" s="382" t="s">
        <v>1562</v>
      </c>
      <c r="C908" s="480" t="s">
        <v>251</v>
      </c>
      <c r="D908" s="282" t="s">
        <v>251</v>
      </c>
      <c r="E908" s="282" t="s">
        <v>251</v>
      </c>
      <c r="F908" s="481"/>
      <c r="G908" s="480"/>
      <c r="H908" s="282"/>
      <c r="I908" s="282"/>
      <c r="J908" s="481"/>
      <c r="K908" s="29">
        <f t="shared" si="44"/>
        <v>0</v>
      </c>
      <c r="L908" s="283" t="str">
        <f t="shared" si="45"/>
        <v/>
      </c>
    </row>
    <row r="909" spans="1:12" x14ac:dyDescent="0.3">
      <c r="A909" s="381" t="s">
        <v>759</v>
      </c>
      <c r="B909" s="382" t="s">
        <v>1563</v>
      </c>
      <c r="C909" s="480" t="s">
        <v>251</v>
      </c>
      <c r="D909" s="282" t="s">
        <v>251</v>
      </c>
      <c r="E909" s="282" t="s">
        <v>251</v>
      </c>
      <c r="F909" s="481"/>
      <c r="G909" s="480"/>
      <c r="H909" s="282"/>
      <c r="I909" s="282"/>
      <c r="J909" s="481"/>
      <c r="K909" s="29">
        <f t="shared" si="44"/>
        <v>0</v>
      </c>
      <c r="L909" s="283" t="str">
        <f t="shared" si="45"/>
        <v/>
      </c>
    </row>
    <row r="910" spans="1:12" x14ac:dyDescent="0.3">
      <c r="A910" s="381" t="s">
        <v>759</v>
      </c>
      <c r="B910" s="382" t="s">
        <v>1564</v>
      </c>
      <c r="C910" s="480" t="s">
        <v>251</v>
      </c>
      <c r="D910" s="282" t="s">
        <v>251</v>
      </c>
      <c r="E910" s="282" t="s">
        <v>251</v>
      </c>
      <c r="F910" s="481"/>
      <c r="G910" s="480"/>
      <c r="H910" s="282"/>
      <c r="I910" s="282"/>
      <c r="J910" s="481"/>
      <c r="K910" s="29">
        <f t="shared" si="44"/>
        <v>0</v>
      </c>
      <c r="L910" s="283" t="str">
        <f t="shared" si="45"/>
        <v/>
      </c>
    </row>
    <row r="911" spans="1:12" x14ac:dyDescent="0.3">
      <c r="A911" s="381" t="s">
        <v>759</v>
      </c>
      <c r="B911" s="382" t="s">
        <v>1101</v>
      </c>
      <c r="C911" s="480"/>
      <c r="D911" s="282">
        <v>44000</v>
      </c>
      <c r="E911" s="282">
        <v>55000</v>
      </c>
      <c r="F911" s="481">
        <f>C911+D911+E911</f>
        <v>99000</v>
      </c>
      <c r="G911" s="480"/>
      <c r="H911" s="282">
        <v>58000</v>
      </c>
      <c r="I911" s="282"/>
      <c r="J911" s="481">
        <f t="shared" si="46"/>
        <v>58000</v>
      </c>
      <c r="K911" s="29">
        <f t="shared" si="44"/>
        <v>-0.41414141414141414</v>
      </c>
      <c r="L911" s="283" t="str">
        <f t="shared" si="45"/>
        <v/>
      </c>
    </row>
    <row r="912" spans="1:12" x14ac:dyDescent="0.3">
      <c r="A912" s="381" t="s">
        <v>759</v>
      </c>
      <c r="B912" s="382" t="s">
        <v>1565</v>
      </c>
      <c r="C912" s="480"/>
      <c r="D912" s="282"/>
      <c r="E912" s="282"/>
      <c r="F912" s="481"/>
      <c r="G912" s="480"/>
      <c r="H912" s="282"/>
      <c r="I912" s="282">
        <v>58000</v>
      </c>
      <c r="J912" s="481">
        <f t="shared" si="46"/>
        <v>58000</v>
      </c>
      <c r="K912" s="29">
        <f t="shared" si="44"/>
        <v>0</v>
      </c>
      <c r="L912" s="283" t="str">
        <f t="shared" si="45"/>
        <v/>
      </c>
    </row>
    <row r="913" spans="1:12" x14ac:dyDescent="0.3">
      <c r="A913" s="381" t="s">
        <v>759</v>
      </c>
      <c r="B913" s="382" t="s">
        <v>1232</v>
      </c>
      <c r="C913" s="480"/>
      <c r="D913" s="282"/>
      <c r="E913" s="282"/>
      <c r="F913" s="481"/>
      <c r="G913" s="480"/>
      <c r="H913" s="282"/>
      <c r="I913" s="282"/>
      <c r="J913" s="481"/>
      <c r="K913" s="29">
        <f t="shared" si="44"/>
        <v>0</v>
      </c>
      <c r="L913" s="283" t="str">
        <f t="shared" si="45"/>
        <v/>
      </c>
    </row>
    <row r="914" spans="1:12" x14ac:dyDescent="0.3">
      <c r="A914" s="381" t="s">
        <v>759</v>
      </c>
      <c r="B914" s="382" t="s">
        <v>719</v>
      </c>
      <c r="C914" s="480"/>
      <c r="D914" s="282"/>
      <c r="E914" s="282"/>
      <c r="F914" s="481"/>
      <c r="G914" s="480"/>
      <c r="H914" s="282">
        <v>19000</v>
      </c>
      <c r="I914" s="282"/>
      <c r="J914" s="481">
        <f t="shared" si="46"/>
        <v>19000</v>
      </c>
      <c r="K914" s="29">
        <f t="shared" si="44"/>
        <v>0</v>
      </c>
      <c r="L914" s="283" t="str">
        <f t="shared" si="45"/>
        <v/>
      </c>
    </row>
    <row r="915" spans="1:12" x14ac:dyDescent="0.3">
      <c r="A915" s="381" t="s">
        <v>759</v>
      </c>
      <c r="B915" s="382" t="s">
        <v>1566</v>
      </c>
      <c r="C915" s="480"/>
      <c r="D915" s="282"/>
      <c r="E915" s="282"/>
      <c r="F915" s="481"/>
      <c r="G915" s="480"/>
      <c r="H915" s="282"/>
      <c r="I915" s="282"/>
      <c r="J915" s="481"/>
      <c r="K915" s="29">
        <f t="shared" si="44"/>
        <v>0</v>
      </c>
      <c r="L915" s="283" t="str">
        <f t="shared" si="45"/>
        <v/>
      </c>
    </row>
    <row r="916" spans="1:12" x14ac:dyDescent="0.3">
      <c r="A916" s="381" t="s">
        <v>759</v>
      </c>
      <c r="B916" s="382" t="s">
        <v>648</v>
      </c>
      <c r="C916" s="480"/>
      <c r="D916" s="282"/>
      <c r="E916" s="282"/>
      <c r="F916" s="481"/>
      <c r="G916" s="480"/>
      <c r="H916" s="282">
        <v>47000</v>
      </c>
      <c r="I916" s="282">
        <v>5000</v>
      </c>
      <c r="J916" s="481">
        <f t="shared" si="46"/>
        <v>52000</v>
      </c>
      <c r="K916" s="29">
        <f t="shared" si="44"/>
        <v>0</v>
      </c>
      <c r="L916" s="283" t="str">
        <f t="shared" si="45"/>
        <v/>
      </c>
    </row>
    <row r="917" spans="1:12" x14ac:dyDescent="0.3">
      <c r="A917" s="381" t="s">
        <v>759</v>
      </c>
      <c r="B917" s="382" t="s">
        <v>1567</v>
      </c>
      <c r="C917" s="480"/>
      <c r="D917" s="282"/>
      <c r="E917" s="282"/>
      <c r="F917" s="481"/>
      <c r="G917" s="480"/>
      <c r="H917" s="282"/>
      <c r="I917" s="282">
        <v>24500</v>
      </c>
      <c r="J917" s="481">
        <f t="shared" si="46"/>
        <v>24500</v>
      </c>
      <c r="K917" s="29">
        <f t="shared" si="44"/>
        <v>0</v>
      </c>
      <c r="L917" s="283" t="str">
        <f t="shared" si="45"/>
        <v/>
      </c>
    </row>
    <row r="918" spans="1:12" x14ac:dyDescent="0.3">
      <c r="A918" s="381" t="s">
        <v>759</v>
      </c>
      <c r="B918" s="382" t="s">
        <v>645</v>
      </c>
      <c r="C918" s="480">
        <v>5000</v>
      </c>
      <c r="D918" s="282"/>
      <c r="E918" s="282"/>
      <c r="F918" s="481">
        <f>C918+D918+E918</f>
        <v>5000</v>
      </c>
      <c r="G918" s="480"/>
      <c r="H918" s="282">
        <v>45000</v>
      </c>
      <c r="I918" s="282"/>
      <c r="J918" s="481">
        <f t="shared" si="46"/>
        <v>45000</v>
      </c>
      <c r="K918" s="29">
        <f t="shared" si="44"/>
        <v>8</v>
      </c>
      <c r="L918" s="283" t="str">
        <f t="shared" si="45"/>
        <v/>
      </c>
    </row>
    <row r="919" spans="1:12" x14ac:dyDescent="0.3">
      <c r="A919" s="381" t="s">
        <v>759</v>
      </c>
      <c r="B919" s="382" t="s">
        <v>1568</v>
      </c>
      <c r="C919" s="480"/>
      <c r="D919" s="282"/>
      <c r="E919" s="282"/>
      <c r="F919" s="481"/>
      <c r="G919" s="480">
        <v>22500</v>
      </c>
      <c r="H919" s="282"/>
      <c r="I919" s="282">
        <v>22500</v>
      </c>
      <c r="J919" s="481">
        <f t="shared" si="46"/>
        <v>45000</v>
      </c>
      <c r="K919" s="29">
        <f t="shared" si="44"/>
        <v>0</v>
      </c>
      <c r="L919" s="283" t="str">
        <f t="shared" si="45"/>
        <v/>
      </c>
    </row>
    <row r="920" spans="1:12" x14ac:dyDescent="0.3">
      <c r="A920" s="381" t="s">
        <v>759</v>
      </c>
      <c r="B920" s="382" t="s">
        <v>1569</v>
      </c>
      <c r="C920" s="480"/>
      <c r="D920" s="282"/>
      <c r="E920" s="282"/>
      <c r="F920" s="481"/>
      <c r="G920" s="480"/>
      <c r="H920" s="282">
        <v>45000</v>
      </c>
      <c r="I920" s="282"/>
      <c r="J920" s="481">
        <f t="shared" si="46"/>
        <v>45000</v>
      </c>
      <c r="K920" s="29">
        <f t="shared" si="44"/>
        <v>0</v>
      </c>
      <c r="L920" s="283" t="str">
        <f t="shared" si="45"/>
        <v/>
      </c>
    </row>
    <row r="921" spans="1:12" x14ac:dyDescent="0.3">
      <c r="A921" s="381" t="s">
        <v>759</v>
      </c>
      <c r="B921" s="382" t="s">
        <v>1570</v>
      </c>
      <c r="C921" s="480"/>
      <c r="D921" s="282"/>
      <c r="E921" s="282"/>
      <c r="F921" s="481"/>
      <c r="G921" s="480">
        <v>42000</v>
      </c>
      <c r="H921" s="282"/>
      <c r="I921" s="282"/>
      <c r="J921" s="481">
        <f t="shared" si="46"/>
        <v>42000</v>
      </c>
      <c r="K921" s="29">
        <f t="shared" si="44"/>
        <v>0</v>
      </c>
      <c r="L921" s="283" t="str">
        <f t="shared" si="45"/>
        <v/>
      </c>
    </row>
    <row r="922" spans="1:12" x14ac:dyDescent="0.3">
      <c r="A922" s="381" t="s">
        <v>759</v>
      </c>
      <c r="B922" s="382" t="s">
        <v>1571</v>
      </c>
      <c r="C922" s="480"/>
      <c r="D922" s="282"/>
      <c r="E922" s="282"/>
      <c r="F922" s="481"/>
      <c r="G922" s="480"/>
      <c r="H922" s="282"/>
      <c r="I922" s="282"/>
      <c r="J922" s="481"/>
      <c r="K922" s="29">
        <f t="shared" si="44"/>
        <v>0</v>
      </c>
      <c r="L922" s="283" t="str">
        <f t="shared" si="45"/>
        <v/>
      </c>
    </row>
    <row r="923" spans="1:12" x14ac:dyDescent="0.3">
      <c r="A923" s="381" t="s">
        <v>759</v>
      </c>
      <c r="B923" s="382" t="s">
        <v>1572</v>
      </c>
      <c r="C923" s="480"/>
      <c r="D923" s="282"/>
      <c r="E923" s="282"/>
      <c r="F923" s="481"/>
      <c r="G923" s="480"/>
      <c r="H923" s="282"/>
      <c r="I923" s="282">
        <v>41000</v>
      </c>
      <c r="J923" s="481">
        <f t="shared" si="46"/>
        <v>41000</v>
      </c>
      <c r="K923" s="29">
        <f t="shared" si="44"/>
        <v>0</v>
      </c>
      <c r="L923" s="283" t="str">
        <f t="shared" si="45"/>
        <v/>
      </c>
    </row>
    <row r="924" spans="1:12" x14ac:dyDescent="0.3">
      <c r="A924" s="381" t="s">
        <v>759</v>
      </c>
      <c r="B924" s="382" t="s">
        <v>1198</v>
      </c>
      <c r="C924" s="480"/>
      <c r="D924" s="282"/>
      <c r="E924" s="282"/>
      <c r="F924" s="481"/>
      <c r="G924" s="480"/>
      <c r="H924" s="282"/>
      <c r="I924" s="282"/>
      <c r="J924" s="481"/>
      <c r="K924" s="29">
        <f t="shared" si="44"/>
        <v>0</v>
      </c>
      <c r="L924" s="283" t="str">
        <f t="shared" si="45"/>
        <v/>
      </c>
    </row>
    <row r="925" spans="1:12" x14ac:dyDescent="0.3">
      <c r="A925" s="381" t="s">
        <v>759</v>
      </c>
      <c r="B925" s="382" t="s">
        <v>1573</v>
      </c>
      <c r="C925" s="480"/>
      <c r="D925" s="282"/>
      <c r="E925" s="282"/>
      <c r="F925" s="481"/>
      <c r="G925" s="480">
        <v>15000</v>
      </c>
      <c r="H925" s="282"/>
      <c r="I925" s="282">
        <v>25000</v>
      </c>
      <c r="J925" s="481">
        <f t="shared" si="46"/>
        <v>40000</v>
      </c>
      <c r="K925" s="29">
        <f t="shared" si="44"/>
        <v>0</v>
      </c>
      <c r="L925" s="283" t="str">
        <f t="shared" si="45"/>
        <v/>
      </c>
    </row>
    <row r="926" spans="1:12" x14ac:dyDescent="0.3">
      <c r="A926" s="381" t="s">
        <v>759</v>
      </c>
      <c r="B926" s="382" t="s">
        <v>1574</v>
      </c>
      <c r="C926" s="480"/>
      <c r="D926" s="282"/>
      <c r="E926" s="282"/>
      <c r="F926" s="481"/>
      <c r="G926" s="480"/>
      <c r="H926" s="282"/>
      <c r="I926" s="282"/>
      <c r="J926" s="481"/>
      <c r="K926" s="29">
        <f t="shared" si="44"/>
        <v>0</v>
      </c>
      <c r="L926" s="283" t="str">
        <f t="shared" si="45"/>
        <v/>
      </c>
    </row>
    <row r="927" spans="1:12" x14ac:dyDescent="0.3">
      <c r="A927" s="381" t="s">
        <v>759</v>
      </c>
      <c r="B927" s="382" t="s">
        <v>1349</v>
      </c>
      <c r="C927" s="480"/>
      <c r="D927" s="282"/>
      <c r="E927" s="282"/>
      <c r="F927" s="481"/>
      <c r="G927" s="480"/>
      <c r="H927" s="282">
        <v>38000</v>
      </c>
      <c r="I927" s="282"/>
      <c r="J927" s="481">
        <f t="shared" si="46"/>
        <v>38000</v>
      </c>
      <c r="K927" s="29">
        <f t="shared" si="44"/>
        <v>0</v>
      </c>
      <c r="L927" s="283" t="str">
        <f t="shared" si="45"/>
        <v/>
      </c>
    </row>
    <row r="928" spans="1:12" x14ac:dyDescent="0.3">
      <c r="A928" s="381" t="s">
        <v>759</v>
      </c>
      <c r="B928" s="382" t="s">
        <v>1575</v>
      </c>
      <c r="C928" s="480"/>
      <c r="D928" s="282"/>
      <c r="E928" s="282"/>
      <c r="F928" s="481"/>
      <c r="G928" s="480">
        <v>37000</v>
      </c>
      <c r="H928" s="282"/>
      <c r="I928" s="282"/>
      <c r="J928" s="481">
        <f t="shared" si="46"/>
        <v>37000</v>
      </c>
      <c r="K928" s="29">
        <f t="shared" si="44"/>
        <v>0</v>
      </c>
      <c r="L928" s="283" t="str">
        <f t="shared" si="45"/>
        <v/>
      </c>
    </row>
    <row r="929" spans="1:12" x14ac:dyDescent="0.3">
      <c r="A929" s="381" t="s">
        <v>759</v>
      </c>
      <c r="B929" s="382" t="s">
        <v>1576</v>
      </c>
      <c r="C929" s="480"/>
      <c r="D929" s="282"/>
      <c r="E929" s="282"/>
      <c r="F929" s="481"/>
      <c r="G929" s="480"/>
      <c r="H929" s="282">
        <v>11000</v>
      </c>
      <c r="I929" s="282">
        <v>26000</v>
      </c>
      <c r="J929" s="481">
        <f t="shared" si="46"/>
        <v>37000</v>
      </c>
      <c r="K929" s="29">
        <f t="shared" si="44"/>
        <v>0</v>
      </c>
      <c r="L929" s="283" t="str">
        <f t="shared" si="45"/>
        <v/>
      </c>
    </row>
    <row r="930" spans="1:12" x14ac:dyDescent="0.3">
      <c r="A930" s="381" t="s">
        <v>759</v>
      </c>
      <c r="B930" s="382" t="s">
        <v>1577</v>
      </c>
      <c r="C930" s="480"/>
      <c r="D930" s="282"/>
      <c r="E930" s="282"/>
      <c r="F930" s="481"/>
      <c r="G930" s="480"/>
      <c r="H930" s="282"/>
      <c r="I930" s="282">
        <v>35000</v>
      </c>
      <c r="J930" s="481">
        <f t="shared" si="46"/>
        <v>35000</v>
      </c>
      <c r="K930" s="29">
        <f t="shared" si="44"/>
        <v>0</v>
      </c>
      <c r="L930" s="283" t="str">
        <f t="shared" si="45"/>
        <v/>
      </c>
    </row>
    <row r="931" spans="1:12" x14ac:dyDescent="0.3">
      <c r="A931" s="381" t="s">
        <v>759</v>
      </c>
      <c r="B931" s="382" t="s">
        <v>1289</v>
      </c>
      <c r="C931" s="480"/>
      <c r="D931" s="282"/>
      <c r="E931" s="282"/>
      <c r="F931" s="481"/>
      <c r="G931" s="480">
        <v>35000</v>
      </c>
      <c r="H931" s="282"/>
      <c r="I931" s="282"/>
      <c r="J931" s="481">
        <f t="shared" si="46"/>
        <v>35000</v>
      </c>
      <c r="K931" s="29">
        <f t="shared" si="44"/>
        <v>0</v>
      </c>
      <c r="L931" s="283" t="str">
        <f t="shared" si="45"/>
        <v/>
      </c>
    </row>
    <row r="932" spans="1:12" x14ac:dyDescent="0.3">
      <c r="A932" s="381" t="s">
        <v>759</v>
      </c>
      <c r="B932" s="382" t="s">
        <v>1578</v>
      </c>
      <c r="C932" s="480"/>
      <c r="D932" s="282"/>
      <c r="E932" s="282"/>
      <c r="F932" s="481"/>
      <c r="G932" s="480"/>
      <c r="H932" s="282"/>
      <c r="I932" s="282"/>
      <c r="J932" s="481"/>
      <c r="K932" s="29">
        <f t="shared" si="44"/>
        <v>0</v>
      </c>
      <c r="L932" s="283" t="str">
        <f t="shared" si="45"/>
        <v/>
      </c>
    </row>
    <row r="933" spans="1:12" x14ac:dyDescent="0.3">
      <c r="A933" s="381" t="s">
        <v>759</v>
      </c>
      <c r="B933" s="382" t="s">
        <v>1579</v>
      </c>
      <c r="C933" s="480"/>
      <c r="D933" s="282"/>
      <c r="E933" s="282"/>
      <c r="F933" s="481"/>
      <c r="G933" s="480"/>
      <c r="H933" s="282"/>
      <c r="I933" s="282"/>
      <c r="J933" s="481"/>
      <c r="K933" s="29">
        <f t="shared" si="44"/>
        <v>0</v>
      </c>
      <c r="L933" s="283" t="str">
        <f t="shared" si="45"/>
        <v/>
      </c>
    </row>
    <row r="934" spans="1:12" x14ac:dyDescent="0.3">
      <c r="A934" s="381" t="s">
        <v>759</v>
      </c>
      <c r="B934" s="382" t="s">
        <v>624</v>
      </c>
      <c r="C934" s="480"/>
      <c r="D934" s="282"/>
      <c r="E934" s="282"/>
      <c r="F934" s="481"/>
      <c r="G934" s="480"/>
      <c r="H934" s="282"/>
      <c r="I934" s="282">
        <v>30000</v>
      </c>
      <c r="J934" s="481">
        <f t="shared" si="46"/>
        <v>30000</v>
      </c>
      <c r="K934" s="29">
        <f t="shared" si="44"/>
        <v>0</v>
      </c>
      <c r="L934" s="283" t="str">
        <f t="shared" si="45"/>
        <v/>
      </c>
    </row>
    <row r="935" spans="1:12" x14ac:dyDescent="0.3">
      <c r="A935" s="381" t="s">
        <v>759</v>
      </c>
      <c r="B935" s="382" t="s">
        <v>1580</v>
      </c>
      <c r="C935" s="480">
        <v>15000</v>
      </c>
      <c r="D935" s="282"/>
      <c r="E935" s="282"/>
      <c r="F935" s="481">
        <f>C935+D935+E935</f>
        <v>15000</v>
      </c>
      <c r="G935" s="480"/>
      <c r="H935" s="282"/>
      <c r="I935" s="282"/>
      <c r="J935" s="481"/>
      <c r="K935" s="29">
        <f t="shared" si="44"/>
        <v>0</v>
      </c>
      <c r="L935" s="283" t="str">
        <f t="shared" si="45"/>
        <v/>
      </c>
    </row>
    <row r="936" spans="1:12" x14ac:dyDescent="0.3">
      <c r="A936" s="381" t="s">
        <v>759</v>
      </c>
      <c r="B936" s="382" t="s">
        <v>1581</v>
      </c>
      <c r="C936" s="480" t="s">
        <v>251</v>
      </c>
      <c r="D936" s="282" t="s">
        <v>251</v>
      </c>
      <c r="E936" s="282" t="s">
        <v>251</v>
      </c>
      <c r="F936" s="481"/>
      <c r="G936" s="480"/>
      <c r="H936" s="282"/>
      <c r="I936" s="282"/>
      <c r="J936" s="481"/>
      <c r="K936" s="29">
        <f t="shared" si="44"/>
        <v>0</v>
      </c>
      <c r="L936" s="283" t="str">
        <f t="shared" si="45"/>
        <v/>
      </c>
    </row>
    <row r="937" spans="1:12" x14ac:dyDescent="0.3">
      <c r="A937" s="381" t="s">
        <v>759</v>
      </c>
      <c r="B937" s="382" t="s">
        <v>1582</v>
      </c>
      <c r="C937" s="480"/>
      <c r="D937" s="282"/>
      <c r="E937" s="282">
        <v>43000</v>
      </c>
      <c r="F937" s="481">
        <f>C937+D937+E937</f>
        <v>43000</v>
      </c>
      <c r="G937" s="480">
        <v>29000</v>
      </c>
      <c r="H937" s="282"/>
      <c r="I937" s="282"/>
      <c r="J937" s="481">
        <f t="shared" si="46"/>
        <v>29000</v>
      </c>
      <c r="K937" s="29">
        <f t="shared" si="44"/>
        <v>-0.32558139534883723</v>
      </c>
      <c r="L937" s="283" t="str">
        <f t="shared" si="45"/>
        <v/>
      </c>
    </row>
    <row r="938" spans="1:12" x14ac:dyDescent="0.3">
      <c r="A938" s="381" t="s">
        <v>759</v>
      </c>
      <c r="B938" s="382" t="s">
        <v>1583</v>
      </c>
      <c r="C938" s="480" t="s">
        <v>251</v>
      </c>
      <c r="D938" s="282" t="s">
        <v>251</v>
      </c>
      <c r="E938" s="282" t="s">
        <v>251</v>
      </c>
      <c r="F938" s="481"/>
      <c r="G938" s="480"/>
      <c r="H938" s="282"/>
      <c r="I938" s="282"/>
      <c r="J938" s="481"/>
      <c r="K938" s="29">
        <f t="shared" si="44"/>
        <v>0</v>
      </c>
      <c r="L938" s="283" t="str">
        <f t="shared" si="45"/>
        <v/>
      </c>
    </row>
    <row r="939" spans="1:12" x14ac:dyDescent="0.3">
      <c r="A939" s="381" t="s">
        <v>759</v>
      </c>
      <c r="B939" s="382" t="s">
        <v>1584</v>
      </c>
      <c r="C939" s="480">
        <v>19000</v>
      </c>
      <c r="D939" s="282"/>
      <c r="E939" s="282"/>
      <c r="F939" s="481">
        <f>C939+D939+E939</f>
        <v>19000</v>
      </c>
      <c r="G939" s="480"/>
      <c r="H939" s="282"/>
      <c r="I939" s="282">
        <v>28000</v>
      </c>
      <c r="J939" s="481">
        <f t="shared" si="46"/>
        <v>28000</v>
      </c>
      <c r="K939" s="29">
        <f t="shared" si="44"/>
        <v>0.47368421052631576</v>
      </c>
      <c r="L939" s="283" t="str">
        <f t="shared" si="45"/>
        <v/>
      </c>
    </row>
    <row r="940" spans="1:12" x14ac:dyDescent="0.3">
      <c r="A940" s="381" t="s">
        <v>759</v>
      </c>
      <c r="B940" s="382" t="s">
        <v>1585</v>
      </c>
      <c r="C940" s="480"/>
      <c r="D940" s="282"/>
      <c r="E940" s="282"/>
      <c r="F940" s="481"/>
      <c r="G940" s="480"/>
      <c r="H940" s="282"/>
      <c r="I940" s="282"/>
      <c r="J940" s="481"/>
      <c r="K940" s="29">
        <f t="shared" si="44"/>
        <v>0</v>
      </c>
      <c r="L940" s="283" t="str">
        <f t="shared" si="45"/>
        <v/>
      </c>
    </row>
    <row r="941" spans="1:12" x14ac:dyDescent="0.3">
      <c r="A941" s="381" t="s">
        <v>759</v>
      </c>
      <c r="B941" s="382" t="s">
        <v>870</v>
      </c>
      <c r="C941" s="480"/>
      <c r="D941" s="282"/>
      <c r="E941" s="282"/>
      <c r="F941" s="481"/>
      <c r="G941" s="480"/>
      <c r="H941" s="282"/>
      <c r="I941" s="282"/>
      <c r="J941" s="481"/>
      <c r="K941" s="29">
        <f t="shared" si="44"/>
        <v>0</v>
      </c>
      <c r="L941" s="283" t="str">
        <f t="shared" si="45"/>
        <v/>
      </c>
    </row>
    <row r="942" spans="1:12" x14ac:dyDescent="0.3">
      <c r="A942" s="381" t="s">
        <v>759</v>
      </c>
      <c r="B942" s="382" t="s">
        <v>1586</v>
      </c>
      <c r="C942" s="480"/>
      <c r="D942" s="282"/>
      <c r="E942" s="282"/>
      <c r="F942" s="481"/>
      <c r="G942" s="480"/>
      <c r="H942" s="282">
        <v>26000</v>
      </c>
      <c r="I942" s="282"/>
      <c r="J942" s="481">
        <f t="shared" si="46"/>
        <v>26000</v>
      </c>
      <c r="K942" s="29">
        <f t="shared" si="44"/>
        <v>0</v>
      </c>
      <c r="L942" s="283" t="str">
        <f t="shared" si="45"/>
        <v/>
      </c>
    </row>
    <row r="943" spans="1:12" x14ac:dyDescent="0.3">
      <c r="A943" s="381" t="s">
        <v>759</v>
      </c>
      <c r="B943" s="382" t="s">
        <v>1587</v>
      </c>
      <c r="C943" s="480"/>
      <c r="D943" s="282"/>
      <c r="E943" s="282"/>
      <c r="F943" s="481"/>
      <c r="G943" s="480">
        <v>25000</v>
      </c>
      <c r="H943" s="282"/>
      <c r="I943" s="282"/>
      <c r="J943" s="481">
        <f t="shared" si="46"/>
        <v>25000</v>
      </c>
      <c r="K943" s="29">
        <f t="shared" si="44"/>
        <v>0</v>
      </c>
      <c r="L943" s="283" t="str">
        <f t="shared" si="45"/>
        <v/>
      </c>
    </row>
    <row r="944" spans="1:12" x14ac:dyDescent="0.3">
      <c r="A944" s="381" t="s">
        <v>759</v>
      </c>
      <c r="B944" s="382" t="s">
        <v>1588</v>
      </c>
      <c r="C944" s="480"/>
      <c r="D944" s="282"/>
      <c r="E944" s="282"/>
      <c r="F944" s="481"/>
      <c r="G944" s="480"/>
      <c r="H944" s="282"/>
      <c r="I944" s="282"/>
      <c r="J944" s="481"/>
      <c r="K944" s="29">
        <f t="shared" si="44"/>
        <v>0</v>
      </c>
      <c r="L944" s="283" t="str">
        <f t="shared" si="45"/>
        <v/>
      </c>
    </row>
    <row r="945" spans="1:12" x14ac:dyDescent="0.3">
      <c r="A945" s="381" t="s">
        <v>759</v>
      </c>
      <c r="B945" s="382" t="s">
        <v>1589</v>
      </c>
      <c r="C945" s="480"/>
      <c r="D945" s="282"/>
      <c r="E945" s="282"/>
      <c r="F945" s="481"/>
      <c r="G945" s="480"/>
      <c r="H945" s="282"/>
      <c r="I945" s="282">
        <v>25000</v>
      </c>
      <c r="J945" s="481">
        <f t="shared" si="46"/>
        <v>25000</v>
      </c>
      <c r="K945" s="29">
        <f t="shared" si="44"/>
        <v>0</v>
      </c>
      <c r="L945" s="283" t="str">
        <f t="shared" si="45"/>
        <v/>
      </c>
    </row>
    <row r="946" spans="1:12" x14ac:dyDescent="0.3">
      <c r="A946" s="381" t="s">
        <v>759</v>
      </c>
      <c r="B946" s="382" t="s">
        <v>1590</v>
      </c>
      <c r="C946" s="480"/>
      <c r="D946" s="282"/>
      <c r="E946" s="282"/>
      <c r="F946" s="481"/>
      <c r="G946" s="480"/>
      <c r="H946" s="282"/>
      <c r="I946" s="282"/>
      <c r="J946" s="481"/>
      <c r="K946" s="29">
        <f t="shared" si="44"/>
        <v>0</v>
      </c>
      <c r="L946" s="283" t="str">
        <f t="shared" si="45"/>
        <v/>
      </c>
    </row>
    <row r="947" spans="1:12" x14ac:dyDescent="0.3">
      <c r="A947" s="381" t="s">
        <v>759</v>
      </c>
      <c r="B947" s="382" t="s">
        <v>1591</v>
      </c>
      <c r="C947" s="480"/>
      <c r="D947" s="282"/>
      <c r="E947" s="282"/>
      <c r="F947" s="481"/>
      <c r="G947" s="480"/>
      <c r="H947" s="282"/>
      <c r="I947" s="282">
        <v>25000</v>
      </c>
      <c r="J947" s="481">
        <f t="shared" si="46"/>
        <v>25000</v>
      </c>
      <c r="K947" s="29">
        <f t="shared" si="44"/>
        <v>0</v>
      </c>
      <c r="L947" s="283" t="str">
        <f t="shared" si="45"/>
        <v/>
      </c>
    </row>
    <row r="948" spans="1:12" x14ac:dyDescent="0.3">
      <c r="A948" s="381" t="s">
        <v>759</v>
      </c>
      <c r="B948" s="382" t="s">
        <v>1592</v>
      </c>
      <c r="C948" s="480"/>
      <c r="D948" s="282"/>
      <c r="E948" s="282"/>
      <c r="F948" s="481"/>
      <c r="G948" s="480"/>
      <c r="H948" s="282"/>
      <c r="I948" s="282"/>
      <c r="J948" s="481"/>
      <c r="K948" s="29">
        <f t="shared" si="44"/>
        <v>0</v>
      </c>
      <c r="L948" s="283" t="str">
        <f t="shared" si="45"/>
        <v/>
      </c>
    </row>
    <row r="949" spans="1:12" x14ac:dyDescent="0.3">
      <c r="A949" s="381" t="s">
        <v>759</v>
      </c>
      <c r="B949" s="382" t="s">
        <v>1593</v>
      </c>
      <c r="C949" s="480"/>
      <c r="D949" s="282"/>
      <c r="E949" s="282"/>
      <c r="F949" s="481"/>
      <c r="G949" s="480">
        <v>24200</v>
      </c>
      <c r="H949" s="282"/>
      <c r="I949" s="282"/>
      <c r="J949" s="481">
        <f t="shared" si="46"/>
        <v>24200</v>
      </c>
      <c r="K949" s="29">
        <f t="shared" si="44"/>
        <v>0</v>
      </c>
      <c r="L949" s="283" t="str">
        <f t="shared" si="45"/>
        <v/>
      </c>
    </row>
    <row r="950" spans="1:12" x14ac:dyDescent="0.3">
      <c r="A950" s="381" t="s">
        <v>759</v>
      </c>
      <c r="B950" s="382" t="s">
        <v>1371</v>
      </c>
      <c r="C950" s="480"/>
      <c r="D950" s="282"/>
      <c r="E950" s="282">
        <v>144000</v>
      </c>
      <c r="F950" s="481">
        <f>C950+D950+E950</f>
        <v>144000</v>
      </c>
      <c r="G950" s="480">
        <v>23000</v>
      </c>
      <c r="H950" s="282"/>
      <c r="I950" s="282"/>
      <c r="J950" s="481">
        <f t="shared" si="46"/>
        <v>23000</v>
      </c>
      <c r="K950" s="29">
        <f t="shared" si="44"/>
        <v>-0.84027777777777779</v>
      </c>
      <c r="L950" s="283" t="str">
        <f t="shared" si="45"/>
        <v/>
      </c>
    </row>
    <row r="951" spans="1:12" x14ac:dyDescent="0.3">
      <c r="A951" s="381" t="s">
        <v>759</v>
      </c>
      <c r="B951" s="382" t="s">
        <v>1594</v>
      </c>
      <c r="C951" s="480">
        <v>609400</v>
      </c>
      <c r="D951" s="282">
        <v>19400</v>
      </c>
      <c r="E951" s="282"/>
      <c r="F951" s="481">
        <f>C951+D951+E951</f>
        <v>628800</v>
      </c>
      <c r="G951" s="480"/>
      <c r="H951" s="282"/>
      <c r="I951" s="282"/>
      <c r="J951" s="481"/>
      <c r="K951" s="29">
        <f t="shared" si="44"/>
        <v>0</v>
      </c>
      <c r="L951" s="283" t="str">
        <f t="shared" si="45"/>
        <v/>
      </c>
    </row>
    <row r="952" spans="1:12" x14ac:dyDescent="0.3">
      <c r="A952" s="381" t="s">
        <v>759</v>
      </c>
      <c r="B952" s="382" t="s">
        <v>720</v>
      </c>
      <c r="C952" s="480" t="s">
        <v>251</v>
      </c>
      <c r="D952" s="282" t="s">
        <v>251</v>
      </c>
      <c r="E952" s="282"/>
      <c r="F952" s="481"/>
      <c r="G952" s="480"/>
      <c r="H952" s="282"/>
      <c r="I952" s="282">
        <v>23000</v>
      </c>
      <c r="J952" s="481">
        <f t="shared" si="46"/>
        <v>23000</v>
      </c>
      <c r="K952" s="29">
        <f t="shared" si="44"/>
        <v>0</v>
      </c>
      <c r="L952" s="283" t="str">
        <f t="shared" si="45"/>
        <v/>
      </c>
    </row>
    <row r="953" spans="1:12" x14ac:dyDescent="0.3">
      <c r="A953" s="381" t="s">
        <v>759</v>
      </c>
      <c r="B953" s="382" t="s">
        <v>1330</v>
      </c>
      <c r="C953" s="480" t="s">
        <v>251</v>
      </c>
      <c r="D953" s="282" t="s">
        <v>251</v>
      </c>
      <c r="E953" s="282"/>
      <c r="F953" s="481"/>
      <c r="G953" s="480"/>
      <c r="H953" s="282"/>
      <c r="I953" s="282"/>
      <c r="J953" s="481"/>
      <c r="K953" s="29">
        <f t="shared" si="44"/>
        <v>0</v>
      </c>
      <c r="L953" s="283" t="str">
        <f t="shared" si="45"/>
        <v/>
      </c>
    </row>
    <row r="954" spans="1:12" x14ac:dyDescent="0.3">
      <c r="A954" s="381" t="s">
        <v>759</v>
      </c>
      <c r="B954" s="382" t="s">
        <v>1595</v>
      </c>
      <c r="C954" s="480" t="s">
        <v>251</v>
      </c>
      <c r="D954" s="282" t="s">
        <v>251</v>
      </c>
      <c r="E954" s="282"/>
      <c r="F954" s="481"/>
      <c r="G954" s="480"/>
      <c r="H954" s="282"/>
      <c r="I954" s="282">
        <v>23000</v>
      </c>
      <c r="J954" s="481">
        <f t="shared" si="46"/>
        <v>23000</v>
      </c>
      <c r="K954" s="29">
        <f t="shared" si="44"/>
        <v>0</v>
      </c>
      <c r="L954" s="283" t="str">
        <f t="shared" si="45"/>
        <v/>
      </c>
    </row>
    <row r="955" spans="1:12" x14ac:dyDescent="0.3">
      <c r="A955" s="381" t="s">
        <v>759</v>
      </c>
      <c r="B955" s="382" t="s">
        <v>628</v>
      </c>
      <c r="C955" s="480" t="s">
        <v>251</v>
      </c>
      <c r="D955" s="282" t="s">
        <v>251</v>
      </c>
      <c r="E955" s="282"/>
      <c r="F955" s="481"/>
      <c r="G955" s="480"/>
      <c r="H955" s="282"/>
      <c r="I955" s="282">
        <v>22500</v>
      </c>
      <c r="J955" s="481">
        <f>G955+H955+I955</f>
        <v>22500</v>
      </c>
      <c r="K955" s="29">
        <f t="shared" si="44"/>
        <v>0</v>
      </c>
      <c r="L955" s="283">
        <f t="shared" si="45"/>
        <v>112</v>
      </c>
    </row>
    <row r="956" spans="1:12" x14ac:dyDescent="0.3">
      <c r="A956" s="381" t="s">
        <v>759</v>
      </c>
      <c r="B956" s="382" t="s">
        <v>1596</v>
      </c>
      <c r="C956" s="480" t="s">
        <v>251</v>
      </c>
      <c r="D956" s="282" t="s">
        <v>251</v>
      </c>
      <c r="E956" s="282"/>
      <c r="F956" s="481"/>
      <c r="G956" s="480"/>
      <c r="H956" s="282"/>
      <c r="I956" s="282"/>
      <c r="J956" s="481"/>
      <c r="K956" s="29">
        <f t="shared" si="44"/>
        <v>0</v>
      </c>
      <c r="L956" s="283" t="str">
        <f t="shared" si="45"/>
        <v/>
      </c>
    </row>
    <row r="957" spans="1:12" x14ac:dyDescent="0.3">
      <c r="A957" s="381" t="s">
        <v>759</v>
      </c>
      <c r="B957" s="382" t="s">
        <v>1597</v>
      </c>
      <c r="C957" s="480" t="s">
        <v>251</v>
      </c>
      <c r="D957" s="282" t="s">
        <v>251</v>
      </c>
      <c r="E957" s="282"/>
      <c r="F957" s="481"/>
      <c r="G957" s="480">
        <v>20000</v>
      </c>
      <c r="H957" s="282"/>
      <c r="I957" s="282"/>
      <c r="J957" s="481">
        <f t="shared" si="46"/>
        <v>20000</v>
      </c>
      <c r="K957" s="29">
        <f t="shared" si="44"/>
        <v>0</v>
      </c>
      <c r="L957" s="283" t="str">
        <f t="shared" si="45"/>
        <v/>
      </c>
    </row>
    <row r="958" spans="1:12" x14ac:dyDescent="0.3">
      <c r="A958" s="381" t="s">
        <v>759</v>
      </c>
      <c r="B958" s="382" t="s">
        <v>1598</v>
      </c>
      <c r="C958" s="480" t="s">
        <v>251</v>
      </c>
      <c r="D958" s="282" t="s">
        <v>251</v>
      </c>
      <c r="E958" s="282"/>
      <c r="F958" s="481"/>
      <c r="G958" s="480"/>
      <c r="H958" s="282">
        <v>19400</v>
      </c>
      <c r="I958" s="282"/>
      <c r="J958" s="481">
        <f t="shared" si="46"/>
        <v>19400</v>
      </c>
      <c r="K958" s="29">
        <f t="shared" si="44"/>
        <v>0</v>
      </c>
      <c r="L958" s="283" t="str">
        <f t="shared" si="45"/>
        <v/>
      </c>
    </row>
    <row r="959" spans="1:12" x14ac:dyDescent="0.3">
      <c r="A959" s="381" t="s">
        <v>759</v>
      </c>
      <c r="B959" s="382" t="s">
        <v>446</v>
      </c>
      <c r="C959" s="480" t="s">
        <v>251</v>
      </c>
      <c r="D959" s="282" t="s">
        <v>251</v>
      </c>
      <c r="E959" s="282"/>
      <c r="F959" s="481"/>
      <c r="G959" s="480"/>
      <c r="H959" s="282"/>
      <c r="I959" s="282"/>
      <c r="J959" s="481"/>
      <c r="K959" s="29">
        <f t="shared" si="44"/>
        <v>0</v>
      </c>
      <c r="L959" s="283" t="str">
        <f t="shared" si="45"/>
        <v/>
      </c>
    </row>
    <row r="960" spans="1:12" x14ac:dyDescent="0.3">
      <c r="A960" s="381" t="s">
        <v>759</v>
      </c>
      <c r="B960" s="382" t="s">
        <v>1599</v>
      </c>
      <c r="C960" s="480"/>
      <c r="D960" s="282">
        <v>30000</v>
      </c>
      <c r="E960" s="282"/>
      <c r="F960" s="481">
        <f>C960+D960+E960</f>
        <v>30000</v>
      </c>
      <c r="G960" s="480">
        <v>15500</v>
      </c>
      <c r="H960" s="282"/>
      <c r="I960" s="282"/>
      <c r="J960" s="481">
        <f t="shared" si="46"/>
        <v>15500</v>
      </c>
      <c r="K960" s="29">
        <f t="shared" si="44"/>
        <v>-0.48333333333333334</v>
      </c>
      <c r="L960" s="283" t="str">
        <f t="shared" si="45"/>
        <v/>
      </c>
    </row>
    <row r="961" spans="1:12" x14ac:dyDescent="0.3">
      <c r="A961" s="381" t="s">
        <v>759</v>
      </c>
      <c r="B961" s="382" t="s">
        <v>1387</v>
      </c>
      <c r="C961" s="480" t="s">
        <v>251</v>
      </c>
      <c r="D961" s="282" t="s">
        <v>251</v>
      </c>
      <c r="E961" s="282" t="s">
        <v>251</v>
      </c>
      <c r="F961" s="481"/>
      <c r="G961" s="480"/>
      <c r="H961" s="282">
        <v>15500</v>
      </c>
      <c r="I961" s="282"/>
      <c r="J961" s="481">
        <f t="shared" si="46"/>
        <v>15500</v>
      </c>
      <c r="K961" s="29">
        <f t="shared" si="44"/>
        <v>0</v>
      </c>
      <c r="L961" s="283" t="str">
        <f t="shared" si="45"/>
        <v/>
      </c>
    </row>
    <row r="962" spans="1:12" x14ac:dyDescent="0.3">
      <c r="A962" s="381" t="s">
        <v>759</v>
      </c>
      <c r="B962" s="382" t="s">
        <v>883</v>
      </c>
      <c r="C962" s="480"/>
      <c r="D962" s="282"/>
      <c r="E962" s="282"/>
      <c r="F962" s="481"/>
      <c r="G962" s="480"/>
      <c r="H962" s="282"/>
      <c r="I962" s="282"/>
      <c r="J962" s="481"/>
      <c r="K962" s="29">
        <f t="shared" ref="K962:K1025" si="47">IF(OR(J962="", F962=""), 0, IFERROR((J962-F962)/F962, IF(J962&lt;&gt;0, 1, 0)))</f>
        <v>0</v>
      </c>
      <c r="L962" s="283" t="str">
        <f t="shared" ref="L962:L1025" si="48">IFERROR(_xlfn.RANK.EQ(J962, $J$2:$J$308), "")</f>
        <v/>
      </c>
    </row>
    <row r="963" spans="1:12" x14ac:dyDescent="0.3">
      <c r="A963" s="381" t="s">
        <v>759</v>
      </c>
      <c r="B963" s="382" t="s">
        <v>374</v>
      </c>
      <c r="C963" s="480"/>
      <c r="D963" s="282"/>
      <c r="E963" s="282"/>
      <c r="F963" s="481"/>
      <c r="G963" s="480"/>
      <c r="H963" s="282"/>
      <c r="I963" s="282"/>
      <c r="J963" s="481"/>
      <c r="K963" s="29">
        <f t="shared" si="47"/>
        <v>0</v>
      </c>
      <c r="L963" s="283" t="str">
        <f t="shared" si="48"/>
        <v/>
      </c>
    </row>
    <row r="964" spans="1:12" x14ac:dyDescent="0.3">
      <c r="A964" s="381" t="s">
        <v>759</v>
      </c>
      <c r="B964" s="382" t="s">
        <v>1600</v>
      </c>
      <c r="C964" s="480"/>
      <c r="D964" s="282"/>
      <c r="E964" s="282">
        <v>150000</v>
      </c>
      <c r="F964" s="481">
        <f t="shared" ref="F964:F1027" si="49">C964+D964+E964</f>
        <v>150000</v>
      </c>
      <c r="G964" s="480"/>
      <c r="H964" s="282"/>
      <c r="I964" s="282"/>
      <c r="J964" s="481"/>
      <c r="K964" s="29">
        <f t="shared" si="47"/>
        <v>0</v>
      </c>
      <c r="L964" s="283" t="str">
        <f t="shared" si="48"/>
        <v/>
      </c>
    </row>
    <row r="965" spans="1:12" x14ac:dyDescent="0.3">
      <c r="A965" s="381" t="s">
        <v>759</v>
      </c>
      <c r="B965" s="382" t="s">
        <v>1601</v>
      </c>
      <c r="C965" s="480" t="s">
        <v>251</v>
      </c>
      <c r="D965" s="282" t="s">
        <v>251</v>
      </c>
      <c r="E965" s="282" t="s">
        <v>251</v>
      </c>
      <c r="F965" s="481"/>
      <c r="G965" s="480"/>
      <c r="H965" s="282"/>
      <c r="I965" s="282"/>
      <c r="J965" s="481"/>
      <c r="K965" s="29">
        <f t="shared" si="47"/>
        <v>0</v>
      </c>
      <c r="L965" s="283" t="str">
        <f t="shared" si="48"/>
        <v/>
      </c>
    </row>
    <row r="966" spans="1:12" x14ac:dyDescent="0.3">
      <c r="A966" s="381" t="s">
        <v>759</v>
      </c>
      <c r="B966" s="382" t="s">
        <v>1602</v>
      </c>
      <c r="C966" s="480" t="s">
        <v>251</v>
      </c>
      <c r="D966" s="282" t="s">
        <v>251</v>
      </c>
      <c r="E966" s="282" t="s">
        <v>251</v>
      </c>
      <c r="F966" s="481"/>
      <c r="G966" s="480"/>
      <c r="H966" s="282"/>
      <c r="I966" s="282"/>
      <c r="J966" s="481"/>
      <c r="K966" s="29">
        <f t="shared" si="47"/>
        <v>0</v>
      </c>
      <c r="L966" s="283" t="str">
        <f t="shared" si="48"/>
        <v/>
      </c>
    </row>
    <row r="967" spans="1:12" x14ac:dyDescent="0.3">
      <c r="A967" s="381" t="s">
        <v>759</v>
      </c>
      <c r="B967" s="382" t="s">
        <v>619</v>
      </c>
      <c r="C967" s="480"/>
      <c r="D967" s="282">
        <v>5000</v>
      </c>
      <c r="E967" s="282"/>
      <c r="F967" s="481">
        <f t="shared" si="49"/>
        <v>5000</v>
      </c>
      <c r="G967" s="480"/>
      <c r="H967" s="282"/>
      <c r="I967" s="282">
        <v>10000</v>
      </c>
      <c r="J967" s="481">
        <f>G967+H967+I967</f>
        <v>10000</v>
      </c>
      <c r="K967" s="29">
        <f t="shared" si="47"/>
        <v>1</v>
      </c>
      <c r="L967" s="283" t="str">
        <f t="shared" si="48"/>
        <v/>
      </c>
    </row>
    <row r="968" spans="1:12" x14ac:dyDescent="0.3">
      <c r="A968" s="381" t="s">
        <v>759</v>
      </c>
      <c r="B968" s="382" t="s">
        <v>1603</v>
      </c>
      <c r="C968" s="480" t="s">
        <v>251</v>
      </c>
      <c r="D968" s="282" t="s">
        <v>251</v>
      </c>
      <c r="E968" s="282" t="s">
        <v>251</v>
      </c>
      <c r="F968" s="481"/>
      <c r="G968" s="480"/>
      <c r="H968" s="282"/>
      <c r="I968" s="282">
        <v>9000</v>
      </c>
      <c r="J968" s="481">
        <f>G968+H968+I968</f>
        <v>9000</v>
      </c>
      <c r="K968" s="29">
        <f t="shared" si="47"/>
        <v>0</v>
      </c>
      <c r="L968" s="283" t="str">
        <f t="shared" si="48"/>
        <v/>
      </c>
    </row>
    <row r="969" spans="1:12" x14ac:dyDescent="0.3">
      <c r="A969" s="381" t="s">
        <v>759</v>
      </c>
      <c r="B969" s="382" t="s">
        <v>621</v>
      </c>
      <c r="C969" s="480" t="s">
        <v>251</v>
      </c>
      <c r="D969" s="282" t="s">
        <v>251</v>
      </c>
      <c r="E969" s="282" t="s">
        <v>251</v>
      </c>
      <c r="F969" s="481"/>
      <c r="G969" s="480"/>
      <c r="H969" s="282">
        <v>5000</v>
      </c>
      <c r="I969" s="282"/>
      <c r="J969" s="481">
        <f>G969+H969+I969</f>
        <v>5000</v>
      </c>
      <c r="K969" s="29">
        <f t="shared" si="47"/>
        <v>0</v>
      </c>
      <c r="L969" s="283" t="str">
        <f t="shared" si="48"/>
        <v/>
      </c>
    </row>
    <row r="970" spans="1:12" x14ac:dyDescent="0.3">
      <c r="A970" s="381" t="s">
        <v>759</v>
      </c>
      <c r="B970" s="382" t="s">
        <v>622</v>
      </c>
      <c r="C970" s="480" t="s">
        <v>251</v>
      </c>
      <c r="D970" s="282" t="s">
        <v>251</v>
      </c>
      <c r="E970" s="282" t="s">
        <v>251</v>
      </c>
      <c r="F970" s="481"/>
      <c r="G970" s="480"/>
      <c r="H970" s="282"/>
      <c r="I970" s="282"/>
      <c r="J970" s="481"/>
      <c r="K970" s="29">
        <f t="shared" si="47"/>
        <v>0</v>
      </c>
      <c r="L970" s="283" t="str">
        <f t="shared" si="48"/>
        <v/>
      </c>
    </row>
    <row r="971" spans="1:12" x14ac:dyDescent="0.3">
      <c r="A971" s="381" t="s">
        <v>759</v>
      </c>
      <c r="B971" s="382" t="s">
        <v>658</v>
      </c>
      <c r="C971" s="480" t="s">
        <v>251</v>
      </c>
      <c r="D971" s="282" t="s">
        <v>251</v>
      </c>
      <c r="E971" s="282" t="s">
        <v>251</v>
      </c>
      <c r="F971" s="481"/>
      <c r="G971" s="480"/>
      <c r="H971" s="282"/>
      <c r="I971" s="282"/>
      <c r="J971" s="481"/>
      <c r="K971" s="29">
        <f t="shared" si="47"/>
        <v>0</v>
      </c>
      <c r="L971" s="283" t="str">
        <f t="shared" si="48"/>
        <v/>
      </c>
    </row>
    <row r="972" spans="1:12" x14ac:dyDescent="0.3">
      <c r="A972" s="381" t="s">
        <v>759</v>
      </c>
      <c r="B972" s="382" t="s">
        <v>1604</v>
      </c>
      <c r="C972" s="480">
        <v>20041600</v>
      </c>
      <c r="D972" s="282">
        <v>4655800</v>
      </c>
      <c r="E972" s="282">
        <v>8846200</v>
      </c>
      <c r="F972" s="481">
        <f t="shared" si="49"/>
        <v>33543600</v>
      </c>
      <c r="G972" s="480"/>
      <c r="H972" s="282"/>
      <c r="I972" s="282"/>
      <c r="J972" s="481"/>
      <c r="K972" s="29">
        <f t="shared" si="47"/>
        <v>0</v>
      </c>
      <c r="L972" s="283" t="str">
        <f t="shared" si="48"/>
        <v/>
      </c>
    </row>
    <row r="973" spans="1:12" x14ac:dyDescent="0.3">
      <c r="A973" s="381" t="s">
        <v>759</v>
      </c>
      <c r="B973" s="382" t="s">
        <v>1178</v>
      </c>
      <c r="C973" s="480"/>
      <c r="D973" s="282">
        <v>175000</v>
      </c>
      <c r="E973" s="282"/>
      <c r="F973" s="481">
        <f t="shared" si="49"/>
        <v>175000</v>
      </c>
      <c r="G973" s="480"/>
      <c r="H973" s="282"/>
      <c r="I973" s="282"/>
      <c r="J973" s="481"/>
      <c r="K973" s="29">
        <f t="shared" si="47"/>
        <v>0</v>
      </c>
      <c r="L973" s="283" t="str">
        <f t="shared" si="48"/>
        <v/>
      </c>
    </row>
    <row r="974" spans="1:12" x14ac:dyDescent="0.3">
      <c r="A974" s="381" t="s">
        <v>759</v>
      </c>
      <c r="B974" s="382" t="s">
        <v>1605</v>
      </c>
      <c r="C974" s="480">
        <v>8143400</v>
      </c>
      <c r="D974" s="282"/>
      <c r="E974" s="282">
        <v>10921000</v>
      </c>
      <c r="F974" s="481">
        <f t="shared" si="49"/>
        <v>19064400</v>
      </c>
      <c r="G974" s="480"/>
      <c r="H974" s="282"/>
      <c r="I974" s="282"/>
      <c r="J974" s="481"/>
      <c r="K974" s="29">
        <f t="shared" si="47"/>
        <v>0</v>
      </c>
      <c r="L974" s="283" t="str">
        <f t="shared" si="48"/>
        <v/>
      </c>
    </row>
    <row r="975" spans="1:12" x14ac:dyDescent="0.3">
      <c r="A975" s="381" t="s">
        <v>759</v>
      </c>
      <c r="B975" s="382" t="s">
        <v>1071</v>
      </c>
      <c r="C975" s="480">
        <v>48000</v>
      </c>
      <c r="D975" s="282"/>
      <c r="E975" s="282"/>
      <c r="F975" s="481">
        <f t="shared" si="49"/>
        <v>48000</v>
      </c>
      <c r="G975" s="480"/>
      <c r="H975" s="282"/>
      <c r="I975" s="282"/>
      <c r="J975" s="481"/>
      <c r="K975" s="29">
        <f t="shared" si="47"/>
        <v>0</v>
      </c>
      <c r="L975" s="283" t="str">
        <f t="shared" si="48"/>
        <v/>
      </c>
    </row>
    <row r="976" spans="1:12" x14ac:dyDescent="0.3">
      <c r="A976" s="381" t="s">
        <v>759</v>
      </c>
      <c r="B976" s="382" t="s">
        <v>1099</v>
      </c>
      <c r="C976" s="480">
        <v>1641850</v>
      </c>
      <c r="D976" s="282"/>
      <c r="E976" s="282"/>
      <c r="F976" s="481">
        <f t="shared" si="49"/>
        <v>1641850</v>
      </c>
      <c r="G976" s="480"/>
      <c r="H976" s="282"/>
      <c r="I976" s="282"/>
      <c r="J976" s="481"/>
      <c r="K976" s="29">
        <f t="shared" si="47"/>
        <v>0</v>
      </c>
      <c r="L976" s="283" t="str">
        <f t="shared" si="48"/>
        <v/>
      </c>
    </row>
    <row r="977" spans="1:12" x14ac:dyDescent="0.3">
      <c r="A977" s="381" t="s">
        <v>759</v>
      </c>
      <c r="B977" s="382" t="s">
        <v>1606</v>
      </c>
      <c r="C977" s="480">
        <v>1098250</v>
      </c>
      <c r="D977" s="282">
        <v>455000</v>
      </c>
      <c r="E977" s="282">
        <v>1557400</v>
      </c>
      <c r="F977" s="481">
        <f t="shared" si="49"/>
        <v>3110650</v>
      </c>
      <c r="G977" s="480"/>
      <c r="H977" s="282"/>
      <c r="I977" s="282"/>
      <c r="J977" s="481"/>
      <c r="K977" s="29">
        <f t="shared" si="47"/>
        <v>0</v>
      </c>
      <c r="L977" s="283" t="str">
        <f t="shared" si="48"/>
        <v/>
      </c>
    </row>
    <row r="978" spans="1:12" x14ac:dyDescent="0.3">
      <c r="A978" s="381" t="s">
        <v>759</v>
      </c>
      <c r="B978" s="382" t="s">
        <v>1388</v>
      </c>
      <c r="C978" s="480"/>
      <c r="D978" s="282"/>
      <c r="E978" s="282">
        <v>270000</v>
      </c>
      <c r="F978" s="481">
        <f t="shared" si="49"/>
        <v>270000</v>
      </c>
      <c r="G978" s="480"/>
      <c r="H978" s="282"/>
      <c r="I978" s="282"/>
      <c r="J978" s="481"/>
      <c r="K978" s="29">
        <f t="shared" si="47"/>
        <v>0</v>
      </c>
      <c r="L978" s="283" t="str">
        <f t="shared" si="48"/>
        <v/>
      </c>
    </row>
    <row r="979" spans="1:12" x14ac:dyDescent="0.3">
      <c r="A979" s="381" t="s">
        <v>759</v>
      </c>
      <c r="B979" s="382" t="s">
        <v>1076</v>
      </c>
      <c r="C979" s="480">
        <v>664800</v>
      </c>
      <c r="D979" s="282"/>
      <c r="E979" s="282"/>
      <c r="F979" s="481">
        <f t="shared" si="49"/>
        <v>664800</v>
      </c>
      <c r="G979" s="480"/>
      <c r="H979" s="282"/>
      <c r="I979" s="282"/>
      <c r="J979" s="481"/>
      <c r="K979" s="29">
        <f t="shared" si="47"/>
        <v>0</v>
      </c>
      <c r="L979" s="283" t="str">
        <f t="shared" si="48"/>
        <v/>
      </c>
    </row>
    <row r="980" spans="1:12" x14ac:dyDescent="0.3">
      <c r="A980" s="381" t="s">
        <v>759</v>
      </c>
      <c r="B980" s="382" t="s">
        <v>1299</v>
      </c>
      <c r="C980" s="480">
        <v>2837820</v>
      </c>
      <c r="D980" s="282">
        <v>154800</v>
      </c>
      <c r="E980" s="282"/>
      <c r="F980" s="481">
        <f t="shared" si="49"/>
        <v>2992620</v>
      </c>
      <c r="G980" s="480"/>
      <c r="H980" s="282"/>
      <c r="I980" s="282"/>
      <c r="J980" s="481"/>
      <c r="K980" s="29">
        <f t="shared" si="47"/>
        <v>0</v>
      </c>
      <c r="L980" s="283" t="str">
        <f t="shared" si="48"/>
        <v/>
      </c>
    </row>
    <row r="981" spans="1:12" x14ac:dyDescent="0.3">
      <c r="A981" s="381" t="s">
        <v>759</v>
      </c>
      <c r="B981" s="382" t="s">
        <v>1295</v>
      </c>
      <c r="C981" s="480">
        <v>233200</v>
      </c>
      <c r="D981" s="282"/>
      <c r="E981" s="282"/>
      <c r="F981" s="481">
        <f t="shared" si="49"/>
        <v>233200</v>
      </c>
      <c r="G981" s="480"/>
      <c r="H981" s="282"/>
      <c r="I981" s="282"/>
      <c r="J981" s="481"/>
      <c r="K981" s="29">
        <f t="shared" si="47"/>
        <v>0</v>
      </c>
      <c r="L981" s="283" t="str">
        <f t="shared" si="48"/>
        <v/>
      </c>
    </row>
    <row r="982" spans="1:12" x14ac:dyDescent="0.3">
      <c r="A982" s="381" t="s">
        <v>759</v>
      </c>
      <c r="B982" s="382" t="s">
        <v>1363</v>
      </c>
      <c r="C982" s="480">
        <v>573000</v>
      </c>
      <c r="D982" s="282">
        <v>215300</v>
      </c>
      <c r="E982" s="282">
        <v>441400</v>
      </c>
      <c r="F982" s="481">
        <f t="shared" si="49"/>
        <v>1229700</v>
      </c>
      <c r="G982" s="480"/>
      <c r="H982" s="282"/>
      <c r="I982" s="282"/>
      <c r="J982" s="481"/>
      <c r="K982" s="29">
        <f t="shared" si="47"/>
        <v>0</v>
      </c>
      <c r="L982" s="283" t="str">
        <f t="shared" si="48"/>
        <v/>
      </c>
    </row>
    <row r="983" spans="1:12" x14ac:dyDescent="0.3">
      <c r="A983" s="381" t="s">
        <v>759</v>
      </c>
      <c r="B983" s="382" t="s">
        <v>1607</v>
      </c>
      <c r="C983" s="480">
        <v>1738950</v>
      </c>
      <c r="D983" s="282"/>
      <c r="E983" s="282">
        <v>513500</v>
      </c>
      <c r="F983" s="481">
        <f t="shared" si="49"/>
        <v>2252450</v>
      </c>
      <c r="G983" s="480"/>
      <c r="H983" s="282"/>
      <c r="I983" s="282"/>
      <c r="J983" s="481"/>
      <c r="K983" s="29">
        <f t="shared" si="47"/>
        <v>0</v>
      </c>
      <c r="L983" s="283" t="str">
        <f t="shared" si="48"/>
        <v/>
      </c>
    </row>
    <row r="984" spans="1:12" x14ac:dyDescent="0.3">
      <c r="A984" s="381" t="s">
        <v>759</v>
      </c>
      <c r="B984" s="382" t="s">
        <v>1382</v>
      </c>
      <c r="C984" s="480">
        <v>1657700</v>
      </c>
      <c r="D984" s="282">
        <v>352200</v>
      </c>
      <c r="E984" s="282"/>
      <c r="F984" s="481">
        <f t="shared" si="49"/>
        <v>2009900</v>
      </c>
      <c r="G984" s="480"/>
      <c r="H984" s="282"/>
      <c r="I984" s="282"/>
      <c r="J984" s="481"/>
      <c r="K984" s="29">
        <f t="shared" si="47"/>
        <v>0</v>
      </c>
      <c r="L984" s="283" t="str">
        <f t="shared" si="48"/>
        <v/>
      </c>
    </row>
    <row r="985" spans="1:12" x14ac:dyDescent="0.3">
      <c r="A985" s="381" t="s">
        <v>759</v>
      </c>
      <c r="B985" s="382" t="s">
        <v>828</v>
      </c>
      <c r="C985" s="480">
        <v>352100</v>
      </c>
      <c r="D985" s="282"/>
      <c r="E985" s="282"/>
      <c r="F985" s="481">
        <f t="shared" si="49"/>
        <v>352100</v>
      </c>
      <c r="G985" s="480"/>
      <c r="H985" s="282"/>
      <c r="I985" s="282"/>
      <c r="J985" s="481"/>
      <c r="K985" s="29">
        <f t="shared" si="47"/>
        <v>0</v>
      </c>
      <c r="L985" s="283" t="str">
        <f t="shared" si="48"/>
        <v/>
      </c>
    </row>
    <row r="986" spans="1:12" x14ac:dyDescent="0.3">
      <c r="A986" s="381" t="s">
        <v>759</v>
      </c>
      <c r="B986" s="382" t="s">
        <v>1322</v>
      </c>
      <c r="C986" s="480">
        <v>1376000</v>
      </c>
      <c r="D986" s="282">
        <v>43000</v>
      </c>
      <c r="E986" s="282"/>
      <c r="F986" s="481">
        <f t="shared" si="49"/>
        <v>1419000</v>
      </c>
      <c r="G986" s="480"/>
      <c r="H986" s="282"/>
      <c r="I986" s="282"/>
      <c r="J986" s="481"/>
      <c r="K986" s="29">
        <f t="shared" si="47"/>
        <v>0</v>
      </c>
      <c r="L986" s="283" t="str">
        <f t="shared" si="48"/>
        <v/>
      </c>
    </row>
    <row r="987" spans="1:12" x14ac:dyDescent="0.3">
      <c r="A987" s="381" t="s">
        <v>759</v>
      </c>
      <c r="B987" s="382" t="s">
        <v>1033</v>
      </c>
      <c r="C987" s="480">
        <v>845000</v>
      </c>
      <c r="D987" s="282">
        <v>1392500</v>
      </c>
      <c r="E987" s="282"/>
      <c r="F987" s="481">
        <f t="shared" si="49"/>
        <v>2237500</v>
      </c>
      <c r="G987" s="480"/>
      <c r="H987" s="282"/>
      <c r="I987" s="282"/>
      <c r="J987" s="481"/>
      <c r="K987" s="29">
        <f t="shared" si="47"/>
        <v>0</v>
      </c>
      <c r="L987" s="283" t="str">
        <f t="shared" si="48"/>
        <v/>
      </c>
    </row>
    <row r="988" spans="1:12" x14ac:dyDescent="0.3">
      <c r="A988" s="381" t="s">
        <v>759</v>
      </c>
      <c r="B988" s="382" t="s">
        <v>1241</v>
      </c>
      <c r="C988" s="480">
        <v>145600</v>
      </c>
      <c r="D988" s="282"/>
      <c r="E988" s="282"/>
      <c r="F988" s="481">
        <f t="shared" si="49"/>
        <v>145600</v>
      </c>
      <c r="G988" s="480"/>
      <c r="H988" s="282"/>
      <c r="I988" s="282"/>
      <c r="J988" s="481"/>
      <c r="K988" s="29">
        <f t="shared" si="47"/>
        <v>0</v>
      </c>
      <c r="L988" s="283" t="str">
        <f t="shared" si="48"/>
        <v/>
      </c>
    </row>
    <row r="989" spans="1:12" x14ac:dyDescent="0.3">
      <c r="A989" s="381" t="s">
        <v>759</v>
      </c>
      <c r="B989" s="382" t="s">
        <v>1132</v>
      </c>
      <c r="C989" s="480">
        <v>260700</v>
      </c>
      <c r="D989" s="282"/>
      <c r="E989" s="282"/>
      <c r="F989" s="481">
        <f t="shared" si="49"/>
        <v>260700</v>
      </c>
      <c r="G989" s="480"/>
      <c r="H989" s="282"/>
      <c r="I989" s="282"/>
      <c r="J989" s="481"/>
      <c r="K989" s="29">
        <f t="shared" si="47"/>
        <v>0</v>
      </c>
      <c r="L989" s="283" t="str">
        <f t="shared" si="48"/>
        <v/>
      </c>
    </row>
    <row r="990" spans="1:12" x14ac:dyDescent="0.3">
      <c r="A990" s="381" t="s">
        <v>759</v>
      </c>
      <c r="B990" s="382" t="s">
        <v>1608</v>
      </c>
      <c r="C990" s="480"/>
      <c r="D990" s="282"/>
      <c r="E990" s="282">
        <v>1321550</v>
      </c>
      <c r="F990" s="481">
        <f t="shared" si="49"/>
        <v>1321550</v>
      </c>
      <c r="G990" s="480"/>
      <c r="H990" s="282"/>
      <c r="I990" s="282"/>
      <c r="J990" s="481"/>
      <c r="K990" s="29">
        <f t="shared" si="47"/>
        <v>0</v>
      </c>
      <c r="L990" s="283" t="str">
        <f t="shared" si="48"/>
        <v/>
      </c>
    </row>
    <row r="991" spans="1:12" x14ac:dyDescent="0.3">
      <c r="A991" s="381" t="s">
        <v>759</v>
      </c>
      <c r="B991" s="382" t="s">
        <v>1609</v>
      </c>
      <c r="C991" s="480">
        <v>1040000</v>
      </c>
      <c r="D991" s="282">
        <v>25000</v>
      </c>
      <c r="E991" s="282"/>
      <c r="F991" s="481">
        <f t="shared" si="49"/>
        <v>1065000</v>
      </c>
      <c r="G991" s="480"/>
      <c r="H991" s="282"/>
      <c r="I991" s="282"/>
      <c r="J991" s="481"/>
      <c r="K991" s="29">
        <f t="shared" si="47"/>
        <v>0</v>
      </c>
      <c r="L991" s="283" t="str">
        <f t="shared" si="48"/>
        <v/>
      </c>
    </row>
    <row r="992" spans="1:12" x14ac:dyDescent="0.3">
      <c r="A992" s="381" t="s">
        <v>759</v>
      </c>
      <c r="B992" s="382" t="s">
        <v>972</v>
      </c>
      <c r="C992" s="480">
        <v>151850</v>
      </c>
      <c r="D992" s="282"/>
      <c r="E992" s="282"/>
      <c r="F992" s="481">
        <f t="shared" si="49"/>
        <v>151850</v>
      </c>
      <c r="G992" s="480"/>
      <c r="H992" s="282"/>
      <c r="I992" s="282"/>
      <c r="J992" s="481"/>
      <c r="K992" s="29">
        <f t="shared" si="47"/>
        <v>0</v>
      </c>
      <c r="L992" s="283" t="str">
        <f t="shared" si="48"/>
        <v/>
      </c>
    </row>
    <row r="993" spans="1:12" x14ac:dyDescent="0.3">
      <c r="A993" s="381" t="s">
        <v>759</v>
      </c>
      <c r="B993" s="382" t="s">
        <v>1136</v>
      </c>
      <c r="C993" s="480">
        <v>487000</v>
      </c>
      <c r="D993" s="282"/>
      <c r="E993" s="282"/>
      <c r="F993" s="481">
        <f t="shared" si="49"/>
        <v>487000</v>
      </c>
      <c r="G993" s="480"/>
      <c r="H993" s="282"/>
      <c r="I993" s="282"/>
      <c r="J993" s="481"/>
      <c r="K993" s="29">
        <f t="shared" si="47"/>
        <v>0</v>
      </c>
      <c r="L993" s="283" t="str">
        <f t="shared" si="48"/>
        <v/>
      </c>
    </row>
    <row r="994" spans="1:12" x14ac:dyDescent="0.3">
      <c r="A994" s="381" t="s">
        <v>759</v>
      </c>
      <c r="B994" s="382" t="s">
        <v>1610</v>
      </c>
      <c r="C994" s="480">
        <v>1044200</v>
      </c>
      <c r="D994" s="282"/>
      <c r="E994" s="282">
        <v>452200</v>
      </c>
      <c r="F994" s="481">
        <f t="shared" si="49"/>
        <v>1496400</v>
      </c>
      <c r="G994" s="480"/>
      <c r="H994" s="282"/>
      <c r="I994" s="282"/>
      <c r="J994" s="481"/>
      <c r="K994" s="29">
        <f t="shared" si="47"/>
        <v>0</v>
      </c>
      <c r="L994" s="283" t="str">
        <f t="shared" si="48"/>
        <v/>
      </c>
    </row>
    <row r="995" spans="1:12" x14ac:dyDescent="0.3">
      <c r="A995" s="381" t="s">
        <v>759</v>
      </c>
      <c r="B995" s="382" t="s">
        <v>772</v>
      </c>
      <c r="C995" s="480"/>
      <c r="D995" s="282"/>
      <c r="E995" s="282">
        <v>1050000</v>
      </c>
      <c r="F995" s="481">
        <f t="shared" si="49"/>
        <v>1050000</v>
      </c>
      <c r="G995" s="480"/>
      <c r="H995" s="282"/>
      <c r="I995" s="282"/>
      <c r="J995" s="481"/>
      <c r="K995" s="29">
        <f t="shared" si="47"/>
        <v>0</v>
      </c>
      <c r="L995" s="283" t="str">
        <f t="shared" si="48"/>
        <v/>
      </c>
    </row>
    <row r="996" spans="1:12" x14ac:dyDescent="0.3">
      <c r="A996" s="381" t="s">
        <v>759</v>
      </c>
      <c r="B996" s="382" t="s">
        <v>1369</v>
      </c>
      <c r="C996" s="480">
        <v>83400</v>
      </c>
      <c r="D996" s="282"/>
      <c r="E996" s="282">
        <v>89600</v>
      </c>
      <c r="F996" s="481">
        <f t="shared" si="49"/>
        <v>173000</v>
      </c>
      <c r="G996" s="480"/>
      <c r="H996" s="282"/>
      <c r="I996" s="282"/>
      <c r="J996" s="481"/>
      <c r="K996" s="29">
        <f t="shared" si="47"/>
        <v>0</v>
      </c>
      <c r="L996" s="283" t="str">
        <f t="shared" si="48"/>
        <v/>
      </c>
    </row>
    <row r="997" spans="1:12" x14ac:dyDescent="0.3">
      <c r="A997" s="381" t="s">
        <v>759</v>
      </c>
      <c r="B997" s="382" t="s">
        <v>1611</v>
      </c>
      <c r="C997" s="480">
        <v>624300</v>
      </c>
      <c r="D997" s="282">
        <v>46800</v>
      </c>
      <c r="E997" s="282">
        <v>582640</v>
      </c>
      <c r="F997" s="481">
        <f t="shared" si="49"/>
        <v>1253740</v>
      </c>
      <c r="G997" s="480"/>
      <c r="H997" s="282"/>
      <c r="I997" s="282"/>
      <c r="J997" s="481"/>
      <c r="K997" s="29">
        <f t="shared" si="47"/>
        <v>0</v>
      </c>
      <c r="L997" s="283" t="str">
        <f t="shared" si="48"/>
        <v/>
      </c>
    </row>
    <row r="998" spans="1:12" x14ac:dyDescent="0.3">
      <c r="A998" s="381" t="s">
        <v>759</v>
      </c>
      <c r="B998" s="382" t="s">
        <v>1612</v>
      </c>
      <c r="C998" s="480"/>
      <c r="D998" s="282">
        <v>1122700</v>
      </c>
      <c r="E998" s="282"/>
      <c r="F998" s="481">
        <f t="shared" si="49"/>
        <v>1122700</v>
      </c>
      <c r="G998" s="480"/>
      <c r="H998" s="282"/>
      <c r="I998" s="282"/>
      <c r="J998" s="481"/>
      <c r="K998" s="29">
        <f t="shared" si="47"/>
        <v>0</v>
      </c>
      <c r="L998" s="283" t="str">
        <f t="shared" si="48"/>
        <v/>
      </c>
    </row>
    <row r="999" spans="1:12" x14ac:dyDescent="0.3">
      <c r="A999" s="381" t="s">
        <v>759</v>
      </c>
      <c r="B999" s="382" t="s">
        <v>1613</v>
      </c>
      <c r="C999" s="480">
        <v>561000</v>
      </c>
      <c r="D999" s="282">
        <v>509000</v>
      </c>
      <c r="E999" s="282">
        <v>50000</v>
      </c>
      <c r="F999" s="481">
        <f t="shared" si="49"/>
        <v>1120000</v>
      </c>
      <c r="G999" s="480"/>
      <c r="H999" s="282"/>
      <c r="I999" s="282"/>
      <c r="J999" s="481"/>
      <c r="K999" s="29">
        <f t="shared" si="47"/>
        <v>0</v>
      </c>
      <c r="L999" s="283" t="str">
        <f t="shared" si="48"/>
        <v/>
      </c>
    </row>
    <row r="1000" spans="1:12" x14ac:dyDescent="0.3">
      <c r="A1000" s="381" t="s">
        <v>759</v>
      </c>
      <c r="B1000" s="382" t="s">
        <v>1317</v>
      </c>
      <c r="C1000" s="480">
        <v>17000</v>
      </c>
      <c r="D1000" s="282"/>
      <c r="E1000" s="282"/>
      <c r="F1000" s="481">
        <f t="shared" si="49"/>
        <v>17000</v>
      </c>
      <c r="G1000" s="480"/>
      <c r="H1000" s="282"/>
      <c r="I1000" s="282"/>
      <c r="J1000" s="481"/>
      <c r="K1000" s="29">
        <f t="shared" si="47"/>
        <v>0</v>
      </c>
      <c r="L1000" s="283" t="str">
        <f t="shared" si="48"/>
        <v/>
      </c>
    </row>
    <row r="1001" spans="1:12" x14ac:dyDescent="0.3">
      <c r="A1001" s="381" t="s">
        <v>759</v>
      </c>
      <c r="B1001" s="382" t="s">
        <v>1324</v>
      </c>
      <c r="C1001" s="480">
        <v>499500</v>
      </c>
      <c r="D1001" s="282"/>
      <c r="E1001" s="282"/>
      <c r="F1001" s="481">
        <f t="shared" si="49"/>
        <v>499500</v>
      </c>
      <c r="G1001" s="480"/>
      <c r="H1001" s="282"/>
      <c r="I1001" s="282"/>
      <c r="J1001" s="481"/>
      <c r="K1001" s="29">
        <f t="shared" si="47"/>
        <v>0</v>
      </c>
      <c r="L1001" s="283" t="str">
        <f t="shared" si="48"/>
        <v/>
      </c>
    </row>
    <row r="1002" spans="1:12" x14ac:dyDescent="0.3">
      <c r="A1002" s="381" t="s">
        <v>759</v>
      </c>
      <c r="B1002" s="382" t="s">
        <v>1614</v>
      </c>
      <c r="C1002" s="480"/>
      <c r="D1002" s="282"/>
      <c r="E1002" s="282">
        <v>52000</v>
      </c>
      <c r="F1002" s="481">
        <f t="shared" si="49"/>
        <v>52000</v>
      </c>
      <c r="G1002" s="480"/>
      <c r="H1002" s="282"/>
      <c r="I1002" s="282"/>
      <c r="J1002" s="481"/>
      <c r="K1002" s="29">
        <f t="shared" si="47"/>
        <v>0</v>
      </c>
      <c r="L1002" s="283" t="str">
        <f t="shared" si="48"/>
        <v/>
      </c>
    </row>
    <row r="1003" spans="1:12" x14ac:dyDescent="0.3">
      <c r="A1003" s="381" t="s">
        <v>759</v>
      </c>
      <c r="B1003" s="382" t="s">
        <v>779</v>
      </c>
      <c r="C1003" s="480">
        <v>396600</v>
      </c>
      <c r="D1003" s="282">
        <v>33500</v>
      </c>
      <c r="E1003" s="282"/>
      <c r="F1003" s="481">
        <f t="shared" si="49"/>
        <v>430100</v>
      </c>
      <c r="G1003" s="480"/>
      <c r="H1003" s="282"/>
      <c r="I1003" s="282"/>
      <c r="J1003" s="481"/>
      <c r="K1003" s="29">
        <f t="shared" si="47"/>
        <v>0</v>
      </c>
      <c r="L1003" s="283" t="str">
        <f t="shared" si="48"/>
        <v/>
      </c>
    </row>
    <row r="1004" spans="1:12" x14ac:dyDescent="0.3">
      <c r="A1004" s="381" t="s">
        <v>759</v>
      </c>
      <c r="B1004" s="382" t="s">
        <v>1615</v>
      </c>
      <c r="C1004" s="480">
        <v>658000</v>
      </c>
      <c r="D1004" s="282">
        <v>90400</v>
      </c>
      <c r="E1004" s="282">
        <v>173600</v>
      </c>
      <c r="F1004" s="481">
        <f t="shared" si="49"/>
        <v>922000</v>
      </c>
      <c r="G1004" s="480"/>
      <c r="H1004" s="282"/>
      <c r="I1004" s="282"/>
      <c r="J1004" s="481"/>
      <c r="K1004" s="29">
        <f t="shared" si="47"/>
        <v>0</v>
      </c>
      <c r="L1004" s="283" t="str">
        <f t="shared" si="48"/>
        <v/>
      </c>
    </row>
    <row r="1005" spans="1:12" x14ac:dyDescent="0.3">
      <c r="A1005" s="381" t="s">
        <v>759</v>
      </c>
      <c r="B1005" s="382" t="s">
        <v>1060</v>
      </c>
      <c r="C1005" s="480"/>
      <c r="D1005" s="282">
        <v>285600</v>
      </c>
      <c r="E1005" s="282"/>
      <c r="F1005" s="481">
        <f t="shared" si="49"/>
        <v>285600</v>
      </c>
      <c r="G1005" s="480"/>
      <c r="H1005" s="282"/>
      <c r="I1005" s="282"/>
      <c r="J1005" s="481"/>
      <c r="K1005" s="29">
        <f t="shared" si="47"/>
        <v>0</v>
      </c>
      <c r="L1005" s="283" t="str">
        <f t="shared" si="48"/>
        <v/>
      </c>
    </row>
    <row r="1006" spans="1:12" x14ac:dyDescent="0.3">
      <c r="A1006" s="381" t="s">
        <v>759</v>
      </c>
      <c r="B1006" s="382" t="s">
        <v>1616</v>
      </c>
      <c r="C1006" s="480"/>
      <c r="D1006" s="282"/>
      <c r="E1006" s="282">
        <v>603000</v>
      </c>
      <c r="F1006" s="481">
        <f t="shared" si="49"/>
        <v>603000</v>
      </c>
      <c r="G1006" s="480"/>
      <c r="H1006" s="282"/>
      <c r="I1006" s="282"/>
      <c r="J1006" s="481"/>
      <c r="K1006" s="29">
        <f t="shared" si="47"/>
        <v>0</v>
      </c>
      <c r="L1006" s="283" t="str">
        <f t="shared" si="48"/>
        <v/>
      </c>
    </row>
    <row r="1007" spans="1:12" x14ac:dyDescent="0.3">
      <c r="A1007" s="381" t="s">
        <v>759</v>
      </c>
      <c r="B1007" s="382" t="s">
        <v>1617</v>
      </c>
      <c r="C1007" s="480"/>
      <c r="D1007" s="282"/>
      <c r="E1007" s="282">
        <v>144000</v>
      </c>
      <c r="F1007" s="481">
        <f t="shared" si="49"/>
        <v>144000</v>
      </c>
      <c r="G1007" s="480"/>
      <c r="H1007" s="282"/>
      <c r="I1007" s="282"/>
      <c r="J1007" s="481"/>
      <c r="K1007" s="29">
        <f t="shared" si="47"/>
        <v>0</v>
      </c>
      <c r="L1007" s="283" t="str">
        <f t="shared" si="48"/>
        <v/>
      </c>
    </row>
    <row r="1008" spans="1:12" x14ac:dyDescent="0.3">
      <c r="A1008" s="381" t="s">
        <v>759</v>
      </c>
      <c r="B1008" s="382" t="s">
        <v>1618</v>
      </c>
      <c r="C1008" s="480"/>
      <c r="D1008" s="282">
        <v>375000</v>
      </c>
      <c r="E1008" s="282">
        <v>350000</v>
      </c>
      <c r="F1008" s="481">
        <f t="shared" si="49"/>
        <v>725000</v>
      </c>
      <c r="G1008" s="480"/>
      <c r="H1008" s="282"/>
      <c r="I1008" s="282"/>
      <c r="J1008" s="481"/>
      <c r="K1008" s="29">
        <f t="shared" si="47"/>
        <v>0</v>
      </c>
      <c r="L1008" s="283" t="str">
        <f t="shared" si="48"/>
        <v/>
      </c>
    </row>
    <row r="1009" spans="1:12" x14ac:dyDescent="0.3">
      <c r="A1009" s="381" t="s">
        <v>759</v>
      </c>
      <c r="B1009" s="382" t="s">
        <v>773</v>
      </c>
      <c r="C1009" s="480">
        <v>671250</v>
      </c>
      <c r="D1009" s="282"/>
      <c r="E1009" s="282"/>
      <c r="F1009" s="481">
        <f t="shared" si="49"/>
        <v>671250</v>
      </c>
      <c r="G1009" s="480"/>
      <c r="H1009" s="282"/>
      <c r="I1009" s="282"/>
      <c r="J1009" s="481"/>
      <c r="K1009" s="29">
        <f t="shared" si="47"/>
        <v>0</v>
      </c>
      <c r="L1009" s="283" t="str">
        <f t="shared" si="48"/>
        <v/>
      </c>
    </row>
    <row r="1010" spans="1:12" x14ac:dyDescent="0.3">
      <c r="A1010" s="381" t="s">
        <v>759</v>
      </c>
      <c r="B1010" s="382" t="s">
        <v>1149</v>
      </c>
      <c r="C1010" s="480"/>
      <c r="D1010" s="282"/>
      <c r="E1010" s="282"/>
      <c r="F1010" s="481"/>
      <c r="G1010" s="480"/>
      <c r="H1010" s="282"/>
      <c r="I1010" s="282"/>
      <c r="J1010" s="481"/>
      <c r="K1010" s="29">
        <f t="shared" si="47"/>
        <v>0</v>
      </c>
      <c r="L1010" s="283" t="str">
        <f t="shared" si="48"/>
        <v/>
      </c>
    </row>
    <row r="1011" spans="1:12" x14ac:dyDescent="0.3">
      <c r="A1011" s="381" t="s">
        <v>759</v>
      </c>
      <c r="B1011" s="382" t="s">
        <v>1292</v>
      </c>
      <c r="C1011" s="480"/>
      <c r="D1011" s="282"/>
      <c r="E1011" s="282">
        <v>150000</v>
      </c>
      <c r="F1011" s="481">
        <f t="shared" si="49"/>
        <v>150000</v>
      </c>
      <c r="G1011" s="480"/>
      <c r="H1011" s="282"/>
      <c r="I1011" s="282"/>
      <c r="J1011" s="481"/>
      <c r="K1011" s="29">
        <f t="shared" si="47"/>
        <v>0</v>
      </c>
      <c r="L1011" s="283" t="str">
        <f t="shared" si="48"/>
        <v/>
      </c>
    </row>
    <row r="1012" spans="1:12" x14ac:dyDescent="0.3">
      <c r="A1012" s="381" t="s">
        <v>759</v>
      </c>
      <c r="B1012" s="382" t="s">
        <v>1619</v>
      </c>
      <c r="C1012" s="480"/>
      <c r="D1012" s="282"/>
      <c r="E1012" s="282">
        <v>645800</v>
      </c>
      <c r="F1012" s="481">
        <f t="shared" si="49"/>
        <v>645800</v>
      </c>
      <c r="G1012" s="480"/>
      <c r="H1012" s="282"/>
      <c r="I1012" s="282"/>
      <c r="J1012" s="481"/>
      <c r="K1012" s="29">
        <f t="shared" si="47"/>
        <v>0</v>
      </c>
      <c r="L1012" s="283" t="str">
        <f t="shared" si="48"/>
        <v/>
      </c>
    </row>
    <row r="1013" spans="1:12" x14ac:dyDescent="0.3">
      <c r="A1013" s="381" t="s">
        <v>759</v>
      </c>
      <c r="B1013" s="382" t="s">
        <v>1338</v>
      </c>
      <c r="C1013" s="480"/>
      <c r="D1013" s="282"/>
      <c r="E1013" s="282"/>
      <c r="F1013" s="481"/>
      <c r="G1013" s="480"/>
      <c r="H1013" s="282"/>
      <c r="I1013" s="282"/>
      <c r="J1013" s="481"/>
      <c r="K1013" s="29">
        <f t="shared" si="47"/>
        <v>0</v>
      </c>
      <c r="L1013" s="283" t="str">
        <f t="shared" si="48"/>
        <v/>
      </c>
    </row>
    <row r="1014" spans="1:12" x14ac:dyDescent="0.3">
      <c r="A1014" s="381" t="s">
        <v>759</v>
      </c>
      <c r="B1014" s="382" t="s">
        <v>1620</v>
      </c>
      <c r="C1014" s="480"/>
      <c r="D1014" s="282"/>
      <c r="E1014" s="282"/>
      <c r="F1014" s="481"/>
      <c r="G1014" s="480"/>
      <c r="H1014" s="282"/>
      <c r="I1014" s="282"/>
      <c r="J1014" s="481"/>
      <c r="K1014" s="29">
        <f t="shared" si="47"/>
        <v>0</v>
      </c>
      <c r="L1014" s="283" t="str">
        <f t="shared" si="48"/>
        <v/>
      </c>
    </row>
    <row r="1015" spans="1:12" x14ac:dyDescent="0.3">
      <c r="A1015" s="381" t="s">
        <v>759</v>
      </c>
      <c r="B1015" s="382" t="s">
        <v>1236</v>
      </c>
      <c r="C1015" s="480">
        <v>194000</v>
      </c>
      <c r="D1015" s="282"/>
      <c r="E1015" s="282">
        <v>87600</v>
      </c>
      <c r="F1015" s="481">
        <f t="shared" si="49"/>
        <v>281600</v>
      </c>
      <c r="G1015" s="480"/>
      <c r="H1015" s="282"/>
      <c r="I1015" s="282"/>
      <c r="J1015" s="481"/>
      <c r="K1015" s="29">
        <f t="shared" si="47"/>
        <v>0</v>
      </c>
      <c r="L1015" s="283" t="str">
        <f t="shared" si="48"/>
        <v/>
      </c>
    </row>
    <row r="1016" spans="1:12" x14ac:dyDescent="0.3">
      <c r="A1016" s="381" t="s">
        <v>759</v>
      </c>
      <c r="B1016" s="382" t="s">
        <v>1621</v>
      </c>
      <c r="C1016" s="480"/>
      <c r="D1016" s="282"/>
      <c r="E1016" s="282">
        <v>566500</v>
      </c>
      <c r="F1016" s="481">
        <f t="shared" si="49"/>
        <v>566500</v>
      </c>
      <c r="G1016" s="480"/>
      <c r="H1016" s="282"/>
      <c r="I1016" s="282"/>
      <c r="J1016" s="481"/>
      <c r="K1016" s="29">
        <f t="shared" si="47"/>
        <v>0</v>
      </c>
      <c r="L1016" s="283" t="str">
        <f t="shared" si="48"/>
        <v/>
      </c>
    </row>
    <row r="1017" spans="1:12" x14ac:dyDescent="0.3">
      <c r="A1017" s="381" t="s">
        <v>759</v>
      </c>
      <c r="B1017" s="382" t="s">
        <v>1622</v>
      </c>
      <c r="C1017" s="480"/>
      <c r="D1017" s="282"/>
      <c r="E1017" s="282">
        <v>541000</v>
      </c>
      <c r="F1017" s="481">
        <f t="shared" si="49"/>
        <v>541000</v>
      </c>
      <c r="G1017" s="480"/>
      <c r="H1017" s="282"/>
      <c r="I1017" s="282"/>
      <c r="J1017" s="481"/>
      <c r="K1017" s="29">
        <f t="shared" si="47"/>
        <v>0</v>
      </c>
      <c r="L1017" s="283" t="str">
        <f t="shared" si="48"/>
        <v/>
      </c>
    </row>
    <row r="1018" spans="1:12" x14ac:dyDescent="0.3">
      <c r="A1018" s="381" t="s">
        <v>759</v>
      </c>
      <c r="B1018" s="382" t="s">
        <v>1623</v>
      </c>
      <c r="C1018" s="480"/>
      <c r="D1018" s="282"/>
      <c r="E1018" s="282">
        <v>529650</v>
      </c>
      <c r="F1018" s="481">
        <f t="shared" si="49"/>
        <v>529650</v>
      </c>
      <c r="G1018" s="480"/>
      <c r="H1018" s="282"/>
      <c r="I1018" s="282"/>
      <c r="J1018" s="481"/>
      <c r="K1018" s="29">
        <f t="shared" si="47"/>
        <v>0</v>
      </c>
      <c r="L1018" s="283" t="str">
        <f t="shared" si="48"/>
        <v/>
      </c>
    </row>
    <row r="1019" spans="1:12" x14ac:dyDescent="0.3">
      <c r="A1019" s="381" t="s">
        <v>759</v>
      </c>
      <c r="B1019" s="382" t="s">
        <v>1624</v>
      </c>
      <c r="C1019" s="480"/>
      <c r="D1019" s="282">
        <v>461200</v>
      </c>
      <c r="E1019" s="282"/>
      <c r="F1019" s="481">
        <f t="shared" si="49"/>
        <v>461200</v>
      </c>
      <c r="G1019" s="480"/>
      <c r="H1019" s="282"/>
      <c r="I1019" s="282"/>
      <c r="J1019" s="481"/>
      <c r="K1019" s="29">
        <f t="shared" si="47"/>
        <v>0</v>
      </c>
      <c r="L1019" s="283" t="str">
        <f t="shared" si="48"/>
        <v/>
      </c>
    </row>
    <row r="1020" spans="1:12" x14ac:dyDescent="0.3">
      <c r="A1020" s="381" t="s">
        <v>759</v>
      </c>
      <c r="B1020" s="382" t="s">
        <v>1339</v>
      </c>
      <c r="C1020" s="480">
        <v>48000</v>
      </c>
      <c r="D1020" s="282"/>
      <c r="E1020" s="282"/>
      <c r="F1020" s="481">
        <f t="shared" si="49"/>
        <v>48000</v>
      </c>
      <c r="G1020" s="480"/>
      <c r="H1020" s="282"/>
      <c r="I1020" s="282"/>
      <c r="J1020" s="481"/>
      <c r="K1020" s="29">
        <f t="shared" si="47"/>
        <v>0</v>
      </c>
      <c r="L1020" s="283" t="str">
        <f t="shared" si="48"/>
        <v/>
      </c>
    </row>
    <row r="1021" spans="1:12" x14ac:dyDescent="0.3">
      <c r="A1021" s="381" t="s">
        <v>759</v>
      </c>
      <c r="B1021" s="382" t="s">
        <v>1625</v>
      </c>
      <c r="C1021" s="480"/>
      <c r="D1021" s="282"/>
      <c r="E1021" s="282"/>
      <c r="F1021" s="481"/>
      <c r="G1021" s="480"/>
      <c r="H1021" s="282"/>
      <c r="I1021" s="282"/>
      <c r="J1021" s="481"/>
      <c r="K1021" s="29">
        <f t="shared" si="47"/>
        <v>0</v>
      </c>
      <c r="L1021" s="283" t="str">
        <f t="shared" si="48"/>
        <v/>
      </c>
    </row>
    <row r="1022" spans="1:12" x14ac:dyDescent="0.3">
      <c r="A1022" s="381" t="s">
        <v>759</v>
      </c>
      <c r="B1022" s="382" t="s">
        <v>1626</v>
      </c>
      <c r="C1022" s="480"/>
      <c r="D1022" s="282"/>
      <c r="E1022" s="282"/>
      <c r="F1022" s="481"/>
      <c r="G1022" s="480"/>
      <c r="H1022" s="282"/>
      <c r="I1022" s="282"/>
      <c r="J1022" s="481"/>
      <c r="K1022" s="29">
        <f t="shared" si="47"/>
        <v>0</v>
      </c>
      <c r="L1022" s="283" t="str">
        <f t="shared" si="48"/>
        <v/>
      </c>
    </row>
    <row r="1023" spans="1:12" x14ac:dyDescent="0.3">
      <c r="A1023" s="381" t="s">
        <v>759</v>
      </c>
      <c r="B1023" s="382" t="s">
        <v>1627</v>
      </c>
      <c r="C1023" s="480"/>
      <c r="D1023" s="282"/>
      <c r="E1023" s="282">
        <v>357000</v>
      </c>
      <c r="F1023" s="481">
        <f t="shared" si="49"/>
        <v>357000</v>
      </c>
      <c r="G1023" s="480"/>
      <c r="H1023" s="282"/>
      <c r="I1023" s="282"/>
      <c r="J1023" s="481"/>
      <c r="K1023" s="29">
        <f t="shared" si="47"/>
        <v>0</v>
      </c>
      <c r="L1023" s="283" t="str">
        <f t="shared" si="48"/>
        <v/>
      </c>
    </row>
    <row r="1024" spans="1:12" x14ac:dyDescent="0.3">
      <c r="A1024" s="381" t="s">
        <v>759</v>
      </c>
      <c r="B1024" s="382" t="s">
        <v>1628</v>
      </c>
      <c r="C1024" s="480"/>
      <c r="D1024" s="282"/>
      <c r="E1024" s="282"/>
      <c r="F1024" s="481"/>
      <c r="G1024" s="480"/>
      <c r="H1024" s="282"/>
      <c r="I1024" s="282"/>
      <c r="J1024" s="481"/>
      <c r="K1024" s="29">
        <f t="shared" si="47"/>
        <v>0</v>
      </c>
      <c r="L1024" s="283" t="str">
        <f t="shared" si="48"/>
        <v/>
      </c>
    </row>
    <row r="1025" spans="1:12" x14ac:dyDescent="0.3">
      <c r="A1025" s="381" t="s">
        <v>759</v>
      </c>
      <c r="B1025" s="382" t="s">
        <v>649</v>
      </c>
      <c r="C1025" s="480">
        <v>53500</v>
      </c>
      <c r="D1025" s="282"/>
      <c r="E1025" s="282"/>
      <c r="F1025" s="481">
        <f t="shared" si="49"/>
        <v>53500</v>
      </c>
      <c r="G1025" s="480"/>
      <c r="H1025" s="282"/>
      <c r="I1025" s="282"/>
      <c r="J1025" s="481"/>
      <c r="K1025" s="29">
        <f t="shared" si="47"/>
        <v>0</v>
      </c>
      <c r="L1025" s="283" t="str">
        <f t="shared" si="48"/>
        <v/>
      </c>
    </row>
    <row r="1026" spans="1:12" x14ac:dyDescent="0.3">
      <c r="A1026" s="381" t="s">
        <v>759</v>
      </c>
      <c r="B1026" s="382" t="s">
        <v>1629</v>
      </c>
      <c r="C1026" s="480"/>
      <c r="D1026" s="282"/>
      <c r="E1026" s="282">
        <v>86200</v>
      </c>
      <c r="F1026" s="481">
        <f t="shared" si="49"/>
        <v>86200</v>
      </c>
      <c r="G1026" s="480"/>
      <c r="H1026" s="282"/>
      <c r="I1026" s="282"/>
      <c r="J1026" s="481"/>
      <c r="K1026" s="29">
        <f t="shared" ref="K1026:K1086" si="50">IF(OR(J1026="", F1026=""), 0, IFERROR((J1026-F1026)/F1026, IF(J1026&lt;&gt;0, 1, 0)))</f>
        <v>0</v>
      </c>
      <c r="L1026" s="283" t="str">
        <f t="shared" ref="L1026:L1086" si="51">IFERROR(_xlfn.RANK.EQ(J1026, $J$2:$J$308), "")</f>
        <v/>
      </c>
    </row>
    <row r="1027" spans="1:12" x14ac:dyDescent="0.3">
      <c r="A1027" s="381" t="s">
        <v>759</v>
      </c>
      <c r="B1027" s="382" t="s">
        <v>654</v>
      </c>
      <c r="C1027" s="480">
        <v>10000</v>
      </c>
      <c r="D1027" s="282">
        <v>5000</v>
      </c>
      <c r="E1027" s="282"/>
      <c r="F1027" s="481">
        <f t="shared" si="49"/>
        <v>15000</v>
      </c>
      <c r="G1027" s="480"/>
      <c r="H1027" s="282"/>
      <c r="I1027" s="282"/>
      <c r="J1027" s="481"/>
      <c r="K1027" s="29">
        <f t="shared" si="50"/>
        <v>0</v>
      </c>
      <c r="L1027" s="283" t="str">
        <f t="shared" si="51"/>
        <v/>
      </c>
    </row>
    <row r="1028" spans="1:12" x14ac:dyDescent="0.3">
      <c r="A1028" s="381" t="s">
        <v>759</v>
      </c>
      <c r="B1028" s="382" t="s">
        <v>1630</v>
      </c>
      <c r="C1028" s="480">
        <v>37000</v>
      </c>
      <c r="D1028" s="282">
        <v>212000</v>
      </c>
      <c r="E1028" s="282">
        <v>29000</v>
      </c>
      <c r="F1028" s="481">
        <f t="shared" ref="F1028:F1085" si="52">C1028+D1028+E1028</f>
        <v>278000</v>
      </c>
      <c r="G1028" s="480"/>
      <c r="H1028" s="282"/>
      <c r="I1028" s="282"/>
      <c r="J1028" s="481"/>
      <c r="K1028" s="29">
        <f t="shared" si="50"/>
        <v>0</v>
      </c>
      <c r="L1028" s="283" t="str">
        <f t="shared" si="51"/>
        <v/>
      </c>
    </row>
    <row r="1029" spans="1:12" x14ac:dyDescent="0.3">
      <c r="A1029" s="381" t="s">
        <v>759</v>
      </c>
      <c r="B1029" s="382" t="s">
        <v>1631</v>
      </c>
      <c r="C1029" s="480"/>
      <c r="D1029" s="282"/>
      <c r="E1029" s="282"/>
      <c r="F1029" s="481"/>
      <c r="G1029" s="480"/>
      <c r="H1029" s="282"/>
      <c r="I1029" s="282"/>
      <c r="J1029" s="481"/>
      <c r="K1029" s="29">
        <f t="shared" si="50"/>
        <v>0</v>
      </c>
      <c r="L1029" s="283" t="str">
        <f t="shared" si="51"/>
        <v/>
      </c>
    </row>
    <row r="1030" spans="1:12" x14ac:dyDescent="0.3">
      <c r="A1030" s="381" t="s">
        <v>759</v>
      </c>
      <c r="B1030" s="382" t="s">
        <v>440</v>
      </c>
      <c r="C1030" s="480">
        <v>21000</v>
      </c>
      <c r="D1030" s="282"/>
      <c r="E1030" s="282"/>
      <c r="F1030" s="481">
        <f t="shared" si="52"/>
        <v>21000</v>
      </c>
      <c r="G1030" s="480"/>
      <c r="H1030" s="282"/>
      <c r="I1030" s="282"/>
      <c r="J1030" s="481"/>
      <c r="K1030" s="29">
        <f t="shared" si="50"/>
        <v>0</v>
      </c>
      <c r="L1030" s="283" t="str">
        <f t="shared" si="51"/>
        <v/>
      </c>
    </row>
    <row r="1031" spans="1:12" x14ac:dyDescent="0.3">
      <c r="A1031" s="381" t="s">
        <v>759</v>
      </c>
      <c r="B1031" s="382" t="s">
        <v>1632</v>
      </c>
      <c r="C1031" s="480"/>
      <c r="D1031" s="282">
        <v>234600</v>
      </c>
      <c r="E1031" s="282"/>
      <c r="F1031" s="481">
        <f t="shared" si="52"/>
        <v>234600</v>
      </c>
      <c r="G1031" s="480"/>
      <c r="H1031" s="282"/>
      <c r="I1031" s="282"/>
      <c r="J1031" s="481"/>
      <c r="K1031" s="29">
        <f t="shared" si="50"/>
        <v>0</v>
      </c>
      <c r="L1031" s="283" t="str">
        <f t="shared" si="51"/>
        <v/>
      </c>
    </row>
    <row r="1032" spans="1:12" x14ac:dyDescent="0.3">
      <c r="A1032" s="381" t="s">
        <v>759</v>
      </c>
      <c r="B1032" s="382" t="s">
        <v>1633</v>
      </c>
      <c r="C1032" s="480"/>
      <c r="D1032" s="282"/>
      <c r="E1032" s="282"/>
      <c r="F1032" s="481"/>
      <c r="G1032" s="480"/>
      <c r="H1032" s="282"/>
      <c r="I1032" s="282"/>
      <c r="J1032" s="481"/>
      <c r="K1032" s="29">
        <f t="shared" si="50"/>
        <v>0</v>
      </c>
      <c r="L1032" s="283" t="str">
        <f t="shared" si="51"/>
        <v/>
      </c>
    </row>
    <row r="1033" spans="1:12" x14ac:dyDescent="0.3">
      <c r="A1033" s="381" t="s">
        <v>759</v>
      </c>
      <c r="B1033" s="382" t="s">
        <v>1634</v>
      </c>
      <c r="C1033" s="480">
        <v>222000</v>
      </c>
      <c r="D1033" s="282"/>
      <c r="E1033" s="282"/>
      <c r="F1033" s="481">
        <f t="shared" si="52"/>
        <v>222000</v>
      </c>
      <c r="G1033" s="480"/>
      <c r="H1033" s="282"/>
      <c r="I1033" s="282"/>
      <c r="J1033" s="481"/>
      <c r="K1033" s="29">
        <f t="shared" si="50"/>
        <v>0</v>
      </c>
      <c r="L1033" s="283" t="str">
        <f t="shared" si="51"/>
        <v/>
      </c>
    </row>
    <row r="1034" spans="1:12" x14ac:dyDescent="0.3">
      <c r="A1034" s="381" t="s">
        <v>759</v>
      </c>
      <c r="B1034" s="382" t="s">
        <v>1635</v>
      </c>
      <c r="C1034" s="480"/>
      <c r="D1034" s="282"/>
      <c r="E1034" s="282">
        <v>215000</v>
      </c>
      <c r="F1034" s="481">
        <f t="shared" si="52"/>
        <v>215000</v>
      </c>
      <c r="G1034" s="480"/>
      <c r="H1034" s="282"/>
      <c r="I1034" s="282"/>
      <c r="J1034" s="481"/>
      <c r="K1034" s="29">
        <f t="shared" si="50"/>
        <v>0</v>
      </c>
      <c r="L1034" s="283" t="str">
        <f t="shared" si="51"/>
        <v/>
      </c>
    </row>
    <row r="1035" spans="1:12" x14ac:dyDescent="0.3">
      <c r="A1035" s="381" t="s">
        <v>759</v>
      </c>
      <c r="B1035" s="382" t="s">
        <v>1636</v>
      </c>
      <c r="C1035" s="480"/>
      <c r="D1035" s="282"/>
      <c r="E1035" s="282">
        <v>205000</v>
      </c>
      <c r="F1035" s="481">
        <f t="shared" si="52"/>
        <v>205000</v>
      </c>
      <c r="G1035" s="480"/>
      <c r="H1035" s="282"/>
      <c r="I1035" s="282"/>
      <c r="J1035" s="481"/>
      <c r="K1035" s="29">
        <f t="shared" si="50"/>
        <v>0</v>
      </c>
      <c r="L1035" s="283" t="str">
        <f t="shared" si="51"/>
        <v/>
      </c>
    </row>
    <row r="1036" spans="1:12" x14ac:dyDescent="0.3">
      <c r="A1036" s="381" t="s">
        <v>759</v>
      </c>
      <c r="B1036" s="382" t="s">
        <v>1637</v>
      </c>
      <c r="C1036" s="480"/>
      <c r="D1036" s="282"/>
      <c r="E1036" s="282"/>
      <c r="F1036" s="481"/>
      <c r="G1036" s="480"/>
      <c r="H1036" s="282"/>
      <c r="I1036" s="282"/>
      <c r="J1036" s="481"/>
      <c r="K1036" s="29">
        <f t="shared" si="50"/>
        <v>0</v>
      </c>
      <c r="L1036" s="283" t="str">
        <f t="shared" si="51"/>
        <v/>
      </c>
    </row>
    <row r="1037" spans="1:12" x14ac:dyDescent="0.3">
      <c r="A1037" s="381" t="s">
        <v>759</v>
      </c>
      <c r="B1037" s="382" t="s">
        <v>1638</v>
      </c>
      <c r="C1037" s="480">
        <v>161000</v>
      </c>
      <c r="D1037" s="282"/>
      <c r="E1037" s="282">
        <v>17000</v>
      </c>
      <c r="F1037" s="481">
        <f t="shared" si="52"/>
        <v>178000</v>
      </c>
      <c r="G1037" s="480"/>
      <c r="H1037" s="282"/>
      <c r="I1037" s="282"/>
      <c r="J1037" s="481"/>
      <c r="K1037" s="29">
        <f t="shared" si="50"/>
        <v>0</v>
      </c>
      <c r="L1037" s="283" t="str">
        <f t="shared" si="51"/>
        <v/>
      </c>
    </row>
    <row r="1038" spans="1:12" x14ac:dyDescent="0.3">
      <c r="A1038" s="381" t="s">
        <v>759</v>
      </c>
      <c r="B1038" s="382" t="s">
        <v>1639</v>
      </c>
      <c r="C1038" s="480">
        <v>80000</v>
      </c>
      <c r="D1038" s="282"/>
      <c r="E1038" s="282">
        <v>85000</v>
      </c>
      <c r="F1038" s="481">
        <f t="shared" si="52"/>
        <v>165000</v>
      </c>
      <c r="G1038" s="480"/>
      <c r="H1038" s="282"/>
      <c r="I1038" s="282"/>
      <c r="J1038" s="481"/>
      <c r="K1038" s="29">
        <f t="shared" si="50"/>
        <v>0</v>
      </c>
      <c r="L1038" s="283" t="str">
        <f t="shared" si="51"/>
        <v/>
      </c>
    </row>
    <row r="1039" spans="1:12" x14ac:dyDescent="0.3">
      <c r="A1039" s="381" t="s">
        <v>759</v>
      </c>
      <c r="B1039" s="382" t="s">
        <v>1640</v>
      </c>
      <c r="C1039" s="480">
        <v>110000</v>
      </c>
      <c r="D1039" s="282"/>
      <c r="E1039" s="282">
        <v>55000</v>
      </c>
      <c r="F1039" s="481">
        <f t="shared" si="52"/>
        <v>165000</v>
      </c>
      <c r="G1039" s="480"/>
      <c r="H1039" s="282"/>
      <c r="I1039" s="282"/>
      <c r="J1039" s="481"/>
      <c r="K1039" s="29">
        <f t="shared" si="50"/>
        <v>0</v>
      </c>
      <c r="L1039" s="283" t="str">
        <f t="shared" si="51"/>
        <v/>
      </c>
    </row>
    <row r="1040" spans="1:12" x14ac:dyDescent="0.3">
      <c r="A1040" s="381" t="s">
        <v>759</v>
      </c>
      <c r="B1040" s="382" t="s">
        <v>1641</v>
      </c>
      <c r="C1040" s="480">
        <v>140050</v>
      </c>
      <c r="D1040" s="282"/>
      <c r="E1040" s="282"/>
      <c r="F1040" s="481">
        <f t="shared" si="52"/>
        <v>140050</v>
      </c>
      <c r="G1040" s="480"/>
      <c r="H1040" s="282"/>
      <c r="I1040" s="282"/>
      <c r="J1040" s="481"/>
      <c r="K1040" s="29">
        <f t="shared" si="50"/>
        <v>0</v>
      </c>
      <c r="L1040" s="283" t="str">
        <f t="shared" si="51"/>
        <v/>
      </c>
    </row>
    <row r="1041" spans="1:12" x14ac:dyDescent="0.3">
      <c r="A1041" s="381" t="s">
        <v>759</v>
      </c>
      <c r="B1041" s="382" t="s">
        <v>1642</v>
      </c>
      <c r="C1041" s="480"/>
      <c r="D1041" s="282"/>
      <c r="E1041" s="282"/>
      <c r="F1041" s="481"/>
      <c r="G1041" s="480"/>
      <c r="H1041" s="282"/>
      <c r="I1041" s="282"/>
      <c r="J1041" s="481"/>
      <c r="K1041" s="29">
        <f t="shared" si="50"/>
        <v>0</v>
      </c>
      <c r="L1041" s="283" t="str">
        <f t="shared" si="51"/>
        <v/>
      </c>
    </row>
    <row r="1042" spans="1:12" x14ac:dyDescent="0.3">
      <c r="A1042" s="381" t="s">
        <v>759</v>
      </c>
      <c r="B1042" s="382" t="s">
        <v>1643</v>
      </c>
      <c r="C1042" s="480">
        <v>140000</v>
      </c>
      <c r="D1042" s="282"/>
      <c r="E1042" s="282"/>
      <c r="F1042" s="481">
        <f t="shared" si="52"/>
        <v>140000</v>
      </c>
      <c r="G1042" s="480"/>
      <c r="H1042" s="282"/>
      <c r="I1042" s="282"/>
      <c r="J1042" s="481"/>
      <c r="K1042" s="29">
        <f t="shared" si="50"/>
        <v>0</v>
      </c>
      <c r="L1042" s="283" t="str">
        <f t="shared" si="51"/>
        <v/>
      </c>
    </row>
    <row r="1043" spans="1:12" x14ac:dyDescent="0.3">
      <c r="A1043" s="381" t="s">
        <v>759</v>
      </c>
      <c r="B1043" s="382" t="s">
        <v>1644</v>
      </c>
      <c r="C1043" s="480">
        <v>64000</v>
      </c>
      <c r="D1043" s="282"/>
      <c r="E1043" s="282"/>
      <c r="F1043" s="481">
        <f t="shared" si="52"/>
        <v>64000</v>
      </c>
      <c r="G1043" s="480"/>
      <c r="H1043" s="282"/>
      <c r="I1043" s="282"/>
      <c r="J1043" s="481"/>
      <c r="K1043" s="29">
        <f t="shared" si="50"/>
        <v>0</v>
      </c>
      <c r="L1043" s="283" t="str">
        <f t="shared" si="51"/>
        <v/>
      </c>
    </row>
    <row r="1044" spans="1:12" x14ac:dyDescent="0.3">
      <c r="A1044" s="381" t="s">
        <v>759</v>
      </c>
      <c r="B1044" s="382" t="s">
        <v>1645</v>
      </c>
      <c r="C1044" s="480">
        <v>128000</v>
      </c>
      <c r="D1044" s="282"/>
      <c r="E1044" s="282"/>
      <c r="F1044" s="481">
        <f t="shared" si="52"/>
        <v>128000</v>
      </c>
      <c r="G1044" s="480"/>
      <c r="H1044" s="282"/>
      <c r="I1044" s="282"/>
      <c r="J1044" s="481"/>
      <c r="K1044" s="29">
        <f t="shared" si="50"/>
        <v>0</v>
      </c>
      <c r="L1044" s="283" t="str">
        <f t="shared" si="51"/>
        <v/>
      </c>
    </row>
    <row r="1045" spans="1:12" x14ac:dyDescent="0.3">
      <c r="A1045" s="381" t="s">
        <v>759</v>
      </c>
      <c r="B1045" s="382" t="s">
        <v>1646</v>
      </c>
      <c r="C1045" s="480"/>
      <c r="D1045" s="282"/>
      <c r="E1045" s="282"/>
      <c r="F1045" s="481"/>
      <c r="G1045" s="480"/>
      <c r="H1045" s="282"/>
      <c r="I1045" s="282"/>
      <c r="J1045" s="481"/>
      <c r="K1045" s="29">
        <f t="shared" si="50"/>
        <v>0</v>
      </c>
      <c r="L1045" s="283" t="str">
        <f t="shared" si="51"/>
        <v/>
      </c>
    </row>
    <row r="1046" spans="1:12" x14ac:dyDescent="0.3">
      <c r="A1046" s="381" t="s">
        <v>759</v>
      </c>
      <c r="B1046" s="382" t="s">
        <v>1647</v>
      </c>
      <c r="C1046" s="480">
        <v>112500</v>
      </c>
      <c r="D1046" s="282"/>
      <c r="E1046" s="282"/>
      <c r="F1046" s="481">
        <f t="shared" si="52"/>
        <v>112500</v>
      </c>
      <c r="G1046" s="480"/>
      <c r="H1046" s="282"/>
      <c r="I1046" s="282"/>
      <c r="J1046" s="481"/>
      <c r="K1046" s="29">
        <f t="shared" si="50"/>
        <v>0</v>
      </c>
      <c r="L1046" s="283" t="str">
        <f t="shared" si="51"/>
        <v/>
      </c>
    </row>
    <row r="1047" spans="1:12" x14ac:dyDescent="0.3">
      <c r="A1047" s="381" t="s">
        <v>759</v>
      </c>
      <c r="B1047" s="382" t="s">
        <v>1648</v>
      </c>
      <c r="C1047" s="480">
        <v>112450</v>
      </c>
      <c r="D1047" s="282"/>
      <c r="E1047" s="282"/>
      <c r="F1047" s="481">
        <f t="shared" si="52"/>
        <v>112450</v>
      </c>
      <c r="G1047" s="480"/>
      <c r="H1047" s="282"/>
      <c r="I1047" s="282"/>
      <c r="J1047" s="481"/>
      <c r="K1047" s="29">
        <f t="shared" si="50"/>
        <v>0</v>
      </c>
      <c r="L1047" s="283" t="str">
        <f t="shared" si="51"/>
        <v/>
      </c>
    </row>
    <row r="1048" spans="1:12" x14ac:dyDescent="0.3">
      <c r="A1048" s="381" t="s">
        <v>759</v>
      </c>
      <c r="B1048" s="382" t="s">
        <v>1649</v>
      </c>
      <c r="C1048" s="480">
        <v>112200</v>
      </c>
      <c r="D1048" s="282"/>
      <c r="E1048" s="282"/>
      <c r="F1048" s="481">
        <f t="shared" si="52"/>
        <v>112200</v>
      </c>
      <c r="G1048" s="480"/>
      <c r="H1048" s="282"/>
      <c r="I1048" s="282"/>
      <c r="J1048" s="481"/>
      <c r="K1048" s="29">
        <f t="shared" si="50"/>
        <v>0</v>
      </c>
      <c r="L1048" s="283" t="str">
        <f t="shared" si="51"/>
        <v/>
      </c>
    </row>
    <row r="1049" spans="1:12" x14ac:dyDescent="0.3">
      <c r="A1049" s="381" t="s">
        <v>759</v>
      </c>
      <c r="B1049" s="382" t="s">
        <v>1650</v>
      </c>
      <c r="C1049" s="480"/>
      <c r="D1049" s="282"/>
      <c r="E1049" s="282"/>
      <c r="F1049" s="481"/>
      <c r="G1049" s="480"/>
      <c r="H1049" s="282"/>
      <c r="I1049" s="282"/>
      <c r="J1049" s="481"/>
      <c r="K1049" s="29">
        <f t="shared" si="50"/>
        <v>0</v>
      </c>
      <c r="L1049" s="283" t="str">
        <f t="shared" si="51"/>
        <v/>
      </c>
    </row>
    <row r="1050" spans="1:12" x14ac:dyDescent="0.3">
      <c r="A1050" s="381" t="s">
        <v>759</v>
      </c>
      <c r="B1050" s="382" t="s">
        <v>1651</v>
      </c>
      <c r="C1050" s="480"/>
      <c r="D1050" s="282">
        <v>110000</v>
      </c>
      <c r="E1050" s="282"/>
      <c r="F1050" s="481">
        <f t="shared" si="52"/>
        <v>110000</v>
      </c>
      <c r="G1050" s="480"/>
      <c r="H1050" s="282"/>
      <c r="I1050" s="282"/>
      <c r="J1050" s="481"/>
      <c r="K1050" s="29">
        <f t="shared" si="50"/>
        <v>0</v>
      </c>
      <c r="L1050" s="283" t="str">
        <f t="shared" si="51"/>
        <v/>
      </c>
    </row>
    <row r="1051" spans="1:12" x14ac:dyDescent="0.3">
      <c r="A1051" s="381" t="s">
        <v>759</v>
      </c>
      <c r="B1051" s="382" t="s">
        <v>1652</v>
      </c>
      <c r="C1051" s="480"/>
      <c r="D1051" s="282"/>
      <c r="E1051" s="282"/>
      <c r="F1051" s="481"/>
      <c r="G1051" s="480"/>
      <c r="H1051" s="282"/>
      <c r="I1051" s="282"/>
      <c r="J1051" s="481"/>
      <c r="K1051" s="29">
        <f t="shared" si="50"/>
        <v>0</v>
      </c>
      <c r="L1051" s="283" t="str">
        <f t="shared" si="51"/>
        <v/>
      </c>
    </row>
    <row r="1052" spans="1:12" x14ac:dyDescent="0.3">
      <c r="A1052" s="381" t="s">
        <v>759</v>
      </c>
      <c r="B1052" s="382" t="s">
        <v>1653</v>
      </c>
      <c r="C1052" s="480">
        <v>47000</v>
      </c>
      <c r="D1052" s="282"/>
      <c r="E1052" s="282"/>
      <c r="F1052" s="481">
        <f t="shared" si="52"/>
        <v>47000</v>
      </c>
      <c r="G1052" s="480"/>
      <c r="H1052" s="282"/>
      <c r="I1052" s="282"/>
      <c r="J1052" s="481"/>
      <c r="K1052" s="29">
        <f t="shared" si="50"/>
        <v>0</v>
      </c>
      <c r="L1052" s="283" t="str">
        <f t="shared" si="51"/>
        <v/>
      </c>
    </row>
    <row r="1053" spans="1:12" x14ac:dyDescent="0.3">
      <c r="A1053" s="381" t="s">
        <v>759</v>
      </c>
      <c r="B1053" s="382" t="s">
        <v>1654</v>
      </c>
      <c r="C1053" s="480"/>
      <c r="D1053" s="282">
        <v>99000</v>
      </c>
      <c r="E1053" s="282"/>
      <c r="F1053" s="481">
        <f t="shared" si="52"/>
        <v>99000</v>
      </c>
      <c r="G1053" s="480"/>
      <c r="H1053" s="282"/>
      <c r="I1053" s="282"/>
      <c r="J1053" s="481"/>
      <c r="K1053" s="29">
        <f t="shared" si="50"/>
        <v>0</v>
      </c>
      <c r="L1053" s="283" t="str">
        <f t="shared" si="51"/>
        <v/>
      </c>
    </row>
    <row r="1054" spans="1:12" x14ac:dyDescent="0.3">
      <c r="A1054" s="381" t="s">
        <v>759</v>
      </c>
      <c r="B1054" s="382" t="s">
        <v>771</v>
      </c>
      <c r="C1054" s="480"/>
      <c r="D1054" s="282"/>
      <c r="E1054" s="282">
        <v>96000</v>
      </c>
      <c r="F1054" s="481">
        <f t="shared" si="52"/>
        <v>96000</v>
      </c>
      <c r="G1054" s="480"/>
      <c r="H1054" s="282"/>
      <c r="I1054" s="282"/>
      <c r="J1054" s="481"/>
      <c r="K1054" s="29">
        <f t="shared" si="50"/>
        <v>0</v>
      </c>
      <c r="L1054" s="283" t="str">
        <f t="shared" si="51"/>
        <v/>
      </c>
    </row>
    <row r="1055" spans="1:12" x14ac:dyDescent="0.3">
      <c r="A1055" s="381" t="s">
        <v>759</v>
      </c>
      <c r="B1055" s="382" t="s">
        <v>1655</v>
      </c>
      <c r="C1055" s="480"/>
      <c r="D1055" s="282"/>
      <c r="E1055" s="282"/>
      <c r="F1055" s="481"/>
      <c r="G1055" s="480"/>
      <c r="H1055" s="282"/>
      <c r="I1055" s="282"/>
      <c r="J1055" s="481"/>
      <c r="K1055" s="29">
        <f t="shared" si="50"/>
        <v>0</v>
      </c>
      <c r="L1055" s="283" t="str">
        <f t="shared" si="51"/>
        <v/>
      </c>
    </row>
    <row r="1056" spans="1:12" x14ac:dyDescent="0.3">
      <c r="A1056" s="381" t="s">
        <v>759</v>
      </c>
      <c r="B1056" s="382" t="s">
        <v>1656</v>
      </c>
      <c r="C1056" s="480"/>
      <c r="D1056" s="282"/>
      <c r="E1056" s="282">
        <v>90000</v>
      </c>
      <c r="F1056" s="481">
        <f t="shared" si="52"/>
        <v>90000</v>
      </c>
      <c r="G1056" s="480"/>
      <c r="H1056" s="282"/>
      <c r="I1056" s="282"/>
      <c r="J1056" s="481"/>
      <c r="K1056" s="29">
        <f t="shared" si="50"/>
        <v>0</v>
      </c>
      <c r="L1056" s="283" t="str">
        <f t="shared" si="51"/>
        <v/>
      </c>
    </row>
    <row r="1057" spans="1:12" x14ac:dyDescent="0.3">
      <c r="A1057" s="381" t="s">
        <v>759</v>
      </c>
      <c r="B1057" s="382" t="s">
        <v>630</v>
      </c>
      <c r="C1057" s="480"/>
      <c r="D1057" s="282"/>
      <c r="E1057" s="282"/>
      <c r="F1057" s="481"/>
      <c r="G1057" s="480"/>
      <c r="H1057" s="282"/>
      <c r="I1057" s="282"/>
      <c r="J1057" s="481"/>
      <c r="K1057" s="29">
        <f t="shared" si="50"/>
        <v>0</v>
      </c>
      <c r="L1057" s="283" t="str">
        <f t="shared" si="51"/>
        <v/>
      </c>
    </row>
    <row r="1058" spans="1:12" x14ac:dyDescent="0.3">
      <c r="A1058" s="381" t="s">
        <v>759</v>
      </c>
      <c r="B1058" s="382" t="s">
        <v>1657</v>
      </c>
      <c r="C1058" s="480"/>
      <c r="D1058" s="282"/>
      <c r="E1058" s="282">
        <v>89800</v>
      </c>
      <c r="F1058" s="481">
        <f t="shared" si="52"/>
        <v>89800</v>
      </c>
      <c r="G1058" s="480"/>
      <c r="H1058" s="282"/>
      <c r="I1058" s="282"/>
      <c r="J1058" s="481"/>
      <c r="K1058" s="29">
        <f t="shared" si="50"/>
        <v>0</v>
      </c>
      <c r="L1058" s="283" t="str">
        <f t="shared" si="51"/>
        <v/>
      </c>
    </row>
    <row r="1059" spans="1:12" x14ac:dyDescent="0.3">
      <c r="A1059" s="381" t="s">
        <v>759</v>
      </c>
      <c r="B1059" s="382" t="s">
        <v>1658</v>
      </c>
      <c r="C1059" s="480"/>
      <c r="D1059" s="282"/>
      <c r="E1059" s="282"/>
      <c r="F1059" s="481"/>
      <c r="G1059" s="480"/>
      <c r="H1059" s="282"/>
      <c r="I1059" s="282"/>
      <c r="J1059" s="481"/>
      <c r="K1059" s="29">
        <f t="shared" si="50"/>
        <v>0</v>
      </c>
      <c r="L1059" s="283" t="str">
        <f t="shared" si="51"/>
        <v/>
      </c>
    </row>
    <row r="1060" spans="1:12" x14ac:dyDescent="0.3">
      <c r="A1060" s="381" t="s">
        <v>759</v>
      </c>
      <c r="B1060" s="382" t="s">
        <v>1659</v>
      </c>
      <c r="C1060" s="480"/>
      <c r="D1060" s="282"/>
      <c r="E1060" s="282">
        <v>80600</v>
      </c>
      <c r="F1060" s="481">
        <f t="shared" si="52"/>
        <v>80600</v>
      </c>
      <c r="G1060" s="480"/>
      <c r="H1060" s="282"/>
      <c r="I1060" s="282"/>
      <c r="J1060" s="481"/>
      <c r="K1060" s="29">
        <f t="shared" si="50"/>
        <v>0</v>
      </c>
      <c r="L1060" s="283" t="str">
        <f t="shared" si="51"/>
        <v/>
      </c>
    </row>
    <row r="1061" spans="1:12" x14ac:dyDescent="0.3">
      <c r="A1061" s="381" t="s">
        <v>759</v>
      </c>
      <c r="B1061" s="382" t="s">
        <v>1660</v>
      </c>
      <c r="C1061" s="480"/>
      <c r="D1061" s="282"/>
      <c r="E1061" s="282"/>
      <c r="F1061" s="481"/>
      <c r="G1061" s="480"/>
      <c r="H1061" s="282"/>
      <c r="I1061" s="282"/>
      <c r="J1061" s="481"/>
      <c r="K1061" s="29">
        <f t="shared" si="50"/>
        <v>0</v>
      </c>
      <c r="L1061" s="283" t="str">
        <f t="shared" si="51"/>
        <v/>
      </c>
    </row>
    <row r="1062" spans="1:12" x14ac:dyDescent="0.3">
      <c r="A1062" s="381" t="s">
        <v>759</v>
      </c>
      <c r="B1062" s="382" t="s">
        <v>1661</v>
      </c>
      <c r="C1062" s="480">
        <v>68000</v>
      </c>
      <c r="D1062" s="282"/>
      <c r="E1062" s="282"/>
      <c r="F1062" s="481">
        <f t="shared" si="52"/>
        <v>68000</v>
      </c>
      <c r="G1062" s="480"/>
      <c r="H1062" s="282"/>
      <c r="I1062" s="282"/>
      <c r="J1062" s="481"/>
      <c r="K1062" s="29">
        <f t="shared" si="50"/>
        <v>0</v>
      </c>
      <c r="L1062" s="283" t="str">
        <f t="shared" si="51"/>
        <v/>
      </c>
    </row>
    <row r="1063" spans="1:12" x14ac:dyDescent="0.3">
      <c r="A1063" s="381" t="s">
        <v>759</v>
      </c>
      <c r="B1063" s="382" t="s">
        <v>1662</v>
      </c>
      <c r="C1063" s="480"/>
      <c r="D1063" s="282"/>
      <c r="E1063" s="282"/>
      <c r="F1063" s="481"/>
      <c r="G1063" s="480"/>
      <c r="H1063" s="282"/>
      <c r="I1063" s="282"/>
      <c r="J1063" s="481"/>
      <c r="K1063" s="29">
        <f t="shared" si="50"/>
        <v>0</v>
      </c>
      <c r="L1063" s="283" t="str">
        <f t="shared" si="51"/>
        <v/>
      </c>
    </row>
    <row r="1064" spans="1:12" x14ac:dyDescent="0.3">
      <c r="A1064" s="381" t="s">
        <v>759</v>
      </c>
      <c r="B1064" s="382" t="s">
        <v>1663</v>
      </c>
      <c r="C1064" s="480"/>
      <c r="D1064" s="282"/>
      <c r="E1064" s="282">
        <v>55000</v>
      </c>
      <c r="F1064" s="481">
        <f t="shared" si="52"/>
        <v>55000</v>
      </c>
      <c r="G1064" s="480"/>
      <c r="H1064" s="282"/>
      <c r="I1064" s="282"/>
      <c r="J1064" s="481"/>
      <c r="K1064" s="29">
        <f t="shared" si="50"/>
        <v>0</v>
      </c>
      <c r="L1064" s="283" t="str">
        <f t="shared" si="51"/>
        <v/>
      </c>
    </row>
    <row r="1065" spans="1:12" x14ac:dyDescent="0.3">
      <c r="A1065" s="381" t="s">
        <v>759</v>
      </c>
      <c r="B1065" s="382" t="s">
        <v>1664</v>
      </c>
      <c r="C1065" s="480"/>
      <c r="D1065" s="282"/>
      <c r="E1065" s="282"/>
      <c r="F1065" s="481"/>
      <c r="G1065" s="480"/>
      <c r="H1065" s="282"/>
      <c r="I1065" s="282"/>
      <c r="J1065" s="481"/>
      <c r="K1065" s="29">
        <f t="shared" si="50"/>
        <v>0</v>
      </c>
      <c r="L1065" s="283" t="str">
        <f t="shared" si="51"/>
        <v/>
      </c>
    </row>
    <row r="1066" spans="1:12" x14ac:dyDescent="0.3">
      <c r="A1066" s="381" t="s">
        <v>759</v>
      </c>
      <c r="B1066" s="382" t="s">
        <v>1665</v>
      </c>
      <c r="C1066" s="480"/>
      <c r="D1066" s="282"/>
      <c r="E1066" s="282">
        <v>55000</v>
      </c>
      <c r="F1066" s="481">
        <f t="shared" si="52"/>
        <v>55000</v>
      </c>
      <c r="G1066" s="480"/>
      <c r="H1066" s="282"/>
      <c r="I1066" s="282"/>
      <c r="J1066" s="481"/>
      <c r="K1066" s="29">
        <f t="shared" si="50"/>
        <v>0</v>
      </c>
      <c r="L1066" s="283" t="str">
        <f t="shared" si="51"/>
        <v/>
      </c>
    </row>
    <row r="1067" spans="1:12" x14ac:dyDescent="0.3">
      <c r="A1067" s="381" t="s">
        <v>759</v>
      </c>
      <c r="B1067" s="382" t="s">
        <v>1666</v>
      </c>
      <c r="C1067" s="480">
        <v>55000</v>
      </c>
      <c r="D1067" s="282"/>
      <c r="E1067" s="282"/>
      <c r="F1067" s="481">
        <f t="shared" si="52"/>
        <v>55000</v>
      </c>
      <c r="G1067" s="480"/>
      <c r="H1067" s="282"/>
      <c r="I1067" s="282"/>
      <c r="J1067" s="481"/>
      <c r="K1067" s="29">
        <f t="shared" si="50"/>
        <v>0</v>
      </c>
      <c r="L1067" s="283" t="str">
        <f t="shared" si="51"/>
        <v/>
      </c>
    </row>
    <row r="1068" spans="1:12" x14ac:dyDescent="0.3">
      <c r="A1068" s="381" t="s">
        <v>759</v>
      </c>
      <c r="B1068" s="382" t="s">
        <v>1667</v>
      </c>
      <c r="C1068" s="480"/>
      <c r="D1068" s="282"/>
      <c r="E1068" s="282"/>
      <c r="F1068" s="481"/>
      <c r="G1068" s="480"/>
      <c r="H1068" s="282"/>
      <c r="I1068" s="282"/>
      <c r="J1068" s="481"/>
      <c r="K1068" s="29">
        <f t="shared" si="50"/>
        <v>0</v>
      </c>
      <c r="L1068" s="283" t="str">
        <f t="shared" si="51"/>
        <v/>
      </c>
    </row>
    <row r="1069" spans="1:12" x14ac:dyDescent="0.3">
      <c r="A1069" s="381" t="s">
        <v>759</v>
      </c>
      <c r="B1069" s="382" t="s">
        <v>1668</v>
      </c>
      <c r="C1069" s="480"/>
      <c r="D1069" s="282">
        <v>32000</v>
      </c>
      <c r="E1069" s="282">
        <v>20000</v>
      </c>
      <c r="F1069" s="481">
        <f t="shared" si="52"/>
        <v>52000</v>
      </c>
      <c r="G1069" s="480"/>
      <c r="H1069" s="282"/>
      <c r="I1069" s="282"/>
      <c r="J1069" s="481"/>
      <c r="K1069" s="29">
        <f t="shared" si="50"/>
        <v>0</v>
      </c>
      <c r="L1069" s="283" t="str">
        <f t="shared" si="51"/>
        <v/>
      </c>
    </row>
    <row r="1070" spans="1:12" x14ac:dyDescent="0.3">
      <c r="A1070" s="381" t="s">
        <v>759</v>
      </c>
      <c r="B1070" s="382" t="s">
        <v>1669</v>
      </c>
      <c r="C1070" s="480"/>
      <c r="D1070" s="282"/>
      <c r="E1070" s="282">
        <v>50500</v>
      </c>
      <c r="F1070" s="481">
        <f t="shared" si="52"/>
        <v>50500</v>
      </c>
      <c r="G1070" s="480"/>
      <c r="H1070" s="282"/>
      <c r="I1070" s="282"/>
      <c r="J1070" s="481"/>
      <c r="K1070" s="29">
        <f t="shared" si="50"/>
        <v>0</v>
      </c>
      <c r="L1070" s="283" t="str">
        <f t="shared" si="51"/>
        <v/>
      </c>
    </row>
    <row r="1071" spans="1:12" x14ac:dyDescent="0.3">
      <c r="A1071" s="381" t="s">
        <v>759</v>
      </c>
      <c r="B1071" s="382" t="s">
        <v>1670</v>
      </c>
      <c r="C1071" s="480"/>
      <c r="D1071" s="282"/>
      <c r="E1071" s="282"/>
      <c r="F1071" s="481"/>
      <c r="G1071" s="480"/>
      <c r="H1071" s="282"/>
      <c r="I1071" s="282"/>
      <c r="J1071" s="481"/>
      <c r="K1071" s="29">
        <f t="shared" si="50"/>
        <v>0</v>
      </c>
      <c r="L1071" s="283" t="str">
        <f t="shared" si="51"/>
        <v/>
      </c>
    </row>
    <row r="1072" spans="1:12" x14ac:dyDescent="0.3">
      <c r="A1072" s="381" t="s">
        <v>759</v>
      </c>
      <c r="B1072" s="382" t="s">
        <v>533</v>
      </c>
      <c r="C1072" s="480"/>
      <c r="D1072" s="282"/>
      <c r="E1072" s="282"/>
      <c r="F1072" s="481"/>
      <c r="G1072" s="480"/>
      <c r="H1072" s="282"/>
      <c r="I1072" s="282"/>
      <c r="J1072" s="481"/>
      <c r="K1072" s="29">
        <f t="shared" si="50"/>
        <v>0</v>
      </c>
      <c r="L1072" s="283" t="str">
        <f t="shared" si="51"/>
        <v/>
      </c>
    </row>
    <row r="1073" spans="1:12" x14ac:dyDescent="0.3">
      <c r="A1073" s="381" t="s">
        <v>759</v>
      </c>
      <c r="B1073" s="382" t="s">
        <v>1671</v>
      </c>
      <c r="C1073" s="480">
        <v>11000</v>
      </c>
      <c r="D1073" s="282"/>
      <c r="E1073" s="282">
        <v>37000</v>
      </c>
      <c r="F1073" s="481">
        <f t="shared" si="52"/>
        <v>48000</v>
      </c>
      <c r="G1073" s="480"/>
      <c r="H1073" s="282"/>
      <c r="I1073" s="282"/>
      <c r="J1073" s="481"/>
      <c r="K1073" s="29">
        <f t="shared" si="50"/>
        <v>0</v>
      </c>
      <c r="L1073" s="283" t="str">
        <f t="shared" si="51"/>
        <v/>
      </c>
    </row>
    <row r="1074" spans="1:12" x14ac:dyDescent="0.3">
      <c r="A1074" s="381" t="s">
        <v>759</v>
      </c>
      <c r="B1074" s="382" t="s">
        <v>1672</v>
      </c>
      <c r="C1074" s="480">
        <v>45000</v>
      </c>
      <c r="D1074" s="282"/>
      <c r="E1074" s="282"/>
      <c r="F1074" s="481">
        <f t="shared" si="52"/>
        <v>45000</v>
      </c>
      <c r="G1074" s="480"/>
      <c r="H1074" s="282"/>
      <c r="I1074" s="282"/>
      <c r="J1074" s="481"/>
      <c r="K1074" s="29">
        <f t="shared" si="50"/>
        <v>0</v>
      </c>
      <c r="L1074" s="283" t="str">
        <f t="shared" si="51"/>
        <v/>
      </c>
    </row>
    <row r="1075" spans="1:12" x14ac:dyDescent="0.3">
      <c r="A1075" s="381" t="s">
        <v>759</v>
      </c>
      <c r="B1075" s="382" t="s">
        <v>1673</v>
      </c>
      <c r="C1075" s="480"/>
      <c r="D1075" s="282"/>
      <c r="E1075" s="282">
        <v>40000</v>
      </c>
      <c r="F1075" s="481">
        <f t="shared" si="52"/>
        <v>40000</v>
      </c>
      <c r="G1075" s="480"/>
      <c r="H1075" s="282"/>
      <c r="I1075" s="282"/>
      <c r="J1075" s="481"/>
      <c r="K1075" s="29">
        <f t="shared" si="50"/>
        <v>0</v>
      </c>
      <c r="L1075" s="283" t="str">
        <f t="shared" si="51"/>
        <v/>
      </c>
    </row>
    <row r="1076" spans="1:12" x14ac:dyDescent="0.3">
      <c r="A1076" s="381" t="s">
        <v>759</v>
      </c>
      <c r="B1076" s="382" t="s">
        <v>770</v>
      </c>
      <c r="C1076" s="480">
        <v>24000</v>
      </c>
      <c r="D1076" s="282"/>
      <c r="E1076" s="282"/>
      <c r="F1076" s="481">
        <f t="shared" si="52"/>
        <v>24000</v>
      </c>
      <c r="G1076" s="480"/>
      <c r="H1076" s="282"/>
      <c r="I1076" s="282"/>
      <c r="J1076" s="481"/>
      <c r="K1076" s="29">
        <f t="shared" si="50"/>
        <v>0</v>
      </c>
      <c r="L1076" s="283" t="str">
        <f t="shared" si="51"/>
        <v/>
      </c>
    </row>
    <row r="1077" spans="1:12" x14ac:dyDescent="0.3">
      <c r="A1077" s="381" t="s">
        <v>759</v>
      </c>
      <c r="B1077" s="382" t="s">
        <v>776</v>
      </c>
      <c r="C1077" s="480"/>
      <c r="D1077" s="282"/>
      <c r="E1077" s="282"/>
      <c r="F1077" s="481"/>
      <c r="G1077" s="480"/>
      <c r="H1077" s="282"/>
      <c r="I1077" s="282"/>
      <c r="J1077" s="481"/>
      <c r="K1077" s="29">
        <f t="shared" si="50"/>
        <v>0</v>
      </c>
      <c r="L1077" s="283" t="str">
        <f t="shared" si="51"/>
        <v/>
      </c>
    </row>
    <row r="1078" spans="1:12" x14ac:dyDescent="0.3">
      <c r="A1078" s="381" t="s">
        <v>759</v>
      </c>
      <c r="B1078" s="382" t="s">
        <v>1674</v>
      </c>
      <c r="C1078" s="480"/>
      <c r="D1078" s="282"/>
      <c r="E1078" s="282"/>
      <c r="F1078" s="481"/>
      <c r="G1078" s="480"/>
      <c r="H1078" s="282"/>
      <c r="I1078" s="282"/>
      <c r="J1078" s="481"/>
      <c r="K1078" s="29">
        <f t="shared" si="50"/>
        <v>0</v>
      </c>
      <c r="L1078" s="283" t="str">
        <f t="shared" si="51"/>
        <v/>
      </c>
    </row>
    <row r="1079" spans="1:12" x14ac:dyDescent="0.3">
      <c r="A1079" s="381" t="s">
        <v>759</v>
      </c>
      <c r="B1079" s="382" t="s">
        <v>1675</v>
      </c>
      <c r="C1079" s="480"/>
      <c r="D1079" s="282"/>
      <c r="E1079" s="282"/>
      <c r="F1079" s="481"/>
      <c r="G1079" s="480"/>
      <c r="H1079" s="282"/>
      <c r="I1079" s="282"/>
      <c r="J1079" s="481"/>
      <c r="K1079" s="29">
        <f t="shared" si="50"/>
        <v>0</v>
      </c>
      <c r="L1079" s="283" t="str">
        <f t="shared" si="51"/>
        <v/>
      </c>
    </row>
    <row r="1080" spans="1:12" x14ac:dyDescent="0.3">
      <c r="A1080" s="381" t="s">
        <v>759</v>
      </c>
      <c r="B1080" s="382" t="s">
        <v>1676</v>
      </c>
      <c r="C1080" s="480"/>
      <c r="D1080" s="282"/>
      <c r="E1080" s="282">
        <v>12000</v>
      </c>
      <c r="F1080" s="481">
        <f t="shared" si="52"/>
        <v>12000</v>
      </c>
      <c r="G1080" s="480"/>
      <c r="H1080" s="282"/>
      <c r="I1080" s="282"/>
      <c r="J1080" s="481"/>
      <c r="K1080" s="29">
        <f t="shared" si="50"/>
        <v>0</v>
      </c>
      <c r="L1080" s="283" t="str">
        <f t="shared" si="51"/>
        <v/>
      </c>
    </row>
    <row r="1081" spans="1:12" x14ac:dyDescent="0.3">
      <c r="A1081" s="381" t="s">
        <v>759</v>
      </c>
      <c r="B1081" s="382" t="s">
        <v>1677</v>
      </c>
      <c r="C1081" s="480"/>
      <c r="D1081" s="282"/>
      <c r="E1081" s="282">
        <v>23000</v>
      </c>
      <c r="F1081" s="481">
        <f t="shared" si="52"/>
        <v>23000</v>
      </c>
      <c r="G1081" s="480"/>
      <c r="H1081" s="282"/>
      <c r="I1081" s="282"/>
      <c r="J1081" s="481"/>
      <c r="K1081" s="29">
        <f t="shared" si="50"/>
        <v>0</v>
      </c>
      <c r="L1081" s="283" t="str">
        <f t="shared" si="51"/>
        <v/>
      </c>
    </row>
    <row r="1082" spans="1:12" x14ac:dyDescent="0.3">
      <c r="A1082" s="381" t="s">
        <v>759</v>
      </c>
      <c r="B1082" s="382" t="s">
        <v>1678</v>
      </c>
      <c r="C1082" s="480">
        <v>21500</v>
      </c>
      <c r="D1082" s="282"/>
      <c r="E1082" s="282"/>
      <c r="F1082" s="481">
        <f t="shared" si="52"/>
        <v>21500</v>
      </c>
      <c r="G1082" s="480"/>
      <c r="H1082" s="282"/>
      <c r="I1082" s="282"/>
      <c r="J1082" s="481"/>
      <c r="K1082" s="29">
        <f t="shared" si="50"/>
        <v>0</v>
      </c>
      <c r="L1082" s="283" t="str">
        <f t="shared" si="51"/>
        <v/>
      </c>
    </row>
    <row r="1083" spans="1:12" x14ac:dyDescent="0.3">
      <c r="A1083" s="381" t="s">
        <v>759</v>
      </c>
      <c r="B1083" s="382" t="s">
        <v>778</v>
      </c>
      <c r="C1083" s="480">
        <v>15000</v>
      </c>
      <c r="D1083" s="282"/>
      <c r="E1083" s="282"/>
      <c r="F1083" s="481">
        <f t="shared" si="52"/>
        <v>15000</v>
      </c>
      <c r="G1083" s="480"/>
      <c r="H1083" s="282"/>
      <c r="I1083" s="282"/>
      <c r="J1083" s="481"/>
      <c r="K1083" s="29">
        <f t="shared" si="50"/>
        <v>0</v>
      </c>
      <c r="L1083" s="283" t="str">
        <f t="shared" si="51"/>
        <v/>
      </c>
    </row>
    <row r="1084" spans="1:12" x14ac:dyDescent="0.3">
      <c r="A1084" s="381" t="s">
        <v>759</v>
      </c>
      <c r="B1084" s="382" t="s">
        <v>1679</v>
      </c>
      <c r="C1084" s="480">
        <v>13750</v>
      </c>
      <c r="D1084" s="282"/>
      <c r="E1084" s="282"/>
      <c r="F1084" s="481">
        <f t="shared" si="52"/>
        <v>13750</v>
      </c>
      <c r="G1084" s="480"/>
      <c r="H1084" s="282"/>
      <c r="I1084" s="282"/>
      <c r="J1084" s="481"/>
      <c r="K1084" s="29">
        <f t="shared" si="50"/>
        <v>0</v>
      </c>
      <c r="L1084" s="283" t="str">
        <f t="shared" si="51"/>
        <v/>
      </c>
    </row>
    <row r="1085" spans="1:12" x14ac:dyDescent="0.3">
      <c r="A1085" s="381" t="s">
        <v>759</v>
      </c>
      <c r="B1085" s="382" t="s">
        <v>1680</v>
      </c>
      <c r="C1085" s="480">
        <v>7000</v>
      </c>
      <c r="D1085" s="282"/>
      <c r="E1085" s="282"/>
      <c r="F1085" s="481">
        <f t="shared" si="52"/>
        <v>7000</v>
      </c>
      <c r="G1085" s="480"/>
      <c r="H1085" s="282"/>
      <c r="I1085" s="282"/>
      <c r="J1085" s="481"/>
      <c r="K1085" s="29">
        <f t="shared" si="50"/>
        <v>0</v>
      </c>
      <c r="L1085" s="283" t="str">
        <f t="shared" si="51"/>
        <v/>
      </c>
    </row>
    <row r="1086" spans="1:12" x14ac:dyDescent="0.3">
      <c r="A1086" s="381" t="s">
        <v>759</v>
      </c>
      <c r="B1086" s="382" t="s">
        <v>1682</v>
      </c>
      <c r="C1086" s="480"/>
      <c r="D1086" s="282"/>
      <c r="E1086" s="282"/>
      <c r="F1086" s="481"/>
      <c r="G1086" s="484">
        <v>58920</v>
      </c>
      <c r="H1086" s="282"/>
      <c r="I1086" s="282"/>
      <c r="J1086" s="481">
        <f>G1086+H1086+I1086</f>
        <v>58920</v>
      </c>
      <c r="K1086" s="29">
        <f t="shared" si="50"/>
        <v>0</v>
      </c>
      <c r="L1086" s="283" t="str">
        <f t="shared" si="51"/>
        <v/>
      </c>
    </row>
    <row r="1087" spans="1:12" ht="17.25" thickBot="1" x14ac:dyDescent="0.35">
      <c r="A1087" s="1542" t="s">
        <v>250</v>
      </c>
      <c r="B1087" s="1543"/>
      <c r="C1087" s="137">
        <f>SUM(C2:C1085)</f>
        <v>315493640</v>
      </c>
      <c r="D1087" s="138">
        <f>SUM(D2:D1085)</f>
        <v>48722310</v>
      </c>
      <c r="E1087" s="138">
        <f>SUM(E2:E1085)</f>
        <v>235082190</v>
      </c>
      <c r="F1087" s="139">
        <f>SUM(F2:F1085)</f>
        <v>599298140</v>
      </c>
      <c r="G1087" s="137">
        <f>SUM(G2:G1086)</f>
        <v>186662170</v>
      </c>
      <c r="H1087" s="138">
        <f>SUM(H2:H1085)</f>
        <v>112938390</v>
      </c>
      <c r="I1087" s="138">
        <f>SUM(I2:I1086)</f>
        <v>238367540</v>
      </c>
      <c r="J1087" s="139">
        <f>SUM(J2:J1085)</f>
        <v>528218080</v>
      </c>
      <c r="K1087" s="482">
        <f>IF(AND(F1087=0, J1087&lt;&gt;0), 1, (J1087-F1087)/F1087)</f>
        <v>-0.11860550743574809</v>
      </c>
      <c r="L1087" s="284"/>
    </row>
  </sheetData>
  <autoFilter ref="A1:L1087" xr:uid="{B8ACABFE-1974-4F3A-ACB8-092EB0DAB922}"/>
  <mergeCells count="1">
    <mergeCell ref="A1087:B1087"/>
  </mergeCells>
  <phoneticPr fontId="2" type="noConversion"/>
  <conditionalFormatting sqref="B2:B29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8BC9-4A1D-4DA2-88AD-7541DFCDDA8B}">
  <dimension ref="A1:AM329"/>
  <sheetViews>
    <sheetView topLeftCell="O1" zoomScale="70" zoomScaleNormal="70" workbookViewId="0">
      <selection activeCell="AE1" sqref="AE1:AE1048576"/>
    </sheetView>
  </sheetViews>
  <sheetFormatPr defaultRowHeight="16.5" x14ac:dyDescent="0.3"/>
  <cols>
    <col min="1" max="1" width="15.25" customWidth="1"/>
    <col min="2" max="2" width="56.25" customWidth="1"/>
    <col min="3" max="10" width="13.625" style="30" customWidth="1"/>
    <col min="11" max="11" width="13.625" style="30" hidden="1" customWidth="1"/>
    <col min="12" max="15" width="13.625" style="30" customWidth="1"/>
    <col min="16" max="16" width="13.625" style="30" hidden="1" customWidth="1"/>
    <col min="17" max="30" width="13.625" style="30" customWidth="1"/>
    <col min="31" max="31" width="0" hidden="1" customWidth="1"/>
    <col min="32" max="32" width="10.5" customWidth="1"/>
    <col min="35" max="39" width="20.625" customWidth="1"/>
    <col min="42" max="42" width="11.625" customWidth="1"/>
  </cols>
  <sheetData>
    <row r="1" spans="1:39" ht="33.75" thickBot="1" x14ac:dyDescent="0.35">
      <c r="A1" s="1334" t="s">
        <v>0</v>
      </c>
      <c r="B1" s="1335" t="s">
        <v>1</v>
      </c>
      <c r="C1" s="1484" t="s">
        <v>2366</v>
      </c>
      <c r="D1" s="1187" t="s">
        <v>2367</v>
      </c>
      <c r="E1" s="1187" t="s">
        <v>2368</v>
      </c>
      <c r="F1" s="1187" t="s">
        <v>2369</v>
      </c>
      <c r="G1" s="1187" t="s">
        <v>2370</v>
      </c>
      <c r="H1" s="1187" t="s">
        <v>2371</v>
      </c>
      <c r="I1" s="1187" t="s">
        <v>2372</v>
      </c>
      <c r="J1" s="1187" t="s">
        <v>2373</v>
      </c>
      <c r="K1" s="1406" t="s">
        <v>3035</v>
      </c>
      <c r="L1" s="1187" t="s">
        <v>2374</v>
      </c>
      <c r="M1" s="1187" t="s">
        <v>2375</v>
      </c>
      <c r="N1" s="1187" t="s">
        <v>2376</v>
      </c>
      <c r="O1" s="1187" t="s">
        <v>2377</v>
      </c>
      <c r="P1" s="1495" t="s">
        <v>3037</v>
      </c>
      <c r="Q1" s="1351" t="s">
        <v>2378</v>
      </c>
      <c r="R1" s="1366" t="s">
        <v>2527</v>
      </c>
      <c r="S1" s="1301" t="s">
        <v>2577</v>
      </c>
      <c r="T1" s="1301" t="s">
        <v>2634</v>
      </c>
      <c r="U1" s="1301" t="s">
        <v>2727</v>
      </c>
      <c r="V1" s="1301" t="s">
        <v>2805</v>
      </c>
      <c r="W1" s="1406" t="s">
        <v>2891</v>
      </c>
      <c r="X1" s="1301" t="s">
        <v>2979</v>
      </c>
      <c r="Y1" s="1406" t="s">
        <v>3038</v>
      </c>
      <c r="Z1" s="1187" t="s">
        <v>2407</v>
      </c>
      <c r="AA1" s="1187" t="s">
        <v>2408</v>
      </c>
      <c r="AB1" s="1187" t="s">
        <v>2409</v>
      </c>
      <c r="AC1" s="1187" t="s">
        <v>2410</v>
      </c>
      <c r="AD1" s="1351" t="s">
        <v>2411</v>
      </c>
      <c r="AE1" s="1302" t="s">
        <v>515</v>
      </c>
      <c r="AF1" s="1302" t="s">
        <v>2414</v>
      </c>
      <c r="AG1" s="1303" t="s">
        <v>516</v>
      </c>
    </row>
    <row r="2" spans="1:39" x14ac:dyDescent="0.3">
      <c r="A2" s="1342" t="s">
        <v>785</v>
      </c>
      <c r="B2" s="1344" t="s">
        <v>895</v>
      </c>
      <c r="C2" s="1485">
        <v>12940490</v>
      </c>
      <c r="D2" s="1188">
        <v>12482380</v>
      </c>
      <c r="E2" s="1188">
        <v>19461620</v>
      </c>
      <c r="F2" s="1188">
        <v>19876680</v>
      </c>
      <c r="G2" s="1188">
        <v>11099080</v>
      </c>
      <c r="H2" s="1188">
        <v>10471990</v>
      </c>
      <c r="I2" s="1188">
        <v>16365870</v>
      </c>
      <c r="J2" s="1188">
        <v>32567190</v>
      </c>
      <c r="K2" s="1188">
        <v>26712890</v>
      </c>
      <c r="L2" s="1188">
        <v>47173430</v>
      </c>
      <c r="M2" s="1188">
        <v>22114570</v>
      </c>
      <c r="N2" s="1188">
        <v>17763900</v>
      </c>
      <c r="O2" s="1188">
        <v>84486760</v>
      </c>
      <c r="P2" s="1500">
        <f>SUM(C2:I2,K2)</f>
        <v>129411000</v>
      </c>
      <c r="Q2" s="1353">
        <f>SUM(C2:J2,L2:O2)</f>
        <v>306803960</v>
      </c>
      <c r="R2" s="1352">
        <v>51858720</v>
      </c>
      <c r="S2" s="1188">
        <v>46800</v>
      </c>
      <c r="T2" s="1188">
        <v>15239680</v>
      </c>
      <c r="U2" s="1188">
        <v>24040190</v>
      </c>
      <c r="V2" s="1188">
        <v>32333700</v>
      </c>
      <c r="W2" s="1188">
        <v>20099950</v>
      </c>
      <c r="X2" s="1188">
        <v>18389120</v>
      </c>
      <c r="Y2" s="1188">
        <v>14648950</v>
      </c>
      <c r="Z2" s="1188"/>
      <c r="AA2" s="1188"/>
      <c r="AB2" s="1188"/>
      <c r="AC2" s="1188"/>
      <c r="AD2" s="1353">
        <f>SUM(R2:AC2)</f>
        <v>176657110</v>
      </c>
      <c r="AE2" s="1362" t="e">
        <f>IF(OR(#REF!="", AD2=""), 0, IFERROR((#REF!-AD2)/AD2, IF(#REF!&lt;&gt;0, 1, 0)))</f>
        <v>#REF!</v>
      </c>
      <c r="AF2" s="1343">
        <f t="shared" ref="AF2:AF81" si="0">IF(OR(AD2="",P2=""), 0, IFERROR((AD2-P2)/P2, IF(AD2&lt;&gt;0, 1, 0)))</f>
        <v>0.36508573459752264</v>
      </c>
      <c r="AG2" s="1306">
        <f>IFERROR(_xlfn.RANK.EQ(AD2, $AD$2:$AD$328), "")</f>
        <v>1</v>
      </c>
      <c r="AI2" s="1386" t="s">
        <v>2537</v>
      </c>
      <c r="AJ2" s="1397" t="s">
        <v>2538</v>
      </c>
      <c r="AK2" s="1397" t="s">
        <v>2539</v>
      </c>
      <c r="AL2" s="1394" t="s">
        <v>784</v>
      </c>
      <c r="AM2" s="1395" t="s">
        <v>515</v>
      </c>
    </row>
    <row r="3" spans="1:39" x14ac:dyDescent="0.3">
      <c r="A3" s="37" t="s">
        <v>785</v>
      </c>
      <c r="B3" s="1345" t="s">
        <v>786</v>
      </c>
      <c r="C3" s="1486">
        <v>965450</v>
      </c>
      <c r="D3" s="1189">
        <v>1983740</v>
      </c>
      <c r="E3" s="1189">
        <v>5106050</v>
      </c>
      <c r="F3" s="1189">
        <v>4690610</v>
      </c>
      <c r="G3" s="1189">
        <v>5885290</v>
      </c>
      <c r="H3" s="1189">
        <v>2360140</v>
      </c>
      <c r="I3" s="1189">
        <v>3086520</v>
      </c>
      <c r="J3" s="1189">
        <v>1444930</v>
      </c>
      <c r="K3" s="1189">
        <v>559310</v>
      </c>
      <c r="L3" s="1189">
        <v>587650</v>
      </c>
      <c r="M3" s="1189">
        <v>0</v>
      </c>
      <c r="N3" s="1189">
        <v>1417100</v>
      </c>
      <c r="O3" s="1189">
        <v>1232870</v>
      </c>
      <c r="P3" s="1501">
        <f>SUM(C3:I3,K3)</f>
        <v>24637110</v>
      </c>
      <c r="Q3" s="1355">
        <f>SUM(C3:J3,L3:O3)</f>
        <v>28760350</v>
      </c>
      <c r="R3" s="1354" t="s">
        <v>251</v>
      </c>
      <c r="S3" s="1189" t="s">
        <v>251</v>
      </c>
      <c r="T3" s="1189" t="s">
        <v>251</v>
      </c>
      <c r="U3" s="1189"/>
      <c r="V3" s="1189"/>
      <c r="W3" s="1189"/>
      <c r="X3" s="1189"/>
      <c r="Y3" s="1189"/>
      <c r="Z3" s="1189"/>
      <c r="AA3" s="1189"/>
      <c r="AB3" s="1189"/>
      <c r="AC3" s="1189"/>
      <c r="AD3" s="1355">
        <f t="shared" ref="AD3:AD81" si="1">SUM(R3:AC3)</f>
        <v>0</v>
      </c>
      <c r="AE3" s="1363" t="e">
        <f>IF(OR(#REF!="", AD3=""), 0, IFERROR((#REF!-AD3)/AD3, IF(#REF!&lt;&gt;0, 1, 0)))</f>
        <v>#REF!</v>
      </c>
      <c r="AF3" s="1336">
        <f t="shared" si="0"/>
        <v>-1</v>
      </c>
      <c r="AG3" s="1306">
        <f>IFERROR(_xlfn.RANK.EQ(AD3, $AD$2:$AD$328), "")</f>
        <v>149</v>
      </c>
      <c r="AI3" s="1370" t="s">
        <v>785</v>
      </c>
      <c r="AJ3" s="1398">
        <v>188691850</v>
      </c>
      <c r="AK3" s="1398">
        <v>289143450</v>
      </c>
      <c r="AL3" s="1391">
        <f>AK3-AJ3</f>
        <v>100451600</v>
      </c>
      <c r="AM3" s="1030">
        <f>IFERROR((AK3-AJ3)/AJ3, 0)</f>
        <v>0.53235791582943304</v>
      </c>
    </row>
    <row r="4" spans="1:39" x14ac:dyDescent="0.3">
      <c r="A4" s="37" t="s">
        <v>785</v>
      </c>
      <c r="B4" s="1345" t="s">
        <v>787</v>
      </c>
      <c r="C4" s="1486">
        <v>1131810</v>
      </c>
      <c r="D4" s="1189">
        <v>0</v>
      </c>
      <c r="E4" s="1189">
        <v>1507090</v>
      </c>
      <c r="F4" s="1189">
        <v>0</v>
      </c>
      <c r="G4" s="1189">
        <v>0</v>
      </c>
      <c r="H4" s="1189">
        <v>0</v>
      </c>
      <c r="I4" s="1189">
        <v>0</v>
      </c>
      <c r="J4" s="1189">
        <v>0</v>
      </c>
      <c r="K4" s="1189">
        <v>0</v>
      </c>
      <c r="L4" s="1189">
        <v>3517870</v>
      </c>
      <c r="M4" s="1189">
        <v>6172110</v>
      </c>
      <c r="N4" s="1189">
        <v>4144030</v>
      </c>
      <c r="O4" s="1189">
        <v>318320</v>
      </c>
      <c r="P4" s="1501">
        <f t="shared" ref="P4:P67" si="2">SUM(C4:I4,K4)</f>
        <v>2638900</v>
      </c>
      <c r="Q4" s="1355">
        <f t="shared" ref="Q4:Q67" si="3">SUM(C4:J4,L4:O4)</f>
        <v>16791230</v>
      </c>
      <c r="R4" s="1354">
        <v>293040</v>
      </c>
      <c r="S4" s="1189" t="s">
        <v>251</v>
      </c>
      <c r="T4" s="1189">
        <v>0</v>
      </c>
      <c r="U4" s="1189">
        <v>0</v>
      </c>
      <c r="V4" s="1189">
        <v>0</v>
      </c>
      <c r="W4" s="1189">
        <v>0</v>
      </c>
      <c r="X4" s="1189">
        <v>0</v>
      </c>
      <c r="Y4" s="1189">
        <v>0</v>
      </c>
      <c r="Z4" s="1189"/>
      <c r="AA4" s="1189"/>
      <c r="AB4" s="1189"/>
      <c r="AC4" s="1189"/>
      <c r="AD4" s="1355">
        <f t="shared" si="1"/>
        <v>293040</v>
      </c>
      <c r="AE4" s="1363" t="e">
        <f>IF(OR(#REF!="", AD4=""), 0, IFERROR((#REF!-AD4)/AD4, IF(#REF!&lt;&gt;0, 1, 0)))</f>
        <v>#REF!</v>
      </c>
      <c r="AF4" s="1336">
        <f t="shared" si="0"/>
        <v>-0.88895373072113382</v>
      </c>
      <c r="AG4" s="1306">
        <f t="shared" ref="AG4:AG67" si="4">IFERROR(_xlfn.RANK.EQ(AD4, $AD$2:$AD$328), "")</f>
        <v>122</v>
      </c>
      <c r="AI4" s="1370" t="s">
        <v>2478</v>
      </c>
      <c r="AJ4" s="1398">
        <v>88365860</v>
      </c>
      <c r="AK4" s="1398">
        <v>87234580</v>
      </c>
      <c r="AL4" s="1391">
        <f t="shared" ref="AL4:AL8" si="5">AK4-AJ4</f>
        <v>-1131280</v>
      </c>
      <c r="AM4" s="1030">
        <f t="shared" ref="AM4:AM8" si="6">IFERROR((AK4-AJ4)/AJ4, 0)</f>
        <v>-1.2802229277234444E-2</v>
      </c>
    </row>
    <row r="5" spans="1:39" x14ac:dyDescent="0.3">
      <c r="A5" s="37" t="s">
        <v>785</v>
      </c>
      <c r="B5" s="1345" t="s">
        <v>788</v>
      </c>
      <c r="C5" s="1486">
        <v>0</v>
      </c>
      <c r="D5" s="1189">
        <v>0</v>
      </c>
      <c r="E5" s="1189">
        <v>616400</v>
      </c>
      <c r="F5" s="1189">
        <v>1998530</v>
      </c>
      <c r="G5" s="1189">
        <v>0</v>
      </c>
      <c r="H5" s="1189">
        <v>0</v>
      </c>
      <c r="I5" s="1189">
        <v>0</v>
      </c>
      <c r="J5" s="1189">
        <v>0</v>
      </c>
      <c r="K5" s="1189">
        <v>0</v>
      </c>
      <c r="L5" s="1189">
        <v>0</v>
      </c>
      <c r="M5" s="1189">
        <v>0</v>
      </c>
      <c r="N5" s="1189">
        <v>0</v>
      </c>
      <c r="O5" s="1189">
        <v>0</v>
      </c>
      <c r="P5" s="1501">
        <f t="shared" si="2"/>
        <v>2614930</v>
      </c>
      <c r="Q5" s="1355">
        <f t="shared" si="3"/>
        <v>2614930</v>
      </c>
      <c r="R5" s="1354">
        <v>1296260</v>
      </c>
      <c r="S5" s="1189" t="s">
        <v>251</v>
      </c>
      <c r="T5" s="1189">
        <v>0</v>
      </c>
      <c r="U5" s="1189">
        <v>0</v>
      </c>
      <c r="V5" s="1189">
        <v>0</v>
      </c>
      <c r="W5" s="1189">
        <v>0</v>
      </c>
      <c r="X5" s="1189">
        <v>0</v>
      </c>
      <c r="Y5" s="1189">
        <v>0</v>
      </c>
      <c r="Z5" s="1189"/>
      <c r="AA5" s="1189"/>
      <c r="AB5" s="1189"/>
      <c r="AC5" s="1189"/>
      <c r="AD5" s="1355">
        <f t="shared" si="1"/>
        <v>1296260</v>
      </c>
      <c r="AE5" s="1363" t="e">
        <f>IF(OR(#REF!="", AD5=""), 0, IFERROR((#REF!-AD5)/AD5, IF(#REF!&lt;&gt;0, 1, 0)))</f>
        <v>#REF!</v>
      </c>
      <c r="AF5" s="1336">
        <f t="shared" si="0"/>
        <v>-0.50428500954136435</v>
      </c>
      <c r="AG5" s="1306">
        <f t="shared" si="4"/>
        <v>64</v>
      </c>
      <c r="AI5" s="1370" t="s">
        <v>759</v>
      </c>
      <c r="AJ5" s="1398">
        <v>19565480</v>
      </c>
      <c r="AK5" s="1398">
        <v>53820440</v>
      </c>
      <c r="AL5" s="1391">
        <f t="shared" si="5"/>
        <v>34254960</v>
      </c>
      <c r="AM5" s="1030">
        <f t="shared" si="6"/>
        <v>1.7507855672337198</v>
      </c>
    </row>
    <row r="6" spans="1:39" x14ac:dyDescent="0.3">
      <c r="A6" s="37" t="s">
        <v>785</v>
      </c>
      <c r="B6" s="1345" t="s">
        <v>896</v>
      </c>
      <c r="C6" s="1486">
        <v>266650</v>
      </c>
      <c r="D6" s="1189">
        <v>374030</v>
      </c>
      <c r="E6" s="1189">
        <v>720770</v>
      </c>
      <c r="F6" s="1189">
        <v>1179910</v>
      </c>
      <c r="G6" s="1189">
        <v>30410</v>
      </c>
      <c r="H6" s="1189">
        <v>0</v>
      </c>
      <c r="I6" s="1189">
        <v>0</v>
      </c>
      <c r="J6" s="1189">
        <v>0</v>
      </c>
      <c r="K6" s="1189">
        <v>0</v>
      </c>
      <c r="L6" s="1189">
        <v>195600</v>
      </c>
      <c r="M6" s="1189">
        <v>132120</v>
      </c>
      <c r="N6" s="1189">
        <v>0</v>
      </c>
      <c r="O6" s="1189">
        <v>839240</v>
      </c>
      <c r="P6" s="1501">
        <f t="shared" si="2"/>
        <v>2571770</v>
      </c>
      <c r="Q6" s="1355">
        <f t="shared" si="3"/>
        <v>3738730</v>
      </c>
      <c r="R6" s="1354">
        <v>1401490</v>
      </c>
      <c r="S6" s="1189" t="s">
        <v>251</v>
      </c>
      <c r="T6" s="1189">
        <v>1544290</v>
      </c>
      <c r="U6" s="1189">
        <v>4041700</v>
      </c>
      <c r="V6" s="1189">
        <v>0</v>
      </c>
      <c r="W6" s="1189">
        <v>0</v>
      </c>
      <c r="X6" s="1189">
        <v>0</v>
      </c>
      <c r="Y6" s="1189">
        <v>3735500</v>
      </c>
      <c r="Z6" s="1189"/>
      <c r="AA6" s="1189"/>
      <c r="AB6" s="1189"/>
      <c r="AC6" s="1189"/>
      <c r="AD6" s="1355">
        <f t="shared" si="1"/>
        <v>10722980</v>
      </c>
      <c r="AE6" s="1363" t="e">
        <f>IF(OR(#REF!="", AD6=""), 0, IFERROR((#REF!-AD6)/AD6, IF(#REF!&lt;&gt;0, 1, 0)))</f>
        <v>#REF!</v>
      </c>
      <c r="AF6" s="1336">
        <f t="shared" si="0"/>
        <v>3.1694941616085419</v>
      </c>
      <c r="AG6" s="1306">
        <f t="shared" si="4"/>
        <v>5</v>
      </c>
      <c r="AI6" s="1370" t="s">
        <v>861</v>
      </c>
      <c r="AJ6" s="1398">
        <v>45451510</v>
      </c>
      <c r="AK6" s="1398">
        <v>52591540</v>
      </c>
      <c r="AL6" s="1391">
        <f t="shared" si="5"/>
        <v>7140030</v>
      </c>
      <c r="AM6" s="1030">
        <f t="shared" si="6"/>
        <v>0.15709115054703354</v>
      </c>
    </row>
    <row r="7" spans="1:39" x14ac:dyDescent="0.3">
      <c r="A7" s="37" t="s">
        <v>785</v>
      </c>
      <c r="B7" s="1345" t="s">
        <v>789</v>
      </c>
      <c r="C7" s="1486">
        <v>0</v>
      </c>
      <c r="D7" s="1189">
        <v>0</v>
      </c>
      <c r="E7" s="1189">
        <v>0</v>
      </c>
      <c r="F7" s="1189">
        <v>9552330</v>
      </c>
      <c r="G7" s="1189">
        <v>281520</v>
      </c>
      <c r="H7" s="1189">
        <v>2686040</v>
      </c>
      <c r="I7" s="1189">
        <v>1042740</v>
      </c>
      <c r="J7" s="1189">
        <v>2853330</v>
      </c>
      <c r="K7" s="1189">
        <v>2503240</v>
      </c>
      <c r="L7" s="1189">
        <v>187380</v>
      </c>
      <c r="M7" s="1189">
        <v>1339730</v>
      </c>
      <c r="N7" s="1189">
        <v>206190</v>
      </c>
      <c r="O7" s="1189">
        <v>0</v>
      </c>
      <c r="P7" s="1501">
        <f t="shared" si="2"/>
        <v>16065870</v>
      </c>
      <c r="Q7" s="1355">
        <f t="shared" si="3"/>
        <v>18149260</v>
      </c>
      <c r="R7" s="1354">
        <v>488700</v>
      </c>
      <c r="S7" s="1189" t="s">
        <v>251</v>
      </c>
      <c r="T7" s="1189">
        <v>1988680</v>
      </c>
      <c r="U7" s="1189">
        <v>156760</v>
      </c>
      <c r="V7" s="1189">
        <v>350990</v>
      </c>
      <c r="W7" s="1189">
        <v>0</v>
      </c>
      <c r="X7" s="1189">
        <v>0</v>
      </c>
      <c r="Y7" s="1189">
        <v>0</v>
      </c>
      <c r="Z7" s="1189"/>
      <c r="AA7" s="1189"/>
      <c r="AB7" s="1189"/>
      <c r="AC7" s="1189"/>
      <c r="AD7" s="1355">
        <f t="shared" si="1"/>
        <v>2985130</v>
      </c>
      <c r="AE7" s="1363" t="e">
        <f>IF(OR(#REF!="", AD7=""), 0, IFERROR((#REF!-AD7)/AD7, IF(#REF!&lt;&gt;0, 1, 0)))</f>
        <v>#REF!</v>
      </c>
      <c r="AF7" s="1336">
        <f t="shared" si="0"/>
        <v>-0.81419431378443874</v>
      </c>
      <c r="AG7" s="1306">
        <f t="shared" si="4"/>
        <v>31</v>
      </c>
      <c r="AI7" s="1370" t="s">
        <v>883</v>
      </c>
      <c r="AJ7" s="1398">
        <v>15069560</v>
      </c>
      <c r="AK7" s="1398">
        <v>5701350</v>
      </c>
      <c r="AL7" s="1391">
        <f t="shared" si="5"/>
        <v>-9368210</v>
      </c>
      <c r="AM7" s="1030">
        <f t="shared" si="6"/>
        <v>-0.62166446797384922</v>
      </c>
    </row>
    <row r="8" spans="1:39" x14ac:dyDescent="0.3">
      <c r="A8" s="37" t="s">
        <v>785</v>
      </c>
      <c r="B8" s="1345" t="s">
        <v>790</v>
      </c>
      <c r="C8" s="1486">
        <v>0</v>
      </c>
      <c r="D8" s="1189">
        <v>0</v>
      </c>
      <c r="E8" s="1189">
        <v>0</v>
      </c>
      <c r="F8" s="1189">
        <v>840690</v>
      </c>
      <c r="G8" s="1189">
        <v>1627360</v>
      </c>
      <c r="H8" s="1189">
        <v>0</v>
      </c>
      <c r="I8" s="1189">
        <v>0</v>
      </c>
      <c r="J8" s="1189">
        <v>0</v>
      </c>
      <c r="K8" s="1189">
        <v>0</v>
      </c>
      <c r="L8" s="1189">
        <v>790650</v>
      </c>
      <c r="M8" s="1189">
        <v>69300</v>
      </c>
      <c r="N8" s="1189">
        <v>1602780</v>
      </c>
      <c r="O8" s="1189">
        <v>484560</v>
      </c>
      <c r="P8" s="1501">
        <f t="shared" si="2"/>
        <v>2468050</v>
      </c>
      <c r="Q8" s="1355">
        <f t="shared" si="3"/>
        <v>5415340</v>
      </c>
      <c r="R8" s="1354" t="s">
        <v>251</v>
      </c>
      <c r="S8" s="1189" t="s">
        <v>251</v>
      </c>
      <c r="T8" s="1189" t="s">
        <v>251</v>
      </c>
      <c r="U8" s="1189"/>
      <c r="V8" s="1189"/>
      <c r="W8" s="1189"/>
      <c r="X8" s="1189"/>
      <c r="Y8" s="1189"/>
      <c r="Z8" s="1189"/>
      <c r="AA8" s="1189"/>
      <c r="AB8" s="1189"/>
      <c r="AC8" s="1189"/>
      <c r="AD8" s="1355">
        <f t="shared" si="1"/>
        <v>0</v>
      </c>
      <c r="AE8" s="1363" t="e">
        <f>IF(OR(#REF!="", AD8=""), 0, IFERROR((#REF!-AD8)/AD8, IF(#REF!&lt;&gt;0, 1, 0)))</f>
        <v>#REF!</v>
      </c>
      <c r="AF8" s="1336">
        <f t="shared" si="0"/>
        <v>-1</v>
      </c>
      <c r="AG8" s="1306">
        <f t="shared" si="4"/>
        <v>149</v>
      </c>
      <c r="AI8" s="1370" t="s">
        <v>804</v>
      </c>
      <c r="AJ8" s="1398">
        <v>0</v>
      </c>
      <c r="AK8" s="1398">
        <v>0</v>
      </c>
      <c r="AL8" s="1391">
        <f t="shared" si="5"/>
        <v>0</v>
      </c>
      <c r="AM8" s="1030">
        <f t="shared" si="6"/>
        <v>0</v>
      </c>
    </row>
    <row r="9" spans="1:39" ht="17.25" thickBot="1" x14ac:dyDescent="0.35">
      <c r="A9" s="37" t="s">
        <v>785</v>
      </c>
      <c r="B9" s="1345" t="s">
        <v>897</v>
      </c>
      <c r="C9" s="1486">
        <v>0</v>
      </c>
      <c r="D9" s="1189">
        <v>0</v>
      </c>
      <c r="E9" s="1189">
        <v>211320</v>
      </c>
      <c r="F9" s="1189">
        <v>0</v>
      </c>
      <c r="G9" s="1189">
        <v>153360</v>
      </c>
      <c r="H9" s="1189">
        <v>0</v>
      </c>
      <c r="I9" s="1189">
        <v>0</v>
      </c>
      <c r="J9" s="1189">
        <v>0</v>
      </c>
      <c r="K9" s="1189">
        <v>0</v>
      </c>
      <c r="L9" s="1189">
        <v>0</v>
      </c>
      <c r="M9" s="1189">
        <v>0</v>
      </c>
      <c r="N9" s="1189">
        <v>0</v>
      </c>
      <c r="O9" s="1189">
        <v>0</v>
      </c>
      <c r="P9" s="1501">
        <f t="shared" si="2"/>
        <v>364680</v>
      </c>
      <c r="Q9" s="1355">
        <f t="shared" si="3"/>
        <v>364680</v>
      </c>
      <c r="R9" s="1354" t="s">
        <v>251</v>
      </c>
      <c r="S9" s="1189" t="s">
        <v>251</v>
      </c>
      <c r="T9" s="1189" t="s">
        <v>251</v>
      </c>
      <c r="U9" s="1189">
        <v>326700</v>
      </c>
      <c r="V9" s="1189">
        <v>1249550</v>
      </c>
      <c r="W9" s="1189">
        <v>0</v>
      </c>
      <c r="X9" s="1189">
        <v>0</v>
      </c>
      <c r="Y9" s="1189">
        <v>0</v>
      </c>
      <c r="Z9" s="1189"/>
      <c r="AA9" s="1189"/>
      <c r="AB9" s="1189"/>
      <c r="AC9" s="1189"/>
      <c r="AD9" s="1355">
        <f t="shared" si="1"/>
        <v>1576250</v>
      </c>
      <c r="AE9" s="1363" t="e">
        <f>IF(OR(#REF!="", AD9=""), 0, IFERROR((#REF!-AD9)/AD9, IF(#REF!&lt;&gt;0, 1, 0)))</f>
        <v>#REF!</v>
      </c>
      <c r="AF9" s="1336">
        <f t="shared" si="0"/>
        <v>3.3222825490841283</v>
      </c>
      <c r="AG9" s="1306">
        <f t="shared" si="4"/>
        <v>53</v>
      </c>
      <c r="AI9" s="1388" t="s">
        <v>783</v>
      </c>
      <c r="AJ9" s="1399">
        <v>357144260</v>
      </c>
      <c r="AK9" s="1399">
        <v>488491360</v>
      </c>
      <c r="AL9" s="1392">
        <f t="shared" ref="AL9" si="7">AK9-AJ9</f>
        <v>131347100</v>
      </c>
      <c r="AM9" s="1396">
        <f t="shared" ref="AM9" si="8">IFERROR((AK9-AJ9)/AJ9, 0)</f>
        <v>0.36777043539772974</v>
      </c>
    </row>
    <row r="10" spans="1:39" x14ac:dyDescent="0.3">
      <c r="A10" s="37" t="s">
        <v>785</v>
      </c>
      <c r="B10" s="1345" t="s">
        <v>791</v>
      </c>
      <c r="C10" s="1486" t="s">
        <v>251</v>
      </c>
      <c r="D10" s="1189" t="s">
        <v>251</v>
      </c>
      <c r="E10" s="1189" t="s">
        <v>251</v>
      </c>
      <c r="F10" s="1189" t="s">
        <v>251</v>
      </c>
      <c r="G10" s="1189" t="s">
        <v>251</v>
      </c>
      <c r="H10" s="1189" t="s">
        <v>251</v>
      </c>
      <c r="I10" s="1189" t="s">
        <v>251</v>
      </c>
      <c r="J10" s="1189" t="s">
        <v>251</v>
      </c>
      <c r="K10" s="1189"/>
      <c r="L10" s="1189" t="s">
        <v>251</v>
      </c>
      <c r="M10" s="1189" t="s">
        <v>251</v>
      </c>
      <c r="N10" s="1189" t="s">
        <v>251</v>
      </c>
      <c r="O10" s="1189" t="s">
        <v>251</v>
      </c>
      <c r="P10" s="1501">
        <f t="shared" si="2"/>
        <v>0</v>
      </c>
      <c r="Q10" s="1355">
        <f t="shared" si="3"/>
        <v>0</v>
      </c>
      <c r="R10" s="1354" t="s">
        <v>251</v>
      </c>
      <c r="S10" s="1189" t="s">
        <v>251</v>
      </c>
      <c r="T10" s="1189" t="s">
        <v>251</v>
      </c>
      <c r="U10" s="1189"/>
      <c r="V10" s="1189"/>
      <c r="W10" s="1189"/>
      <c r="X10" s="1189"/>
      <c r="Y10" s="1189"/>
      <c r="Z10" s="1189"/>
      <c r="AA10" s="1189"/>
      <c r="AB10" s="1189"/>
      <c r="AC10" s="1189"/>
      <c r="AD10" s="1355">
        <f t="shared" si="1"/>
        <v>0</v>
      </c>
      <c r="AE10" s="1363" t="e">
        <f>IF(OR(#REF!="", AD10=""), 0, IFERROR((#REF!-AD10)/AD10, IF(#REF!&lt;&gt;0, 1, 0)))</f>
        <v>#REF!</v>
      </c>
      <c r="AF10" s="1336">
        <f t="shared" si="0"/>
        <v>0</v>
      </c>
      <c r="AG10" s="1306">
        <f t="shared" si="4"/>
        <v>149</v>
      </c>
    </row>
    <row r="11" spans="1:39" x14ac:dyDescent="0.3">
      <c r="A11" s="37" t="s">
        <v>785</v>
      </c>
      <c r="B11" s="1345" t="s">
        <v>792</v>
      </c>
      <c r="C11" s="1486">
        <v>0</v>
      </c>
      <c r="D11" s="1189">
        <v>0</v>
      </c>
      <c r="E11" s="1189">
        <v>0</v>
      </c>
      <c r="F11" s="1189">
        <v>0</v>
      </c>
      <c r="G11" s="1189">
        <v>240930</v>
      </c>
      <c r="H11" s="1189">
        <v>0</v>
      </c>
      <c r="I11" s="1189">
        <v>0</v>
      </c>
      <c r="J11" s="1189">
        <v>0</v>
      </c>
      <c r="K11" s="1189">
        <v>0</v>
      </c>
      <c r="L11" s="1189">
        <v>0</v>
      </c>
      <c r="M11" s="1189">
        <v>0</v>
      </c>
      <c r="N11" s="1189">
        <v>0</v>
      </c>
      <c r="O11" s="1189">
        <v>0</v>
      </c>
      <c r="P11" s="1501">
        <f t="shared" si="2"/>
        <v>240930</v>
      </c>
      <c r="Q11" s="1355">
        <f t="shared" si="3"/>
        <v>240930</v>
      </c>
      <c r="R11" s="1354" t="s">
        <v>251</v>
      </c>
      <c r="S11" s="1189" t="s">
        <v>251</v>
      </c>
      <c r="T11" s="1189" t="s">
        <v>251</v>
      </c>
      <c r="U11" s="1189"/>
      <c r="V11" s="1189">
        <v>3819460</v>
      </c>
      <c r="W11" s="1189">
        <v>0</v>
      </c>
      <c r="X11" s="1189">
        <v>0</v>
      </c>
      <c r="Y11" s="1189">
        <v>0</v>
      </c>
      <c r="Z11" s="1189"/>
      <c r="AA11" s="1189"/>
      <c r="AB11" s="1189"/>
      <c r="AC11" s="1189"/>
      <c r="AD11" s="1355">
        <f t="shared" si="1"/>
        <v>3819460</v>
      </c>
      <c r="AE11" s="1363" t="e">
        <f>IF(OR(#REF!="", AD11=""), 0, IFERROR((#REF!-AD11)/AD11, IF(#REF!&lt;&gt;0, 1, 0)))</f>
        <v>#REF!</v>
      </c>
      <c r="AF11" s="1336">
        <f t="shared" si="0"/>
        <v>14.852986344581414</v>
      </c>
      <c r="AG11" s="1306">
        <f t="shared" si="4"/>
        <v>20</v>
      </c>
    </row>
    <row r="12" spans="1:39" x14ac:dyDescent="0.3">
      <c r="A12" s="37" t="s">
        <v>785</v>
      </c>
      <c r="B12" s="1345" t="s">
        <v>793</v>
      </c>
      <c r="C12" s="1486">
        <v>78110</v>
      </c>
      <c r="D12" s="1189">
        <v>0</v>
      </c>
      <c r="E12" s="1189">
        <v>209610</v>
      </c>
      <c r="F12" s="1189">
        <v>70210</v>
      </c>
      <c r="G12" s="1189">
        <v>70880</v>
      </c>
      <c r="H12" s="1189">
        <v>0</v>
      </c>
      <c r="I12" s="1189">
        <v>0</v>
      </c>
      <c r="J12" s="1189">
        <v>0</v>
      </c>
      <c r="K12" s="1189">
        <v>0</v>
      </c>
      <c r="L12" s="1189">
        <v>0</v>
      </c>
      <c r="M12" s="1189">
        <v>0</v>
      </c>
      <c r="N12" s="1189">
        <v>0</v>
      </c>
      <c r="O12" s="1189">
        <v>0</v>
      </c>
      <c r="P12" s="1501">
        <f t="shared" si="2"/>
        <v>428810</v>
      </c>
      <c r="Q12" s="1355">
        <f t="shared" si="3"/>
        <v>428810</v>
      </c>
      <c r="R12" s="1354" t="s">
        <v>251</v>
      </c>
      <c r="S12" s="1189">
        <v>945620</v>
      </c>
      <c r="T12" s="1189">
        <v>2189210</v>
      </c>
      <c r="U12" s="1189">
        <v>1189780</v>
      </c>
      <c r="V12" s="1189">
        <v>399830</v>
      </c>
      <c r="W12" s="1189">
        <v>348440</v>
      </c>
      <c r="X12" s="1189">
        <v>99930</v>
      </c>
      <c r="Y12" s="1189">
        <v>92330</v>
      </c>
      <c r="Z12" s="1189"/>
      <c r="AA12" s="1189"/>
      <c r="AB12" s="1189"/>
      <c r="AC12" s="1189"/>
      <c r="AD12" s="1355">
        <f t="shared" si="1"/>
        <v>5265140</v>
      </c>
      <c r="AE12" s="1363" t="e">
        <f>IF(OR(#REF!="", AD12=""), 0, IFERROR((#REF!-AD12)/AD12, IF(#REF!&lt;&gt;0, 1, 0)))</f>
        <v>#REF!</v>
      </c>
      <c r="AF12" s="1336">
        <f t="shared" si="0"/>
        <v>11.278491639653925</v>
      </c>
      <c r="AG12" s="1306">
        <f t="shared" si="4"/>
        <v>14</v>
      </c>
    </row>
    <row r="13" spans="1:39" x14ac:dyDescent="0.3">
      <c r="A13" s="37" t="s">
        <v>785</v>
      </c>
      <c r="B13" s="1345" t="s">
        <v>794</v>
      </c>
      <c r="C13" s="1486">
        <v>102320</v>
      </c>
      <c r="D13" s="1189">
        <v>0</v>
      </c>
      <c r="E13" s="1189">
        <v>815490</v>
      </c>
      <c r="F13" s="1189">
        <v>0</v>
      </c>
      <c r="G13" s="1189">
        <v>0</v>
      </c>
      <c r="H13" s="1189">
        <v>0</v>
      </c>
      <c r="I13" s="1189">
        <v>0</v>
      </c>
      <c r="J13" s="1189">
        <v>0</v>
      </c>
      <c r="K13" s="1189"/>
      <c r="L13" s="1189">
        <v>316480</v>
      </c>
      <c r="M13" s="1189">
        <v>0</v>
      </c>
      <c r="N13" s="1189">
        <v>0</v>
      </c>
      <c r="O13" s="1189">
        <v>0</v>
      </c>
      <c r="P13" s="1501">
        <f t="shared" si="2"/>
        <v>917810</v>
      </c>
      <c r="Q13" s="1355">
        <f t="shared" si="3"/>
        <v>1234290</v>
      </c>
      <c r="R13" s="1354" t="s">
        <v>251</v>
      </c>
      <c r="S13" s="1189" t="s">
        <v>251</v>
      </c>
      <c r="T13" s="1189" t="s">
        <v>251</v>
      </c>
      <c r="U13" s="1189"/>
      <c r="V13" s="1189"/>
      <c r="W13" s="1189"/>
      <c r="X13" s="1189"/>
      <c r="Y13" s="1189"/>
      <c r="Z13" s="1189"/>
      <c r="AA13" s="1189"/>
      <c r="AB13" s="1189"/>
      <c r="AC13" s="1189"/>
      <c r="AD13" s="1355">
        <f t="shared" si="1"/>
        <v>0</v>
      </c>
      <c r="AE13" s="1363" t="e">
        <f>IF(OR(#REF!="", AD13=""), 0, IFERROR((#REF!-AD13)/AD13, IF(#REF!&lt;&gt;0, 1, 0)))</f>
        <v>#REF!</v>
      </c>
      <c r="AF13" s="1336">
        <f t="shared" si="0"/>
        <v>-1</v>
      </c>
      <c r="AG13" s="1306">
        <f t="shared" si="4"/>
        <v>149</v>
      </c>
    </row>
    <row r="14" spans="1:39" x14ac:dyDescent="0.3">
      <c r="A14" s="37" t="s">
        <v>785</v>
      </c>
      <c r="B14" s="1345" t="s">
        <v>795</v>
      </c>
      <c r="C14" s="1486">
        <v>0</v>
      </c>
      <c r="D14" s="1189">
        <v>0</v>
      </c>
      <c r="E14" s="1189">
        <v>0</v>
      </c>
      <c r="F14" s="1189">
        <v>0</v>
      </c>
      <c r="G14" s="1189">
        <v>73610</v>
      </c>
      <c r="H14" s="1189">
        <v>0</v>
      </c>
      <c r="I14" s="1189">
        <v>0</v>
      </c>
      <c r="J14" s="1189">
        <v>0</v>
      </c>
      <c r="K14" s="1189">
        <v>0</v>
      </c>
      <c r="L14" s="1189">
        <v>0</v>
      </c>
      <c r="M14" s="1189">
        <v>0</v>
      </c>
      <c r="N14" s="1189">
        <v>0</v>
      </c>
      <c r="O14" s="1189">
        <v>0</v>
      </c>
      <c r="P14" s="1501">
        <f t="shared" si="2"/>
        <v>73610</v>
      </c>
      <c r="Q14" s="1355">
        <f t="shared" si="3"/>
        <v>73610</v>
      </c>
      <c r="R14" s="1354">
        <v>459810</v>
      </c>
      <c r="S14" s="1189" t="s">
        <v>251</v>
      </c>
      <c r="T14" s="1189">
        <v>315770</v>
      </c>
      <c r="U14" s="1189">
        <v>940520</v>
      </c>
      <c r="V14" s="1189">
        <v>0</v>
      </c>
      <c r="W14" s="1189">
        <v>175310</v>
      </c>
      <c r="X14" s="1189">
        <v>0</v>
      </c>
      <c r="Y14" s="1189">
        <v>0</v>
      </c>
      <c r="Z14" s="1189"/>
      <c r="AA14" s="1189"/>
      <c r="AB14" s="1189"/>
      <c r="AC14" s="1189"/>
      <c r="AD14" s="1355">
        <f t="shared" si="1"/>
        <v>1891410</v>
      </c>
      <c r="AE14" s="1363" t="e">
        <f>IF(OR(#REF!="", AD14=""), 0, IFERROR((#REF!-AD14)/AD14, IF(#REF!&lt;&gt;0, 1, 0)))</f>
        <v>#REF!</v>
      </c>
      <c r="AF14" s="1336">
        <f t="shared" si="0"/>
        <v>24.695014264366254</v>
      </c>
      <c r="AG14" s="1306">
        <f t="shared" si="4"/>
        <v>41</v>
      </c>
    </row>
    <row r="15" spans="1:39" x14ac:dyDescent="0.3">
      <c r="A15" s="37" t="s">
        <v>785</v>
      </c>
      <c r="B15" s="1345" t="s">
        <v>796</v>
      </c>
      <c r="C15" s="1486">
        <v>110780</v>
      </c>
      <c r="D15" s="1189">
        <v>0</v>
      </c>
      <c r="E15" s="1189">
        <v>75050</v>
      </c>
      <c r="F15" s="1189">
        <v>0</v>
      </c>
      <c r="G15" s="1189">
        <v>0</v>
      </c>
      <c r="H15" s="1189">
        <v>0</v>
      </c>
      <c r="I15" s="1189">
        <v>0</v>
      </c>
      <c r="J15" s="1189">
        <v>0</v>
      </c>
      <c r="K15" s="1189">
        <v>0</v>
      </c>
      <c r="L15" s="1189">
        <v>0</v>
      </c>
      <c r="M15" s="1189">
        <v>0</v>
      </c>
      <c r="N15" s="1189">
        <v>0</v>
      </c>
      <c r="O15" s="1189">
        <v>866030</v>
      </c>
      <c r="P15" s="1501">
        <f t="shared" si="2"/>
        <v>185830</v>
      </c>
      <c r="Q15" s="1355">
        <f t="shared" si="3"/>
        <v>1051860</v>
      </c>
      <c r="R15" s="1354">
        <v>303380</v>
      </c>
      <c r="S15" s="1189" t="s">
        <v>251</v>
      </c>
      <c r="T15" s="1189">
        <v>0</v>
      </c>
      <c r="U15" s="1189">
        <v>0</v>
      </c>
      <c r="V15" s="1189">
        <v>0</v>
      </c>
      <c r="W15" s="1189">
        <v>0</v>
      </c>
      <c r="X15" s="1189">
        <v>0</v>
      </c>
      <c r="Y15" s="1189">
        <v>0</v>
      </c>
      <c r="Z15" s="1189"/>
      <c r="AA15" s="1189"/>
      <c r="AB15" s="1189"/>
      <c r="AC15" s="1189"/>
      <c r="AD15" s="1355">
        <f t="shared" si="1"/>
        <v>303380</v>
      </c>
      <c r="AE15" s="1363" t="e">
        <f>IF(OR(#REF!="", AD15=""), 0, IFERROR((#REF!-AD15)/AD15, IF(#REF!&lt;&gt;0, 1, 0)))</f>
        <v>#REF!</v>
      </c>
      <c r="AF15" s="1336">
        <f t="shared" si="0"/>
        <v>0.63256740031211323</v>
      </c>
      <c r="AG15" s="1306">
        <f t="shared" si="4"/>
        <v>120</v>
      </c>
    </row>
    <row r="16" spans="1:39" x14ac:dyDescent="0.3">
      <c r="A16" s="37" t="s">
        <v>785</v>
      </c>
      <c r="B16" s="1345" t="s">
        <v>898</v>
      </c>
      <c r="C16" s="1486">
        <v>0</v>
      </c>
      <c r="D16" s="1189">
        <v>0</v>
      </c>
      <c r="E16" s="1189">
        <v>598740</v>
      </c>
      <c r="F16" s="1189">
        <v>0</v>
      </c>
      <c r="G16" s="1189">
        <v>75860</v>
      </c>
      <c r="H16" s="1189">
        <v>0</v>
      </c>
      <c r="I16" s="1189">
        <v>0</v>
      </c>
      <c r="J16" s="1189">
        <v>0</v>
      </c>
      <c r="K16" s="1189">
        <v>0</v>
      </c>
      <c r="L16" s="1189">
        <v>0</v>
      </c>
      <c r="M16" s="1189">
        <v>0</v>
      </c>
      <c r="N16" s="1189">
        <v>0</v>
      </c>
      <c r="O16" s="1189">
        <v>0</v>
      </c>
      <c r="P16" s="1501">
        <f t="shared" si="2"/>
        <v>674600</v>
      </c>
      <c r="Q16" s="1355">
        <f t="shared" si="3"/>
        <v>674600</v>
      </c>
      <c r="R16" s="1354" t="s">
        <v>251</v>
      </c>
      <c r="S16" s="1189" t="s">
        <v>251</v>
      </c>
      <c r="T16" s="1189" t="s">
        <v>251</v>
      </c>
      <c r="U16" s="1189"/>
      <c r="V16" s="1189"/>
      <c r="W16" s="1189"/>
      <c r="X16" s="1189"/>
      <c r="Y16" s="1189"/>
      <c r="Z16" s="1189"/>
      <c r="AA16" s="1189"/>
      <c r="AB16" s="1189"/>
      <c r="AC16" s="1189"/>
      <c r="AD16" s="1355">
        <f t="shared" si="1"/>
        <v>0</v>
      </c>
      <c r="AE16" s="1363" t="e">
        <f>IF(OR(#REF!="", AD16=""), 0, IFERROR((#REF!-AD16)/AD16, IF(#REF!&lt;&gt;0, 1, 0)))</f>
        <v>#REF!</v>
      </c>
      <c r="AF16" s="1336">
        <f t="shared" si="0"/>
        <v>-1</v>
      </c>
      <c r="AG16" s="1306">
        <f t="shared" si="4"/>
        <v>149</v>
      </c>
    </row>
    <row r="17" spans="1:33" x14ac:dyDescent="0.3">
      <c r="A17" s="37" t="s">
        <v>785</v>
      </c>
      <c r="B17" s="1345" t="s">
        <v>785</v>
      </c>
      <c r="C17" s="1486">
        <v>0</v>
      </c>
      <c r="D17" s="1189">
        <v>0</v>
      </c>
      <c r="E17" s="1189">
        <v>0</v>
      </c>
      <c r="F17" s="1189">
        <v>0</v>
      </c>
      <c r="G17" s="1189">
        <v>597240</v>
      </c>
      <c r="H17" s="1189">
        <v>0</v>
      </c>
      <c r="I17" s="1189">
        <v>0</v>
      </c>
      <c r="J17" s="1189">
        <v>0</v>
      </c>
      <c r="K17" s="1189">
        <v>0</v>
      </c>
      <c r="L17" s="1189">
        <v>0</v>
      </c>
      <c r="M17" s="1189">
        <v>0</v>
      </c>
      <c r="N17" s="1189">
        <v>0</v>
      </c>
      <c r="O17" s="1189">
        <v>0</v>
      </c>
      <c r="P17" s="1501">
        <f t="shared" si="2"/>
        <v>597240</v>
      </c>
      <c r="Q17" s="1355">
        <f t="shared" si="3"/>
        <v>597240</v>
      </c>
      <c r="R17" s="1354" t="s">
        <v>251</v>
      </c>
      <c r="S17" s="1189" t="s">
        <v>251</v>
      </c>
      <c r="T17" s="1189" t="s">
        <v>251</v>
      </c>
      <c r="U17" s="1189"/>
      <c r="V17" s="1189"/>
      <c r="W17" s="1189"/>
      <c r="X17" s="1189"/>
      <c r="Y17" s="1189"/>
      <c r="Z17" s="1189"/>
      <c r="AA17" s="1189"/>
      <c r="AB17" s="1189"/>
      <c r="AC17" s="1189"/>
      <c r="AD17" s="1355">
        <f t="shared" si="1"/>
        <v>0</v>
      </c>
      <c r="AE17" s="1363" t="e">
        <f>IF(OR(#REF!="", AD17=""), 0, IFERROR((#REF!-AD17)/AD17, IF(#REF!&lt;&gt;0, 1, 0)))</f>
        <v>#REF!</v>
      </c>
      <c r="AF17" s="1336">
        <f t="shared" si="0"/>
        <v>-1</v>
      </c>
      <c r="AG17" s="1306">
        <f t="shared" si="4"/>
        <v>149</v>
      </c>
    </row>
    <row r="18" spans="1:33" x14ac:dyDescent="0.3">
      <c r="A18" s="37" t="s">
        <v>785</v>
      </c>
      <c r="B18" s="1345" t="s">
        <v>797</v>
      </c>
      <c r="C18" s="1486">
        <v>1066410</v>
      </c>
      <c r="D18" s="1189">
        <v>0</v>
      </c>
      <c r="E18" s="1189">
        <v>0</v>
      </c>
      <c r="F18" s="1189">
        <v>0</v>
      </c>
      <c r="G18" s="1189">
        <v>0</v>
      </c>
      <c r="H18" s="1189">
        <v>0</v>
      </c>
      <c r="I18" s="1189">
        <v>0</v>
      </c>
      <c r="J18" s="1189">
        <v>0</v>
      </c>
      <c r="K18" s="1189">
        <v>0</v>
      </c>
      <c r="L18" s="1189">
        <v>0</v>
      </c>
      <c r="M18" s="1189">
        <v>0</v>
      </c>
      <c r="N18" s="1189">
        <v>0</v>
      </c>
      <c r="O18" s="1189">
        <v>0</v>
      </c>
      <c r="P18" s="1501">
        <f t="shared" si="2"/>
        <v>1066410</v>
      </c>
      <c r="Q18" s="1355">
        <f t="shared" si="3"/>
        <v>1066410</v>
      </c>
      <c r="R18" s="1354" t="s">
        <v>251</v>
      </c>
      <c r="S18" s="1189" t="s">
        <v>251</v>
      </c>
      <c r="T18" s="1189" t="s">
        <v>251</v>
      </c>
      <c r="U18" s="1189"/>
      <c r="V18" s="1189"/>
      <c r="W18" s="1189"/>
      <c r="X18" s="1189"/>
      <c r="Y18" s="1189"/>
      <c r="Z18" s="1189"/>
      <c r="AA18" s="1189"/>
      <c r="AB18" s="1189"/>
      <c r="AC18" s="1189"/>
      <c r="AD18" s="1355">
        <f t="shared" si="1"/>
        <v>0</v>
      </c>
      <c r="AE18" s="1363" t="e">
        <f>IF(OR(#REF!="", AD18=""), 0, IFERROR((#REF!-AD18)/AD18, IF(#REF!&lt;&gt;0, 1, 0)))</f>
        <v>#REF!</v>
      </c>
      <c r="AF18" s="1336">
        <f t="shared" si="0"/>
        <v>-1</v>
      </c>
      <c r="AG18" s="1306">
        <f t="shared" si="4"/>
        <v>149</v>
      </c>
    </row>
    <row r="19" spans="1:33" x14ac:dyDescent="0.3">
      <c r="A19" s="37" t="s">
        <v>785</v>
      </c>
      <c r="B19" s="1345" t="s">
        <v>798</v>
      </c>
      <c r="C19" s="1486">
        <v>0</v>
      </c>
      <c r="D19" s="1189">
        <v>0</v>
      </c>
      <c r="E19" s="1189">
        <v>197000</v>
      </c>
      <c r="F19" s="1189">
        <v>0</v>
      </c>
      <c r="G19" s="1189">
        <v>0</v>
      </c>
      <c r="H19" s="1189">
        <v>0</v>
      </c>
      <c r="I19" s="1189">
        <v>0</v>
      </c>
      <c r="J19" s="1189">
        <v>0</v>
      </c>
      <c r="K19" s="1189">
        <v>0</v>
      </c>
      <c r="L19" s="1189">
        <v>0</v>
      </c>
      <c r="M19" s="1189">
        <v>0</v>
      </c>
      <c r="N19" s="1189">
        <v>0</v>
      </c>
      <c r="O19" s="1189">
        <v>0</v>
      </c>
      <c r="P19" s="1501">
        <f t="shared" si="2"/>
        <v>197000</v>
      </c>
      <c r="Q19" s="1355">
        <f t="shared" si="3"/>
        <v>197000</v>
      </c>
      <c r="R19" s="1354" t="s">
        <v>251</v>
      </c>
      <c r="S19" s="1189" t="s">
        <v>251</v>
      </c>
      <c r="T19" s="1189" t="s">
        <v>251</v>
      </c>
      <c r="U19" s="1189"/>
      <c r="V19" s="1189"/>
      <c r="W19" s="1189"/>
      <c r="X19" s="1189"/>
      <c r="Y19" s="1189"/>
      <c r="Z19" s="1189"/>
      <c r="AA19" s="1189"/>
      <c r="AB19" s="1189"/>
      <c r="AC19" s="1189"/>
      <c r="AD19" s="1355">
        <f t="shared" si="1"/>
        <v>0</v>
      </c>
      <c r="AE19" s="1363" t="e">
        <f>IF(OR(#REF!="", AD19=""), 0, IFERROR((#REF!-AD19)/AD19, IF(#REF!&lt;&gt;0, 1, 0)))</f>
        <v>#REF!</v>
      </c>
      <c r="AF19" s="1336">
        <f t="shared" si="0"/>
        <v>-1</v>
      </c>
      <c r="AG19" s="1306">
        <f t="shared" si="4"/>
        <v>149</v>
      </c>
    </row>
    <row r="20" spans="1:33" x14ac:dyDescent="0.3">
      <c r="A20" s="37" t="s">
        <v>785</v>
      </c>
      <c r="B20" s="1345" t="s">
        <v>799</v>
      </c>
      <c r="C20" s="1486">
        <v>0</v>
      </c>
      <c r="D20" s="1189">
        <v>0</v>
      </c>
      <c r="E20" s="1189">
        <v>0</v>
      </c>
      <c r="F20" s="1189">
        <v>0</v>
      </c>
      <c r="G20" s="1189">
        <v>357930</v>
      </c>
      <c r="H20" s="1189">
        <v>0</v>
      </c>
      <c r="I20" s="1189">
        <v>0</v>
      </c>
      <c r="J20" s="1189">
        <v>0</v>
      </c>
      <c r="K20" s="1189">
        <v>0</v>
      </c>
      <c r="L20" s="1189">
        <v>0</v>
      </c>
      <c r="M20" s="1189">
        <v>0</v>
      </c>
      <c r="N20" s="1189">
        <v>0</v>
      </c>
      <c r="O20" s="1189">
        <v>0</v>
      </c>
      <c r="P20" s="1501">
        <f t="shared" si="2"/>
        <v>357930</v>
      </c>
      <c r="Q20" s="1355">
        <f t="shared" si="3"/>
        <v>357930</v>
      </c>
      <c r="R20" s="1354" t="s">
        <v>251</v>
      </c>
      <c r="S20" s="1189" t="s">
        <v>251</v>
      </c>
      <c r="T20" s="1189" t="s">
        <v>251</v>
      </c>
      <c r="U20" s="1189"/>
      <c r="V20" s="1189"/>
      <c r="W20" s="1189"/>
      <c r="X20" s="1189"/>
      <c r="Y20" s="1189"/>
      <c r="Z20" s="1189"/>
      <c r="AA20" s="1189"/>
      <c r="AB20" s="1189"/>
      <c r="AC20" s="1189"/>
      <c r="AD20" s="1355">
        <f t="shared" si="1"/>
        <v>0</v>
      </c>
      <c r="AE20" s="1363" t="e">
        <f>IF(OR(#REF!="", AD20=""), 0, IFERROR((#REF!-AD20)/AD20, IF(#REF!&lt;&gt;0, 1, 0)))</f>
        <v>#REF!</v>
      </c>
      <c r="AF20" s="1336">
        <f t="shared" si="0"/>
        <v>-1</v>
      </c>
      <c r="AG20" s="1306">
        <f t="shared" si="4"/>
        <v>149</v>
      </c>
    </row>
    <row r="21" spans="1:33" x14ac:dyDescent="0.3">
      <c r="A21" s="37" t="s">
        <v>785</v>
      </c>
      <c r="B21" s="1345" t="s">
        <v>800</v>
      </c>
      <c r="C21" s="1486">
        <v>0</v>
      </c>
      <c r="D21" s="1189">
        <v>0</v>
      </c>
      <c r="E21" s="1189">
        <v>0</v>
      </c>
      <c r="F21" s="1189">
        <v>0</v>
      </c>
      <c r="G21" s="1189">
        <v>0</v>
      </c>
      <c r="H21" s="1189">
        <v>0</v>
      </c>
      <c r="I21" s="1189">
        <v>0</v>
      </c>
      <c r="J21" s="1189">
        <v>0</v>
      </c>
      <c r="K21" s="1189"/>
      <c r="L21" s="1189">
        <v>0</v>
      </c>
      <c r="M21" s="1189">
        <v>0</v>
      </c>
      <c r="N21" s="1189">
        <v>149570</v>
      </c>
      <c r="O21" s="1189">
        <v>0</v>
      </c>
      <c r="P21" s="1501">
        <f t="shared" si="2"/>
        <v>0</v>
      </c>
      <c r="Q21" s="1355">
        <f t="shared" si="3"/>
        <v>149570</v>
      </c>
      <c r="R21" s="1354" t="s">
        <v>251</v>
      </c>
      <c r="S21" s="1189" t="s">
        <v>251</v>
      </c>
      <c r="T21" s="1189" t="s">
        <v>251</v>
      </c>
      <c r="U21" s="1189"/>
      <c r="V21" s="1189">
        <v>327320</v>
      </c>
      <c r="W21" s="1189">
        <v>0</v>
      </c>
      <c r="X21" s="1189">
        <v>0</v>
      </c>
      <c r="Y21" s="1189">
        <v>637010</v>
      </c>
      <c r="Z21" s="1189"/>
      <c r="AA21" s="1189"/>
      <c r="AB21" s="1189"/>
      <c r="AC21" s="1189"/>
      <c r="AD21" s="1355">
        <f t="shared" si="1"/>
        <v>964330</v>
      </c>
      <c r="AE21" s="1363" t="e">
        <f>IF(OR(#REF!="", AD21=""), 0, IFERROR((#REF!-AD21)/AD21, IF(#REF!&lt;&gt;0, 1, 0)))</f>
        <v>#REF!</v>
      </c>
      <c r="AF21" s="1336">
        <f t="shared" si="0"/>
        <v>1</v>
      </c>
      <c r="AG21" s="1306">
        <f t="shared" si="4"/>
        <v>71</v>
      </c>
    </row>
    <row r="22" spans="1:33" x14ac:dyDescent="0.3">
      <c r="A22" s="37" t="s">
        <v>785</v>
      </c>
      <c r="B22" s="1345" t="s">
        <v>801</v>
      </c>
      <c r="C22" s="1486">
        <v>0</v>
      </c>
      <c r="D22" s="1189">
        <v>0</v>
      </c>
      <c r="E22" s="1189">
        <v>0</v>
      </c>
      <c r="F22" s="1189">
        <v>0</v>
      </c>
      <c r="G22" s="1189">
        <v>0</v>
      </c>
      <c r="H22" s="1189">
        <v>0</v>
      </c>
      <c r="I22" s="1189">
        <v>0</v>
      </c>
      <c r="J22" s="1189">
        <v>0</v>
      </c>
      <c r="K22" s="1189">
        <v>0</v>
      </c>
      <c r="L22" s="1189">
        <v>0</v>
      </c>
      <c r="M22" s="1189">
        <v>0</v>
      </c>
      <c r="N22" s="1189">
        <v>0</v>
      </c>
      <c r="O22" s="1189">
        <v>0</v>
      </c>
      <c r="P22" s="1501">
        <f t="shared" si="2"/>
        <v>0</v>
      </c>
      <c r="Q22" s="1355">
        <f t="shared" si="3"/>
        <v>0</v>
      </c>
      <c r="R22" s="1354" t="s">
        <v>251</v>
      </c>
      <c r="S22" s="1189" t="s">
        <v>251</v>
      </c>
      <c r="T22" s="1189" t="s">
        <v>251</v>
      </c>
      <c r="U22" s="1189">
        <v>1441610</v>
      </c>
      <c r="V22" s="1189">
        <v>7129510</v>
      </c>
      <c r="W22" s="1189">
        <v>3129180</v>
      </c>
      <c r="X22" s="1189">
        <v>6763820</v>
      </c>
      <c r="Y22" s="1189">
        <v>861270</v>
      </c>
      <c r="Z22" s="1189"/>
      <c r="AA22" s="1189"/>
      <c r="AB22" s="1189"/>
      <c r="AC22" s="1189"/>
      <c r="AD22" s="1355">
        <f t="shared" si="1"/>
        <v>19325390</v>
      </c>
      <c r="AE22" s="1363" t="e">
        <f>IF(OR(#REF!="", AD22=""), 0, IFERROR((#REF!-AD22)/AD22, IF(#REF!&lt;&gt;0, 1, 0)))</f>
        <v>#REF!</v>
      </c>
      <c r="AF22" s="1336">
        <f t="shared" si="0"/>
        <v>1</v>
      </c>
      <c r="AG22" s="1306">
        <f t="shared" si="4"/>
        <v>4</v>
      </c>
    </row>
    <row r="23" spans="1:33" x14ac:dyDescent="0.3">
      <c r="A23" s="37" t="s">
        <v>785</v>
      </c>
      <c r="B23" s="1345" t="s">
        <v>802</v>
      </c>
      <c r="C23" s="1486">
        <v>0</v>
      </c>
      <c r="D23" s="1189">
        <v>0</v>
      </c>
      <c r="E23" s="1189">
        <v>0</v>
      </c>
      <c r="F23" s="1189">
        <v>0</v>
      </c>
      <c r="G23" s="1189">
        <v>0</v>
      </c>
      <c r="H23" s="1189">
        <v>0</v>
      </c>
      <c r="I23" s="1189">
        <v>0</v>
      </c>
      <c r="J23" s="1189">
        <v>0</v>
      </c>
      <c r="K23" s="1189"/>
      <c r="L23" s="1189">
        <v>0</v>
      </c>
      <c r="M23" s="1189">
        <v>0</v>
      </c>
      <c r="N23" s="1189">
        <v>0</v>
      </c>
      <c r="O23" s="1189">
        <v>595350</v>
      </c>
      <c r="P23" s="1501">
        <f t="shared" si="2"/>
        <v>0</v>
      </c>
      <c r="Q23" s="1355">
        <f t="shared" si="3"/>
        <v>595350</v>
      </c>
      <c r="R23" s="1354">
        <v>533690</v>
      </c>
      <c r="S23" s="1189" t="s">
        <v>251</v>
      </c>
      <c r="T23" s="1189" t="s">
        <v>251</v>
      </c>
      <c r="U23" s="1189">
        <v>0</v>
      </c>
      <c r="V23" s="1189">
        <v>0</v>
      </c>
      <c r="W23" s="1189">
        <v>0</v>
      </c>
      <c r="X23" s="1189">
        <v>0</v>
      </c>
      <c r="Y23" s="1189">
        <v>0</v>
      </c>
      <c r="Z23" s="1189"/>
      <c r="AA23" s="1189"/>
      <c r="AB23" s="1189"/>
      <c r="AC23" s="1189"/>
      <c r="AD23" s="1355">
        <f t="shared" si="1"/>
        <v>533690</v>
      </c>
      <c r="AE23" s="1363" t="e">
        <f>IF(OR(#REF!="", AD23=""), 0, IFERROR((#REF!-AD23)/AD23, IF(#REF!&lt;&gt;0, 1, 0)))</f>
        <v>#REF!</v>
      </c>
      <c r="AF23" s="1336">
        <f t="shared" si="0"/>
        <v>1</v>
      </c>
      <c r="AG23" s="1306">
        <f t="shared" si="4"/>
        <v>100</v>
      </c>
    </row>
    <row r="24" spans="1:33" x14ac:dyDescent="0.3">
      <c r="A24" s="37" t="s">
        <v>785</v>
      </c>
      <c r="B24" s="1345" t="s">
        <v>899</v>
      </c>
      <c r="C24" s="1486" t="s">
        <v>251</v>
      </c>
      <c r="D24" s="1189" t="s">
        <v>251</v>
      </c>
      <c r="E24" s="1189" t="s">
        <v>251</v>
      </c>
      <c r="F24" s="1189" t="s">
        <v>251</v>
      </c>
      <c r="G24" s="1189" t="s">
        <v>251</v>
      </c>
      <c r="H24" s="1189" t="s">
        <v>251</v>
      </c>
      <c r="I24" s="1189" t="s">
        <v>251</v>
      </c>
      <c r="J24" s="1189" t="s">
        <v>251</v>
      </c>
      <c r="K24" s="1189"/>
      <c r="L24" s="1189" t="s">
        <v>251</v>
      </c>
      <c r="M24" s="1189" t="s">
        <v>251</v>
      </c>
      <c r="N24" s="1189" t="s">
        <v>251</v>
      </c>
      <c r="O24" s="1189" t="s">
        <v>251</v>
      </c>
      <c r="P24" s="1501">
        <f t="shared" si="2"/>
        <v>0</v>
      </c>
      <c r="Q24" s="1355">
        <f t="shared" si="3"/>
        <v>0</v>
      </c>
      <c r="R24" s="1354" t="s">
        <v>251</v>
      </c>
      <c r="S24" s="1189" t="s">
        <v>251</v>
      </c>
      <c r="T24" s="1189" t="s">
        <v>251</v>
      </c>
      <c r="U24" s="1189"/>
      <c r="V24" s="1189"/>
      <c r="W24" s="1189"/>
      <c r="X24" s="1189"/>
      <c r="Y24" s="1189"/>
      <c r="Z24" s="1189"/>
      <c r="AA24" s="1189"/>
      <c r="AB24" s="1189"/>
      <c r="AC24" s="1189"/>
      <c r="AD24" s="1355">
        <f t="shared" si="1"/>
        <v>0</v>
      </c>
      <c r="AE24" s="1363" t="e">
        <f>IF(OR(#REF!="", AD24=""), 0, IFERROR((#REF!-AD24)/AD24, IF(#REF!&lt;&gt;0, 1, 0)))</f>
        <v>#REF!</v>
      </c>
      <c r="AF24" s="1336">
        <f t="shared" si="0"/>
        <v>0</v>
      </c>
      <c r="AG24" s="1306">
        <f t="shared" si="4"/>
        <v>149</v>
      </c>
    </row>
    <row r="25" spans="1:33" x14ac:dyDescent="0.3">
      <c r="A25" s="37" t="s">
        <v>785</v>
      </c>
      <c r="B25" s="1345" t="s">
        <v>1944</v>
      </c>
      <c r="C25" s="1486">
        <v>0</v>
      </c>
      <c r="D25" s="1189">
        <v>0</v>
      </c>
      <c r="E25" s="1189">
        <v>0</v>
      </c>
      <c r="F25" s="1189">
        <v>0</v>
      </c>
      <c r="G25" s="1189">
        <v>0</v>
      </c>
      <c r="H25" s="1189">
        <v>1000</v>
      </c>
      <c r="I25" s="1189">
        <v>0</v>
      </c>
      <c r="J25" s="1189">
        <v>0</v>
      </c>
      <c r="K25" s="1189">
        <v>0</v>
      </c>
      <c r="L25" s="1189">
        <v>0</v>
      </c>
      <c r="M25" s="1189">
        <v>0</v>
      </c>
      <c r="N25" s="1189">
        <v>0</v>
      </c>
      <c r="O25" s="1189">
        <v>0</v>
      </c>
      <c r="P25" s="1501">
        <f t="shared" si="2"/>
        <v>1000</v>
      </c>
      <c r="Q25" s="1355">
        <f t="shared" si="3"/>
        <v>1000</v>
      </c>
      <c r="R25" s="1354" t="s">
        <v>251</v>
      </c>
      <c r="S25" s="1189" t="s">
        <v>251</v>
      </c>
      <c r="T25" s="1189" t="s">
        <v>251</v>
      </c>
      <c r="U25" s="1189"/>
      <c r="V25" s="1189"/>
      <c r="W25" s="1189"/>
      <c r="X25" s="1189"/>
      <c r="Y25" s="1189"/>
      <c r="Z25" s="1189"/>
      <c r="AA25" s="1189"/>
      <c r="AB25" s="1189"/>
      <c r="AC25" s="1189"/>
      <c r="AD25" s="1355">
        <f t="shared" si="1"/>
        <v>0</v>
      </c>
      <c r="AE25" s="1363" t="e">
        <f>IF(OR(#REF!="", AD25=""), 0, IFERROR((#REF!-AD25)/AD25, IF(#REF!&lt;&gt;0, 1, 0)))</f>
        <v>#REF!</v>
      </c>
      <c r="AF25" s="1336">
        <f t="shared" si="0"/>
        <v>-1</v>
      </c>
      <c r="AG25" s="1306">
        <f t="shared" si="4"/>
        <v>149</v>
      </c>
    </row>
    <row r="26" spans="1:33" x14ac:dyDescent="0.3">
      <c r="A26" s="37" t="s">
        <v>785</v>
      </c>
      <c r="B26" s="1345" t="s">
        <v>1946</v>
      </c>
      <c r="C26" s="1486" t="s">
        <v>251</v>
      </c>
      <c r="D26" s="1189" t="s">
        <v>251</v>
      </c>
      <c r="E26" s="1189" t="s">
        <v>251</v>
      </c>
      <c r="F26" s="1189" t="s">
        <v>251</v>
      </c>
      <c r="G26" s="1189" t="s">
        <v>251</v>
      </c>
      <c r="H26" s="1189" t="s">
        <v>251</v>
      </c>
      <c r="I26" s="1189" t="s">
        <v>251</v>
      </c>
      <c r="J26" s="1189" t="s">
        <v>251</v>
      </c>
      <c r="K26" s="1189"/>
      <c r="L26" s="1189" t="s">
        <v>251</v>
      </c>
      <c r="M26" s="1189" t="s">
        <v>251</v>
      </c>
      <c r="N26" s="1189" t="s">
        <v>251</v>
      </c>
      <c r="O26" s="1189" t="s">
        <v>251</v>
      </c>
      <c r="P26" s="1501">
        <f t="shared" si="2"/>
        <v>0</v>
      </c>
      <c r="Q26" s="1355">
        <f t="shared" si="3"/>
        <v>0</v>
      </c>
      <c r="R26" s="1354" t="s">
        <v>251</v>
      </c>
      <c r="S26" s="1189" t="s">
        <v>251</v>
      </c>
      <c r="T26" s="1189" t="s">
        <v>251</v>
      </c>
      <c r="U26" s="1189"/>
      <c r="V26" s="1189"/>
      <c r="W26" s="1189"/>
      <c r="X26" s="1189"/>
      <c r="Y26" s="1189"/>
      <c r="Z26" s="1189"/>
      <c r="AA26" s="1189"/>
      <c r="AB26" s="1189"/>
      <c r="AC26" s="1189"/>
      <c r="AD26" s="1355">
        <f t="shared" si="1"/>
        <v>0</v>
      </c>
      <c r="AE26" s="1363" t="e">
        <f>IF(OR(#REF!="", AD26=""), 0, IFERROR((#REF!-AD26)/AD26, IF(#REF!&lt;&gt;0, 1, 0)))</f>
        <v>#REF!</v>
      </c>
      <c r="AF26" s="1336">
        <f t="shared" si="0"/>
        <v>0</v>
      </c>
      <c r="AG26" s="1306">
        <f t="shared" si="4"/>
        <v>149</v>
      </c>
    </row>
    <row r="27" spans="1:33" x14ac:dyDescent="0.3">
      <c r="A27" s="37" t="s">
        <v>785</v>
      </c>
      <c r="B27" s="1345" t="s">
        <v>2343</v>
      </c>
      <c r="C27" s="1486"/>
      <c r="D27" s="1189"/>
      <c r="E27" s="1189"/>
      <c r="F27" s="1189">
        <v>1851660</v>
      </c>
      <c r="G27" s="1189">
        <v>19980</v>
      </c>
      <c r="H27" s="1189">
        <v>0</v>
      </c>
      <c r="I27" s="1189">
        <v>0</v>
      </c>
      <c r="J27" s="1189">
        <v>0</v>
      </c>
      <c r="K27" s="1189">
        <v>0</v>
      </c>
      <c r="L27" s="1189">
        <v>0</v>
      </c>
      <c r="M27" s="1189">
        <v>0</v>
      </c>
      <c r="N27" s="1189">
        <v>0</v>
      </c>
      <c r="O27" s="1189">
        <v>0</v>
      </c>
      <c r="P27" s="1501">
        <f t="shared" si="2"/>
        <v>1871640</v>
      </c>
      <c r="Q27" s="1355">
        <f t="shared" si="3"/>
        <v>1871640</v>
      </c>
      <c r="R27" s="1354" t="s">
        <v>251</v>
      </c>
      <c r="S27" s="1189" t="s">
        <v>251</v>
      </c>
      <c r="T27" s="1189" t="s">
        <v>251</v>
      </c>
      <c r="U27" s="1189"/>
      <c r="V27" s="1189"/>
      <c r="W27" s="1189"/>
      <c r="X27" s="1189"/>
      <c r="Y27" s="1189"/>
      <c r="Z27" s="1189"/>
      <c r="AA27" s="1189"/>
      <c r="AB27" s="1189"/>
      <c r="AC27" s="1189"/>
      <c r="AD27" s="1355">
        <f t="shared" si="1"/>
        <v>0</v>
      </c>
      <c r="AE27" s="1363"/>
      <c r="AF27" s="1336">
        <f t="shared" si="0"/>
        <v>-1</v>
      </c>
      <c r="AG27" s="1306">
        <f t="shared" si="4"/>
        <v>149</v>
      </c>
    </row>
    <row r="28" spans="1:33" x14ac:dyDescent="0.3">
      <c r="A28" s="37" t="s">
        <v>785</v>
      </c>
      <c r="B28" s="1345" t="s">
        <v>892</v>
      </c>
      <c r="C28" s="1486"/>
      <c r="D28" s="1189"/>
      <c r="E28" s="1189"/>
      <c r="F28" s="1189">
        <v>545090</v>
      </c>
      <c r="G28" s="1189">
        <v>0</v>
      </c>
      <c r="H28" s="1189">
        <v>0</v>
      </c>
      <c r="I28" s="1189">
        <v>0</v>
      </c>
      <c r="J28" s="1189">
        <v>0</v>
      </c>
      <c r="K28" s="1189">
        <v>0</v>
      </c>
      <c r="L28" s="1189">
        <v>0</v>
      </c>
      <c r="M28" s="1189">
        <v>0</v>
      </c>
      <c r="N28" s="1189">
        <v>0</v>
      </c>
      <c r="O28" s="1189">
        <v>0</v>
      </c>
      <c r="P28" s="1501">
        <f t="shared" si="2"/>
        <v>545090</v>
      </c>
      <c r="Q28" s="1355">
        <f t="shared" si="3"/>
        <v>545090</v>
      </c>
      <c r="R28" s="1354" t="s">
        <v>251</v>
      </c>
      <c r="S28" s="1189" t="s">
        <v>251</v>
      </c>
      <c r="T28" s="1189">
        <v>1213580</v>
      </c>
      <c r="U28" s="1189">
        <v>3960550</v>
      </c>
      <c r="V28" s="1189">
        <v>1459350</v>
      </c>
      <c r="W28" s="1189">
        <v>0</v>
      </c>
      <c r="X28" s="1189">
        <v>0</v>
      </c>
      <c r="Y28" s="1189">
        <v>48770</v>
      </c>
      <c r="Z28" s="1189"/>
      <c r="AA28" s="1189"/>
      <c r="AB28" s="1189"/>
      <c r="AC28" s="1189"/>
      <c r="AD28" s="1355">
        <f t="shared" si="1"/>
        <v>6682250</v>
      </c>
      <c r="AE28" s="1363"/>
      <c r="AF28" s="1336">
        <f t="shared" si="0"/>
        <v>11.258984754811133</v>
      </c>
      <c r="AG28" s="1306">
        <f t="shared" si="4"/>
        <v>9</v>
      </c>
    </row>
    <row r="29" spans="1:33" x14ac:dyDescent="0.3">
      <c r="A29" s="37" t="s">
        <v>785</v>
      </c>
      <c r="B29" s="1345" t="s">
        <v>179</v>
      </c>
      <c r="C29" s="1486"/>
      <c r="D29" s="1189"/>
      <c r="E29" s="1189"/>
      <c r="F29" s="1189">
        <v>164330</v>
      </c>
      <c r="G29" s="1189">
        <v>0</v>
      </c>
      <c r="H29" s="1189">
        <v>0</v>
      </c>
      <c r="I29" s="1189">
        <v>0</v>
      </c>
      <c r="J29" s="1189">
        <v>0</v>
      </c>
      <c r="K29" s="1189">
        <v>0</v>
      </c>
      <c r="L29" s="1189">
        <v>0</v>
      </c>
      <c r="M29" s="1189">
        <v>0</v>
      </c>
      <c r="N29" s="1189">
        <v>0</v>
      </c>
      <c r="O29" s="1189">
        <v>0</v>
      </c>
      <c r="P29" s="1501">
        <f t="shared" si="2"/>
        <v>164330</v>
      </c>
      <c r="Q29" s="1355">
        <f t="shared" si="3"/>
        <v>164330</v>
      </c>
      <c r="R29" s="1354" t="s">
        <v>251</v>
      </c>
      <c r="S29" s="1189" t="s">
        <v>251</v>
      </c>
      <c r="T29" s="1189" t="s">
        <v>251</v>
      </c>
      <c r="U29" s="1189"/>
      <c r="V29" s="1189"/>
      <c r="W29" s="1189"/>
      <c r="X29" s="1189"/>
      <c r="Y29" s="1189">
        <v>614690</v>
      </c>
      <c r="Z29" s="1189"/>
      <c r="AA29" s="1189"/>
      <c r="AB29" s="1189"/>
      <c r="AC29" s="1189"/>
      <c r="AD29" s="1355">
        <f t="shared" si="1"/>
        <v>614690</v>
      </c>
      <c r="AE29" s="1363"/>
      <c r="AF29" s="1336">
        <f t="shared" si="0"/>
        <v>2.7405829732854623</v>
      </c>
      <c r="AG29" s="1306">
        <f t="shared" si="4"/>
        <v>95</v>
      </c>
    </row>
    <row r="30" spans="1:33" x14ac:dyDescent="0.3">
      <c r="A30" s="37" t="s">
        <v>785</v>
      </c>
      <c r="B30" s="1345" t="s">
        <v>893</v>
      </c>
      <c r="C30" s="1486"/>
      <c r="D30" s="1189"/>
      <c r="E30" s="1189"/>
      <c r="F30" s="1189"/>
      <c r="G30" s="1189"/>
      <c r="H30" s="1189">
        <v>50670</v>
      </c>
      <c r="I30" s="1189">
        <v>0</v>
      </c>
      <c r="J30" s="1189">
        <v>0</v>
      </c>
      <c r="K30" s="1189">
        <v>0</v>
      </c>
      <c r="L30" s="1189">
        <v>0</v>
      </c>
      <c r="M30" s="1189">
        <v>0</v>
      </c>
      <c r="N30" s="1189">
        <v>0</v>
      </c>
      <c r="O30" s="1189">
        <v>0</v>
      </c>
      <c r="P30" s="1501">
        <f t="shared" si="2"/>
        <v>50670</v>
      </c>
      <c r="Q30" s="1355">
        <f t="shared" si="3"/>
        <v>50670</v>
      </c>
      <c r="R30" s="1354" t="s">
        <v>251</v>
      </c>
      <c r="S30" s="1189" t="s">
        <v>251</v>
      </c>
      <c r="T30" s="1189" t="s">
        <v>251</v>
      </c>
      <c r="U30" s="1189"/>
      <c r="V30" s="1189"/>
      <c r="W30" s="1189"/>
      <c r="X30" s="1189"/>
      <c r="Y30" s="1189"/>
      <c r="Z30" s="1189"/>
      <c r="AA30" s="1189"/>
      <c r="AB30" s="1189"/>
      <c r="AC30" s="1189"/>
      <c r="AD30" s="1355">
        <f t="shared" si="1"/>
        <v>0</v>
      </c>
      <c r="AE30" s="1363"/>
      <c r="AF30" s="1336">
        <f t="shared" si="0"/>
        <v>-1</v>
      </c>
      <c r="AG30" s="1306">
        <f t="shared" si="4"/>
        <v>149</v>
      </c>
    </row>
    <row r="31" spans="1:33" x14ac:dyDescent="0.3">
      <c r="A31" s="37" t="s">
        <v>785</v>
      </c>
      <c r="B31" s="1345" t="s">
        <v>2417</v>
      </c>
      <c r="C31" s="1486"/>
      <c r="D31" s="1189"/>
      <c r="E31" s="1189"/>
      <c r="F31" s="1189"/>
      <c r="G31" s="1189"/>
      <c r="H31" s="1189"/>
      <c r="I31" s="1189">
        <v>101870</v>
      </c>
      <c r="J31" s="1189">
        <v>0</v>
      </c>
      <c r="K31" s="1189">
        <v>0</v>
      </c>
      <c r="L31" s="1189">
        <v>0</v>
      </c>
      <c r="M31" s="1189">
        <v>0</v>
      </c>
      <c r="N31" s="1189">
        <v>0</v>
      </c>
      <c r="O31" s="1189">
        <v>0</v>
      </c>
      <c r="P31" s="1501">
        <f t="shared" si="2"/>
        <v>101870</v>
      </c>
      <c r="Q31" s="1355">
        <f t="shared" si="3"/>
        <v>101870</v>
      </c>
      <c r="R31" s="1354" t="s">
        <v>251</v>
      </c>
      <c r="S31" s="1189" t="s">
        <v>251</v>
      </c>
      <c r="T31" s="1189" t="s">
        <v>251</v>
      </c>
      <c r="U31" s="1189"/>
      <c r="V31" s="1189"/>
      <c r="W31" s="1189"/>
      <c r="X31" s="1189"/>
      <c r="Y31" s="1189"/>
      <c r="Z31" s="1189"/>
      <c r="AA31" s="1189"/>
      <c r="AB31" s="1189"/>
      <c r="AC31" s="1189"/>
      <c r="AD31" s="1355">
        <f t="shared" si="1"/>
        <v>0</v>
      </c>
      <c r="AE31" s="1363"/>
      <c r="AF31" s="1336">
        <f t="shared" si="0"/>
        <v>-1</v>
      </c>
      <c r="AG31" s="1306">
        <f t="shared" si="4"/>
        <v>149</v>
      </c>
    </row>
    <row r="32" spans="1:33" x14ac:dyDescent="0.3">
      <c r="A32" s="37" t="s">
        <v>785</v>
      </c>
      <c r="B32" s="1345" t="s">
        <v>2419</v>
      </c>
      <c r="C32" s="1486"/>
      <c r="D32" s="1189"/>
      <c r="E32" s="1189"/>
      <c r="F32" s="1189"/>
      <c r="G32" s="1189"/>
      <c r="H32" s="1189"/>
      <c r="I32" s="1189"/>
      <c r="J32" s="1189">
        <v>133920</v>
      </c>
      <c r="K32" s="1189">
        <v>133920</v>
      </c>
      <c r="L32" s="1189">
        <v>0</v>
      </c>
      <c r="M32" s="1189">
        <v>0</v>
      </c>
      <c r="N32" s="1189">
        <v>0</v>
      </c>
      <c r="O32" s="1189">
        <v>0</v>
      </c>
      <c r="P32" s="1501">
        <f t="shared" si="2"/>
        <v>133920</v>
      </c>
      <c r="Q32" s="1355">
        <f t="shared" si="3"/>
        <v>133920</v>
      </c>
      <c r="R32" s="1354" t="s">
        <v>251</v>
      </c>
      <c r="S32" s="1189" t="s">
        <v>251</v>
      </c>
      <c r="T32" s="1189" t="s">
        <v>251</v>
      </c>
      <c r="U32" s="1189"/>
      <c r="V32" s="1189"/>
      <c r="W32" s="1189"/>
      <c r="X32" s="1189"/>
      <c r="Y32" s="1189"/>
      <c r="Z32" s="1189"/>
      <c r="AA32" s="1189"/>
      <c r="AB32" s="1189"/>
      <c r="AC32" s="1189"/>
      <c r="AD32" s="1355">
        <f t="shared" si="1"/>
        <v>0</v>
      </c>
      <c r="AE32" s="1363"/>
      <c r="AF32" s="1336">
        <f t="shared" si="0"/>
        <v>-1</v>
      </c>
      <c r="AG32" s="1306">
        <f t="shared" si="4"/>
        <v>149</v>
      </c>
    </row>
    <row r="33" spans="1:33" x14ac:dyDescent="0.3">
      <c r="A33" s="37" t="s">
        <v>785</v>
      </c>
      <c r="B33" s="1345" t="s">
        <v>1343</v>
      </c>
      <c r="C33" s="1486"/>
      <c r="D33" s="1189"/>
      <c r="E33" s="1189"/>
      <c r="F33" s="1189"/>
      <c r="G33" s="1189"/>
      <c r="H33" s="1189"/>
      <c r="I33" s="1189"/>
      <c r="J33" s="1189"/>
      <c r="K33" s="1189"/>
      <c r="L33" s="1189"/>
      <c r="M33" s="1189"/>
      <c r="N33" s="1189"/>
      <c r="O33" s="1189">
        <v>461160</v>
      </c>
      <c r="P33" s="1501">
        <f t="shared" si="2"/>
        <v>0</v>
      </c>
      <c r="Q33" s="1355">
        <f t="shared" si="3"/>
        <v>461160</v>
      </c>
      <c r="R33" s="1354" t="s">
        <v>251</v>
      </c>
      <c r="S33" s="1189" t="s">
        <v>251</v>
      </c>
      <c r="T33" s="1189" t="s">
        <v>251</v>
      </c>
      <c r="U33" s="1189"/>
      <c r="V33" s="1189"/>
      <c r="W33" s="1189"/>
      <c r="X33" s="1189"/>
      <c r="Y33" s="1189"/>
      <c r="Z33" s="1189"/>
      <c r="AA33" s="1189"/>
      <c r="AB33" s="1189"/>
      <c r="AC33" s="1189"/>
      <c r="AD33" s="1355">
        <f t="shared" si="1"/>
        <v>0</v>
      </c>
      <c r="AE33" s="1363"/>
      <c r="AF33" s="1336">
        <f t="shared" si="0"/>
        <v>0</v>
      </c>
      <c r="AG33" s="1306">
        <f t="shared" si="4"/>
        <v>149</v>
      </c>
    </row>
    <row r="34" spans="1:33" x14ac:dyDescent="0.3">
      <c r="A34" s="37" t="s">
        <v>785</v>
      </c>
      <c r="B34" s="1345" t="s">
        <v>2474</v>
      </c>
      <c r="C34" s="1486"/>
      <c r="D34" s="1189"/>
      <c r="E34" s="1189"/>
      <c r="F34" s="1189"/>
      <c r="G34" s="1189"/>
      <c r="H34" s="1189"/>
      <c r="I34" s="1189"/>
      <c r="J34" s="1189"/>
      <c r="K34" s="1189"/>
      <c r="L34" s="1189"/>
      <c r="M34" s="1189"/>
      <c r="N34" s="1189"/>
      <c r="O34" s="1189"/>
      <c r="P34" s="1501">
        <f t="shared" si="2"/>
        <v>0</v>
      </c>
      <c r="Q34" s="1355">
        <f t="shared" si="3"/>
        <v>0</v>
      </c>
      <c r="R34" s="1354">
        <v>1807100</v>
      </c>
      <c r="S34" s="1189" t="s">
        <v>251</v>
      </c>
      <c r="T34" s="1189">
        <v>0</v>
      </c>
      <c r="U34" s="1189">
        <v>0</v>
      </c>
      <c r="V34" s="1189">
        <v>0</v>
      </c>
      <c r="W34" s="1189">
        <v>0</v>
      </c>
      <c r="X34" s="1189">
        <v>0</v>
      </c>
      <c r="Y34" s="1189">
        <v>0</v>
      </c>
      <c r="Z34" s="1189"/>
      <c r="AA34" s="1189"/>
      <c r="AB34" s="1189"/>
      <c r="AC34" s="1189"/>
      <c r="AD34" s="1355">
        <f t="shared" si="1"/>
        <v>1807100</v>
      </c>
      <c r="AE34" s="1363"/>
      <c r="AF34" s="1336">
        <f t="shared" si="0"/>
        <v>1</v>
      </c>
      <c r="AG34" s="1306">
        <f t="shared" si="4"/>
        <v>42</v>
      </c>
    </row>
    <row r="35" spans="1:33" x14ac:dyDescent="0.3">
      <c r="A35" s="37" t="s">
        <v>785</v>
      </c>
      <c r="B35" s="1345" t="s">
        <v>1163</v>
      </c>
      <c r="C35" s="1486"/>
      <c r="D35" s="1189"/>
      <c r="E35" s="1189"/>
      <c r="F35" s="1189"/>
      <c r="G35" s="1189"/>
      <c r="H35" s="1189"/>
      <c r="I35" s="1189"/>
      <c r="J35" s="1189"/>
      <c r="K35" s="1189"/>
      <c r="L35" s="1189"/>
      <c r="M35" s="1189"/>
      <c r="N35" s="1189"/>
      <c r="O35" s="1189"/>
      <c r="P35" s="1501">
        <f t="shared" si="2"/>
        <v>0</v>
      </c>
      <c r="Q35" s="1355">
        <f t="shared" si="3"/>
        <v>0</v>
      </c>
      <c r="R35" s="1354">
        <v>697580</v>
      </c>
      <c r="S35" s="1189" t="s">
        <v>251</v>
      </c>
      <c r="T35" s="1189" t="s">
        <v>251</v>
      </c>
      <c r="U35" s="1189">
        <v>0</v>
      </c>
      <c r="V35" s="1189">
        <v>0</v>
      </c>
      <c r="W35" s="1189">
        <v>0</v>
      </c>
      <c r="X35" s="1189">
        <v>0</v>
      </c>
      <c r="Y35" s="1189">
        <v>0</v>
      </c>
      <c r="Z35" s="1189"/>
      <c r="AA35" s="1189"/>
      <c r="AB35" s="1189"/>
      <c r="AC35" s="1189"/>
      <c r="AD35" s="1355">
        <f t="shared" si="1"/>
        <v>697580</v>
      </c>
      <c r="AE35" s="1363"/>
      <c r="AF35" s="1336">
        <f t="shared" si="0"/>
        <v>1</v>
      </c>
      <c r="AG35" s="1306">
        <f t="shared" si="4"/>
        <v>84</v>
      </c>
    </row>
    <row r="36" spans="1:33" x14ac:dyDescent="0.3">
      <c r="A36" s="37" t="s">
        <v>785</v>
      </c>
      <c r="B36" s="1345" t="s">
        <v>2475</v>
      </c>
      <c r="C36" s="1486"/>
      <c r="D36" s="1189"/>
      <c r="E36" s="1189"/>
      <c r="F36" s="1189"/>
      <c r="G36" s="1189"/>
      <c r="H36" s="1189"/>
      <c r="I36" s="1189"/>
      <c r="J36" s="1189"/>
      <c r="K36" s="1189"/>
      <c r="L36" s="1189"/>
      <c r="M36" s="1189"/>
      <c r="N36" s="1189"/>
      <c r="O36" s="1189"/>
      <c r="P36" s="1501">
        <f t="shared" si="2"/>
        <v>0</v>
      </c>
      <c r="Q36" s="1355">
        <f t="shared" si="3"/>
        <v>0</v>
      </c>
      <c r="R36" s="1354">
        <v>1443910</v>
      </c>
      <c r="S36" s="1189" t="s">
        <v>251</v>
      </c>
      <c r="T36" s="1189">
        <v>1534090</v>
      </c>
      <c r="U36" s="1189">
        <v>38240</v>
      </c>
      <c r="V36" s="1189">
        <v>196730</v>
      </c>
      <c r="W36" s="1189">
        <v>143990</v>
      </c>
      <c r="X36" s="1189"/>
      <c r="Y36" s="1189"/>
      <c r="Z36" s="1189"/>
      <c r="AA36" s="1189"/>
      <c r="AB36" s="1189"/>
      <c r="AC36" s="1189"/>
      <c r="AD36" s="1355">
        <f t="shared" si="1"/>
        <v>3356960</v>
      </c>
      <c r="AE36" s="1355">
        <f>SUM(S36:AD36)</f>
        <v>5270010</v>
      </c>
      <c r="AF36" s="1336">
        <f t="shared" si="0"/>
        <v>1</v>
      </c>
      <c r="AG36" s="1306">
        <f t="shared" si="4"/>
        <v>27</v>
      </c>
    </row>
    <row r="37" spans="1:33" x14ac:dyDescent="0.3">
      <c r="A37" s="37" t="s">
        <v>785</v>
      </c>
      <c r="B37" s="1345" t="s">
        <v>2560</v>
      </c>
      <c r="C37" s="1486"/>
      <c r="D37" s="1189"/>
      <c r="E37" s="1189"/>
      <c r="F37" s="1189"/>
      <c r="G37" s="1189"/>
      <c r="H37" s="1189"/>
      <c r="I37" s="1189"/>
      <c r="J37" s="1189"/>
      <c r="K37" s="1189"/>
      <c r="L37" s="1189"/>
      <c r="M37" s="1189"/>
      <c r="N37" s="1189"/>
      <c r="O37" s="1189"/>
      <c r="P37" s="1501">
        <f t="shared" si="2"/>
        <v>0</v>
      </c>
      <c r="Q37" s="1355">
        <f t="shared" si="3"/>
        <v>0</v>
      </c>
      <c r="R37" s="1354"/>
      <c r="S37" s="1189">
        <v>957860</v>
      </c>
      <c r="T37" s="1189">
        <v>1312880</v>
      </c>
      <c r="U37" s="1189">
        <v>516510</v>
      </c>
      <c r="V37" s="1189">
        <v>0</v>
      </c>
      <c r="W37" s="1189">
        <v>0</v>
      </c>
      <c r="X37" s="1189">
        <v>0</v>
      </c>
      <c r="Y37" s="1189">
        <v>0</v>
      </c>
      <c r="Z37" s="1189"/>
      <c r="AA37" s="1189"/>
      <c r="AB37" s="1189"/>
      <c r="AC37" s="1189"/>
      <c r="AD37" s="1355">
        <f t="shared" si="1"/>
        <v>2787250</v>
      </c>
      <c r="AE37" s="1363"/>
      <c r="AF37" s="1336">
        <f t="shared" si="0"/>
        <v>1</v>
      </c>
      <c r="AG37" s="1306">
        <f t="shared" si="4"/>
        <v>32</v>
      </c>
    </row>
    <row r="38" spans="1:33" x14ac:dyDescent="0.3">
      <c r="A38" s="37" t="s">
        <v>785</v>
      </c>
      <c r="B38" s="1345" t="s">
        <v>889</v>
      </c>
      <c r="C38" s="1486"/>
      <c r="D38" s="1189"/>
      <c r="E38" s="1189"/>
      <c r="F38" s="1189"/>
      <c r="G38" s="1189"/>
      <c r="H38" s="1189"/>
      <c r="I38" s="1189"/>
      <c r="J38" s="1189"/>
      <c r="K38" s="1189"/>
      <c r="L38" s="1189"/>
      <c r="M38" s="1189"/>
      <c r="N38" s="1189"/>
      <c r="O38" s="1189"/>
      <c r="P38" s="1501">
        <f t="shared" si="2"/>
        <v>0</v>
      </c>
      <c r="Q38" s="1355">
        <f t="shared" si="3"/>
        <v>0</v>
      </c>
      <c r="R38" s="1354"/>
      <c r="S38" s="1189"/>
      <c r="T38" s="1189">
        <v>1571520</v>
      </c>
      <c r="U38" s="1189">
        <v>1553300</v>
      </c>
      <c r="V38" s="1189">
        <v>251090</v>
      </c>
      <c r="W38" s="1189">
        <v>0</v>
      </c>
      <c r="X38" s="1189">
        <v>0</v>
      </c>
      <c r="Y38" s="1189">
        <v>0</v>
      </c>
      <c r="Z38" s="1189"/>
      <c r="AA38" s="1189"/>
      <c r="AB38" s="1189"/>
      <c r="AC38" s="1189"/>
      <c r="AD38" s="1355">
        <f t="shared" si="1"/>
        <v>3375910</v>
      </c>
      <c r="AE38" s="1363"/>
      <c r="AF38" s="1336">
        <f t="shared" si="0"/>
        <v>1</v>
      </c>
      <c r="AG38" s="1306">
        <f t="shared" si="4"/>
        <v>26</v>
      </c>
    </row>
    <row r="39" spans="1:33" x14ac:dyDescent="0.3">
      <c r="A39" s="37" t="s">
        <v>785</v>
      </c>
      <c r="B39" s="1345" t="s">
        <v>2608</v>
      </c>
      <c r="C39" s="1486"/>
      <c r="D39" s="1189"/>
      <c r="E39" s="1189"/>
      <c r="F39" s="1189"/>
      <c r="G39" s="1189"/>
      <c r="H39" s="1189"/>
      <c r="I39" s="1189"/>
      <c r="J39" s="1189"/>
      <c r="K39" s="1189"/>
      <c r="L39" s="1189"/>
      <c r="M39" s="1189"/>
      <c r="N39" s="1189"/>
      <c r="O39" s="1189"/>
      <c r="P39" s="1501">
        <f t="shared" si="2"/>
        <v>0</v>
      </c>
      <c r="Q39" s="1355">
        <f t="shared" si="3"/>
        <v>0</v>
      </c>
      <c r="R39" s="1354"/>
      <c r="S39" s="1189"/>
      <c r="T39" s="1189">
        <v>274140</v>
      </c>
      <c r="U39" s="1189">
        <v>0</v>
      </c>
      <c r="V39" s="1189">
        <v>0</v>
      </c>
      <c r="W39" s="1189">
        <v>0</v>
      </c>
      <c r="X39" s="1189">
        <v>0</v>
      </c>
      <c r="Y39" s="1189">
        <v>228970</v>
      </c>
      <c r="Z39" s="1189"/>
      <c r="AA39" s="1189"/>
      <c r="AB39" s="1189"/>
      <c r="AC39" s="1189"/>
      <c r="AD39" s="1355">
        <f t="shared" si="1"/>
        <v>503110</v>
      </c>
      <c r="AE39" s="1363"/>
      <c r="AF39" s="1336">
        <f t="shared" si="0"/>
        <v>1</v>
      </c>
      <c r="AG39" s="1306">
        <f t="shared" si="4"/>
        <v>104</v>
      </c>
    </row>
    <row r="40" spans="1:33" x14ac:dyDescent="0.3">
      <c r="A40" s="37" t="s">
        <v>785</v>
      </c>
      <c r="B40" s="1345" t="s">
        <v>2609</v>
      </c>
      <c r="C40" s="1486"/>
      <c r="D40" s="1189"/>
      <c r="E40" s="1189"/>
      <c r="F40" s="1189"/>
      <c r="G40" s="1189"/>
      <c r="H40" s="1189"/>
      <c r="I40" s="1189"/>
      <c r="J40" s="1189"/>
      <c r="K40" s="1189"/>
      <c r="L40" s="1189"/>
      <c r="M40" s="1189"/>
      <c r="N40" s="1189"/>
      <c r="O40" s="1189"/>
      <c r="P40" s="1501">
        <f t="shared" si="2"/>
        <v>0</v>
      </c>
      <c r="Q40" s="1355">
        <f t="shared" si="3"/>
        <v>0</v>
      </c>
      <c r="R40" s="1354"/>
      <c r="S40" s="1189"/>
      <c r="T40" s="1189">
        <v>233330</v>
      </c>
      <c r="U40" s="1189">
        <v>1101210</v>
      </c>
      <c r="V40" s="1189">
        <v>0</v>
      </c>
      <c r="W40" s="1189">
        <v>887720</v>
      </c>
      <c r="X40" s="1189">
        <v>0</v>
      </c>
      <c r="Y40" s="1189">
        <v>825930</v>
      </c>
      <c r="Z40" s="1189"/>
      <c r="AA40" s="1189"/>
      <c r="AB40" s="1189"/>
      <c r="AC40" s="1189"/>
      <c r="AD40" s="1355">
        <f t="shared" si="1"/>
        <v>3048190</v>
      </c>
      <c r="AE40" s="1363"/>
      <c r="AF40" s="1336">
        <f t="shared" si="0"/>
        <v>1</v>
      </c>
      <c r="AG40" s="1306">
        <f t="shared" si="4"/>
        <v>30</v>
      </c>
    </row>
    <row r="41" spans="1:33" x14ac:dyDescent="0.3">
      <c r="A41" s="37" t="s">
        <v>785</v>
      </c>
      <c r="B41" s="1345" t="s">
        <v>2610</v>
      </c>
      <c r="C41" s="1486"/>
      <c r="D41" s="1189"/>
      <c r="E41" s="1189"/>
      <c r="F41" s="1189"/>
      <c r="G41" s="1189"/>
      <c r="H41" s="1189"/>
      <c r="I41" s="1189"/>
      <c r="J41" s="1189"/>
      <c r="K41" s="1189"/>
      <c r="L41" s="1189"/>
      <c r="M41" s="1189"/>
      <c r="N41" s="1189"/>
      <c r="O41" s="1189"/>
      <c r="P41" s="1501">
        <f t="shared" si="2"/>
        <v>0</v>
      </c>
      <c r="Q41" s="1355">
        <f t="shared" si="3"/>
        <v>0</v>
      </c>
      <c r="R41" s="1354"/>
      <c r="S41" s="1189"/>
      <c r="T41" s="1189">
        <v>86680</v>
      </c>
      <c r="U41" s="1189">
        <v>208260</v>
      </c>
      <c r="V41" s="1189">
        <v>0</v>
      </c>
      <c r="W41" s="1189">
        <v>0</v>
      </c>
      <c r="X41" s="1189">
        <v>0</v>
      </c>
      <c r="Y41" s="1189">
        <v>0</v>
      </c>
      <c r="Z41" s="1189"/>
      <c r="AA41" s="1189"/>
      <c r="AB41" s="1189"/>
      <c r="AC41" s="1189"/>
      <c r="AD41" s="1355">
        <f t="shared" si="1"/>
        <v>294940</v>
      </c>
      <c r="AE41" s="1363"/>
      <c r="AF41" s="1336">
        <f t="shared" si="0"/>
        <v>1</v>
      </c>
      <c r="AG41" s="1306">
        <f t="shared" si="4"/>
        <v>121</v>
      </c>
    </row>
    <row r="42" spans="1:33" x14ac:dyDescent="0.3">
      <c r="A42" s="37" t="s">
        <v>785</v>
      </c>
      <c r="B42" s="1345" t="s">
        <v>196</v>
      </c>
      <c r="C42" s="1486"/>
      <c r="D42" s="1189"/>
      <c r="E42" s="1189"/>
      <c r="F42" s="1189"/>
      <c r="G42" s="1189"/>
      <c r="H42" s="1189"/>
      <c r="I42" s="1189"/>
      <c r="J42" s="1189"/>
      <c r="K42" s="1189"/>
      <c r="L42" s="1189"/>
      <c r="M42" s="1189"/>
      <c r="N42" s="1189"/>
      <c r="O42" s="1189"/>
      <c r="P42" s="1501">
        <f t="shared" si="2"/>
        <v>0</v>
      </c>
      <c r="Q42" s="1355">
        <f t="shared" si="3"/>
        <v>0</v>
      </c>
      <c r="R42" s="1354"/>
      <c r="S42" s="1189"/>
      <c r="T42" s="1189">
        <v>374400</v>
      </c>
      <c r="U42" s="1189">
        <v>0</v>
      </c>
      <c r="V42" s="1189">
        <v>606420</v>
      </c>
      <c r="W42" s="1189">
        <v>0</v>
      </c>
      <c r="X42" s="1189">
        <v>2311460</v>
      </c>
      <c r="Y42" s="1189">
        <v>560850</v>
      </c>
      <c r="Z42" s="1189"/>
      <c r="AA42" s="1189"/>
      <c r="AB42" s="1189"/>
      <c r="AC42" s="1189"/>
      <c r="AD42" s="1355">
        <f t="shared" si="1"/>
        <v>3853130</v>
      </c>
      <c r="AE42" s="1363"/>
      <c r="AF42" s="1336">
        <f t="shared" si="0"/>
        <v>1</v>
      </c>
      <c r="AG42" s="1306">
        <f t="shared" si="4"/>
        <v>19</v>
      </c>
    </row>
    <row r="43" spans="1:33" x14ac:dyDescent="0.3">
      <c r="A43" s="37" t="s">
        <v>785</v>
      </c>
      <c r="B43" s="1345" t="s">
        <v>251</v>
      </c>
      <c r="C43" s="1486"/>
      <c r="D43" s="1189"/>
      <c r="E43" s="1189"/>
      <c r="F43" s="1189"/>
      <c r="G43" s="1189"/>
      <c r="H43" s="1189"/>
      <c r="I43" s="1189"/>
      <c r="J43" s="1189"/>
      <c r="K43" s="1189">
        <v>310850</v>
      </c>
      <c r="L43" s="1189"/>
      <c r="M43" s="1189"/>
      <c r="N43" s="1189"/>
      <c r="O43" s="1189"/>
      <c r="P43" s="1501">
        <f t="shared" si="2"/>
        <v>310850</v>
      </c>
      <c r="Q43" s="1355">
        <f t="shared" si="3"/>
        <v>0</v>
      </c>
      <c r="R43" s="1354"/>
      <c r="S43" s="1189"/>
      <c r="T43" s="1189">
        <v>221400</v>
      </c>
      <c r="U43" s="1189">
        <v>0</v>
      </c>
      <c r="V43" s="1189">
        <v>0</v>
      </c>
      <c r="W43" s="1189">
        <v>0</v>
      </c>
      <c r="X43" s="1189">
        <v>1416940</v>
      </c>
      <c r="Y43" s="1189">
        <v>0</v>
      </c>
      <c r="Z43" s="1189"/>
      <c r="AA43" s="1189"/>
      <c r="AB43" s="1189"/>
      <c r="AC43" s="1189"/>
      <c r="AD43" s="1355">
        <f t="shared" si="1"/>
        <v>1638340</v>
      </c>
      <c r="AE43" s="1363"/>
      <c r="AF43" s="1336">
        <f t="shared" si="0"/>
        <v>4.2705163262023484</v>
      </c>
      <c r="AG43" s="1306">
        <f t="shared" si="4"/>
        <v>50</v>
      </c>
    </row>
    <row r="44" spans="1:33" x14ac:dyDescent="0.3">
      <c r="A44" s="37" t="s">
        <v>785</v>
      </c>
      <c r="B44" s="1345" t="s">
        <v>2012</v>
      </c>
      <c r="C44" s="1486"/>
      <c r="D44" s="1189"/>
      <c r="E44" s="1189"/>
      <c r="F44" s="1189"/>
      <c r="G44" s="1189"/>
      <c r="H44" s="1189"/>
      <c r="I44" s="1189"/>
      <c r="J44" s="1189"/>
      <c r="K44" s="1189"/>
      <c r="L44" s="1189"/>
      <c r="M44" s="1189"/>
      <c r="N44" s="1189"/>
      <c r="O44" s="1189"/>
      <c r="P44" s="1501">
        <f t="shared" si="2"/>
        <v>0</v>
      </c>
      <c r="Q44" s="1355">
        <f t="shared" si="3"/>
        <v>0</v>
      </c>
      <c r="R44" s="1354"/>
      <c r="S44" s="1189"/>
      <c r="T44" s="1189">
        <v>157940</v>
      </c>
      <c r="U44" s="1189">
        <v>0</v>
      </c>
      <c r="V44" s="1189">
        <v>0</v>
      </c>
      <c r="W44" s="1189">
        <v>0</v>
      </c>
      <c r="X44" s="1189">
        <v>0</v>
      </c>
      <c r="Y44" s="1189">
        <v>0</v>
      </c>
      <c r="Z44" s="1189"/>
      <c r="AA44" s="1189"/>
      <c r="AB44" s="1189"/>
      <c r="AC44" s="1189"/>
      <c r="AD44" s="1355">
        <f t="shared" si="1"/>
        <v>157940</v>
      </c>
      <c r="AE44" s="1363"/>
      <c r="AF44" s="1336">
        <f t="shared" si="0"/>
        <v>1</v>
      </c>
      <c r="AG44" s="1306">
        <f t="shared" si="4"/>
        <v>145</v>
      </c>
    </row>
    <row r="45" spans="1:33" x14ac:dyDescent="0.3">
      <c r="A45" s="37" t="s">
        <v>785</v>
      </c>
      <c r="B45" s="1345" t="s">
        <v>2718</v>
      </c>
      <c r="C45" s="1486"/>
      <c r="D45" s="1189"/>
      <c r="E45" s="1189"/>
      <c r="F45" s="1189"/>
      <c r="G45" s="1189"/>
      <c r="H45" s="1189"/>
      <c r="I45" s="1189"/>
      <c r="J45" s="1189"/>
      <c r="K45" s="1189"/>
      <c r="L45" s="1189"/>
      <c r="M45" s="1189"/>
      <c r="N45" s="1189"/>
      <c r="O45" s="1189"/>
      <c r="P45" s="1501">
        <f t="shared" si="2"/>
        <v>0</v>
      </c>
      <c r="Q45" s="1355">
        <f t="shared" si="3"/>
        <v>0</v>
      </c>
      <c r="R45" s="1354"/>
      <c r="S45" s="1189"/>
      <c r="T45" s="1189"/>
      <c r="U45" s="1189">
        <v>772200</v>
      </c>
      <c r="V45" s="1189">
        <v>0</v>
      </c>
      <c r="W45" s="1189">
        <v>0</v>
      </c>
      <c r="X45" s="1189">
        <v>1000890</v>
      </c>
      <c r="Y45" s="1189">
        <v>0</v>
      </c>
      <c r="Z45" s="1189"/>
      <c r="AA45" s="1189"/>
      <c r="AB45" s="1189"/>
      <c r="AC45" s="1189"/>
      <c r="AD45" s="1355">
        <f t="shared" si="1"/>
        <v>1773090</v>
      </c>
      <c r="AE45" s="1363"/>
      <c r="AF45" s="1336">
        <f t="shared" si="0"/>
        <v>1</v>
      </c>
      <c r="AG45" s="1306">
        <f t="shared" si="4"/>
        <v>44</v>
      </c>
    </row>
    <row r="46" spans="1:33" x14ac:dyDescent="0.3">
      <c r="A46" s="37" t="s">
        <v>785</v>
      </c>
      <c r="B46" s="1345" t="s">
        <v>2719</v>
      </c>
      <c r="C46" s="1486"/>
      <c r="D46" s="1189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501">
        <f t="shared" si="2"/>
        <v>0</v>
      </c>
      <c r="Q46" s="1355">
        <f t="shared" si="3"/>
        <v>0</v>
      </c>
      <c r="R46" s="1354"/>
      <c r="S46" s="1189"/>
      <c r="T46" s="1189"/>
      <c r="U46" s="1189">
        <v>358920</v>
      </c>
      <c r="V46" s="1189">
        <v>0</v>
      </c>
      <c r="W46" s="1189">
        <v>0</v>
      </c>
      <c r="X46" s="1189">
        <v>551240</v>
      </c>
      <c r="Y46" s="1189">
        <v>613980</v>
      </c>
      <c r="Z46" s="1189"/>
      <c r="AA46" s="1189"/>
      <c r="AB46" s="1189"/>
      <c r="AC46" s="1189"/>
      <c r="AD46" s="1355">
        <f t="shared" si="1"/>
        <v>1524140</v>
      </c>
      <c r="AE46" s="1363"/>
      <c r="AF46" s="1336">
        <f t="shared" si="0"/>
        <v>1</v>
      </c>
      <c r="AG46" s="1306">
        <f t="shared" si="4"/>
        <v>58</v>
      </c>
    </row>
    <row r="47" spans="1:33" x14ac:dyDescent="0.3">
      <c r="A47" s="37" t="s">
        <v>785</v>
      </c>
      <c r="B47" s="1345" t="s">
        <v>2720</v>
      </c>
      <c r="C47" s="1486"/>
      <c r="D47" s="1189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501">
        <f t="shared" si="2"/>
        <v>0</v>
      </c>
      <c r="Q47" s="1355">
        <f t="shared" si="3"/>
        <v>0</v>
      </c>
      <c r="R47" s="1354"/>
      <c r="S47" s="1189"/>
      <c r="T47" s="1189"/>
      <c r="U47" s="1189">
        <v>293930</v>
      </c>
      <c r="V47" s="1189">
        <v>0</v>
      </c>
      <c r="W47" s="1189">
        <v>145520</v>
      </c>
      <c r="X47" s="1189">
        <v>0</v>
      </c>
      <c r="Y47" s="1189">
        <v>0</v>
      </c>
      <c r="Z47" s="1189"/>
      <c r="AA47" s="1189"/>
      <c r="AB47" s="1189"/>
      <c r="AC47" s="1189"/>
      <c r="AD47" s="1355">
        <f t="shared" si="1"/>
        <v>439450</v>
      </c>
      <c r="AE47" s="1363"/>
      <c r="AF47" s="1336">
        <f t="shared" si="0"/>
        <v>1</v>
      </c>
      <c r="AG47" s="1306">
        <f t="shared" si="4"/>
        <v>110</v>
      </c>
    </row>
    <row r="48" spans="1:33" x14ac:dyDescent="0.3">
      <c r="A48" s="37" t="s">
        <v>785</v>
      </c>
      <c r="B48" s="1345" t="s">
        <v>2007</v>
      </c>
      <c r="C48" s="1486"/>
      <c r="D48" s="1189"/>
      <c r="E48" s="1189"/>
      <c r="F48" s="1189"/>
      <c r="G48" s="1189"/>
      <c r="H48" s="1189"/>
      <c r="I48" s="1189"/>
      <c r="J48" s="1189"/>
      <c r="K48" s="1189"/>
      <c r="L48" s="1189"/>
      <c r="M48" s="1189"/>
      <c r="N48" s="1189"/>
      <c r="O48" s="1189"/>
      <c r="P48" s="1501">
        <f t="shared" si="2"/>
        <v>0</v>
      </c>
      <c r="Q48" s="1355">
        <f t="shared" si="3"/>
        <v>0</v>
      </c>
      <c r="R48" s="1354"/>
      <c r="S48" s="1189"/>
      <c r="T48" s="1189"/>
      <c r="U48" s="1189">
        <v>720530</v>
      </c>
      <c r="V48" s="1189">
        <v>207710</v>
      </c>
      <c r="W48" s="1189">
        <v>0</v>
      </c>
      <c r="X48" s="1189">
        <v>0</v>
      </c>
      <c r="Y48" s="1189">
        <v>0</v>
      </c>
      <c r="Z48" s="1189"/>
      <c r="AA48" s="1189"/>
      <c r="AB48" s="1189"/>
      <c r="AC48" s="1189"/>
      <c r="AD48" s="1355">
        <f t="shared" si="1"/>
        <v>928240</v>
      </c>
      <c r="AE48" s="1363"/>
      <c r="AF48" s="1336">
        <f t="shared" si="0"/>
        <v>1</v>
      </c>
      <c r="AG48" s="1306">
        <f t="shared" si="4"/>
        <v>75</v>
      </c>
    </row>
    <row r="49" spans="1:33" x14ac:dyDescent="0.3">
      <c r="A49" s="37" t="s">
        <v>785</v>
      </c>
      <c r="B49" s="1345" t="s">
        <v>630</v>
      </c>
      <c r="C49" s="1486"/>
      <c r="D49" s="1189"/>
      <c r="E49" s="1189"/>
      <c r="F49" s="1189"/>
      <c r="G49" s="1189"/>
      <c r="H49" s="1189"/>
      <c r="I49" s="1189"/>
      <c r="J49" s="1189"/>
      <c r="K49" s="1189"/>
      <c r="L49" s="1189"/>
      <c r="M49" s="1189"/>
      <c r="N49" s="1189"/>
      <c r="O49" s="1189"/>
      <c r="P49" s="1501">
        <f t="shared" si="2"/>
        <v>0</v>
      </c>
      <c r="Q49" s="1355">
        <f t="shared" si="3"/>
        <v>0</v>
      </c>
      <c r="R49" s="1354"/>
      <c r="S49" s="1189"/>
      <c r="T49" s="1189"/>
      <c r="U49" s="1189">
        <v>97550</v>
      </c>
      <c r="V49" s="1189">
        <v>1329820</v>
      </c>
      <c r="W49" s="1189">
        <v>100870</v>
      </c>
      <c r="X49" s="1189">
        <v>0</v>
      </c>
      <c r="Y49" s="1189">
        <v>0</v>
      </c>
      <c r="Z49" s="1189"/>
      <c r="AA49" s="1189"/>
      <c r="AB49" s="1189"/>
      <c r="AC49" s="1189"/>
      <c r="AD49" s="1355">
        <f t="shared" si="1"/>
        <v>1528240</v>
      </c>
      <c r="AE49" s="1363"/>
      <c r="AF49" s="1336">
        <f t="shared" si="0"/>
        <v>1</v>
      </c>
      <c r="AG49" s="1306">
        <f t="shared" si="4"/>
        <v>57</v>
      </c>
    </row>
    <row r="50" spans="1:33" x14ac:dyDescent="0.3">
      <c r="A50" s="37" t="s">
        <v>785</v>
      </c>
      <c r="B50" s="1345" t="s">
        <v>878</v>
      </c>
      <c r="C50" s="1486"/>
      <c r="D50" s="1189"/>
      <c r="E50" s="1189"/>
      <c r="F50" s="1189"/>
      <c r="G50" s="1189"/>
      <c r="H50" s="1189"/>
      <c r="I50" s="1189"/>
      <c r="J50" s="1189"/>
      <c r="K50" s="1189"/>
      <c r="L50" s="1189"/>
      <c r="M50" s="1189"/>
      <c r="N50" s="1189"/>
      <c r="O50" s="1189"/>
      <c r="P50" s="1501">
        <f t="shared" si="2"/>
        <v>0</v>
      </c>
      <c r="Q50" s="1355">
        <f t="shared" si="3"/>
        <v>0</v>
      </c>
      <c r="R50" s="1354"/>
      <c r="S50" s="1189"/>
      <c r="T50" s="1189"/>
      <c r="U50" s="1189">
        <v>348750</v>
      </c>
      <c r="V50" s="1189">
        <v>0</v>
      </c>
      <c r="W50" s="1189">
        <v>0</v>
      </c>
      <c r="X50" s="1189">
        <v>0</v>
      </c>
      <c r="Y50" s="1189">
        <v>0</v>
      </c>
      <c r="Z50" s="1189"/>
      <c r="AA50" s="1189"/>
      <c r="AB50" s="1189"/>
      <c r="AC50" s="1189"/>
      <c r="AD50" s="1355">
        <f t="shared" si="1"/>
        <v>348750</v>
      </c>
      <c r="AE50" s="1363"/>
      <c r="AF50" s="1336">
        <f t="shared" si="0"/>
        <v>1</v>
      </c>
      <c r="AG50" s="1306">
        <f t="shared" si="4"/>
        <v>116</v>
      </c>
    </row>
    <row r="51" spans="1:33" x14ac:dyDescent="0.3">
      <c r="A51" s="37" t="s">
        <v>785</v>
      </c>
      <c r="B51" s="1345" t="s">
        <v>806</v>
      </c>
      <c r="C51" s="1486"/>
      <c r="D51" s="1189"/>
      <c r="E51" s="1189"/>
      <c r="F51" s="1189"/>
      <c r="G51" s="1189"/>
      <c r="H51" s="1189"/>
      <c r="I51" s="1189"/>
      <c r="J51" s="1189"/>
      <c r="K51" s="1189"/>
      <c r="L51" s="1189"/>
      <c r="M51" s="1189"/>
      <c r="N51" s="1189"/>
      <c r="O51" s="1189"/>
      <c r="P51" s="1501">
        <f t="shared" si="2"/>
        <v>0</v>
      </c>
      <c r="Q51" s="1355">
        <f t="shared" si="3"/>
        <v>0</v>
      </c>
      <c r="R51" s="1354"/>
      <c r="S51" s="1189"/>
      <c r="T51" s="1189"/>
      <c r="U51" s="1189">
        <v>101430</v>
      </c>
      <c r="V51" s="1189">
        <v>0</v>
      </c>
      <c r="W51" s="1189"/>
      <c r="X51" s="1189"/>
      <c r="Y51" s="1189"/>
      <c r="Z51" s="1189"/>
      <c r="AA51" s="1189"/>
      <c r="AB51" s="1189"/>
      <c r="AC51" s="1189"/>
      <c r="AD51" s="1355">
        <f t="shared" si="1"/>
        <v>101430</v>
      </c>
      <c r="AE51" s="1363"/>
      <c r="AF51" s="1336">
        <f t="shared" si="0"/>
        <v>1</v>
      </c>
      <c r="AG51" s="1306">
        <f t="shared" si="4"/>
        <v>147</v>
      </c>
    </row>
    <row r="52" spans="1:33" x14ac:dyDescent="0.3">
      <c r="A52" s="37" t="s">
        <v>785</v>
      </c>
      <c r="B52" s="1345" t="s">
        <v>2759</v>
      </c>
      <c r="C52" s="1486"/>
      <c r="D52" s="1189"/>
      <c r="E52" s="1189"/>
      <c r="F52" s="1189"/>
      <c r="G52" s="1189"/>
      <c r="H52" s="1189"/>
      <c r="I52" s="1189"/>
      <c r="J52" s="1189"/>
      <c r="K52" s="1189"/>
      <c r="L52" s="1189"/>
      <c r="M52" s="1189"/>
      <c r="N52" s="1189"/>
      <c r="O52" s="1189"/>
      <c r="P52" s="1501">
        <f t="shared" si="2"/>
        <v>0</v>
      </c>
      <c r="Q52" s="1355">
        <f t="shared" si="3"/>
        <v>0</v>
      </c>
      <c r="R52" s="1354"/>
      <c r="S52" s="1189"/>
      <c r="T52" s="1189"/>
      <c r="U52" s="1189">
        <v>191880</v>
      </c>
      <c r="V52" s="1189">
        <v>0</v>
      </c>
      <c r="W52" s="1189">
        <v>0</v>
      </c>
      <c r="X52" s="1189">
        <v>0</v>
      </c>
      <c r="Y52" s="1189">
        <v>0</v>
      </c>
      <c r="Z52" s="1189"/>
      <c r="AA52" s="1189"/>
      <c r="AB52" s="1189"/>
      <c r="AC52" s="1189"/>
      <c r="AD52" s="1355">
        <f t="shared" si="1"/>
        <v>191880</v>
      </c>
      <c r="AE52" s="1363"/>
      <c r="AF52" s="1336">
        <f t="shared" si="0"/>
        <v>1</v>
      </c>
      <c r="AG52" s="1306">
        <f t="shared" si="4"/>
        <v>141</v>
      </c>
    </row>
    <row r="53" spans="1:33" x14ac:dyDescent="0.3">
      <c r="A53" s="37" t="s">
        <v>785</v>
      </c>
      <c r="B53" s="1345" t="s">
        <v>2800</v>
      </c>
      <c r="C53" s="1486"/>
      <c r="D53" s="1189"/>
      <c r="E53" s="1189"/>
      <c r="F53" s="1189"/>
      <c r="G53" s="1189"/>
      <c r="H53" s="1189"/>
      <c r="I53" s="1189"/>
      <c r="J53" s="1189"/>
      <c r="K53" s="1189"/>
      <c r="L53" s="1189"/>
      <c r="M53" s="1189"/>
      <c r="N53" s="1189"/>
      <c r="O53" s="1189"/>
      <c r="P53" s="1501">
        <f t="shared" si="2"/>
        <v>0</v>
      </c>
      <c r="Q53" s="1355">
        <f t="shared" si="3"/>
        <v>0</v>
      </c>
      <c r="R53" s="1354"/>
      <c r="S53" s="1189"/>
      <c r="T53" s="1189"/>
      <c r="U53" s="1189"/>
      <c r="V53" s="1189">
        <v>1055950</v>
      </c>
      <c r="W53" s="1189">
        <v>0</v>
      </c>
      <c r="X53" s="1189">
        <v>0</v>
      </c>
      <c r="Y53" s="1189">
        <v>0</v>
      </c>
      <c r="Z53" s="1189"/>
      <c r="AA53" s="1189"/>
      <c r="AB53" s="1189"/>
      <c r="AC53" s="1189"/>
      <c r="AD53" s="1355">
        <f t="shared" si="1"/>
        <v>1055950</v>
      </c>
      <c r="AE53" s="1363"/>
      <c r="AF53" s="1336">
        <f t="shared" si="0"/>
        <v>1</v>
      </c>
      <c r="AG53" s="1306">
        <f t="shared" si="4"/>
        <v>68</v>
      </c>
    </row>
    <row r="54" spans="1:33" x14ac:dyDescent="0.3">
      <c r="A54" s="37" t="s">
        <v>785</v>
      </c>
      <c r="B54" s="1345" t="s">
        <v>2801</v>
      </c>
      <c r="C54" s="1486"/>
      <c r="D54" s="1189"/>
      <c r="E54" s="1189"/>
      <c r="F54" s="1189"/>
      <c r="G54" s="1189"/>
      <c r="H54" s="1189"/>
      <c r="I54" s="1189"/>
      <c r="J54" s="1189"/>
      <c r="K54" s="1189"/>
      <c r="L54" s="1189"/>
      <c r="M54" s="1189"/>
      <c r="N54" s="1189"/>
      <c r="O54" s="1189"/>
      <c r="P54" s="1501">
        <f t="shared" si="2"/>
        <v>0</v>
      </c>
      <c r="Q54" s="1355">
        <f t="shared" si="3"/>
        <v>0</v>
      </c>
      <c r="R54" s="1354"/>
      <c r="S54" s="1189"/>
      <c r="T54" s="1189"/>
      <c r="U54" s="1189"/>
      <c r="V54" s="1189">
        <v>290340</v>
      </c>
      <c r="W54" s="1189">
        <v>268920</v>
      </c>
      <c r="X54" s="1189">
        <v>0</v>
      </c>
      <c r="Y54" s="1189">
        <v>0</v>
      </c>
      <c r="Z54" s="1189"/>
      <c r="AA54" s="1189"/>
      <c r="AB54" s="1189"/>
      <c r="AC54" s="1189"/>
      <c r="AD54" s="1355">
        <f t="shared" si="1"/>
        <v>559260</v>
      </c>
      <c r="AE54" s="1363"/>
      <c r="AF54" s="1336">
        <f t="shared" si="0"/>
        <v>1</v>
      </c>
      <c r="AG54" s="1306">
        <f t="shared" si="4"/>
        <v>98</v>
      </c>
    </row>
    <row r="55" spans="1:33" x14ac:dyDescent="0.3">
      <c r="A55" s="37" t="s">
        <v>785</v>
      </c>
      <c r="B55" s="1345" t="s">
        <v>2136</v>
      </c>
      <c r="C55" s="1486"/>
      <c r="D55" s="1189"/>
      <c r="E55" s="1189"/>
      <c r="F55" s="1189"/>
      <c r="G55" s="1189"/>
      <c r="H55" s="1189"/>
      <c r="I55" s="1189"/>
      <c r="J55" s="1189"/>
      <c r="K55" s="1189"/>
      <c r="L55" s="1189"/>
      <c r="M55" s="1189"/>
      <c r="N55" s="1189"/>
      <c r="O55" s="1189"/>
      <c r="P55" s="1501">
        <f t="shared" si="2"/>
        <v>0</v>
      </c>
      <c r="Q55" s="1355">
        <f t="shared" si="3"/>
        <v>0</v>
      </c>
      <c r="R55" s="1354"/>
      <c r="S55" s="1189"/>
      <c r="T55" s="1189"/>
      <c r="U55" s="1189"/>
      <c r="V55" s="1189">
        <v>319050</v>
      </c>
      <c r="W55" s="1189">
        <v>0</v>
      </c>
      <c r="X55" s="1189">
        <v>0</v>
      </c>
      <c r="Y55" s="1189">
        <v>0</v>
      </c>
      <c r="Z55" s="1189"/>
      <c r="AA55" s="1189"/>
      <c r="AB55" s="1189"/>
      <c r="AC55" s="1189"/>
      <c r="AD55" s="1355">
        <f t="shared" si="1"/>
        <v>319050</v>
      </c>
      <c r="AE55" s="1363"/>
      <c r="AF55" s="1336">
        <f t="shared" si="0"/>
        <v>1</v>
      </c>
      <c r="AG55" s="1306">
        <f t="shared" si="4"/>
        <v>118</v>
      </c>
    </row>
    <row r="56" spans="1:33" x14ac:dyDescent="0.3">
      <c r="A56" s="37" t="s">
        <v>785</v>
      </c>
      <c r="B56" s="1345" t="s">
        <v>868</v>
      </c>
      <c r="C56" s="1486"/>
      <c r="D56" s="1189"/>
      <c r="E56" s="1189"/>
      <c r="F56" s="1189"/>
      <c r="G56" s="1189"/>
      <c r="H56" s="1189"/>
      <c r="I56" s="1189"/>
      <c r="J56" s="1189"/>
      <c r="K56" s="1189"/>
      <c r="L56" s="1189"/>
      <c r="M56" s="1189"/>
      <c r="N56" s="1189"/>
      <c r="O56" s="1189"/>
      <c r="P56" s="1501">
        <f t="shared" si="2"/>
        <v>0</v>
      </c>
      <c r="Q56" s="1355">
        <f t="shared" si="3"/>
        <v>0</v>
      </c>
      <c r="R56" s="1354"/>
      <c r="S56" s="1189"/>
      <c r="T56" s="1189"/>
      <c r="U56" s="1189"/>
      <c r="V56" s="1189">
        <v>247490</v>
      </c>
      <c r="W56" s="1189">
        <v>0</v>
      </c>
      <c r="X56" s="1189">
        <v>0</v>
      </c>
      <c r="Y56" s="1189">
        <v>0</v>
      </c>
      <c r="Z56" s="1189"/>
      <c r="AA56" s="1189"/>
      <c r="AB56" s="1189"/>
      <c r="AC56" s="1189"/>
      <c r="AD56" s="1355">
        <f t="shared" si="1"/>
        <v>247490</v>
      </c>
      <c r="AE56" s="1363"/>
      <c r="AF56" s="1336">
        <f t="shared" si="0"/>
        <v>1</v>
      </c>
      <c r="AG56" s="1306">
        <f t="shared" si="4"/>
        <v>129</v>
      </c>
    </row>
    <row r="57" spans="1:33" x14ac:dyDescent="0.3">
      <c r="A57" s="37" t="s">
        <v>785</v>
      </c>
      <c r="B57" s="1345" t="s">
        <v>1814</v>
      </c>
      <c r="C57" s="1486"/>
      <c r="D57" s="1189"/>
      <c r="E57" s="1189"/>
      <c r="F57" s="1189"/>
      <c r="G57" s="1189"/>
      <c r="H57" s="1189"/>
      <c r="I57" s="1189"/>
      <c r="J57" s="1189"/>
      <c r="K57" s="1189"/>
      <c r="L57" s="1189"/>
      <c r="M57" s="1189"/>
      <c r="N57" s="1189"/>
      <c r="O57" s="1189"/>
      <c r="P57" s="1501">
        <f t="shared" si="2"/>
        <v>0</v>
      </c>
      <c r="Q57" s="1355">
        <f t="shared" si="3"/>
        <v>0</v>
      </c>
      <c r="R57" s="1354"/>
      <c r="S57" s="1189"/>
      <c r="T57" s="1189"/>
      <c r="U57" s="1189"/>
      <c r="V57" s="1189">
        <v>194300</v>
      </c>
      <c r="W57" s="1189">
        <v>0</v>
      </c>
      <c r="X57" s="1189">
        <v>0</v>
      </c>
      <c r="Y57" s="1189">
        <v>0</v>
      </c>
      <c r="Z57" s="1189"/>
      <c r="AA57" s="1189"/>
      <c r="AB57" s="1189"/>
      <c r="AC57" s="1189"/>
      <c r="AD57" s="1355">
        <f t="shared" si="1"/>
        <v>194300</v>
      </c>
      <c r="AE57" s="1363"/>
      <c r="AF57" s="1336">
        <f t="shared" si="0"/>
        <v>1</v>
      </c>
      <c r="AG57" s="1306">
        <f t="shared" si="4"/>
        <v>140</v>
      </c>
    </row>
    <row r="58" spans="1:33" x14ac:dyDescent="0.3">
      <c r="A58" s="37" t="s">
        <v>785</v>
      </c>
      <c r="B58" s="1345" t="s">
        <v>1937</v>
      </c>
      <c r="C58" s="1486"/>
      <c r="D58" s="1189"/>
      <c r="E58" s="1189"/>
      <c r="F58" s="1189"/>
      <c r="G58" s="1189"/>
      <c r="H58" s="1189"/>
      <c r="I58" s="1189"/>
      <c r="J58" s="1189"/>
      <c r="K58" s="1189"/>
      <c r="L58" s="1189"/>
      <c r="M58" s="1189"/>
      <c r="N58" s="1189"/>
      <c r="O58" s="1189"/>
      <c r="P58" s="1501">
        <f t="shared" si="2"/>
        <v>0</v>
      </c>
      <c r="Q58" s="1355">
        <f t="shared" si="3"/>
        <v>0</v>
      </c>
      <c r="R58" s="1354"/>
      <c r="S58" s="1189"/>
      <c r="T58" s="1189"/>
      <c r="U58" s="1189"/>
      <c r="V58" s="1189">
        <v>475270</v>
      </c>
      <c r="W58" s="1189">
        <v>1302890</v>
      </c>
      <c r="X58" s="1189">
        <v>0</v>
      </c>
      <c r="Y58" s="1189">
        <v>0</v>
      </c>
      <c r="Z58" s="1189"/>
      <c r="AA58" s="1189"/>
      <c r="AB58" s="1189"/>
      <c r="AC58" s="1189"/>
      <c r="AD58" s="1355">
        <f t="shared" si="1"/>
        <v>1778160</v>
      </c>
      <c r="AE58" s="1363"/>
      <c r="AF58" s="1336">
        <f t="shared" si="0"/>
        <v>1</v>
      </c>
      <c r="AG58" s="1306">
        <f t="shared" si="4"/>
        <v>43</v>
      </c>
    </row>
    <row r="59" spans="1:33" x14ac:dyDescent="0.3">
      <c r="A59" s="37" t="s">
        <v>785</v>
      </c>
      <c r="B59" s="1345" t="s">
        <v>2828</v>
      </c>
      <c r="C59" s="1486"/>
      <c r="D59" s="1189"/>
      <c r="E59" s="1189"/>
      <c r="F59" s="1189"/>
      <c r="G59" s="1189"/>
      <c r="H59" s="1189"/>
      <c r="I59" s="1189"/>
      <c r="J59" s="1189"/>
      <c r="K59" s="1189"/>
      <c r="L59" s="1189"/>
      <c r="M59" s="1189"/>
      <c r="N59" s="1189"/>
      <c r="O59" s="1189"/>
      <c r="P59" s="1501">
        <f t="shared" si="2"/>
        <v>0</v>
      </c>
      <c r="Q59" s="1355">
        <f t="shared" si="3"/>
        <v>0</v>
      </c>
      <c r="R59" s="1354"/>
      <c r="S59" s="1189"/>
      <c r="T59" s="1189"/>
      <c r="U59" s="1189"/>
      <c r="V59" s="1189">
        <v>1778740</v>
      </c>
      <c r="W59" s="1189">
        <v>544750</v>
      </c>
      <c r="X59" s="1189">
        <v>0</v>
      </c>
      <c r="Y59" s="1189">
        <v>0</v>
      </c>
      <c r="Z59" s="1189"/>
      <c r="AA59" s="1189"/>
      <c r="AB59" s="1189"/>
      <c r="AC59" s="1189"/>
      <c r="AD59" s="1355">
        <f t="shared" si="1"/>
        <v>2323490</v>
      </c>
      <c r="AE59" s="1363"/>
      <c r="AF59" s="1336">
        <f t="shared" si="0"/>
        <v>1</v>
      </c>
      <c r="AG59" s="1306">
        <f t="shared" si="4"/>
        <v>35</v>
      </c>
    </row>
    <row r="60" spans="1:33" x14ac:dyDescent="0.3">
      <c r="A60" s="37" t="s">
        <v>785</v>
      </c>
      <c r="B60" s="1345" t="s">
        <v>2829</v>
      </c>
      <c r="C60" s="1486"/>
      <c r="D60" s="1189"/>
      <c r="E60" s="1189"/>
      <c r="F60" s="1189"/>
      <c r="G60" s="1189"/>
      <c r="H60" s="1189"/>
      <c r="I60" s="1189"/>
      <c r="J60" s="1189"/>
      <c r="K60" s="1189"/>
      <c r="L60" s="1189"/>
      <c r="M60" s="1189"/>
      <c r="N60" s="1189"/>
      <c r="O60" s="1189"/>
      <c r="P60" s="1501">
        <f t="shared" si="2"/>
        <v>0</v>
      </c>
      <c r="Q60" s="1355">
        <f t="shared" si="3"/>
        <v>0</v>
      </c>
      <c r="R60" s="1354"/>
      <c r="S60" s="1189"/>
      <c r="T60" s="1189"/>
      <c r="U60" s="1189"/>
      <c r="V60" s="1189">
        <v>678480</v>
      </c>
      <c r="W60" s="1189">
        <v>661840</v>
      </c>
      <c r="X60" s="1189">
        <v>0</v>
      </c>
      <c r="Y60" s="1189">
        <v>0</v>
      </c>
      <c r="Z60" s="1189"/>
      <c r="AA60" s="1189"/>
      <c r="AB60" s="1189"/>
      <c r="AC60" s="1189"/>
      <c r="AD60" s="1355">
        <f t="shared" si="1"/>
        <v>1340320</v>
      </c>
      <c r="AE60" s="1363"/>
      <c r="AF60" s="1336">
        <f t="shared" si="0"/>
        <v>1</v>
      </c>
      <c r="AG60" s="1306">
        <f t="shared" si="4"/>
        <v>62</v>
      </c>
    </row>
    <row r="61" spans="1:33" x14ac:dyDescent="0.3">
      <c r="A61" s="37" t="s">
        <v>785</v>
      </c>
      <c r="B61" s="1345" t="s">
        <v>1848</v>
      </c>
      <c r="C61" s="1486"/>
      <c r="D61" s="1189"/>
      <c r="E61" s="1189"/>
      <c r="F61" s="1189"/>
      <c r="G61" s="1189"/>
      <c r="H61" s="1189"/>
      <c r="I61" s="1189"/>
      <c r="J61" s="1189"/>
      <c r="K61" s="1189"/>
      <c r="L61" s="1189"/>
      <c r="M61" s="1189"/>
      <c r="N61" s="1189"/>
      <c r="O61" s="1189"/>
      <c r="P61" s="1501">
        <f t="shared" si="2"/>
        <v>0</v>
      </c>
      <c r="Q61" s="1355">
        <f t="shared" si="3"/>
        <v>0</v>
      </c>
      <c r="R61" s="1354"/>
      <c r="S61" s="1189"/>
      <c r="T61" s="1189"/>
      <c r="U61" s="1189"/>
      <c r="V61" s="1189">
        <v>306630</v>
      </c>
      <c r="W61" s="1189">
        <v>0</v>
      </c>
      <c r="X61" s="1189">
        <v>0</v>
      </c>
      <c r="Y61" s="1189">
        <v>0</v>
      </c>
      <c r="Z61" s="1189"/>
      <c r="AA61" s="1189"/>
      <c r="AB61" s="1189"/>
      <c r="AC61" s="1189"/>
      <c r="AD61" s="1355">
        <f t="shared" si="1"/>
        <v>306630</v>
      </c>
      <c r="AE61" s="1363"/>
      <c r="AF61" s="1336">
        <f t="shared" si="0"/>
        <v>1</v>
      </c>
      <c r="AG61" s="1306">
        <f t="shared" si="4"/>
        <v>119</v>
      </c>
    </row>
    <row r="62" spans="1:33" x14ac:dyDescent="0.3">
      <c r="A62" s="37" t="s">
        <v>785</v>
      </c>
      <c r="B62" s="1345" t="s">
        <v>2849</v>
      </c>
      <c r="C62" s="1486"/>
      <c r="D62" s="1189"/>
      <c r="E62" s="1189"/>
      <c r="F62" s="1189"/>
      <c r="G62" s="1189"/>
      <c r="H62" s="1189"/>
      <c r="I62" s="1189"/>
      <c r="J62" s="1189"/>
      <c r="K62" s="1189"/>
      <c r="L62" s="1189"/>
      <c r="M62" s="1189"/>
      <c r="N62" s="1189"/>
      <c r="O62" s="1189"/>
      <c r="P62" s="1501">
        <f t="shared" si="2"/>
        <v>0</v>
      </c>
      <c r="Q62" s="1355">
        <f t="shared" si="3"/>
        <v>0</v>
      </c>
      <c r="R62" s="1354"/>
      <c r="S62" s="1189"/>
      <c r="T62" s="1189"/>
      <c r="U62" s="1189"/>
      <c r="V62" s="1189"/>
      <c r="W62" s="1189">
        <v>276560</v>
      </c>
      <c r="X62" s="1189">
        <v>0</v>
      </c>
      <c r="Y62" s="1189">
        <v>0</v>
      </c>
      <c r="Z62" s="1189"/>
      <c r="AA62" s="1189"/>
      <c r="AB62" s="1189"/>
      <c r="AC62" s="1189"/>
      <c r="AD62" s="1355">
        <f t="shared" si="1"/>
        <v>276560</v>
      </c>
      <c r="AE62" s="1363"/>
      <c r="AF62" s="1336">
        <f t="shared" si="0"/>
        <v>1</v>
      </c>
      <c r="AG62" s="1306">
        <f t="shared" si="4"/>
        <v>125</v>
      </c>
    </row>
    <row r="63" spans="1:33" x14ac:dyDescent="0.3">
      <c r="A63" s="37" t="s">
        <v>785</v>
      </c>
      <c r="B63" s="1345" t="s">
        <v>717</v>
      </c>
      <c r="C63" s="1486"/>
      <c r="D63" s="1189"/>
      <c r="E63" s="1189"/>
      <c r="F63" s="1189"/>
      <c r="G63" s="1189"/>
      <c r="H63" s="1189"/>
      <c r="I63" s="1189"/>
      <c r="J63" s="1189"/>
      <c r="K63" s="1189"/>
      <c r="L63" s="1189"/>
      <c r="M63" s="1189"/>
      <c r="N63" s="1189"/>
      <c r="O63" s="1189"/>
      <c r="P63" s="1501">
        <f t="shared" si="2"/>
        <v>0</v>
      </c>
      <c r="Q63" s="1355">
        <f t="shared" si="3"/>
        <v>0</v>
      </c>
      <c r="R63" s="1354"/>
      <c r="S63" s="1189"/>
      <c r="T63" s="1189"/>
      <c r="U63" s="1189"/>
      <c r="V63" s="1189"/>
      <c r="W63" s="1189">
        <v>1483100</v>
      </c>
      <c r="X63" s="1189">
        <v>0</v>
      </c>
      <c r="Y63" s="1189">
        <v>0</v>
      </c>
      <c r="Z63" s="1189"/>
      <c r="AA63" s="1189"/>
      <c r="AB63" s="1189"/>
      <c r="AC63" s="1189"/>
      <c r="AD63" s="1355">
        <f t="shared" si="1"/>
        <v>1483100</v>
      </c>
      <c r="AE63" s="1363"/>
      <c r="AF63" s="1336">
        <f t="shared" si="0"/>
        <v>1</v>
      </c>
      <c r="AG63" s="1306">
        <f t="shared" si="4"/>
        <v>60</v>
      </c>
    </row>
    <row r="64" spans="1:33" x14ac:dyDescent="0.3">
      <c r="A64" s="37" t="s">
        <v>785</v>
      </c>
      <c r="B64" s="1345" t="s">
        <v>2884</v>
      </c>
      <c r="C64" s="1486"/>
      <c r="D64" s="1189"/>
      <c r="E64" s="1189"/>
      <c r="F64" s="1189"/>
      <c r="G64" s="1189"/>
      <c r="H64" s="1189"/>
      <c r="I64" s="1189"/>
      <c r="J64" s="1189"/>
      <c r="K64" s="1189"/>
      <c r="L64" s="1189"/>
      <c r="M64" s="1189"/>
      <c r="N64" s="1189"/>
      <c r="O64" s="1189"/>
      <c r="P64" s="1501">
        <f t="shared" si="2"/>
        <v>0</v>
      </c>
      <c r="Q64" s="1355">
        <f t="shared" si="3"/>
        <v>0</v>
      </c>
      <c r="R64" s="1354"/>
      <c r="S64" s="1189"/>
      <c r="T64" s="1189"/>
      <c r="U64" s="1189"/>
      <c r="V64" s="1189"/>
      <c r="W64" s="1189">
        <v>204750</v>
      </c>
      <c r="X64" s="1189">
        <v>0</v>
      </c>
      <c r="Y64" s="1189">
        <v>0</v>
      </c>
      <c r="Z64" s="1189"/>
      <c r="AA64" s="1189"/>
      <c r="AB64" s="1189"/>
      <c r="AC64" s="1189"/>
      <c r="AD64" s="1355">
        <f t="shared" si="1"/>
        <v>204750</v>
      </c>
      <c r="AE64" s="1363"/>
      <c r="AF64" s="1336">
        <f t="shared" si="0"/>
        <v>1</v>
      </c>
      <c r="AG64" s="1306">
        <f t="shared" si="4"/>
        <v>139</v>
      </c>
    </row>
    <row r="65" spans="1:33" x14ac:dyDescent="0.3">
      <c r="A65" s="37" t="s">
        <v>785</v>
      </c>
      <c r="B65" s="1345" t="s">
        <v>2913</v>
      </c>
      <c r="C65" s="1486"/>
      <c r="D65" s="1189"/>
      <c r="E65" s="1189"/>
      <c r="F65" s="1189"/>
      <c r="G65" s="1189"/>
      <c r="H65" s="1189"/>
      <c r="I65" s="1189"/>
      <c r="J65" s="1189"/>
      <c r="K65" s="1189"/>
      <c r="L65" s="1189"/>
      <c r="M65" s="1189"/>
      <c r="N65" s="1189"/>
      <c r="O65" s="1189"/>
      <c r="P65" s="1501">
        <f t="shared" si="2"/>
        <v>0</v>
      </c>
      <c r="Q65" s="1355">
        <f t="shared" si="3"/>
        <v>0</v>
      </c>
      <c r="R65" s="1354"/>
      <c r="S65" s="1189"/>
      <c r="T65" s="1189"/>
      <c r="U65" s="1189"/>
      <c r="V65" s="1189"/>
      <c r="W65" s="1189">
        <v>1384090</v>
      </c>
      <c r="X65" s="1189">
        <v>847780</v>
      </c>
      <c r="Y65" s="1189">
        <v>0</v>
      </c>
      <c r="Z65" s="1189"/>
      <c r="AA65" s="1189"/>
      <c r="AB65" s="1189"/>
      <c r="AC65" s="1189"/>
      <c r="AD65" s="1355">
        <f t="shared" si="1"/>
        <v>2231870</v>
      </c>
      <c r="AE65" s="1363"/>
      <c r="AF65" s="1336">
        <f t="shared" si="0"/>
        <v>1</v>
      </c>
      <c r="AG65" s="1306">
        <f t="shared" si="4"/>
        <v>37</v>
      </c>
    </row>
    <row r="66" spans="1:33" x14ac:dyDescent="0.3">
      <c r="A66" s="37" t="s">
        <v>785</v>
      </c>
      <c r="B66" s="1345" t="s">
        <v>2914</v>
      </c>
      <c r="C66" s="1486"/>
      <c r="D66" s="1189"/>
      <c r="E66" s="1189"/>
      <c r="F66" s="1189"/>
      <c r="G66" s="1189"/>
      <c r="H66" s="1189"/>
      <c r="I66" s="1189"/>
      <c r="J66" s="1189"/>
      <c r="K66" s="1189"/>
      <c r="L66" s="1189"/>
      <c r="M66" s="1189"/>
      <c r="N66" s="1189"/>
      <c r="O66" s="1189"/>
      <c r="P66" s="1501">
        <f t="shared" si="2"/>
        <v>0</v>
      </c>
      <c r="Q66" s="1355">
        <f t="shared" si="3"/>
        <v>0</v>
      </c>
      <c r="R66" s="1354"/>
      <c r="S66" s="1189"/>
      <c r="T66" s="1189"/>
      <c r="U66" s="1189"/>
      <c r="V66" s="1189"/>
      <c r="W66" s="1189">
        <v>472230</v>
      </c>
      <c r="X66" s="1189">
        <v>345080</v>
      </c>
      <c r="Y66" s="1189">
        <v>236430</v>
      </c>
      <c r="Z66" s="1189"/>
      <c r="AA66" s="1189"/>
      <c r="AB66" s="1189"/>
      <c r="AC66" s="1189"/>
      <c r="AD66" s="1355">
        <f t="shared" si="1"/>
        <v>1053740</v>
      </c>
      <c r="AE66" s="1363"/>
      <c r="AF66" s="1336">
        <f t="shared" si="0"/>
        <v>1</v>
      </c>
      <c r="AG66" s="1306">
        <f t="shared" si="4"/>
        <v>69</v>
      </c>
    </row>
    <row r="67" spans="1:33" x14ac:dyDescent="0.3">
      <c r="A67" s="37" t="s">
        <v>785</v>
      </c>
      <c r="B67" s="1345" t="s">
        <v>2971</v>
      </c>
      <c r="C67" s="1486"/>
      <c r="D67" s="1189"/>
      <c r="E67" s="1189"/>
      <c r="F67" s="1189"/>
      <c r="G67" s="1189"/>
      <c r="H67" s="1189"/>
      <c r="I67" s="1189"/>
      <c r="J67" s="1189"/>
      <c r="K67" s="1189">
        <v>0</v>
      </c>
      <c r="L67" s="1189"/>
      <c r="M67" s="1189"/>
      <c r="N67" s="1189"/>
      <c r="O67" s="1189"/>
      <c r="P67" s="1501">
        <f t="shared" si="2"/>
        <v>0</v>
      </c>
      <c r="Q67" s="1355">
        <f t="shared" si="3"/>
        <v>0</v>
      </c>
      <c r="R67" s="1354"/>
      <c r="S67" s="1189"/>
      <c r="T67" s="1189"/>
      <c r="U67" s="1189"/>
      <c r="V67" s="1189"/>
      <c r="W67" s="1189"/>
      <c r="X67" s="1189">
        <v>1186420</v>
      </c>
      <c r="Y67" s="1189">
        <v>345500</v>
      </c>
      <c r="Z67" s="1189"/>
      <c r="AA67" s="1189"/>
      <c r="AB67" s="1189"/>
      <c r="AC67" s="1189"/>
      <c r="AD67" s="1355">
        <f t="shared" si="1"/>
        <v>1531920</v>
      </c>
      <c r="AE67" s="1363"/>
      <c r="AF67" s="1336">
        <f t="shared" si="0"/>
        <v>1</v>
      </c>
      <c r="AG67" s="1306">
        <f t="shared" si="4"/>
        <v>56</v>
      </c>
    </row>
    <row r="68" spans="1:33" x14ac:dyDescent="0.3">
      <c r="A68" s="37" t="s">
        <v>785</v>
      </c>
      <c r="B68" s="1345" t="s">
        <v>1935</v>
      </c>
      <c r="C68" s="1486"/>
      <c r="D68" s="1189"/>
      <c r="E68" s="1189"/>
      <c r="F68" s="1189"/>
      <c r="G68" s="1189"/>
      <c r="H68" s="1189"/>
      <c r="I68" s="1189"/>
      <c r="J68" s="1189"/>
      <c r="K68" s="1189"/>
      <c r="L68" s="1189"/>
      <c r="M68" s="1189"/>
      <c r="N68" s="1189"/>
      <c r="O68" s="1189"/>
      <c r="P68" s="1501">
        <f t="shared" ref="P68:P134" si="9">SUM(C68:I68,K68)</f>
        <v>0</v>
      </c>
      <c r="Q68" s="1355">
        <f t="shared" ref="Q68:Q77" si="10">SUM(C68:J68,L68:O68)</f>
        <v>0</v>
      </c>
      <c r="R68" s="1354"/>
      <c r="S68" s="1189"/>
      <c r="T68" s="1189"/>
      <c r="U68" s="1189"/>
      <c r="V68" s="1189"/>
      <c r="W68" s="1189"/>
      <c r="X68" s="1189">
        <v>1299770</v>
      </c>
      <c r="Y68" s="1189">
        <v>0</v>
      </c>
      <c r="Z68" s="1189"/>
      <c r="AA68" s="1189"/>
      <c r="AB68" s="1189"/>
      <c r="AC68" s="1189"/>
      <c r="AD68" s="1355">
        <f t="shared" si="1"/>
        <v>1299770</v>
      </c>
      <c r="AE68" s="1363"/>
      <c r="AF68" s="1336">
        <f t="shared" si="0"/>
        <v>1</v>
      </c>
      <c r="AG68" s="1306">
        <f t="shared" ref="AG68:AG77" si="11">IFERROR(_xlfn.RANK.EQ(AD68, $AD$2:$AD$328), "")</f>
        <v>63</v>
      </c>
    </row>
    <row r="69" spans="1:33" x14ac:dyDescent="0.3">
      <c r="A69" s="37" t="s">
        <v>785</v>
      </c>
      <c r="B69" s="1345" t="s">
        <v>2972</v>
      </c>
      <c r="C69" s="1486"/>
      <c r="D69" s="1189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501">
        <f t="shared" si="9"/>
        <v>0</v>
      </c>
      <c r="Q69" s="1355">
        <f t="shared" si="10"/>
        <v>0</v>
      </c>
      <c r="R69" s="1354"/>
      <c r="S69" s="1189"/>
      <c r="T69" s="1189"/>
      <c r="U69" s="1189"/>
      <c r="V69" s="1189"/>
      <c r="W69" s="1189"/>
      <c r="X69" s="1189">
        <v>5286310</v>
      </c>
      <c r="Y69" s="1189">
        <v>1822030</v>
      </c>
      <c r="Z69" s="1189"/>
      <c r="AA69" s="1189"/>
      <c r="AB69" s="1189"/>
      <c r="AC69" s="1189"/>
      <c r="AD69" s="1355">
        <f t="shared" si="1"/>
        <v>7108340</v>
      </c>
      <c r="AE69" s="1363"/>
      <c r="AF69" s="1336">
        <f t="shared" si="0"/>
        <v>1</v>
      </c>
      <c r="AG69" s="1306">
        <f t="shared" si="11"/>
        <v>8</v>
      </c>
    </row>
    <row r="70" spans="1:33" x14ac:dyDescent="0.3">
      <c r="A70" s="37" t="s">
        <v>785</v>
      </c>
      <c r="B70" s="1345" t="s">
        <v>2833</v>
      </c>
      <c r="C70" s="1486"/>
      <c r="D70" s="1189"/>
      <c r="E70" s="1189"/>
      <c r="F70" s="1189"/>
      <c r="G70" s="1189"/>
      <c r="H70" s="1189"/>
      <c r="I70" s="1189"/>
      <c r="J70" s="1189"/>
      <c r="K70" s="1189"/>
      <c r="L70" s="1189"/>
      <c r="M70" s="1189"/>
      <c r="N70" s="1189"/>
      <c r="O70" s="1189"/>
      <c r="P70" s="1501">
        <f t="shared" si="9"/>
        <v>0</v>
      </c>
      <c r="Q70" s="1355">
        <f t="shared" si="10"/>
        <v>0</v>
      </c>
      <c r="R70" s="1354"/>
      <c r="S70" s="1189"/>
      <c r="T70" s="1189"/>
      <c r="U70" s="1189"/>
      <c r="V70" s="1189"/>
      <c r="W70" s="1189"/>
      <c r="X70" s="1189">
        <v>234000</v>
      </c>
      <c r="Y70" s="1189">
        <v>0</v>
      </c>
      <c r="Z70" s="1189"/>
      <c r="AA70" s="1189"/>
      <c r="AB70" s="1189"/>
      <c r="AC70" s="1189"/>
      <c r="AD70" s="1355">
        <f t="shared" si="1"/>
        <v>234000</v>
      </c>
      <c r="AE70" s="1363"/>
      <c r="AF70" s="1336">
        <f t="shared" si="0"/>
        <v>1</v>
      </c>
      <c r="AG70" s="1306">
        <f t="shared" si="11"/>
        <v>131</v>
      </c>
    </row>
    <row r="71" spans="1:33" x14ac:dyDescent="0.3">
      <c r="A71" s="37" t="s">
        <v>785</v>
      </c>
      <c r="B71" s="1345" t="s">
        <v>2973</v>
      </c>
      <c r="C71" s="1486"/>
      <c r="D71" s="1189"/>
      <c r="E71" s="1189"/>
      <c r="F71" s="1189"/>
      <c r="G71" s="1189"/>
      <c r="H71" s="1189"/>
      <c r="I71" s="1189"/>
      <c r="J71" s="1189"/>
      <c r="K71" s="1189"/>
      <c r="L71" s="1189"/>
      <c r="M71" s="1189"/>
      <c r="N71" s="1189"/>
      <c r="O71" s="1189"/>
      <c r="P71" s="1501">
        <f t="shared" si="9"/>
        <v>0</v>
      </c>
      <c r="Q71" s="1355">
        <f t="shared" si="10"/>
        <v>0</v>
      </c>
      <c r="R71" s="1354"/>
      <c r="S71" s="1189"/>
      <c r="T71" s="1189"/>
      <c r="U71" s="1189"/>
      <c r="V71" s="1189"/>
      <c r="W71" s="1189"/>
      <c r="X71" s="1189">
        <v>444770</v>
      </c>
      <c r="Y71" s="1189">
        <v>356300</v>
      </c>
      <c r="Z71" s="1189"/>
      <c r="AA71" s="1189"/>
      <c r="AB71" s="1189"/>
      <c r="AC71" s="1189"/>
      <c r="AD71" s="1355">
        <f t="shared" si="1"/>
        <v>801070</v>
      </c>
      <c r="AE71" s="1363"/>
      <c r="AF71" s="1336">
        <f t="shared" si="0"/>
        <v>1</v>
      </c>
      <c r="AG71" s="1306">
        <f t="shared" si="11"/>
        <v>79</v>
      </c>
    </row>
    <row r="72" spans="1:33" x14ac:dyDescent="0.3">
      <c r="A72" s="37" t="s">
        <v>785</v>
      </c>
      <c r="B72" s="1345" t="s">
        <v>2974</v>
      </c>
      <c r="C72" s="1486"/>
      <c r="D72" s="1189"/>
      <c r="E72" s="1189"/>
      <c r="F72" s="1189"/>
      <c r="G72" s="1189"/>
      <c r="H72" s="1189"/>
      <c r="I72" s="1189"/>
      <c r="J72" s="1189"/>
      <c r="K72" s="1189"/>
      <c r="L72" s="1189"/>
      <c r="M72" s="1189"/>
      <c r="N72" s="1189"/>
      <c r="O72" s="1189"/>
      <c r="P72" s="1501">
        <f t="shared" si="9"/>
        <v>0</v>
      </c>
      <c r="Q72" s="1355">
        <f t="shared" si="10"/>
        <v>0</v>
      </c>
      <c r="R72" s="1354"/>
      <c r="S72" s="1189"/>
      <c r="T72" s="1189"/>
      <c r="U72" s="1189"/>
      <c r="V72" s="1189"/>
      <c r="W72" s="1189"/>
      <c r="X72" s="1189">
        <v>24390</v>
      </c>
      <c r="Y72" s="1189">
        <v>314990</v>
      </c>
      <c r="Z72" s="1189"/>
      <c r="AA72" s="1189"/>
      <c r="AB72" s="1189"/>
      <c r="AC72" s="1189"/>
      <c r="AD72" s="1355">
        <f t="shared" si="1"/>
        <v>339380</v>
      </c>
      <c r="AE72" s="1363"/>
      <c r="AF72" s="1336">
        <f t="shared" si="0"/>
        <v>1</v>
      </c>
      <c r="AG72" s="1306">
        <f t="shared" si="11"/>
        <v>117</v>
      </c>
    </row>
    <row r="73" spans="1:33" x14ac:dyDescent="0.3">
      <c r="A73" s="37" t="s">
        <v>785</v>
      </c>
      <c r="B73" s="1345" t="s">
        <v>3005</v>
      </c>
      <c r="C73" s="1486"/>
      <c r="D73" s="1189"/>
      <c r="E73" s="1189"/>
      <c r="F73" s="1189"/>
      <c r="G73" s="1189"/>
      <c r="H73" s="1189"/>
      <c r="I73" s="1189"/>
      <c r="J73" s="1189"/>
      <c r="K73" s="1189"/>
      <c r="L73" s="1189"/>
      <c r="M73" s="1189"/>
      <c r="N73" s="1189"/>
      <c r="O73" s="1189"/>
      <c r="P73" s="1501">
        <f t="shared" si="9"/>
        <v>0</v>
      </c>
      <c r="Q73" s="1355">
        <f t="shared" si="10"/>
        <v>0</v>
      </c>
      <c r="R73" s="1354"/>
      <c r="S73" s="1189"/>
      <c r="T73" s="1189"/>
      <c r="U73" s="1189"/>
      <c r="V73" s="1189"/>
      <c r="W73" s="1189"/>
      <c r="X73" s="1189">
        <v>511110</v>
      </c>
      <c r="Y73" s="1189">
        <v>0</v>
      </c>
      <c r="Z73" s="1189"/>
      <c r="AA73" s="1189"/>
      <c r="AB73" s="1189"/>
      <c r="AC73" s="1189"/>
      <c r="AD73" s="1355">
        <f t="shared" si="1"/>
        <v>511110</v>
      </c>
      <c r="AE73" s="1363"/>
      <c r="AF73" s="1336">
        <f t="shared" si="0"/>
        <v>1</v>
      </c>
      <c r="AG73" s="1306">
        <f t="shared" si="11"/>
        <v>102</v>
      </c>
    </row>
    <row r="74" spans="1:33" x14ac:dyDescent="0.3">
      <c r="A74" s="37" t="s">
        <v>785</v>
      </c>
      <c r="B74" s="1345" t="s">
        <v>3006</v>
      </c>
      <c r="C74" s="1486"/>
      <c r="D74" s="1189"/>
      <c r="E74" s="1189"/>
      <c r="F74" s="1189"/>
      <c r="G74" s="1189"/>
      <c r="H74" s="1189"/>
      <c r="I74" s="1189"/>
      <c r="J74" s="1189"/>
      <c r="K74" s="1189"/>
      <c r="L74" s="1189"/>
      <c r="M74" s="1189"/>
      <c r="N74" s="1189"/>
      <c r="O74" s="1189"/>
      <c r="P74" s="1501">
        <f t="shared" si="9"/>
        <v>0</v>
      </c>
      <c r="Q74" s="1355">
        <f t="shared" si="10"/>
        <v>0</v>
      </c>
      <c r="R74" s="1354"/>
      <c r="S74" s="1189"/>
      <c r="T74" s="1189"/>
      <c r="U74" s="1189"/>
      <c r="V74" s="1189"/>
      <c r="W74" s="1189"/>
      <c r="X74" s="1189">
        <v>404990</v>
      </c>
      <c r="Y74" s="1189">
        <v>512780</v>
      </c>
      <c r="Z74" s="1189"/>
      <c r="AA74" s="1189"/>
      <c r="AB74" s="1189"/>
      <c r="AC74" s="1189"/>
      <c r="AD74" s="1355">
        <f t="shared" si="1"/>
        <v>917770</v>
      </c>
      <c r="AE74" s="1363"/>
      <c r="AF74" s="1336">
        <f t="shared" si="0"/>
        <v>1</v>
      </c>
      <c r="AG74" s="1306">
        <f t="shared" si="11"/>
        <v>77</v>
      </c>
    </row>
    <row r="75" spans="1:33" x14ac:dyDescent="0.3">
      <c r="A75" s="37" t="s">
        <v>785</v>
      </c>
      <c r="B75" s="1345" t="s">
        <v>3052</v>
      </c>
      <c r="C75" s="1486"/>
      <c r="D75" s="1189"/>
      <c r="E75" s="1189"/>
      <c r="F75" s="1189"/>
      <c r="G75" s="1189"/>
      <c r="H75" s="1189"/>
      <c r="I75" s="1189"/>
      <c r="J75" s="1189"/>
      <c r="K75" s="1189"/>
      <c r="L75" s="1189"/>
      <c r="M75" s="1189"/>
      <c r="N75" s="1189"/>
      <c r="O75" s="1189"/>
      <c r="P75" s="1501">
        <f t="shared" si="9"/>
        <v>0</v>
      </c>
      <c r="Q75" s="1355">
        <f t="shared" si="10"/>
        <v>0</v>
      </c>
      <c r="R75" s="1354"/>
      <c r="S75" s="1189"/>
      <c r="T75" s="1189"/>
      <c r="U75" s="1189"/>
      <c r="V75" s="1189"/>
      <c r="W75" s="1189"/>
      <c r="X75" s="1189"/>
      <c r="Y75" s="1189">
        <v>0</v>
      </c>
      <c r="Z75" s="1189"/>
      <c r="AA75" s="1189"/>
      <c r="AB75" s="1189"/>
      <c r="AC75" s="1189"/>
      <c r="AD75" s="1355">
        <f t="shared" si="1"/>
        <v>0</v>
      </c>
      <c r="AE75" s="1363"/>
      <c r="AF75" s="1336">
        <f t="shared" si="0"/>
        <v>0</v>
      </c>
      <c r="AG75" s="1306">
        <f t="shared" si="11"/>
        <v>149</v>
      </c>
    </row>
    <row r="76" spans="1:33" x14ac:dyDescent="0.3">
      <c r="A76" s="37" t="s">
        <v>785</v>
      </c>
      <c r="B76" s="1345" t="s">
        <v>2114</v>
      </c>
      <c r="C76" s="1486"/>
      <c r="D76" s="1189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501">
        <f t="shared" si="9"/>
        <v>0</v>
      </c>
      <c r="Q76" s="1355">
        <f t="shared" si="10"/>
        <v>0</v>
      </c>
      <c r="R76" s="1354"/>
      <c r="S76" s="1189"/>
      <c r="T76" s="1189"/>
      <c r="U76" s="1189"/>
      <c r="V76" s="1189"/>
      <c r="W76" s="1189"/>
      <c r="X76" s="1189"/>
      <c r="Y76" s="1189">
        <v>1559240</v>
      </c>
      <c r="Z76" s="1189"/>
      <c r="AA76" s="1189"/>
      <c r="AB76" s="1189"/>
      <c r="AC76" s="1189"/>
      <c r="AD76" s="1355">
        <f t="shared" si="1"/>
        <v>1559240</v>
      </c>
      <c r="AE76" s="1363"/>
      <c r="AF76" s="1336">
        <f t="shared" si="0"/>
        <v>1</v>
      </c>
      <c r="AG76" s="1306">
        <f t="shared" si="11"/>
        <v>54</v>
      </c>
    </row>
    <row r="77" spans="1:33" x14ac:dyDescent="0.3">
      <c r="A77" s="37" t="s">
        <v>785</v>
      </c>
      <c r="B77" s="1345" t="s">
        <v>2895</v>
      </c>
      <c r="C77" s="1486"/>
      <c r="D77" s="1189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501">
        <f t="shared" si="9"/>
        <v>0</v>
      </c>
      <c r="Q77" s="1355">
        <f t="shared" si="10"/>
        <v>0</v>
      </c>
      <c r="R77" s="1354"/>
      <c r="S77" s="1189"/>
      <c r="T77" s="1189"/>
      <c r="U77" s="1189"/>
      <c r="V77" s="1189"/>
      <c r="W77" s="1189"/>
      <c r="X77" s="1189"/>
      <c r="Y77" s="1189">
        <v>180000</v>
      </c>
      <c r="Z77" s="1189"/>
      <c r="AA77" s="1189"/>
      <c r="AB77" s="1189"/>
      <c r="AC77" s="1189"/>
      <c r="AD77" s="1355">
        <f t="shared" si="1"/>
        <v>180000</v>
      </c>
      <c r="AE77" s="1363"/>
      <c r="AF77" s="1336">
        <f t="shared" si="0"/>
        <v>1</v>
      </c>
      <c r="AG77" s="1306">
        <f t="shared" si="11"/>
        <v>143</v>
      </c>
    </row>
    <row r="78" spans="1:33" x14ac:dyDescent="0.3">
      <c r="A78" s="38" t="s">
        <v>804</v>
      </c>
      <c r="B78" s="1346" t="s">
        <v>708</v>
      </c>
      <c r="C78" s="1487" t="s">
        <v>251</v>
      </c>
      <c r="D78" s="1190" t="s">
        <v>251</v>
      </c>
      <c r="E78" s="1190" t="s">
        <v>251</v>
      </c>
      <c r="F78" s="1190" t="s">
        <v>251</v>
      </c>
      <c r="G78" s="1190" t="s">
        <v>251</v>
      </c>
      <c r="H78" s="1190" t="s">
        <v>251</v>
      </c>
      <c r="I78" s="1190" t="s">
        <v>251</v>
      </c>
      <c r="J78" s="1190" t="s">
        <v>251</v>
      </c>
      <c r="K78" s="1190"/>
      <c r="L78" s="1190" t="s">
        <v>251</v>
      </c>
      <c r="M78" s="1190" t="s">
        <v>251</v>
      </c>
      <c r="N78" s="1190" t="s">
        <v>251</v>
      </c>
      <c r="O78" s="1190" t="s">
        <v>251</v>
      </c>
      <c r="P78" s="1501">
        <f t="shared" si="9"/>
        <v>0</v>
      </c>
      <c r="Q78" s="1357">
        <f>SUM(C78:J78,L78:O78)</f>
        <v>0</v>
      </c>
      <c r="R78" s="1356" t="s">
        <v>251</v>
      </c>
      <c r="S78" s="1190" t="s">
        <v>251</v>
      </c>
      <c r="T78" s="1190" t="s">
        <v>251</v>
      </c>
      <c r="U78" s="1190"/>
      <c r="V78" s="1190"/>
      <c r="W78" s="1190"/>
      <c r="X78" s="1190"/>
      <c r="Y78" s="1190"/>
      <c r="Z78" s="1190"/>
      <c r="AA78" s="1190"/>
      <c r="AB78" s="1190"/>
      <c r="AC78" s="1190"/>
      <c r="AD78" s="1357">
        <f t="shared" si="1"/>
        <v>0</v>
      </c>
      <c r="AE78" s="1364" t="e">
        <f>IF(OR(#REF!="", AD78=""), 0, IFERROR((#REF!-AD78)/AD78, IF(#REF!&lt;&gt;0, 1, 0)))</f>
        <v>#REF!</v>
      </c>
      <c r="AF78" s="1337">
        <f t="shared" si="0"/>
        <v>0</v>
      </c>
      <c r="AG78" s="1307">
        <f>IFERROR(_xlfn.RANK.EQ(AD78, $AD$2:$AD$328), "")</f>
        <v>149</v>
      </c>
    </row>
    <row r="79" spans="1:33" x14ac:dyDescent="0.3">
      <c r="A79" s="38" t="s">
        <v>804</v>
      </c>
      <c r="B79" s="1346" t="s">
        <v>803</v>
      </c>
      <c r="C79" s="1487" t="s">
        <v>251</v>
      </c>
      <c r="D79" s="1190" t="s">
        <v>251</v>
      </c>
      <c r="E79" s="1190" t="s">
        <v>251</v>
      </c>
      <c r="F79" s="1190" t="s">
        <v>251</v>
      </c>
      <c r="G79" s="1190" t="s">
        <v>251</v>
      </c>
      <c r="H79" s="1190" t="s">
        <v>251</v>
      </c>
      <c r="I79" s="1190" t="s">
        <v>251</v>
      </c>
      <c r="J79" s="1190" t="s">
        <v>251</v>
      </c>
      <c r="K79" s="1190"/>
      <c r="L79" s="1190" t="s">
        <v>251</v>
      </c>
      <c r="M79" s="1190" t="s">
        <v>251</v>
      </c>
      <c r="N79" s="1190" t="s">
        <v>251</v>
      </c>
      <c r="O79" s="1190" t="s">
        <v>251</v>
      </c>
      <c r="P79" s="1501">
        <f t="shared" si="9"/>
        <v>0</v>
      </c>
      <c r="Q79" s="1357">
        <f t="shared" ref="Q79:Q142" si="12">SUM(C79:J79,L79:O79)</f>
        <v>0</v>
      </c>
      <c r="R79" s="1356" t="s">
        <v>251</v>
      </c>
      <c r="S79" s="1190" t="s">
        <v>251</v>
      </c>
      <c r="T79" s="1190" t="s">
        <v>251</v>
      </c>
      <c r="U79" s="1190"/>
      <c r="V79" s="1190"/>
      <c r="W79" s="1190"/>
      <c r="X79" s="1190"/>
      <c r="Y79" s="1190"/>
      <c r="Z79" s="1190"/>
      <c r="AA79" s="1190"/>
      <c r="AB79" s="1190"/>
      <c r="AC79" s="1190"/>
      <c r="AD79" s="1357">
        <f t="shared" si="1"/>
        <v>0</v>
      </c>
      <c r="AE79" s="1364" t="e">
        <f>IF(OR(#REF!="", AD79=""), 0, IFERROR((#REF!-AD79)/AD79, IF(#REF!&lt;&gt;0, 1, 0)))</f>
        <v>#REF!</v>
      </c>
      <c r="AF79" s="1337">
        <f t="shared" si="0"/>
        <v>0</v>
      </c>
      <c r="AG79" s="1307">
        <f t="shared" ref="AG79:AG142" si="13">IFERROR(_xlfn.RANK.EQ(AD79, $AD$2:$AD$328), "")</f>
        <v>149</v>
      </c>
    </row>
    <row r="80" spans="1:33" x14ac:dyDescent="0.3">
      <c r="A80" s="38" t="s">
        <v>804</v>
      </c>
      <c r="B80" s="1346" t="s">
        <v>719</v>
      </c>
      <c r="C80" s="1487" t="s">
        <v>251</v>
      </c>
      <c r="D80" s="1190" t="s">
        <v>251</v>
      </c>
      <c r="E80" s="1190" t="s">
        <v>251</v>
      </c>
      <c r="F80" s="1190" t="s">
        <v>251</v>
      </c>
      <c r="G80" s="1190" t="s">
        <v>251</v>
      </c>
      <c r="H80" s="1190" t="s">
        <v>251</v>
      </c>
      <c r="I80" s="1190" t="s">
        <v>251</v>
      </c>
      <c r="J80" s="1190" t="s">
        <v>251</v>
      </c>
      <c r="K80" s="1190"/>
      <c r="L80" s="1190" t="s">
        <v>251</v>
      </c>
      <c r="M80" s="1190" t="s">
        <v>251</v>
      </c>
      <c r="N80" s="1190" t="s">
        <v>251</v>
      </c>
      <c r="O80" s="1190" t="s">
        <v>251</v>
      </c>
      <c r="P80" s="1501">
        <f t="shared" si="9"/>
        <v>0</v>
      </c>
      <c r="Q80" s="1357">
        <f t="shared" si="12"/>
        <v>0</v>
      </c>
      <c r="R80" s="1356" t="s">
        <v>251</v>
      </c>
      <c r="S80" s="1190" t="s">
        <v>251</v>
      </c>
      <c r="T80" s="1190" t="s">
        <v>251</v>
      </c>
      <c r="U80" s="1190"/>
      <c r="V80" s="1190"/>
      <c r="W80" s="1190"/>
      <c r="X80" s="1190"/>
      <c r="Y80" s="1190"/>
      <c r="Z80" s="1190"/>
      <c r="AA80" s="1190"/>
      <c r="AB80" s="1190"/>
      <c r="AC80" s="1190"/>
      <c r="AD80" s="1357">
        <f t="shared" si="1"/>
        <v>0</v>
      </c>
      <c r="AE80" s="1364" t="e">
        <f>IF(OR(#REF!="", AD80=""), 0, IFERROR((#REF!-AD80)/AD80, IF(#REF!&lt;&gt;0, 1, 0)))</f>
        <v>#REF!</v>
      </c>
      <c r="AF80" s="1337">
        <f t="shared" si="0"/>
        <v>0</v>
      </c>
      <c r="AG80" s="1307">
        <f t="shared" si="13"/>
        <v>149</v>
      </c>
    </row>
    <row r="81" spans="1:33" x14ac:dyDescent="0.3">
      <c r="A81" s="38" t="s">
        <v>804</v>
      </c>
      <c r="B81" s="1346" t="s">
        <v>709</v>
      </c>
      <c r="C81" s="1487" t="s">
        <v>251</v>
      </c>
      <c r="D81" s="1190" t="s">
        <v>251</v>
      </c>
      <c r="E81" s="1190" t="s">
        <v>251</v>
      </c>
      <c r="F81" s="1190" t="s">
        <v>251</v>
      </c>
      <c r="G81" s="1190" t="s">
        <v>251</v>
      </c>
      <c r="H81" s="1190" t="s">
        <v>251</v>
      </c>
      <c r="I81" s="1190" t="s">
        <v>251</v>
      </c>
      <c r="J81" s="1190" t="s">
        <v>251</v>
      </c>
      <c r="K81" s="1190"/>
      <c r="L81" s="1190" t="s">
        <v>251</v>
      </c>
      <c r="M81" s="1190" t="s">
        <v>251</v>
      </c>
      <c r="N81" s="1190" t="s">
        <v>251</v>
      </c>
      <c r="O81" s="1190" t="s">
        <v>251</v>
      </c>
      <c r="P81" s="1501">
        <f t="shared" si="9"/>
        <v>0</v>
      </c>
      <c r="Q81" s="1357">
        <f t="shared" si="12"/>
        <v>0</v>
      </c>
      <c r="R81" s="1356" t="s">
        <v>251</v>
      </c>
      <c r="S81" s="1190" t="s">
        <v>251</v>
      </c>
      <c r="T81" s="1190" t="s">
        <v>251</v>
      </c>
      <c r="U81" s="1190"/>
      <c r="V81" s="1190"/>
      <c r="W81" s="1190"/>
      <c r="X81" s="1190"/>
      <c r="Y81" s="1190"/>
      <c r="Z81" s="1190"/>
      <c r="AA81" s="1190"/>
      <c r="AB81" s="1190"/>
      <c r="AC81" s="1190"/>
      <c r="AD81" s="1357">
        <f t="shared" si="1"/>
        <v>0</v>
      </c>
      <c r="AE81" s="1364" t="e">
        <f>IF(OR(#REF!="", AD81=""), 0, IFERROR((#REF!-AD81)/AD81, IF(#REF!&lt;&gt;0, 1, 0)))</f>
        <v>#REF!</v>
      </c>
      <c r="AF81" s="1337">
        <f t="shared" si="0"/>
        <v>0</v>
      </c>
      <c r="AG81" s="1307">
        <f t="shared" si="13"/>
        <v>149</v>
      </c>
    </row>
    <row r="82" spans="1:33" x14ac:dyDescent="0.3">
      <c r="A82" s="38" t="s">
        <v>804</v>
      </c>
      <c r="B82" s="1346" t="s">
        <v>805</v>
      </c>
      <c r="C82" s="1487" t="s">
        <v>251</v>
      </c>
      <c r="D82" s="1190" t="s">
        <v>251</v>
      </c>
      <c r="E82" s="1190" t="s">
        <v>251</v>
      </c>
      <c r="F82" s="1190" t="s">
        <v>251</v>
      </c>
      <c r="G82" s="1190" t="s">
        <v>251</v>
      </c>
      <c r="H82" s="1190" t="s">
        <v>251</v>
      </c>
      <c r="I82" s="1190" t="s">
        <v>251</v>
      </c>
      <c r="J82" s="1190" t="s">
        <v>251</v>
      </c>
      <c r="K82" s="1190"/>
      <c r="L82" s="1190" t="s">
        <v>251</v>
      </c>
      <c r="M82" s="1190" t="s">
        <v>251</v>
      </c>
      <c r="N82" s="1190" t="s">
        <v>251</v>
      </c>
      <c r="O82" s="1190" t="s">
        <v>251</v>
      </c>
      <c r="P82" s="1501">
        <f t="shared" si="9"/>
        <v>0</v>
      </c>
      <c r="Q82" s="1357">
        <f t="shared" si="12"/>
        <v>0</v>
      </c>
      <c r="R82" s="1356" t="s">
        <v>251</v>
      </c>
      <c r="S82" s="1190" t="s">
        <v>251</v>
      </c>
      <c r="T82" s="1190" t="s">
        <v>251</v>
      </c>
      <c r="U82" s="1190"/>
      <c r="V82" s="1190"/>
      <c r="W82" s="1190"/>
      <c r="X82" s="1190"/>
      <c r="Y82" s="1190"/>
      <c r="Z82" s="1190"/>
      <c r="AA82" s="1190"/>
      <c r="AB82" s="1190"/>
      <c r="AC82" s="1190"/>
      <c r="AD82" s="1357">
        <f t="shared" ref="AD82:AD145" si="14">SUM(R82:AC82)</f>
        <v>0</v>
      </c>
      <c r="AE82" s="1364" t="e">
        <f>IF(OR(#REF!="", AD82=""), 0, IFERROR((#REF!-AD82)/AD82, IF(#REF!&lt;&gt;0, 1, 0)))</f>
        <v>#REF!</v>
      </c>
      <c r="AF82" s="1337">
        <f t="shared" ref="AF82:AF145" si="15">IF(OR(AD82="",P82=""), 0, IFERROR((AD82-P82)/P82, IF(AD82&lt;&gt;0, 1, 0)))</f>
        <v>0</v>
      </c>
      <c r="AG82" s="1307">
        <f t="shared" si="13"/>
        <v>149</v>
      </c>
    </row>
    <row r="83" spans="1:33" x14ac:dyDescent="0.3">
      <c r="A83" s="38" t="s">
        <v>804</v>
      </c>
      <c r="B83" s="1346" t="s">
        <v>900</v>
      </c>
      <c r="C83" s="1487" t="s">
        <v>251</v>
      </c>
      <c r="D83" s="1190" t="s">
        <v>251</v>
      </c>
      <c r="E83" s="1190" t="s">
        <v>251</v>
      </c>
      <c r="F83" s="1190" t="s">
        <v>251</v>
      </c>
      <c r="G83" s="1190" t="s">
        <v>251</v>
      </c>
      <c r="H83" s="1190" t="s">
        <v>251</v>
      </c>
      <c r="I83" s="1190" t="s">
        <v>251</v>
      </c>
      <c r="J83" s="1190" t="s">
        <v>251</v>
      </c>
      <c r="K83" s="1190"/>
      <c r="L83" s="1190" t="s">
        <v>251</v>
      </c>
      <c r="M83" s="1190" t="s">
        <v>251</v>
      </c>
      <c r="N83" s="1190" t="s">
        <v>251</v>
      </c>
      <c r="O83" s="1190" t="s">
        <v>251</v>
      </c>
      <c r="P83" s="1501">
        <f t="shared" si="9"/>
        <v>0</v>
      </c>
      <c r="Q83" s="1357">
        <f t="shared" si="12"/>
        <v>0</v>
      </c>
      <c r="R83" s="1356" t="s">
        <v>251</v>
      </c>
      <c r="S83" s="1190" t="s">
        <v>251</v>
      </c>
      <c r="T83" s="1190" t="s">
        <v>251</v>
      </c>
      <c r="U83" s="1190"/>
      <c r="V83" s="1190"/>
      <c r="W83" s="1190"/>
      <c r="X83" s="1190"/>
      <c r="Y83" s="1190"/>
      <c r="Z83" s="1190"/>
      <c r="AA83" s="1190"/>
      <c r="AB83" s="1190"/>
      <c r="AC83" s="1190"/>
      <c r="AD83" s="1357">
        <f t="shared" si="14"/>
        <v>0</v>
      </c>
      <c r="AE83" s="1364" t="e">
        <f>IF(OR(#REF!="", AD83=""), 0, IFERROR((#REF!-AD83)/AD83, IF(#REF!&lt;&gt;0, 1, 0)))</f>
        <v>#REF!</v>
      </c>
      <c r="AF83" s="1337">
        <f t="shared" si="15"/>
        <v>0</v>
      </c>
      <c r="AG83" s="1307">
        <f t="shared" si="13"/>
        <v>149</v>
      </c>
    </row>
    <row r="84" spans="1:33" x14ac:dyDescent="0.3">
      <c r="A84" s="38" t="s">
        <v>804</v>
      </c>
      <c r="B84" s="1346" t="s">
        <v>807</v>
      </c>
      <c r="C84" s="1487" t="s">
        <v>251</v>
      </c>
      <c r="D84" s="1190" t="s">
        <v>251</v>
      </c>
      <c r="E84" s="1190" t="s">
        <v>251</v>
      </c>
      <c r="F84" s="1190" t="s">
        <v>251</v>
      </c>
      <c r="G84" s="1190" t="s">
        <v>251</v>
      </c>
      <c r="H84" s="1190" t="s">
        <v>251</v>
      </c>
      <c r="I84" s="1190" t="s">
        <v>251</v>
      </c>
      <c r="J84" s="1190" t="s">
        <v>251</v>
      </c>
      <c r="K84" s="1190"/>
      <c r="L84" s="1190" t="s">
        <v>251</v>
      </c>
      <c r="M84" s="1190" t="s">
        <v>251</v>
      </c>
      <c r="N84" s="1190" t="s">
        <v>251</v>
      </c>
      <c r="O84" s="1190" t="s">
        <v>251</v>
      </c>
      <c r="P84" s="1501">
        <f t="shared" si="9"/>
        <v>0</v>
      </c>
      <c r="Q84" s="1357">
        <f t="shared" si="12"/>
        <v>0</v>
      </c>
      <c r="R84" s="1356" t="s">
        <v>251</v>
      </c>
      <c r="S84" s="1190" t="s">
        <v>251</v>
      </c>
      <c r="T84" s="1190" t="s">
        <v>251</v>
      </c>
      <c r="U84" s="1190"/>
      <c r="V84" s="1190"/>
      <c r="W84" s="1190"/>
      <c r="X84" s="1190"/>
      <c r="Y84" s="1190"/>
      <c r="Z84" s="1190"/>
      <c r="AA84" s="1190"/>
      <c r="AB84" s="1190"/>
      <c r="AC84" s="1190"/>
      <c r="AD84" s="1357">
        <f t="shared" si="14"/>
        <v>0</v>
      </c>
      <c r="AE84" s="1364" t="e">
        <f>IF(OR(#REF!="", AD84=""), 0, IFERROR((#REF!-AD84)/AD84, IF(#REF!&lt;&gt;0, 1, 0)))</f>
        <v>#REF!</v>
      </c>
      <c r="AF84" s="1337">
        <f t="shared" si="15"/>
        <v>0</v>
      </c>
      <c r="AG84" s="1307">
        <f t="shared" si="13"/>
        <v>149</v>
      </c>
    </row>
    <row r="85" spans="1:33" x14ac:dyDescent="0.3">
      <c r="A85" s="38" t="s">
        <v>804</v>
      </c>
      <c r="B85" s="1346" t="s">
        <v>808</v>
      </c>
      <c r="C85" s="1487" t="s">
        <v>251</v>
      </c>
      <c r="D85" s="1190" t="s">
        <v>251</v>
      </c>
      <c r="E85" s="1190" t="s">
        <v>251</v>
      </c>
      <c r="F85" s="1190" t="s">
        <v>251</v>
      </c>
      <c r="G85" s="1190" t="s">
        <v>251</v>
      </c>
      <c r="H85" s="1190" t="s">
        <v>251</v>
      </c>
      <c r="I85" s="1190" t="s">
        <v>251</v>
      </c>
      <c r="J85" s="1190" t="s">
        <v>251</v>
      </c>
      <c r="K85" s="1190"/>
      <c r="L85" s="1190" t="s">
        <v>251</v>
      </c>
      <c r="M85" s="1190" t="s">
        <v>251</v>
      </c>
      <c r="N85" s="1190" t="s">
        <v>251</v>
      </c>
      <c r="O85" s="1190" t="s">
        <v>251</v>
      </c>
      <c r="P85" s="1501">
        <f t="shared" si="9"/>
        <v>0</v>
      </c>
      <c r="Q85" s="1357">
        <f t="shared" si="12"/>
        <v>0</v>
      </c>
      <c r="R85" s="1356" t="s">
        <v>251</v>
      </c>
      <c r="S85" s="1190" t="s">
        <v>251</v>
      </c>
      <c r="T85" s="1190" t="s">
        <v>251</v>
      </c>
      <c r="U85" s="1190"/>
      <c r="V85" s="1190"/>
      <c r="W85" s="1190"/>
      <c r="X85" s="1190"/>
      <c r="Y85" s="1190"/>
      <c r="Z85" s="1190"/>
      <c r="AA85" s="1190"/>
      <c r="AB85" s="1190"/>
      <c r="AC85" s="1190"/>
      <c r="AD85" s="1357">
        <f t="shared" si="14"/>
        <v>0</v>
      </c>
      <c r="AE85" s="1364" t="e">
        <f>IF(OR(#REF!="", AD85=""), 0, IFERROR((#REF!-AD85)/AD85, IF(#REF!&lt;&gt;0, 1, 0)))</f>
        <v>#REF!</v>
      </c>
      <c r="AF85" s="1337">
        <f t="shared" si="15"/>
        <v>0</v>
      </c>
      <c r="AG85" s="1307">
        <f t="shared" si="13"/>
        <v>149</v>
      </c>
    </row>
    <row r="86" spans="1:33" x14ac:dyDescent="0.3">
      <c r="A86" s="38" t="s">
        <v>804</v>
      </c>
      <c r="B86" s="1346" t="s">
        <v>704</v>
      </c>
      <c r="C86" s="1487" t="s">
        <v>251</v>
      </c>
      <c r="D86" s="1190" t="s">
        <v>251</v>
      </c>
      <c r="E86" s="1190" t="s">
        <v>251</v>
      </c>
      <c r="F86" s="1190" t="s">
        <v>251</v>
      </c>
      <c r="G86" s="1190" t="s">
        <v>251</v>
      </c>
      <c r="H86" s="1190" t="s">
        <v>251</v>
      </c>
      <c r="I86" s="1190" t="s">
        <v>251</v>
      </c>
      <c r="J86" s="1190" t="s">
        <v>251</v>
      </c>
      <c r="K86" s="1190"/>
      <c r="L86" s="1190" t="s">
        <v>251</v>
      </c>
      <c r="M86" s="1190" t="s">
        <v>251</v>
      </c>
      <c r="N86" s="1190" t="s">
        <v>251</v>
      </c>
      <c r="O86" s="1190" t="s">
        <v>251</v>
      </c>
      <c r="P86" s="1501">
        <f t="shared" si="9"/>
        <v>0</v>
      </c>
      <c r="Q86" s="1357">
        <f t="shared" si="12"/>
        <v>0</v>
      </c>
      <c r="R86" s="1356" t="s">
        <v>251</v>
      </c>
      <c r="S86" s="1190" t="s">
        <v>251</v>
      </c>
      <c r="T86" s="1190" t="s">
        <v>251</v>
      </c>
      <c r="U86" s="1190"/>
      <c r="V86" s="1190"/>
      <c r="W86" s="1190"/>
      <c r="X86" s="1190"/>
      <c r="Y86" s="1190"/>
      <c r="Z86" s="1190"/>
      <c r="AA86" s="1190"/>
      <c r="AB86" s="1190"/>
      <c r="AC86" s="1190"/>
      <c r="AD86" s="1357">
        <f t="shared" si="14"/>
        <v>0</v>
      </c>
      <c r="AE86" s="1364" t="e">
        <f>IF(OR(#REF!="", AD86=""), 0, IFERROR((#REF!-AD86)/AD86, IF(#REF!&lt;&gt;0, 1, 0)))</f>
        <v>#REF!</v>
      </c>
      <c r="AF86" s="1337">
        <f t="shared" si="15"/>
        <v>0</v>
      </c>
      <c r="AG86" s="1307">
        <f t="shared" si="13"/>
        <v>149</v>
      </c>
    </row>
    <row r="87" spans="1:33" x14ac:dyDescent="0.3">
      <c r="A87" s="38" t="s">
        <v>804</v>
      </c>
      <c r="B87" s="1346" t="s">
        <v>809</v>
      </c>
      <c r="C87" s="1487" t="s">
        <v>251</v>
      </c>
      <c r="D87" s="1190" t="s">
        <v>251</v>
      </c>
      <c r="E87" s="1190" t="s">
        <v>251</v>
      </c>
      <c r="F87" s="1190" t="s">
        <v>251</v>
      </c>
      <c r="G87" s="1190" t="s">
        <v>251</v>
      </c>
      <c r="H87" s="1190" t="s">
        <v>251</v>
      </c>
      <c r="I87" s="1190" t="s">
        <v>251</v>
      </c>
      <c r="J87" s="1190" t="s">
        <v>251</v>
      </c>
      <c r="K87" s="1190"/>
      <c r="L87" s="1190" t="s">
        <v>251</v>
      </c>
      <c r="M87" s="1190" t="s">
        <v>251</v>
      </c>
      <c r="N87" s="1190" t="s">
        <v>251</v>
      </c>
      <c r="O87" s="1190" t="s">
        <v>251</v>
      </c>
      <c r="P87" s="1501">
        <f t="shared" si="9"/>
        <v>0</v>
      </c>
      <c r="Q87" s="1357">
        <f t="shared" si="12"/>
        <v>0</v>
      </c>
      <c r="R87" s="1356" t="s">
        <v>251</v>
      </c>
      <c r="S87" s="1190" t="s">
        <v>251</v>
      </c>
      <c r="T87" s="1190" t="s">
        <v>251</v>
      </c>
      <c r="U87" s="1190"/>
      <c r="V87" s="1190"/>
      <c r="W87" s="1190"/>
      <c r="X87" s="1190"/>
      <c r="Y87" s="1190"/>
      <c r="Z87" s="1190"/>
      <c r="AA87" s="1190"/>
      <c r="AB87" s="1190"/>
      <c r="AC87" s="1190"/>
      <c r="AD87" s="1357">
        <f t="shared" si="14"/>
        <v>0</v>
      </c>
      <c r="AE87" s="1364" t="e">
        <f>IF(OR(#REF!="", AD87=""), 0, IFERROR((#REF!-AD87)/AD87, IF(#REF!&lt;&gt;0, 1, 0)))</f>
        <v>#REF!</v>
      </c>
      <c r="AF87" s="1337">
        <f t="shared" si="15"/>
        <v>0</v>
      </c>
      <c r="AG87" s="1307">
        <f t="shared" si="13"/>
        <v>149</v>
      </c>
    </row>
    <row r="88" spans="1:33" x14ac:dyDescent="0.3">
      <c r="A88" s="38" t="s">
        <v>804</v>
      </c>
      <c r="B88" s="1346" t="s">
        <v>810</v>
      </c>
      <c r="C88" s="1487" t="s">
        <v>251</v>
      </c>
      <c r="D88" s="1190" t="s">
        <v>251</v>
      </c>
      <c r="E88" s="1190" t="s">
        <v>251</v>
      </c>
      <c r="F88" s="1190" t="s">
        <v>251</v>
      </c>
      <c r="G88" s="1190" t="s">
        <v>251</v>
      </c>
      <c r="H88" s="1190" t="s">
        <v>251</v>
      </c>
      <c r="I88" s="1190" t="s">
        <v>251</v>
      </c>
      <c r="J88" s="1190" t="s">
        <v>251</v>
      </c>
      <c r="K88" s="1190"/>
      <c r="L88" s="1190" t="s">
        <v>251</v>
      </c>
      <c r="M88" s="1190" t="s">
        <v>251</v>
      </c>
      <c r="N88" s="1190" t="s">
        <v>251</v>
      </c>
      <c r="O88" s="1190" t="s">
        <v>251</v>
      </c>
      <c r="P88" s="1501">
        <f t="shared" si="9"/>
        <v>0</v>
      </c>
      <c r="Q88" s="1357">
        <f t="shared" si="12"/>
        <v>0</v>
      </c>
      <c r="R88" s="1356" t="s">
        <v>251</v>
      </c>
      <c r="S88" s="1190" t="s">
        <v>251</v>
      </c>
      <c r="T88" s="1190" t="s">
        <v>251</v>
      </c>
      <c r="U88" s="1190"/>
      <c r="V88" s="1190"/>
      <c r="W88" s="1190"/>
      <c r="X88" s="1190"/>
      <c r="Y88" s="1190"/>
      <c r="Z88" s="1190"/>
      <c r="AA88" s="1190"/>
      <c r="AB88" s="1190"/>
      <c r="AC88" s="1190"/>
      <c r="AD88" s="1357">
        <f t="shared" si="14"/>
        <v>0</v>
      </c>
      <c r="AE88" s="1364" t="e">
        <f>IF(OR(#REF!="", AD88=""), 0, IFERROR((#REF!-AD88)/AD88, IF(#REF!&lt;&gt;0, 1, 0)))</f>
        <v>#REF!</v>
      </c>
      <c r="AF88" s="1337">
        <f t="shared" si="15"/>
        <v>0</v>
      </c>
      <c r="AG88" s="1307">
        <f t="shared" si="13"/>
        <v>149</v>
      </c>
    </row>
    <row r="89" spans="1:33" x14ac:dyDescent="0.3">
      <c r="A89" s="38" t="s">
        <v>804</v>
      </c>
      <c r="B89" s="1346" t="s">
        <v>811</v>
      </c>
      <c r="C89" s="1487" t="s">
        <v>251</v>
      </c>
      <c r="D89" s="1190" t="s">
        <v>251</v>
      </c>
      <c r="E89" s="1190" t="s">
        <v>251</v>
      </c>
      <c r="F89" s="1190" t="s">
        <v>251</v>
      </c>
      <c r="G89" s="1190" t="s">
        <v>251</v>
      </c>
      <c r="H89" s="1190" t="s">
        <v>251</v>
      </c>
      <c r="I89" s="1190" t="s">
        <v>251</v>
      </c>
      <c r="J89" s="1190" t="s">
        <v>251</v>
      </c>
      <c r="K89" s="1190"/>
      <c r="L89" s="1190" t="s">
        <v>251</v>
      </c>
      <c r="M89" s="1190" t="s">
        <v>251</v>
      </c>
      <c r="N89" s="1190" t="s">
        <v>251</v>
      </c>
      <c r="O89" s="1190" t="s">
        <v>251</v>
      </c>
      <c r="P89" s="1501">
        <f t="shared" si="9"/>
        <v>0</v>
      </c>
      <c r="Q89" s="1357">
        <f t="shared" si="12"/>
        <v>0</v>
      </c>
      <c r="R89" s="1356" t="s">
        <v>251</v>
      </c>
      <c r="S89" s="1190" t="s">
        <v>251</v>
      </c>
      <c r="T89" s="1190" t="s">
        <v>251</v>
      </c>
      <c r="U89" s="1190"/>
      <c r="V89" s="1190"/>
      <c r="W89" s="1190"/>
      <c r="X89" s="1190"/>
      <c r="Y89" s="1190"/>
      <c r="Z89" s="1190"/>
      <c r="AA89" s="1190"/>
      <c r="AB89" s="1190"/>
      <c r="AC89" s="1190"/>
      <c r="AD89" s="1357">
        <f t="shared" si="14"/>
        <v>0</v>
      </c>
      <c r="AE89" s="1364" t="e">
        <f>IF(OR(#REF!="", AD89=""), 0, IFERROR((#REF!-AD89)/AD89, IF(#REF!&lt;&gt;0, 1, 0)))</f>
        <v>#REF!</v>
      </c>
      <c r="AF89" s="1337">
        <f t="shared" si="15"/>
        <v>0</v>
      </c>
      <c r="AG89" s="1307">
        <f t="shared" si="13"/>
        <v>149</v>
      </c>
    </row>
    <row r="90" spans="1:33" x14ac:dyDescent="0.3">
      <c r="A90" s="38" t="s">
        <v>804</v>
      </c>
      <c r="B90" s="1346" t="s">
        <v>812</v>
      </c>
      <c r="C90" s="1487" t="s">
        <v>251</v>
      </c>
      <c r="D90" s="1190" t="s">
        <v>251</v>
      </c>
      <c r="E90" s="1190" t="s">
        <v>251</v>
      </c>
      <c r="F90" s="1190" t="s">
        <v>251</v>
      </c>
      <c r="G90" s="1190" t="s">
        <v>251</v>
      </c>
      <c r="H90" s="1190" t="s">
        <v>251</v>
      </c>
      <c r="I90" s="1190" t="s">
        <v>251</v>
      </c>
      <c r="J90" s="1190" t="s">
        <v>251</v>
      </c>
      <c r="K90" s="1190"/>
      <c r="L90" s="1190" t="s">
        <v>251</v>
      </c>
      <c r="M90" s="1190" t="s">
        <v>251</v>
      </c>
      <c r="N90" s="1190" t="s">
        <v>251</v>
      </c>
      <c r="O90" s="1190" t="s">
        <v>251</v>
      </c>
      <c r="P90" s="1501">
        <f t="shared" si="9"/>
        <v>0</v>
      </c>
      <c r="Q90" s="1357">
        <f t="shared" si="12"/>
        <v>0</v>
      </c>
      <c r="R90" s="1356" t="s">
        <v>251</v>
      </c>
      <c r="S90" s="1190" t="s">
        <v>251</v>
      </c>
      <c r="T90" s="1190" t="s">
        <v>251</v>
      </c>
      <c r="U90" s="1190"/>
      <c r="V90" s="1190"/>
      <c r="W90" s="1190"/>
      <c r="X90" s="1190"/>
      <c r="Y90" s="1190"/>
      <c r="Z90" s="1190"/>
      <c r="AA90" s="1190"/>
      <c r="AB90" s="1190"/>
      <c r="AC90" s="1190"/>
      <c r="AD90" s="1357">
        <f t="shared" si="14"/>
        <v>0</v>
      </c>
      <c r="AE90" s="1364" t="e">
        <f>IF(OR(#REF!="", AD90=""), 0, IFERROR((#REF!-AD90)/AD90, IF(#REF!&lt;&gt;0, 1, 0)))</f>
        <v>#REF!</v>
      </c>
      <c r="AF90" s="1337">
        <f t="shared" si="15"/>
        <v>0</v>
      </c>
      <c r="AG90" s="1307">
        <f t="shared" si="13"/>
        <v>149</v>
      </c>
    </row>
    <row r="91" spans="1:33" x14ac:dyDescent="0.3">
      <c r="A91" s="38" t="s">
        <v>804</v>
      </c>
      <c r="B91" s="1346" t="s">
        <v>813</v>
      </c>
      <c r="C91" s="1487" t="s">
        <v>251</v>
      </c>
      <c r="D91" s="1190" t="s">
        <v>251</v>
      </c>
      <c r="E91" s="1190" t="s">
        <v>251</v>
      </c>
      <c r="F91" s="1190" t="s">
        <v>251</v>
      </c>
      <c r="G91" s="1190" t="s">
        <v>251</v>
      </c>
      <c r="H91" s="1190" t="s">
        <v>251</v>
      </c>
      <c r="I91" s="1190" t="s">
        <v>251</v>
      </c>
      <c r="J91" s="1190" t="s">
        <v>251</v>
      </c>
      <c r="K91" s="1190"/>
      <c r="L91" s="1190" t="s">
        <v>251</v>
      </c>
      <c r="M91" s="1190" t="s">
        <v>251</v>
      </c>
      <c r="N91" s="1190" t="s">
        <v>251</v>
      </c>
      <c r="O91" s="1190" t="s">
        <v>251</v>
      </c>
      <c r="P91" s="1501">
        <f t="shared" si="9"/>
        <v>0</v>
      </c>
      <c r="Q91" s="1357">
        <f t="shared" si="12"/>
        <v>0</v>
      </c>
      <c r="R91" s="1356" t="s">
        <v>251</v>
      </c>
      <c r="S91" s="1190" t="s">
        <v>251</v>
      </c>
      <c r="T91" s="1190" t="s">
        <v>251</v>
      </c>
      <c r="U91" s="1190"/>
      <c r="V91" s="1190"/>
      <c r="W91" s="1190"/>
      <c r="X91" s="1190"/>
      <c r="Y91" s="1190"/>
      <c r="Z91" s="1190"/>
      <c r="AA91" s="1190"/>
      <c r="AB91" s="1190"/>
      <c r="AC91" s="1190"/>
      <c r="AD91" s="1357">
        <f t="shared" si="14"/>
        <v>0</v>
      </c>
      <c r="AE91" s="1364" t="e">
        <f>IF(OR(#REF!="", AD91=""), 0, IFERROR((#REF!-AD91)/AD91, IF(#REF!&lt;&gt;0, 1, 0)))</f>
        <v>#REF!</v>
      </c>
      <c r="AF91" s="1337">
        <f t="shared" si="15"/>
        <v>0</v>
      </c>
      <c r="AG91" s="1307">
        <f t="shared" si="13"/>
        <v>149</v>
      </c>
    </row>
    <row r="92" spans="1:33" x14ac:dyDescent="0.3">
      <c r="A92" s="38" t="s">
        <v>804</v>
      </c>
      <c r="B92" s="1346" t="s">
        <v>814</v>
      </c>
      <c r="C92" s="1487" t="s">
        <v>251</v>
      </c>
      <c r="D92" s="1190" t="s">
        <v>251</v>
      </c>
      <c r="E92" s="1190" t="s">
        <v>251</v>
      </c>
      <c r="F92" s="1190" t="s">
        <v>251</v>
      </c>
      <c r="G92" s="1190" t="s">
        <v>251</v>
      </c>
      <c r="H92" s="1190" t="s">
        <v>251</v>
      </c>
      <c r="I92" s="1190" t="s">
        <v>251</v>
      </c>
      <c r="J92" s="1190" t="s">
        <v>251</v>
      </c>
      <c r="K92" s="1190"/>
      <c r="L92" s="1190" t="s">
        <v>251</v>
      </c>
      <c r="M92" s="1190" t="s">
        <v>251</v>
      </c>
      <c r="N92" s="1190" t="s">
        <v>251</v>
      </c>
      <c r="O92" s="1190" t="s">
        <v>251</v>
      </c>
      <c r="P92" s="1501">
        <f t="shared" si="9"/>
        <v>0</v>
      </c>
      <c r="Q92" s="1357">
        <f t="shared" si="12"/>
        <v>0</v>
      </c>
      <c r="R92" s="1356" t="s">
        <v>251</v>
      </c>
      <c r="S92" s="1190" t="s">
        <v>251</v>
      </c>
      <c r="T92" s="1190" t="s">
        <v>251</v>
      </c>
      <c r="U92" s="1190"/>
      <c r="V92" s="1190"/>
      <c r="W92" s="1190"/>
      <c r="X92" s="1190"/>
      <c r="Y92" s="1190"/>
      <c r="Z92" s="1190"/>
      <c r="AA92" s="1190"/>
      <c r="AB92" s="1190"/>
      <c r="AC92" s="1190"/>
      <c r="AD92" s="1357">
        <f t="shared" si="14"/>
        <v>0</v>
      </c>
      <c r="AE92" s="1364" t="e">
        <f>IF(OR(#REF!="", AD92=""), 0, IFERROR((#REF!-AD92)/AD92, IF(#REF!&lt;&gt;0, 1, 0)))</f>
        <v>#REF!</v>
      </c>
      <c r="AF92" s="1337">
        <f t="shared" si="15"/>
        <v>0</v>
      </c>
      <c r="AG92" s="1307">
        <f t="shared" si="13"/>
        <v>149</v>
      </c>
    </row>
    <row r="93" spans="1:33" x14ac:dyDescent="0.3">
      <c r="A93" s="38" t="s">
        <v>804</v>
      </c>
      <c r="B93" s="1346" t="s">
        <v>815</v>
      </c>
      <c r="C93" s="1487" t="s">
        <v>251</v>
      </c>
      <c r="D93" s="1190" t="s">
        <v>251</v>
      </c>
      <c r="E93" s="1190" t="s">
        <v>251</v>
      </c>
      <c r="F93" s="1190" t="s">
        <v>251</v>
      </c>
      <c r="G93" s="1190" t="s">
        <v>251</v>
      </c>
      <c r="H93" s="1190" t="s">
        <v>251</v>
      </c>
      <c r="I93" s="1190" t="s">
        <v>251</v>
      </c>
      <c r="J93" s="1190" t="s">
        <v>251</v>
      </c>
      <c r="K93" s="1190"/>
      <c r="L93" s="1190" t="s">
        <v>251</v>
      </c>
      <c r="M93" s="1190" t="s">
        <v>251</v>
      </c>
      <c r="N93" s="1190" t="s">
        <v>251</v>
      </c>
      <c r="O93" s="1190" t="s">
        <v>251</v>
      </c>
      <c r="P93" s="1501">
        <f t="shared" si="9"/>
        <v>0</v>
      </c>
      <c r="Q93" s="1357">
        <f t="shared" si="12"/>
        <v>0</v>
      </c>
      <c r="R93" s="1356" t="s">
        <v>251</v>
      </c>
      <c r="S93" s="1190" t="s">
        <v>251</v>
      </c>
      <c r="T93" s="1190" t="s">
        <v>251</v>
      </c>
      <c r="U93" s="1190"/>
      <c r="V93" s="1190"/>
      <c r="W93" s="1190"/>
      <c r="X93" s="1190"/>
      <c r="Y93" s="1190"/>
      <c r="Z93" s="1190"/>
      <c r="AA93" s="1190"/>
      <c r="AB93" s="1190"/>
      <c r="AC93" s="1190"/>
      <c r="AD93" s="1357">
        <f t="shared" si="14"/>
        <v>0</v>
      </c>
      <c r="AE93" s="1364" t="e">
        <f>IF(OR(#REF!="", AD93=""), 0, IFERROR((#REF!-AD93)/AD93, IF(#REF!&lt;&gt;0, 1, 0)))</f>
        <v>#REF!</v>
      </c>
      <c r="AF93" s="1337">
        <f t="shared" si="15"/>
        <v>0</v>
      </c>
      <c r="AG93" s="1307">
        <f t="shared" si="13"/>
        <v>149</v>
      </c>
    </row>
    <row r="94" spans="1:33" x14ac:dyDescent="0.3">
      <c r="A94" s="38" t="s">
        <v>804</v>
      </c>
      <c r="B94" s="1346" t="s">
        <v>816</v>
      </c>
      <c r="C94" s="1487" t="s">
        <v>251</v>
      </c>
      <c r="D94" s="1190" t="s">
        <v>251</v>
      </c>
      <c r="E94" s="1190" t="s">
        <v>251</v>
      </c>
      <c r="F94" s="1190" t="s">
        <v>251</v>
      </c>
      <c r="G94" s="1190" t="s">
        <v>251</v>
      </c>
      <c r="H94" s="1190" t="s">
        <v>251</v>
      </c>
      <c r="I94" s="1190" t="s">
        <v>251</v>
      </c>
      <c r="J94" s="1190" t="s">
        <v>251</v>
      </c>
      <c r="K94" s="1190"/>
      <c r="L94" s="1190" t="s">
        <v>251</v>
      </c>
      <c r="M94" s="1190" t="s">
        <v>251</v>
      </c>
      <c r="N94" s="1190" t="s">
        <v>251</v>
      </c>
      <c r="O94" s="1190" t="s">
        <v>251</v>
      </c>
      <c r="P94" s="1501">
        <f t="shared" si="9"/>
        <v>0</v>
      </c>
      <c r="Q94" s="1357">
        <f t="shared" si="12"/>
        <v>0</v>
      </c>
      <c r="R94" s="1356" t="s">
        <v>251</v>
      </c>
      <c r="S94" s="1190" t="s">
        <v>251</v>
      </c>
      <c r="T94" s="1190" t="s">
        <v>251</v>
      </c>
      <c r="U94" s="1190"/>
      <c r="V94" s="1190"/>
      <c r="W94" s="1190"/>
      <c r="X94" s="1190"/>
      <c r="Y94" s="1190"/>
      <c r="Z94" s="1190"/>
      <c r="AA94" s="1190"/>
      <c r="AB94" s="1190"/>
      <c r="AC94" s="1190"/>
      <c r="AD94" s="1357">
        <f t="shared" si="14"/>
        <v>0</v>
      </c>
      <c r="AE94" s="1364" t="e">
        <f>IF(OR(#REF!="", AD94=""), 0, IFERROR((#REF!-AD94)/AD94, IF(#REF!&lt;&gt;0, 1, 0)))</f>
        <v>#REF!</v>
      </c>
      <c r="AF94" s="1337">
        <f t="shared" si="15"/>
        <v>0</v>
      </c>
      <c r="AG94" s="1307">
        <f t="shared" si="13"/>
        <v>149</v>
      </c>
    </row>
    <row r="95" spans="1:33" x14ac:dyDescent="0.3">
      <c r="A95" s="38" t="s">
        <v>804</v>
      </c>
      <c r="B95" s="1346" t="s">
        <v>817</v>
      </c>
      <c r="C95" s="1487" t="s">
        <v>251</v>
      </c>
      <c r="D95" s="1190" t="s">
        <v>251</v>
      </c>
      <c r="E95" s="1190" t="s">
        <v>251</v>
      </c>
      <c r="F95" s="1190" t="s">
        <v>251</v>
      </c>
      <c r="G95" s="1190" t="s">
        <v>251</v>
      </c>
      <c r="H95" s="1190" t="s">
        <v>251</v>
      </c>
      <c r="I95" s="1190" t="s">
        <v>251</v>
      </c>
      <c r="J95" s="1190" t="s">
        <v>251</v>
      </c>
      <c r="K95" s="1190"/>
      <c r="L95" s="1190" t="s">
        <v>251</v>
      </c>
      <c r="M95" s="1190" t="s">
        <v>251</v>
      </c>
      <c r="N95" s="1190" t="s">
        <v>251</v>
      </c>
      <c r="O95" s="1190" t="s">
        <v>251</v>
      </c>
      <c r="P95" s="1501">
        <f t="shared" si="9"/>
        <v>0</v>
      </c>
      <c r="Q95" s="1357">
        <f t="shared" si="12"/>
        <v>0</v>
      </c>
      <c r="R95" s="1356" t="s">
        <v>251</v>
      </c>
      <c r="S95" s="1190" t="s">
        <v>251</v>
      </c>
      <c r="T95" s="1190" t="s">
        <v>251</v>
      </c>
      <c r="U95" s="1190"/>
      <c r="V95" s="1190"/>
      <c r="W95" s="1190"/>
      <c r="X95" s="1190"/>
      <c r="Y95" s="1190"/>
      <c r="Z95" s="1190"/>
      <c r="AA95" s="1190"/>
      <c r="AB95" s="1190"/>
      <c r="AC95" s="1190"/>
      <c r="AD95" s="1357">
        <f t="shared" si="14"/>
        <v>0</v>
      </c>
      <c r="AE95" s="1364" t="e">
        <f>IF(OR(#REF!="", AD95=""), 0, IFERROR((#REF!-AD95)/AD95, IF(#REF!&lt;&gt;0, 1, 0)))</f>
        <v>#REF!</v>
      </c>
      <c r="AF95" s="1337">
        <f t="shared" si="15"/>
        <v>0</v>
      </c>
      <c r="AG95" s="1307">
        <f t="shared" si="13"/>
        <v>149</v>
      </c>
    </row>
    <row r="96" spans="1:33" x14ac:dyDescent="0.3">
      <c r="A96" s="38" t="s">
        <v>804</v>
      </c>
      <c r="B96" s="1346" t="s">
        <v>818</v>
      </c>
      <c r="C96" s="1487" t="s">
        <v>251</v>
      </c>
      <c r="D96" s="1190" t="s">
        <v>251</v>
      </c>
      <c r="E96" s="1190" t="s">
        <v>251</v>
      </c>
      <c r="F96" s="1190" t="s">
        <v>251</v>
      </c>
      <c r="G96" s="1190" t="s">
        <v>251</v>
      </c>
      <c r="H96" s="1190" t="s">
        <v>251</v>
      </c>
      <c r="I96" s="1190" t="s">
        <v>251</v>
      </c>
      <c r="J96" s="1190" t="s">
        <v>251</v>
      </c>
      <c r="K96" s="1190"/>
      <c r="L96" s="1190" t="s">
        <v>251</v>
      </c>
      <c r="M96" s="1190" t="s">
        <v>251</v>
      </c>
      <c r="N96" s="1190" t="s">
        <v>251</v>
      </c>
      <c r="O96" s="1190" t="s">
        <v>251</v>
      </c>
      <c r="P96" s="1501">
        <f t="shared" si="9"/>
        <v>0</v>
      </c>
      <c r="Q96" s="1357">
        <f t="shared" si="12"/>
        <v>0</v>
      </c>
      <c r="R96" s="1356" t="s">
        <v>251</v>
      </c>
      <c r="S96" s="1190" t="s">
        <v>251</v>
      </c>
      <c r="T96" s="1190" t="s">
        <v>251</v>
      </c>
      <c r="U96" s="1190"/>
      <c r="V96" s="1190"/>
      <c r="W96" s="1190"/>
      <c r="X96" s="1190"/>
      <c r="Y96" s="1190"/>
      <c r="Z96" s="1190"/>
      <c r="AA96" s="1190"/>
      <c r="AB96" s="1190"/>
      <c r="AC96" s="1190"/>
      <c r="AD96" s="1357">
        <f t="shared" si="14"/>
        <v>0</v>
      </c>
      <c r="AE96" s="1364" t="e">
        <f>IF(OR(#REF!="", AD96=""), 0, IFERROR((#REF!-AD96)/AD96, IF(#REF!&lt;&gt;0, 1, 0)))</f>
        <v>#REF!</v>
      </c>
      <c r="AF96" s="1337">
        <f t="shared" si="15"/>
        <v>0</v>
      </c>
      <c r="AG96" s="1307">
        <f t="shared" si="13"/>
        <v>149</v>
      </c>
    </row>
    <row r="97" spans="1:33" x14ac:dyDescent="0.3">
      <c r="A97" s="38" t="s">
        <v>804</v>
      </c>
      <c r="B97" s="1346" t="s">
        <v>710</v>
      </c>
      <c r="C97" s="1487" t="s">
        <v>251</v>
      </c>
      <c r="D97" s="1190" t="s">
        <v>251</v>
      </c>
      <c r="E97" s="1190" t="s">
        <v>251</v>
      </c>
      <c r="F97" s="1190" t="s">
        <v>251</v>
      </c>
      <c r="G97" s="1190" t="s">
        <v>251</v>
      </c>
      <c r="H97" s="1190" t="s">
        <v>251</v>
      </c>
      <c r="I97" s="1190" t="s">
        <v>251</v>
      </c>
      <c r="J97" s="1190" t="s">
        <v>251</v>
      </c>
      <c r="K97" s="1190"/>
      <c r="L97" s="1190" t="s">
        <v>251</v>
      </c>
      <c r="M97" s="1190" t="s">
        <v>251</v>
      </c>
      <c r="N97" s="1190" t="s">
        <v>251</v>
      </c>
      <c r="O97" s="1190" t="s">
        <v>251</v>
      </c>
      <c r="P97" s="1501">
        <f t="shared" si="9"/>
        <v>0</v>
      </c>
      <c r="Q97" s="1357">
        <f t="shared" si="12"/>
        <v>0</v>
      </c>
      <c r="R97" s="1356" t="s">
        <v>251</v>
      </c>
      <c r="S97" s="1190" t="s">
        <v>251</v>
      </c>
      <c r="T97" s="1190" t="s">
        <v>251</v>
      </c>
      <c r="U97" s="1190"/>
      <c r="V97" s="1190"/>
      <c r="W97" s="1190"/>
      <c r="X97" s="1190"/>
      <c r="Y97" s="1190"/>
      <c r="Z97" s="1190"/>
      <c r="AA97" s="1190"/>
      <c r="AB97" s="1190"/>
      <c r="AC97" s="1190"/>
      <c r="AD97" s="1357">
        <f t="shared" si="14"/>
        <v>0</v>
      </c>
      <c r="AE97" s="1364" t="e">
        <f>IF(OR(#REF!="", AD97=""), 0, IFERROR((#REF!-AD97)/AD97, IF(#REF!&lt;&gt;0, 1, 0)))</f>
        <v>#REF!</v>
      </c>
      <c r="AF97" s="1337">
        <f t="shared" si="15"/>
        <v>0</v>
      </c>
      <c r="AG97" s="1307">
        <f t="shared" si="13"/>
        <v>149</v>
      </c>
    </row>
    <row r="98" spans="1:33" x14ac:dyDescent="0.3">
      <c r="A98" s="38" t="s">
        <v>804</v>
      </c>
      <c r="B98" s="1346" t="s">
        <v>819</v>
      </c>
      <c r="C98" s="1487" t="s">
        <v>251</v>
      </c>
      <c r="D98" s="1190" t="s">
        <v>251</v>
      </c>
      <c r="E98" s="1190" t="s">
        <v>251</v>
      </c>
      <c r="F98" s="1190" t="s">
        <v>251</v>
      </c>
      <c r="G98" s="1190" t="s">
        <v>251</v>
      </c>
      <c r="H98" s="1190" t="s">
        <v>251</v>
      </c>
      <c r="I98" s="1190" t="s">
        <v>251</v>
      </c>
      <c r="J98" s="1190" t="s">
        <v>251</v>
      </c>
      <c r="K98" s="1190"/>
      <c r="L98" s="1190" t="s">
        <v>251</v>
      </c>
      <c r="M98" s="1190" t="s">
        <v>251</v>
      </c>
      <c r="N98" s="1190" t="s">
        <v>251</v>
      </c>
      <c r="O98" s="1190" t="s">
        <v>251</v>
      </c>
      <c r="P98" s="1501">
        <f t="shared" si="9"/>
        <v>0</v>
      </c>
      <c r="Q98" s="1357">
        <f t="shared" si="12"/>
        <v>0</v>
      </c>
      <c r="R98" s="1356" t="s">
        <v>251</v>
      </c>
      <c r="S98" s="1190" t="s">
        <v>251</v>
      </c>
      <c r="T98" s="1190" t="s">
        <v>251</v>
      </c>
      <c r="U98" s="1190"/>
      <c r="V98" s="1190"/>
      <c r="W98" s="1190"/>
      <c r="X98" s="1190"/>
      <c r="Y98" s="1190"/>
      <c r="Z98" s="1190"/>
      <c r="AA98" s="1190"/>
      <c r="AB98" s="1190"/>
      <c r="AC98" s="1190"/>
      <c r="AD98" s="1357">
        <f t="shared" si="14"/>
        <v>0</v>
      </c>
      <c r="AE98" s="1364" t="e">
        <f>IF(OR(#REF!="", AD98=""), 0, IFERROR((#REF!-AD98)/AD98, IF(#REF!&lt;&gt;0, 1, 0)))</f>
        <v>#REF!</v>
      </c>
      <c r="AF98" s="1337">
        <f t="shared" si="15"/>
        <v>0</v>
      </c>
      <c r="AG98" s="1307">
        <f t="shared" si="13"/>
        <v>149</v>
      </c>
    </row>
    <row r="99" spans="1:33" x14ac:dyDescent="0.3">
      <c r="A99" s="38" t="s">
        <v>804</v>
      </c>
      <c r="B99" s="1346" t="s">
        <v>901</v>
      </c>
      <c r="C99" s="1487" t="s">
        <v>251</v>
      </c>
      <c r="D99" s="1190" t="s">
        <v>251</v>
      </c>
      <c r="E99" s="1190" t="s">
        <v>251</v>
      </c>
      <c r="F99" s="1190" t="s">
        <v>251</v>
      </c>
      <c r="G99" s="1190" t="s">
        <v>251</v>
      </c>
      <c r="H99" s="1190" t="s">
        <v>251</v>
      </c>
      <c r="I99" s="1190" t="s">
        <v>251</v>
      </c>
      <c r="J99" s="1190" t="s">
        <v>251</v>
      </c>
      <c r="K99" s="1190"/>
      <c r="L99" s="1190" t="s">
        <v>251</v>
      </c>
      <c r="M99" s="1190" t="s">
        <v>251</v>
      </c>
      <c r="N99" s="1190" t="s">
        <v>251</v>
      </c>
      <c r="O99" s="1190" t="s">
        <v>251</v>
      </c>
      <c r="P99" s="1501">
        <f t="shared" si="9"/>
        <v>0</v>
      </c>
      <c r="Q99" s="1357">
        <f t="shared" si="12"/>
        <v>0</v>
      </c>
      <c r="R99" s="1356" t="s">
        <v>251</v>
      </c>
      <c r="S99" s="1190" t="s">
        <v>251</v>
      </c>
      <c r="T99" s="1190" t="s">
        <v>251</v>
      </c>
      <c r="U99" s="1190"/>
      <c r="V99" s="1190"/>
      <c r="W99" s="1190"/>
      <c r="X99" s="1190"/>
      <c r="Y99" s="1190"/>
      <c r="Z99" s="1190"/>
      <c r="AA99" s="1190"/>
      <c r="AB99" s="1190"/>
      <c r="AC99" s="1190"/>
      <c r="AD99" s="1357">
        <f t="shared" si="14"/>
        <v>0</v>
      </c>
      <c r="AE99" s="1364" t="e">
        <f>IF(OR(#REF!="", AD99=""), 0, IFERROR((#REF!-AD99)/AD99, IF(#REF!&lt;&gt;0, 1, 0)))</f>
        <v>#REF!</v>
      </c>
      <c r="AF99" s="1337">
        <f t="shared" si="15"/>
        <v>0</v>
      </c>
      <c r="AG99" s="1307">
        <f t="shared" si="13"/>
        <v>149</v>
      </c>
    </row>
    <row r="100" spans="1:33" x14ac:dyDescent="0.3">
      <c r="A100" s="38" t="s">
        <v>804</v>
      </c>
      <c r="B100" s="1346" t="s">
        <v>820</v>
      </c>
      <c r="C100" s="1487" t="s">
        <v>251</v>
      </c>
      <c r="D100" s="1190" t="s">
        <v>251</v>
      </c>
      <c r="E100" s="1190" t="s">
        <v>251</v>
      </c>
      <c r="F100" s="1190" t="s">
        <v>251</v>
      </c>
      <c r="G100" s="1190" t="s">
        <v>251</v>
      </c>
      <c r="H100" s="1190" t="s">
        <v>251</v>
      </c>
      <c r="I100" s="1190" t="s">
        <v>251</v>
      </c>
      <c r="J100" s="1190" t="s">
        <v>251</v>
      </c>
      <c r="K100" s="1190"/>
      <c r="L100" s="1190" t="s">
        <v>251</v>
      </c>
      <c r="M100" s="1190" t="s">
        <v>251</v>
      </c>
      <c r="N100" s="1190" t="s">
        <v>251</v>
      </c>
      <c r="O100" s="1190" t="s">
        <v>251</v>
      </c>
      <c r="P100" s="1501">
        <f t="shared" si="9"/>
        <v>0</v>
      </c>
      <c r="Q100" s="1357">
        <f t="shared" si="12"/>
        <v>0</v>
      </c>
      <c r="R100" s="1356" t="s">
        <v>251</v>
      </c>
      <c r="S100" s="1190" t="s">
        <v>251</v>
      </c>
      <c r="T100" s="1190" t="s">
        <v>251</v>
      </c>
      <c r="U100" s="1190"/>
      <c r="V100" s="1190"/>
      <c r="W100" s="1190"/>
      <c r="X100" s="1190"/>
      <c r="Y100" s="1190"/>
      <c r="Z100" s="1190"/>
      <c r="AA100" s="1190"/>
      <c r="AB100" s="1190"/>
      <c r="AC100" s="1190"/>
      <c r="AD100" s="1357">
        <f t="shared" si="14"/>
        <v>0</v>
      </c>
      <c r="AE100" s="1364" t="e">
        <f>IF(OR(#REF!="", AD100=""), 0, IFERROR((#REF!-AD100)/AD100, IF(#REF!&lt;&gt;0, 1, 0)))</f>
        <v>#REF!</v>
      </c>
      <c r="AF100" s="1337">
        <f t="shared" si="15"/>
        <v>0</v>
      </c>
      <c r="AG100" s="1307">
        <f t="shared" si="13"/>
        <v>149</v>
      </c>
    </row>
    <row r="101" spans="1:33" x14ac:dyDescent="0.3">
      <c r="A101" s="38" t="s">
        <v>804</v>
      </c>
      <c r="B101" s="1346" t="s">
        <v>821</v>
      </c>
      <c r="C101" s="1487" t="s">
        <v>251</v>
      </c>
      <c r="D101" s="1190" t="s">
        <v>251</v>
      </c>
      <c r="E101" s="1190" t="s">
        <v>251</v>
      </c>
      <c r="F101" s="1190" t="s">
        <v>251</v>
      </c>
      <c r="G101" s="1190" t="s">
        <v>251</v>
      </c>
      <c r="H101" s="1190" t="s">
        <v>251</v>
      </c>
      <c r="I101" s="1190" t="s">
        <v>251</v>
      </c>
      <c r="J101" s="1190" t="s">
        <v>251</v>
      </c>
      <c r="K101" s="1190"/>
      <c r="L101" s="1190" t="s">
        <v>251</v>
      </c>
      <c r="M101" s="1190" t="s">
        <v>251</v>
      </c>
      <c r="N101" s="1190" t="s">
        <v>251</v>
      </c>
      <c r="O101" s="1190" t="s">
        <v>251</v>
      </c>
      <c r="P101" s="1501">
        <f t="shared" si="9"/>
        <v>0</v>
      </c>
      <c r="Q101" s="1357">
        <f t="shared" si="12"/>
        <v>0</v>
      </c>
      <c r="R101" s="1356" t="s">
        <v>251</v>
      </c>
      <c r="S101" s="1190" t="s">
        <v>251</v>
      </c>
      <c r="T101" s="1190" t="s">
        <v>251</v>
      </c>
      <c r="U101" s="1190"/>
      <c r="V101" s="1190"/>
      <c r="W101" s="1190"/>
      <c r="X101" s="1190"/>
      <c r="Y101" s="1190"/>
      <c r="Z101" s="1190"/>
      <c r="AA101" s="1190"/>
      <c r="AB101" s="1190"/>
      <c r="AC101" s="1190"/>
      <c r="AD101" s="1357">
        <f t="shared" si="14"/>
        <v>0</v>
      </c>
      <c r="AE101" s="1364" t="e">
        <f>IF(OR(#REF!="", AD101=""), 0, IFERROR((#REF!-AD101)/AD101, IF(#REF!&lt;&gt;0, 1, 0)))</f>
        <v>#REF!</v>
      </c>
      <c r="AF101" s="1337">
        <f t="shared" si="15"/>
        <v>0</v>
      </c>
      <c r="AG101" s="1307">
        <f t="shared" si="13"/>
        <v>149</v>
      </c>
    </row>
    <row r="102" spans="1:33" x14ac:dyDescent="0.3">
      <c r="A102" s="38" t="s">
        <v>804</v>
      </c>
      <c r="B102" s="1346" t="s">
        <v>822</v>
      </c>
      <c r="C102" s="1487" t="s">
        <v>251</v>
      </c>
      <c r="D102" s="1190" t="s">
        <v>251</v>
      </c>
      <c r="E102" s="1190" t="s">
        <v>251</v>
      </c>
      <c r="F102" s="1190" t="s">
        <v>251</v>
      </c>
      <c r="G102" s="1190" t="s">
        <v>251</v>
      </c>
      <c r="H102" s="1190" t="s">
        <v>251</v>
      </c>
      <c r="I102" s="1190" t="s">
        <v>251</v>
      </c>
      <c r="J102" s="1190" t="s">
        <v>251</v>
      </c>
      <c r="K102" s="1190"/>
      <c r="L102" s="1190" t="s">
        <v>251</v>
      </c>
      <c r="M102" s="1190" t="s">
        <v>251</v>
      </c>
      <c r="N102" s="1190" t="s">
        <v>251</v>
      </c>
      <c r="O102" s="1190" t="s">
        <v>251</v>
      </c>
      <c r="P102" s="1501">
        <f t="shared" si="9"/>
        <v>0</v>
      </c>
      <c r="Q102" s="1357">
        <f t="shared" si="12"/>
        <v>0</v>
      </c>
      <c r="R102" s="1356" t="s">
        <v>251</v>
      </c>
      <c r="S102" s="1190" t="s">
        <v>251</v>
      </c>
      <c r="T102" s="1190" t="s">
        <v>251</v>
      </c>
      <c r="U102" s="1190"/>
      <c r="V102" s="1190"/>
      <c r="W102" s="1190"/>
      <c r="X102" s="1190"/>
      <c r="Y102" s="1190"/>
      <c r="Z102" s="1190"/>
      <c r="AA102" s="1190"/>
      <c r="AB102" s="1190"/>
      <c r="AC102" s="1190"/>
      <c r="AD102" s="1357">
        <f t="shared" si="14"/>
        <v>0</v>
      </c>
      <c r="AE102" s="1364" t="e">
        <f>IF(OR(#REF!="", AD102=""), 0, IFERROR((#REF!-AD102)/AD102, IF(#REF!&lt;&gt;0, 1, 0)))</f>
        <v>#REF!</v>
      </c>
      <c r="AF102" s="1337">
        <f t="shared" si="15"/>
        <v>0</v>
      </c>
      <c r="AG102" s="1307">
        <f t="shared" si="13"/>
        <v>149</v>
      </c>
    </row>
    <row r="103" spans="1:33" x14ac:dyDescent="0.3">
      <c r="A103" s="38" t="s">
        <v>804</v>
      </c>
      <c r="B103" s="1346" t="s">
        <v>823</v>
      </c>
      <c r="C103" s="1487" t="s">
        <v>251</v>
      </c>
      <c r="D103" s="1190" t="s">
        <v>251</v>
      </c>
      <c r="E103" s="1190" t="s">
        <v>251</v>
      </c>
      <c r="F103" s="1190" t="s">
        <v>251</v>
      </c>
      <c r="G103" s="1190" t="s">
        <v>251</v>
      </c>
      <c r="H103" s="1190" t="s">
        <v>251</v>
      </c>
      <c r="I103" s="1190" t="s">
        <v>251</v>
      </c>
      <c r="J103" s="1190" t="s">
        <v>251</v>
      </c>
      <c r="K103" s="1190"/>
      <c r="L103" s="1190" t="s">
        <v>251</v>
      </c>
      <c r="M103" s="1190" t="s">
        <v>251</v>
      </c>
      <c r="N103" s="1190" t="s">
        <v>251</v>
      </c>
      <c r="O103" s="1190" t="s">
        <v>251</v>
      </c>
      <c r="P103" s="1501">
        <f t="shared" si="9"/>
        <v>0</v>
      </c>
      <c r="Q103" s="1357">
        <f t="shared" si="12"/>
        <v>0</v>
      </c>
      <c r="R103" s="1356" t="s">
        <v>251</v>
      </c>
      <c r="S103" s="1190" t="s">
        <v>251</v>
      </c>
      <c r="T103" s="1190" t="s">
        <v>251</v>
      </c>
      <c r="U103" s="1190"/>
      <c r="V103" s="1190"/>
      <c r="W103" s="1190"/>
      <c r="X103" s="1190"/>
      <c r="Y103" s="1190"/>
      <c r="Z103" s="1190"/>
      <c r="AA103" s="1190"/>
      <c r="AB103" s="1190"/>
      <c r="AC103" s="1190"/>
      <c r="AD103" s="1357">
        <f t="shared" si="14"/>
        <v>0</v>
      </c>
      <c r="AE103" s="1364" t="e">
        <f>IF(OR(#REF!="", AD103=""), 0, IFERROR((#REF!-AD103)/AD103, IF(#REF!&lt;&gt;0, 1, 0)))</f>
        <v>#REF!</v>
      </c>
      <c r="AF103" s="1337">
        <f t="shared" si="15"/>
        <v>0</v>
      </c>
      <c r="AG103" s="1307">
        <f t="shared" si="13"/>
        <v>149</v>
      </c>
    </row>
    <row r="104" spans="1:33" x14ac:dyDescent="0.3">
      <c r="A104" s="38" t="s">
        <v>804</v>
      </c>
      <c r="B104" s="1346" t="s">
        <v>902</v>
      </c>
      <c r="C104" s="1487" t="s">
        <v>251</v>
      </c>
      <c r="D104" s="1190" t="s">
        <v>251</v>
      </c>
      <c r="E104" s="1190" t="s">
        <v>251</v>
      </c>
      <c r="F104" s="1190" t="s">
        <v>251</v>
      </c>
      <c r="G104" s="1190" t="s">
        <v>251</v>
      </c>
      <c r="H104" s="1190" t="s">
        <v>251</v>
      </c>
      <c r="I104" s="1190" t="s">
        <v>251</v>
      </c>
      <c r="J104" s="1190" t="s">
        <v>251</v>
      </c>
      <c r="K104" s="1190"/>
      <c r="L104" s="1190" t="s">
        <v>251</v>
      </c>
      <c r="M104" s="1190" t="s">
        <v>251</v>
      </c>
      <c r="N104" s="1190" t="s">
        <v>251</v>
      </c>
      <c r="O104" s="1190" t="s">
        <v>251</v>
      </c>
      <c r="P104" s="1501">
        <f t="shared" si="9"/>
        <v>0</v>
      </c>
      <c r="Q104" s="1357">
        <f t="shared" si="12"/>
        <v>0</v>
      </c>
      <c r="R104" s="1356" t="s">
        <v>251</v>
      </c>
      <c r="S104" s="1190" t="s">
        <v>251</v>
      </c>
      <c r="T104" s="1190" t="s">
        <v>251</v>
      </c>
      <c r="U104" s="1190"/>
      <c r="V104" s="1190"/>
      <c r="W104" s="1190"/>
      <c r="X104" s="1190"/>
      <c r="Y104" s="1190"/>
      <c r="Z104" s="1190"/>
      <c r="AA104" s="1190"/>
      <c r="AB104" s="1190"/>
      <c r="AC104" s="1190"/>
      <c r="AD104" s="1357">
        <f t="shared" si="14"/>
        <v>0</v>
      </c>
      <c r="AE104" s="1364" t="e">
        <f>IF(OR(#REF!="", AD104=""), 0, IFERROR((#REF!-AD104)/AD104, IF(#REF!&lt;&gt;0, 1, 0)))</f>
        <v>#REF!</v>
      </c>
      <c r="AF104" s="1337">
        <f t="shared" si="15"/>
        <v>0</v>
      </c>
      <c r="AG104" s="1307">
        <f t="shared" si="13"/>
        <v>149</v>
      </c>
    </row>
    <row r="105" spans="1:33" x14ac:dyDescent="0.3">
      <c r="A105" s="38" t="s">
        <v>804</v>
      </c>
      <c r="B105" s="1346" t="s">
        <v>824</v>
      </c>
      <c r="C105" s="1487" t="s">
        <v>251</v>
      </c>
      <c r="D105" s="1190" t="s">
        <v>251</v>
      </c>
      <c r="E105" s="1190" t="s">
        <v>251</v>
      </c>
      <c r="F105" s="1190" t="s">
        <v>251</v>
      </c>
      <c r="G105" s="1190" t="s">
        <v>251</v>
      </c>
      <c r="H105" s="1190" t="s">
        <v>251</v>
      </c>
      <c r="I105" s="1190" t="s">
        <v>251</v>
      </c>
      <c r="J105" s="1190" t="s">
        <v>251</v>
      </c>
      <c r="K105" s="1190"/>
      <c r="L105" s="1190" t="s">
        <v>251</v>
      </c>
      <c r="M105" s="1190" t="s">
        <v>251</v>
      </c>
      <c r="N105" s="1190" t="s">
        <v>251</v>
      </c>
      <c r="O105" s="1190" t="s">
        <v>251</v>
      </c>
      <c r="P105" s="1501">
        <f t="shared" si="9"/>
        <v>0</v>
      </c>
      <c r="Q105" s="1357">
        <f t="shared" si="12"/>
        <v>0</v>
      </c>
      <c r="R105" s="1356" t="s">
        <v>251</v>
      </c>
      <c r="S105" s="1190" t="s">
        <v>251</v>
      </c>
      <c r="T105" s="1190" t="s">
        <v>251</v>
      </c>
      <c r="U105" s="1190"/>
      <c r="V105" s="1190"/>
      <c r="W105" s="1190"/>
      <c r="X105" s="1190"/>
      <c r="Y105" s="1190"/>
      <c r="Z105" s="1190"/>
      <c r="AA105" s="1190"/>
      <c r="AB105" s="1190"/>
      <c r="AC105" s="1190"/>
      <c r="AD105" s="1357">
        <f t="shared" si="14"/>
        <v>0</v>
      </c>
      <c r="AE105" s="1364" t="e">
        <f>IF(OR(#REF!="", AD105=""), 0, IFERROR((#REF!-AD105)/AD105, IF(#REF!&lt;&gt;0, 1, 0)))</f>
        <v>#REF!</v>
      </c>
      <c r="AF105" s="1337">
        <f t="shared" si="15"/>
        <v>0</v>
      </c>
      <c r="AG105" s="1307">
        <f t="shared" si="13"/>
        <v>149</v>
      </c>
    </row>
    <row r="106" spans="1:33" x14ac:dyDescent="0.3">
      <c r="A106" s="38" t="s">
        <v>804</v>
      </c>
      <c r="B106" s="1346" t="s">
        <v>825</v>
      </c>
      <c r="C106" s="1487" t="s">
        <v>251</v>
      </c>
      <c r="D106" s="1190" t="s">
        <v>251</v>
      </c>
      <c r="E106" s="1190" t="s">
        <v>251</v>
      </c>
      <c r="F106" s="1190" t="s">
        <v>251</v>
      </c>
      <c r="G106" s="1190" t="s">
        <v>251</v>
      </c>
      <c r="H106" s="1190" t="s">
        <v>251</v>
      </c>
      <c r="I106" s="1190" t="s">
        <v>251</v>
      </c>
      <c r="J106" s="1190" t="s">
        <v>251</v>
      </c>
      <c r="K106" s="1190"/>
      <c r="L106" s="1190" t="s">
        <v>251</v>
      </c>
      <c r="M106" s="1190" t="s">
        <v>251</v>
      </c>
      <c r="N106" s="1190" t="s">
        <v>251</v>
      </c>
      <c r="O106" s="1190" t="s">
        <v>251</v>
      </c>
      <c r="P106" s="1501">
        <f t="shared" si="9"/>
        <v>0</v>
      </c>
      <c r="Q106" s="1357">
        <f t="shared" si="12"/>
        <v>0</v>
      </c>
      <c r="R106" s="1356" t="s">
        <v>251</v>
      </c>
      <c r="S106" s="1190" t="s">
        <v>251</v>
      </c>
      <c r="T106" s="1190" t="s">
        <v>251</v>
      </c>
      <c r="U106" s="1190"/>
      <c r="V106" s="1190"/>
      <c r="W106" s="1190"/>
      <c r="X106" s="1190"/>
      <c r="Y106" s="1190"/>
      <c r="Z106" s="1190"/>
      <c r="AA106" s="1190"/>
      <c r="AB106" s="1190"/>
      <c r="AC106" s="1190"/>
      <c r="AD106" s="1357">
        <f t="shared" si="14"/>
        <v>0</v>
      </c>
      <c r="AE106" s="1364" t="e">
        <f>IF(OR(#REF!="", AD106=""), 0, IFERROR((#REF!-AD106)/AD106, IF(#REF!&lt;&gt;0, 1, 0)))</f>
        <v>#REF!</v>
      </c>
      <c r="AF106" s="1337">
        <f t="shared" si="15"/>
        <v>0</v>
      </c>
      <c r="AG106" s="1307">
        <f t="shared" si="13"/>
        <v>149</v>
      </c>
    </row>
    <row r="107" spans="1:33" x14ac:dyDescent="0.3">
      <c r="A107" s="38" t="s">
        <v>804</v>
      </c>
      <c r="B107" s="1346" t="s">
        <v>826</v>
      </c>
      <c r="C107" s="1487" t="s">
        <v>251</v>
      </c>
      <c r="D107" s="1190" t="s">
        <v>251</v>
      </c>
      <c r="E107" s="1190" t="s">
        <v>251</v>
      </c>
      <c r="F107" s="1190" t="s">
        <v>251</v>
      </c>
      <c r="G107" s="1190" t="s">
        <v>251</v>
      </c>
      <c r="H107" s="1190" t="s">
        <v>251</v>
      </c>
      <c r="I107" s="1190" t="s">
        <v>251</v>
      </c>
      <c r="J107" s="1190" t="s">
        <v>251</v>
      </c>
      <c r="K107" s="1190"/>
      <c r="L107" s="1190" t="s">
        <v>251</v>
      </c>
      <c r="M107" s="1190" t="s">
        <v>251</v>
      </c>
      <c r="N107" s="1190" t="s">
        <v>251</v>
      </c>
      <c r="O107" s="1190" t="s">
        <v>251</v>
      </c>
      <c r="P107" s="1501">
        <f t="shared" si="9"/>
        <v>0</v>
      </c>
      <c r="Q107" s="1357">
        <f t="shared" si="12"/>
        <v>0</v>
      </c>
      <c r="R107" s="1356" t="s">
        <v>251</v>
      </c>
      <c r="S107" s="1190" t="s">
        <v>251</v>
      </c>
      <c r="T107" s="1190" t="s">
        <v>251</v>
      </c>
      <c r="U107" s="1190"/>
      <c r="V107" s="1190"/>
      <c r="W107" s="1190"/>
      <c r="X107" s="1190"/>
      <c r="Y107" s="1190"/>
      <c r="Z107" s="1190"/>
      <c r="AA107" s="1190"/>
      <c r="AB107" s="1190"/>
      <c r="AC107" s="1190"/>
      <c r="AD107" s="1357">
        <f t="shared" si="14"/>
        <v>0</v>
      </c>
      <c r="AE107" s="1364" t="e">
        <f>IF(OR(#REF!="", AD107=""), 0, IFERROR((#REF!-AD107)/AD107, IF(#REF!&lt;&gt;0, 1, 0)))</f>
        <v>#REF!</v>
      </c>
      <c r="AF107" s="1337">
        <f t="shared" si="15"/>
        <v>0</v>
      </c>
      <c r="AG107" s="1307">
        <f t="shared" si="13"/>
        <v>149</v>
      </c>
    </row>
    <row r="108" spans="1:33" x14ac:dyDescent="0.3">
      <c r="A108" s="38" t="s">
        <v>804</v>
      </c>
      <c r="B108" s="1346" t="s">
        <v>827</v>
      </c>
      <c r="C108" s="1487" t="s">
        <v>251</v>
      </c>
      <c r="D108" s="1190" t="s">
        <v>251</v>
      </c>
      <c r="E108" s="1190" t="s">
        <v>251</v>
      </c>
      <c r="F108" s="1190" t="s">
        <v>251</v>
      </c>
      <c r="G108" s="1190" t="s">
        <v>251</v>
      </c>
      <c r="H108" s="1190" t="s">
        <v>251</v>
      </c>
      <c r="I108" s="1190" t="s">
        <v>251</v>
      </c>
      <c r="J108" s="1190" t="s">
        <v>251</v>
      </c>
      <c r="K108" s="1190"/>
      <c r="L108" s="1190" t="s">
        <v>251</v>
      </c>
      <c r="M108" s="1190" t="s">
        <v>251</v>
      </c>
      <c r="N108" s="1190" t="s">
        <v>251</v>
      </c>
      <c r="O108" s="1190" t="s">
        <v>251</v>
      </c>
      <c r="P108" s="1501">
        <f t="shared" si="9"/>
        <v>0</v>
      </c>
      <c r="Q108" s="1357">
        <f t="shared" si="12"/>
        <v>0</v>
      </c>
      <c r="R108" s="1356" t="s">
        <v>251</v>
      </c>
      <c r="S108" s="1190" t="s">
        <v>251</v>
      </c>
      <c r="T108" s="1190" t="s">
        <v>251</v>
      </c>
      <c r="U108" s="1190"/>
      <c r="V108" s="1190"/>
      <c r="W108" s="1190"/>
      <c r="X108" s="1190"/>
      <c r="Y108" s="1190"/>
      <c r="Z108" s="1190"/>
      <c r="AA108" s="1190"/>
      <c r="AB108" s="1190"/>
      <c r="AC108" s="1190"/>
      <c r="AD108" s="1357">
        <f t="shared" si="14"/>
        <v>0</v>
      </c>
      <c r="AE108" s="1364" t="e">
        <f>IF(OR(#REF!="", AD108=""), 0, IFERROR((#REF!-AD108)/AD108, IF(#REF!&lt;&gt;0, 1, 0)))</f>
        <v>#REF!</v>
      </c>
      <c r="AF108" s="1337">
        <f t="shared" si="15"/>
        <v>0</v>
      </c>
      <c r="AG108" s="1307">
        <f t="shared" si="13"/>
        <v>149</v>
      </c>
    </row>
    <row r="109" spans="1:33" x14ac:dyDescent="0.3">
      <c r="A109" s="38" t="s">
        <v>804</v>
      </c>
      <c r="B109" s="1346" t="s">
        <v>828</v>
      </c>
      <c r="C109" s="1487" t="s">
        <v>251</v>
      </c>
      <c r="D109" s="1190" t="s">
        <v>251</v>
      </c>
      <c r="E109" s="1190" t="s">
        <v>251</v>
      </c>
      <c r="F109" s="1190" t="s">
        <v>251</v>
      </c>
      <c r="G109" s="1190" t="s">
        <v>251</v>
      </c>
      <c r="H109" s="1190" t="s">
        <v>251</v>
      </c>
      <c r="I109" s="1190" t="s">
        <v>251</v>
      </c>
      <c r="J109" s="1190" t="s">
        <v>251</v>
      </c>
      <c r="K109" s="1190"/>
      <c r="L109" s="1190" t="s">
        <v>251</v>
      </c>
      <c r="M109" s="1190" t="s">
        <v>251</v>
      </c>
      <c r="N109" s="1190" t="s">
        <v>251</v>
      </c>
      <c r="O109" s="1190" t="s">
        <v>251</v>
      </c>
      <c r="P109" s="1501">
        <f t="shared" si="9"/>
        <v>0</v>
      </c>
      <c r="Q109" s="1357">
        <f t="shared" si="12"/>
        <v>0</v>
      </c>
      <c r="R109" s="1356" t="s">
        <v>251</v>
      </c>
      <c r="S109" s="1190" t="s">
        <v>251</v>
      </c>
      <c r="T109" s="1190" t="s">
        <v>251</v>
      </c>
      <c r="U109" s="1190"/>
      <c r="V109" s="1190"/>
      <c r="W109" s="1190"/>
      <c r="X109" s="1190"/>
      <c r="Y109" s="1190"/>
      <c r="Z109" s="1190"/>
      <c r="AA109" s="1190"/>
      <c r="AB109" s="1190"/>
      <c r="AC109" s="1190"/>
      <c r="AD109" s="1357">
        <f t="shared" si="14"/>
        <v>0</v>
      </c>
      <c r="AE109" s="1364" t="e">
        <f>IF(OR(#REF!="", AD109=""), 0, IFERROR((#REF!-AD109)/AD109, IF(#REF!&lt;&gt;0, 1, 0)))</f>
        <v>#REF!</v>
      </c>
      <c r="AF109" s="1337">
        <f t="shared" si="15"/>
        <v>0</v>
      </c>
      <c r="AG109" s="1307">
        <f t="shared" si="13"/>
        <v>149</v>
      </c>
    </row>
    <row r="110" spans="1:33" x14ac:dyDescent="0.3">
      <c r="A110" s="38" t="s">
        <v>804</v>
      </c>
      <c r="B110" s="1346" t="s">
        <v>829</v>
      </c>
      <c r="C110" s="1487" t="s">
        <v>251</v>
      </c>
      <c r="D110" s="1190" t="s">
        <v>251</v>
      </c>
      <c r="E110" s="1190" t="s">
        <v>251</v>
      </c>
      <c r="F110" s="1190" t="s">
        <v>251</v>
      </c>
      <c r="G110" s="1190" t="s">
        <v>251</v>
      </c>
      <c r="H110" s="1190" t="s">
        <v>251</v>
      </c>
      <c r="I110" s="1190" t="s">
        <v>251</v>
      </c>
      <c r="J110" s="1190" t="s">
        <v>251</v>
      </c>
      <c r="K110" s="1190"/>
      <c r="L110" s="1190" t="s">
        <v>251</v>
      </c>
      <c r="M110" s="1190" t="s">
        <v>251</v>
      </c>
      <c r="N110" s="1190" t="s">
        <v>251</v>
      </c>
      <c r="O110" s="1190" t="s">
        <v>251</v>
      </c>
      <c r="P110" s="1501">
        <f t="shared" si="9"/>
        <v>0</v>
      </c>
      <c r="Q110" s="1357">
        <f t="shared" si="12"/>
        <v>0</v>
      </c>
      <c r="R110" s="1356" t="s">
        <v>251</v>
      </c>
      <c r="S110" s="1190" t="s">
        <v>251</v>
      </c>
      <c r="T110" s="1190" t="s">
        <v>251</v>
      </c>
      <c r="U110" s="1190"/>
      <c r="V110" s="1190"/>
      <c r="W110" s="1190"/>
      <c r="X110" s="1190"/>
      <c r="Y110" s="1190"/>
      <c r="Z110" s="1190"/>
      <c r="AA110" s="1190"/>
      <c r="AB110" s="1190"/>
      <c r="AC110" s="1190"/>
      <c r="AD110" s="1357">
        <f t="shared" si="14"/>
        <v>0</v>
      </c>
      <c r="AE110" s="1364" t="e">
        <f>IF(OR(#REF!="", AD110=""), 0, IFERROR((#REF!-AD110)/AD110, IF(#REF!&lt;&gt;0, 1, 0)))</f>
        <v>#REF!</v>
      </c>
      <c r="AF110" s="1337">
        <f t="shared" si="15"/>
        <v>0</v>
      </c>
      <c r="AG110" s="1307">
        <f t="shared" si="13"/>
        <v>149</v>
      </c>
    </row>
    <row r="111" spans="1:33" x14ac:dyDescent="0.3">
      <c r="A111" s="38" t="s">
        <v>804</v>
      </c>
      <c r="B111" s="1346" t="s">
        <v>830</v>
      </c>
      <c r="C111" s="1487" t="s">
        <v>251</v>
      </c>
      <c r="D111" s="1190" t="s">
        <v>251</v>
      </c>
      <c r="E111" s="1190" t="s">
        <v>251</v>
      </c>
      <c r="F111" s="1190" t="s">
        <v>251</v>
      </c>
      <c r="G111" s="1190" t="s">
        <v>251</v>
      </c>
      <c r="H111" s="1190" t="s">
        <v>251</v>
      </c>
      <c r="I111" s="1190" t="s">
        <v>251</v>
      </c>
      <c r="J111" s="1190" t="s">
        <v>251</v>
      </c>
      <c r="K111" s="1190"/>
      <c r="L111" s="1190" t="s">
        <v>251</v>
      </c>
      <c r="M111" s="1190" t="s">
        <v>251</v>
      </c>
      <c r="N111" s="1190" t="s">
        <v>251</v>
      </c>
      <c r="O111" s="1190" t="s">
        <v>251</v>
      </c>
      <c r="P111" s="1501">
        <f t="shared" si="9"/>
        <v>0</v>
      </c>
      <c r="Q111" s="1357">
        <f t="shared" si="12"/>
        <v>0</v>
      </c>
      <c r="R111" s="1356" t="s">
        <v>251</v>
      </c>
      <c r="S111" s="1190" t="s">
        <v>251</v>
      </c>
      <c r="T111" s="1190" t="s">
        <v>251</v>
      </c>
      <c r="U111" s="1190"/>
      <c r="V111" s="1190"/>
      <c r="W111" s="1190"/>
      <c r="X111" s="1190"/>
      <c r="Y111" s="1190"/>
      <c r="Z111" s="1190"/>
      <c r="AA111" s="1190"/>
      <c r="AB111" s="1190"/>
      <c r="AC111" s="1190"/>
      <c r="AD111" s="1357">
        <f t="shared" si="14"/>
        <v>0</v>
      </c>
      <c r="AE111" s="1364" t="e">
        <f>IF(OR(#REF!="", AD111=""), 0, IFERROR((#REF!-AD111)/AD111, IF(#REF!&lt;&gt;0, 1, 0)))</f>
        <v>#REF!</v>
      </c>
      <c r="AF111" s="1337">
        <f t="shared" si="15"/>
        <v>0</v>
      </c>
      <c r="AG111" s="1307">
        <f t="shared" si="13"/>
        <v>149</v>
      </c>
    </row>
    <row r="112" spans="1:33" x14ac:dyDescent="0.3">
      <c r="A112" s="38" t="s">
        <v>804</v>
      </c>
      <c r="B112" s="1346" t="s">
        <v>831</v>
      </c>
      <c r="C112" s="1487" t="s">
        <v>251</v>
      </c>
      <c r="D112" s="1190" t="s">
        <v>251</v>
      </c>
      <c r="E112" s="1190" t="s">
        <v>251</v>
      </c>
      <c r="F112" s="1190" t="s">
        <v>251</v>
      </c>
      <c r="G112" s="1190" t="s">
        <v>251</v>
      </c>
      <c r="H112" s="1190" t="s">
        <v>251</v>
      </c>
      <c r="I112" s="1190" t="s">
        <v>251</v>
      </c>
      <c r="J112" s="1190" t="s">
        <v>251</v>
      </c>
      <c r="K112" s="1190"/>
      <c r="L112" s="1190" t="s">
        <v>251</v>
      </c>
      <c r="M112" s="1190" t="s">
        <v>251</v>
      </c>
      <c r="N112" s="1190" t="s">
        <v>251</v>
      </c>
      <c r="O112" s="1190" t="s">
        <v>251</v>
      </c>
      <c r="P112" s="1501">
        <f t="shared" si="9"/>
        <v>0</v>
      </c>
      <c r="Q112" s="1357">
        <f t="shared" si="12"/>
        <v>0</v>
      </c>
      <c r="R112" s="1356" t="s">
        <v>251</v>
      </c>
      <c r="S112" s="1190" t="s">
        <v>251</v>
      </c>
      <c r="T112" s="1190" t="s">
        <v>251</v>
      </c>
      <c r="U112" s="1190"/>
      <c r="V112" s="1190"/>
      <c r="W112" s="1190"/>
      <c r="X112" s="1190"/>
      <c r="Y112" s="1190"/>
      <c r="Z112" s="1190"/>
      <c r="AA112" s="1190"/>
      <c r="AB112" s="1190"/>
      <c r="AC112" s="1190"/>
      <c r="AD112" s="1357">
        <f t="shared" si="14"/>
        <v>0</v>
      </c>
      <c r="AE112" s="1364" t="e">
        <f>IF(OR(#REF!="", AD112=""), 0, IFERROR((#REF!-AD112)/AD112, IF(#REF!&lt;&gt;0, 1, 0)))</f>
        <v>#REF!</v>
      </c>
      <c r="AF112" s="1337">
        <f t="shared" si="15"/>
        <v>0</v>
      </c>
      <c r="AG112" s="1307">
        <f t="shared" si="13"/>
        <v>149</v>
      </c>
    </row>
    <row r="113" spans="1:33" x14ac:dyDescent="0.3">
      <c r="A113" s="38" t="s">
        <v>804</v>
      </c>
      <c r="B113" s="1346" t="s">
        <v>832</v>
      </c>
      <c r="C113" s="1487" t="s">
        <v>251</v>
      </c>
      <c r="D113" s="1190" t="s">
        <v>251</v>
      </c>
      <c r="E113" s="1190" t="s">
        <v>251</v>
      </c>
      <c r="F113" s="1190" t="s">
        <v>251</v>
      </c>
      <c r="G113" s="1190" t="s">
        <v>251</v>
      </c>
      <c r="H113" s="1190" t="s">
        <v>251</v>
      </c>
      <c r="I113" s="1190" t="s">
        <v>251</v>
      </c>
      <c r="J113" s="1190" t="s">
        <v>251</v>
      </c>
      <c r="K113" s="1190"/>
      <c r="L113" s="1190" t="s">
        <v>251</v>
      </c>
      <c r="M113" s="1190" t="s">
        <v>251</v>
      </c>
      <c r="N113" s="1190" t="s">
        <v>251</v>
      </c>
      <c r="O113" s="1190" t="s">
        <v>251</v>
      </c>
      <c r="P113" s="1501">
        <f t="shared" si="9"/>
        <v>0</v>
      </c>
      <c r="Q113" s="1357">
        <f t="shared" si="12"/>
        <v>0</v>
      </c>
      <c r="R113" s="1356" t="s">
        <v>251</v>
      </c>
      <c r="S113" s="1190" t="s">
        <v>251</v>
      </c>
      <c r="T113" s="1190" t="s">
        <v>251</v>
      </c>
      <c r="U113" s="1190"/>
      <c r="V113" s="1190"/>
      <c r="W113" s="1190"/>
      <c r="X113" s="1190"/>
      <c r="Y113" s="1190"/>
      <c r="Z113" s="1190"/>
      <c r="AA113" s="1190"/>
      <c r="AB113" s="1190"/>
      <c r="AC113" s="1190"/>
      <c r="AD113" s="1357">
        <f t="shared" si="14"/>
        <v>0</v>
      </c>
      <c r="AE113" s="1364" t="e">
        <f>IF(OR(#REF!="", AD113=""), 0, IFERROR((#REF!-AD113)/AD113, IF(#REF!&lt;&gt;0, 1, 0)))</f>
        <v>#REF!</v>
      </c>
      <c r="AF113" s="1337">
        <f t="shared" si="15"/>
        <v>0</v>
      </c>
      <c r="AG113" s="1307">
        <f t="shared" si="13"/>
        <v>149</v>
      </c>
    </row>
    <row r="114" spans="1:33" x14ac:dyDescent="0.3">
      <c r="A114" s="38" t="s">
        <v>804</v>
      </c>
      <c r="B114" s="1346" t="s">
        <v>833</v>
      </c>
      <c r="C114" s="1487" t="s">
        <v>251</v>
      </c>
      <c r="D114" s="1190" t="s">
        <v>251</v>
      </c>
      <c r="E114" s="1190" t="s">
        <v>251</v>
      </c>
      <c r="F114" s="1190" t="s">
        <v>251</v>
      </c>
      <c r="G114" s="1190" t="s">
        <v>251</v>
      </c>
      <c r="H114" s="1190" t="s">
        <v>251</v>
      </c>
      <c r="I114" s="1190" t="s">
        <v>251</v>
      </c>
      <c r="J114" s="1190" t="s">
        <v>251</v>
      </c>
      <c r="K114" s="1190"/>
      <c r="L114" s="1190" t="s">
        <v>251</v>
      </c>
      <c r="M114" s="1190" t="s">
        <v>251</v>
      </c>
      <c r="N114" s="1190" t="s">
        <v>251</v>
      </c>
      <c r="O114" s="1190" t="s">
        <v>251</v>
      </c>
      <c r="P114" s="1501">
        <f t="shared" si="9"/>
        <v>0</v>
      </c>
      <c r="Q114" s="1357">
        <f t="shared" si="12"/>
        <v>0</v>
      </c>
      <c r="R114" s="1356" t="s">
        <v>251</v>
      </c>
      <c r="S114" s="1190" t="s">
        <v>251</v>
      </c>
      <c r="T114" s="1190" t="s">
        <v>251</v>
      </c>
      <c r="U114" s="1190"/>
      <c r="V114" s="1190"/>
      <c r="W114" s="1190"/>
      <c r="X114" s="1190"/>
      <c r="Y114" s="1190"/>
      <c r="Z114" s="1190"/>
      <c r="AA114" s="1190"/>
      <c r="AB114" s="1190"/>
      <c r="AC114" s="1190"/>
      <c r="AD114" s="1357">
        <f t="shared" si="14"/>
        <v>0</v>
      </c>
      <c r="AE114" s="1364" t="e">
        <f>IF(OR(#REF!="", AD114=""), 0, IFERROR((#REF!-AD114)/AD114, IF(#REF!&lt;&gt;0, 1, 0)))</f>
        <v>#REF!</v>
      </c>
      <c r="AF114" s="1337">
        <f t="shared" si="15"/>
        <v>0</v>
      </c>
      <c r="AG114" s="1307">
        <f t="shared" si="13"/>
        <v>149</v>
      </c>
    </row>
    <row r="115" spans="1:33" x14ac:dyDescent="0.3">
      <c r="A115" s="38" t="s">
        <v>804</v>
      </c>
      <c r="B115" s="1346" t="s">
        <v>903</v>
      </c>
      <c r="C115" s="1487" t="s">
        <v>251</v>
      </c>
      <c r="D115" s="1190" t="s">
        <v>251</v>
      </c>
      <c r="E115" s="1190" t="s">
        <v>251</v>
      </c>
      <c r="F115" s="1190" t="s">
        <v>251</v>
      </c>
      <c r="G115" s="1190" t="s">
        <v>251</v>
      </c>
      <c r="H115" s="1190" t="s">
        <v>251</v>
      </c>
      <c r="I115" s="1190" t="s">
        <v>251</v>
      </c>
      <c r="J115" s="1190" t="s">
        <v>251</v>
      </c>
      <c r="K115" s="1190"/>
      <c r="L115" s="1190" t="s">
        <v>251</v>
      </c>
      <c r="M115" s="1190" t="s">
        <v>251</v>
      </c>
      <c r="N115" s="1190" t="s">
        <v>251</v>
      </c>
      <c r="O115" s="1190" t="s">
        <v>251</v>
      </c>
      <c r="P115" s="1501">
        <f t="shared" si="9"/>
        <v>0</v>
      </c>
      <c r="Q115" s="1357">
        <f t="shared" si="12"/>
        <v>0</v>
      </c>
      <c r="R115" s="1356" t="s">
        <v>251</v>
      </c>
      <c r="S115" s="1190" t="s">
        <v>251</v>
      </c>
      <c r="T115" s="1190" t="s">
        <v>251</v>
      </c>
      <c r="U115" s="1190"/>
      <c r="V115" s="1190"/>
      <c r="W115" s="1190"/>
      <c r="X115" s="1190"/>
      <c r="Y115" s="1190"/>
      <c r="Z115" s="1190"/>
      <c r="AA115" s="1190"/>
      <c r="AB115" s="1190"/>
      <c r="AC115" s="1190"/>
      <c r="AD115" s="1357">
        <f t="shared" si="14"/>
        <v>0</v>
      </c>
      <c r="AE115" s="1364" t="e">
        <f>IF(OR(#REF!="", AD115=""), 0, IFERROR((#REF!-AD115)/AD115, IF(#REF!&lt;&gt;0, 1, 0)))</f>
        <v>#REF!</v>
      </c>
      <c r="AF115" s="1337">
        <f t="shared" si="15"/>
        <v>0</v>
      </c>
      <c r="AG115" s="1307">
        <f t="shared" si="13"/>
        <v>149</v>
      </c>
    </row>
    <row r="116" spans="1:33" x14ac:dyDescent="0.3">
      <c r="A116" s="38" t="s">
        <v>804</v>
      </c>
      <c r="B116" s="1346" t="s">
        <v>834</v>
      </c>
      <c r="C116" s="1487" t="s">
        <v>251</v>
      </c>
      <c r="D116" s="1190" t="s">
        <v>251</v>
      </c>
      <c r="E116" s="1190" t="s">
        <v>251</v>
      </c>
      <c r="F116" s="1190" t="s">
        <v>251</v>
      </c>
      <c r="G116" s="1190" t="s">
        <v>251</v>
      </c>
      <c r="H116" s="1190" t="s">
        <v>251</v>
      </c>
      <c r="I116" s="1190" t="s">
        <v>251</v>
      </c>
      <c r="J116" s="1190" t="s">
        <v>251</v>
      </c>
      <c r="K116" s="1190"/>
      <c r="L116" s="1190" t="s">
        <v>251</v>
      </c>
      <c r="M116" s="1190" t="s">
        <v>251</v>
      </c>
      <c r="N116" s="1190" t="s">
        <v>251</v>
      </c>
      <c r="O116" s="1190" t="s">
        <v>251</v>
      </c>
      <c r="P116" s="1501">
        <f t="shared" si="9"/>
        <v>0</v>
      </c>
      <c r="Q116" s="1357">
        <f t="shared" si="12"/>
        <v>0</v>
      </c>
      <c r="R116" s="1356" t="s">
        <v>251</v>
      </c>
      <c r="S116" s="1190" t="s">
        <v>251</v>
      </c>
      <c r="T116" s="1190" t="s">
        <v>251</v>
      </c>
      <c r="U116" s="1190"/>
      <c r="V116" s="1190"/>
      <c r="W116" s="1190"/>
      <c r="X116" s="1190"/>
      <c r="Y116" s="1190"/>
      <c r="Z116" s="1190"/>
      <c r="AA116" s="1190"/>
      <c r="AB116" s="1190"/>
      <c r="AC116" s="1190"/>
      <c r="AD116" s="1357">
        <f t="shared" si="14"/>
        <v>0</v>
      </c>
      <c r="AE116" s="1364" t="e">
        <f>IF(OR(#REF!="", AD116=""), 0, IFERROR((#REF!-AD116)/AD116, IF(#REF!&lt;&gt;0, 1, 0)))</f>
        <v>#REF!</v>
      </c>
      <c r="AF116" s="1337">
        <f t="shared" si="15"/>
        <v>0</v>
      </c>
      <c r="AG116" s="1307">
        <f t="shared" si="13"/>
        <v>149</v>
      </c>
    </row>
    <row r="117" spans="1:33" x14ac:dyDescent="0.3">
      <c r="A117" s="38" t="s">
        <v>804</v>
      </c>
      <c r="B117" s="1346" t="s">
        <v>904</v>
      </c>
      <c r="C117" s="1487" t="s">
        <v>251</v>
      </c>
      <c r="D117" s="1190" t="s">
        <v>251</v>
      </c>
      <c r="E117" s="1190" t="s">
        <v>251</v>
      </c>
      <c r="F117" s="1190" t="s">
        <v>251</v>
      </c>
      <c r="G117" s="1190" t="s">
        <v>251</v>
      </c>
      <c r="H117" s="1190" t="s">
        <v>251</v>
      </c>
      <c r="I117" s="1190" t="s">
        <v>251</v>
      </c>
      <c r="J117" s="1190" t="s">
        <v>251</v>
      </c>
      <c r="K117" s="1190"/>
      <c r="L117" s="1190" t="s">
        <v>251</v>
      </c>
      <c r="M117" s="1190" t="s">
        <v>251</v>
      </c>
      <c r="N117" s="1190" t="s">
        <v>251</v>
      </c>
      <c r="O117" s="1190" t="s">
        <v>251</v>
      </c>
      <c r="P117" s="1501">
        <f t="shared" si="9"/>
        <v>0</v>
      </c>
      <c r="Q117" s="1357">
        <f t="shared" si="12"/>
        <v>0</v>
      </c>
      <c r="R117" s="1356" t="s">
        <v>251</v>
      </c>
      <c r="S117" s="1190" t="s">
        <v>251</v>
      </c>
      <c r="T117" s="1190" t="s">
        <v>251</v>
      </c>
      <c r="U117" s="1190"/>
      <c r="V117" s="1190"/>
      <c r="W117" s="1190"/>
      <c r="X117" s="1190"/>
      <c r="Y117" s="1190"/>
      <c r="Z117" s="1190"/>
      <c r="AA117" s="1190"/>
      <c r="AB117" s="1190"/>
      <c r="AC117" s="1190"/>
      <c r="AD117" s="1357">
        <f t="shared" si="14"/>
        <v>0</v>
      </c>
      <c r="AE117" s="1364" t="e">
        <f>IF(OR(#REF!="", AD117=""), 0, IFERROR((#REF!-AD117)/AD117, IF(#REF!&lt;&gt;0, 1, 0)))</f>
        <v>#REF!</v>
      </c>
      <c r="AF117" s="1337">
        <f t="shared" si="15"/>
        <v>0</v>
      </c>
      <c r="AG117" s="1307">
        <f t="shared" si="13"/>
        <v>149</v>
      </c>
    </row>
    <row r="118" spans="1:33" x14ac:dyDescent="0.3">
      <c r="A118" s="38" t="s">
        <v>804</v>
      </c>
      <c r="B118" s="1346" t="s">
        <v>196</v>
      </c>
      <c r="C118" s="1487" t="s">
        <v>251</v>
      </c>
      <c r="D118" s="1190" t="s">
        <v>251</v>
      </c>
      <c r="E118" s="1190" t="s">
        <v>251</v>
      </c>
      <c r="F118" s="1190" t="s">
        <v>251</v>
      </c>
      <c r="G118" s="1190" t="s">
        <v>251</v>
      </c>
      <c r="H118" s="1190" t="s">
        <v>251</v>
      </c>
      <c r="I118" s="1190" t="s">
        <v>251</v>
      </c>
      <c r="J118" s="1190" t="s">
        <v>251</v>
      </c>
      <c r="K118" s="1190"/>
      <c r="L118" s="1190" t="s">
        <v>251</v>
      </c>
      <c r="M118" s="1190" t="s">
        <v>251</v>
      </c>
      <c r="N118" s="1190" t="s">
        <v>251</v>
      </c>
      <c r="O118" s="1190" t="s">
        <v>251</v>
      </c>
      <c r="P118" s="1501">
        <f t="shared" si="9"/>
        <v>0</v>
      </c>
      <c r="Q118" s="1357">
        <f t="shared" si="12"/>
        <v>0</v>
      </c>
      <c r="R118" s="1356" t="s">
        <v>251</v>
      </c>
      <c r="S118" s="1190" t="s">
        <v>251</v>
      </c>
      <c r="T118" s="1190" t="s">
        <v>251</v>
      </c>
      <c r="U118" s="1190"/>
      <c r="V118" s="1190"/>
      <c r="W118" s="1190"/>
      <c r="X118" s="1190"/>
      <c r="Y118" s="1190"/>
      <c r="Z118" s="1190"/>
      <c r="AA118" s="1190"/>
      <c r="AB118" s="1190"/>
      <c r="AC118" s="1190"/>
      <c r="AD118" s="1357">
        <f t="shared" si="14"/>
        <v>0</v>
      </c>
      <c r="AE118" s="1364" t="e">
        <f>IF(OR(#REF!="", AD118=""), 0, IFERROR((#REF!-AD118)/AD118, IF(#REF!&lt;&gt;0, 1, 0)))</f>
        <v>#REF!</v>
      </c>
      <c r="AF118" s="1337">
        <f t="shared" si="15"/>
        <v>0</v>
      </c>
      <c r="AG118" s="1307">
        <f t="shared" si="13"/>
        <v>149</v>
      </c>
    </row>
    <row r="119" spans="1:33" x14ac:dyDescent="0.3">
      <c r="A119" s="38" t="s">
        <v>804</v>
      </c>
      <c r="B119" s="1346" t="s">
        <v>835</v>
      </c>
      <c r="C119" s="1487" t="s">
        <v>251</v>
      </c>
      <c r="D119" s="1190" t="s">
        <v>251</v>
      </c>
      <c r="E119" s="1190" t="s">
        <v>251</v>
      </c>
      <c r="F119" s="1190" t="s">
        <v>251</v>
      </c>
      <c r="G119" s="1190" t="s">
        <v>251</v>
      </c>
      <c r="H119" s="1190" t="s">
        <v>251</v>
      </c>
      <c r="I119" s="1190" t="s">
        <v>251</v>
      </c>
      <c r="J119" s="1190" t="s">
        <v>251</v>
      </c>
      <c r="K119" s="1190"/>
      <c r="L119" s="1190" t="s">
        <v>251</v>
      </c>
      <c r="M119" s="1190" t="s">
        <v>251</v>
      </c>
      <c r="N119" s="1190" t="s">
        <v>251</v>
      </c>
      <c r="O119" s="1190" t="s">
        <v>251</v>
      </c>
      <c r="P119" s="1501">
        <f t="shared" si="9"/>
        <v>0</v>
      </c>
      <c r="Q119" s="1357">
        <f t="shared" si="12"/>
        <v>0</v>
      </c>
      <c r="R119" s="1356" t="s">
        <v>251</v>
      </c>
      <c r="S119" s="1190" t="s">
        <v>251</v>
      </c>
      <c r="T119" s="1190" t="s">
        <v>251</v>
      </c>
      <c r="U119" s="1190"/>
      <c r="V119" s="1190"/>
      <c r="W119" s="1190"/>
      <c r="X119" s="1190"/>
      <c r="Y119" s="1190"/>
      <c r="Z119" s="1190"/>
      <c r="AA119" s="1190"/>
      <c r="AB119" s="1190"/>
      <c r="AC119" s="1190"/>
      <c r="AD119" s="1357">
        <f t="shared" si="14"/>
        <v>0</v>
      </c>
      <c r="AE119" s="1364" t="e">
        <f>IF(OR(#REF!="", AD119=""), 0, IFERROR((#REF!-AD119)/AD119, IF(#REF!&lt;&gt;0, 1, 0)))</f>
        <v>#REF!</v>
      </c>
      <c r="AF119" s="1337">
        <f t="shared" si="15"/>
        <v>0</v>
      </c>
      <c r="AG119" s="1307">
        <f t="shared" si="13"/>
        <v>149</v>
      </c>
    </row>
    <row r="120" spans="1:33" x14ac:dyDescent="0.3">
      <c r="A120" s="38" t="s">
        <v>804</v>
      </c>
      <c r="B120" s="1346" t="s">
        <v>836</v>
      </c>
      <c r="C120" s="1487" t="s">
        <v>251</v>
      </c>
      <c r="D120" s="1190" t="s">
        <v>251</v>
      </c>
      <c r="E120" s="1190" t="s">
        <v>251</v>
      </c>
      <c r="F120" s="1190" t="s">
        <v>251</v>
      </c>
      <c r="G120" s="1190" t="s">
        <v>251</v>
      </c>
      <c r="H120" s="1190" t="s">
        <v>251</v>
      </c>
      <c r="I120" s="1190" t="s">
        <v>251</v>
      </c>
      <c r="J120" s="1190" t="s">
        <v>251</v>
      </c>
      <c r="K120" s="1190"/>
      <c r="L120" s="1190" t="s">
        <v>251</v>
      </c>
      <c r="M120" s="1190" t="s">
        <v>251</v>
      </c>
      <c r="N120" s="1190" t="s">
        <v>251</v>
      </c>
      <c r="O120" s="1190" t="s">
        <v>251</v>
      </c>
      <c r="P120" s="1501">
        <f t="shared" si="9"/>
        <v>0</v>
      </c>
      <c r="Q120" s="1357">
        <f t="shared" si="12"/>
        <v>0</v>
      </c>
      <c r="R120" s="1356" t="s">
        <v>251</v>
      </c>
      <c r="S120" s="1190" t="s">
        <v>251</v>
      </c>
      <c r="T120" s="1190" t="s">
        <v>251</v>
      </c>
      <c r="U120" s="1190"/>
      <c r="V120" s="1190"/>
      <c r="W120" s="1190"/>
      <c r="X120" s="1190"/>
      <c r="Y120" s="1190"/>
      <c r="Z120" s="1190"/>
      <c r="AA120" s="1190"/>
      <c r="AB120" s="1190"/>
      <c r="AC120" s="1190"/>
      <c r="AD120" s="1357">
        <f t="shared" si="14"/>
        <v>0</v>
      </c>
      <c r="AE120" s="1364" t="e">
        <f>IF(OR(#REF!="", AD120=""), 0, IFERROR((#REF!-AD120)/AD120, IF(#REF!&lt;&gt;0, 1, 0)))</f>
        <v>#REF!</v>
      </c>
      <c r="AF120" s="1337">
        <f t="shared" si="15"/>
        <v>0</v>
      </c>
      <c r="AG120" s="1307">
        <f t="shared" si="13"/>
        <v>149</v>
      </c>
    </row>
    <row r="121" spans="1:33" x14ac:dyDescent="0.3">
      <c r="A121" s="38" t="s">
        <v>804</v>
      </c>
      <c r="B121" s="1346" t="s">
        <v>837</v>
      </c>
      <c r="C121" s="1487" t="s">
        <v>251</v>
      </c>
      <c r="D121" s="1190" t="s">
        <v>251</v>
      </c>
      <c r="E121" s="1190" t="s">
        <v>251</v>
      </c>
      <c r="F121" s="1190" t="s">
        <v>251</v>
      </c>
      <c r="G121" s="1190" t="s">
        <v>251</v>
      </c>
      <c r="H121" s="1190" t="s">
        <v>251</v>
      </c>
      <c r="I121" s="1190" t="s">
        <v>251</v>
      </c>
      <c r="J121" s="1190" t="s">
        <v>251</v>
      </c>
      <c r="K121" s="1190"/>
      <c r="L121" s="1190" t="s">
        <v>251</v>
      </c>
      <c r="M121" s="1190" t="s">
        <v>251</v>
      </c>
      <c r="N121" s="1190" t="s">
        <v>251</v>
      </c>
      <c r="O121" s="1190" t="s">
        <v>251</v>
      </c>
      <c r="P121" s="1501">
        <f t="shared" si="9"/>
        <v>0</v>
      </c>
      <c r="Q121" s="1357">
        <f t="shared" si="12"/>
        <v>0</v>
      </c>
      <c r="R121" s="1356" t="s">
        <v>251</v>
      </c>
      <c r="S121" s="1190" t="s">
        <v>251</v>
      </c>
      <c r="T121" s="1190" t="s">
        <v>251</v>
      </c>
      <c r="U121" s="1190"/>
      <c r="V121" s="1190"/>
      <c r="W121" s="1190"/>
      <c r="X121" s="1190"/>
      <c r="Y121" s="1190"/>
      <c r="Z121" s="1190"/>
      <c r="AA121" s="1190"/>
      <c r="AB121" s="1190"/>
      <c r="AC121" s="1190"/>
      <c r="AD121" s="1357">
        <f t="shared" si="14"/>
        <v>0</v>
      </c>
      <c r="AE121" s="1364" t="e">
        <f>IF(OR(#REF!="", AD121=""), 0, IFERROR((#REF!-AD121)/AD121, IF(#REF!&lt;&gt;0, 1, 0)))</f>
        <v>#REF!</v>
      </c>
      <c r="AF121" s="1337">
        <f t="shared" si="15"/>
        <v>0</v>
      </c>
      <c r="AG121" s="1307">
        <f t="shared" si="13"/>
        <v>149</v>
      </c>
    </row>
    <row r="122" spans="1:33" x14ac:dyDescent="0.3">
      <c r="A122" s="38" t="s">
        <v>804</v>
      </c>
      <c r="B122" s="1346" t="s">
        <v>897</v>
      </c>
      <c r="C122" s="1487" t="s">
        <v>251</v>
      </c>
      <c r="D122" s="1190" t="s">
        <v>251</v>
      </c>
      <c r="E122" s="1190" t="s">
        <v>251</v>
      </c>
      <c r="F122" s="1190" t="s">
        <v>251</v>
      </c>
      <c r="G122" s="1190" t="s">
        <v>251</v>
      </c>
      <c r="H122" s="1190" t="s">
        <v>251</v>
      </c>
      <c r="I122" s="1190" t="s">
        <v>251</v>
      </c>
      <c r="J122" s="1190" t="s">
        <v>251</v>
      </c>
      <c r="K122" s="1190"/>
      <c r="L122" s="1190" t="s">
        <v>251</v>
      </c>
      <c r="M122" s="1190" t="s">
        <v>251</v>
      </c>
      <c r="N122" s="1190" t="s">
        <v>251</v>
      </c>
      <c r="O122" s="1190" t="s">
        <v>251</v>
      </c>
      <c r="P122" s="1501">
        <f t="shared" si="9"/>
        <v>0</v>
      </c>
      <c r="Q122" s="1357">
        <f t="shared" si="12"/>
        <v>0</v>
      </c>
      <c r="R122" s="1356" t="s">
        <v>251</v>
      </c>
      <c r="S122" s="1190" t="s">
        <v>251</v>
      </c>
      <c r="T122" s="1190" t="s">
        <v>251</v>
      </c>
      <c r="U122" s="1190"/>
      <c r="V122" s="1190"/>
      <c r="W122" s="1190"/>
      <c r="X122" s="1190"/>
      <c r="Y122" s="1190"/>
      <c r="Z122" s="1190"/>
      <c r="AA122" s="1190"/>
      <c r="AB122" s="1190"/>
      <c r="AC122" s="1190"/>
      <c r="AD122" s="1357">
        <f t="shared" si="14"/>
        <v>0</v>
      </c>
      <c r="AE122" s="1364" t="e">
        <f>IF(OR(#REF!="", AD122=""), 0, IFERROR((#REF!-AD122)/AD122, IF(#REF!&lt;&gt;0, 1, 0)))</f>
        <v>#REF!</v>
      </c>
      <c r="AF122" s="1337">
        <f t="shared" si="15"/>
        <v>0</v>
      </c>
      <c r="AG122" s="1307">
        <f t="shared" si="13"/>
        <v>149</v>
      </c>
    </row>
    <row r="123" spans="1:33" x14ac:dyDescent="0.3">
      <c r="A123" s="38" t="s">
        <v>804</v>
      </c>
      <c r="B123" s="1346" t="s">
        <v>838</v>
      </c>
      <c r="C123" s="1487" t="s">
        <v>251</v>
      </c>
      <c r="D123" s="1190" t="s">
        <v>251</v>
      </c>
      <c r="E123" s="1190" t="s">
        <v>251</v>
      </c>
      <c r="F123" s="1190" t="s">
        <v>251</v>
      </c>
      <c r="G123" s="1190" t="s">
        <v>251</v>
      </c>
      <c r="H123" s="1190" t="s">
        <v>251</v>
      </c>
      <c r="I123" s="1190" t="s">
        <v>251</v>
      </c>
      <c r="J123" s="1190" t="s">
        <v>251</v>
      </c>
      <c r="K123" s="1190"/>
      <c r="L123" s="1190" t="s">
        <v>251</v>
      </c>
      <c r="M123" s="1190" t="s">
        <v>251</v>
      </c>
      <c r="N123" s="1190" t="s">
        <v>251</v>
      </c>
      <c r="O123" s="1190" t="s">
        <v>251</v>
      </c>
      <c r="P123" s="1501">
        <f t="shared" si="9"/>
        <v>0</v>
      </c>
      <c r="Q123" s="1357">
        <f t="shared" si="12"/>
        <v>0</v>
      </c>
      <c r="R123" s="1356" t="s">
        <v>251</v>
      </c>
      <c r="S123" s="1190" t="s">
        <v>251</v>
      </c>
      <c r="T123" s="1190" t="s">
        <v>251</v>
      </c>
      <c r="U123" s="1190"/>
      <c r="V123" s="1190"/>
      <c r="W123" s="1190"/>
      <c r="X123" s="1190"/>
      <c r="Y123" s="1190"/>
      <c r="Z123" s="1190"/>
      <c r="AA123" s="1190"/>
      <c r="AB123" s="1190"/>
      <c r="AC123" s="1190"/>
      <c r="AD123" s="1357">
        <f t="shared" si="14"/>
        <v>0</v>
      </c>
      <c r="AE123" s="1364" t="e">
        <f>IF(OR(#REF!="", AD123=""), 0, IFERROR((#REF!-AD123)/AD123, IF(#REF!&lt;&gt;0, 1, 0)))</f>
        <v>#REF!</v>
      </c>
      <c r="AF123" s="1337">
        <f t="shared" si="15"/>
        <v>0</v>
      </c>
      <c r="AG123" s="1307">
        <f t="shared" si="13"/>
        <v>149</v>
      </c>
    </row>
    <row r="124" spans="1:33" x14ac:dyDescent="0.3">
      <c r="A124" s="38" t="s">
        <v>804</v>
      </c>
      <c r="B124" s="1346" t="s">
        <v>839</v>
      </c>
      <c r="C124" s="1487" t="s">
        <v>251</v>
      </c>
      <c r="D124" s="1190" t="s">
        <v>251</v>
      </c>
      <c r="E124" s="1190" t="s">
        <v>251</v>
      </c>
      <c r="F124" s="1190" t="s">
        <v>251</v>
      </c>
      <c r="G124" s="1190" t="s">
        <v>251</v>
      </c>
      <c r="H124" s="1190" t="s">
        <v>251</v>
      </c>
      <c r="I124" s="1190" t="s">
        <v>251</v>
      </c>
      <c r="J124" s="1190" t="s">
        <v>251</v>
      </c>
      <c r="K124" s="1190"/>
      <c r="L124" s="1190" t="s">
        <v>251</v>
      </c>
      <c r="M124" s="1190" t="s">
        <v>251</v>
      </c>
      <c r="N124" s="1190" t="s">
        <v>251</v>
      </c>
      <c r="O124" s="1190" t="s">
        <v>251</v>
      </c>
      <c r="P124" s="1501">
        <f t="shared" si="9"/>
        <v>0</v>
      </c>
      <c r="Q124" s="1357">
        <f t="shared" si="12"/>
        <v>0</v>
      </c>
      <c r="R124" s="1356" t="s">
        <v>251</v>
      </c>
      <c r="S124" s="1190" t="s">
        <v>251</v>
      </c>
      <c r="T124" s="1190" t="s">
        <v>251</v>
      </c>
      <c r="U124" s="1190"/>
      <c r="V124" s="1190"/>
      <c r="W124" s="1190"/>
      <c r="X124" s="1190"/>
      <c r="Y124" s="1190"/>
      <c r="Z124" s="1190"/>
      <c r="AA124" s="1190"/>
      <c r="AB124" s="1190"/>
      <c r="AC124" s="1190"/>
      <c r="AD124" s="1357">
        <f t="shared" si="14"/>
        <v>0</v>
      </c>
      <c r="AE124" s="1364" t="e">
        <f>IF(OR(#REF!="", AD124=""), 0, IFERROR((#REF!-AD124)/AD124, IF(#REF!&lt;&gt;0, 1, 0)))</f>
        <v>#REF!</v>
      </c>
      <c r="AF124" s="1337">
        <f t="shared" si="15"/>
        <v>0</v>
      </c>
      <c r="AG124" s="1307">
        <f t="shared" si="13"/>
        <v>149</v>
      </c>
    </row>
    <row r="125" spans="1:33" x14ac:dyDescent="0.3">
      <c r="A125" s="38" t="s">
        <v>804</v>
      </c>
      <c r="B125" s="1346" t="s">
        <v>840</v>
      </c>
      <c r="C125" s="1487" t="s">
        <v>251</v>
      </c>
      <c r="D125" s="1190" t="s">
        <v>251</v>
      </c>
      <c r="E125" s="1190" t="s">
        <v>251</v>
      </c>
      <c r="F125" s="1190" t="s">
        <v>251</v>
      </c>
      <c r="G125" s="1190" t="s">
        <v>251</v>
      </c>
      <c r="H125" s="1190" t="s">
        <v>251</v>
      </c>
      <c r="I125" s="1190" t="s">
        <v>251</v>
      </c>
      <c r="J125" s="1190" t="s">
        <v>251</v>
      </c>
      <c r="K125" s="1190"/>
      <c r="L125" s="1190" t="s">
        <v>251</v>
      </c>
      <c r="M125" s="1190" t="s">
        <v>251</v>
      </c>
      <c r="N125" s="1190" t="s">
        <v>251</v>
      </c>
      <c r="O125" s="1190" t="s">
        <v>251</v>
      </c>
      <c r="P125" s="1501">
        <f t="shared" si="9"/>
        <v>0</v>
      </c>
      <c r="Q125" s="1357">
        <f t="shared" si="12"/>
        <v>0</v>
      </c>
      <c r="R125" s="1356" t="s">
        <v>251</v>
      </c>
      <c r="S125" s="1190" t="s">
        <v>251</v>
      </c>
      <c r="T125" s="1190" t="s">
        <v>251</v>
      </c>
      <c r="U125" s="1190"/>
      <c r="V125" s="1190"/>
      <c r="W125" s="1190"/>
      <c r="X125" s="1190"/>
      <c r="Y125" s="1190"/>
      <c r="Z125" s="1190"/>
      <c r="AA125" s="1190"/>
      <c r="AB125" s="1190"/>
      <c r="AC125" s="1190"/>
      <c r="AD125" s="1357">
        <f t="shared" si="14"/>
        <v>0</v>
      </c>
      <c r="AE125" s="1364" t="e">
        <f>IF(OR(#REF!="", AD125=""), 0, IFERROR((#REF!-AD125)/AD125, IF(#REF!&lt;&gt;0, 1, 0)))</f>
        <v>#REF!</v>
      </c>
      <c r="AF125" s="1337">
        <f t="shared" si="15"/>
        <v>0</v>
      </c>
      <c r="AG125" s="1307">
        <f t="shared" si="13"/>
        <v>149</v>
      </c>
    </row>
    <row r="126" spans="1:33" x14ac:dyDescent="0.3">
      <c r="A126" s="38" t="s">
        <v>804</v>
      </c>
      <c r="B126" s="1346" t="s">
        <v>841</v>
      </c>
      <c r="C126" s="1487" t="s">
        <v>251</v>
      </c>
      <c r="D126" s="1190" t="s">
        <v>251</v>
      </c>
      <c r="E126" s="1190" t="s">
        <v>251</v>
      </c>
      <c r="F126" s="1190" t="s">
        <v>251</v>
      </c>
      <c r="G126" s="1190" t="s">
        <v>251</v>
      </c>
      <c r="H126" s="1190" t="s">
        <v>251</v>
      </c>
      <c r="I126" s="1190" t="s">
        <v>251</v>
      </c>
      <c r="J126" s="1190" t="s">
        <v>251</v>
      </c>
      <c r="K126" s="1190"/>
      <c r="L126" s="1190" t="s">
        <v>251</v>
      </c>
      <c r="M126" s="1190" t="s">
        <v>251</v>
      </c>
      <c r="N126" s="1190" t="s">
        <v>251</v>
      </c>
      <c r="O126" s="1190" t="s">
        <v>251</v>
      </c>
      <c r="P126" s="1501">
        <f t="shared" si="9"/>
        <v>0</v>
      </c>
      <c r="Q126" s="1357">
        <f t="shared" si="12"/>
        <v>0</v>
      </c>
      <c r="R126" s="1356" t="s">
        <v>251</v>
      </c>
      <c r="S126" s="1190" t="s">
        <v>251</v>
      </c>
      <c r="T126" s="1190" t="s">
        <v>251</v>
      </c>
      <c r="U126" s="1190"/>
      <c r="V126" s="1190"/>
      <c r="W126" s="1190"/>
      <c r="X126" s="1190"/>
      <c r="Y126" s="1190"/>
      <c r="Z126" s="1190"/>
      <c r="AA126" s="1190"/>
      <c r="AB126" s="1190"/>
      <c r="AC126" s="1190"/>
      <c r="AD126" s="1357">
        <f t="shared" si="14"/>
        <v>0</v>
      </c>
      <c r="AE126" s="1364" t="e">
        <f>IF(OR(#REF!="", AD126=""), 0, IFERROR((#REF!-AD126)/AD126, IF(#REF!&lt;&gt;0, 1, 0)))</f>
        <v>#REF!</v>
      </c>
      <c r="AF126" s="1337">
        <f t="shared" si="15"/>
        <v>0</v>
      </c>
      <c r="AG126" s="1307">
        <f t="shared" si="13"/>
        <v>149</v>
      </c>
    </row>
    <row r="127" spans="1:33" x14ac:dyDescent="0.3">
      <c r="A127" s="38" t="s">
        <v>804</v>
      </c>
      <c r="B127" s="1346" t="s">
        <v>842</v>
      </c>
      <c r="C127" s="1487" t="s">
        <v>251</v>
      </c>
      <c r="D127" s="1190" t="s">
        <v>251</v>
      </c>
      <c r="E127" s="1190" t="s">
        <v>251</v>
      </c>
      <c r="F127" s="1190" t="s">
        <v>251</v>
      </c>
      <c r="G127" s="1190" t="s">
        <v>251</v>
      </c>
      <c r="H127" s="1190" t="s">
        <v>251</v>
      </c>
      <c r="I127" s="1190" t="s">
        <v>251</v>
      </c>
      <c r="J127" s="1190" t="s">
        <v>251</v>
      </c>
      <c r="K127" s="1190"/>
      <c r="L127" s="1190" t="s">
        <v>251</v>
      </c>
      <c r="M127" s="1190" t="s">
        <v>251</v>
      </c>
      <c r="N127" s="1190" t="s">
        <v>251</v>
      </c>
      <c r="O127" s="1190" t="s">
        <v>251</v>
      </c>
      <c r="P127" s="1501">
        <f t="shared" si="9"/>
        <v>0</v>
      </c>
      <c r="Q127" s="1357">
        <f t="shared" si="12"/>
        <v>0</v>
      </c>
      <c r="R127" s="1356" t="s">
        <v>251</v>
      </c>
      <c r="S127" s="1190" t="s">
        <v>251</v>
      </c>
      <c r="T127" s="1190" t="s">
        <v>251</v>
      </c>
      <c r="U127" s="1190"/>
      <c r="V127" s="1190"/>
      <c r="W127" s="1190"/>
      <c r="X127" s="1190"/>
      <c r="Y127" s="1190"/>
      <c r="Z127" s="1190"/>
      <c r="AA127" s="1190"/>
      <c r="AB127" s="1190"/>
      <c r="AC127" s="1190"/>
      <c r="AD127" s="1357">
        <f t="shared" si="14"/>
        <v>0</v>
      </c>
      <c r="AE127" s="1364" t="e">
        <f>IF(OR(#REF!="", AD127=""), 0, IFERROR((#REF!-AD127)/AD127, IF(#REF!&lt;&gt;0, 1, 0)))</f>
        <v>#REF!</v>
      </c>
      <c r="AF127" s="1337">
        <f t="shared" si="15"/>
        <v>0</v>
      </c>
      <c r="AG127" s="1307">
        <f t="shared" si="13"/>
        <v>149</v>
      </c>
    </row>
    <row r="128" spans="1:33" x14ac:dyDescent="0.3">
      <c r="A128" s="38" t="s">
        <v>804</v>
      </c>
      <c r="B128" s="1346" t="s">
        <v>843</v>
      </c>
      <c r="C128" s="1487" t="s">
        <v>251</v>
      </c>
      <c r="D128" s="1190" t="s">
        <v>251</v>
      </c>
      <c r="E128" s="1190" t="s">
        <v>251</v>
      </c>
      <c r="F128" s="1190" t="s">
        <v>251</v>
      </c>
      <c r="G128" s="1190" t="s">
        <v>251</v>
      </c>
      <c r="H128" s="1190" t="s">
        <v>251</v>
      </c>
      <c r="I128" s="1190" t="s">
        <v>251</v>
      </c>
      <c r="J128" s="1190" t="s">
        <v>251</v>
      </c>
      <c r="K128" s="1190"/>
      <c r="L128" s="1190" t="s">
        <v>251</v>
      </c>
      <c r="M128" s="1190" t="s">
        <v>251</v>
      </c>
      <c r="N128" s="1190" t="s">
        <v>251</v>
      </c>
      <c r="O128" s="1190" t="s">
        <v>251</v>
      </c>
      <c r="P128" s="1501">
        <f t="shared" si="9"/>
        <v>0</v>
      </c>
      <c r="Q128" s="1357">
        <f t="shared" si="12"/>
        <v>0</v>
      </c>
      <c r="R128" s="1356" t="s">
        <v>251</v>
      </c>
      <c r="S128" s="1190" t="s">
        <v>251</v>
      </c>
      <c r="T128" s="1190" t="s">
        <v>251</v>
      </c>
      <c r="U128" s="1190"/>
      <c r="V128" s="1190"/>
      <c r="W128" s="1190"/>
      <c r="X128" s="1190"/>
      <c r="Y128" s="1190"/>
      <c r="Z128" s="1190"/>
      <c r="AA128" s="1190"/>
      <c r="AB128" s="1190"/>
      <c r="AC128" s="1190"/>
      <c r="AD128" s="1357">
        <f t="shared" si="14"/>
        <v>0</v>
      </c>
      <c r="AE128" s="1364" t="e">
        <f>IF(OR(#REF!="", AD128=""), 0, IFERROR((#REF!-AD128)/AD128, IF(#REF!&lt;&gt;0, 1, 0)))</f>
        <v>#REF!</v>
      </c>
      <c r="AF128" s="1337">
        <f t="shared" si="15"/>
        <v>0</v>
      </c>
      <c r="AG128" s="1307">
        <f t="shared" si="13"/>
        <v>149</v>
      </c>
    </row>
    <row r="129" spans="1:33" x14ac:dyDescent="0.3">
      <c r="A129" s="38" t="s">
        <v>804</v>
      </c>
      <c r="B129" s="1346" t="s">
        <v>844</v>
      </c>
      <c r="C129" s="1487" t="s">
        <v>251</v>
      </c>
      <c r="D129" s="1190" t="s">
        <v>251</v>
      </c>
      <c r="E129" s="1190" t="s">
        <v>251</v>
      </c>
      <c r="F129" s="1190" t="s">
        <v>251</v>
      </c>
      <c r="G129" s="1190" t="s">
        <v>251</v>
      </c>
      <c r="H129" s="1190" t="s">
        <v>251</v>
      </c>
      <c r="I129" s="1190" t="s">
        <v>251</v>
      </c>
      <c r="J129" s="1190" t="s">
        <v>251</v>
      </c>
      <c r="K129" s="1190"/>
      <c r="L129" s="1190" t="s">
        <v>251</v>
      </c>
      <c r="M129" s="1190" t="s">
        <v>251</v>
      </c>
      <c r="N129" s="1190" t="s">
        <v>251</v>
      </c>
      <c r="O129" s="1190" t="s">
        <v>251</v>
      </c>
      <c r="P129" s="1501">
        <f t="shared" si="9"/>
        <v>0</v>
      </c>
      <c r="Q129" s="1357">
        <f t="shared" si="12"/>
        <v>0</v>
      </c>
      <c r="R129" s="1356" t="s">
        <v>251</v>
      </c>
      <c r="S129" s="1190" t="s">
        <v>251</v>
      </c>
      <c r="T129" s="1190" t="s">
        <v>251</v>
      </c>
      <c r="U129" s="1190"/>
      <c r="V129" s="1190"/>
      <c r="W129" s="1190"/>
      <c r="X129" s="1190"/>
      <c r="Y129" s="1190"/>
      <c r="Z129" s="1190"/>
      <c r="AA129" s="1190"/>
      <c r="AB129" s="1190"/>
      <c r="AC129" s="1190"/>
      <c r="AD129" s="1357">
        <f t="shared" si="14"/>
        <v>0</v>
      </c>
      <c r="AE129" s="1364" t="e">
        <f>IF(OR(#REF!="", AD129=""), 0, IFERROR((#REF!-AD129)/AD129, IF(#REF!&lt;&gt;0, 1, 0)))</f>
        <v>#REF!</v>
      </c>
      <c r="AF129" s="1337">
        <f t="shared" si="15"/>
        <v>0</v>
      </c>
      <c r="AG129" s="1307">
        <f t="shared" si="13"/>
        <v>149</v>
      </c>
    </row>
    <row r="130" spans="1:33" x14ac:dyDescent="0.3">
      <c r="A130" s="38" t="s">
        <v>804</v>
      </c>
      <c r="B130" s="1346" t="s">
        <v>845</v>
      </c>
      <c r="C130" s="1487" t="s">
        <v>251</v>
      </c>
      <c r="D130" s="1190" t="s">
        <v>251</v>
      </c>
      <c r="E130" s="1190" t="s">
        <v>251</v>
      </c>
      <c r="F130" s="1190" t="s">
        <v>251</v>
      </c>
      <c r="G130" s="1190" t="s">
        <v>251</v>
      </c>
      <c r="H130" s="1190" t="s">
        <v>251</v>
      </c>
      <c r="I130" s="1190" t="s">
        <v>251</v>
      </c>
      <c r="J130" s="1190" t="s">
        <v>251</v>
      </c>
      <c r="K130" s="1190"/>
      <c r="L130" s="1190" t="s">
        <v>251</v>
      </c>
      <c r="M130" s="1190" t="s">
        <v>251</v>
      </c>
      <c r="N130" s="1190" t="s">
        <v>251</v>
      </c>
      <c r="O130" s="1190" t="s">
        <v>251</v>
      </c>
      <c r="P130" s="1501">
        <f t="shared" si="9"/>
        <v>0</v>
      </c>
      <c r="Q130" s="1357">
        <f t="shared" si="12"/>
        <v>0</v>
      </c>
      <c r="R130" s="1356" t="s">
        <v>251</v>
      </c>
      <c r="S130" s="1190" t="s">
        <v>251</v>
      </c>
      <c r="T130" s="1190" t="s">
        <v>251</v>
      </c>
      <c r="U130" s="1190"/>
      <c r="V130" s="1190"/>
      <c r="W130" s="1190"/>
      <c r="X130" s="1190"/>
      <c r="Y130" s="1190"/>
      <c r="Z130" s="1190"/>
      <c r="AA130" s="1190"/>
      <c r="AB130" s="1190"/>
      <c r="AC130" s="1190"/>
      <c r="AD130" s="1357">
        <f t="shared" si="14"/>
        <v>0</v>
      </c>
      <c r="AE130" s="1364" t="e">
        <f>IF(OR(#REF!="", AD130=""), 0, IFERROR((#REF!-AD130)/AD130, IF(#REF!&lt;&gt;0, 1, 0)))</f>
        <v>#REF!</v>
      </c>
      <c r="AF130" s="1337">
        <f t="shared" si="15"/>
        <v>0</v>
      </c>
      <c r="AG130" s="1307">
        <f t="shared" si="13"/>
        <v>149</v>
      </c>
    </row>
    <row r="131" spans="1:33" x14ac:dyDescent="0.3">
      <c r="A131" s="38" t="s">
        <v>804</v>
      </c>
      <c r="B131" s="1346" t="s">
        <v>846</v>
      </c>
      <c r="C131" s="1487" t="s">
        <v>251</v>
      </c>
      <c r="D131" s="1190" t="s">
        <v>251</v>
      </c>
      <c r="E131" s="1190" t="s">
        <v>251</v>
      </c>
      <c r="F131" s="1190" t="s">
        <v>251</v>
      </c>
      <c r="G131" s="1190" t="s">
        <v>251</v>
      </c>
      <c r="H131" s="1190" t="s">
        <v>251</v>
      </c>
      <c r="I131" s="1190" t="s">
        <v>251</v>
      </c>
      <c r="J131" s="1190" t="s">
        <v>251</v>
      </c>
      <c r="K131" s="1190"/>
      <c r="L131" s="1190" t="s">
        <v>251</v>
      </c>
      <c r="M131" s="1190" t="s">
        <v>251</v>
      </c>
      <c r="N131" s="1190" t="s">
        <v>251</v>
      </c>
      <c r="O131" s="1190" t="s">
        <v>251</v>
      </c>
      <c r="P131" s="1501">
        <f t="shared" si="9"/>
        <v>0</v>
      </c>
      <c r="Q131" s="1357">
        <f t="shared" si="12"/>
        <v>0</v>
      </c>
      <c r="R131" s="1356" t="s">
        <v>251</v>
      </c>
      <c r="S131" s="1190" t="s">
        <v>251</v>
      </c>
      <c r="T131" s="1190" t="s">
        <v>251</v>
      </c>
      <c r="U131" s="1190"/>
      <c r="V131" s="1190"/>
      <c r="W131" s="1190"/>
      <c r="X131" s="1190"/>
      <c r="Y131" s="1190"/>
      <c r="Z131" s="1190"/>
      <c r="AA131" s="1190"/>
      <c r="AB131" s="1190"/>
      <c r="AC131" s="1190"/>
      <c r="AD131" s="1357">
        <f t="shared" si="14"/>
        <v>0</v>
      </c>
      <c r="AE131" s="1364" t="e">
        <f>IF(OR(#REF!="", AD131=""), 0, IFERROR((#REF!-AD131)/AD131, IF(#REF!&lt;&gt;0, 1, 0)))</f>
        <v>#REF!</v>
      </c>
      <c r="AF131" s="1337">
        <f t="shared" si="15"/>
        <v>0</v>
      </c>
      <c r="AG131" s="1307">
        <f t="shared" si="13"/>
        <v>149</v>
      </c>
    </row>
    <row r="132" spans="1:33" x14ac:dyDescent="0.3">
      <c r="A132" s="38" t="s">
        <v>804</v>
      </c>
      <c r="B132" s="1346" t="s">
        <v>847</v>
      </c>
      <c r="C132" s="1487" t="s">
        <v>251</v>
      </c>
      <c r="D132" s="1190" t="s">
        <v>251</v>
      </c>
      <c r="E132" s="1190" t="s">
        <v>251</v>
      </c>
      <c r="F132" s="1190" t="s">
        <v>251</v>
      </c>
      <c r="G132" s="1190" t="s">
        <v>251</v>
      </c>
      <c r="H132" s="1190" t="s">
        <v>251</v>
      </c>
      <c r="I132" s="1190" t="s">
        <v>251</v>
      </c>
      <c r="J132" s="1190" t="s">
        <v>251</v>
      </c>
      <c r="K132" s="1190"/>
      <c r="L132" s="1190" t="s">
        <v>251</v>
      </c>
      <c r="M132" s="1190" t="s">
        <v>251</v>
      </c>
      <c r="N132" s="1190" t="s">
        <v>251</v>
      </c>
      <c r="O132" s="1190" t="s">
        <v>251</v>
      </c>
      <c r="P132" s="1501">
        <f t="shared" si="9"/>
        <v>0</v>
      </c>
      <c r="Q132" s="1357">
        <f t="shared" si="12"/>
        <v>0</v>
      </c>
      <c r="R132" s="1356" t="s">
        <v>251</v>
      </c>
      <c r="S132" s="1190" t="s">
        <v>251</v>
      </c>
      <c r="T132" s="1190" t="s">
        <v>251</v>
      </c>
      <c r="U132" s="1190"/>
      <c r="V132" s="1190"/>
      <c r="W132" s="1190"/>
      <c r="X132" s="1190"/>
      <c r="Y132" s="1190"/>
      <c r="Z132" s="1190"/>
      <c r="AA132" s="1190"/>
      <c r="AB132" s="1190"/>
      <c r="AC132" s="1190"/>
      <c r="AD132" s="1357">
        <f t="shared" si="14"/>
        <v>0</v>
      </c>
      <c r="AE132" s="1364" t="e">
        <f>IF(OR(#REF!="", AD132=""), 0, IFERROR((#REF!-AD132)/AD132, IF(#REF!&lt;&gt;0, 1, 0)))</f>
        <v>#REF!</v>
      </c>
      <c r="AF132" s="1337">
        <f t="shared" si="15"/>
        <v>0</v>
      </c>
      <c r="AG132" s="1307">
        <f t="shared" si="13"/>
        <v>149</v>
      </c>
    </row>
    <row r="133" spans="1:33" x14ac:dyDescent="0.3">
      <c r="A133" s="38" t="s">
        <v>804</v>
      </c>
      <c r="B133" s="1346" t="s">
        <v>848</v>
      </c>
      <c r="C133" s="1487" t="s">
        <v>251</v>
      </c>
      <c r="D133" s="1190" t="s">
        <v>251</v>
      </c>
      <c r="E133" s="1190" t="s">
        <v>251</v>
      </c>
      <c r="F133" s="1190" t="s">
        <v>251</v>
      </c>
      <c r="G133" s="1190" t="s">
        <v>251</v>
      </c>
      <c r="H133" s="1190" t="s">
        <v>251</v>
      </c>
      <c r="I133" s="1190" t="s">
        <v>251</v>
      </c>
      <c r="J133" s="1190" t="s">
        <v>251</v>
      </c>
      <c r="K133" s="1190"/>
      <c r="L133" s="1190" t="s">
        <v>251</v>
      </c>
      <c r="M133" s="1190" t="s">
        <v>251</v>
      </c>
      <c r="N133" s="1190" t="s">
        <v>251</v>
      </c>
      <c r="O133" s="1190" t="s">
        <v>251</v>
      </c>
      <c r="P133" s="1501">
        <f t="shared" si="9"/>
        <v>0</v>
      </c>
      <c r="Q133" s="1357">
        <f t="shared" si="12"/>
        <v>0</v>
      </c>
      <c r="R133" s="1356" t="s">
        <v>251</v>
      </c>
      <c r="S133" s="1190" t="s">
        <v>251</v>
      </c>
      <c r="T133" s="1190" t="s">
        <v>251</v>
      </c>
      <c r="U133" s="1190"/>
      <c r="V133" s="1190"/>
      <c r="W133" s="1190"/>
      <c r="X133" s="1190"/>
      <c r="Y133" s="1190"/>
      <c r="Z133" s="1190"/>
      <c r="AA133" s="1190"/>
      <c r="AB133" s="1190"/>
      <c r="AC133" s="1190"/>
      <c r="AD133" s="1357">
        <f t="shared" si="14"/>
        <v>0</v>
      </c>
      <c r="AE133" s="1364" t="e">
        <f>IF(OR(#REF!="", AD133=""), 0, IFERROR((#REF!-AD133)/AD133, IF(#REF!&lt;&gt;0, 1, 0)))</f>
        <v>#REF!</v>
      </c>
      <c r="AF133" s="1337">
        <f t="shared" si="15"/>
        <v>0</v>
      </c>
      <c r="AG133" s="1307">
        <f t="shared" si="13"/>
        <v>149</v>
      </c>
    </row>
    <row r="134" spans="1:33" x14ac:dyDescent="0.3">
      <c r="A134" s="38" t="s">
        <v>804</v>
      </c>
      <c r="B134" s="1346" t="s">
        <v>849</v>
      </c>
      <c r="C134" s="1487" t="s">
        <v>251</v>
      </c>
      <c r="D134" s="1190" t="s">
        <v>251</v>
      </c>
      <c r="E134" s="1190" t="s">
        <v>251</v>
      </c>
      <c r="F134" s="1190" t="s">
        <v>251</v>
      </c>
      <c r="G134" s="1190" t="s">
        <v>251</v>
      </c>
      <c r="H134" s="1190" t="s">
        <v>251</v>
      </c>
      <c r="I134" s="1190" t="s">
        <v>251</v>
      </c>
      <c r="J134" s="1190" t="s">
        <v>251</v>
      </c>
      <c r="K134" s="1190"/>
      <c r="L134" s="1190" t="s">
        <v>251</v>
      </c>
      <c r="M134" s="1190" t="s">
        <v>251</v>
      </c>
      <c r="N134" s="1190" t="s">
        <v>251</v>
      </c>
      <c r="O134" s="1190" t="s">
        <v>251</v>
      </c>
      <c r="P134" s="1501">
        <f t="shared" si="9"/>
        <v>0</v>
      </c>
      <c r="Q134" s="1357">
        <f t="shared" si="12"/>
        <v>0</v>
      </c>
      <c r="R134" s="1356" t="s">
        <v>251</v>
      </c>
      <c r="S134" s="1190" t="s">
        <v>251</v>
      </c>
      <c r="T134" s="1190" t="s">
        <v>251</v>
      </c>
      <c r="U134" s="1190"/>
      <c r="V134" s="1190"/>
      <c r="W134" s="1190"/>
      <c r="X134" s="1190"/>
      <c r="Y134" s="1190"/>
      <c r="Z134" s="1190"/>
      <c r="AA134" s="1190"/>
      <c r="AB134" s="1190"/>
      <c r="AC134" s="1190"/>
      <c r="AD134" s="1357">
        <f t="shared" si="14"/>
        <v>0</v>
      </c>
      <c r="AE134" s="1364" t="e">
        <f>IF(OR(#REF!="", AD134=""), 0, IFERROR((#REF!-AD134)/AD134, IF(#REF!&lt;&gt;0, 1, 0)))</f>
        <v>#REF!</v>
      </c>
      <c r="AF134" s="1337">
        <f t="shared" si="15"/>
        <v>0</v>
      </c>
      <c r="AG134" s="1307">
        <f t="shared" si="13"/>
        <v>149</v>
      </c>
    </row>
    <row r="135" spans="1:33" x14ac:dyDescent="0.3">
      <c r="A135" s="38" t="s">
        <v>804</v>
      </c>
      <c r="B135" s="1346" t="s">
        <v>850</v>
      </c>
      <c r="C135" s="1487" t="s">
        <v>251</v>
      </c>
      <c r="D135" s="1190" t="s">
        <v>251</v>
      </c>
      <c r="E135" s="1190" t="s">
        <v>251</v>
      </c>
      <c r="F135" s="1190" t="s">
        <v>251</v>
      </c>
      <c r="G135" s="1190" t="s">
        <v>251</v>
      </c>
      <c r="H135" s="1190" t="s">
        <v>251</v>
      </c>
      <c r="I135" s="1190" t="s">
        <v>251</v>
      </c>
      <c r="J135" s="1190" t="s">
        <v>251</v>
      </c>
      <c r="K135" s="1190"/>
      <c r="L135" s="1190" t="s">
        <v>251</v>
      </c>
      <c r="M135" s="1190" t="s">
        <v>251</v>
      </c>
      <c r="N135" s="1190" t="s">
        <v>251</v>
      </c>
      <c r="O135" s="1190" t="s">
        <v>251</v>
      </c>
      <c r="P135" s="1501">
        <f t="shared" ref="P135:P198" si="16">SUM(C135:I135,K135)</f>
        <v>0</v>
      </c>
      <c r="Q135" s="1357">
        <f t="shared" si="12"/>
        <v>0</v>
      </c>
      <c r="R135" s="1356" t="s">
        <v>251</v>
      </c>
      <c r="S135" s="1190" t="s">
        <v>251</v>
      </c>
      <c r="T135" s="1190" t="s">
        <v>251</v>
      </c>
      <c r="U135" s="1190"/>
      <c r="V135" s="1190"/>
      <c r="W135" s="1190"/>
      <c r="X135" s="1190"/>
      <c r="Y135" s="1190"/>
      <c r="Z135" s="1190"/>
      <c r="AA135" s="1190"/>
      <c r="AB135" s="1190"/>
      <c r="AC135" s="1190"/>
      <c r="AD135" s="1357">
        <f t="shared" si="14"/>
        <v>0</v>
      </c>
      <c r="AE135" s="1364" t="e">
        <f>IF(OR(#REF!="", AD135=""), 0, IFERROR((#REF!-AD135)/AD135, IF(#REF!&lt;&gt;0, 1, 0)))</f>
        <v>#REF!</v>
      </c>
      <c r="AF135" s="1337">
        <f t="shared" si="15"/>
        <v>0</v>
      </c>
      <c r="AG135" s="1307">
        <f t="shared" si="13"/>
        <v>149</v>
      </c>
    </row>
    <row r="136" spans="1:33" x14ac:dyDescent="0.3">
      <c r="A136" s="38" t="s">
        <v>804</v>
      </c>
      <c r="B136" s="1346" t="s">
        <v>851</v>
      </c>
      <c r="C136" s="1487" t="s">
        <v>251</v>
      </c>
      <c r="D136" s="1190" t="s">
        <v>251</v>
      </c>
      <c r="E136" s="1190" t="s">
        <v>251</v>
      </c>
      <c r="F136" s="1190" t="s">
        <v>251</v>
      </c>
      <c r="G136" s="1190" t="s">
        <v>251</v>
      </c>
      <c r="H136" s="1190" t="s">
        <v>251</v>
      </c>
      <c r="I136" s="1190" t="s">
        <v>251</v>
      </c>
      <c r="J136" s="1190" t="s">
        <v>251</v>
      </c>
      <c r="K136" s="1190"/>
      <c r="L136" s="1190" t="s">
        <v>251</v>
      </c>
      <c r="M136" s="1190" t="s">
        <v>251</v>
      </c>
      <c r="N136" s="1190" t="s">
        <v>251</v>
      </c>
      <c r="O136" s="1190" t="s">
        <v>251</v>
      </c>
      <c r="P136" s="1501">
        <f t="shared" si="16"/>
        <v>0</v>
      </c>
      <c r="Q136" s="1357">
        <f t="shared" si="12"/>
        <v>0</v>
      </c>
      <c r="R136" s="1356" t="s">
        <v>251</v>
      </c>
      <c r="S136" s="1190" t="s">
        <v>251</v>
      </c>
      <c r="T136" s="1190" t="s">
        <v>251</v>
      </c>
      <c r="U136" s="1190"/>
      <c r="V136" s="1190"/>
      <c r="W136" s="1190"/>
      <c r="X136" s="1190"/>
      <c r="Y136" s="1190"/>
      <c r="Z136" s="1190"/>
      <c r="AA136" s="1190"/>
      <c r="AB136" s="1190"/>
      <c r="AC136" s="1190"/>
      <c r="AD136" s="1357">
        <f t="shared" si="14"/>
        <v>0</v>
      </c>
      <c r="AE136" s="1364" t="e">
        <f>IF(OR(#REF!="", AD136=""), 0, IFERROR((#REF!-AD136)/AD136, IF(#REF!&lt;&gt;0, 1, 0)))</f>
        <v>#REF!</v>
      </c>
      <c r="AF136" s="1337">
        <f t="shared" si="15"/>
        <v>0</v>
      </c>
      <c r="AG136" s="1307">
        <f t="shared" si="13"/>
        <v>149</v>
      </c>
    </row>
    <row r="137" spans="1:33" x14ac:dyDescent="0.3">
      <c r="A137" s="38" t="s">
        <v>804</v>
      </c>
      <c r="B137" s="1346" t="s">
        <v>895</v>
      </c>
      <c r="C137" s="1487" t="s">
        <v>251</v>
      </c>
      <c r="D137" s="1190" t="s">
        <v>251</v>
      </c>
      <c r="E137" s="1190" t="s">
        <v>251</v>
      </c>
      <c r="F137" s="1190" t="s">
        <v>251</v>
      </c>
      <c r="G137" s="1190" t="s">
        <v>251</v>
      </c>
      <c r="H137" s="1190" t="s">
        <v>251</v>
      </c>
      <c r="I137" s="1190" t="s">
        <v>251</v>
      </c>
      <c r="J137" s="1190" t="s">
        <v>251</v>
      </c>
      <c r="K137" s="1190"/>
      <c r="L137" s="1190" t="s">
        <v>251</v>
      </c>
      <c r="M137" s="1190" t="s">
        <v>251</v>
      </c>
      <c r="N137" s="1190" t="s">
        <v>251</v>
      </c>
      <c r="O137" s="1190" t="s">
        <v>251</v>
      </c>
      <c r="P137" s="1501">
        <f t="shared" si="16"/>
        <v>0</v>
      </c>
      <c r="Q137" s="1357">
        <f t="shared" si="12"/>
        <v>0</v>
      </c>
      <c r="R137" s="1356" t="s">
        <v>251</v>
      </c>
      <c r="S137" s="1190" t="s">
        <v>251</v>
      </c>
      <c r="T137" s="1190" t="s">
        <v>251</v>
      </c>
      <c r="U137" s="1190"/>
      <c r="V137" s="1190"/>
      <c r="W137" s="1190"/>
      <c r="X137" s="1190"/>
      <c r="Y137" s="1190"/>
      <c r="Z137" s="1190"/>
      <c r="AA137" s="1190"/>
      <c r="AB137" s="1190"/>
      <c r="AC137" s="1190"/>
      <c r="AD137" s="1357">
        <f t="shared" si="14"/>
        <v>0</v>
      </c>
      <c r="AE137" s="1364" t="e">
        <f>IF(OR(#REF!="", AD137=""), 0, IFERROR((#REF!-AD137)/AD137, IF(#REF!&lt;&gt;0, 1, 0)))</f>
        <v>#REF!</v>
      </c>
      <c r="AF137" s="1337">
        <f t="shared" si="15"/>
        <v>0</v>
      </c>
      <c r="AG137" s="1307">
        <f t="shared" si="13"/>
        <v>149</v>
      </c>
    </row>
    <row r="138" spans="1:33" x14ac:dyDescent="0.3">
      <c r="A138" s="38" t="s">
        <v>804</v>
      </c>
      <c r="B138" s="1346" t="s">
        <v>852</v>
      </c>
      <c r="C138" s="1487" t="s">
        <v>251</v>
      </c>
      <c r="D138" s="1190" t="s">
        <v>251</v>
      </c>
      <c r="E138" s="1190" t="s">
        <v>251</v>
      </c>
      <c r="F138" s="1190" t="s">
        <v>251</v>
      </c>
      <c r="G138" s="1190" t="s">
        <v>251</v>
      </c>
      <c r="H138" s="1190" t="s">
        <v>251</v>
      </c>
      <c r="I138" s="1190" t="s">
        <v>251</v>
      </c>
      <c r="J138" s="1190" t="s">
        <v>251</v>
      </c>
      <c r="K138" s="1190"/>
      <c r="L138" s="1190" t="s">
        <v>251</v>
      </c>
      <c r="M138" s="1190" t="s">
        <v>251</v>
      </c>
      <c r="N138" s="1190" t="s">
        <v>251</v>
      </c>
      <c r="O138" s="1190" t="s">
        <v>251</v>
      </c>
      <c r="P138" s="1501">
        <f t="shared" si="16"/>
        <v>0</v>
      </c>
      <c r="Q138" s="1357">
        <f t="shared" si="12"/>
        <v>0</v>
      </c>
      <c r="R138" s="1356" t="s">
        <v>251</v>
      </c>
      <c r="S138" s="1190" t="s">
        <v>251</v>
      </c>
      <c r="T138" s="1190" t="s">
        <v>251</v>
      </c>
      <c r="U138" s="1190"/>
      <c r="V138" s="1190"/>
      <c r="W138" s="1190"/>
      <c r="X138" s="1190"/>
      <c r="Y138" s="1190"/>
      <c r="Z138" s="1190"/>
      <c r="AA138" s="1190"/>
      <c r="AB138" s="1190"/>
      <c r="AC138" s="1190"/>
      <c r="AD138" s="1357">
        <f t="shared" si="14"/>
        <v>0</v>
      </c>
      <c r="AE138" s="1364" t="e">
        <f>IF(OR(#REF!="", AD138=""), 0, IFERROR((#REF!-AD138)/AD138, IF(#REF!&lt;&gt;0, 1, 0)))</f>
        <v>#REF!</v>
      </c>
      <c r="AF138" s="1337">
        <f t="shared" si="15"/>
        <v>0</v>
      </c>
      <c r="AG138" s="1307">
        <f t="shared" si="13"/>
        <v>149</v>
      </c>
    </row>
    <row r="139" spans="1:33" x14ac:dyDescent="0.3">
      <c r="A139" s="38" t="s">
        <v>804</v>
      </c>
      <c r="B139" s="1346" t="s">
        <v>853</v>
      </c>
      <c r="C139" s="1487" t="s">
        <v>251</v>
      </c>
      <c r="D139" s="1190" t="s">
        <v>251</v>
      </c>
      <c r="E139" s="1190" t="s">
        <v>251</v>
      </c>
      <c r="F139" s="1190" t="s">
        <v>251</v>
      </c>
      <c r="G139" s="1190" t="s">
        <v>251</v>
      </c>
      <c r="H139" s="1190" t="s">
        <v>251</v>
      </c>
      <c r="I139" s="1190" t="s">
        <v>251</v>
      </c>
      <c r="J139" s="1190" t="s">
        <v>251</v>
      </c>
      <c r="K139" s="1190"/>
      <c r="L139" s="1190" t="s">
        <v>251</v>
      </c>
      <c r="M139" s="1190" t="s">
        <v>251</v>
      </c>
      <c r="N139" s="1190" t="s">
        <v>251</v>
      </c>
      <c r="O139" s="1190" t="s">
        <v>251</v>
      </c>
      <c r="P139" s="1501">
        <f t="shared" si="16"/>
        <v>0</v>
      </c>
      <c r="Q139" s="1357">
        <f t="shared" si="12"/>
        <v>0</v>
      </c>
      <c r="R139" s="1356" t="s">
        <v>251</v>
      </c>
      <c r="S139" s="1190" t="s">
        <v>251</v>
      </c>
      <c r="T139" s="1190" t="s">
        <v>251</v>
      </c>
      <c r="U139" s="1190"/>
      <c r="V139" s="1190"/>
      <c r="W139" s="1190"/>
      <c r="X139" s="1190"/>
      <c r="Y139" s="1190"/>
      <c r="Z139" s="1190"/>
      <c r="AA139" s="1190"/>
      <c r="AB139" s="1190"/>
      <c r="AC139" s="1190"/>
      <c r="AD139" s="1357">
        <f t="shared" si="14"/>
        <v>0</v>
      </c>
      <c r="AE139" s="1364" t="e">
        <f>IF(OR(#REF!="", AD139=""), 0, IFERROR((#REF!-AD139)/AD139, IF(#REF!&lt;&gt;0, 1, 0)))</f>
        <v>#REF!</v>
      </c>
      <c r="AF139" s="1337">
        <f t="shared" si="15"/>
        <v>0</v>
      </c>
      <c r="AG139" s="1307">
        <f t="shared" si="13"/>
        <v>149</v>
      </c>
    </row>
    <row r="140" spans="1:33" x14ac:dyDescent="0.3">
      <c r="A140" s="38" t="s">
        <v>804</v>
      </c>
      <c r="B140" s="1346" t="s">
        <v>854</v>
      </c>
      <c r="C140" s="1487" t="s">
        <v>251</v>
      </c>
      <c r="D140" s="1190" t="s">
        <v>251</v>
      </c>
      <c r="E140" s="1190" t="s">
        <v>251</v>
      </c>
      <c r="F140" s="1190" t="s">
        <v>251</v>
      </c>
      <c r="G140" s="1190" t="s">
        <v>251</v>
      </c>
      <c r="H140" s="1190" t="s">
        <v>251</v>
      </c>
      <c r="I140" s="1190" t="s">
        <v>251</v>
      </c>
      <c r="J140" s="1190" t="s">
        <v>251</v>
      </c>
      <c r="K140" s="1190"/>
      <c r="L140" s="1190" t="s">
        <v>251</v>
      </c>
      <c r="M140" s="1190" t="s">
        <v>251</v>
      </c>
      <c r="N140" s="1190" t="s">
        <v>251</v>
      </c>
      <c r="O140" s="1190" t="s">
        <v>251</v>
      </c>
      <c r="P140" s="1501">
        <f t="shared" si="16"/>
        <v>0</v>
      </c>
      <c r="Q140" s="1357">
        <f t="shared" si="12"/>
        <v>0</v>
      </c>
      <c r="R140" s="1356" t="s">
        <v>251</v>
      </c>
      <c r="S140" s="1190" t="s">
        <v>251</v>
      </c>
      <c r="T140" s="1190" t="s">
        <v>251</v>
      </c>
      <c r="U140" s="1190"/>
      <c r="V140" s="1190"/>
      <c r="W140" s="1190"/>
      <c r="X140" s="1190"/>
      <c r="Y140" s="1190"/>
      <c r="Z140" s="1190"/>
      <c r="AA140" s="1190"/>
      <c r="AB140" s="1190"/>
      <c r="AC140" s="1190"/>
      <c r="AD140" s="1357">
        <f t="shared" si="14"/>
        <v>0</v>
      </c>
      <c r="AE140" s="1364" t="e">
        <f>IF(OR(#REF!="", AD140=""), 0, IFERROR((#REF!-AD140)/AD140, IF(#REF!&lt;&gt;0, 1, 0)))</f>
        <v>#REF!</v>
      </c>
      <c r="AF140" s="1337">
        <f t="shared" si="15"/>
        <v>0</v>
      </c>
      <c r="AG140" s="1307">
        <f t="shared" si="13"/>
        <v>149</v>
      </c>
    </row>
    <row r="141" spans="1:33" x14ac:dyDescent="0.3">
      <c r="A141" s="38" t="s">
        <v>804</v>
      </c>
      <c r="B141" s="1346" t="s">
        <v>855</v>
      </c>
      <c r="C141" s="1487" t="s">
        <v>251</v>
      </c>
      <c r="D141" s="1190" t="s">
        <v>251</v>
      </c>
      <c r="E141" s="1190" t="s">
        <v>251</v>
      </c>
      <c r="F141" s="1190" t="s">
        <v>251</v>
      </c>
      <c r="G141" s="1190" t="s">
        <v>251</v>
      </c>
      <c r="H141" s="1190" t="s">
        <v>251</v>
      </c>
      <c r="I141" s="1190" t="s">
        <v>251</v>
      </c>
      <c r="J141" s="1190" t="s">
        <v>251</v>
      </c>
      <c r="K141" s="1190"/>
      <c r="L141" s="1190" t="s">
        <v>251</v>
      </c>
      <c r="M141" s="1190" t="s">
        <v>251</v>
      </c>
      <c r="N141" s="1190" t="s">
        <v>251</v>
      </c>
      <c r="O141" s="1190" t="s">
        <v>251</v>
      </c>
      <c r="P141" s="1501">
        <f t="shared" si="16"/>
        <v>0</v>
      </c>
      <c r="Q141" s="1357">
        <f t="shared" si="12"/>
        <v>0</v>
      </c>
      <c r="R141" s="1356" t="s">
        <v>251</v>
      </c>
      <c r="S141" s="1190" t="s">
        <v>251</v>
      </c>
      <c r="T141" s="1190" t="s">
        <v>251</v>
      </c>
      <c r="U141" s="1190"/>
      <c r="V141" s="1190"/>
      <c r="W141" s="1190"/>
      <c r="X141" s="1190"/>
      <c r="Y141" s="1190"/>
      <c r="Z141" s="1190"/>
      <c r="AA141" s="1190"/>
      <c r="AB141" s="1190"/>
      <c r="AC141" s="1190"/>
      <c r="AD141" s="1357">
        <f t="shared" si="14"/>
        <v>0</v>
      </c>
      <c r="AE141" s="1364" t="e">
        <f>IF(OR(#REF!="", AD141=""), 0, IFERROR((#REF!-AD141)/AD141, IF(#REF!&lt;&gt;0, 1, 0)))</f>
        <v>#REF!</v>
      </c>
      <c r="AF141" s="1337">
        <f t="shared" si="15"/>
        <v>0</v>
      </c>
      <c r="AG141" s="1307">
        <f t="shared" si="13"/>
        <v>149</v>
      </c>
    </row>
    <row r="142" spans="1:33" x14ac:dyDescent="0.3">
      <c r="A142" s="38" t="s">
        <v>804</v>
      </c>
      <c r="B142" s="1346" t="s">
        <v>725</v>
      </c>
      <c r="C142" s="1487" t="s">
        <v>251</v>
      </c>
      <c r="D142" s="1190" t="s">
        <v>251</v>
      </c>
      <c r="E142" s="1190" t="s">
        <v>251</v>
      </c>
      <c r="F142" s="1190" t="s">
        <v>251</v>
      </c>
      <c r="G142" s="1190" t="s">
        <v>251</v>
      </c>
      <c r="H142" s="1190" t="s">
        <v>251</v>
      </c>
      <c r="I142" s="1190" t="s">
        <v>251</v>
      </c>
      <c r="J142" s="1190" t="s">
        <v>251</v>
      </c>
      <c r="K142" s="1190"/>
      <c r="L142" s="1190" t="s">
        <v>251</v>
      </c>
      <c r="M142" s="1190" t="s">
        <v>251</v>
      </c>
      <c r="N142" s="1190" t="s">
        <v>251</v>
      </c>
      <c r="O142" s="1190" t="s">
        <v>251</v>
      </c>
      <c r="P142" s="1501">
        <f t="shared" si="16"/>
        <v>0</v>
      </c>
      <c r="Q142" s="1357">
        <f t="shared" si="12"/>
        <v>0</v>
      </c>
      <c r="R142" s="1356" t="s">
        <v>251</v>
      </c>
      <c r="S142" s="1190" t="s">
        <v>251</v>
      </c>
      <c r="T142" s="1190" t="s">
        <v>251</v>
      </c>
      <c r="U142" s="1190"/>
      <c r="V142" s="1190"/>
      <c r="W142" s="1190"/>
      <c r="X142" s="1190"/>
      <c r="Y142" s="1190"/>
      <c r="Z142" s="1190"/>
      <c r="AA142" s="1190"/>
      <c r="AB142" s="1190"/>
      <c r="AC142" s="1190"/>
      <c r="AD142" s="1357">
        <f t="shared" si="14"/>
        <v>0</v>
      </c>
      <c r="AE142" s="1364" t="e">
        <f>IF(OR(#REF!="", AD142=""), 0, IFERROR((#REF!-AD142)/AD142, IF(#REF!&lt;&gt;0, 1, 0)))</f>
        <v>#REF!</v>
      </c>
      <c r="AF142" s="1337">
        <f t="shared" si="15"/>
        <v>0</v>
      </c>
      <c r="AG142" s="1307">
        <f t="shared" si="13"/>
        <v>149</v>
      </c>
    </row>
    <row r="143" spans="1:33" x14ac:dyDescent="0.3">
      <c r="A143" s="38" t="s">
        <v>804</v>
      </c>
      <c r="B143" s="1346" t="s">
        <v>856</v>
      </c>
      <c r="C143" s="1487" t="s">
        <v>251</v>
      </c>
      <c r="D143" s="1190" t="s">
        <v>251</v>
      </c>
      <c r="E143" s="1190" t="s">
        <v>251</v>
      </c>
      <c r="F143" s="1190" t="s">
        <v>251</v>
      </c>
      <c r="G143" s="1190" t="s">
        <v>251</v>
      </c>
      <c r="H143" s="1190" t="s">
        <v>251</v>
      </c>
      <c r="I143" s="1190" t="s">
        <v>251</v>
      </c>
      <c r="J143" s="1190" t="s">
        <v>251</v>
      </c>
      <c r="K143" s="1190"/>
      <c r="L143" s="1190" t="s">
        <v>251</v>
      </c>
      <c r="M143" s="1190" t="s">
        <v>251</v>
      </c>
      <c r="N143" s="1190" t="s">
        <v>251</v>
      </c>
      <c r="O143" s="1190" t="s">
        <v>251</v>
      </c>
      <c r="P143" s="1501">
        <f t="shared" si="16"/>
        <v>0</v>
      </c>
      <c r="Q143" s="1357">
        <f t="shared" ref="Q143:Q149" si="17">SUM(C143:J143,L143:O143)</f>
        <v>0</v>
      </c>
      <c r="R143" s="1356" t="s">
        <v>251</v>
      </c>
      <c r="S143" s="1190" t="s">
        <v>251</v>
      </c>
      <c r="T143" s="1190" t="s">
        <v>251</v>
      </c>
      <c r="U143" s="1190"/>
      <c r="V143" s="1190"/>
      <c r="W143" s="1190"/>
      <c r="X143" s="1190"/>
      <c r="Y143" s="1190"/>
      <c r="Z143" s="1190"/>
      <c r="AA143" s="1190"/>
      <c r="AB143" s="1190"/>
      <c r="AC143" s="1190"/>
      <c r="AD143" s="1357">
        <f t="shared" si="14"/>
        <v>0</v>
      </c>
      <c r="AE143" s="1364" t="e">
        <f>IF(OR(#REF!="", AD143=""), 0, IFERROR((#REF!-AD143)/AD143, IF(#REF!&lt;&gt;0, 1, 0)))</f>
        <v>#REF!</v>
      </c>
      <c r="AF143" s="1337">
        <f t="shared" si="15"/>
        <v>0</v>
      </c>
      <c r="AG143" s="1307">
        <f t="shared" ref="AG143:AG152" si="18">IFERROR(_xlfn.RANK.EQ(AD143, $AD$2:$AD$328), "")</f>
        <v>149</v>
      </c>
    </row>
    <row r="144" spans="1:33" x14ac:dyDescent="0.3">
      <c r="A144" s="38" t="s">
        <v>804</v>
      </c>
      <c r="B144" s="1346" t="s">
        <v>857</v>
      </c>
      <c r="C144" s="1487" t="s">
        <v>251</v>
      </c>
      <c r="D144" s="1190" t="s">
        <v>251</v>
      </c>
      <c r="E144" s="1190" t="s">
        <v>251</v>
      </c>
      <c r="F144" s="1190" t="s">
        <v>251</v>
      </c>
      <c r="G144" s="1190" t="s">
        <v>251</v>
      </c>
      <c r="H144" s="1190" t="s">
        <v>251</v>
      </c>
      <c r="I144" s="1190" t="s">
        <v>251</v>
      </c>
      <c r="J144" s="1190" t="s">
        <v>251</v>
      </c>
      <c r="K144" s="1190"/>
      <c r="L144" s="1190" t="s">
        <v>251</v>
      </c>
      <c r="M144" s="1190" t="s">
        <v>251</v>
      </c>
      <c r="N144" s="1190" t="s">
        <v>251</v>
      </c>
      <c r="O144" s="1190" t="s">
        <v>251</v>
      </c>
      <c r="P144" s="1501">
        <f t="shared" si="16"/>
        <v>0</v>
      </c>
      <c r="Q144" s="1357">
        <f t="shared" si="17"/>
        <v>0</v>
      </c>
      <c r="R144" s="1356" t="s">
        <v>251</v>
      </c>
      <c r="S144" s="1190" t="s">
        <v>251</v>
      </c>
      <c r="T144" s="1190" t="s">
        <v>251</v>
      </c>
      <c r="U144" s="1190"/>
      <c r="V144" s="1190"/>
      <c r="W144" s="1190"/>
      <c r="X144" s="1190"/>
      <c r="Y144" s="1190"/>
      <c r="Z144" s="1190"/>
      <c r="AA144" s="1190"/>
      <c r="AB144" s="1190"/>
      <c r="AC144" s="1190"/>
      <c r="AD144" s="1357">
        <f t="shared" si="14"/>
        <v>0</v>
      </c>
      <c r="AE144" s="1364" t="e">
        <f>IF(OR(#REF!="", AD144=""), 0, IFERROR((#REF!-AD144)/AD144, IF(#REF!&lt;&gt;0, 1, 0)))</f>
        <v>#REF!</v>
      </c>
      <c r="AF144" s="1337">
        <f t="shared" si="15"/>
        <v>0</v>
      </c>
      <c r="AG144" s="1307">
        <f t="shared" si="18"/>
        <v>149</v>
      </c>
    </row>
    <row r="145" spans="1:33" x14ac:dyDescent="0.3">
      <c r="A145" s="38" t="s">
        <v>804</v>
      </c>
      <c r="B145" s="1346" t="s">
        <v>858</v>
      </c>
      <c r="C145" s="1487" t="s">
        <v>251</v>
      </c>
      <c r="D145" s="1190" t="s">
        <v>251</v>
      </c>
      <c r="E145" s="1190" t="s">
        <v>251</v>
      </c>
      <c r="F145" s="1190" t="s">
        <v>251</v>
      </c>
      <c r="G145" s="1190" t="s">
        <v>251</v>
      </c>
      <c r="H145" s="1190" t="s">
        <v>251</v>
      </c>
      <c r="I145" s="1190" t="s">
        <v>251</v>
      </c>
      <c r="J145" s="1190" t="s">
        <v>251</v>
      </c>
      <c r="K145" s="1190"/>
      <c r="L145" s="1190" t="s">
        <v>251</v>
      </c>
      <c r="M145" s="1190" t="s">
        <v>251</v>
      </c>
      <c r="N145" s="1190" t="s">
        <v>251</v>
      </c>
      <c r="O145" s="1190" t="s">
        <v>251</v>
      </c>
      <c r="P145" s="1501">
        <f t="shared" si="16"/>
        <v>0</v>
      </c>
      <c r="Q145" s="1357">
        <f t="shared" si="17"/>
        <v>0</v>
      </c>
      <c r="R145" s="1356" t="s">
        <v>251</v>
      </c>
      <c r="S145" s="1190" t="s">
        <v>251</v>
      </c>
      <c r="T145" s="1190" t="s">
        <v>251</v>
      </c>
      <c r="U145" s="1190"/>
      <c r="V145" s="1190"/>
      <c r="W145" s="1190"/>
      <c r="X145" s="1190"/>
      <c r="Y145" s="1190"/>
      <c r="Z145" s="1190"/>
      <c r="AA145" s="1190"/>
      <c r="AB145" s="1190"/>
      <c r="AC145" s="1190"/>
      <c r="AD145" s="1357">
        <f t="shared" si="14"/>
        <v>0</v>
      </c>
      <c r="AE145" s="1364" t="e">
        <f>IF(OR(#REF!="", AD145=""), 0, IFERROR((#REF!-AD145)/AD145, IF(#REF!&lt;&gt;0, 1, 0)))</f>
        <v>#REF!</v>
      </c>
      <c r="AF145" s="1337">
        <f t="shared" si="15"/>
        <v>0</v>
      </c>
      <c r="AG145" s="1307">
        <f t="shared" si="18"/>
        <v>149</v>
      </c>
    </row>
    <row r="146" spans="1:33" x14ac:dyDescent="0.3">
      <c r="A146" s="38" t="s">
        <v>804</v>
      </c>
      <c r="B146" s="1346" t="s">
        <v>859</v>
      </c>
      <c r="C146" s="1487" t="s">
        <v>251</v>
      </c>
      <c r="D146" s="1190" t="s">
        <v>251</v>
      </c>
      <c r="E146" s="1190" t="s">
        <v>251</v>
      </c>
      <c r="F146" s="1190" t="s">
        <v>251</v>
      </c>
      <c r="G146" s="1190" t="s">
        <v>251</v>
      </c>
      <c r="H146" s="1190" t="s">
        <v>251</v>
      </c>
      <c r="I146" s="1190" t="s">
        <v>251</v>
      </c>
      <c r="J146" s="1190" t="s">
        <v>251</v>
      </c>
      <c r="K146" s="1190"/>
      <c r="L146" s="1190" t="s">
        <v>251</v>
      </c>
      <c r="M146" s="1190" t="s">
        <v>251</v>
      </c>
      <c r="N146" s="1190" t="s">
        <v>251</v>
      </c>
      <c r="O146" s="1190" t="s">
        <v>251</v>
      </c>
      <c r="P146" s="1501">
        <f t="shared" si="16"/>
        <v>0</v>
      </c>
      <c r="Q146" s="1357">
        <f t="shared" si="17"/>
        <v>0</v>
      </c>
      <c r="R146" s="1356" t="s">
        <v>251</v>
      </c>
      <c r="S146" s="1190" t="s">
        <v>251</v>
      </c>
      <c r="T146" s="1190" t="s">
        <v>251</v>
      </c>
      <c r="U146" s="1190"/>
      <c r="V146" s="1190"/>
      <c r="W146" s="1190"/>
      <c r="X146" s="1190"/>
      <c r="Y146" s="1190"/>
      <c r="Z146" s="1190"/>
      <c r="AA146" s="1190"/>
      <c r="AB146" s="1190"/>
      <c r="AC146" s="1190"/>
      <c r="AD146" s="1357">
        <f t="shared" ref="AD146:AD209" si="19">SUM(R146:AC146)</f>
        <v>0</v>
      </c>
      <c r="AE146" s="1364" t="e">
        <f>IF(OR(#REF!="", AD146=""), 0, IFERROR((#REF!-AD146)/AD146, IF(#REF!&lt;&gt;0, 1, 0)))</f>
        <v>#REF!</v>
      </c>
      <c r="AF146" s="1337">
        <f t="shared" ref="AF146:AF209" si="20">IF(OR(AD146="",P146=""), 0, IFERROR((AD146-P146)/P146, IF(AD146&lt;&gt;0, 1, 0)))</f>
        <v>0</v>
      </c>
      <c r="AG146" s="1307">
        <f t="shared" si="18"/>
        <v>149</v>
      </c>
    </row>
    <row r="147" spans="1:33" x14ac:dyDescent="0.3">
      <c r="A147" s="38" t="s">
        <v>804</v>
      </c>
      <c r="B147" s="1346" t="s">
        <v>860</v>
      </c>
      <c r="C147" s="1487" t="s">
        <v>251</v>
      </c>
      <c r="D147" s="1190" t="s">
        <v>251</v>
      </c>
      <c r="E147" s="1190" t="s">
        <v>251</v>
      </c>
      <c r="F147" s="1190" t="s">
        <v>251</v>
      </c>
      <c r="G147" s="1190" t="s">
        <v>251</v>
      </c>
      <c r="H147" s="1190" t="s">
        <v>251</v>
      </c>
      <c r="I147" s="1190" t="s">
        <v>251</v>
      </c>
      <c r="J147" s="1190" t="s">
        <v>251</v>
      </c>
      <c r="K147" s="1190"/>
      <c r="L147" s="1190" t="s">
        <v>251</v>
      </c>
      <c r="M147" s="1190" t="s">
        <v>251</v>
      </c>
      <c r="N147" s="1190" t="s">
        <v>251</v>
      </c>
      <c r="O147" s="1190" t="s">
        <v>251</v>
      </c>
      <c r="P147" s="1501">
        <f t="shared" si="16"/>
        <v>0</v>
      </c>
      <c r="Q147" s="1357">
        <f t="shared" si="17"/>
        <v>0</v>
      </c>
      <c r="R147" s="1356" t="s">
        <v>251</v>
      </c>
      <c r="S147" s="1190" t="s">
        <v>251</v>
      </c>
      <c r="T147" s="1190" t="s">
        <v>251</v>
      </c>
      <c r="U147" s="1190"/>
      <c r="V147" s="1190"/>
      <c r="W147" s="1190"/>
      <c r="X147" s="1190"/>
      <c r="Y147" s="1190"/>
      <c r="Z147" s="1190"/>
      <c r="AA147" s="1190"/>
      <c r="AB147" s="1190"/>
      <c r="AC147" s="1190"/>
      <c r="AD147" s="1357">
        <f t="shared" si="19"/>
        <v>0</v>
      </c>
      <c r="AE147" s="1364" t="e">
        <f>IF(OR(#REF!="", AD147=""), 0, IFERROR((#REF!-AD147)/AD147, IF(#REF!&lt;&gt;0, 1, 0)))</f>
        <v>#REF!</v>
      </c>
      <c r="AF147" s="1337">
        <f t="shared" si="20"/>
        <v>0</v>
      </c>
      <c r="AG147" s="1307">
        <f t="shared" si="18"/>
        <v>149</v>
      </c>
    </row>
    <row r="148" spans="1:33" x14ac:dyDescent="0.3">
      <c r="A148" s="38" t="s">
        <v>804</v>
      </c>
      <c r="B148" s="1346" t="s">
        <v>909</v>
      </c>
      <c r="C148" s="1487" t="s">
        <v>251</v>
      </c>
      <c r="D148" s="1190" t="s">
        <v>251</v>
      </c>
      <c r="E148" s="1190" t="s">
        <v>251</v>
      </c>
      <c r="F148" s="1190" t="s">
        <v>251</v>
      </c>
      <c r="G148" s="1190" t="s">
        <v>251</v>
      </c>
      <c r="H148" s="1190" t="s">
        <v>251</v>
      </c>
      <c r="I148" s="1190" t="s">
        <v>251</v>
      </c>
      <c r="J148" s="1190" t="s">
        <v>251</v>
      </c>
      <c r="K148" s="1190"/>
      <c r="L148" s="1190" t="s">
        <v>251</v>
      </c>
      <c r="M148" s="1190" t="s">
        <v>251</v>
      </c>
      <c r="N148" s="1190" t="s">
        <v>251</v>
      </c>
      <c r="O148" s="1190" t="s">
        <v>251</v>
      </c>
      <c r="P148" s="1501">
        <f t="shared" si="16"/>
        <v>0</v>
      </c>
      <c r="Q148" s="1357">
        <f t="shared" si="17"/>
        <v>0</v>
      </c>
      <c r="R148" s="1356" t="s">
        <v>251</v>
      </c>
      <c r="S148" s="1190" t="s">
        <v>251</v>
      </c>
      <c r="T148" s="1190" t="s">
        <v>251</v>
      </c>
      <c r="U148" s="1190"/>
      <c r="V148" s="1190"/>
      <c r="W148" s="1190"/>
      <c r="X148" s="1190"/>
      <c r="Y148" s="1190"/>
      <c r="Z148" s="1190"/>
      <c r="AA148" s="1190"/>
      <c r="AB148" s="1190"/>
      <c r="AC148" s="1190"/>
      <c r="AD148" s="1357">
        <f t="shared" si="19"/>
        <v>0</v>
      </c>
      <c r="AE148" s="1364" t="e">
        <f>IF(OR(#REF!="", AD148=""), 0, IFERROR((#REF!-AD148)/AD148, IF(#REF!&lt;&gt;0, 1, 0)))</f>
        <v>#REF!</v>
      </c>
      <c r="AF148" s="1337">
        <f t="shared" si="20"/>
        <v>0</v>
      </c>
      <c r="AG148" s="1307">
        <f t="shared" si="18"/>
        <v>149</v>
      </c>
    </row>
    <row r="149" spans="1:33" x14ac:dyDescent="0.3">
      <c r="A149" s="38" t="s">
        <v>804</v>
      </c>
      <c r="B149" s="1346" t="s">
        <v>1943</v>
      </c>
      <c r="C149" s="1487" t="s">
        <v>251</v>
      </c>
      <c r="D149" s="1190" t="s">
        <v>251</v>
      </c>
      <c r="E149" s="1190" t="s">
        <v>251</v>
      </c>
      <c r="F149" s="1190" t="s">
        <v>251</v>
      </c>
      <c r="G149" s="1190" t="s">
        <v>251</v>
      </c>
      <c r="H149" s="1190" t="s">
        <v>251</v>
      </c>
      <c r="I149" s="1190" t="s">
        <v>251</v>
      </c>
      <c r="J149" s="1190" t="s">
        <v>251</v>
      </c>
      <c r="K149" s="1190"/>
      <c r="L149" s="1190" t="s">
        <v>251</v>
      </c>
      <c r="M149" s="1190" t="s">
        <v>251</v>
      </c>
      <c r="N149" s="1190" t="s">
        <v>251</v>
      </c>
      <c r="O149" s="1190" t="s">
        <v>251</v>
      </c>
      <c r="P149" s="1501">
        <f t="shared" si="16"/>
        <v>0</v>
      </c>
      <c r="Q149" s="1357">
        <f t="shared" si="17"/>
        <v>0</v>
      </c>
      <c r="R149" s="1356" t="s">
        <v>251</v>
      </c>
      <c r="S149" s="1190" t="s">
        <v>251</v>
      </c>
      <c r="T149" s="1190" t="s">
        <v>251</v>
      </c>
      <c r="U149" s="1190"/>
      <c r="V149" s="1190"/>
      <c r="W149" s="1190"/>
      <c r="X149" s="1190"/>
      <c r="Y149" s="1190"/>
      <c r="Z149" s="1190"/>
      <c r="AA149" s="1190"/>
      <c r="AB149" s="1190"/>
      <c r="AC149" s="1190"/>
      <c r="AD149" s="1357">
        <f t="shared" si="19"/>
        <v>0</v>
      </c>
      <c r="AE149" s="1364" t="e">
        <f>IF(OR(#REF!="", AD149=""), 0, IFERROR((#REF!-AD149)/AD149, IF(#REF!&lt;&gt;0, 1, 0)))</f>
        <v>#REF!</v>
      </c>
      <c r="AF149" s="1337">
        <f t="shared" si="20"/>
        <v>0</v>
      </c>
      <c r="AG149" s="1307">
        <f t="shared" si="18"/>
        <v>149</v>
      </c>
    </row>
    <row r="150" spans="1:33" x14ac:dyDescent="0.3">
      <c r="A150" s="38" t="s">
        <v>804</v>
      </c>
      <c r="B150" s="1346" t="s">
        <v>1454</v>
      </c>
      <c r="C150" s="1487" t="s">
        <v>251</v>
      </c>
      <c r="D150" s="1190" t="s">
        <v>251</v>
      </c>
      <c r="E150" s="1190" t="s">
        <v>251</v>
      </c>
      <c r="F150" s="1190" t="s">
        <v>251</v>
      </c>
      <c r="G150" s="1190" t="s">
        <v>251</v>
      </c>
      <c r="H150" s="1190" t="s">
        <v>251</v>
      </c>
      <c r="I150" s="1190" t="s">
        <v>251</v>
      </c>
      <c r="J150" s="1190" t="s">
        <v>251</v>
      </c>
      <c r="K150" s="1190"/>
      <c r="L150" s="1190" t="s">
        <v>251</v>
      </c>
      <c r="M150" s="1190" t="s">
        <v>251</v>
      </c>
      <c r="N150" s="1190" t="s">
        <v>251</v>
      </c>
      <c r="O150" s="1190" t="s">
        <v>251</v>
      </c>
      <c r="P150" s="1501">
        <f t="shared" si="16"/>
        <v>0</v>
      </c>
      <c r="Q150" s="1357">
        <f>SUM(C150:J150,L150:O150)</f>
        <v>0</v>
      </c>
      <c r="R150" s="1356" t="s">
        <v>251</v>
      </c>
      <c r="S150" s="1190" t="s">
        <v>251</v>
      </c>
      <c r="T150" s="1190" t="s">
        <v>251</v>
      </c>
      <c r="U150" s="1190"/>
      <c r="V150" s="1190"/>
      <c r="W150" s="1190"/>
      <c r="X150" s="1190"/>
      <c r="Y150" s="1190"/>
      <c r="Z150" s="1190"/>
      <c r="AA150" s="1190"/>
      <c r="AB150" s="1190"/>
      <c r="AC150" s="1190"/>
      <c r="AD150" s="1357">
        <f t="shared" si="19"/>
        <v>0</v>
      </c>
      <c r="AE150" s="1364" t="e">
        <f>IF(OR(#REF!="", AD150=""), 0, IFERROR((#REF!-AD150)/AD150, IF(#REF!&lt;&gt;0, 1, 0)))</f>
        <v>#REF!</v>
      </c>
      <c r="AF150" s="1337">
        <f t="shared" si="20"/>
        <v>0</v>
      </c>
      <c r="AG150" s="1307">
        <f t="shared" si="18"/>
        <v>149</v>
      </c>
    </row>
    <row r="151" spans="1:33" x14ac:dyDescent="0.3">
      <c r="A151" s="38" t="s">
        <v>804</v>
      </c>
      <c r="B151" s="1346" t="s">
        <v>1163</v>
      </c>
      <c r="C151" s="1487" t="s">
        <v>251</v>
      </c>
      <c r="D151" s="1190" t="s">
        <v>251</v>
      </c>
      <c r="E151" s="1190" t="s">
        <v>251</v>
      </c>
      <c r="F151" s="1190" t="s">
        <v>251</v>
      </c>
      <c r="G151" s="1190" t="s">
        <v>251</v>
      </c>
      <c r="H151" s="1190" t="s">
        <v>251</v>
      </c>
      <c r="I151" s="1190" t="s">
        <v>251</v>
      </c>
      <c r="J151" s="1190" t="s">
        <v>251</v>
      </c>
      <c r="K151" s="1190"/>
      <c r="L151" s="1190" t="s">
        <v>251</v>
      </c>
      <c r="M151" s="1190" t="s">
        <v>251</v>
      </c>
      <c r="N151" s="1190" t="s">
        <v>251</v>
      </c>
      <c r="O151" s="1190" t="s">
        <v>251</v>
      </c>
      <c r="P151" s="1501">
        <f t="shared" si="16"/>
        <v>0</v>
      </c>
      <c r="Q151" s="1357">
        <f t="shared" ref="Q151:Q214" si="21">SUM(C151:J151,L151:O151)</f>
        <v>0</v>
      </c>
      <c r="R151" s="1356" t="s">
        <v>251</v>
      </c>
      <c r="S151" s="1190" t="s">
        <v>251</v>
      </c>
      <c r="T151" s="1190" t="s">
        <v>251</v>
      </c>
      <c r="U151" s="1190"/>
      <c r="V151" s="1190"/>
      <c r="W151" s="1190"/>
      <c r="X151" s="1190"/>
      <c r="Y151" s="1190"/>
      <c r="Z151" s="1190"/>
      <c r="AA151" s="1190"/>
      <c r="AB151" s="1190"/>
      <c r="AC151" s="1190"/>
      <c r="AD151" s="1357">
        <f t="shared" si="19"/>
        <v>0</v>
      </c>
      <c r="AE151" s="1364" t="e">
        <f>IF(OR(#REF!="", AD151=""), 0, IFERROR((#REF!-AD151)/AD151, IF(#REF!&lt;&gt;0, 1, 0)))</f>
        <v>#REF!</v>
      </c>
      <c r="AF151" s="1337">
        <f t="shared" si="20"/>
        <v>0</v>
      </c>
      <c r="AG151" s="1307">
        <f t="shared" si="18"/>
        <v>149</v>
      </c>
    </row>
    <row r="152" spans="1:33" x14ac:dyDescent="0.3">
      <c r="A152" s="38" t="s">
        <v>804</v>
      </c>
      <c r="B152" s="1346" t="s">
        <v>1141</v>
      </c>
      <c r="C152" s="1487" t="s">
        <v>251</v>
      </c>
      <c r="D152" s="1190" t="s">
        <v>251</v>
      </c>
      <c r="E152" s="1190" t="s">
        <v>251</v>
      </c>
      <c r="F152" s="1190" t="s">
        <v>251</v>
      </c>
      <c r="G152" s="1190" t="s">
        <v>251</v>
      </c>
      <c r="H152" s="1190" t="s">
        <v>251</v>
      </c>
      <c r="I152" s="1190" t="s">
        <v>251</v>
      </c>
      <c r="J152" s="1190" t="s">
        <v>251</v>
      </c>
      <c r="K152" s="1190"/>
      <c r="L152" s="1190" t="s">
        <v>251</v>
      </c>
      <c r="M152" s="1190" t="s">
        <v>251</v>
      </c>
      <c r="N152" s="1190" t="s">
        <v>251</v>
      </c>
      <c r="O152" s="1190" t="s">
        <v>251</v>
      </c>
      <c r="P152" s="1501">
        <f t="shared" si="16"/>
        <v>0</v>
      </c>
      <c r="Q152" s="1357">
        <f t="shared" si="21"/>
        <v>0</v>
      </c>
      <c r="R152" s="1356" t="s">
        <v>251</v>
      </c>
      <c r="S152" s="1190" t="s">
        <v>251</v>
      </c>
      <c r="T152" s="1190" t="s">
        <v>251</v>
      </c>
      <c r="U152" s="1190"/>
      <c r="V152" s="1190"/>
      <c r="W152" s="1190"/>
      <c r="X152" s="1190"/>
      <c r="Y152" s="1190"/>
      <c r="Z152" s="1190"/>
      <c r="AA152" s="1190"/>
      <c r="AB152" s="1190"/>
      <c r="AC152" s="1190"/>
      <c r="AD152" s="1357">
        <f t="shared" si="19"/>
        <v>0</v>
      </c>
      <c r="AE152" s="1364" t="e">
        <f>IF(OR(#REF!="", AD152=""), 0, IFERROR((#REF!-AD152)/AD152, IF(#REF!&lt;&gt;0, 1, 0)))</f>
        <v>#REF!</v>
      </c>
      <c r="AF152" s="1337">
        <f t="shared" si="20"/>
        <v>0</v>
      </c>
      <c r="AG152" s="1307">
        <f t="shared" si="18"/>
        <v>149</v>
      </c>
    </row>
    <row r="153" spans="1:33" x14ac:dyDescent="0.3">
      <c r="A153" s="38" t="s">
        <v>804</v>
      </c>
      <c r="B153" s="1346" t="s">
        <v>1164</v>
      </c>
      <c r="C153" s="1487" t="s">
        <v>251</v>
      </c>
      <c r="D153" s="1190" t="s">
        <v>251</v>
      </c>
      <c r="E153" s="1190" t="s">
        <v>251</v>
      </c>
      <c r="F153" s="1190" t="s">
        <v>251</v>
      </c>
      <c r="G153" s="1190" t="s">
        <v>251</v>
      </c>
      <c r="H153" s="1190" t="s">
        <v>251</v>
      </c>
      <c r="I153" s="1190" t="s">
        <v>251</v>
      </c>
      <c r="J153" s="1190" t="s">
        <v>251</v>
      </c>
      <c r="K153" s="1190"/>
      <c r="L153" s="1190" t="s">
        <v>251</v>
      </c>
      <c r="M153" s="1190" t="s">
        <v>251</v>
      </c>
      <c r="N153" s="1190" t="s">
        <v>251</v>
      </c>
      <c r="O153" s="1190" t="s">
        <v>251</v>
      </c>
      <c r="P153" s="1501">
        <f t="shared" si="16"/>
        <v>0</v>
      </c>
      <c r="Q153" s="1357">
        <f t="shared" si="21"/>
        <v>0</v>
      </c>
      <c r="R153" s="1356" t="s">
        <v>251</v>
      </c>
      <c r="S153" s="1190" t="s">
        <v>251</v>
      </c>
      <c r="T153" s="1190" t="s">
        <v>251</v>
      </c>
      <c r="U153" s="1190"/>
      <c r="V153" s="1190"/>
      <c r="W153" s="1190"/>
      <c r="X153" s="1190"/>
      <c r="Y153" s="1190"/>
      <c r="Z153" s="1190"/>
      <c r="AA153" s="1190"/>
      <c r="AB153" s="1190"/>
      <c r="AC153" s="1190"/>
      <c r="AD153" s="1357">
        <f t="shared" si="19"/>
        <v>0</v>
      </c>
      <c r="AE153" s="1364" t="e">
        <f>IF(OR(#REF!="", AD153=""), 0, IFERROR((#REF!-AD153)/AD153, IF(#REF!&lt;&gt;0, 1, 0)))</f>
        <v>#REF!</v>
      </c>
      <c r="AF153" s="1337">
        <f t="shared" si="20"/>
        <v>0</v>
      </c>
      <c r="AG153" s="1307">
        <f>IFERROR(_xlfn.RANK.EQ(AD153, $AD$2:$AD$328), "")</f>
        <v>149</v>
      </c>
    </row>
    <row r="154" spans="1:33" x14ac:dyDescent="0.3">
      <c r="A154" s="38" t="s">
        <v>804</v>
      </c>
      <c r="B154" s="1346" t="s">
        <v>1171</v>
      </c>
      <c r="C154" s="1487" t="s">
        <v>251</v>
      </c>
      <c r="D154" s="1190" t="s">
        <v>251</v>
      </c>
      <c r="E154" s="1190" t="s">
        <v>251</v>
      </c>
      <c r="F154" s="1190" t="s">
        <v>251</v>
      </c>
      <c r="G154" s="1190" t="s">
        <v>251</v>
      </c>
      <c r="H154" s="1190" t="s">
        <v>251</v>
      </c>
      <c r="I154" s="1190" t="s">
        <v>251</v>
      </c>
      <c r="J154" s="1190" t="s">
        <v>251</v>
      </c>
      <c r="K154" s="1190"/>
      <c r="L154" s="1190" t="s">
        <v>251</v>
      </c>
      <c r="M154" s="1190" t="s">
        <v>251</v>
      </c>
      <c r="N154" s="1190" t="s">
        <v>251</v>
      </c>
      <c r="O154" s="1190" t="s">
        <v>251</v>
      </c>
      <c r="P154" s="1501">
        <f t="shared" si="16"/>
        <v>0</v>
      </c>
      <c r="Q154" s="1357">
        <f t="shared" si="21"/>
        <v>0</v>
      </c>
      <c r="R154" s="1356" t="s">
        <v>251</v>
      </c>
      <c r="S154" s="1190" t="s">
        <v>251</v>
      </c>
      <c r="T154" s="1190" t="s">
        <v>251</v>
      </c>
      <c r="U154" s="1190"/>
      <c r="V154" s="1190"/>
      <c r="W154" s="1190"/>
      <c r="X154" s="1190"/>
      <c r="Y154" s="1190"/>
      <c r="Z154" s="1190"/>
      <c r="AA154" s="1190"/>
      <c r="AB154" s="1190"/>
      <c r="AC154" s="1190"/>
      <c r="AD154" s="1357">
        <f t="shared" si="19"/>
        <v>0</v>
      </c>
      <c r="AE154" s="1364" t="e">
        <f>IF(OR(#REF!="", AD154=""), 0, IFERROR((#REF!-AD154)/AD154, IF(#REF!&lt;&gt;0, 1, 0)))</f>
        <v>#REF!</v>
      </c>
      <c r="AF154" s="1337">
        <f t="shared" si="20"/>
        <v>0</v>
      </c>
      <c r="AG154" s="1307">
        <f t="shared" ref="AG154:AG217" si="22">IFERROR(_xlfn.RANK.EQ(AD154, $AD$2:$AD$328), "")</f>
        <v>149</v>
      </c>
    </row>
    <row r="155" spans="1:33" x14ac:dyDescent="0.3">
      <c r="A155" s="38" t="s">
        <v>804</v>
      </c>
      <c r="B155" s="1346" t="s">
        <v>1170</v>
      </c>
      <c r="C155" s="1487" t="s">
        <v>251</v>
      </c>
      <c r="D155" s="1190" t="s">
        <v>251</v>
      </c>
      <c r="E155" s="1190" t="s">
        <v>251</v>
      </c>
      <c r="F155" s="1190" t="s">
        <v>251</v>
      </c>
      <c r="G155" s="1190" t="s">
        <v>251</v>
      </c>
      <c r="H155" s="1190" t="s">
        <v>251</v>
      </c>
      <c r="I155" s="1190" t="s">
        <v>251</v>
      </c>
      <c r="J155" s="1190" t="s">
        <v>251</v>
      </c>
      <c r="K155" s="1190"/>
      <c r="L155" s="1190" t="s">
        <v>251</v>
      </c>
      <c r="M155" s="1190" t="s">
        <v>251</v>
      </c>
      <c r="N155" s="1190" t="s">
        <v>251</v>
      </c>
      <c r="O155" s="1190" t="s">
        <v>251</v>
      </c>
      <c r="P155" s="1501">
        <f t="shared" si="16"/>
        <v>0</v>
      </c>
      <c r="Q155" s="1357">
        <f t="shared" si="21"/>
        <v>0</v>
      </c>
      <c r="R155" s="1356" t="s">
        <v>251</v>
      </c>
      <c r="S155" s="1190" t="s">
        <v>251</v>
      </c>
      <c r="T155" s="1190" t="s">
        <v>251</v>
      </c>
      <c r="U155" s="1190"/>
      <c r="V155" s="1190"/>
      <c r="W155" s="1190"/>
      <c r="X155" s="1190"/>
      <c r="Y155" s="1190"/>
      <c r="Z155" s="1190"/>
      <c r="AA155" s="1190"/>
      <c r="AB155" s="1190"/>
      <c r="AC155" s="1190"/>
      <c r="AD155" s="1357">
        <f t="shared" si="19"/>
        <v>0</v>
      </c>
      <c r="AE155" s="1364" t="e">
        <f>IF(OR(#REF!="", AD155=""), 0, IFERROR((#REF!-AD155)/AD155, IF(#REF!&lt;&gt;0, 1, 0)))</f>
        <v>#REF!</v>
      </c>
      <c r="AF155" s="1337">
        <f t="shared" si="20"/>
        <v>0</v>
      </c>
      <c r="AG155" s="1307">
        <f t="shared" si="22"/>
        <v>149</v>
      </c>
    </row>
    <row r="156" spans="1:33" x14ac:dyDescent="0.3">
      <c r="A156" s="39" t="s">
        <v>907</v>
      </c>
      <c r="B156" s="40" t="s">
        <v>908</v>
      </c>
      <c r="C156" s="1298">
        <v>0</v>
      </c>
      <c r="D156" s="826">
        <v>0</v>
      </c>
      <c r="E156" s="527">
        <v>0</v>
      </c>
      <c r="F156" s="527">
        <v>0</v>
      </c>
      <c r="G156" s="527">
        <v>0</v>
      </c>
      <c r="H156" s="527">
        <v>182550</v>
      </c>
      <c r="I156" s="527">
        <v>0</v>
      </c>
      <c r="J156" s="527">
        <v>268000</v>
      </c>
      <c r="K156" s="527">
        <v>0</v>
      </c>
      <c r="L156" s="527">
        <v>0</v>
      </c>
      <c r="M156" s="527">
        <v>0</v>
      </c>
      <c r="N156" s="527">
        <v>0</v>
      </c>
      <c r="O156" s="527">
        <v>0</v>
      </c>
      <c r="P156" s="1501">
        <f t="shared" si="16"/>
        <v>182550</v>
      </c>
      <c r="Q156" s="1181">
        <f t="shared" si="21"/>
        <v>450550</v>
      </c>
      <c r="R156" s="47" t="s">
        <v>251</v>
      </c>
      <c r="S156" s="826" t="s">
        <v>251</v>
      </c>
      <c r="T156" s="527" t="s">
        <v>251</v>
      </c>
      <c r="U156" s="527"/>
      <c r="V156" s="527"/>
      <c r="W156" s="527"/>
      <c r="X156" s="527"/>
      <c r="Y156" s="527"/>
      <c r="Z156" s="527"/>
      <c r="AA156" s="527"/>
      <c r="AB156" s="527"/>
      <c r="AC156" s="527"/>
      <c r="AD156" s="1181">
        <f t="shared" si="19"/>
        <v>0</v>
      </c>
      <c r="AE156" s="28" t="e">
        <f>IF(OR(#REF!="", AD156=""), 0, IFERROR((#REF!-AD156)/AD156, IF(#REF!&lt;&gt;0, 1, 0)))</f>
        <v>#REF!</v>
      </c>
      <c r="AF156" s="1338">
        <f t="shared" si="20"/>
        <v>-1</v>
      </c>
      <c r="AG156" s="593">
        <f t="shared" si="22"/>
        <v>149</v>
      </c>
    </row>
    <row r="157" spans="1:33" x14ac:dyDescent="0.3">
      <c r="A157" s="39" t="s">
        <v>907</v>
      </c>
      <c r="B157" s="40" t="s">
        <v>708</v>
      </c>
      <c r="C157" s="1298">
        <v>3642110</v>
      </c>
      <c r="D157" s="826">
        <v>6719420</v>
      </c>
      <c r="E157" s="527">
        <v>10707540</v>
      </c>
      <c r="F157" s="527">
        <v>2694990</v>
      </c>
      <c r="G157" s="527">
        <v>381940</v>
      </c>
      <c r="H157" s="527">
        <v>355750</v>
      </c>
      <c r="I157" s="527">
        <v>4780120</v>
      </c>
      <c r="J157" s="527">
        <v>2449570</v>
      </c>
      <c r="K157" s="527">
        <v>1754790</v>
      </c>
      <c r="L157" s="527">
        <v>95630</v>
      </c>
      <c r="M157" s="527">
        <v>0</v>
      </c>
      <c r="N157" s="527">
        <v>4667190</v>
      </c>
      <c r="O157" s="527">
        <v>7753400</v>
      </c>
      <c r="P157" s="1501">
        <f t="shared" si="16"/>
        <v>31036660</v>
      </c>
      <c r="Q157" s="1181">
        <f t="shared" si="21"/>
        <v>44247660</v>
      </c>
      <c r="R157" s="47">
        <v>16052360</v>
      </c>
      <c r="S157" s="826" t="s">
        <v>251</v>
      </c>
      <c r="T157" s="527">
        <v>111790</v>
      </c>
      <c r="U157" s="527">
        <v>8546420</v>
      </c>
      <c r="V157" s="527">
        <v>752820</v>
      </c>
      <c r="W157" s="527">
        <v>1464720</v>
      </c>
      <c r="X157" s="527">
        <v>4218520</v>
      </c>
      <c r="Y157" s="527">
        <v>5066010</v>
      </c>
      <c r="Z157" s="527"/>
      <c r="AA157" s="527"/>
      <c r="AB157" s="527"/>
      <c r="AC157" s="527"/>
      <c r="AD157" s="1181">
        <f t="shared" si="19"/>
        <v>36212640</v>
      </c>
      <c r="AE157" s="28" t="e">
        <f>IF(OR(#REF!="", AD157=""), 0, IFERROR((#REF!-AD157)/AD157, IF(#REF!&lt;&gt;0, 1, 0)))</f>
        <v>#REF!</v>
      </c>
      <c r="AF157" s="1338">
        <f t="shared" si="20"/>
        <v>0.16676987794434067</v>
      </c>
      <c r="AG157" s="593">
        <f t="shared" si="22"/>
        <v>2</v>
      </c>
    </row>
    <row r="158" spans="1:33" x14ac:dyDescent="0.3">
      <c r="A158" s="39" t="s">
        <v>907</v>
      </c>
      <c r="B158" s="40" t="s">
        <v>803</v>
      </c>
      <c r="C158" s="1298">
        <v>1935330</v>
      </c>
      <c r="D158" s="826">
        <v>620230</v>
      </c>
      <c r="E158" s="527">
        <v>4075930</v>
      </c>
      <c r="F158" s="527">
        <v>0</v>
      </c>
      <c r="G158" s="527">
        <v>416970</v>
      </c>
      <c r="H158" s="527">
        <v>1021320</v>
      </c>
      <c r="I158" s="527">
        <v>0</v>
      </c>
      <c r="J158" s="527">
        <v>874540</v>
      </c>
      <c r="K158" s="527">
        <v>874540</v>
      </c>
      <c r="L158" s="527">
        <v>2895410</v>
      </c>
      <c r="M158" s="527">
        <v>666380</v>
      </c>
      <c r="N158" s="527">
        <v>1158270</v>
      </c>
      <c r="O158" s="527">
        <v>754810</v>
      </c>
      <c r="P158" s="1501">
        <f t="shared" si="16"/>
        <v>8944320</v>
      </c>
      <c r="Q158" s="1181">
        <f t="shared" si="21"/>
        <v>14419190</v>
      </c>
      <c r="R158" s="47" t="s">
        <v>251</v>
      </c>
      <c r="S158" s="826" t="s">
        <v>251</v>
      </c>
      <c r="T158" s="527">
        <v>393960</v>
      </c>
      <c r="U158" s="527">
        <v>2285670</v>
      </c>
      <c r="V158" s="527">
        <v>1006130</v>
      </c>
      <c r="W158" s="527">
        <v>0</v>
      </c>
      <c r="X158" s="527">
        <v>0</v>
      </c>
      <c r="Y158" s="527">
        <v>0</v>
      </c>
      <c r="Z158" s="527"/>
      <c r="AA158" s="527"/>
      <c r="AB158" s="527"/>
      <c r="AC158" s="527"/>
      <c r="AD158" s="1181">
        <f t="shared" si="19"/>
        <v>3685760</v>
      </c>
      <c r="AE158" s="28" t="e">
        <f>IF(OR(#REF!="", AD158=""), 0, IFERROR((#REF!-AD158)/AD158, IF(#REF!&lt;&gt;0, 1, 0)))</f>
        <v>#REF!</v>
      </c>
      <c r="AF158" s="1338">
        <f t="shared" si="20"/>
        <v>-0.58792172015312516</v>
      </c>
      <c r="AG158" s="593">
        <f t="shared" si="22"/>
        <v>23</v>
      </c>
    </row>
    <row r="159" spans="1:33" x14ac:dyDescent="0.3">
      <c r="A159" s="39" t="s">
        <v>907</v>
      </c>
      <c r="B159" s="40" t="s">
        <v>811</v>
      </c>
      <c r="C159" s="1298">
        <v>1203090</v>
      </c>
      <c r="D159" s="826">
        <v>0</v>
      </c>
      <c r="E159" s="527">
        <v>0</v>
      </c>
      <c r="F159" s="527">
        <v>0</v>
      </c>
      <c r="G159" s="527">
        <v>280320</v>
      </c>
      <c r="H159" s="527">
        <v>547490</v>
      </c>
      <c r="I159" s="527">
        <v>0</v>
      </c>
      <c r="J159" s="527">
        <v>271810</v>
      </c>
      <c r="K159" s="527">
        <v>271810</v>
      </c>
      <c r="L159" s="527">
        <v>132600</v>
      </c>
      <c r="M159" s="527">
        <v>0</v>
      </c>
      <c r="N159" s="527">
        <v>0</v>
      </c>
      <c r="O159" s="527">
        <v>0</v>
      </c>
      <c r="P159" s="1501">
        <f t="shared" si="16"/>
        <v>2302710</v>
      </c>
      <c r="Q159" s="1181">
        <f t="shared" si="21"/>
        <v>2435310</v>
      </c>
      <c r="R159" s="47">
        <v>723010</v>
      </c>
      <c r="S159" s="826">
        <v>330540</v>
      </c>
      <c r="T159" s="527">
        <v>0</v>
      </c>
      <c r="U159" s="527">
        <v>0</v>
      </c>
      <c r="V159" s="527">
        <v>152500</v>
      </c>
      <c r="W159" s="527">
        <v>525170</v>
      </c>
      <c r="X159" s="527">
        <v>515090</v>
      </c>
      <c r="Y159" s="527">
        <v>0</v>
      </c>
      <c r="Z159" s="527"/>
      <c r="AA159" s="527"/>
      <c r="AB159" s="527"/>
      <c r="AC159" s="527"/>
      <c r="AD159" s="1181">
        <f t="shared" si="19"/>
        <v>2246310</v>
      </c>
      <c r="AE159" s="28" t="e">
        <f>IF(OR(#REF!="", AD159=""), 0, IFERROR((#REF!-AD159)/AD159, IF(#REF!&lt;&gt;0, 1, 0)))</f>
        <v>#REF!</v>
      </c>
      <c r="AF159" s="1338">
        <f t="shared" si="20"/>
        <v>-2.4492880128196778E-2</v>
      </c>
      <c r="AG159" s="593">
        <f t="shared" si="22"/>
        <v>36</v>
      </c>
    </row>
    <row r="160" spans="1:33" x14ac:dyDescent="0.3">
      <c r="A160" s="39" t="s">
        <v>907</v>
      </c>
      <c r="B160" s="40" t="s">
        <v>813</v>
      </c>
      <c r="C160" s="1298">
        <v>238220</v>
      </c>
      <c r="D160" s="826">
        <v>0</v>
      </c>
      <c r="E160" s="527">
        <v>199980</v>
      </c>
      <c r="F160" s="527">
        <v>0</v>
      </c>
      <c r="G160" s="527">
        <v>0</v>
      </c>
      <c r="H160" s="527">
        <v>344820</v>
      </c>
      <c r="I160" s="527">
        <v>0</v>
      </c>
      <c r="J160" s="527">
        <v>0</v>
      </c>
      <c r="K160" s="527">
        <v>0</v>
      </c>
      <c r="L160" s="527">
        <v>261890</v>
      </c>
      <c r="M160" s="527">
        <v>619900</v>
      </c>
      <c r="N160" s="527">
        <v>1487940</v>
      </c>
      <c r="O160" s="527">
        <v>924510</v>
      </c>
      <c r="P160" s="1501">
        <f t="shared" si="16"/>
        <v>783020</v>
      </c>
      <c r="Q160" s="1181">
        <f t="shared" si="21"/>
        <v>4077260</v>
      </c>
      <c r="R160" s="47">
        <v>158130</v>
      </c>
      <c r="S160" s="826" t="s">
        <v>251</v>
      </c>
      <c r="T160" s="527">
        <v>894300</v>
      </c>
      <c r="U160" s="527">
        <v>430300</v>
      </c>
      <c r="V160" s="527">
        <v>0</v>
      </c>
      <c r="W160" s="527">
        <v>0</v>
      </c>
      <c r="X160" s="527">
        <v>262130</v>
      </c>
      <c r="Y160" s="527">
        <v>0</v>
      </c>
      <c r="Z160" s="527"/>
      <c r="AA160" s="527"/>
      <c r="AB160" s="527"/>
      <c r="AC160" s="527"/>
      <c r="AD160" s="1181">
        <f t="shared" si="19"/>
        <v>1744860</v>
      </c>
      <c r="AE160" s="28" t="e">
        <f>IF(OR(#REF!="", AD160=""), 0, IFERROR((#REF!-AD160)/AD160, IF(#REF!&lt;&gt;0, 1, 0)))</f>
        <v>#REF!</v>
      </c>
      <c r="AF160" s="1338">
        <f t="shared" si="20"/>
        <v>1.2283721999438073</v>
      </c>
      <c r="AG160" s="593">
        <f t="shared" si="22"/>
        <v>45</v>
      </c>
    </row>
    <row r="161" spans="1:33" x14ac:dyDescent="0.3">
      <c r="A161" s="39" t="s">
        <v>907</v>
      </c>
      <c r="B161" s="40" t="s">
        <v>808</v>
      </c>
      <c r="C161" s="1298">
        <v>190750</v>
      </c>
      <c r="D161" s="826">
        <v>0</v>
      </c>
      <c r="E161" s="527">
        <v>698310</v>
      </c>
      <c r="F161" s="527">
        <v>0</v>
      </c>
      <c r="G161" s="527">
        <v>218230</v>
      </c>
      <c r="H161" s="527">
        <v>176340</v>
      </c>
      <c r="I161" s="527">
        <v>0</v>
      </c>
      <c r="J161" s="527">
        <v>372970</v>
      </c>
      <c r="K161" s="527">
        <v>372970</v>
      </c>
      <c r="L161" s="527">
        <v>235410</v>
      </c>
      <c r="M161" s="527">
        <v>0</v>
      </c>
      <c r="N161" s="527">
        <v>0</v>
      </c>
      <c r="O161" s="527">
        <v>0</v>
      </c>
      <c r="P161" s="1501">
        <f t="shared" si="16"/>
        <v>1656600</v>
      </c>
      <c r="Q161" s="1181">
        <f t="shared" si="21"/>
        <v>1892010</v>
      </c>
      <c r="R161" s="47" t="s">
        <v>251</v>
      </c>
      <c r="S161" s="826" t="s">
        <v>251</v>
      </c>
      <c r="T161" s="527" t="s">
        <v>251</v>
      </c>
      <c r="U161" s="527"/>
      <c r="V161" s="527"/>
      <c r="W161" s="527"/>
      <c r="X161" s="527"/>
      <c r="Y161" s="527"/>
      <c r="Z161" s="527"/>
      <c r="AA161" s="527"/>
      <c r="AB161" s="527"/>
      <c r="AC161" s="527"/>
      <c r="AD161" s="1181">
        <f t="shared" si="19"/>
        <v>0</v>
      </c>
      <c r="AE161" s="28" t="e">
        <f>IF(OR(#REF!="", AD161=""), 0, IFERROR((#REF!-AD161)/AD161, IF(#REF!&lt;&gt;0, 1, 0)))</f>
        <v>#REF!</v>
      </c>
      <c r="AF161" s="1338">
        <f t="shared" si="20"/>
        <v>-1</v>
      </c>
      <c r="AG161" s="593">
        <f t="shared" si="22"/>
        <v>149</v>
      </c>
    </row>
    <row r="162" spans="1:33" x14ac:dyDescent="0.3">
      <c r="A162" s="39" t="s">
        <v>907</v>
      </c>
      <c r="B162" s="40" t="s">
        <v>810</v>
      </c>
      <c r="C162" s="1298">
        <v>633390</v>
      </c>
      <c r="D162" s="826">
        <v>1179130</v>
      </c>
      <c r="E162" s="527">
        <v>0</v>
      </c>
      <c r="F162" s="527">
        <v>0</v>
      </c>
      <c r="G162" s="527">
        <v>0</v>
      </c>
      <c r="H162" s="527">
        <v>0</v>
      </c>
      <c r="I162" s="527">
        <v>0</v>
      </c>
      <c r="J162" s="527">
        <v>0</v>
      </c>
      <c r="K162" s="527">
        <v>0</v>
      </c>
      <c r="L162" s="527">
        <v>0</v>
      </c>
      <c r="M162" s="527">
        <v>0</v>
      </c>
      <c r="N162" s="527">
        <v>285830</v>
      </c>
      <c r="O162" s="527">
        <v>994700</v>
      </c>
      <c r="P162" s="1501">
        <f t="shared" si="16"/>
        <v>1812520</v>
      </c>
      <c r="Q162" s="1181">
        <f t="shared" si="21"/>
        <v>3093050</v>
      </c>
      <c r="R162" s="47" t="s">
        <v>251</v>
      </c>
      <c r="S162" s="826" t="s">
        <v>251</v>
      </c>
      <c r="T162" s="527" t="s">
        <v>251</v>
      </c>
      <c r="U162" s="527"/>
      <c r="V162" s="527"/>
      <c r="W162" s="527"/>
      <c r="X162" s="527"/>
      <c r="Y162" s="527"/>
      <c r="Z162" s="527"/>
      <c r="AA162" s="527"/>
      <c r="AB162" s="527"/>
      <c r="AC162" s="527"/>
      <c r="AD162" s="1181">
        <f t="shared" si="19"/>
        <v>0</v>
      </c>
      <c r="AE162" s="28" t="e">
        <f>IF(OR(#REF!="", AD162=""), 0, IFERROR((#REF!-AD162)/AD162, IF(#REF!&lt;&gt;0, 1, 0)))</f>
        <v>#REF!</v>
      </c>
      <c r="AF162" s="1338">
        <f t="shared" si="20"/>
        <v>-1</v>
      </c>
      <c r="AG162" s="593">
        <f t="shared" si="22"/>
        <v>149</v>
      </c>
    </row>
    <row r="163" spans="1:33" x14ac:dyDescent="0.3">
      <c r="A163" s="39" t="s">
        <v>907</v>
      </c>
      <c r="B163" s="40" t="s">
        <v>816</v>
      </c>
      <c r="C163" s="1298">
        <v>1078490</v>
      </c>
      <c r="D163" s="826">
        <v>0</v>
      </c>
      <c r="E163" s="527">
        <v>0</v>
      </c>
      <c r="F163" s="527">
        <v>202080</v>
      </c>
      <c r="G163" s="527">
        <v>0</v>
      </c>
      <c r="H163" s="527">
        <v>0</v>
      </c>
      <c r="I163" s="527">
        <v>0</v>
      </c>
      <c r="J163" s="527">
        <v>0</v>
      </c>
      <c r="K163" s="527">
        <v>0</v>
      </c>
      <c r="L163" s="527">
        <v>0</v>
      </c>
      <c r="M163" s="527">
        <v>0</v>
      </c>
      <c r="N163" s="527">
        <v>289240</v>
      </c>
      <c r="O163" s="527">
        <v>1865150</v>
      </c>
      <c r="P163" s="1501">
        <f t="shared" si="16"/>
        <v>1280570</v>
      </c>
      <c r="Q163" s="1181">
        <f t="shared" si="21"/>
        <v>3434960</v>
      </c>
      <c r="R163" s="47" t="s">
        <v>251</v>
      </c>
      <c r="S163" s="826" t="s">
        <v>251</v>
      </c>
      <c r="T163" s="527">
        <v>213800</v>
      </c>
      <c r="U163" s="527">
        <v>0</v>
      </c>
      <c r="V163" s="527">
        <v>0</v>
      </c>
      <c r="W163" s="527">
        <v>0</v>
      </c>
      <c r="X163" s="527">
        <v>0</v>
      </c>
      <c r="Y163" s="527">
        <v>0</v>
      </c>
      <c r="Z163" s="527"/>
      <c r="AA163" s="527"/>
      <c r="AB163" s="527"/>
      <c r="AC163" s="527"/>
      <c r="AD163" s="1181">
        <f t="shared" si="19"/>
        <v>213800</v>
      </c>
      <c r="AE163" s="28" t="e">
        <f>IF(OR(#REF!="", AD163=""), 0, IFERROR((#REF!-AD163)/AD163, IF(#REF!&lt;&gt;0, 1, 0)))</f>
        <v>#REF!</v>
      </c>
      <c r="AF163" s="1338">
        <f t="shared" si="20"/>
        <v>-0.83304309799542386</v>
      </c>
      <c r="AG163" s="593">
        <f t="shared" si="22"/>
        <v>137</v>
      </c>
    </row>
    <row r="164" spans="1:33" x14ac:dyDescent="0.3">
      <c r="A164" s="39" t="s">
        <v>907</v>
      </c>
      <c r="B164" s="40" t="s">
        <v>822</v>
      </c>
      <c r="C164" s="1298">
        <v>1237150</v>
      </c>
      <c r="D164" s="826">
        <v>0</v>
      </c>
      <c r="E164" s="527">
        <v>0</v>
      </c>
      <c r="F164" s="527">
        <v>0</v>
      </c>
      <c r="G164" s="527">
        <v>0</v>
      </c>
      <c r="H164" s="527">
        <v>0</v>
      </c>
      <c r="I164" s="527">
        <v>0</v>
      </c>
      <c r="J164" s="527">
        <v>0</v>
      </c>
      <c r="K164" s="527">
        <v>0</v>
      </c>
      <c r="L164" s="527">
        <v>0</v>
      </c>
      <c r="M164" s="527">
        <v>0</v>
      </c>
      <c r="N164" s="527">
        <v>846490</v>
      </c>
      <c r="O164" s="527">
        <v>0</v>
      </c>
      <c r="P164" s="1501">
        <f t="shared" si="16"/>
        <v>1237150</v>
      </c>
      <c r="Q164" s="1181">
        <f t="shared" si="21"/>
        <v>2083640</v>
      </c>
      <c r="R164" s="47" t="s">
        <v>251</v>
      </c>
      <c r="S164" s="826" t="s">
        <v>251</v>
      </c>
      <c r="T164" s="527" t="s">
        <v>251</v>
      </c>
      <c r="U164" s="527"/>
      <c r="V164" s="527"/>
      <c r="W164" s="527"/>
      <c r="X164" s="527"/>
      <c r="Y164" s="527"/>
      <c r="Z164" s="527"/>
      <c r="AA164" s="527"/>
      <c r="AB164" s="527"/>
      <c r="AC164" s="527"/>
      <c r="AD164" s="1181">
        <f t="shared" si="19"/>
        <v>0</v>
      </c>
      <c r="AE164" s="28" t="e">
        <f>IF(OR(#REF!="", AD164=""), 0, IFERROR((#REF!-AD164)/AD164, IF(#REF!&lt;&gt;0, 1, 0)))</f>
        <v>#REF!</v>
      </c>
      <c r="AF164" s="1338">
        <f t="shared" si="20"/>
        <v>-1</v>
      </c>
      <c r="AG164" s="593">
        <f t="shared" si="22"/>
        <v>149</v>
      </c>
    </row>
    <row r="165" spans="1:33" x14ac:dyDescent="0.3">
      <c r="A165" s="39" t="s">
        <v>907</v>
      </c>
      <c r="B165" s="40" t="s">
        <v>704</v>
      </c>
      <c r="C165" s="1298">
        <v>611430</v>
      </c>
      <c r="D165" s="826">
        <v>0</v>
      </c>
      <c r="E165" s="527">
        <v>0</v>
      </c>
      <c r="F165" s="527">
        <v>0</v>
      </c>
      <c r="G165" s="527">
        <v>0</v>
      </c>
      <c r="H165" s="527">
        <v>0</v>
      </c>
      <c r="I165" s="527">
        <v>0</v>
      </c>
      <c r="J165" s="527">
        <v>0</v>
      </c>
      <c r="K165" s="527">
        <v>0</v>
      </c>
      <c r="L165" s="527">
        <v>0</v>
      </c>
      <c r="M165" s="527">
        <v>205630</v>
      </c>
      <c r="N165" s="527">
        <v>0</v>
      </c>
      <c r="O165" s="527">
        <v>1040870</v>
      </c>
      <c r="P165" s="1501">
        <f t="shared" si="16"/>
        <v>611430</v>
      </c>
      <c r="Q165" s="1181">
        <f t="shared" si="21"/>
        <v>1857930</v>
      </c>
      <c r="R165" s="47" t="s">
        <v>251</v>
      </c>
      <c r="S165" s="826" t="s">
        <v>251</v>
      </c>
      <c r="T165" s="527">
        <v>581160</v>
      </c>
      <c r="U165" s="527">
        <v>205680</v>
      </c>
      <c r="V165" s="527">
        <v>0</v>
      </c>
      <c r="W165" s="527">
        <v>0</v>
      </c>
      <c r="X165" s="527">
        <v>0</v>
      </c>
      <c r="Y165" s="527">
        <v>226530</v>
      </c>
      <c r="Z165" s="527"/>
      <c r="AA165" s="527"/>
      <c r="AB165" s="527"/>
      <c r="AC165" s="527"/>
      <c r="AD165" s="1181">
        <f t="shared" si="19"/>
        <v>1013370</v>
      </c>
      <c r="AE165" s="28" t="e">
        <f>IF(OR(#REF!="", AD165=""), 0, IFERROR((#REF!-AD165)/AD165, IF(#REF!&lt;&gt;0, 1, 0)))</f>
        <v>#REF!</v>
      </c>
      <c r="AF165" s="1338">
        <f t="shared" si="20"/>
        <v>0.65737696874540008</v>
      </c>
      <c r="AG165" s="593">
        <f t="shared" si="22"/>
        <v>70</v>
      </c>
    </row>
    <row r="166" spans="1:33" x14ac:dyDescent="0.3">
      <c r="A166" s="39" t="s">
        <v>907</v>
      </c>
      <c r="B166" s="40" t="s">
        <v>809</v>
      </c>
      <c r="C166" s="1298">
        <v>420890</v>
      </c>
      <c r="D166" s="826">
        <v>313530</v>
      </c>
      <c r="E166" s="527">
        <v>0</v>
      </c>
      <c r="F166" s="527">
        <v>0</v>
      </c>
      <c r="G166" s="527">
        <v>0</v>
      </c>
      <c r="H166" s="527">
        <v>0</v>
      </c>
      <c r="I166" s="527">
        <v>0</v>
      </c>
      <c r="J166" s="527">
        <v>0</v>
      </c>
      <c r="K166" s="527">
        <v>0</v>
      </c>
      <c r="L166" s="527">
        <v>0</v>
      </c>
      <c r="M166" s="527">
        <v>0</v>
      </c>
      <c r="N166" s="527">
        <v>0</v>
      </c>
      <c r="O166" s="527">
        <v>0</v>
      </c>
      <c r="P166" s="1501">
        <f t="shared" si="16"/>
        <v>734420</v>
      </c>
      <c r="Q166" s="1181">
        <f t="shared" si="21"/>
        <v>734420</v>
      </c>
      <c r="R166" s="47" t="s">
        <v>251</v>
      </c>
      <c r="S166" s="826" t="s">
        <v>251</v>
      </c>
      <c r="T166" s="527" t="s">
        <v>251</v>
      </c>
      <c r="U166" s="527"/>
      <c r="V166" s="527">
        <v>1431600</v>
      </c>
      <c r="W166" s="527">
        <v>0</v>
      </c>
      <c r="X166" s="527">
        <v>0</v>
      </c>
      <c r="Y166" s="527">
        <v>0</v>
      </c>
      <c r="Z166" s="527"/>
      <c r="AA166" s="527"/>
      <c r="AB166" s="527"/>
      <c r="AC166" s="527"/>
      <c r="AD166" s="1181">
        <f t="shared" si="19"/>
        <v>1431600</v>
      </c>
      <c r="AE166" s="28" t="e">
        <f>IF(OR(#REF!="", AD166=""), 0, IFERROR((#REF!-AD166)/AD166, IF(#REF!&lt;&gt;0, 1, 0)))</f>
        <v>#REF!</v>
      </c>
      <c r="AF166" s="1338">
        <f t="shared" si="20"/>
        <v>0.94929331989869559</v>
      </c>
      <c r="AG166" s="593">
        <f t="shared" si="22"/>
        <v>61</v>
      </c>
    </row>
    <row r="167" spans="1:33" x14ac:dyDescent="0.3">
      <c r="A167" s="39" t="s">
        <v>907</v>
      </c>
      <c r="B167" s="40" t="s">
        <v>710</v>
      </c>
      <c r="C167" s="1298">
        <v>534470</v>
      </c>
      <c r="D167" s="826">
        <v>0</v>
      </c>
      <c r="E167" s="527">
        <v>0</v>
      </c>
      <c r="F167" s="527">
        <v>0</v>
      </c>
      <c r="G167" s="527">
        <v>0</v>
      </c>
      <c r="H167" s="527">
        <v>0</v>
      </c>
      <c r="I167" s="527">
        <v>0</v>
      </c>
      <c r="J167" s="527">
        <v>0</v>
      </c>
      <c r="K167" s="527">
        <v>0</v>
      </c>
      <c r="L167" s="527">
        <v>0</v>
      </c>
      <c r="M167" s="527">
        <v>0</v>
      </c>
      <c r="N167" s="527">
        <v>0</v>
      </c>
      <c r="O167" s="527">
        <v>0</v>
      </c>
      <c r="P167" s="1501">
        <f t="shared" si="16"/>
        <v>534470</v>
      </c>
      <c r="Q167" s="1181">
        <f t="shared" si="21"/>
        <v>534470</v>
      </c>
      <c r="R167" s="47">
        <v>882220</v>
      </c>
      <c r="S167" s="826" t="s">
        <v>251</v>
      </c>
      <c r="T167" s="527">
        <v>0</v>
      </c>
      <c r="U167" s="527">
        <v>0</v>
      </c>
      <c r="V167" s="527">
        <v>230780</v>
      </c>
      <c r="W167" s="527">
        <v>0</v>
      </c>
      <c r="X167" s="527">
        <v>0</v>
      </c>
      <c r="Y167" s="527">
        <v>0</v>
      </c>
      <c r="Z167" s="527"/>
      <c r="AA167" s="527"/>
      <c r="AB167" s="527"/>
      <c r="AC167" s="527"/>
      <c r="AD167" s="1181">
        <f t="shared" si="19"/>
        <v>1113000</v>
      </c>
      <c r="AE167" s="28" t="e">
        <f>IF(OR(#REF!="", AD167=""), 0, IFERROR((#REF!-AD167)/AD167, IF(#REF!&lt;&gt;0, 1, 0)))</f>
        <v>#REF!</v>
      </c>
      <c r="AF167" s="1338">
        <f t="shared" si="20"/>
        <v>1.0824368065560275</v>
      </c>
      <c r="AG167" s="593">
        <f t="shared" si="22"/>
        <v>67</v>
      </c>
    </row>
    <row r="168" spans="1:33" x14ac:dyDescent="0.3">
      <c r="A168" s="39" t="s">
        <v>907</v>
      </c>
      <c r="B168" s="40" t="s">
        <v>830</v>
      </c>
      <c r="C168" s="1298">
        <v>255180</v>
      </c>
      <c r="D168" s="826">
        <v>0</v>
      </c>
      <c r="E168" s="527">
        <v>0</v>
      </c>
      <c r="F168" s="527">
        <v>0</v>
      </c>
      <c r="G168" s="527">
        <v>0</v>
      </c>
      <c r="H168" s="527">
        <v>0</v>
      </c>
      <c r="I168" s="527">
        <v>0</v>
      </c>
      <c r="J168" s="527">
        <v>0</v>
      </c>
      <c r="K168" s="527">
        <v>0</v>
      </c>
      <c r="L168" s="527">
        <v>0</v>
      </c>
      <c r="M168" s="527">
        <v>0</v>
      </c>
      <c r="N168" s="527">
        <v>0</v>
      </c>
      <c r="O168" s="527">
        <v>0</v>
      </c>
      <c r="P168" s="1501">
        <f t="shared" si="16"/>
        <v>255180</v>
      </c>
      <c r="Q168" s="1181">
        <f t="shared" si="21"/>
        <v>255180</v>
      </c>
      <c r="R168" s="47" t="s">
        <v>251</v>
      </c>
      <c r="S168" s="826" t="s">
        <v>251</v>
      </c>
      <c r="T168" s="527" t="s">
        <v>251</v>
      </c>
      <c r="U168" s="527"/>
      <c r="V168" s="527"/>
      <c r="W168" s="527"/>
      <c r="X168" s="527"/>
      <c r="Y168" s="527"/>
      <c r="Z168" s="527"/>
      <c r="AA168" s="527"/>
      <c r="AB168" s="527"/>
      <c r="AC168" s="527"/>
      <c r="AD168" s="1181">
        <f t="shared" si="19"/>
        <v>0</v>
      </c>
      <c r="AE168" s="28" t="e">
        <f>IF(OR(#REF!="", AD168=""), 0, IFERROR((#REF!-AD168)/AD168, IF(#REF!&lt;&gt;0, 1, 0)))</f>
        <v>#REF!</v>
      </c>
      <c r="AF168" s="1338">
        <f t="shared" si="20"/>
        <v>-1</v>
      </c>
      <c r="AG168" s="593">
        <f t="shared" si="22"/>
        <v>149</v>
      </c>
    </row>
    <row r="169" spans="1:33" x14ac:dyDescent="0.3">
      <c r="A169" s="39" t="s">
        <v>907</v>
      </c>
      <c r="B169" s="40" t="s">
        <v>827</v>
      </c>
      <c r="C169" s="1298">
        <v>198700</v>
      </c>
      <c r="D169" s="826">
        <v>0</v>
      </c>
      <c r="E169" s="527">
        <v>0</v>
      </c>
      <c r="F169" s="527">
        <v>0</v>
      </c>
      <c r="G169" s="527">
        <v>0</v>
      </c>
      <c r="H169" s="527">
        <v>0</v>
      </c>
      <c r="I169" s="527">
        <v>0</v>
      </c>
      <c r="J169" s="527">
        <v>0</v>
      </c>
      <c r="K169" s="527">
        <v>0</v>
      </c>
      <c r="L169" s="527">
        <v>0</v>
      </c>
      <c r="M169" s="527">
        <v>0</v>
      </c>
      <c r="N169" s="527">
        <v>0</v>
      </c>
      <c r="O169" s="527">
        <v>0</v>
      </c>
      <c r="P169" s="1501">
        <f t="shared" si="16"/>
        <v>198700</v>
      </c>
      <c r="Q169" s="1181">
        <f t="shared" si="21"/>
        <v>198700</v>
      </c>
      <c r="R169" s="47" t="s">
        <v>251</v>
      </c>
      <c r="S169" s="826" t="s">
        <v>251</v>
      </c>
      <c r="T169" s="527" t="s">
        <v>251</v>
      </c>
      <c r="U169" s="527"/>
      <c r="V169" s="527"/>
      <c r="W169" s="527"/>
      <c r="X169" s="527"/>
      <c r="Y169" s="527"/>
      <c r="Z169" s="527"/>
      <c r="AA169" s="527"/>
      <c r="AB169" s="527"/>
      <c r="AC169" s="527"/>
      <c r="AD169" s="1181">
        <f t="shared" si="19"/>
        <v>0</v>
      </c>
      <c r="AE169" s="28" t="e">
        <f>IF(OR(#REF!="", AD169=""), 0, IFERROR((#REF!-AD169)/AD169, IF(#REF!&lt;&gt;0, 1, 0)))</f>
        <v>#REF!</v>
      </c>
      <c r="AF169" s="1338">
        <f t="shared" si="20"/>
        <v>-1</v>
      </c>
      <c r="AG169" s="593">
        <f t="shared" si="22"/>
        <v>149</v>
      </c>
    </row>
    <row r="170" spans="1:33" x14ac:dyDescent="0.3">
      <c r="A170" s="39" t="s">
        <v>907</v>
      </c>
      <c r="B170" s="40" t="s">
        <v>719</v>
      </c>
      <c r="C170" s="1298">
        <v>0</v>
      </c>
      <c r="D170" s="826">
        <v>2135630</v>
      </c>
      <c r="E170" s="527">
        <v>4489620</v>
      </c>
      <c r="F170" s="527">
        <v>0</v>
      </c>
      <c r="G170" s="527">
        <v>0</v>
      </c>
      <c r="H170" s="527">
        <v>0</v>
      </c>
      <c r="I170" s="527">
        <v>0</v>
      </c>
      <c r="J170" s="527">
        <v>0</v>
      </c>
      <c r="K170" s="527">
        <v>0</v>
      </c>
      <c r="L170" s="527">
        <v>0</v>
      </c>
      <c r="M170" s="527">
        <v>0</v>
      </c>
      <c r="N170" s="527">
        <v>0</v>
      </c>
      <c r="O170" s="527">
        <v>261460</v>
      </c>
      <c r="P170" s="1501">
        <f t="shared" si="16"/>
        <v>6625250</v>
      </c>
      <c r="Q170" s="1181">
        <f t="shared" si="21"/>
        <v>6886710</v>
      </c>
      <c r="R170" s="47" t="s">
        <v>251</v>
      </c>
      <c r="S170" s="826" t="s">
        <v>251</v>
      </c>
      <c r="T170" s="527" t="s">
        <v>251</v>
      </c>
      <c r="U170" s="527">
        <v>253160</v>
      </c>
      <c r="V170" s="527">
        <v>0</v>
      </c>
      <c r="W170" s="527">
        <v>0</v>
      </c>
      <c r="X170" s="527">
        <v>1344420</v>
      </c>
      <c r="Y170" s="527">
        <v>0</v>
      </c>
      <c r="Z170" s="527"/>
      <c r="AA170" s="527"/>
      <c r="AB170" s="527"/>
      <c r="AC170" s="527"/>
      <c r="AD170" s="1181">
        <f t="shared" si="19"/>
        <v>1597580</v>
      </c>
      <c r="AE170" s="28" t="e">
        <f>IF(OR(#REF!="", AD170=""), 0, IFERROR((#REF!-AD170)/AD170, IF(#REF!&lt;&gt;0, 1, 0)))</f>
        <v>#REF!</v>
      </c>
      <c r="AF170" s="1338">
        <f t="shared" si="20"/>
        <v>-0.75886494849250974</v>
      </c>
      <c r="AG170" s="593">
        <f t="shared" si="22"/>
        <v>51</v>
      </c>
    </row>
    <row r="171" spans="1:33" x14ac:dyDescent="0.3">
      <c r="A171" s="39" t="s">
        <v>907</v>
      </c>
      <c r="B171" s="40" t="s">
        <v>709</v>
      </c>
      <c r="C171" s="1298">
        <v>0</v>
      </c>
      <c r="D171" s="826">
        <v>277790</v>
      </c>
      <c r="E171" s="527">
        <v>1583310</v>
      </c>
      <c r="F171" s="527">
        <v>1852900</v>
      </c>
      <c r="G171" s="527">
        <v>0</v>
      </c>
      <c r="H171" s="527">
        <v>0</v>
      </c>
      <c r="I171" s="527">
        <v>407430</v>
      </c>
      <c r="J171" s="527">
        <v>1322340</v>
      </c>
      <c r="K171" s="527">
        <v>1322340</v>
      </c>
      <c r="L171" s="527">
        <v>0</v>
      </c>
      <c r="M171" s="527">
        <v>700780</v>
      </c>
      <c r="N171" s="527">
        <v>486370</v>
      </c>
      <c r="O171" s="527">
        <v>91600</v>
      </c>
      <c r="P171" s="1501">
        <f t="shared" si="16"/>
        <v>5443770</v>
      </c>
      <c r="Q171" s="1181">
        <f t="shared" si="21"/>
        <v>6722520</v>
      </c>
      <c r="R171" s="47">
        <v>440230</v>
      </c>
      <c r="S171" s="826" t="s">
        <v>251</v>
      </c>
      <c r="T171" s="527">
        <v>0</v>
      </c>
      <c r="U171" s="527">
        <v>130090</v>
      </c>
      <c r="V171" s="527">
        <v>0</v>
      </c>
      <c r="W171" s="527">
        <v>0</v>
      </c>
      <c r="X171" s="527">
        <v>0</v>
      </c>
      <c r="Y171" s="527">
        <v>127880</v>
      </c>
      <c r="Z171" s="527"/>
      <c r="AA171" s="527"/>
      <c r="AB171" s="527"/>
      <c r="AC171" s="527"/>
      <c r="AD171" s="1181">
        <f t="shared" si="19"/>
        <v>698200</v>
      </c>
      <c r="AE171" s="28" t="e">
        <f>IF(OR(#REF!="", AD171=""), 0, IFERROR((#REF!-AD171)/AD171, IF(#REF!&lt;&gt;0, 1, 0)))</f>
        <v>#REF!</v>
      </c>
      <c r="AF171" s="1338">
        <f t="shared" si="20"/>
        <v>-0.87174329554701979</v>
      </c>
      <c r="AG171" s="593">
        <f t="shared" si="22"/>
        <v>83</v>
      </c>
    </row>
    <row r="172" spans="1:33" x14ac:dyDescent="0.3">
      <c r="A172" s="39" t="s">
        <v>907</v>
      </c>
      <c r="B172" s="40" t="s">
        <v>805</v>
      </c>
      <c r="C172" s="1298">
        <v>0</v>
      </c>
      <c r="D172" s="826">
        <v>202920</v>
      </c>
      <c r="E172" s="527">
        <v>0</v>
      </c>
      <c r="F172" s="527">
        <v>920130</v>
      </c>
      <c r="G172" s="527">
        <v>1029650</v>
      </c>
      <c r="H172" s="527">
        <v>1529280</v>
      </c>
      <c r="I172" s="527">
        <v>0</v>
      </c>
      <c r="J172" s="527">
        <v>1076700</v>
      </c>
      <c r="K172" s="527">
        <v>715420</v>
      </c>
      <c r="L172" s="527">
        <v>0</v>
      </c>
      <c r="M172" s="527">
        <v>685730</v>
      </c>
      <c r="N172" s="527">
        <v>0</v>
      </c>
      <c r="O172" s="527">
        <v>0</v>
      </c>
      <c r="P172" s="1501">
        <f t="shared" si="16"/>
        <v>4397400</v>
      </c>
      <c r="Q172" s="1181">
        <f t="shared" si="21"/>
        <v>5444410</v>
      </c>
      <c r="R172" s="47" t="s">
        <v>251</v>
      </c>
      <c r="S172" s="826" t="s">
        <v>251</v>
      </c>
      <c r="T172" s="527">
        <v>292660</v>
      </c>
      <c r="U172" s="527">
        <v>1382710</v>
      </c>
      <c r="V172" s="527">
        <v>0</v>
      </c>
      <c r="W172" s="527">
        <v>0</v>
      </c>
      <c r="X172" s="527">
        <v>0</v>
      </c>
      <c r="Y172" s="527">
        <v>0</v>
      </c>
      <c r="Z172" s="527"/>
      <c r="AA172" s="527"/>
      <c r="AB172" s="527"/>
      <c r="AC172" s="527"/>
      <c r="AD172" s="1181">
        <f t="shared" si="19"/>
        <v>1675370</v>
      </c>
      <c r="AE172" s="28" t="e">
        <f>IF(OR(#REF!="", AD172=""), 0, IFERROR((#REF!-AD172)/AD172, IF(#REF!&lt;&gt;0, 1, 0)))</f>
        <v>#REF!</v>
      </c>
      <c r="AF172" s="1338">
        <f t="shared" si="20"/>
        <v>-0.61900895983990545</v>
      </c>
      <c r="AG172" s="593">
        <f t="shared" si="22"/>
        <v>49</v>
      </c>
    </row>
    <row r="173" spans="1:33" x14ac:dyDescent="0.3">
      <c r="A173" s="39" t="s">
        <v>907</v>
      </c>
      <c r="B173" s="40" t="s">
        <v>826</v>
      </c>
      <c r="C173" s="1298">
        <v>0</v>
      </c>
      <c r="D173" s="826">
        <v>337740</v>
      </c>
      <c r="E173" s="527">
        <v>0</v>
      </c>
      <c r="F173" s="527">
        <v>0</v>
      </c>
      <c r="G173" s="527">
        <v>0</v>
      </c>
      <c r="H173" s="527">
        <v>190620</v>
      </c>
      <c r="I173" s="527">
        <v>0</v>
      </c>
      <c r="J173" s="527">
        <v>0</v>
      </c>
      <c r="K173" s="527">
        <v>0</v>
      </c>
      <c r="L173" s="527">
        <v>251600</v>
      </c>
      <c r="M173" s="527">
        <v>371090</v>
      </c>
      <c r="N173" s="527">
        <v>0</v>
      </c>
      <c r="O173" s="527">
        <v>353120</v>
      </c>
      <c r="P173" s="1501">
        <f t="shared" si="16"/>
        <v>528360</v>
      </c>
      <c r="Q173" s="1181">
        <f t="shared" si="21"/>
        <v>1504170</v>
      </c>
      <c r="R173" s="47" t="s">
        <v>251</v>
      </c>
      <c r="S173" s="826" t="s">
        <v>251</v>
      </c>
      <c r="T173" s="527" t="s">
        <v>251</v>
      </c>
      <c r="U173" s="527"/>
      <c r="V173" s="527"/>
      <c r="W173" s="527"/>
      <c r="X173" s="527"/>
      <c r="Y173" s="527"/>
      <c r="Z173" s="527"/>
      <c r="AA173" s="527"/>
      <c r="AB173" s="527"/>
      <c r="AC173" s="527"/>
      <c r="AD173" s="1181">
        <f t="shared" si="19"/>
        <v>0</v>
      </c>
      <c r="AE173" s="28" t="e">
        <f>IF(OR(#REF!="", AD173=""), 0, IFERROR((#REF!-AD173)/AD173, IF(#REF!&lt;&gt;0, 1, 0)))</f>
        <v>#REF!</v>
      </c>
      <c r="AF173" s="1338">
        <f t="shared" si="20"/>
        <v>-1</v>
      </c>
      <c r="AG173" s="593">
        <f t="shared" si="22"/>
        <v>149</v>
      </c>
    </row>
    <row r="174" spans="1:33" x14ac:dyDescent="0.3">
      <c r="A174" s="39" t="s">
        <v>907</v>
      </c>
      <c r="B174" s="40" t="s">
        <v>829</v>
      </c>
      <c r="C174" s="1298">
        <v>0</v>
      </c>
      <c r="D174" s="826">
        <v>155050</v>
      </c>
      <c r="E174" s="527">
        <v>0</v>
      </c>
      <c r="F174" s="527">
        <v>0</v>
      </c>
      <c r="G174" s="527">
        <v>0</v>
      </c>
      <c r="H174" s="527">
        <v>184900</v>
      </c>
      <c r="I174" s="527">
        <v>0</v>
      </c>
      <c r="J174" s="527">
        <v>310710</v>
      </c>
      <c r="K174" s="527">
        <v>0</v>
      </c>
      <c r="L174" s="527">
        <v>0</v>
      </c>
      <c r="M174" s="527">
        <v>0</v>
      </c>
      <c r="N174" s="527">
        <v>392150</v>
      </c>
      <c r="O174" s="527">
        <v>0</v>
      </c>
      <c r="P174" s="1501">
        <f t="shared" si="16"/>
        <v>339950</v>
      </c>
      <c r="Q174" s="1181">
        <f t="shared" si="21"/>
        <v>1042810</v>
      </c>
      <c r="R174" s="47" t="s">
        <v>251</v>
      </c>
      <c r="S174" s="826" t="s">
        <v>251</v>
      </c>
      <c r="T174" s="527" t="s">
        <v>251</v>
      </c>
      <c r="U174" s="527"/>
      <c r="V174" s="527"/>
      <c r="W174" s="527">
        <v>213380</v>
      </c>
      <c r="X174" s="527">
        <v>0</v>
      </c>
      <c r="Y174" s="527">
        <v>0</v>
      </c>
      <c r="Z174" s="527"/>
      <c r="AA174" s="527"/>
      <c r="AB174" s="527"/>
      <c r="AC174" s="527"/>
      <c r="AD174" s="1181">
        <f t="shared" si="19"/>
        <v>213380</v>
      </c>
      <c r="AE174" s="28" t="e">
        <f>IF(OR(#REF!="", AD174=""), 0, IFERROR((#REF!-AD174)/AD174, IF(#REF!&lt;&gt;0, 1, 0)))</f>
        <v>#REF!</v>
      </c>
      <c r="AF174" s="1338">
        <f t="shared" si="20"/>
        <v>-0.37231945874393291</v>
      </c>
      <c r="AG174" s="593">
        <f t="shared" si="22"/>
        <v>138</v>
      </c>
    </row>
    <row r="175" spans="1:33" x14ac:dyDescent="0.3">
      <c r="A175" s="39" t="s">
        <v>907</v>
      </c>
      <c r="B175" s="40" t="s">
        <v>819</v>
      </c>
      <c r="C175" s="1298">
        <v>0</v>
      </c>
      <c r="D175" s="826">
        <v>470980</v>
      </c>
      <c r="E175" s="527">
        <v>0</v>
      </c>
      <c r="F175" s="527">
        <v>0</v>
      </c>
      <c r="G175" s="527">
        <v>0</v>
      </c>
      <c r="H175" s="527">
        <v>0</v>
      </c>
      <c r="I175" s="527">
        <v>0</v>
      </c>
      <c r="J175" s="527">
        <v>0</v>
      </c>
      <c r="K175" s="527">
        <v>0</v>
      </c>
      <c r="L175" s="527">
        <v>0</v>
      </c>
      <c r="M175" s="527">
        <v>0</v>
      </c>
      <c r="N175" s="527">
        <v>0</v>
      </c>
      <c r="O175" s="527">
        <v>0</v>
      </c>
      <c r="P175" s="1501">
        <f t="shared" si="16"/>
        <v>470980</v>
      </c>
      <c r="Q175" s="1181">
        <f t="shared" si="21"/>
        <v>470980</v>
      </c>
      <c r="R175" s="47" t="s">
        <v>251</v>
      </c>
      <c r="S175" s="826" t="s">
        <v>251</v>
      </c>
      <c r="T175" s="527" t="s">
        <v>251</v>
      </c>
      <c r="U175" s="527"/>
      <c r="V175" s="527"/>
      <c r="W175" s="527"/>
      <c r="X175" s="527"/>
      <c r="Y175" s="527"/>
      <c r="Z175" s="527"/>
      <c r="AA175" s="527"/>
      <c r="AB175" s="527"/>
      <c r="AC175" s="527"/>
      <c r="AD175" s="1181">
        <f t="shared" si="19"/>
        <v>0</v>
      </c>
      <c r="AE175" s="28" t="e">
        <f>IF(OR(#REF!="", AD175=""), 0, IFERROR((#REF!-AD175)/AD175, IF(#REF!&lt;&gt;0, 1, 0)))</f>
        <v>#REF!</v>
      </c>
      <c r="AF175" s="1338">
        <f t="shared" si="20"/>
        <v>-1</v>
      </c>
      <c r="AG175" s="593">
        <f t="shared" si="22"/>
        <v>149</v>
      </c>
    </row>
    <row r="176" spans="1:33" x14ac:dyDescent="0.3">
      <c r="A176" s="39" t="s">
        <v>907</v>
      </c>
      <c r="B176" s="40" t="s">
        <v>824</v>
      </c>
      <c r="C176" s="1298">
        <v>0</v>
      </c>
      <c r="D176" s="826">
        <v>0</v>
      </c>
      <c r="E176" s="527">
        <v>222170</v>
      </c>
      <c r="F176" s="527">
        <v>0</v>
      </c>
      <c r="G176" s="527">
        <v>0</v>
      </c>
      <c r="H176" s="527">
        <v>0</v>
      </c>
      <c r="I176" s="527">
        <v>0</v>
      </c>
      <c r="J176" s="527">
        <v>0</v>
      </c>
      <c r="K176" s="527">
        <v>0</v>
      </c>
      <c r="L176" s="527">
        <v>0</v>
      </c>
      <c r="M176" s="527">
        <v>0</v>
      </c>
      <c r="N176" s="527">
        <v>0</v>
      </c>
      <c r="O176" s="527">
        <v>0</v>
      </c>
      <c r="P176" s="1501">
        <f t="shared" si="16"/>
        <v>222170</v>
      </c>
      <c r="Q176" s="1181">
        <f t="shared" si="21"/>
        <v>222170</v>
      </c>
      <c r="R176" s="47" t="s">
        <v>251</v>
      </c>
      <c r="S176" s="826" t="s">
        <v>251</v>
      </c>
      <c r="T176" s="527" t="s">
        <v>251</v>
      </c>
      <c r="U176" s="527"/>
      <c r="V176" s="527"/>
      <c r="W176" s="527"/>
      <c r="X176" s="527"/>
      <c r="Y176" s="527"/>
      <c r="Z176" s="527"/>
      <c r="AA176" s="527"/>
      <c r="AB176" s="527"/>
      <c r="AC176" s="527"/>
      <c r="AD176" s="1181">
        <f t="shared" si="19"/>
        <v>0</v>
      </c>
      <c r="AE176" s="28" t="e">
        <f>IF(OR(#REF!="", AD176=""), 0, IFERROR((#REF!-AD176)/AD176, IF(#REF!&lt;&gt;0, 1, 0)))</f>
        <v>#REF!</v>
      </c>
      <c r="AF176" s="1338">
        <f t="shared" si="20"/>
        <v>-1</v>
      </c>
      <c r="AG176" s="593">
        <f t="shared" si="22"/>
        <v>149</v>
      </c>
    </row>
    <row r="177" spans="1:33" x14ac:dyDescent="0.3">
      <c r="A177" s="39" t="s">
        <v>907</v>
      </c>
      <c r="B177" s="40" t="s">
        <v>806</v>
      </c>
      <c r="C177" s="1298">
        <v>0</v>
      </c>
      <c r="D177" s="826">
        <v>0</v>
      </c>
      <c r="E177" s="527">
        <v>776850</v>
      </c>
      <c r="F177" s="527">
        <v>536400</v>
      </c>
      <c r="G177" s="527">
        <v>0</v>
      </c>
      <c r="H177" s="527">
        <v>0</v>
      </c>
      <c r="I177" s="527">
        <v>0</v>
      </c>
      <c r="J177" s="527">
        <v>0</v>
      </c>
      <c r="K177" s="527"/>
      <c r="L177" s="527">
        <v>0</v>
      </c>
      <c r="M177" s="527">
        <v>201380</v>
      </c>
      <c r="N177" s="527">
        <v>1090840</v>
      </c>
      <c r="O177" s="527">
        <v>392410</v>
      </c>
      <c r="P177" s="1501">
        <f t="shared" si="16"/>
        <v>1313250</v>
      </c>
      <c r="Q177" s="1181">
        <f t="shared" si="21"/>
        <v>2997880</v>
      </c>
      <c r="R177" s="47">
        <v>276010</v>
      </c>
      <c r="S177" s="826" t="s">
        <v>251</v>
      </c>
      <c r="T177" s="527">
        <v>962720</v>
      </c>
      <c r="U177" s="527">
        <v>456260</v>
      </c>
      <c r="V177" s="527">
        <v>758720</v>
      </c>
      <c r="W177" s="527"/>
      <c r="X177" s="527"/>
      <c r="Y177" s="527"/>
      <c r="Z177" s="527"/>
      <c r="AA177" s="527"/>
      <c r="AB177" s="527"/>
      <c r="AC177" s="527"/>
      <c r="AD177" s="1181">
        <f t="shared" si="19"/>
        <v>2453710</v>
      </c>
      <c r="AE177" s="28" t="e">
        <f>IF(OR(#REF!="", AD177=""), 0, IFERROR((#REF!-AD177)/AD177, IF(#REF!&lt;&gt;0, 1, 0)))</f>
        <v>#REF!</v>
      </c>
      <c r="AF177" s="1338">
        <f t="shared" si="20"/>
        <v>0.86842566152674661</v>
      </c>
      <c r="AG177" s="593">
        <f t="shared" si="22"/>
        <v>34</v>
      </c>
    </row>
    <row r="178" spans="1:33" x14ac:dyDescent="0.3">
      <c r="A178" s="39" t="s">
        <v>907</v>
      </c>
      <c r="B178" s="40" t="s">
        <v>812</v>
      </c>
      <c r="C178" s="1298">
        <v>0</v>
      </c>
      <c r="D178" s="826">
        <v>0</v>
      </c>
      <c r="E178" s="527">
        <v>630180</v>
      </c>
      <c r="F178" s="527">
        <v>0</v>
      </c>
      <c r="G178" s="527">
        <v>1762890</v>
      </c>
      <c r="H178" s="527">
        <v>488190</v>
      </c>
      <c r="I178" s="527">
        <v>0</v>
      </c>
      <c r="J178" s="527">
        <v>0</v>
      </c>
      <c r="K178" s="527">
        <v>0</v>
      </c>
      <c r="L178" s="527">
        <v>0</v>
      </c>
      <c r="M178" s="527">
        <v>0</v>
      </c>
      <c r="N178" s="527">
        <v>353430</v>
      </c>
      <c r="O178" s="527">
        <v>0</v>
      </c>
      <c r="P178" s="1501">
        <f t="shared" si="16"/>
        <v>2881260</v>
      </c>
      <c r="Q178" s="1181">
        <f t="shared" si="21"/>
        <v>3234690</v>
      </c>
      <c r="R178" s="47">
        <v>1264300</v>
      </c>
      <c r="S178" s="826" t="s">
        <v>251</v>
      </c>
      <c r="T178" s="527">
        <v>609250</v>
      </c>
      <c r="U178" s="527">
        <v>0</v>
      </c>
      <c r="V178" s="527">
        <v>1256600</v>
      </c>
      <c r="W178" s="527">
        <v>617750</v>
      </c>
      <c r="X178" s="527">
        <v>475280</v>
      </c>
      <c r="Y178" s="527">
        <v>199500</v>
      </c>
      <c r="Z178" s="527"/>
      <c r="AA178" s="527"/>
      <c r="AB178" s="527"/>
      <c r="AC178" s="527"/>
      <c r="AD178" s="1181">
        <f t="shared" si="19"/>
        <v>4422680</v>
      </c>
      <c r="AE178" s="28" t="e">
        <f>IF(OR(#REF!="", AD178=""), 0, IFERROR((#REF!-AD178)/AD178, IF(#REF!&lt;&gt;0, 1, 0)))</f>
        <v>#REF!</v>
      </c>
      <c r="AF178" s="1338">
        <f t="shared" si="20"/>
        <v>0.53498122349249977</v>
      </c>
      <c r="AG178" s="593">
        <f t="shared" si="22"/>
        <v>15</v>
      </c>
    </row>
    <row r="179" spans="1:33" x14ac:dyDescent="0.3">
      <c r="A179" s="39" t="s">
        <v>907</v>
      </c>
      <c r="B179" s="40" t="s">
        <v>817</v>
      </c>
      <c r="C179" s="1298">
        <v>0</v>
      </c>
      <c r="D179" s="826">
        <v>0</v>
      </c>
      <c r="E179" s="527">
        <v>1828860</v>
      </c>
      <c r="F179" s="527">
        <v>0</v>
      </c>
      <c r="G179" s="527">
        <v>0</v>
      </c>
      <c r="H179" s="527">
        <v>0</v>
      </c>
      <c r="I179" s="527">
        <v>0</v>
      </c>
      <c r="J179" s="527">
        <v>0</v>
      </c>
      <c r="K179" s="527">
        <v>0</v>
      </c>
      <c r="L179" s="527">
        <v>0</v>
      </c>
      <c r="M179" s="527">
        <v>0</v>
      </c>
      <c r="N179" s="527">
        <v>0</v>
      </c>
      <c r="O179" s="527">
        <v>0</v>
      </c>
      <c r="P179" s="1501">
        <f t="shared" si="16"/>
        <v>1828860</v>
      </c>
      <c r="Q179" s="1181">
        <f t="shared" si="21"/>
        <v>1828860</v>
      </c>
      <c r="R179" s="47" t="s">
        <v>251</v>
      </c>
      <c r="S179" s="826" t="s">
        <v>251</v>
      </c>
      <c r="T179" s="527" t="s">
        <v>251</v>
      </c>
      <c r="U179" s="527"/>
      <c r="V179" s="527"/>
      <c r="W179" s="527"/>
      <c r="X179" s="527"/>
      <c r="Y179" s="527"/>
      <c r="Z179" s="527"/>
      <c r="AA179" s="527"/>
      <c r="AB179" s="527"/>
      <c r="AC179" s="527"/>
      <c r="AD179" s="1181">
        <f t="shared" si="19"/>
        <v>0</v>
      </c>
      <c r="AE179" s="28" t="e">
        <f>IF(OR(#REF!="", AD179=""), 0, IFERROR((#REF!-AD179)/AD179, IF(#REF!&lt;&gt;0, 1, 0)))</f>
        <v>#REF!</v>
      </c>
      <c r="AF179" s="1338">
        <f t="shared" si="20"/>
        <v>-1</v>
      </c>
      <c r="AG179" s="593">
        <f t="shared" si="22"/>
        <v>149</v>
      </c>
    </row>
    <row r="180" spans="1:33" x14ac:dyDescent="0.3">
      <c r="A180" s="39" t="s">
        <v>907</v>
      </c>
      <c r="B180" s="40" t="s">
        <v>815</v>
      </c>
      <c r="C180" s="1298">
        <v>0</v>
      </c>
      <c r="D180" s="826">
        <v>0</v>
      </c>
      <c r="E180" s="527">
        <v>161060</v>
      </c>
      <c r="F180" s="527">
        <v>0</v>
      </c>
      <c r="G180" s="527">
        <v>296220</v>
      </c>
      <c r="H180" s="527">
        <v>219090</v>
      </c>
      <c r="I180" s="527">
        <v>0</v>
      </c>
      <c r="J180" s="527">
        <v>544560</v>
      </c>
      <c r="K180" s="527">
        <v>0</v>
      </c>
      <c r="L180" s="527">
        <v>0</v>
      </c>
      <c r="M180" s="527">
        <v>0</v>
      </c>
      <c r="N180" s="527">
        <v>588220</v>
      </c>
      <c r="O180" s="527">
        <v>0</v>
      </c>
      <c r="P180" s="1501">
        <f t="shared" si="16"/>
        <v>676370</v>
      </c>
      <c r="Q180" s="1181">
        <f t="shared" si="21"/>
        <v>1809150</v>
      </c>
      <c r="R180" s="47">
        <v>288290</v>
      </c>
      <c r="S180" s="826" t="s">
        <v>251</v>
      </c>
      <c r="T180" s="527">
        <v>996890</v>
      </c>
      <c r="U180" s="527">
        <v>0</v>
      </c>
      <c r="V180" s="527">
        <v>0</v>
      </c>
      <c r="W180" s="527">
        <v>475770</v>
      </c>
      <c r="X180" s="527">
        <v>0</v>
      </c>
      <c r="Y180" s="527">
        <v>440470</v>
      </c>
      <c r="Z180" s="527"/>
      <c r="AA180" s="527"/>
      <c r="AB180" s="527"/>
      <c r="AC180" s="527"/>
      <c r="AD180" s="1181">
        <f t="shared" si="19"/>
        <v>2201420</v>
      </c>
      <c r="AE180" s="28" t="e">
        <f>IF(OR(#REF!="", AD180=""), 0, IFERROR((#REF!-AD180)/AD180, IF(#REF!&lt;&gt;0, 1, 0)))</f>
        <v>#REF!</v>
      </c>
      <c r="AF180" s="1338">
        <f t="shared" si="20"/>
        <v>2.2547570116947826</v>
      </c>
      <c r="AG180" s="593">
        <f t="shared" si="22"/>
        <v>38</v>
      </c>
    </row>
    <row r="181" spans="1:33" x14ac:dyDescent="0.3">
      <c r="A181" s="39" t="s">
        <v>907</v>
      </c>
      <c r="B181" s="40" t="s">
        <v>828</v>
      </c>
      <c r="C181" s="1298">
        <v>0</v>
      </c>
      <c r="D181" s="826">
        <v>0</v>
      </c>
      <c r="E181" s="527">
        <v>558910</v>
      </c>
      <c r="F181" s="527">
        <v>0</v>
      </c>
      <c r="G181" s="527">
        <v>0</v>
      </c>
      <c r="H181" s="527">
        <v>0</v>
      </c>
      <c r="I181" s="527">
        <v>0</v>
      </c>
      <c r="J181" s="527">
        <v>0</v>
      </c>
      <c r="K181" s="527">
        <v>0</v>
      </c>
      <c r="L181" s="527">
        <v>0</v>
      </c>
      <c r="M181" s="527">
        <v>0</v>
      </c>
      <c r="N181" s="527">
        <v>374150</v>
      </c>
      <c r="O181" s="527">
        <v>0</v>
      </c>
      <c r="P181" s="1501">
        <f t="shared" si="16"/>
        <v>558910</v>
      </c>
      <c r="Q181" s="1181">
        <f t="shared" si="21"/>
        <v>933060</v>
      </c>
      <c r="R181" s="47" t="s">
        <v>251</v>
      </c>
      <c r="S181" s="826" t="s">
        <v>251</v>
      </c>
      <c r="T181" s="527" t="s">
        <v>251</v>
      </c>
      <c r="U181" s="527"/>
      <c r="V181" s="527">
        <v>264910</v>
      </c>
      <c r="W181" s="527">
        <v>0</v>
      </c>
      <c r="X181" s="527">
        <v>0</v>
      </c>
      <c r="Y181" s="527">
        <v>0</v>
      </c>
      <c r="Z181" s="527"/>
      <c r="AA181" s="527"/>
      <c r="AB181" s="527"/>
      <c r="AC181" s="527"/>
      <c r="AD181" s="1181">
        <f t="shared" si="19"/>
        <v>264910</v>
      </c>
      <c r="AE181" s="28" t="e">
        <f>IF(OR(#REF!="", AD181=""), 0, IFERROR((#REF!-AD181)/AD181, IF(#REF!&lt;&gt;0, 1, 0)))</f>
        <v>#REF!</v>
      </c>
      <c r="AF181" s="1338">
        <f t="shared" si="20"/>
        <v>-0.5260238678857061</v>
      </c>
      <c r="AG181" s="593">
        <f t="shared" si="22"/>
        <v>126</v>
      </c>
    </row>
    <row r="182" spans="1:33" x14ac:dyDescent="0.3">
      <c r="A182" s="39" t="s">
        <v>907</v>
      </c>
      <c r="B182" s="40" t="s">
        <v>814</v>
      </c>
      <c r="C182" s="1298">
        <v>0</v>
      </c>
      <c r="D182" s="826">
        <v>0</v>
      </c>
      <c r="E182" s="527">
        <v>269400</v>
      </c>
      <c r="F182" s="527">
        <v>197410</v>
      </c>
      <c r="G182" s="527">
        <v>0</v>
      </c>
      <c r="H182" s="527">
        <v>0</v>
      </c>
      <c r="I182" s="527">
        <v>0</v>
      </c>
      <c r="J182" s="527">
        <v>0</v>
      </c>
      <c r="K182" s="527">
        <v>0</v>
      </c>
      <c r="L182" s="527">
        <v>0</v>
      </c>
      <c r="M182" s="527">
        <v>0</v>
      </c>
      <c r="N182" s="527">
        <v>0</v>
      </c>
      <c r="O182" s="527">
        <v>0</v>
      </c>
      <c r="P182" s="1501">
        <f t="shared" si="16"/>
        <v>466810</v>
      </c>
      <c r="Q182" s="1181">
        <f t="shared" si="21"/>
        <v>466810</v>
      </c>
      <c r="R182" s="47" t="s">
        <v>251</v>
      </c>
      <c r="S182" s="826" t="s">
        <v>251</v>
      </c>
      <c r="T182" s="527" t="s">
        <v>251</v>
      </c>
      <c r="U182" s="527"/>
      <c r="V182" s="527"/>
      <c r="W182" s="527"/>
      <c r="X182" s="527"/>
      <c r="Y182" s="527"/>
      <c r="Z182" s="527"/>
      <c r="AA182" s="527"/>
      <c r="AB182" s="527"/>
      <c r="AC182" s="527"/>
      <c r="AD182" s="1181">
        <f t="shared" si="19"/>
        <v>0</v>
      </c>
      <c r="AE182" s="28" t="e">
        <f>IF(OR(#REF!="", AD182=""), 0, IFERROR((#REF!-AD182)/AD182, IF(#REF!&lt;&gt;0, 1, 0)))</f>
        <v>#REF!</v>
      </c>
      <c r="AF182" s="1338">
        <f t="shared" si="20"/>
        <v>-1</v>
      </c>
      <c r="AG182" s="593">
        <f t="shared" si="22"/>
        <v>149</v>
      </c>
    </row>
    <row r="183" spans="1:33" x14ac:dyDescent="0.3">
      <c r="A183" s="39" t="s">
        <v>907</v>
      </c>
      <c r="B183" s="40" t="s">
        <v>818</v>
      </c>
      <c r="C183" s="1298">
        <v>0</v>
      </c>
      <c r="D183" s="826">
        <v>0</v>
      </c>
      <c r="E183" s="527">
        <v>383320</v>
      </c>
      <c r="F183" s="527">
        <v>0</v>
      </c>
      <c r="G183" s="527">
        <v>0</v>
      </c>
      <c r="H183" s="527">
        <v>0</v>
      </c>
      <c r="I183" s="527">
        <v>0</v>
      </c>
      <c r="J183" s="527">
        <v>0</v>
      </c>
      <c r="K183" s="527">
        <v>0</v>
      </c>
      <c r="L183" s="527">
        <v>0</v>
      </c>
      <c r="M183" s="527">
        <v>0</v>
      </c>
      <c r="N183" s="527">
        <v>0</v>
      </c>
      <c r="O183" s="527">
        <v>0</v>
      </c>
      <c r="P183" s="1501">
        <f t="shared" si="16"/>
        <v>383320</v>
      </c>
      <c r="Q183" s="1181">
        <f t="shared" si="21"/>
        <v>383320</v>
      </c>
      <c r="R183" s="47" t="s">
        <v>251</v>
      </c>
      <c r="S183" s="826" t="s">
        <v>251</v>
      </c>
      <c r="T183" s="527" t="s">
        <v>251</v>
      </c>
      <c r="U183" s="527"/>
      <c r="V183" s="527"/>
      <c r="W183" s="527"/>
      <c r="X183" s="527"/>
      <c r="Y183" s="527"/>
      <c r="Z183" s="527"/>
      <c r="AA183" s="527"/>
      <c r="AB183" s="527"/>
      <c r="AC183" s="527"/>
      <c r="AD183" s="1181">
        <f t="shared" si="19"/>
        <v>0</v>
      </c>
      <c r="AE183" s="28" t="e">
        <f>IF(OR(#REF!="", AD183=""), 0, IFERROR((#REF!-AD183)/AD183, IF(#REF!&lt;&gt;0, 1, 0)))</f>
        <v>#REF!</v>
      </c>
      <c r="AF183" s="1338">
        <f t="shared" si="20"/>
        <v>-1</v>
      </c>
      <c r="AG183" s="593">
        <f t="shared" si="22"/>
        <v>149</v>
      </c>
    </row>
    <row r="184" spans="1:33" x14ac:dyDescent="0.3">
      <c r="A184" s="39" t="s">
        <v>907</v>
      </c>
      <c r="B184" s="40" t="s">
        <v>821</v>
      </c>
      <c r="C184" s="1298">
        <v>0</v>
      </c>
      <c r="D184" s="826">
        <v>0</v>
      </c>
      <c r="E184" s="527">
        <v>200780</v>
      </c>
      <c r="F184" s="527">
        <v>0</v>
      </c>
      <c r="G184" s="527">
        <v>0</v>
      </c>
      <c r="H184" s="527">
        <v>0</v>
      </c>
      <c r="I184" s="527">
        <v>0</v>
      </c>
      <c r="J184" s="527">
        <v>0</v>
      </c>
      <c r="K184" s="527">
        <v>0</v>
      </c>
      <c r="L184" s="527">
        <v>0</v>
      </c>
      <c r="M184" s="527">
        <v>0</v>
      </c>
      <c r="N184" s="527">
        <v>0</v>
      </c>
      <c r="O184" s="527">
        <v>0</v>
      </c>
      <c r="P184" s="1501">
        <f t="shared" si="16"/>
        <v>200780</v>
      </c>
      <c r="Q184" s="1181">
        <f t="shared" si="21"/>
        <v>200780</v>
      </c>
      <c r="R184" s="47" t="s">
        <v>251</v>
      </c>
      <c r="S184" s="826" t="s">
        <v>251</v>
      </c>
      <c r="T184" s="527" t="s">
        <v>251</v>
      </c>
      <c r="U184" s="527"/>
      <c r="V184" s="527"/>
      <c r="W184" s="527"/>
      <c r="X184" s="527"/>
      <c r="Y184" s="527"/>
      <c r="Z184" s="527"/>
      <c r="AA184" s="527"/>
      <c r="AB184" s="527"/>
      <c r="AC184" s="527"/>
      <c r="AD184" s="1181">
        <f t="shared" si="19"/>
        <v>0</v>
      </c>
      <c r="AE184" s="28" t="e">
        <f>IF(OR(#REF!="", AD184=""), 0, IFERROR((#REF!-AD184)/AD184, IF(#REF!&lt;&gt;0, 1, 0)))</f>
        <v>#REF!</v>
      </c>
      <c r="AF184" s="1338">
        <f t="shared" si="20"/>
        <v>-1</v>
      </c>
      <c r="AG184" s="593">
        <f t="shared" si="22"/>
        <v>149</v>
      </c>
    </row>
    <row r="185" spans="1:33" x14ac:dyDescent="0.3">
      <c r="A185" s="39" t="s">
        <v>907</v>
      </c>
      <c r="B185" s="40" t="s">
        <v>885</v>
      </c>
      <c r="C185" s="1298" t="s">
        <v>251</v>
      </c>
      <c r="D185" s="826" t="s">
        <v>251</v>
      </c>
      <c r="E185" s="527" t="s">
        <v>251</v>
      </c>
      <c r="F185" s="527" t="s">
        <v>251</v>
      </c>
      <c r="G185" s="527" t="s">
        <v>251</v>
      </c>
      <c r="H185" s="527" t="s">
        <v>251</v>
      </c>
      <c r="I185" s="527" t="s">
        <v>251</v>
      </c>
      <c r="J185" s="527" t="s">
        <v>251</v>
      </c>
      <c r="K185" s="527"/>
      <c r="L185" s="527" t="s">
        <v>251</v>
      </c>
      <c r="M185" s="527" t="s">
        <v>251</v>
      </c>
      <c r="N185" s="527" t="s">
        <v>251</v>
      </c>
      <c r="O185" s="527" t="s">
        <v>251</v>
      </c>
      <c r="P185" s="1501">
        <f t="shared" si="16"/>
        <v>0</v>
      </c>
      <c r="Q185" s="1181">
        <f t="shared" si="21"/>
        <v>0</v>
      </c>
      <c r="R185" s="47" t="s">
        <v>251</v>
      </c>
      <c r="S185" s="826" t="s">
        <v>251</v>
      </c>
      <c r="T185" s="527" t="s">
        <v>251</v>
      </c>
      <c r="U185" s="527"/>
      <c r="V185" s="527"/>
      <c r="W185" s="527"/>
      <c r="X185" s="527"/>
      <c r="Y185" s="527"/>
      <c r="Z185" s="527"/>
      <c r="AA185" s="527"/>
      <c r="AB185" s="527"/>
      <c r="AC185" s="527"/>
      <c r="AD185" s="1181">
        <f t="shared" si="19"/>
        <v>0</v>
      </c>
      <c r="AE185" s="28" t="e">
        <f>IF(OR(#REF!="", AD185=""), 0, IFERROR((#REF!-AD185)/AD185, IF(#REF!&lt;&gt;0, 1, 0)))</f>
        <v>#REF!</v>
      </c>
      <c r="AF185" s="1338">
        <f t="shared" si="20"/>
        <v>0</v>
      </c>
      <c r="AG185" s="593">
        <f t="shared" si="22"/>
        <v>149</v>
      </c>
    </row>
    <row r="186" spans="1:33" x14ac:dyDescent="0.3">
      <c r="A186" s="39" t="s">
        <v>907</v>
      </c>
      <c r="B186" s="40" t="s">
        <v>820</v>
      </c>
      <c r="C186" s="1298"/>
      <c r="D186" s="826">
        <v>174920</v>
      </c>
      <c r="E186" s="527">
        <v>0</v>
      </c>
      <c r="F186" s="527">
        <v>0</v>
      </c>
      <c r="G186" s="527">
        <v>0</v>
      </c>
      <c r="H186" s="527">
        <v>0</v>
      </c>
      <c r="I186" s="527">
        <v>0</v>
      </c>
      <c r="J186" s="527">
        <v>0</v>
      </c>
      <c r="K186" s="527">
        <v>0</v>
      </c>
      <c r="L186" s="527">
        <v>0</v>
      </c>
      <c r="M186" s="527">
        <v>0</v>
      </c>
      <c r="N186" s="527">
        <v>0</v>
      </c>
      <c r="O186" s="527">
        <v>0</v>
      </c>
      <c r="P186" s="1501">
        <f t="shared" si="16"/>
        <v>174920</v>
      </c>
      <c r="Q186" s="1181">
        <f t="shared" si="21"/>
        <v>174920</v>
      </c>
      <c r="R186" s="47" t="s">
        <v>251</v>
      </c>
      <c r="S186" s="826" t="s">
        <v>251</v>
      </c>
      <c r="T186" s="527" t="s">
        <v>251</v>
      </c>
      <c r="U186" s="527"/>
      <c r="V186" s="527"/>
      <c r="W186" s="527"/>
      <c r="X186" s="527"/>
      <c r="Y186" s="527"/>
      <c r="Z186" s="527"/>
      <c r="AA186" s="527"/>
      <c r="AB186" s="527"/>
      <c r="AC186" s="527"/>
      <c r="AD186" s="1181">
        <f t="shared" si="19"/>
        <v>0</v>
      </c>
      <c r="AE186" s="28"/>
      <c r="AF186" s="1338">
        <f t="shared" si="20"/>
        <v>-1</v>
      </c>
      <c r="AG186" s="593">
        <f t="shared" si="22"/>
        <v>149</v>
      </c>
    </row>
    <row r="187" spans="1:33" x14ac:dyDescent="0.3">
      <c r="A187" s="39" t="s">
        <v>907</v>
      </c>
      <c r="B187" s="40" t="s">
        <v>2415</v>
      </c>
      <c r="C187" s="1298"/>
      <c r="D187" s="826"/>
      <c r="E187" s="527"/>
      <c r="F187" s="527">
        <v>253810</v>
      </c>
      <c r="G187" s="527">
        <v>0</v>
      </c>
      <c r="H187" s="527">
        <v>0</v>
      </c>
      <c r="I187" s="527">
        <v>0</v>
      </c>
      <c r="J187" s="527">
        <v>0</v>
      </c>
      <c r="K187" s="527">
        <v>0</v>
      </c>
      <c r="L187" s="527">
        <v>0</v>
      </c>
      <c r="M187" s="527">
        <v>0</v>
      </c>
      <c r="N187" s="527">
        <v>0</v>
      </c>
      <c r="O187" s="527">
        <v>0</v>
      </c>
      <c r="P187" s="1501">
        <f t="shared" si="16"/>
        <v>253810</v>
      </c>
      <c r="Q187" s="1181">
        <f t="shared" si="21"/>
        <v>253810</v>
      </c>
      <c r="R187" s="47" t="s">
        <v>251</v>
      </c>
      <c r="S187" s="826" t="s">
        <v>251</v>
      </c>
      <c r="T187" s="527" t="s">
        <v>251</v>
      </c>
      <c r="U187" s="527"/>
      <c r="V187" s="527"/>
      <c r="W187" s="527"/>
      <c r="X187" s="527"/>
      <c r="Y187" s="527"/>
      <c r="Z187" s="527"/>
      <c r="AA187" s="527"/>
      <c r="AB187" s="527"/>
      <c r="AC187" s="527"/>
      <c r="AD187" s="1181">
        <f t="shared" si="19"/>
        <v>0</v>
      </c>
      <c r="AE187" s="28"/>
      <c r="AF187" s="1338">
        <f t="shared" si="20"/>
        <v>-1</v>
      </c>
      <c r="AG187" s="593">
        <f t="shared" si="22"/>
        <v>149</v>
      </c>
    </row>
    <row r="188" spans="1:33" x14ac:dyDescent="0.3">
      <c r="A188" s="39" t="s">
        <v>907</v>
      </c>
      <c r="B188" s="40" t="s">
        <v>807</v>
      </c>
      <c r="C188" s="1298"/>
      <c r="D188" s="826"/>
      <c r="E188" s="527"/>
      <c r="F188" s="527">
        <v>609280</v>
      </c>
      <c r="G188" s="527">
        <v>0</v>
      </c>
      <c r="H188" s="527">
        <v>0</v>
      </c>
      <c r="I188" s="527">
        <v>0</v>
      </c>
      <c r="J188" s="527">
        <v>1040090</v>
      </c>
      <c r="K188" s="527">
        <v>393150</v>
      </c>
      <c r="L188" s="527">
        <v>0</v>
      </c>
      <c r="M188" s="527">
        <v>219600</v>
      </c>
      <c r="N188" s="527">
        <v>0</v>
      </c>
      <c r="O188" s="527">
        <v>0</v>
      </c>
      <c r="P188" s="1501">
        <f t="shared" si="16"/>
        <v>1002430</v>
      </c>
      <c r="Q188" s="1181">
        <f t="shared" si="21"/>
        <v>1868970</v>
      </c>
      <c r="R188" s="47" t="s">
        <v>251</v>
      </c>
      <c r="S188" s="826" t="s">
        <v>251</v>
      </c>
      <c r="T188" s="527" t="s">
        <v>251</v>
      </c>
      <c r="U188" s="527"/>
      <c r="V188" s="527"/>
      <c r="W188" s="527"/>
      <c r="X188" s="527"/>
      <c r="Y188" s="527"/>
      <c r="Z188" s="527"/>
      <c r="AA188" s="527"/>
      <c r="AB188" s="527"/>
      <c r="AC188" s="527"/>
      <c r="AD188" s="1181">
        <f t="shared" si="19"/>
        <v>0</v>
      </c>
      <c r="AE188" s="28"/>
      <c r="AF188" s="1338">
        <f t="shared" si="20"/>
        <v>-1</v>
      </c>
      <c r="AG188" s="593">
        <f t="shared" si="22"/>
        <v>149</v>
      </c>
    </row>
    <row r="189" spans="1:33" x14ac:dyDescent="0.3">
      <c r="A189" s="39" t="s">
        <v>907</v>
      </c>
      <c r="B189" s="40" t="s">
        <v>823</v>
      </c>
      <c r="C189" s="1298"/>
      <c r="D189" s="826"/>
      <c r="E189" s="527"/>
      <c r="F189" s="527">
        <v>231980</v>
      </c>
      <c r="G189" s="527">
        <v>0</v>
      </c>
      <c r="H189" s="527">
        <v>0</v>
      </c>
      <c r="I189" s="527">
        <v>0</v>
      </c>
      <c r="J189" s="527">
        <v>177530</v>
      </c>
      <c r="K189" s="527">
        <v>177530</v>
      </c>
      <c r="L189" s="527">
        <v>0</v>
      </c>
      <c r="M189" s="527">
        <v>0</v>
      </c>
      <c r="N189" s="527">
        <v>0</v>
      </c>
      <c r="O189" s="527">
        <v>737550</v>
      </c>
      <c r="P189" s="1501">
        <f t="shared" si="16"/>
        <v>409510</v>
      </c>
      <c r="Q189" s="1181">
        <f t="shared" si="21"/>
        <v>1147060</v>
      </c>
      <c r="R189" s="47" t="s">
        <v>251</v>
      </c>
      <c r="S189" s="826" t="s">
        <v>251</v>
      </c>
      <c r="T189" s="527" t="s">
        <v>251</v>
      </c>
      <c r="U189" s="527"/>
      <c r="V189" s="527"/>
      <c r="W189" s="527"/>
      <c r="X189" s="527"/>
      <c r="Y189" s="527"/>
      <c r="Z189" s="527"/>
      <c r="AA189" s="527"/>
      <c r="AB189" s="527"/>
      <c r="AC189" s="527"/>
      <c r="AD189" s="1181">
        <f t="shared" si="19"/>
        <v>0</v>
      </c>
      <c r="AE189" s="28"/>
      <c r="AF189" s="1338">
        <f t="shared" si="20"/>
        <v>-1</v>
      </c>
      <c r="AG189" s="593">
        <f t="shared" si="22"/>
        <v>149</v>
      </c>
    </row>
    <row r="190" spans="1:33" x14ac:dyDescent="0.3">
      <c r="A190" s="39" t="s">
        <v>907</v>
      </c>
      <c r="B190" s="40" t="s">
        <v>2007</v>
      </c>
      <c r="C190" s="1298"/>
      <c r="D190" s="826"/>
      <c r="E190" s="527"/>
      <c r="F190" s="527">
        <v>254950</v>
      </c>
      <c r="G190" s="527">
        <v>0</v>
      </c>
      <c r="H190" s="527">
        <v>0</v>
      </c>
      <c r="I190" s="527">
        <v>0</v>
      </c>
      <c r="J190" s="527">
        <v>0</v>
      </c>
      <c r="K190" s="527">
        <v>0</v>
      </c>
      <c r="L190" s="527">
        <v>0</v>
      </c>
      <c r="M190" s="527">
        <v>0</v>
      </c>
      <c r="N190" s="527">
        <v>0</v>
      </c>
      <c r="O190" s="527">
        <v>0</v>
      </c>
      <c r="P190" s="1501">
        <f t="shared" si="16"/>
        <v>254950</v>
      </c>
      <c r="Q190" s="1181">
        <f t="shared" si="21"/>
        <v>254950</v>
      </c>
      <c r="R190" s="47" t="s">
        <v>251</v>
      </c>
      <c r="S190" s="826" t="s">
        <v>251</v>
      </c>
      <c r="T190" s="527" t="s">
        <v>251</v>
      </c>
      <c r="U190" s="527"/>
      <c r="V190" s="527"/>
      <c r="W190" s="527"/>
      <c r="X190" s="527"/>
      <c r="Y190" s="527"/>
      <c r="Z190" s="527"/>
      <c r="AA190" s="527"/>
      <c r="AB190" s="527"/>
      <c r="AC190" s="527"/>
      <c r="AD190" s="1181">
        <f t="shared" si="19"/>
        <v>0</v>
      </c>
      <c r="AE190" s="28"/>
      <c r="AF190" s="1338">
        <f t="shared" si="20"/>
        <v>-1</v>
      </c>
      <c r="AG190" s="593">
        <f t="shared" si="22"/>
        <v>149</v>
      </c>
    </row>
    <row r="191" spans="1:33" x14ac:dyDescent="0.3">
      <c r="A191" s="39" t="s">
        <v>907</v>
      </c>
      <c r="B191" s="40" t="s">
        <v>825</v>
      </c>
      <c r="C191" s="1298"/>
      <c r="D191" s="826"/>
      <c r="E191" s="527"/>
      <c r="F191" s="527"/>
      <c r="G191" s="527">
        <v>214090</v>
      </c>
      <c r="H191" s="527">
        <v>0</v>
      </c>
      <c r="I191" s="527">
        <v>0</v>
      </c>
      <c r="J191" s="527">
        <v>0</v>
      </c>
      <c r="K191" s="527">
        <v>0</v>
      </c>
      <c r="L191" s="527">
        <v>0</v>
      </c>
      <c r="M191" s="527">
        <v>0</v>
      </c>
      <c r="N191" s="527">
        <v>0</v>
      </c>
      <c r="O191" s="527">
        <v>0</v>
      </c>
      <c r="P191" s="1501">
        <f t="shared" si="16"/>
        <v>214090</v>
      </c>
      <c r="Q191" s="1181">
        <f t="shared" si="21"/>
        <v>214090</v>
      </c>
      <c r="R191" s="47" t="s">
        <v>251</v>
      </c>
      <c r="S191" s="826" t="s">
        <v>251</v>
      </c>
      <c r="T191" s="527" t="s">
        <v>251</v>
      </c>
      <c r="U191" s="527"/>
      <c r="V191" s="527"/>
      <c r="W191" s="527"/>
      <c r="X191" s="527"/>
      <c r="Y191" s="527"/>
      <c r="Z191" s="527"/>
      <c r="AA191" s="527"/>
      <c r="AB191" s="527"/>
      <c r="AC191" s="527"/>
      <c r="AD191" s="1181">
        <f t="shared" si="19"/>
        <v>0</v>
      </c>
      <c r="AE191" s="28"/>
      <c r="AF191" s="1338">
        <f t="shared" si="20"/>
        <v>-1</v>
      </c>
      <c r="AG191" s="593">
        <f t="shared" si="22"/>
        <v>149</v>
      </c>
    </row>
    <row r="192" spans="1:33" x14ac:dyDescent="0.3">
      <c r="A192" s="39" t="s">
        <v>907</v>
      </c>
      <c r="B192" s="40" t="s">
        <v>786</v>
      </c>
      <c r="C192" s="1298"/>
      <c r="D192" s="826"/>
      <c r="E192" s="527"/>
      <c r="F192" s="527"/>
      <c r="G192" s="527"/>
      <c r="H192" s="527">
        <v>215180</v>
      </c>
      <c r="I192" s="527">
        <v>0</v>
      </c>
      <c r="J192" s="527">
        <v>0</v>
      </c>
      <c r="K192" s="527">
        <v>0</v>
      </c>
      <c r="L192" s="527">
        <v>0</v>
      </c>
      <c r="M192" s="527">
        <v>0</v>
      </c>
      <c r="N192" s="527">
        <v>0</v>
      </c>
      <c r="O192" s="527">
        <v>0</v>
      </c>
      <c r="P192" s="1501">
        <f t="shared" si="16"/>
        <v>215180</v>
      </c>
      <c r="Q192" s="1181">
        <f t="shared" si="21"/>
        <v>215180</v>
      </c>
      <c r="R192" s="47" t="s">
        <v>251</v>
      </c>
      <c r="S192" s="826" t="s">
        <v>251</v>
      </c>
      <c r="T192" s="527" t="s">
        <v>251</v>
      </c>
      <c r="U192" s="527"/>
      <c r="V192" s="527"/>
      <c r="W192" s="527"/>
      <c r="X192" s="527"/>
      <c r="Y192" s="527"/>
      <c r="Z192" s="527"/>
      <c r="AA192" s="527"/>
      <c r="AB192" s="527"/>
      <c r="AC192" s="527"/>
      <c r="AD192" s="1181">
        <f t="shared" si="19"/>
        <v>0</v>
      </c>
      <c r="AE192" s="28"/>
      <c r="AF192" s="1338">
        <f t="shared" si="20"/>
        <v>-1</v>
      </c>
      <c r="AG192" s="593">
        <f t="shared" si="22"/>
        <v>149</v>
      </c>
    </row>
    <row r="193" spans="1:33" x14ac:dyDescent="0.3">
      <c r="A193" s="39" t="s">
        <v>907</v>
      </c>
      <c r="B193" s="40" t="s">
        <v>1143</v>
      </c>
      <c r="C193" s="1298"/>
      <c r="D193" s="826"/>
      <c r="E193" s="527"/>
      <c r="F193" s="527"/>
      <c r="G193" s="527"/>
      <c r="H193" s="527">
        <v>184320</v>
      </c>
      <c r="I193" s="527">
        <v>624730</v>
      </c>
      <c r="J193" s="527">
        <v>778050</v>
      </c>
      <c r="K193" s="527">
        <v>778050</v>
      </c>
      <c r="L193" s="527">
        <v>0</v>
      </c>
      <c r="M193" s="527">
        <v>663070</v>
      </c>
      <c r="N193" s="527">
        <v>0</v>
      </c>
      <c r="O193" s="527">
        <v>0</v>
      </c>
      <c r="P193" s="1501">
        <f t="shared" si="16"/>
        <v>1587100</v>
      </c>
      <c r="Q193" s="1181">
        <f t="shared" si="21"/>
        <v>2250170</v>
      </c>
      <c r="R193" s="47" t="s">
        <v>251</v>
      </c>
      <c r="S193" s="826" t="s">
        <v>251</v>
      </c>
      <c r="T193" s="527" t="s">
        <v>251</v>
      </c>
      <c r="U193" s="527"/>
      <c r="V193" s="527">
        <v>264910</v>
      </c>
      <c r="W193" s="527">
        <v>313310</v>
      </c>
      <c r="X193" s="527">
        <v>0</v>
      </c>
      <c r="Y193" s="527">
        <v>0</v>
      </c>
      <c r="Z193" s="527"/>
      <c r="AA193" s="527"/>
      <c r="AB193" s="527"/>
      <c r="AC193" s="527"/>
      <c r="AD193" s="1181">
        <f t="shared" si="19"/>
        <v>578220</v>
      </c>
      <c r="AE193" s="28"/>
      <c r="AF193" s="1338">
        <f t="shared" si="20"/>
        <v>-0.6356751307416042</v>
      </c>
      <c r="AG193" s="593">
        <f t="shared" si="22"/>
        <v>97</v>
      </c>
    </row>
    <row r="194" spans="1:33" x14ac:dyDescent="0.3">
      <c r="A194" s="39" t="s">
        <v>907</v>
      </c>
      <c r="B194" s="40" t="s">
        <v>842</v>
      </c>
      <c r="C194" s="1298"/>
      <c r="D194" s="826"/>
      <c r="E194" s="527"/>
      <c r="F194" s="527"/>
      <c r="G194" s="527"/>
      <c r="H194" s="527">
        <v>2341290</v>
      </c>
      <c r="I194" s="527">
        <v>0</v>
      </c>
      <c r="J194" s="527">
        <v>419270</v>
      </c>
      <c r="K194" s="527">
        <v>419270</v>
      </c>
      <c r="L194" s="527">
        <v>546500</v>
      </c>
      <c r="M194" s="527">
        <v>249300</v>
      </c>
      <c r="N194" s="527">
        <v>0</v>
      </c>
      <c r="O194" s="527">
        <v>0</v>
      </c>
      <c r="P194" s="1501">
        <f t="shared" si="16"/>
        <v>2760560</v>
      </c>
      <c r="Q194" s="1181">
        <f t="shared" si="21"/>
        <v>3556360</v>
      </c>
      <c r="R194" s="47" t="s">
        <v>251</v>
      </c>
      <c r="S194" s="826" t="s">
        <v>251</v>
      </c>
      <c r="T194" s="527" t="s">
        <v>251</v>
      </c>
      <c r="U194" s="527"/>
      <c r="V194" s="527"/>
      <c r="W194" s="527"/>
      <c r="X194" s="527"/>
      <c r="Y194" s="527"/>
      <c r="Z194" s="527"/>
      <c r="AA194" s="527"/>
      <c r="AB194" s="527"/>
      <c r="AC194" s="527"/>
      <c r="AD194" s="1181">
        <f t="shared" si="19"/>
        <v>0</v>
      </c>
      <c r="AE194" s="28"/>
      <c r="AF194" s="1338">
        <f t="shared" si="20"/>
        <v>-1</v>
      </c>
      <c r="AG194" s="593">
        <f t="shared" si="22"/>
        <v>149</v>
      </c>
    </row>
    <row r="195" spans="1:33" x14ac:dyDescent="0.3">
      <c r="A195" s="39" t="s">
        <v>907</v>
      </c>
      <c r="B195" s="40" t="s">
        <v>725</v>
      </c>
      <c r="C195" s="1298"/>
      <c r="D195" s="826"/>
      <c r="E195" s="527"/>
      <c r="F195" s="527"/>
      <c r="G195" s="527"/>
      <c r="H195" s="527">
        <v>329650</v>
      </c>
      <c r="I195" s="527">
        <v>0</v>
      </c>
      <c r="J195" s="527">
        <v>0</v>
      </c>
      <c r="K195" s="527">
        <v>0</v>
      </c>
      <c r="L195" s="527">
        <v>701910</v>
      </c>
      <c r="M195" s="527">
        <v>368650</v>
      </c>
      <c r="N195" s="527">
        <v>0</v>
      </c>
      <c r="O195" s="527">
        <v>0</v>
      </c>
      <c r="P195" s="1501">
        <f t="shared" si="16"/>
        <v>329650</v>
      </c>
      <c r="Q195" s="1181">
        <f t="shared" si="21"/>
        <v>1400210</v>
      </c>
      <c r="R195" s="47">
        <v>490150</v>
      </c>
      <c r="S195" s="826" t="s">
        <v>251</v>
      </c>
      <c r="T195" s="527">
        <v>0</v>
      </c>
      <c r="U195" s="527">
        <v>0</v>
      </c>
      <c r="V195" s="527">
        <v>722450</v>
      </c>
      <c r="W195" s="527">
        <v>0</v>
      </c>
      <c r="X195" s="527">
        <v>0</v>
      </c>
      <c r="Y195" s="527">
        <v>0</v>
      </c>
      <c r="Z195" s="527"/>
      <c r="AA195" s="527"/>
      <c r="AB195" s="527"/>
      <c r="AC195" s="527"/>
      <c r="AD195" s="1181">
        <f t="shared" si="19"/>
        <v>1212600</v>
      </c>
      <c r="AE195" s="28"/>
      <c r="AF195" s="1338">
        <f t="shared" si="20"/>
        <v>2.6784468375549824</v>
      </c>
      <c r="AG195" s="593">
        <f t="shared" si="22"/>
        <v>66</v>
      </c>
    </row>
    <row r="196" spans="1:33" x14ac:dyDescent="0.3">
      <c r="A196" s="39" t="s">
        <v>907</v>
      </c>
      <c r="B196" s="40" t="s">
        <v>856</v>
      </c>
      <c r="C196" s="1298"/>
      <c r="D196" s="826"/>
      <c r="E196" s="527"/>
      <c r="F196" s="527"/>
      <c r="G196" s="527"/>
      <c r="H196" s="527">
        <v>190620</v>
      </c>
      <c r="I196" s="527">
        <v>0</v>
      </c>
      <c r="J196" s="527">
        <v>0</v>
      </c>
      <c r="K196" s="527">
        <v>0</v>
      </c>
      <c r="L196" s="527">
        <v>0</v>
      </c>
      <c r="M196" s="527">
        <v>0</v>
      </c>
      <c r="N196" s="527">
        <v>569190</v>
      </c>
      <c r="O196" s="527">
        <v>289700</v>
      </c>
      <c r="P196" s="1501">
        <f t="shared" si="16"/>
        <v>190620</v>
      </c>
      <c r="Q196" s="1181">
        <f t="shared" si="21"/>
        <v>1049510</v>
      </c>
      <c r="R196" s="47">
        <v>243000</v>
      </c>
      <c r="S196" s="826" t="s">
        <v>251</v>
      </c>
      <c r="T196" s="527">
        <v>0</v>
      </c>
      <c r="U196" s="527">
        <v>0</v>
      </c>
      <c r="V196" s="527">
        <v>3025620</v>
      </c>
      <c r="W196" s="527">
        <v>501160</v>
      </c>
      <c r="X196" s="527">
        <v>0</v>
      </c>
      <c r="Y196" s="527">
        <v>0</v>
      </c>
      <c r="Z196" s="527"/>
      <c r="AA196" s="527"/>
      <c r="AB196" s="527"/>
      <c r="AC196" s="527"/>
      <c r="AD196" s="1181">
        <f t="shared" si="19"/>
        <v>3769780</v>
      </c>
      <c r="AE196" s="28"/>
      <c r="AF196" s="1338">
        <f t="shared" si="20"/>
        <v>18.776413807575281</v>
      </c>
      <c r="AG196" s="593">
        <f t="shared" si="22"/>
        <v>22</v>
      </c>
    </row>
    <row r="197" spans="1:33" x14ac:dyDescent="0.3">
      <c r="A197" s="39" t="s">
        <v>907</v>
      </c>
      <c r="B197" s="40" t="s">
        <v>844</v>
      </c>
      <c r="C197" s="1298"/>
      <c r="D197" s="826"/>
      <c r="E197" s="527"/>
      <c r="F197" s="527"/>
      <c r="G197" s="527"/>
      <c r="H197" s="527">
        <v>696210</v>
      </c>
      <c r="I197" s="527">
        <v>0</v>
      </c>
      <c r="J197" s="527">
        <v>0</v>
      </c>
      <c r="K197" s="527">
        <v>0</v>
      </c>
      <c r="L197" s="527">
        <v>0</v>
      </c>
      <c r="M197" s="527">
        <v>0</v>
      </c>
      <c r="N197" s="527">
        <v>0</v>
      </c>
      <c r="O197" s="527">
        <v>0</v>
      </c>
      <c r="P197" s="1501">
        <f t="shared" si="16"/>
        <v>696210</v>
      </c>
      <c r="Q197" s="1181">
        <f t="shared" si="21"/>
        <v>696210</v>
      </c>
      <c r="R197" s="47">
        <v>3242920</v>
      </c>
      <c r="S197" s="826" t="s">
        <v>251</v>
      </c>
      <c r="T197" s="527">
        <v>0</v>
      </c>
      <c r="U197" s="527">
        <v>702170</v>
      </c>
      <c r="V197" s="527">
        <v>584280</v>
      </c>
      <c r="W197" s="527">
        <v>0</v>
      </c>
      <c r="X197" s="527">
        <v>0</v>
      </c>
      <c r="Y197" s="527">
        <v>1702070</v>
      </c>
      <c r="Z197" s="527"/>
      <c r="AA197" s="527"/>
      <c r="AB197" s="527"/>
      <c r="AC197" s="527"/>
      <c r="AD197" s="1181">
        <f t="shared" si="19"/>
        <v>6231440</v>
      </c>
      <c r="AE197" s="28"/>
      <c r="AF197" s="1338">
        <f t="shared" si="20"/>
        <v>7.9505178035362896</v>
      </c>
      <c r="AG197" s="593">
        <f t="shared" si="22"/>
        <v>12</v>
      </c>
    </row>
    <row r="198" spans="1:33" x14ac:dyDescent="0.3">
      <c r="A198" s="39" t="s">
        <v>907</v>
      </c>
      <c r="B198" s="40" t="s">
        <v>1165</v>
      </c>
      <c r="C198" s="1298"/>
      <c r="D198" s="826"/>
      <c r="E198" s="527"/>
      <c r="F198" s="527"/>
      <c r="G198" s="527"/>
      <c r="H198" s="527">
        <v>163740</v>
      </c>
      <c r="I198" s="527">
        <v>0</v>
      </c>
      <c r="J198" s="527">
        <v>0</v>
      </c>
      <c r="K198" s="527">
        <v>0</v>
      </c>
      <c r="L198" s="527">
        <v>0</v>
      </c>
      <c r="M198" s="527">
        <v>0</v>
      </c>
      <c r="N198" s="527">
        <v>0</v>
      </c>
      <c r="O198" s="527">
        <v>0</v>
      </c>
      <c r="P198" s="1501">
        <f t="shared" si="16"/>
        <v>163740</v>
      </c>
      <c r="Q198" s="1181">
        <f t="shared" si="21"/>
        <v>163740</v>
      </c>
      <c r="R198" s="47" t="s">
        <v>251</v>
      </c>
      <c r="S198" s="826" t="s">
        <v>251</v>
      </c>
      <c r="T198" s="527" t="s">
        <v>251</v>
      </c>
      <c r="U198" s="527"/>
      <c r="V198" s="527"/>
      <c r="W198" s="527"/>
      <c r="X198" s="527"/>
      <c r="Y198" s="527"/>
      <c r="Z198" s="527"/>
      <c r="AA198" s="527"/>
      <c r="AB198" s="527"/>
      <c r="AC198" s="527"/>
      <c r="AD198" s="1181">
        <f t="shared" si="19"/>
        <v>0</v>
      </c>
      <c r="AE198" s="28"/>
      <c r="AF198" s="1338">
        <f t="shared" si="20"/>
        <v>-1</v>
      </c>
      <c r="AG198" s="593">
        <f t="shared" si="22"/>
        <v>149</v>
      </c>
    </row>
    <row r="199" spans="1:33" x14ac:dyDescent="0.3">
      <c r="A199" s="39" t="s">
        <v>907</v>
      </c>
      <c r="B199" s="40" t="s">
        <v>2021</v>
      </c>
      <c r="C199" s="1298"/>
      <c r="D199" s="826"/>
      <c r="E199" s="527"/>
      <c r="F199" s="527"/>
      <c r="G199" s="527"/>
      <c r="H199" s="527"/>
      <c r="I199" s="527">
        <v>229840</v>
      </c>
      <c r="J199" s="527">
        <v>502520</v>
      </c>
      <c r="K199" s="527">
        <v>502520</v>
      </c>
      <c r="L199" s="527">
        <v>0</v>
      </c>
      <c r="M199" s="527">
        <v>0</v>
      </c>
      <c r="N199" s="527">
        <v>237200</v>
      </c>
      <c r="O199" s="527">
        <v>0</v>
      </c>
      <c r="P199" s="1501">
        <f t="shared" ref="P199:P262" si="23">SUM(C199:I199,K199)</f>
        <v>732360</v>
      </c>
      <c r="Q199" s="1181">
        <f t="shared" si="21"/>
        <v>969560</v>
      </c>
      <c r="R199" s="47">
        <v>36730</v>
      </c>
      <c r="S199" s="826" t="s">
        <v>251</v>
      </c>
      <c r="T199" s="527">
        <v>0</v>
      </c>
      <c r="U199" s="527">
        <v>0</v>
      </c>
      <c r="V199" s="527">
        <v>0</v>
      </c>
      <c r="W199" s="527">
        <v>221900</v>
      </c>
      <c r="X199" s="527">
        <v>0</v>
      </c>
      <c r="Y199" s="527">
        <v>0</v>
      </c>
      <c r="Z199" s="527"/>
      <c r="AA199" s="527"/>
      <c r="AB199" s="527"/>
      <c r="AC199" s="527"/>
      <c r="AD199" s="1181">
        <f t="shared" si="19"/>
        <v>258630</v>
      </c>
      <c r="AE199" s="28"/>
      <c r="AF199" s="1338">
        <f t="shared" si="20"/>
        <v>-0.64685400622644607</v>
      </c>
      <c r="AG199" s="593">
        <f t="shared" si="22"/>
        <v>127</v>
      </c>
    </row>
    <row r="200" spans="1:33" x14ac:dyDescent="0.3">
      <c r="A200" s="39" t="s">
        <v>907</v>
      </c>
      <c r="B200" s="40" t="s">
        <v>2416</v>
      </c>
      <c r="C200" s="1298"/>
      <c r="D200" s="826"/>
      <c r="E200" s="527"/>
      <c r="F200" s="527"/>
      <c r="G200" s="527"/>
      <c r="H200" s="527"/>
      <c r="I200" s="527">
        <v>355240</v>
      </c>
      <c r="J200" s="527">
        <v>0</v>
      </c>
      <c r="K200" s="527">
        <v>0</v>
      </c>
      <c r="L200" s="527">
        <v>0</v>
      </c>
      <c r="M200" s="527">
        <v>0</v>
      </c>
      <c r="N200" s="527">
        <v>0</v>
      </c>
      <c r="O200" s="527">
        <v>0</v>
      </c>
      <c r="P200" s="1501">
        <f t="shared" si="23"/>
        <v>355240</v>
      </c>
      <c r="Q200" s="1181">
        <f t="shared" si="21"/>
        <v>355240</v>
      </c>
      <c r="R200" s="47" t="s">
        <v>251</v>
      </c>
      <c r="S200" s="826" t="s">
        <v>251</v>
      </c>
      <c r="T200" s="527" t="s">
        <v>251</v>
      </c>
      <c r="U200" s="527"/>
      <c r="V200" s="527"/>
      <c r="W200" s="527"/>
      <c r="X200" s="527"/>
      <c r="Y200" s="527"/>
      <c r="Z200" s="527"/>
      <c r="AA200" s="527"/>
      <c r="AB200" s="527"/>
      <c r="AC200" s="527"/>
      <c r="AD200" s="1181">
        <f t="shared" si="19"/>
        <v>0</v>
      </c>
      <c r="AE200" s="28"/>
      <c r="AF200" s="1338">
        <f t="shared" si="20"/>
        <v>-1</v>
      </c>
      <c r="AG200" s="593">
        <f t="shared" si="22"/>
        <v>149</v>
      </c>
    </row>
    <row r="201" spans="1:33" x14ac:dyDescent="0.3">
      <c r="A201" s="39" t="s">
        <v>907</v>
      </c>
      <c r="B201" s="40" t="s">
        <v>2029</v>
      </c>
      <c r="C201" s="1298"/>
      <c r="D201" s="826"/>
      <c r="E201" s="527"/>
      <c r="F201" s="527"/>
      <c r="G201" s="527"/>
      <c r="H201" s="527"/>
      <c r="I201" s="527">
        <v>152880</v>
      </c>
      <c r="J201" s="527">
        <v>0</v>
      </c>
      <c r="K201" s="527">
        <v>0</v>
      </c>
      <c r="L201" s="527">
        <v>0</v>
      </c>
      <c r="M201" s="527">
        <v>0</v>
      </c>
      <c r="N201" s="527">
        <v>0</v>
      </c>
      <c r="O201" s="527">
        <v>0</v>
      </c>
      <c r="P201" s="1501">
        <f t="shared" si="23"/>
        <v>152880</v>
      </c>
      <c r="Q201" s="1181">
        <f t="shared" si="21"/>
        <v>152880</v>
      </c>
      <c r="R201" s="47" t="s">
        <v>251</v>
      </c>
      <c r="S201" s="826" t="s">
        <v>251</v>
      </c>
      <c r="T201" s="527" t="s">
        <v>251</v>
      </c>
      <c r="U201" s="527"/>
      <c r="V201" s="527"/>
      <c r="W201" s="527"/>
      <c r="X201" s="527"/>
      <c r="Y201" s="527"/>
      <c r="Z201" s="527"/>
      <c r="AA201" s="527"/>
      <c r="AB201" s="527"/>
      <c r="AC201" s="527"/>
      <c r="AD201" s="1181">
        <f t="shared" si="19"/>
        <v>0</v>
      </c>
      <c r="AE201" s="28"/>
      <c r="AF201" s="1338">
        <f t="shared" si="20"/>
        <v>-1</v>
      </c>
      <c r="AG201" s="593">
        <f t="shared" si="22"/>
        <v>149</v>
      </c>
    </row>
    <row r="202" spans="1:33" x14ac:dyDescent="0.3">
      <c r="A202" s="39" t="s">
        <v>907</v>
      </c>
      <c r="B202" s="40" t="s">
        <v>196</v>
      </c>
      <c r="C202" s="1298"/>
      <c r="D202" s="826"/>
      <c r="E202" s="527"/>
      <c r="F202" s="527"/>
      <c r="G202" s="527"/>
      <c r="H202" s="527"/>
      <c r="I202" s="527"/>
      <c r="J202" s="527">
        <v>358920</v>
      </c>
      <c r="K202" s="527">
        <v>358920</v>
      </c>
      <c r="L202" s="527">
        <v>194990</v>
      </c>
      <c r="M202" s="527">
        <v>0</v>
      </c>
      <c r="N202" s="527">
        <v>0</v>
      </c>
      <c r="O202" s="527">
        <v>0</v>
      </c>
      <c r="P202" s="1501">
        <f t="shared" si="23"/>
        <v>358920</v>
      </c>
      <c r="Q202" s="1181">
        <f t="shared" si="21"/>
        <v>553910</v>
      </c>
      <c r="R202" s="47" t="s">
        <v>251</v>
      </c>
      <c r="S202" s="826" t="s">
        <v>251</v>
      </c>
      <c r="T202" s="527" t="s">
        <v>251</v>
      </c>
      <c r="U202" s="527"/>
      <c r="V202" s="527"/>
      <c r="W202" s="527"/>
      <c r="X202" s="527"/>
      <c r="Y202" s="527"/>
      <c r="Z202" s="527"/>
      <c r="AA202" s="527"/>
      <c r="AB202" s="527"/>
      <c r="AC202" s="527"/>
      <c r="AD202" s="1181">
        <f t="shared" si="19"/>
        <v>0</v>
      </c>
      <c r="AE202" s="28"/>
      <c r="AF202" s="1338">
        <f t="shared" si="20"/>
        <v>-1</v>
      </c>
      <c r="AG202" s="593">
        <f t="shared" si="22"/>
        <v>149</v>
      </c>
    </row>
    <row r="203" spans="1:33" x14ac:dyDescent="0.3">
      <c r="A203" s="39" t="s">
        <v>907</v>
      </c>
      <c r="B203" s="40" t="s">
        <v>741</v>
      </c>
      <c r="C203" s="1298"/>
      <c r="D203" s="826"/>
      <c r="E203" s="527"/>
      <c r="F203" s="527"/>
      <c r="G203" s="527"/>
      <c r="H203" s="527"/>
      <c r="I203" s="527"/>
      <c r="J203" s="527">
        <v>317750</v>
      </c>
      <c r="K203" s="527">
        <v>317750</v>
      </c>
      <c r="L203" s="527">
        <v>0</v>
      </c>
      <c r="M203" s="527">
        <v>0</v>
      </c>
      <c r="N203" s="527">
        <v>200610</v>
      </c>
      <c r="O203" s="527">
        <v>0</v>
      </c>
      <c r="P203" s="1501">
        <f t="shared" si="23"/>
        <v>317750</v>
      </c>
      <c r="Q203" s="1181">
        <f t="shared" si="21"/>
        <v>518360</v>
      </c>
      <c r="R203" s="47" t="s">
        <v>251</v>
      </c>
      <c r="S203" s="826" t="s">
        <v>251</v>
      </c>
      <c r="T203" s="527" t="s">
        <v>251</v>
      </c>
      <c r="U203" s="527"/>
      <c r="V203" s="527"/>
      <c r="W203" s="527"/>
      <c r="X203" s="527"/>
      <c r="Y203" s="527"/>
      <c r="Z203" s="527"/>
      <c r="AA203" s="527"/>
      <c r="AB203" s="527"/>
      <c r="AC203" s="527"/>
      <c r="AD203" s="1181">
        <f t="shared" si="19"/>
        <v>0</v>
      </c>
      <c r="AE203" s="28"/>
      <c r="AF203" s="1338">
        <f t="shared" si="20"/>
        <v>-1</v>
      </c>
      <c r="AG203" s="593">
        <f t="shared" si="22"/>
        <v>149</v>
      </c>
    </row>
    <row r="204" spans="1:33" x14ac:dyDescent="0.3">
      <c r="A204" s="39" t="s">
        <v>907</v>
      </c>
      <c r="B204" s="40" t="s">
        <v>2420</v>
      </c>
      <c r="C204" s="1298"/>
      <c r="D204" s="826"/>
      <c r="E204" s="527"/>
      <c r="F204" s="527"/>
      <c r="G204" s="527"/>
      <c r="H204" s="527"/>
      <c r="I204" s="527"/>
      <c r="J204" s="527">
        <v>170030</v>
      </c>
      <c r="K204" s="527">
        <v>170030</v>
      </c>
      <c r="L204" s="527">
        <v>0</v>
      </c>
      <c r="M204" s="527">
        <v>0</v>
      </c>
      <c r="N204" s="527">
        <v>0</v>
      </c>
      <c r="O204" s="527">
        <v>0</v>
      </c>
      <c r="P204" s="1501">
        <f t="shared" si="23"/>
        <v>170030</v>
      </c>
      <c r="Q204" s="1181">
        <f t="shared" si="21"/>
        <v>170030</v>
      </c>
      <c r="R204" s="47" t="s">
        <v>251</v>
      </c>
      <c r="S204" s="826" t="s">
        <v>251</v>
      </c>
      <c r="T204" s="527" t="s">
        <v>251</v>
      </c>
      <c r="U204" s="527"/>
      <c r="V204" s="527"/>
      <c r="W204" s="527"/>
      <c r="X204" s="527"/>
      <c r="Y204" s="527"/>
      <c r="Z204" s="527"/>
      <c r="AA204" s="527"/>
      <c r="AB204" s="527"/>
      <c r="AC204" s="527"/>
      <c r="AD204" s="1181">
        <f t="shared" si="19"/>
        <v>0</v>
      </c>
      <c r="AE204" s="28"/>
      <c r="AF204" s="1338">
        <f t="shared" si="20"/>
        <v>-1</v>
      </c>
      <c r="AG204" s="593">
        <f t="shared" si="22"/>
        <v>149</v>
      </c>
    </row>
    <row r="205" spans="1:33" x14ac:dyDescent="0.3">
      <c r="A205" s="39" t="s">
        <v>907</v>
      </c>
      <c r="B205" s="40" t="s">
        <v>2421</v>
      </c>
      <c r="C205" s="1298"/>
      <c r="D205" s="826"/>
      <c r="E205" s="527"/>
      <c r="F205" s="527"/>
      <c r="G205" s="527"/>
      <c r="H205" s="527"/>
      <c r="I205" s="527"/>
      <c r="J205" s="527">
        <v>118170</v>
      </c>
      <c r="K205" s="527">
        <v>118170</v>
      </c>
      <c r="L205" s="527">
        <v>0</v>
      </c>
      <c r="M205" s="527">
        <v>0</v>
      </c>
      <c r="N205" s="527">
        <v>0</v>
      </c>
      <c r="O205" s="527">
        <v>0</v>
      </c>
      <c r="P205" s="1501">
        <f t="shared" si="23"/>
        <v>118170</v>
      </c>
      <c r="Q205" s="1181">
        <f t="shared" si="21"/>
        <v>118170</v>
      </c>
      <c r="R205" s="47" t="s">
        <v>251</v>
      </c>
      <c r="S205" s="826" t="s">
        <v>251</v>
      </c>
      <c r="T205" s="527" t="s">
        <v>251</v>
      </c>
      <c r="U205" s="527"/>
      <c r="V205" s="527"/>
      <c r="W205" s="527"/>
      <c r="X205" s="527"/>
      <c r="Y205" s="527"/>
      <c r="Z205" s="527"/>
      <c r="AA205" s="527"/>
      <c r="AB205" s="527"/>
      <c r="AC205" s="527"/>
      <c r="AD205" s="1181">
        <f t="shared" si="19"/>
        <v>0</v>
      </c>
      <c r="AE205" s="28"/>
      <c r="AF205" s="1338">
        <f t="shared" si="20"/>
        <v>-1</v>
      </c>
      <c r="AG205" s="593">
        <f t="shared" si="22"/>
        <v>149</v>
      </c>
    </row>
    <row r="206" spans="1:33" x14ac:dyDescent="0.3">
      <c r="A206" s="39" t="s">
        <v>907</v>
      </c>
      <c r="B206" s="40" t="s">
        <v>833</v>
      </c>
      <c r="C206" s="1298"/>
      <c r="D206" s="826"/>
      <c r="E206" s="527"/>
      <c r="F206" s="527"/>
      <c r="G206" s="527"/>
      <c r="H206" s="527"/>
      <c r="I206" s="527"/>
      <c r="J206" s="527"/>
      <c r="K206" s="527"/>
      <c r="L206" s="527">
        <v>998880</v>
      </c>
      <c r="M206" s="527">
        <v>0</v>
      </c>
      <c r="N206" s="527">
        <v>0</v>
      </c>
      <c r="O206" s="527">
        <v>714290</v>
      </c>
      <c r="P206" s="1501">
        <f t="shared" si="23"/>
        <v>0</v>
      </c>
      <c r="Q206" s="1181">
        <f t="shared" si="21"/>
        <v>1713170</v>
      </c>
      <c r="R206" s="47" t="s">
        <v>251</v>
      </c>
      <c r="S206" s="826" t="s">
        <v>251</v>
      </c>
      <c r="T206" s="527" t="s">
        <v>251</v>
      </c>
      <c r="U206" s="527"/>
      <c r="V206" s="527"/>
      <c r="W206" s="527"/>
      <c r="X206" s="527"/>
      <c r="Y206" s="527"/>
      <c r="Z206" s="527"/>
      <c r="AA206" s="527"/>
      <c r="AB206" s="527"/>
      <c r="AC206" s="527"/>
      <c r="AD206" s="1181">
        <f t="shared" si="19"/>
        <v>0</v>
      </c>
      <c r="AE206" s="28"/>
      <c r="AF206" s="1338">
        <f t="shared" si="20"/>
        <v>0</v>
      </c>
      <c r="AG206" s="593">
        <f t="shared" si="22"/>
        <v>149</v>
      </c>
    </row>
    <row r="207" spans="1:33" x14ac:dyDescent="0.3">
      <c r="A207" s="39" t="s">
        <v>907</v>
      </c>
      <c r="B207" s="40" t="s">
        <v>2027</v>
      </c>
      <c r="C207" s="1298"/>
      <c r="D207" s="826"/>
      <c r="E207" s="527"/>
      <c r="F207" s="527"/>
      <c r="G207" s="527"/>
      <c r="H207" s="527"/>
      <c r="I207" s="527"/>
      <c r="J207" s="527"/>
      <c r="K207" s="527"/>
      <c r="L207" s="527">
        <v>367940</v>
      </c>
      <c r="M207" s="527">
        <v>0</v>
      </c>
      <c r="N207" s="527">
        <v>0</v>
      </c>
      <c r="O207" s="527">
        <v>0</v>
      </c>
      <c r="P207" s="1501">
        <f t="shared" si="23"/>
        <v>0</v>
      </c>
      <c r="Q207" s="1181">
        <f t="shared" si="21"/>
        <v>367940</v>
      </c>
      <c r="R207" s="47" t="s">
        <v>251</v>
      </c>
      <c r="S207" s="826" t="s">
        <v>251</v>
      </c>
      <c r="T207" s="527" t="s">
        <v>251</v>
      </c>
      <c r="U207" s="527"/>
      <c r="V207" s="527"/>
      <c r="W207" s="527"/>
      <c r="X207" s="527"/>
      <c r="Y207" s="527"/>
      <c r="Z207" s="527"/>
      <c r="AA207" s="527"/>
      <c r="AB207" s="527"/>
      <c r="AC207" s="527"/>
      <c r="AD207" s="1181">
        <f t="shared" si="19"/>
        <v>0</v>
      </c>
      <c r="AE207" s="28"/>
      <c r="AF207" s="1338">
        <f t="shared" si="20"/>
        <v>0</v>
      </c>
      <c r="AG207" s="593">
        <f t="shared" si="22"/>
        <v>149</v>
      </c>
    </row>
    <row r="208" spans="1:33" x14ac:dyDescent="0.3">
      <c r="A208" s="39" t="s">
        <v>907</v>
      </c>
      <c r="B208" s="40" t="s">
        <v>2424</v>
      </c>
      <c r="C208" s="1298"/>
      <c r="D208" s="826"/>
      <c r="E208" s="527"/>
      <c r="F208" s="527"/>
      <c r="G208" s="527"/>
      <c r="H208" s="527"/>
      <c r="I208" s="527"/>
      <c r="J208" s="527"/>
      <c r="K208" s="527"/>
      <c r="L208" s="527">
        <v>275160</v>
      </c>
      <c r="M208" s="527">
        <v>0</v>
      </c>
      <c r="N208" s="527">
        <v>0</v>
      </c>
      <c r="O208" s="527">
        <v>0</v>
      </c>
      <c r="P208" s="1501">
        <f t="shared" si="23"/>
        <v>0</v>
      </c>
      <c r="Q208" s="1181">
        <f t="shared" si="21"/>
        <v>275160</v>
      </c>
      <c r="R208" s="47" t="s">
        <v>251</v>
      </c>
      <c r="S208" s="826" t="s">
        <v>251</v>
      </c>
      <c r="T208" s="527" t="s">
        <v>251</v>
      </c>
      <c r="U208" s="527"/>
      <c r="V208" s="527"/>
      <c r="W208" s="527"/>
      <c r="X208" s="527"/>
      <c r="Y208" s="527"/>
      <c r="Z208" s="527"/>
      <c r="AA208" s="527"/>
      <c r="AB208" s="527"/>
      <c r="AC208" s="527"/>
      <c r="AD208" s="1181">
        <f t="shared" si="19"/>
        <v>0</v>
      </c>
      <c r="AE208" s="28"/>
      <c r="AF208" s="1338">
        <f t="shared" si="20"/>
        <v>0</v>
      </c>
      <c r="AG208" s="593">
        <f t="shared" si="22"/>
        <v>149</v>
      </c>
    </row>
    <row r="209" spans="1:33" x14ac:dyDescent="0.3">
      <c r="A209" s="39" t="s">
        <v>907</v>
      </c>
      <c r="B209" s="40" t="s">
        <v>2431</v>
      </c>
      <c r="C209" s="1298"/>
      <c r="D209" s="826"/>
      <c r="E209" s="527"/>
      <c r="F209" s="527"/>
      <c r="G209" s="527"/>
      <c r="H209" s="527"/>
      <c r="I209" s="527"/>
      <c r="J209" s="527"/>
      <c r="K209" s="527"/>
      <c r="L209" s="527"/>
      <c r="M209" s="527">
        <v>2707830</v>
      </c>
      <c r="N209" s="527">
        <v>0</v>
      </c>
      <c r="O209" s="527">
        <v>0</v>
      </c>
      <c r="P209" s="1501">
        <f t="shared" si="23"/>
        <v>0</v>
      </c>
      <c r="Q209" s="1181">
        <f t="shared" si="21"/>
        <v>2707830</v>
      </c>
      <c r="R209" s="47" t="s">
        <v>251</v>
      </c>
      <c r="S209" s="826" t="s">
        <v>251</v>
      </c>
      <c r="T209" s="527" t="s">
        <v>251</v>
      </c>
      <c r="U209" s="527"/>
      <c r="V209" s="527"/>
      <c r="W209" s="527"/>
      <c r="X209" s="527"/>
      <c r="Y209" s="527"/>
      <c r="Z209" s="527"/>
      <c r="AA209" s="527"/>
      <c r="AB209" s="527"/>
      <c r="AC209" s="527"/>
      <c r="AD209" s="1181">
        <f t="shared" si="19"/>
        <v>0</v>
      </c>
      <c r="AE209" s="28"/>
      <c r="AF209" s="1338">
        <f t="shared" si="20"/>
        <v>0</v>
      </c>
      <c r="AG209" s="593">
        <f t="shared" si="22"/>
        <v>149</v>
      </c>
    </row>
    <row r="210" spans="1:33" x14ac:dyDescent="0.3">
      <c r="A210" s="39" t="s">
        <v>907</v>
      </c>
      <c r="B210" s="40" t="s">
        <v>2020</v>
      </c>
      <c r="C210" s="1298"/>
      <c r="D210" s="826"/>
      <c r="E210" s="527"/>
      <c r="F210" s="527"/>
      <c r="G210" s="527"/>
      <c r="H210" s="527"/>
      <c r="I210" s="527"/>
      <c r="J210" s="527"/>
      <c r="K210" s="527"/>
      <c r="L210" s="527"/>
      <c r="M210" s="527"/>
      <c r="N210" s="527">
        <v>661410</v>
      </c>
      <c r="O210" s="527">
        <v>313490</v>
      </c>
      <c r="P210" s="1501">
        <f t="shared" si="23"/>
        <v>0</v>
      </c>
      <c r="Q210" s="1181">
        <f t="shared" si="21"/>
        <v>974900</v>
      </c>
      <c r="R210" s="47" t="s">
        <v>251</v>
      </c>
      <c r="S210" s="826" t="s">
        <v>251</v>
      </c>
      <c r="T210" s="527" t="s">
        <v>251</v>
      </c>
      <c r="U210" s="527">
        <v>190780</v>
      </c>
      <c r="V210" s="527">
        <v>0</v>
      </c>
      <c r="W210" s="527">
        <v>0</v>
      </c>
      <c r="X210" s="527">
        <v>0</v>
      </c>
      <c r="Y210" s="527">
        <v>0</v>
      </c>
      <c r="Z210" s="527"/>
      <c r="AA210" s="527"/>
      <c r="AB210" s="527"/>
      <c r="AC210" s="527"/>
      <c r="AD210" s="1181">
        <f t="shared" ref="AD210:AD284" si="24">SUM(R210:AC210)</f>
        <v>190780</v>
      </c>
      <c r="AE210" s="28"/>
      <c r="AF210" s="1338">
        <f t="shared" ref="AF210:AF284" si="25">IF(OR(AD210="",P210=""), 0, IFERROR((AD210-P210)/P210, IF(AD210&lt;&gt;0, 1, 0)))</f>
        <v>1</v>
      </c>
      <c r="AG210" s="593">
        <f t="shared" si="22"/>
        <v>142</v>
      </c>
    </row>
    <row r="211" spans="1:33" x14ac:dyDescent="0.3">
      <c r="A211" s="39" t="s">
        <v>907</v>
      </c>
      <c r="B211" s="40" t="s">
        <v>2434</v>
      </c>
      <c r="C211" s="1298"/>
      <c r="D211" s="826"/>
      <c r="E211" s="527"/>
      <c r="F211" s="527"/>
      <c r="G211" s="527"/>
      <c r="H211" s="527"/>
      <c r="I211" s="527"/>
      <c r="J211" s="527"/>
      <c r="K211" s="527"/>
      <c r="L211" s="527"/>
      <c r="M211" s="527"/>
      <c r="N211" s="527">
        <v>450240</v>
      </c>
      <c r="O211" s="527">
        <v>416910</v>
      </c>
      <c r="P211" s="1501">
        <f t="shared" si="23"/>
        <v>0</v>
      </c>
      <c r="Q211" s="1181">
        <f t="shared" si="21"/>
        <v>867150</v>
      </c>
      <c r="R211" s="47">
        <v>447910</v>
      </c>
      <c r="S211" s="826" t="s">
        <v>251</v>
      </c>
      <c r="T211" s="527">
        <v>68510</v>
      </c>
      <c r="U211" s="527">
        <v>0</v>
      </c>
      <c r="V211" s="527"/>
      <c r="W211" s="527"/>
      <c r="X211" s="527"/>
      <c r="Y211" s="527"/>
      <c r="Z211" s="527"/>
      <c r="AA211" s="527"/>
      <c r="AB211" s="527"/>
      <c r="AC211" s="527"/>
      <c r="AD211" s="1181">
        <f t="shared" si="24"/>
        <v>516420</v>
      </c>
      <c r="AE211" s="28"/>
      <c r="AF211" s="1338">
        <f t="shared" si="25"/>
        <v>1</v>
      </c>
      <c r="AG211" s="593">
        <f t="shared" si="22"/>
        <v>101</v>
      </c>
    </row>
    <row r="212" spans="1:33" x14ac:dyDescent="0.3">
      <c r="A212" s="39" t="s">
        <v>907</v>
      </c>
      <c r="B212" s="40" t="s">
        <v>2435</v>
      </c>
      <c r="C212" s="1298"/>
      <c r="D212" s="826"/>
      <c r="E212" s="527"/>
      <c r="F212" s="527"/>
      <c r="G212" s="527"/>
      <c r="H212" s="527"/>
      <c r="I212" s="527"/>
      <c r="J212" s="527"/>
      <c r="K212" s="527"/>
      <c r="L212" s="527"/>
      <c r="M212" s="527"/>
      <c r="N212" s="527">
        <v>200620</v>
      </c>
      <c r="O212" s="527">
        <v>0</v>
      </c>
      <c r="P212" s="1501">
        <f t="shared" si="23"/>
        <v>0</v>
      </c>
      <c r="Q212" s="1181">
        <f t="shared" si="21"/>
        <v>200620</v>
      </c>
      <c r="R212" s="47" t="s">
        <v>251</v>
      </c>
      <c r="S212" s="826" t="s">
        <v>251</v>
      </c>
      <c r="T212" s="527" t="s">
        <v>251</v>
      </c>
      <c r="U212" s="527"/>
      <c r="V212" s="527"/>
      <c r="W212" s="527"/>
      <c r="X212" s="527"/>
      <c r="Y212" s="527"/>
      <c r="Z212" s="527"/>
      <c r="AA212" s="527"/>
      <c r="AB212" s="527"/>
      <c r="AC212" s="527"/>
      <c r="AD212" s="1181">
        <f t="shared" si="24"/>
        <v>0</v>
      </c>
      <c r="AE212" s="28"/>
      <c r="AF212" s="1338">
        <f t="shared" si="25"/>
        <v>0</v>
      </c>
      <c r="AG212" s="593">
        <f t="shared" si="22"/>
        <v>149</v>
      </c>
    </row>
    <row r="213" spans="1:33" x14ac:dyDescent="0.3">
      <c r="A213" s="39" t="s">
        <v>907</v>
      </c>
      <c r="B213" s="40" t="s">
        <v>1163</v>
      </c>
      <c r="C213" s="1298"/>
      <c r="D213" s="826"/>
      <c r="E213" s="527"/>
      <c r="F213" s="527"/>
      <c r="G213" s="527"/>
      <c r="H213" s="527"/>
      <c r="I213" s="527"/>
      <c r="J213" s="527"/>
      <c r="K213" s="527"/>
      <c r="L213" s="527"/>
      <c r="M213" s="527"/>
      <c r="N213" s="527"/>
      <c r="O213" s="527">
        <v>647240</v>
      </c>
      <c r="P213" s="1501">
        <f t="shared" si="23"/>
        <v>0</v>
      </c>
      <c r="Q213" s="1181">
        <f t="shared" si="21"/>
        <v>647240</v>
      </c>
      <c r="R213" s="47" t="s">
        <v>251</v>
      </c>
      <c r="S213" s="826" t="s">
        <v>251</v>
      </c>
      <c r="T213" s="527" t="s">
        <v>251</v>
      </c>
      <c r="U213" s="527"/>
      <c r="V213" s="527"/>
      <c r="W213" s="527"/>
      <c r="X213" s="527"/>
      <c r="Y213" s="527"/>
      <c r="Z213" s="527"/>
      <c r="AA213" s="527"/>
      <c r="AB213" s="527"/>
      <c r="AC213" s="527"/>
      <c r="AD213" s="1181">
        <f t="shared" si="24"/>
        <v>0</v>
      </c>
      <c r="AE213" s="28"/>
      <c r="AF213" s="1338">
        <f t="shared" si="25"/>
        <v>0</v>
      </c>
      <c r="AG213" s="593">
        <f t="shared" si="22"/>
        <v>149</v>
      </c>
    </row>
    <row r="214" spans="1:33" x14ac:dyDescent="0.3">
      <c r="A214" s="39" t="s">
        <v>907</v>
      </c>
      <c r="B214" s="40" t="s">
        <v>1136</v>
      </c>
      <c r="C214" s="1298"/>
      <c r="D214" s="826"/>
      <c r="E214" s="527"/>
      <c r="F214" s="527"/>
      <c r="G214" s="527"/>
      <c r="H214" s="527"/>
      <c r="I214" s="527"/>
      <c r="J214" s="527"/>
      <c r="K214" s="527"/>
      <c r="L214" s="527"/>
      <c r="M214" s="527"/>
      <c r="N214" s="527"/>
      <c r="O214" s="527">
        <v>207120</v>
      </c>
      <c r="P214" s="1501">
        <f t="shared" si="23"/>
        <v>0</v>
      </c>
      <c r="Q214" s="1181">
        <f t="shared" si="21"/>
        <v>207120</v>
      </c>
      <c r="R214" s="47">
        <v>940380</v>
      </c>
      <c r="S214" s="826" t="s">
        <v>251</v>
      </c>
      <c r="T214" s="527">
        <v>0</v>
      </c>
      <c r="U214" s="527">
        <v>598910</v>
      </c>
      <c r="V214" s="527">
        <v>0</v>
      </c>
      <c r="W214" s="527">
        <v>0</v>
      </c>
      <c r="X214" s="527">
        <v>0</v>
      </c>
      <c r="Y214" s="527">
        <v>0</v>
      </c>
      <c r="Z214" s="527"/>
      <c r="AA214" s="527"/>
      <c r="AB214" s="527"/>
      <c r="AC214" s="527"/>
      <c r="AD214" s="1181">
        <f t="shared" si="24"/>
        <v>1539290</v>
      </c>
      <c r="AE214" s="28"/>
      <c r="AF214" s="1338">
        <f t="shared" si="25"/>
        <v>1</v>
      </c>
      <c r="AG214" s="593">
        <f t="shared" si="22"/>
        <v>55</v>
      </c>
    </row>
    <row r="215" spans="1:33" x14ac:dyDescent="0.3">
      <c r="A215" s="39" t="s">
        <v>907</v>
      </c>
      <c r="B215" s="40" t="s">
        <v>2012</v>
      </c>
      <c r="C215" s="1298"/>
      <c r="D215" s="826"/>
      <c r="E215" s="527"/>
      <c r="F215" s="527"/>
      <c r="G215" s="527"/>
      <c r="H215" s="527"/>
      <c r="I215" s="527"/>
      <c r="J215" s="527"/>
      <c r="K215" s="527"/>
      <c r="L215" s="527"/>
      <c r="M215" s="527"/>
      <c r="N215" s="527"/>
      <c r="O215" s="527">
        <v>357560</v>
      </c>
      <c r="P215" s="1501">
        <f t="shared" si="23"/>
        <v>0</v>
      </c>
      <c r="Q215" s="1181">
        <f t="shared" ref="Q215:Q221" si="26">SUM(C215:J215,L215:O215)</f>
        <v>357560</v>
      </c>
      <c r="R215" s="47" t="s">
        <v>251</v>
      </c>
      <c r="S215" s="826" t="s">
        <v>251</v>
      </c>
      <c r="T215" s="527" t="s">
        <v>251</v>
      </c>
      <c r="U215" s="527"/>
      <c r="V215" s="527"/>
      <c r="W215" s="527"/>
      <c r="X215" s="527"/>
      <c r="Y215" s="527"/>
      <c r="Z215" s="527"/>
      <c r="AA215" s="527"/>
      <c r="AB215" s="527"/>
      <c r="AC215" s="527"/>
      <c r="AD215" s="1181">
        <f t="shared" si="24"/>
        <v>0</v>
      </c>
      <c r="AE215" s="28"/>
      <c r="AF215" s="1338">
        <f t="shared" si="25"/>
        <v>0</v>
      </c>
      <c r="AG215" s="593">
        <f t="shared" si="22"/>
        <v>149</v>
      </c>
    </row>
    <row r="216" spans="1:33" x14ac:dyDescent="0.3">
      <c r="A216" s="39" t="s">
        <v>907</v>
      </c>
      <c r="B216" s="40" t="s">
        <v>849</v>
      </c>
      <c r="C216" s="1298"/>
      <c r="D216" s="826"/>
      <c r="E216" s="527"/>
      <c r="F216" s="527"/>
      <c r="G216" s="527"/>
      <c r="H216" s="527"/>
      <c r="I216" s="527"/>
      <c r="J216" s="527"/>
      <c r="K216" s="527"/>
      <c r="L216" s="527"/>
      <c r="M216" s="527"/>
      <c r="N216" s="527"/>
      <c r="O216" s="527">
        <v>253100</v>
      </c>
      <c r="P216" s="1501">
        <f t="shared" si="23"/>
        <v>0</v>
      </c>
      <c r="Q216" s="1181">
        <f t="shared" si="26"/>
        <v>253100</v>
      </c>
      <c r="R216" s="47" t="s">
        <v>251</v>
      </c>
      <c r="S216" s="826" t="s">
        <v>251</v>
      </c>
      <c r="T216" s="527" t="s">
        <v>251</v>
      </c>
      <c r="U216" s="527"/>
      <c r="V216" s="527">
        <v>940420</v>
      </c>
      <c r="W216" s="527">
        <v>0</v>
      </c>
      <c r="X216" s="527">
        <v>0</v>
      </c>
      <c r="Y216" s="527">
        <v>0</v>
      </c>
      <c r="Z216" s="527"/>
      <c r="AA216" s="527"/>
      <c r="AB216" s="527"/>
      <c r="AC216" s="527"/>
      <c r="AD216" s="1181">
        <f t="shared" si="24"/>
        <v>940420</v>
      </c>
      <c r="AE216" s="1298">
        <f>SUM(S216:AD216)</f>
        <v>1880840</v>
      </c>
      <c r="AF216" s="1338">
        <f t="shared" si="25"/>
        <v>1</v>
      </c>
      <c r="AG216" s="593">
        <f t="shared" si="22"/>
        <v>74</v>
      </c>
    </row>
    <row r="217" spans="1:33" x14ac:dyDescent="0.3">
      <c r="A217" s="39" t="s">
        <v>907</v>
      </c>
      <c r="B217" s="40" t="s">
        <v>2035</v>
      </c>
      <c r="C217" s="1298"/>
      <c r="D217" s="826"/>
      <c r="E217" s="527"/>
      <c r="F217" s="527"/>
      <c r="G217" s="527"/>
      <c r="H217" s="527"/>
      <c r="I217" s="527"/>
      <c r="J217" s="527"/>
      <c r="K217" s="527"/>
      <c r="L217" s="527"/>
      <c r="M217" s="527"/>
      <c r="N217" s="527"/>
      <c r="O217" s="527"/>
      <c r="P217" s="1501">
        <f t="shared" si="23"/>
        <v>0</v>
      </c>
      <c r="Q217" s="1181">
        <f t="shared" si="26"/>
        <v>0</v>
      </c>
      <c r="R217" s="47">
        <v>558980</v>
      </c>
      <c r="S217" s="826">
        <v>523450</v>
      </c>
      <c r="T217" s="527">
        <v>427590</v>
      </c>
      <c r="U217" s="527">
        <v>0</v>
      </c>
      <c r="V217" s="527">
        <v>0</v>
      </c>
      <c r="W217" s="527">
        <v>0</v>
      </c>
      <c r="X217" s="527">
        <v>0</v>
      </c>
      <c r="Y217" s="527">
        <v>0</v>
      </c>
      <c r="Z217" s="527"/>
      <c r="AA217" s="527"/>
      <c r="AB217" s="527"/>
      <c r="AC217" s="527"/>
      <c r="AD217" s="1181">
        <f t="shared" si="24"/>
        <v>1510020</v>
      </c>
      <c r="AE217" s="28"/>
      <c r="AF217" s="1338">
        <f t="shared" si="25"/>
        <v>1</v>
      </c>
      <c r="AG217" s="593">
        <f t="shared" si="22"/>
        <v>59</v>
      </c>
    </row>
    <row r="218" spans="1:33" x14ac:dyDescent="0.3">
      <c r="A218" s="39" t="s">
        <v>907</v>
      </c>
      <c r="B218" s="40" t="s">
        <v>2528</v>
      </c>
      <c r="C218" s="1298"/>
      <c r="D218" s="826"/>
      <c r="E218" s="527"/>
      <c r="F218" s="527"/>
      <c r="G218" s="527"/>
      <c r="H218" s="527"/>
      <c r="I218" s="527"/>
      <c r="J218" s="527"/>
      <c r="K218" s="527"/>
      <c r="L218" s="527"/>
      <c r="M218" s="527"/>
      <c r="N218" s="527"/>
      <c r="O218" s="527"/>
      <c r="P218" s="1501">
        <f t="shared" si="23"/>
        <v>0</v>
      </c>
      <c r="Q218" s="1181">
        <f t="shared" si="26"/>
        <v>0</v>
      </c>
      <c r="R218" s="47">
        <v>401620</v>
      </c>
      <c r="S218" s="826" t="s">
        <v>251</v>
      </c>
      <c r="T218" s="527">
        <v>0</v>
      </c>
      <c r="U218" s="527">
        <v>0</v>
      </c>
      <c r="V218" s="527">
        <v>0</v>
      </c>
      <c r="W218" s="527">
        <v>0</v>
      </c>
      <c r="X218" s="527">
        <v>0</v>
      </c>
      <c r="Y218" s="527">
        <v>0</v>
      </c>
      <c r="Z218" s="527"/>
      <c r="AA218" s="527"/>
      <c r="AB218" s="527"/>
      <c r="AC218" s="527"/>
      <c r="AD218" s="1181">
        <f t="shared" si="24"/>
        <v>401620</v>
      </c>
      <c r="AE218" s="28"/>
      <c r="AF218" s="1338">
        <f t="shared" si="25"/>
        <v>1</v>
      </c>
      <c r="AG218" s="593">
        <f t="shared" ref="AG218:AG227" si="27">IFERROR(_xlfn.RANK.EQ(AD218, $AD$2:$AD$328), "")</f>
        <v>114</v>
      </c>
    </row>
    <row r="219" spans="1:33" x14ac:dyDescent="0.3">
      <c r="A219" s="39" t="s">
        <v>907</v>
      </c>
      <c r="B219" s="40" t="s">
        <v>2562</v>
      </c>
      <c r="C219" s="1298"/>
      <c r="D219" s="826"/>
      <c r="E219" s="527"/>
      <c r="F219" s="527"/>
      <c r="G219" s="527"/>
      <c r="H219" s="527"/>
      <c r="I219" s="527"/>
      <c r="J219" s="527"/>
      <c r="K219" s="527"/>
      <c r="L219" s="527"/>
      <c r="M219" s="527"/>
      <c r="N219" s="527"/>
      <c r="O219" s="527"/>
      <c r="P219" s="1501">
        <f t="shared" si="23"/>
        <v>0</v>
      </c>
      <c r="Q219" s="1181">
        <f t="shared" si="26"/>
        <v>0</v>
      </c>
      <c r="R219" s="47"/>
      <c r="S219" s="826">
        <v>682810</v>
      </c>
      <c r="T219" s="527" t="s">
        <v>251</v>
      </c>
      <c r="U219" s="527"/>
      <c r="V219" s="527"/>
      <c r="W219" s="527"/>
      <c r="X219" s="527"/>
      <c r="Y219" s="527"/>
      <c r="Z219" s="527"/>
      <c r="AA219" s="527"/>
      <c r="AB219" s="527"/>
      <c r="AC219" s="527"/>
      <c r="AD219" s="1181">
        <f t="shared" si="24"/>
        <v>682810</v>
      </c>
      <c r="AE219" s="28"/>
      <c r="AF219" s="1338">
        <f t="shared" si="25"/>
        <v>1</v>
      </c>
      <c r="AG219" s="593">
        <f t="shared" si="27"/>
        <v>87</v>
      </c>
    </row>
    <row r="220" spans="1:33" x14ac:dyDescent="0.3">
      <c r="A220" s="39" t="s">
        <v>907</v>
      </c>
      <c r="B220" s="40" t="s">
        <v>2561</v>
      </c>
      <c r="C220" s="1298"/>
      <c r="D220" s="826"/>
      <c r="E220" s="527"/>
      <c r="F220" s="527"/>
      <c r="G220" s="527"/>
      <c r="H220" s="527"/>
      <c r="I220" s="527"/>
      <c r="J220" s="527"/>
      <c r="K220" s="527"/>
      <c r="L220" s="527"/>
      <c r="M220" s="527"/>
      <c r="N220" s="527"/>
      <c r="O220" s="527"/>
      <c r="P220" s="1501">
        <f t="shared" si="23"/>
        <v>0</v>
      </c>
      <c r="Q220" s="1181">
        <f t="shared" si="26"/>
        <v>0</v>
      </c>
      <c r="R220" s="47"/>
      <c r="S220" s="826">
        <v>216400</v>
      </c>
      <c r="T220" s="527">
        <v>0</v>
      </c>
      <c r="U220" s="527">
        <v>0</v>
      </c>
      <c r="V220" s="527">
        <v>0</v>
      </c>
      <c r="W220" s="527">
        <v>0</v>
      </c>
      <c r="X220" s="527">
        <v>0</v>
      </c>
      <c r="Y220" s="527">
        <v>0</v>
      </c>
      <c r="Z220" s="527"/>
      <c r="AA220" s="527"/>
      <c r="AB220" s="527"/>
      <c r="AC220" s="527"/>
      <c r="AD220" s="1181">
        <f t="shared" si="24"/>
        <v>216400</v>
      </c>
      <c r="AE220" s="28"/>
      <c r="AF220" s="1338">
        <f t="shared" si="25"/>
        <v>1</v>
      </c>
      <c r="AG220" s="593">
        <f t="shared" si="27"/>
        <v>134</v>
      </c>
    </row>
    <row r="221" spans="1:33" x14ac:dyDescent="0.3">
      <c r="A221" s="39" t="s">
        <v>2478</v>
      </c>
      <c r="B221" s="40" t="s">
        <v>2721</v>
      </c>
      <c r="C221" s="1298"/>
      <c r="D221" s="826"/>
      <c r="E221" s="527"/>
      <c r="F221" s="527"/>
      <c r="G221" s="527"/>
      <c r="H221" s="527"/>
      <c r="I221" s="527"/>
      <c r="J221" s="527"/>
      <c r="K221" s="527"/>
      <c r="L221" s="527"/>
      <c r="M221" s="527"/>
      <c r="N221" s="527"/>
      <c r="O221" s="527"/>
      <c r="P221" s="1501">
        <f t="shared" si="23"/>
        <v>0</v>
      </c>
      <c r="Q221" s="1181">
        <f t="shared" si="26"/>
        <v>0</v>
      </c>
      <c r="R221" s="47"/>
      <c r="S221" s="826"/>
      <c r="T221" s="527"/>
      <c r="U221" s="527">
        <v>0</v>
      </c>
      <c r="V221" s="527">
        <v>0</v>
      </c>
      <c r="W221" s="527">
        <v>0</v>
      </c>
      <c r="X221" s="527">
        <v>0</v>
      </c>
      <c r="Y221" s="527">
        <v>0</v>
      </c>
      <c r="Z221" s="527"/>
      <c r="AA221" s="527"/>
      <c r="AB221" s="527"/>
      <c r="AC221" s="527"/>
      <c r="AD221" s="1181">
        <f t="shared" si="24"/>
        <v>0</v>
      </c>
      <c r="AE221" s="28"/>
      <c r="AF221" s="1338">
        <f t="shared" si="25"/>
        <v>0</v>
      </c>
      <c r="AG221" s="593">
        <f t="shared" si="27"/>
        <v>149</v>
      </c>
    </row>
    <row r="222" spans="1:33" x14ac:dyDescent="0.3">
      <c r="A222" s="39" t="s">
        <v>2478</v>
      </c>
      <c r="B222" s="40" t="s">
        <v>858</v>
      </c>
      <c r="C222" s="1298"/>
      <c r="D222" s="826"/>
      <c r="E222" s="527"/>
      <c r="F222" s="527"/>
      <c r="G222" s="527"/>
      <c r="H222" s="527"/>
      <c r="I222" s="527"/>
      <c r="J222" s="527"/>
      <c r="K222" s="527"/>
      <c r="L222" s="527"/>
      <c r="M222" s="527"/>
      <c r="N222" s="527"/>
      <c r="O222" s="527"/>
      <c r="P222" s="1501">
        <f t="shared" si="23"/>
        <v>0</v>
      </c>
      <c r="Q222" s="1181">
        <f>SUM(C222:J222,L222:O222)</f>
        <v>0</v>
      </c>
      <c r="R222" s="47"/>
      <c r="S222" s="826"/>
      <c r="T222" s="527"/>
      <c r="U222" s="527">
        <v>278810</v>
      </c>
      <c r="V222" s="527">
        <v>0</v>
      </c>
      <c r="W222" s="527">
        <v>0</v>
      </c>
      <c r="X222" s="527">
        <v>0</v>
      </c>
      <c r="Y222" s="527">
        <v>0</v>
      </c>
      <c r="Z222" s="527"/>
      <c r="AA222" s="527"/>
      <c r="AB222" s="527"/>
      <c r="AC222" s="527"/>
      <c r="AD222" s="1181">
        <f t="shared" si="24"/>
        <v>278810</v>
      </c>
      <c r="AE222" s="28"/>
      <c r="AF222" s="1338">
        <f t="shared" si="25"/>
        <v>1</v>
      </c>
      <c r="AG222" s="593">
        <f t="shared" si="27"/>
        <v>124</v>
      </c>
    </row>
    <row r="223" spans="1:33" x14ac:dyDescent="0.3">
      <c r="A223" s="39" t="s">
        <v>2478</v>
      </c>
      <c r="B223" s="40" t="s">
        <v>2765</v>
      </c>
      <c r="C223" s="1298"/>
      <c r="D223" s="826"/>
      <c r="E223" s="527"/>
      <c r="F223" s="527"/>
      <c r="G223" s="527"/>
      <c r="H223" s="527"/>
      <c r="I223" s="527"/>
      <c r="J223" s="527"/>
      <c r="K223" s="527"/>
      <c r="L223" s="527"/>
      <c r="M223" s="527"/>
      <c r="N223" s="527"/>
      <c r="O223" s="527"/>
      <c r="P223" s="1501">
        <f t="shared" si="23"/>
        <v>0</v>
      </c>
      <c r="Q223" s="1181">
        <f t="shared" ref="Q223:Q286" si="28">SUM(C223:J223,L223:O223)</f>
        <v>0</v>
      </c>
      <c r="R223" s="47"/>
      <c r="S223" s="826"/>
      <c r="T223" s="527"/>
      <c r="U223" s="527"/>
      <c r="V223" s="527">
        <v>0</v>
      </c>
      <c r="W223" s="527">
        <v>0</v>
      </c>
      <c r="X223" s="527">
        <v>0</v>
      </c>
      <c r="Y223" s="527">
        <v>0</v>
      </c>
      <c r="Z223" s="527"/>
      <c r="AA223" s="527"/>
      <c r="AB223" s="527"/>
      <c r="AC223" s="527"/>
      <c r="AD223" s="1181">
        <f t="shared" si="24"/>
        <v>0</v>
      </c>
      <c r="AE223" s="28"/>
      <c r="AF223" s="1338">
        <f t="shared" si="25"/>
        <v>0</v>
      </c>
      <c r="AG223" s="593">
        <f t="shared" si="27"/>
        <v>149</v>
      </c>
    </row>
    <row r="224" spans="1:33" x14ac:dyDescent="0.3">
      <c r="A224" s="39" t="s">
        <v>2478</v>
      </c>
      <c r="B224" s="40" t="s">
        <v>854</v>
      </c>
      <c r="C224" s="1298"/>
      <c r="D224" s="826"/>
      <c r="E224" s="527"/>
      <c r="F224" s="527"/>
      <c r="G224" s="527"/>
      <c r="H224" s="527"/>
      <c r="I224" s="527"/>
      <c r="J224" s="527"/>
      <c r="K224" s="527"/>
      <c r="L224" s="527"/>
      <c r="M224" s="527"/>
      <c r="N224" s="527"/>
      <c r="O224" s="527"/>
      <c r="P224" s="1501">
        <f t="shared" si="23"/>
        <v>0</v>
      </c>
      <c r="Q224" s="1181">
        <f t="shared" si="28"/>
        <v>0</v>
      </c>
      <c r="R224" s="47"/>
      <c r="S224" s="826"/>
      <c r="T224" s="527"/>
      <c r="U224" s="527"/>
      <c r="V224" s="527">
        <v>463590</v>
      </c>
      <c r="W224" s="527">
        <v>0</v>
      </c>
      <c r="X224" s="527">
        <v>0</v>
      </c>
      <c r="Y224" s="527">
        <v>0</v>
      </c>
      <c r="Z224" s="527"/>
      <c r="AA224" s="527"/>
      <c r="AB224" s="527"/>
      <c r="AC224" s="527"/>
      <c r="AD224" s="1181">
        <f t="shared" si="24"/>
        <v>463590</v>
      </c>
      <c r="AE224" s="28"/>
      <c r="AF224" s="1338">
        <f t="shared" si="25"/>
        <v>1</v>
      </c>
      <c r="AG224" s="593">
        <f t="shared" si="27"/>
        <v>108</v>
      </c>
    </row>
    <row r="225" spans="1:33" x14ac:dyDescent="0.3">
      <c r="A225" s="39" t="s">
        <v>2478</v>
      </c>
      <c r="B225" s="40" t="s">
        <v>2830</v>
      </c>
      <c r="C225" s="1298"/>
      <c r="D225" s="826"/>
      <c r="E225" s="527"/>
      <c r="F225" s="527"/>
      <c r="G225" s="527"/>
      <c r="H225" s="527"/>
      <c r="I225" s="527"/>
      <c r="J225" s="527"/>
      <c r="K225" s="527"/>
      <c r="L225" s="527"/>
      <c r="M225" s="527"/>
      <c r="N225" s="527"/>
      <c r="O225" s="527"/>
      <c r="P225" s="1501">
        <f t="shared" si="23"/>
        <v>0</v>
      </c>
      <c r="Q225" s="1181">
        <f t="shared" si="28"/>
        <v>0</v>
      </c>
      <c r="R225" s="47"/>
      <c r="S225" s="826"/>
      <c r="T225" s="527"/>
      <c r="U225" s="527"/>
      <c r="V225" s="527">
        <v>952250</v>
      </c>
      <c r="W225" s="527">
        <v>0</v>
      </c>
      <c r="X225" s="527">
        <v>0</v>
      </c>
      <c r="Y225" s="527">
        <v>0</v>
      </c>
      <c r="Z225" s="527"/>
      <c r="AA225" s="527"/>
      <c r="AB225" s="527"/>
      <c r="AC225" s="527"/>
      <c r="AD225" s="1181">
        <f t="shared" si="24"/>
        <v>952250</v>
      </c>
      <c r="AE225" s="28"/>
      <c r="AF225" s="1338">
        <f t="shared" si="25"/>
        <v>1</v>
      </c>
      <c r="AG225" s="593">
        <f t="shared" si="27"/>
        <v>72</v>
      </c>
    </row>
    <row r="226" spans="1:33" x14ac:dyDescent="0.3">
      <c r="A226" s="39" t="s">
        <v>2478</v>
      </c>
      <c r="B226" s="40" t="s">
        <v>2849</v>
      </c>
      <c r="C226" s="1298"/>
      <c r="D226" s="826"/>
      <c r="E226" s="527"/>
      <c r="F226" s="527"/>
      <c r="G226" s="527"/>
      <c r="H226" s="527"/>
      <c r="I226" s="527"/>
      <c r="J226" s="527"/>
      <c r="K226" s="527">
        <v>0</v>
      </c>
      <c r="L226" s="527"/>
      <c r="M226" s="527"/>
      <c r="N226" s="527"/>
      <c r="O226" s="527"/>
      <c r="P226" s="1501">
        <f t="shared" si="23"/>
        <v>0</v>
      </c>
      <c r="Q226" s="1181">
        <f t="shared" si="28"/>
        <v>0</v>
      </c>
      <c r="R226" s="47"/>
      <c r="S226" s="826"/>
      <c r="T226" s="527"/>
      <c r="U226" s="527"/>
      <c r="V226" s="527"/>
      <c r="W226" s="527">
        <v>427150</v>
      </c>
      <c r="X226" s="527">
        <v>0</v>
      </c>
      <c r="Y226" s="527">
        <v>478310</v>
      </c>
      <c r="Z226" s="527"/>
      <c r="AA226" s="527"/>
      <c r="AB226" s="527"/>
      <c r="AC226" s="527"/>
      <c r="AD226" s="1181">
        <f t="shared" si="24"/>
        <v>905460</v>
      </c>
      <c r="AE226" s="28"/>
      <c r="AF226" s="1338">
        <f t="shared" si="25"/>
        <v>1</v>
      </c>
      <c r="AG226" s="593">
        <f t="shared" si="27"/>
        <v>78</v>
      </c>
    </row>
    <row r="227" spans="1:33" x14ac:dyDescent="0.3">
      <c r="A227" s="39" t="s">
        <v>2478</v>
      </c>
      <c r="B227" s="40" t="s">
        <v>840</v>
      </c>
      <c r="C227" s="1298"/>
      <c r="D227" s="826"/>
      <c r="E227" s="527"/>
      <c r="F227" s="527"/>
      <c r="G227" s="527"/>
      <c r="H227" s="527"/>
      <c r="I227" s="527"/>
      <c r="J227" s="527"/>
      <c r="K227" s="527"/>
      <c r="L227" s="527"/>
      <c r="M227" s="527"/>
      <c r="N227" s="527"/>
      <c r="O227" s="527"/>
      <c r="P227" s="1501">
        <f t="shared" si="23"/>
        <v>0</v>
      </c>
      <c r="Q227" s="1181">
        <f t="shared" si="28"/>
        <v>0</v>
      </c>
      <c r="R227" s="47"/>
      <c r="S227" s="826"/>
      <c r="T227" s="527"/>
      <c r="U227" s="527"/>
      <c r="V227" s="527"/>
      <c r="W227" s="527">
        <v>431030</v>
      </c>
      <c r="X227" s="527">
        <v>0</v>
      </c>
      <c r="Y227" s="527">
        <v>0</v>
      </c>
      <c r="Z227" s="527"/>
      <c r="AA227" s="527"/>
      <c r="AB227" s="527"/>
      <c r="AC227" s="527"/>
      <c r="AD227" s="1181">
        <f t="shared" si="24"/>
        <v>431030</v>
      </c>
      <c r="AE227" s="28"/>
      <c r="AF227" s="1338">
        <f t="shared" si="25"/>
        <v>1</v>
      </c>
      <c r="AG227" s="593">
        <f t="shared" si="27"/>
        <v>111</v>
      </c>
    </row>
    <row r="228" spans="1:33" x14ac:dyDescent="0.3">
      <c r="A228" s="39" t="s">
        <v>2478</v>
      </c>
      <c r="B228" s="40" t="s">
        <v>2885</v>
      </c>
      <c r="C228" s="1298"/>
      <c r="D228" s="826"/>
      <c r="E228" s="527"/>
      <c r="F228" s="527"/>
      <c r="G228" s="527"/>
      <c r="H228" s="527"/>
      <c r="I228" s="527"/>
      <c r="J228" s="527"/>
      <c r="K228" s="527"/>
      <c r="L228" s="527"/>
      <c r="M228" s="527"/>
      <c r="N228" s="527"/>
      <c r="O228" s="527"/>
      <c r="P228" s="1501">
        <f t="shared" si="23"/>
        <v>0</v>
      </c>
      <c r="Q228" s="1181">
        <f t="shared" si="28"/>
        <v>0</v>
      </c>
      <c r="R228" s="47"/>
      <c r="S228" s="826"/>
      <c r="T228" s="527"/>
      <c r="U228" s="527"/>
      <c r="V228" s="527"/>
      <c r="W228" s="527">
        <v>415720</v>
      </c>
      <c r="X228" s="527">
        <v>0</v>
      </c>
      <c r="Y228" s="527">
        <v>0</v>
      </c>
      <c r="Z228" s="527"/>
      <c r="AA228" s="527"/>
      <c r="AB228" s="527"/>
      <c r="AC228" s="527"/>
      <c r="AD228" s="1181">
        <f t="shared" si="24"/>
        <v>415720</v>
      </c>
      <c r="AE228" s="28"/>
      <c r="AF228" s="1338">
        <f t="shared" si="25"/>
        <v>1</v>
      </c>
      <c r="AG228" s="593">
        <f>IFERROR(_xlfn.RANK.EQ(AD228, $AD$2:$AD$328), "")</f>
        <v>112</v>
      </c>
    </row>
    <row r="229" spans="1:33" x14ac:dyDescent="0.3">
      <c r="A229" s="39" t="s">
        <v>2478</v>
      </c>
      <c r="B229" s="40" t="s">
        <v>2886</v>
      </c>
      <c r="C229" s="1298"/>
      <c r="D229" s="826"/>
      <c r="E229" s="527"/>
      <c r="F229" s="527"/>
      <c r="G229" s="527"/>
      <c r="H229" s="527"/>
      <c r="I229" s="527"/>
      <c r="J229" s="527"/>
      <c r="K229" s="527"/>
      <c r="L229" s="527"/>
      <c r="M229" s="527"/>
      <c r="N229" s="527"/>
      <c r="O229" s="527"/>
      <c r="P229" s="1501">
        <f t="shared" si="23"/>
        <v>0</v>
      </c>
      <c r="Q229" s="1181">
        <f t="shared" si="28"/>
        <v>0</v>
      </c>
      <c r="R229" s="47"/>
      <c r="S229" s="826"/>
      <c r="T229" s="527"/>
      <c r="U229" s="527"/>
      <c r="V229" s="527"/>
      <c r="W229" s="527"/>
      <c r="X229" s="527"/>
      <c r="Y229" s="527"/>
      <c r="Z229" s="527"/>
      <c r="AA229" s="527"/>
      <c r="AB229" s="527"/>
      <c r="AC229" s="527"/>
      <c r="AD229" s="1181">
        <f t="shared" si="24"/>
        <v>0</v>
      </c>
      <c r="AE229" s="28"/>
      <c r="AF229" s="1338">
        <f t="shared" si="25"/>
        <v>0</v>
      </c>
      <c r="AG229" s="593">
        <f t="shared" ref="AG229:AG292" si="29">IFERROR(_xlfn.RANK.EQ(AD229, $AD$2:$AD$328), "")</f>
        <v>149</v>
      </c>
    </row>
    <row r="230" spans="1:33" x14ac:dyDescent="0.3">
      <c r="A230" s="39" t="s">
        <v>2478</v>
      </c>
      <c r="B230" s="40" t="s">
        <v>847</v>
      </c>
      <c r="C230" s="1298"/>
      <c r="D230" s="826"/>
      <c r="E230" s="527"/>
      <c r="F230" s="527"/>
      <c r="G230" s="527"/>
      <c r="H230" s="527"/>
      <c r="I230" s="527"/>
      <c r="J230" s="527"/>
      <c r="K230" s="527"/>
      <c r="L230" s="527"/>
      <c r="M230" s="527"/>
      <c r="N230" s="527"/>
      <c r="O230" s="527"/>
      <c r="P230" s="1501">
        <f t="shared" si="23"/>
        <v>0</v>
      </c>
      <c r="Q230" s="1181">
        <f t="shared" si="28"/>
        <v>0</v>
      </c>
      <c r="R230" s="47"/>
      <c r="S230" s="826"/>
      <c r="T230" s="527"/>
      <c r="U230" s="527"/>
      <c r="V230" s="527"/>
      <c r="W230" s="527"/>
      <c r="X230" s="527">
        <v>3385900</v>
      </c>
      <c r="Y230" s="527">
        <v>0</v>
      </c>
      <c r="Z230" s="527"/>
      <c r="AA230" s="527"/>
      <c r="AB230" s="527"/>
      <c r="AC230" s="527"/>
      <c r="AD230" s="1181">
        <f t="shared" si="24"/>
        <v>3385900</v>
      </c>
      <c r="AE230" s="28"/>
      <c r="AF230" s="1338">
        <f t="shared" si="25"/>
        <v>1</v>
      </c>
      <c r="AG230" s="593">
        <f t="shared" si="29"/>
        <v>25</v>
      </c>
    </row>
    <row r="231" spans="1:33" x14ac:dyDescent="0.3">
      <c r="A231" s="39" t="s">
        <v>2478</v>
      </c>
      <c r="B231" s="40" t="s">
        <v>855</v>
      </c>
      <c r="C231" s="1298"/>
      <c r="D231" s="826"/>
      <c r="E231" s="527"/>
      <c r="F231" s="527"/>
      <c r="G231" s="527"/>
      <c r="H231" s="527"/>
      <c r="I231" s="527"/>
      <c r="J231" s="527"/>
      <c r="K231" s="527"/>
      <c r="L231" s="527"/>
      <c r="M231" s="527"/>
      <c r="N231" s="527"/>
      <c r="O231" s="527"/>
      <c r="P231" s="1501">
        <f t="shared" si="23"/>
        <v>0</v>
      </c>
      <c r="Q231" s="1181">
        <f t="shared" si="28"/>
        <v>0</v>
      </c>
      <c r="R231" s="47"/>
      <c r="S231" s="826"/>
      <c r="T231" s="527"/>
      <c r="U231" s="527"/>
      <c r="V231" s="527"/>
      <c r="W231" s="527"/>
      <c r="X231" s="527">
        <v>646590</v>
      </c>
      <c r="Y231" s="527">
        <v>0</v>
      </c>
      <c r="Z231" s="527"/>
      <c r="AA231" s="527"/>
      <c r="AB231" s="527"/>
      <c r="AC231" s="527"/>
      <c r="AD231" s="1181">
        <f t="shared" si="24"/>
        <v>646590</v>
      </c>
      <c r="AE231" s="28"/>
      <c r="AF231" s="1338">
        <f t="shared" si="25"/>
        <v>1</v>
      </c>
      <c r="AG231" s="593">
        <f t="shared" si="29"/>
        <v>91</v>
      </c>
    </row>
    <row r="232" spans="1:33" x14ac:dyDescent="0.3">
      <c r="A232" s="39" t="s">
        <v>2478</v>
      </c>
      <c r="B232" s="40" t="s">
        <v>2541</v>
      </c>
      <c r="C232" s="1298"/>
      <c r="D232" s="826"/>
      <c r="E232" s="527"/>
      <c r="F232" s="527"/>
      <c r="G232" s="527"/>
      <c r="H232" s="527"/>
      <c r="I232" s="527"/>
      <c r="J232" s="527"/>
      <c r="K232" s="527"/>
      <c r="L232" s="527"/>
      <c r="M232" s="527"/>
      <c r="N232" s="527"/>
      <c r="O232" s="527"/>
      <c r="P232" s="1501">
        <f t="shared" si="23"/>
        <v>0</v>
      </c>
      <c r="Q232" s="1181">
        <f t="shared" si="28"/>
        <v>0</v>
      </c>
      <c r="R232" s="47"/>
      <c r="S232" s="826"/>
      <c r="T232" s="527"/>
      <c r="U232" s="527"/>
      <c r="V232" s="527"/>
      <c r="W232" s="527"/>
      <c r="X232" s="527">
        <v>285470</v>
      </c>
      <c r="Y232" s="527">
        <v>0</v>
      </c>
      <c r="Z232" s="527"/>
      <c r="AA232" s="527"/>
      <c r="AB232" s="527"/>
      <c r="AC232" s="527"/>
      <c r="AD232" s="1181">
        <f t="shared" si="24"/>
        <v>285470</v>
      </c>
      <c r="AE232" s="28"/>
      <c r="AF232" s="1338">
        <f t="shared" si="25"/>
        <v>1</v>
      </c>
      <c r="AG232" s="593">
        <f t="shared" si="29"/>
        <v>123</v>
      </c>
    </row>
    <row r="233" spans="1:33" x14ac:dyDescent="0.3">
      <c r="A233" s="39" t="s">
        <v>2478</v>
      </c>
      <c r="B233" s="40" t="s">
        <v>1678</v>
      </c>
      <c r="C233" s="1298"/>
      <c r="D233" s="826"/>
      <c r="E233" s="527"/>
      <c r="F233" s="527"/>
      <c r="G233" s="527"/>
      <c r="H233" s="527"/>
      <c r="I233" s="527"/>
      <c r="J233" s="527"/>
      <c r="K233" s="527"/>
      <c r="L233" s="527"/>
      <c r="M233" s="527"/>
      <c r="N233" s="527"/>
      <c r="O233" s="527"/>
      <c r="P233" s="1501">
        <f t="shared" si="23"/>
        <v>0</v>
      </c>
      <c r="Q233" s="1181">
        <f t="shared" si="28"/>
        <v>0</v>
      </c>
      <c r="R233" s="47"/>
      <c r="S233" s="826"/>
      <c r="T233" s="527"/>
      <c r="U233" s="527"/>
      <c r="V233" s="527"/>
      <c r="W233" s="527"/>
      <c r="X233" s="527">
        <v>232740</v>
      </c>
      <c r="Y233" s="527">
        <v>0</v>
      </c>
      <c r="Z233" s="527"/>
      <c r="AA233" s="527"/>
      <c r="AB233" s="527"/>
      <c r="AC233" s="527"/>
      <c r="AD233" s="1181">
        <f t="shared" si="24"/>
        <v>232740</v>
      </c>
      <c r="AE233" s="28"/>
      <c r="AF233" s="1338">
        <f t="shared" si="25"/>
        <v>1</v>
      </c>
      <c r="AG233" s="593">
        <f t="shared" si="29"/>
        <v>132</v>
      </c>
    </row>
    <row r="234" spans="1:33" x14ac:dyDescent="0.3">
      <c r="A234" s="41" t="s">
        <v>861</v>
      </c>
      <c r="B234" s="1347" t="s">
        <v>862</v>
      </c>
      <c r="C234" s="1488">
        <v>200090</v>
      </c>
      <c r="D234" s="1192">
        <v>0</v>
      </c>
      <c r="E234" s="1192">
        <v>639160</v>
      </c>
      <c r="F234" s="1192">
        <v>1936120</v>
      </c>
      <c r="G234" s="1192">
        <v>1685330</v>
      </c>
      <c r="H234" s="1192">
        <v>1545160</v>
      </c>
      <c r="I234" s="1192">
        <v>0</v>
      </c>
      <c r="J234" s="1192">
        <v>0</v>
      </c>
      <c r="K234" s="1192">
        <v>0</v>
      </c>
      <c r="L234" s="1192">
        <v>7283250</v>
      </c>
      <c r="M234" s="1192">
        <v>1702510</v>
      </c>
      <c r="N234" s="1192">
        <v>1058340</v>
      </c>
      <c r="O234" s="1192">
        <v>0</v>
      </c>
      <c r="P234" s="1501">
        <f t="shared" si="23"/>
        <v>6005860</v>
      </c>
      <c r="Q234" s="1358">
        <f t="shared" si="28"/>
        <v>16049960</v>
      </c>
      <c r="R234" s="1191" t="s">
        <v>251</v>
      </c>
      <c r="S234" s="1192" t="s">
        <v>251</v>
      </c>
      <c r="T234" s="1192" t="s">
        <v>251</v>
      </c>
      <c r="U234" s="1192">
        <v>4825100</v>
      </c>
      <c r="V234" s="1192">
        <v>759950</v>
      </c>
      <c r="W234" s="1192">
        <v>1884310</v>
      </c>
      <c r="X234" s="1192">
        <v>912600</v>
      </c>
      <c r="Y234" s="1192">
        <v>0</v>
      </c>
      <c r="Z234" s="1192"/>
      <c r="AA234" s="1192"/>
      <c r="AB234" s="1192"/>
      <c r="AC234" s="1192"/>
      <c r="AD234" s="1358">
        <f t="shared" si="24"/>
        <v>8381960</v>
      </c>
      <c r="AE234" s="50" t="e">
        <f>IF(OR(#REF!="", AD234=""), 0, IFERROR((#REF!-AD234)/AD234, IF(#REF!&lt;&gt;0, 1, 0)))</f>
        <v>#REF!</v>
      </c>
      <c r="AF234" s="1339">
        <f t="shared" si="25"/>
        <v>0.39563026777180954</v>
      </c>
      <c r="AG234" s="1308">
        <f t="shared" si="29"/>
        <v>7</v>
      </c>
    </row>
    <row r="235" spans="1:33" x14ac:dyDescent="0.3">
      <c r="A235" s="41" t="s">
        <v>861</v>
      </c>
      <c r="B235" s="1347" t="s">
        <v>863</v>
      </c>
      <c r="C235" s="1488">
        <v>0</v>
      </c>
      <c r="D235" s="1192">
        <v>0</v>
      </c>
      <c r="E235" s="1192">
        <v>245610</v>
      </c>
      <c r="F235" s="1192">
        <v>1428850</v>
      </c>
      <c r="G235" s="1192">
        <v>3565540</v>
      </c>
      <c r="H235" s="1192">
        <v>337830</v>
      </c>
      <c r="I235" s="1192">
        <v>774280</v>
      </c>
      <c r="J235" s="1192">
        <v>0</v>
      </c>
      <c r="K235" s="1192">
        <v>0</v>
      </c>
      <c r="L235" s="1192">
        <v>494000</v>
      </c>
      <c r="M235" s="1192">
        <v>0</v>
      </c>
      <c r="N235" s="1192">
        <v>0</v>
      </c>
      <c r="O235" s="1192">
        <v>0</v>
      </c>
      <c r="P235" s="1501">
        <f t="shared" si="23"/>
        <v>6352110</v>
      </c>
      <c r="Q235" s="1358">
        <f t="shared" si="28"/>
        <v>6846110</v>
      </c>
      <c r="R235" s="1191" t="s">
        <v>251</v>
      </c>
      <c r="S235" s="1192">
        <v>1693320</v>
      </c>
      <c r="T235" s="1192">
        <v>0</v>
      </c>
      <c r="U235" s="1192">
        <v>0</v>
      </c>
      <c r="V235" s="1192">
        <v>0</v>
      </c>
      <c r="W235" s="1192">
        <v>0</v>
      </c>
      <c r="X235" s="1192">
        <v>0</v>
      </c>
      <c r="Y235" s="1192">
        <v>0</v>
      </c>
      <c r="Z235" s="1192"/>
      <c r="AA235" s="1192"/>
      <c r="AB235" s="1192"/>
      <c r="AC235" s="1192"/>
      <c r="AD235" s="1358">
        <f t="shared" si="24"/>
        <v>1693320</v>
      </c>
      <c r="AE235" s="50" t="e">
        <f>IF(OR(#REF!="", AD235=""), 0, IFERROR((#REF!-AD235)/AD235, IF(#REF!&lt;&gt;0, 1, 0)))</f>
        <v>#REF!</v>
      </c>
      <c r="AF235" s="1339">
        <f t="shared" si="25"/>
        <v>-0.73342401186377437</v>
      </c>
      <c r="AG235" s="1308">
        <f t="shared" si="29"/>
        <v>48</v>
      </c>
    </row>
    <row r="236" spans="1:33" x14ac:dyDescent="0.3">
      <c r="A236" s="41" t="s">
        <v>861</v>
      </c>
      <c r="B236" s="1347" t="s">
        <v>901</v>
      </c>
      <c r="C236" s="1488">
        <v>0</v>
      </c>
      <c r="D236" s="1192">
        <v>0</v>
      </c>
      <c r="E236" s="1192">
        <v>443580</v>
      </c>
      <c r="F236" s="1192">
        <v>2812650</v>
      </c>
      <c r="G236" s="1192">
        <v>190430</v>
      </c>
      <c r="H236" s="1192">
        <v>0</v>
      </c>
      <c r="I236" s="1192">
        <v>821290</v>
      </c>
      <c r="J236" s="1192">
        <v>0</v>
      </c>
      <c r="K236" s="1192">
        <v>0</v>
      </c>
      <c r="L236" s="1192">
        <v>0</v>
      </c>
      <c r="M236" s="1192">
        <v>0</v>
      </c>
      <c r="N236" s="1192">
        <v>0</v>
      </c>
      <c r="O236" s="1192">
        <v>0</v>
      </c>
      <c r="P236" s="1501">
        <f t="shared" si="23"/>
        <v>4267950</v>
      </c>
      <c r="Q236" s="1358">
        <f t="shared" si="28"/>
        <v>4267950</v>
      </c>
      <c r="R236" s="1191" t="s">
        <v>251</v>
      </c>
      <c r="S236" s="1192" t="s">
        <v>251</v>
      </c>
      <c r="T236" s="1192">
        <v>663150</v>
      </c>
      <c r="U236" s="1192">
        <v>1216690</v>
      </c>
      <c r="V236" s="1192">
        <v>969860</v>
      </c>
      <c r="W236" s="1192">
        <v>831190</v>
      </c>
      <c r="X236" s="1192">
        <v>91800</v>
      </c>
      <c r="Y236" s="1192">
        <v>0</v>
      </c>
      <c r="Z236" s="1192"/>
      <c r="AA236" s="1192"/>
      <c r="AB236" s="1192"/>
      <c r="AC236" s="1192"/>
      <c r="AD236" s="1358">
        <f t="shared" si="24"/>
        <v>3772690</v>
      </c>
      <c r="AE236" s="50" t="e">
        <f>IF(OR(#REF!="", AD236=""), 0, IFERROR((#REF!-AD236)/AD236, IF(#REF!&lt;&gt;0, 1, 0)))</f>
        <v>#REF!</v>
      </c>
      <c r="AF236" s="1339">
        <f t="shared" si="25"/>
        <v>-0.11604165934465024</v>
      </c>
      <c r="AG236" s="1308">
        <f t="shared" si="29"/>
        <v>21</v>
      </c>
    </row>
    <row r="237" spans="1:33" x14ac:dyDescent="0.3">
      <c r="A237" s="41" t="s">
        <v>861</v>
      </c>
      <c r="B237" s="1347" t="s">
        <v>864</v>
      </c>
      <c r="C237" s="1488">
        <v>0</v>
      </c>
      <c r="D237" s="1192">
        <v>0</v>
      </c>
      <c r="E237" s="1192">
        <v>1396100</v>
      </c>
      <c r="F237" s="1192">
        <v>917820</v>
      </c>
      <c r="G237" s="1192">
        <v>398520</v>
      </c>
      <c r="H237" s="1192">
        <v>0</v>
      </c>
      <c r="I237" s="1192">
        <v>0</v>
      </c>
      <c r="J237" s="1192">
        <v>0</v>
      </c>
      <c r="K237" s="1192">
        <v>0</v>
      </c>
      <c r="L237" s="1192">
        <v>1044850</v>
      </c>
      <c r="M237" s="1192">
        <v>0</v>
      </c>
      <c r="N237" s="1192">
        <v>0</v>
      </c>
      <c r="O237" s="1192">
        <v>0</v>
      </c>
      <c r="P237" s="1501">
        <f t="shared" si="23"/>
        <v>2712440</v>
      </c>
      <c r="Q237" s="1358">
        <f t="shared" si="28"/>
        <v>3757290</v>
      </c>
      <c r="R237" s="1191" t="s">
        <v>251</v>
      </c>
      <c r="S237" s="1192" t="s">
        <v>251</v>
      </c>
      <c r="T237" s="1192">
        <v>2106070</v>
      </c>
      <c r="U237" s="1192">
        <v>613750</v>
      </c>
      <c r="V237" s="1192">
        <v>0</v>
      </c>
      <c r="W237" s="1192">
        <v>0</v>
      </c>
      <c r="X237" s="1192">
        <v>0</v>
      </c>
      <c r="Y237" s="1192">
        <v>0</v>
      </c>
      <c r="Z237" s="1192"/>
      <c r="AA237" s="1192"/>
      <c r="AB237" s="1192"/>
      <c r="AC237" s="1192"/>
      <c r="AD237" s="1358">
        <f t="shared" si="24"/>
        <v>2719820</v>
      </c>
      <c r="AE237" s="50" t="e">
        <f>IF(OR(#REF!="", AD237=""), 0, IFERROR((#REF!-AD237)/AD237, IF(#REF!&lt;&gt;0, 1, 0)))</f>
        <v>#REF!</v>
      </c>
      <c r="AF237" s="1339">
        <f t="shared" si="25"/>
        <v>2.7207975107283477E-3</v>
      </c>
      <c r="AG237" s="1308">
        <f t="shared" si="29"/>
        <v>33</v>
      </c>
    </row>
    <row r="238" spans="1:33" x14ac:dyDescent="0.3">
      <c r="A238" s="41" t="s">
        <v>861</v>
      </c>
      <c r="B238" s="1347" t="s">
        <v>806</v>
      </c>
      <c r="C238" s="1488">
        <v>0</v>
      </c>
      <c r="D238" s="1192">
        <v>0</v>
      </c>
      <c r="E238" s="1192">
        <v>1232500</v>
      </c>
      <c r="F238" s="1192">
        <v>219280</v>
      </c>
      <c r="G238" s="1192">
        <v>0</v>
      </c>
      <c r="H238" s="1192">
        <v>0</v>
      </c>
      <c r="I238" s="1192">
        <v>0</v>
      </c>
      <c r="J238" s="1192">
        <v>0</v>
      </c>
      <c r="K238" s="1192"/>
      <c r="L238" s="1192">
        <v>0</v>
      </c>
      <c r="M238" s="1192">
        <v>0</v>
      </c>
      <c r="N238" s="1192">
        <v>0</v>
      </c>
      <c r="O238" s="1192">
        <v>0</v>
      </c>
      <c r="P238" s="1501">
        <f t="shared" si="23"/>
        <v>1451780</v>
      </c>
      <c r="Q238" s="1358">
        <f t="shared" si="28"/>
        <v>1451780</v>
      </c>
      <c r="R238" s="1191" t="s">
        <v>251</v>
      </c>
      <c r="S238" s="1192" t="s">
        <v>251</v>
      </c>
      <c r="T238" s="1192" t="s">
        <v>251</v>
      </c>
      <c r="U238" s="1192"/>
      <c r="V238" s="1192"/>
      <c r="W238" s="1192"/>
      <c r="X238" s="1192"/>
      <c r="Y238" s="1192"/>
      <c r="Z238" s="1192"/>
      <c r="AA238" s="1192"/>
      <c r="AB238" s="1192"/>
      <c r="AC238" s="1192"/>
      <c r="AD238" s="1358">
        <f t="shared" si="24"/>
        <v>0</v>
      </c>
      <c r="AE238" s="50" t="e">
        <f>IF(OR(#REF!="", AD238=""), 0, IFERROR((#REF!-AD238)/AD238, IF(#REF!&lt;&gt;0, 1, 0)))</f>
        <v>#REF!</v>
      </c>
      <c r="AF238" s="1339">
        <f t="shared" si="25"/>
        <v>-1</v>
      </c>
      <c r="AG238" s="1308">
        <f t="shared" si="29"/>
        <v>149</v>
      </c>
    </row>
    <row r="239" spans="1:33" x14ac:dyDescent="0.3">
      <c r="A239" s="41" t="s">
        <v>861</v>
      </c>
      <c r="B239" s="1347" t="s">
        <v>865</v>
      </c>
      <c r="C239" s="1488">
        <v>0</v>
      </c>
      <c r="D239" s="1192">
        <v>974380</v>
      </c>
      <c r="E239" s="1192">
        <v>0</v>
      </c>
      <c r="F239" s="1192">
        <v>0</v>
      </c>
      <c r="G239" s="1192">
        <v>0</v>
      </c>
      <c r="H239" s="1192">
        <v>0</v>
      </c>
      <c r="I239" s="1192">
        <v>1579640</v>
      </c>
      <c r="J239" s="1192">
        <v>1341420</v>
      </c>
      <c r="K239" s="1192">
        <v>341880</v>
      </c>
      <c r="L239" s="1192">
        <v>708890</v>
      </c>
      <c r="M239" s="1192">
        <v>0</v>
      </c>
      <c r="N239" s="1192">
        <v>0</v>
      </c>
      <c r="O239" s="1192">
        <v>0</v>
      </c>
      <c r="P239" s="1501">
        <f t="shared" si="23"/>
        <v>2895900</v>
      </c>
      <c r="Q239" s="1358">
        <f t="shared" si="28"/>
        <v>4604330</v>
      </c>
      <c r="R239" s="1191">
        <v>451440</v>
      </c>
      <c r="S239" s="1192" t="s">
        <v>251</v>
      </c>
      <c r="T239" s="1192">
        <v>0</v>
      </c>
      <c r="U239" s="1192">
        <v>716900</v>
      </c>
      <c r="V239" s="1192">
        <v>0</v>
      </c>
      <c r="W239" s="1192">
        <v>1485300</v>
      </c>
      <c r="X239" s="1192">
        <v>0</v>
      </c>
      <c r="Y239" s="1192">
        <v>1354750</v>
      </c>
      <c r="Z239" s="1192"/>
      <c r="AA239" s="1192"/>
      <c r="AB239" s="1192"/>
      <c r="AC239" s="1192"/>
      <c r="AD239" s="1358">
        <f t="shared" si="24"/>
        <v>4008390</v>
      </c>
      <c r="AE239" s="50" t="e">
        <f>IF(OR(#REF!="", AD239=""), 0, IFERROR((#REF!-AD239)/AD239, IF(#REF!&lt;&gt;0, 1, 0)))</f>
        <v>#REF!</v>
      </c>
      <c r="AF239" s="1339">
        <f t="shared" si="25"/>
        <v>0.38416036465347558</v>
      </c>
      <c r="AG239" s="1308">
        <f t="shared" si="29"/>
        <v>17</v>
      </c>
    </row>
    <row r="240" spans="1:33" x14ac:dyDescent="0.3">
      <c r="A240" s="41" t="s">
        <v>861</v>
      </c>
      <c r="B240" s="1347" t="s">
        <v>866</v>
      </c>
      <c r="C240" s="1488">
        <v>0</v>
      </c>
      <c r="D240" s="1192">
        <v>0</v>
      </c>
      <c r="E240" s="1192">
        <v>0</v>
      </c>
      <c r="F240" s="1192">
        <v>500530</v>
      </c>
      <c r="G240" s="1192">
        <v>0</v>
      </c>
      <c r="H240" s="1192">
        <v>0</v>
      </c>
      <c r="I240" s="1192">
        <v>0</v>
      </c>
      <c r="J240" s="1192">
        <v>0</v>
      </c>
      <c r="K240" s="1192">
        <v>0</v>
      </c>
      <c r="L240" s="1192">
        <v>0</v>
      </c>
      <c r="M240" s="1192">
        <v>0</v>
      </c>
      <c r="N240" s="1192">
        <v>0</v>
      </c>
      <c r="O240" s="1192">
        <v>0</v>
      </c>
      <c r="P240" s="1501">
        <f t="shared" si="23"/>
        <v>500530</v>
      </c>
      <c r="Q240" s="1358">
        <f t="shared" si="28"/>
        <v>500530</v>
      </c>
      <c r="R240" s="1191" t="s">
        <v>251</v>
      </c>
      <c r="S240" s="1192" t="s">
        <v>251</v>
      </c>
      <c r="T240" s="1192" t="s">
        <v>251</v>
      </c>
      <c r="U240" s="1192"/>
      <c r="V240" s="1192">
        <v>647680</v>
      </c>
      <c r="W240" s="1192">
        <v>0</v>
      </c>
      <c r="X240" s="1192">
        <v>0</v>
      </c>
      <c r="Y240" s="1192">
        <v>0</v>
      </c>
      <c r="Z240" s="1192"/>
      <c r="AA240" s="1192"/>
      <c r="AB240" s="1192"/>
      <c r="AC240" s="1192"/>
      <c r="AD240" s="1358">
        <f t="shared" si="24"/>
        <v>647680</v>
      </c>
      <c r="AE240" s="50" t="e">
        <f>IF(OR(#REF!="", AD240=""), 0, IFERROR((#REF!-AD240)/AD240, IF(#REF!&lt;&gt;0, 1, 0)))</f>
        <v>#REF!</v>
      </c>
      <c r="AF240" s="1339">
        <f t="shared" si="25"/>
        <v>0.29398837232533515</v>
      </c>
      <c r="AG240" s="1308">
        <f t="shared" si="29"/>
        <v>90</v>
      </c>
    </row>
    <row r="241" spans="1:33" x14ac:dyDescent="0.3">
      <c r="A241" s="41" t="s">
        <v>861</v>
      </c>
      <c r="B241" s="1347" t="s">
        <v>904</v>
      </c>
      <c r="C241" s="1488">
        <v>0</v>
      </c>
      <c r="D241" s="1192">
        <v>0</v>
      </c>
      <c r="E241" s="1192">
        <v>0</v>
      </c>
      <c r="F241" s="1192">
        <v>867690</v>
      </c>
      <c r="G241" s="1192">
        <v>1891590</v>
      </c>
      <c r="H241" s="1192">
        <v>0</v>
      </c>
      <c r="I241" s="1192">
        <v>0</v>
      </c>
      <c r="J241" s="1192">
        <v>0</v>
      </c>
      <c r="K241" s="1192">
        <v>0</v>
      </c>
      <c r="L241" s="1192">
        <v>0</v>
      </c>
      <c r="M241" s="1192">
        <v>0</v>
      </c>
      <c r="N241" s="1192">
        <v>0</v>
      </c>
      <c r="O241" s="1192">
        <v>0</v>
      </c>
      <c r="P241" s="1501">
        <f t="shared" si="23"/>
        <v>2759280</v>
      </c>
      <c r="Q241" s="1358">
        <f t="shared" si="28"/>
        <v>2759280</v>
      </c>
      <c r="R241" s="1191" t="s">
        <v>251</v>
      </c>
      <c r="S241" s="1192" t="s">
        <v>251</v>
      </c>
      <c r="T241" s="1192" t="s">
        <v>251</v>
      </c>
      <c r="U241" s="1192">
        <v>606810</v>
      </c>
      <c r="V241" s="1192">
        <v>3008180</v>
      </c>
      <c r="W241" s="1192">
        <v>0</v>
      </c>
      <c r="X241" s="1192">
        <v>0</v>
      </c>
      <c r="Y241" s="1192">
        <v>0</v>
      </c>
      <c r="Z241" s="1192"/>
      <c r="AA241" s="1192"/>
      <c r="AB241" s="1192"/>
      <c r="AC241" s="1192"/>
      <c r="AD241" s="1358">
        <f t="shared" si="24"/>
        <v>3614990</v>
      </c>
      <c r="AE241" s="50" t="e">
        <f>IF(OR(#REF!="", AD241=""), 0, IFERROR((#REF!-AD241)/AD241, IF(#REF!&lt;&gt;0, 1, 0)))</f>
        <v>#REF!</v>
      </c>
      <c r="AF241" s="1339">
        <f t="shared" si="25"/>
        <v>0.31012075613928269</v>
      </c>
      <c r="AG241" s="1308">
        <f t="shared" si="29"/>
        <v>24</v>
      </c>
    </row>
    <row r="242" spans="1:33" x14ac:dyDescent="0.3">
      <c r="A242" s="41" t="s">
        <v>861</v>
      </c>
      <c r="B242" s="1347" t="s">
        <v>867</v>
      </c>
      <c r="C242" s="1488">
        <v>0</v>
      </c>
      <c r="D242" s="1192">
        <v>0</v>
      </c>
      <c r="E242" s="1192">
        <v>328180</v>
      </c>
      <c r="F242" s="1192">
        <v>2514060</v>
      </c>
      <c r="G242" s="1192">
        <v>0</v>
      </c>
      <c r="H242" s="1192">
        <v>0</v>
      </c>
      <c r="I242" s="1192">
        <v>0</v>
      </c>
      <c r="J242" s="1192">
        <v>386740</v>
      </c>
      <c r="K242" s="1192">
        <v>386740</v>
      </c>
      <c r="L242" s="1192">
        <v>0</v>
      </c>
      <c r="M242" s="1192">
        <v>946650</v>
      </c>
      <c r="N242" s="1192">
        <v>0</v>
      </c>
      <c r="O242" s="1192">
        <v>0</v>
      </c>
      <c r="P242" s="1501">
        <f t="shared" si="23"/>
        <v>3228980</v>
      </c>
      <c r="Q242" s="1358">
        <f t="shared" si="28"/>
        <v>4175630</v>
      </c>
      <c r="R242" s="1191" t="s">
        <v>251</v>
      </c>
      <c r="S242" s="1192" t="s">
        <v>251</v>
      </c>
      <c r="T242" s="1192">
        <v>842010</v>
      </c>
      <c r="U242" s="1192">
        <v>3248310</v>
      </c>
      <c r="V242" s="1192">
        <v>0</v>
      </c>
      <c r="W242" s="1192">
        <v>0</v>
      </c>
      <c r="X242" s="1192">
        <v>0</v>
      </c>
      <c r="Y242" s="1192">
        <v>0</v>
      </c>
      <c r="Z242" s="1192"/>
      <c r="AA242" s="1192"/>
      <c r="AB242" s="1192"/>
      <c r="AC242" s="1192"/>
      <c r="AD242" s="1358">
        <f t="shared" si="24"/>
        <v>4090320</v>
      </c>
      <c r="AE242" s="50" t="e">
        <f>IF(OR(#REF!="", AD242=""), 0, IFERROR((#REF!-AD242)/AD242, IF(#REF!&lt;&gt;0, 1, 0)))</f>
        <v>#REF!</v>
      </c>
      <c r="AF242" s="1339">
        <f t="shared" si="25"/>
        <v>0.2667529684296589</v>
      </c>
      <c r="AG242" s="1308">
        <f t="shared" si="29"/>
        <v>16</v>
      </c>
    </row>
    <row r="243" spans="1:33" x14ac:dyDescent="0.3">
      <c r="A243" s="41" t="s">
        <v>861</v>
      </c>
      <c r="B243" s="1347" t="s">
        <v>868</v>
      </c>
      <c r="C243" s="1488">
        <v>0</v>
      </c>
      <c r="D243" s="1192">
        <v>0</v>
      </c>
      <c r="E243" s="1192">
        <v>0</v>
      </c>
      <c r="F243" s="1192">
        <v>1068470</v>
      </c>
      <c r="G243" s="1192">
        <v>405000</v>
      </c>
      <c r="H243" s="1192">
        <v>0</v>
      </c>
      <c r="I243" s="1192">
        <v>0</v>
      </c>
      <c r="J243" s="1192">
        <v>0</v>
      </c>
      <c r="K243" s="1192">
        <v>0</v>
      </c>
      <c r="L243" s="1192">
        <v>0</v>
      </c>
      <c r="M243" s="1192">
        <v>0</v>
      </c>
      <c r="N243" s="1192">
        <v>0</v>
      </c>
      <c r="O243" s="1192">
        <v>0</v>
      </c>
      <c r="P243" s="1501">
        <f t="shared" si="23"/>
        <v>1473470</v>
      </c>
      <c r="Q243" s="1358">
        <f t="shared" si="28"/>
        <v>1473470</v>
      </c>
      <c r="R243" s="1191" t="s">
        <v>251</v>
      </c>
      <c r="S243" s="1192" t="s">
        <v>251</v>
      </c>
      <c r="T243" s="1192" t="s">
        <v>251</v>
      </c>
      <c r="U243" s="1192"/>
      <c r="V243" s="1192"/>
      <c r="W243" s="1192"/>
      <c r="X243" s="1192"/>
      <c r="Y243" s="1192"/>
      <c r="Z243" s="1192"/>
      <c r="AA243" s="1192"/>
      <c r="AB243" s="1192"/>
      <c r="AC243" s="1192"/>
      <c r="AD243" s="1358">
        <f t="shared" si="24"/>
        <v>0</v>
      </c>
      <c r="AE243" s="50" t="e">
        <f>IF(OR(#REF!="", AD243=""), 0, IFERROR((#REF!-AD243)/AD243, IF(#REF!&lt;&gt;0, 1, 0)))</f>
        <v>#REF!</v>
      </c>
      <c r="AF243" s="1339">
        <f t="shared" si="25"/>
        <v>-1</v>
      </c>
      <c r="AG243" s="1308">
        <f t="shared" si="29"/>
        <v>149</v>
      </c>
    </row>
    <row r="244" spans="1:33" x14ac:dyDescent="0.3">
      <c r="A244" s="41" t="s">
        <v>861</v>
      </c>
      <c r="B244" s="1347" t="s">
        <v>869</v>
      </c>
      <c r="C244" s="1488">
        <v>0</v>
      </c>
      <c r="D244" s="1192">
        <v>0</v>
      </c>
      <c r="E244" s="1192">
        <v>0</v>
      </c>
      <c r="F244" s="1192">
        <v>0</v>
      </c>
      <c r="G244" s="1192">
        <v>0</v>
      </c>
      <c r="H244" s="1192">
        <v>0</v>
      </c>
      <c r="I244" s="1192">
        <v>0</v>
      </c>
      <c r="J244" s="1192">
        <v>0</v>
      </c>
      <c r="K244" s="1192">
        <v>0</v>
      </c>
      <c r="L244" s="1192">
        <v>0</v>
      </c>
      <c r="M244" s="1192">
        <v>0</v>
      </c>
      <c r="N244" s="1192">
        <v>0</v>
      </c>
      <c r="O244" s="1192">
        <v>0</v>
      </c>
      <c r="P244" s="1501">
        <f t="shared" si="23"/>
        <v>0</v>
      </c>
      <c r="Q244" s="1358">
        <f t="shared" si="28"/>
        <v>0</v>
      </c>
      <c r="R244" s="1191" t="s">
        <v>251</v>
      </c>
      <c r="S244" s="1192" t="s">
        <v>251</v>
      </c>
      <c r="T244" s="1192" t="s">
        <v>251</v>
      </c>
      <c r="U244" s="1192"/>
      <c r="V244" s="1192"/>
      <c r="W244" s="1192"/>
      <c r="X244" s="1192"/>
      <c r="Y244" s="1192"/>
      <c r="Z244" s="1192"/>
      <c r="AA244" s="1192"/>
      <c r="AB244" s="1192"/>
      <c r="AC244" s="1192"/>
      <c r="AD244" s="1358">
        <f t="shared" si="24"/>
        <v>0</v>
      </c>
      <c r="AE244" s="50" t="e">
        <f>IF(OR(#REF!="", AD244=""), 0, IFERROR((#REF!-AD244)/AD244, IF(#REF!&lt;&gt;0, 1, 0)))</f>
        <v>#REF!</v>
      </c>
      <c r="AF244" s="1339">
        <f t="shared" si="25"/>
        <v>0</v>
      </c>
      <c r="AG244" s="1308">
        <f t="shared" si="29"/>
        <v>149</v>
      </c>
    </row>
    <row r="245" spans="1:33" x14ac:dyDescent="0.3">
      <c r="A245" s="41" t="s">
        <v>861</v>
      </c>
      <c r="B245" s="1347" t="s">
        <v>903</v>
      </c>
      <c r="C245" s="1488">
        <v>0</v>
      </c>
      <c r="D245" s="1192">
        <v>228570</v>
      </c>
      <c r="E245" s="1192">
        <v>0</v>
      </c>
      <c r="F245" s="1192">
        <v>0</v>
      </c>
      <c r="G245" s="1192">
        <v>0</v>
      </c>
      <c r="H245" s="1192">
        <v>0</v>
      </c>
      <c r="I245" s="1192">
        <v>0</v>
      </c>
      <c r="J245" s="1192">
        <v>0</v>
      </c>
      <c r="K245" s="1192">
        <v>0</v>
      </c>
      <c r="L245" s="1192">
        <v>0</v>
      </c>
      <c r="M245" s="1192">
        <v>0</v>
      </c>
      <c r="N245" s="1192">
        <v>0</v>
      </c>
      <c r="O245" s="1192">
        <v>0</v>
      </c>
      <c r="P245" s="1501">
        <f t="shared" si="23"/>
        <v>228570</v>
      </c>
      <c r="Q245" s="1358">
        <f t="shared" si="28"/>
        <v>228570</v>
      </c>
      <c r="R245" s="1191" t="s">
        <v>251</v>
      </c>
      <c r="S245" s="1192" t="s">
        <v>251</v>
      </c>
      <c r="T245" s="1192" t="s">
        <v>251</v>
      </c>
      <c r="U245" s="1192"/>
      <c r="V245" s="1192"/>
      <c r="W245" s="1192"/>
      <c r="X245" s="1192"/>
      <c r="Y245" s="1192"/>
      <c r="Z245" s="1192"/>
      <c r="AA245" s="1192"/>
      <c r="AB245" s="1192"/>
      <c r="AC245" s="1192"/>
      <c r="AD245" s="1358">
        <f t="shared" si="24"/>
        <v>0</v>
      </c>
      <c r="AE245" s="50" t="e">
        <f>IF(OR(#REF!="", AD245=""), 0, IFERROR((#REF!-AD245)/AD245, IF(#REF!&lt;&gt;0, 1, 0)))</f>
        <v>#REF!</v>
      </c>
      <c r="AF245" s="1339">
        <f t="shared" si="25"/>
        <v>-1</v>
      </c>
      <c r="AG245" s="1308">
        <f t="shared" si="29"/>
        <v>149</v>
      </c>
    </row>
    <row r="246" spans="1:33" x14ac:dyDescent="0.3">
      <c r="A246" s="41" t="s">
        <v>861</v>
      </c>
      <c r="B246" s="1347" t="s">
        <v>870</v>
      </c>
      <c r="C246" s="1488">
        <v>0</v>
      </c>
      <c r="D246" s="1192">
        <v>0</v>
      </c>
      <c r="E246" s="1192">
        <v>1761840</v>
      </c>
      <c r="F246" s="1192">
        <v>0</v>
      </c>
      <c r="G246" s="1192">
        <v>0</v>
      </c>
      <c r="H246" s="1192">
        <v>0</v>
      </c>
      <c r="I246" s="1192">
        <v>0</v>
      </c>
      <c r="J246" s="1192">
        <v>6171510</v>
      </c>
      <c r="K246" s="1192">
        <v>3639150</v>
      </c>
      <c r="L246" s="1192">
        <v>1178370</v>
      </c>
      <c r="M246" s="1192">
        <v>154320</v>
      </c>
      <c r="N246" s="1192">
        <v>0</v>
      </c>
      <c r="O246" s="1192">
        <v>0</v>
      </c>
      <c r="P246" s="1501">
        <f t="shared" si="23"/>
        <v>5400990</v>
      </c>
      <c r="Q246" s="1358">
        <f t="shared" si="28"/>
        <v>9266040</v>
      </c>
      <c r="R246" s="1191" t="s">
        <v>251</v>
      </c>
      <c r="S246" s="1192" t="s">
        <v>251</v>
      </c>
      <c r="T246" s="1192" t="s">
        <v>251</v>
      </c>
      <c r="U246" s="1192">
        <v>2736840</v>
      </c>
      <c r="V246" s="1192">
        <v>513230</v>
      </c>
      <c r="W246" s="1192">
        <v>0</v>
      </c>
      <c r="X246" s="1192">
        <v>0</v>
      </c>
      <c r="Y246" s="1192">
        <v>0</v>
      </c>
      <c r="Z246" s="1192"/>
      <c r="AA246" s="1192"/>
      <c r="AB246" s="1192"/>
      <c r="AC246" s="1192"/>
      <c r="AD246" s="1358">
        <f t="shared" si="24"/>
        <v>3250070</v>
      </c>
      <c r="AE246" s="50" t="e">
        <f>IF(OR(#REF!="", AD246=""), 0, IFERROR((#REF!-AD246)/AD246, IF(#REF!&lt;&gt;0, 1, 0)))</f>
        <v>#REF!</v>
      </c>
      <c r="AF246" s="1339">
        <f t="shared" si="25"/>
        <v>-0.39824550684226412</v>
      </c>
      <c r="AG246" s="1308">
        <f t="shared" si="29"/>
        <v>29</v>
      </c>
    </row>
    <row r="247" spans="1:33" x14ac:dyDescent="0.3">
      <c r="A247" s="41" t="s">
        <v>861</v>
      </c>
      <c r="B247" s="1347" t="s">
        <v>871</v>
      </c>
      <c r="C247" s="1488">
        <v>0</v>
      </c>
      <c r="D247" s="1192">
        <v>0</v>
      </c>
      <c r="E247" s="1192">
        <v>0</v>
      </c>
      <c r="F247" s="1192">
        <v>1396840</v>
      </c>
      <c r="G247" s="1192">
        <v>0</v>
      </c>
      <c r="H247" s="1192">
        <v>0</v>
      </c>
      <c r="I247" s="1192">
        <v>0</v>
      </c>
      <c r="J247" s="1192">
        <v>280550</v>
      </c>
      <c r="K247" s="1192">
        <v>280550</v>
      </c>
      <c r="L247" s="1192">
        <v>0</v>
      </c>
      <c r="M247" s="1192">
        <v>0</v>
      </c>
      <c r="N247" s="1192">
        <v>0</v>
      </c>
      <c r="O247" s="1192">
        <v>0</v>
      </c>
      <c r="P247" s="1501">
        <f t="shared" si="23"/>
        <v>1677390</v>
      </c>
      <c r="Q247" s="1358">
        <f t="shared" si="28"/>
        <v>1677390</v>
      </c>
      <c r="R247" s="1191" t="s">
        <v>251</v>
      </c>
      <c r="S247" s="1192" t="s">
        <v>251</v>
      </c>
      <c r="T247" s="1192">
        <v>534120</v>
      </c>
      <c r="U247" s="1192">
        <v>0</v>
      </c>
      <c r="V247" s="1192">
        <v>0</v>
      </c>
      <c r="W247" s="1192">
        <v>0</v>
      </c>
      <c r="X247" s="1192">
        <v>0</v>
      </c>
      <c r="Y247" s="1192">
        <v>0</v>
      </c>
      <c r="Z247" s="1192"/>
      <c r="AA247" s="1192"/>
      <c r="AB247" s="1192"/>
      <c r="AC247" s="1192"/>
      <c r="AD247" s="1358">
        <f t="shared" si="24"/>
        <v>534120</v>
      </c>
      <c r="AE247" s="50" t="e">
        <f>IF(OR(#REF!="", AD247=""), 0, IFERROR((#REF!-AD247)/AD247, IF(#REF!&lt;&gt;0, 1, 0)))</f>
        <v>#REF!</v>
      </c>
      <c r="AF247" s="1339">
        <f t="shared" si="25"/>
        <v>-0.68157673528517515</v>
      </c>
      <c r="AG247" s="1308">
        <f t="shared" si="29"/>
        <v>99</v>
      </c>
    </row>
    <row r="248" spans="1:33" x14ac:dyDescent="0.3">
      <c r="A248" s="41" t="s">
        <v>861</v>
      </c>
      <c r="B248" s="1347" t="s">
        <v>872</v>
      </c>
      <c r="C248" s="1488">
        <v>0</v>
      </c>
      <c r="D248" s="1192">
        <v>0</v>
      </c>
      <c r="E248" s="1192">
        <v>0</v>
      </c>
      <c r="F248" s="1192">
        <v>247060</v>
      </c>
      <c r="G248" s="1192">
        <v>0</v>
      </c>
      <c r="H248" s="1192">
        <v>0</v>
      </c>
      <c r="I248" s="1192">
        <v>0</v>
      </c>
      <c r="J248" s="1192">
        <v>0</v>
      </c>
      <c r="K248" s="1192">
        <v>0</v>
      </c>
      <c r="L248" s="1192">
        <v>0</v>
      </c>
      <c r="M248" s="1192">
        <v>0</v>
      </c>
      <c r="N248" s="1192">
        <v>0</v>
      </c>
      <c r="O248" s="1192">
        <v>0</v>
      </c>
      <c r="P248" s="1501">
        <f t="shared" si="23"/>
        <v>247060</v>
      </c>
      <c r="Q248" s="1358">
        <f t="shared" si="28"/>
        <v>247060</v>
      </c>
      <c r="R248" s="1191" t="s">
        <v>251</v>
      </c>
      <c r="S248" s="1192" t="s">
        <v>251</v>
      </c>
      <c r="T248" s="1192" t="s">
        <v>251</v>
      </c>
      <c r="U248" s="1192"/>
      <c r="V248" s="1192"/>
      <c r="W248" s="1192"/>
      <c r="X248" s="1192"/>
      <c r="Y248" s="1192"/>
      <c r="Z248" s="1192"/>
      <c r="AA248" s="1192"/>
      <c r="AB248" s="1192"/>
      <c r="AC248" s="1192"/>
      <c r="AD248" s="1358">
        <f t="shared" si="24"/>
        <v>0</v>
      </c>
      <c r="AE248" s="50" t="e">
        <f>IF(OR(#REF!="", AD248=""), 0, IFERROR((#REF!-AD248)/AD248, IF(#REF!&lt;&gt;0, 1, 0)))</f>
        <v>#REF!</v>
      </c>
      <c r="AF248" s="1339">
        <f t="shared" si="25"/>
        <v>-1</v>
      </c>
      <c r="AG248" s="1308">
        <f t="shared" si="29"/>
        <v>149</v>
      </c>
    </row>
    <row r="249" spans="1:33" x14ac:dyDescent="0.3">
      <c r="A249" s="41" t="s">
        <v>861</v>
      </c>
      <c r="B249" s="1347" t="s">
        <v>902</v>
      </c>
      <c r="C249" s="1488">
        <v>0</v>
      </c>
      <c r="D249" s="1192">
        <v>0</v>
      </c>
      <c r="E249" s="1192">
        <v>0</v>
      </c>
      <c r="F249" s="1192">
        <v>0</v>
      </c>
      <c r="G249" s="1192">
        <v>196710</v>
      </c>
      <c r="H249" s="1192">
        <v>0</v>
      </c>
      <c r="I249" s="1192">
        <v>0</v>
      </c>
      <c r="J249" s="1192">
        <v>0</v>
      </c>
      <c r="K249" s="1192">
        <v>0</v>
      </c>
      <c r="L249" s="1192">
        <v>0</v>
      </c>
      <c r="M249" s="1192">
        <v>0</v>
      </c>
      <c r="N249" s="1192">
        <v>0</v>
      </c>
      <c r="O249" s="1192">
        <v>0</v>
      </c>
      <c r="P249" s="1501">
        <f t="shared" si="23"/>
        <v>196710</v>
      </c>
      <c r="Q249" s="1358">
        <f t="shared" si="28"/>
        <v>196710</v>
      </c>
      <c r="R249" s="1191" t="s">
        <v>251</v>
      </c>
      <c r="S249" s="1192" t="s">
        <v>251</v>
      </c>
      <c r="T249" s="1192" t="s">
        <v>251</v>
      </c>
      <c r="U249" s="1192"/>
      <c r="V249" s="1192"/>
      <c r="W249" s="1192"/>
      <c r="X249" s="1192"/>
      <c r="Y249" s="1192"/>
      <c r="Z249" s="1192"/>
      <c r="AA249" s="1192"/>
      <c r="AB249" s="1192"/>
      <c r="AC249" s="1192"/>
      <c r="AD249" s="1358">
        <f t="shared" si="24"/>
        <v>0</v>
      </c>
      <c r="AE249" s="50" t="e">
        <f>IF(OR(#REF!="", AD249=""), 0, IFERROR((#REF!-AD249)/AD249, IF(#REF!&lt;&gt;0, 1, 0)))</f>
        <v>#REF!</v>
      </c>
      <c r="AF249" s="1339">
        <f t="shared" si="25"/>
        <v>-1</v>
      </c>
      <c r="AG249" s="1308">
        <f t="shared" si="29"/>
        <v>149</v>
      </c>
    </row>
    <row r="250" spans="1:33" x14ac:dyDescent="0.3">
      <c r="A250" s="41" t="s">
        <v>861</v>
      </c>
      <c r="B250" s="1347" t="s">
        <v>873</v>
      </c>
      <c r="C250" s="1488">
        <v>0</v>
      </c>
      <c r="D250" s="1192">
        <v>0</v>
      </c>
      <c r="E250" s="1192">
        <v>0</v>
      </c>
      <c r="F250" s="1192">
        <v>195440</v>
      </c>
      <c r="G250" s="1192">
        <v>0</v>
      </c>
      <c r="H250" s="1192">
        <v>0</v>
      </c>
      <c r="I250" s="1192">
        <v>0</v>
      </c>
      <c r="J250" s="1192">
        <v>0</v>
      </c>
      <c r="K250" s="1192">
        <v>0</v>
      </c>
      <c r="L250" s="1192">
        <v>0</v>
      </c>
      <c r="M250" s="1192">
        <v>0</v>
      </c>
      <c r="N250" s="1192">
        <v>0</v>
      </c>
      <c r="O250" s="1192">
        <v>0</v>
      </c>
      <c r="P250" s="1501">
        <f t="shared" si="23"/>
        <v>195440</v>
      </c>
      <c r="Q250" s="1358">
        <f t="shared" si="28"/>
        <v>195440</v>
      </c>
      <c r="R250" s="1191" t="s">
        <v>251</v>
      </c>
      <c r="S250" s="1192" t="s">
        <v>251</v>
      </c>
      <c r="T250" s="1192" t="s">
        <v>251</v>
      </c>
      <c r="U250" s="1192"/>
      <c r="V250" s="1192"/>
      <c r="W250" s="1192"/>
      <c r="X250" s="1192"/>
      <c r="Y250" s="1192"/>
      <c r="Z250" s="1192"/>
      <c r="AA250" s="1192"/>
      <c r="AB250" s="1192"/>
      <c r="AC250" s="1192"/>
      <c r="AD250" s="1358">
        <f t="shared" si="24"/>
        <v>0</v>
      </c>
      <c r="AE250" s="50" t="e">
        <f>IF(OR(#REF!="", AD250=""), 0, IFERROR((#REF!-AD250)/AD250, IF(#REF!&lt;&gt;0, 1, 0)))</f>
        <v>#REF!</v>
      </c>
      <c r="AF250" s="1339">
        <f t="shared" si="25"/>
        <v>-1</v>
      </c>
      <c r="AG250" s="1308">
        <f t="shared" si="29"/>
        <v>149</v>
      </c>
    </row>
    <row r="251" spans="1:33" x14ac:dyDescent="0.3">
      <c r="A251" s="41" t="s">
        <v>861</v>
      </c>
      <c r="B251" s="1347" t="s">
        <v>874</v>
      </c>
      <c r="C251" s="1488">
        <v>0</v>
      </c>
      <c r="D251" s="1192">
        <v>0</v>
      </c>
      <c r="E251" s="1192">
        <v>0</v>
      </c>
      <c r="F251" s="1192">
        <v>1011240</v>
      </c>
      <c r="G251" s="1192">
        <v>0</v>
      </c>
      <c r="H251" s="1192">
        <v>0</v>
      </c>
      <c r="I251" s="1192">
        <v>0</v>
      </c>
      <c r="J251" s="1192">
        <v>0</v>
      </c>
      <c r="K251" s="1192">
        <v>0</v>
      </c>
      <c r="L251" s="1192">
        <v>0</v>
      </c>
      <c r="M251" s="1192">
        <v>0</v>
      </c>
      <c r="N251" s="1192">
        <v>0</v>
      </c>
      <c r="O251" s="1192">
        <v>0</v>
      </c>
      <c r="P251" s="1501">
        <f t="shared" si="23"/>
        <v>1011240</v>
      </c>
      <c r="Q251" s="1358">
        <f t="shared" si="28"/>
        <v>1011240</v>
      </c>
      <c r="R251" s="1191" t="s">
        <v>251</v>
      </c>
      <c r="S251" s="1192" t="s">
        <v>251</v>
      </c>
      <c r="T251" s="1192" t="s">
        <v>251</v>
      </c>
      <c r="U251" s="1192"/>
      <c r="V251" s="1192">
        <v>2042990</v>
      </c>
      <c r="W251" s="1192">
        <v>0</v>
      </c>
      <c r="X251" s="1192">
        <v>0</v>
      </c>
      <c r="Y251" s="1192">
        <v>0</v>
      </c>
      <c r="Z251" s="1192"/>
      <c r="AA251" s="1192"/>
      <c r="AB251" s="1192"/>
      <c r="AC251" s="1192"/>
      <c r="AD251" s="1358">
        <f t="shared" si="24"/>
        <v>2042990</v>
      </c>
      <c r="AE251" s="50" t="e">
        <f>IF(OR(#REF!="", AD251=""), 0, IFERROR((#REF!-AD251)/AD251, IF(#REF!&lt;&gt;0, 1, 0)))</f>
        <v>#REF!</v>
      </c>
      <c r="AF251" s="1339">
        <f t="shared" si="25"/>
        <v>1.0202820299829911</v>
      </c>
      <c r="AG251" s="1308">
        <f t="shared" si="29"/>
        <v>39</v>
      </c>
    </row>
    <row r="252" spans="1:33" x14ac:dyDescent="0.3">
      <c r="A252" s="41" t="s">
        <v>861</v>
      </c>
      <c r="B252" s="1347" t="s">
        <v>875</v>
      </c>
      <c r="C252" s="1488">
        <v>0</v>
      </c>
      <c r="D252" s="1192">
        <v>0</v>
      </c>
      <c r="E252" s="1192">
        <v>0</v>
      </c>
      <c r="F252" s="1192">
        <v>593440</v>
      </c>
      <c r="G252" s="1192">
        <v>0</v>
      </c>
      <c r="H252" s="1192">
        <v>0</v>
      </c>
      <c r="I252" s="1192">
        <v>0</v>
      </c>
      <c r="J252" s="1192">
        <v>0</v>
      </c>
      <c r="K252" s="1192">
        <v>0</v>
      </c>
      <c r="L252" s="1192">
        <v>2165790</v>
      </c>
      <c r="M252" s="1192">
        <v>0</v>
      </c>
      <c r="N252" s="1192">
        <v>0</v>
      </c>
      <c r="O252" s="1192">
        <v>0</v>
      </c>
      <c r="P252" s="1501">
        <f t="shared" si="23"/>
        <v>593440</v>
      </c>
      <c r="Q252" s="1358">
        <f t="shared" si="28"/>
        <v>2759230</v>
      </c>
      <c r="R252" s="1191" t="s">
        <v>251</v>
      </c>
      <c r="S252" s="1192" t="s">
        <v>251</v>
      </c>
      <c r="T252" s="1192" t="s">
        <v>251</v>
      </c>
      <c r="U252" s="1192"/>
      <c r="V252" s="1192">
        <v>693410</v>
      </c>
      <c r="W252" s="1192">
        <v>0</v>
      </c>
      <c r="X252" s="1192">
        <v>0</v>
      </c>
      <c r="Y252" s="1192">
        <v>0</v>
      </c>
      <c r="Z252" s="1192"/>
      <c r="AA252" s="1192"/>
      <c r="AB252" s="1192"/>
      <c r="AC252" s="1192"/>
      <c r="AD252" s="1358">
        <f t="shared" si="24"/>
        <v>693410</v>
      </c>
      <c r="AE252" s="50" t="e">
        <f>IF(OR(#REF!="", AD252=""), 0, IFERROR((#REF!-AD252)/AD252, IF(#REF!&lt;&gt;0, 1, 0)))</f>
        <v>#REF!</v>
      </c>
      <c r="AF252" s="1339">
        <f t="shared" si="25"/>
        <v>0.16845847937449449</v>
      </c>
      <c r="AG252" s="1308">
        <f t="shared" si="29"/>
        <v>86</v>
      </c>
    </row>
    <row r="253" spans="1:33" x14ac:dyDescent="0.3">
      <c r="A253" s="41" t="s">
        <v>861</v>
      </c>
      <c r="B253" s="1347" t="s">
        <v>876</v>
      </c>
      <c r="C253" s="1488">
        <v>0</v>
      </c>
      <c r="D253" s="1192">
        <v>0</v>
      </c>
      <c r="E253" s="1192">
        <v>0</v>
      </c>
      <c r="F253" s="1192">
        <v>0</v>
      </c>
      <c r="G253" s="1192">
        <v>404610</v>
      </c>
      <c r="H253" s="1192">
        <v>0</v>
      </c>
      <c r="I253" s="1192">
        <v>0</v>
      </c>
      <c r="J253" s="1192">
        <v>1846280</v>
      </c>
      <c r="K253" s="1192">
        <v>1846280</v>
      </c>
      <c r="L253" s="1192">
        <v>0</v>
      </c>
      <c r="M253" s="1192">
        <v>0</v>
      </c>
      <c r="N253" s="1192">
        <v>0</v>
      </c>
      <c r="O253" s="1192">
        <v>0</v>
      </c>
      <c r="P253" s="1501">
        <f t="shared" si="23"/>
        <v>2250890</v>
      </c>
      <c r="Q253" s="1358">
        <f t="shared" si="28"/>
        <v>2250890</v>
      </c>
      <c r="R253" s="1191" t="s">
        <v>251</v>
      </c>
      <c r="S253" s="1192" t="s">
        <v>251</v>
      </c>
      <c r="T253" s="1192" t="s">
        <v>251</v>
      </c>
      <c r="U253" s="1192">
        <v>534100</v>
      </c>
      <c r="V253" s="1192">
        <v>0</v>
      </c>
      <c r="W253" s="1192">
        <v>0</v>
      </c>
      <c r="X253" s="1192">
        <v>0</v>
      </c>
      <c r="Y253" s="1192">
        <v>389710</v>
      </c>
      <c r="Z253" s="1192"/>
      <c r="AA253" s="1192"/>
      <c r="AB253" s="1192"/>
      <c r="AC253" s="1192"/>
      <c r="AD253" s="1358">
        <f t="shared" si="24"/>
        <v>923810</v>
      </c>
      <c r="AE253" s="50" t="e">
        <f>IF(OR(#REF!="", AD253=""), 0, IFERROR((#REF!-AD253)/AD253, IF(#REF!&lt;&gt;0, 1, 0)))</f>
        <v>#REF!</v>
      </c>
      <c r="AF253" s="1339">
        <f t="shared" si="25"/>
        <v>-0.58958012164077322</v>
      </c>
      <c r="AG253" s="1308">
        <f t="shared" si="29"/>
        <v>76</v>
      </c>
    </row>
    <row r="254" spans="1:33" x14ac:dyDescent="0.3">
      <c r="A254" s="41" t="s">
        <v>861</v>
      </c>
      <c r="B254" s="1347" t="s">
        <v>877</v>
      </c>
      <c r="C254" s="1488">
        <v>0</v>
      </c>
      <c r="D254" s="1192">
        <v>0</v>
      </c>
      <c r="E254" s="1192">
        <v>0</v>
      </c>
      <c r="F254" s="1192">
        <v>582160</v>
      </c>
      <c r="G254" s="1192">
        <v>0</v>
      </c>
      <c r="H254" s="1192">
        <v>0</v>
      </c>
      <c r="I254" s="1192">
        <v>0</v>
      </c>
      <c r="J254" s="1192">
        <v>0</v>
      </c>
      <c r="K254" s="1192">
        <v>0</v>
      </c>
      <c r="L254" s="1192">
        <v>2742130</v>
      </c>
      <c r="M254" s="1192">
        <v>0</v>
      </c>
      <c r="N254" s="1192">
        <v>1410020</v>
      </c>
      <c r="O254" s="1192">
        <v>0</v>
      </c>
      <c r="P254" s="1501">
        <f t="shared" si="23"/>
        <v>582160</v>
      </c>
      <c r="Q254" s="1358">
        <f t="shared" si="28"/>
        <v>4734310</v>
      </c>
      <c r="R254" s="1191" t="s">
        <v>251</v>
      </c>
      <c r="S254" s="1192">
        <v>673300</v>
      </c>
      <c r="T254" s="1192" t="s">
        <v>251</v>
      </c>
      <c r="U254" s="1192">
        <v>0</v>
      </c>
      <c r="V254" s="1192">
        <v>0</v>
      </c>
      <c r="W254" s="1192">
        <v>0</v>
      </c>
      <c r="X254" s="1192">
        <v>0</v>
      </c>
      <c r="Y254" s="1192">
        <v>0</v>
      </c>
      <c r="Z254" s="1192"/>
      <c r="AA254" s="1192"/>
      <c r="AB254" s="1192"/>
      <c r="AC254" s="1192"/>
      <c r="AD254" s="1358">
        <f t="shared" si="24"/>
        <v>673300</v>
      </c>
      <c r="AE254" s="50" t="e">
        <f>IF(OR(#REF!="", AD254=""), 0, IFERROR((#REF!-AD254)/AD254, IF(#REF!&lt;&gt;0, 1, 0)))</f>
        <v>#REF!</v>
      </c>
      <c r="AF254" s="1339">
        <f t="shared" si="25"/>
        <v>0.15655489899683936</v>
      </c>
      <c r="AG254" s="1308">
        <f t="shared" si="29"/>
        <v>89</v>
      </c>
    </row>
    <row r="255" spans="1:33" x14ac:dyDescent="0.3">
      <c r="A255" s="41" t="s">
        <v>861</v>
      </c>
      <c r="B255" s="1347" t="s">
        <v>878</v>
      </c>
      <c r="C255" s="1488">
        <v>0</v>
      </c>
      <c r="D255" s="1192">
        <v>684610</v>
      </c>
      <c r="E255" s="1192">
        <v>0</v>
      </c>
      <c r="F255" s="1192">
        <v>0</v>
      </c>
      <c r="G255" s="1192">
        <v>0</v>
      </c>
      <c r="H255" s="1192">
        <v>0</v>
      </c>
      <c r="I255" s="1192">
        <v>0</v>
      </c>
      <c r="J255" s="1192">
        <v>0</v>
      </c>
      <c r="K255" s="1192">
        <v>0</v>
      </c>
      <c r="L255" s="1192">
        <v>0</v>
      </c>
      <c r="M255" s="1192">
        <v>0</v>
      </c>
      <c r="N255" s="1192">
        <v>0</v>
      </c>
      <c r="O255" s="1192">
        <v>0</v>
      </c>
      <c r="P255" s="1501">
        <f t="shared" si="23"/>
        <v>684610</v>
      </c>
      <c r="Q255" s="1358">
        <f t="shared" si="28"/>
        <v>684610</v>
      </c>
      <c r="R255" s="1191" t="s">
        <v>251</v>
      </c>
      <c r="S255" s="1192" t="s">
        <v>251</v>
      </c>
      <c r="T255" s="1192">
        <v>1594610</v>
      </c>
      <c r="U255" s="1192">
        <v>0</v>
      </c>
      <c r="V255" s="1192">
        <v>0</v>
      </c>
      <c r="W255" s="1192">
        <v>0</v>
      </c>
      <c r="X255" s="1192">
        <v>0</v>
      </c>
      <c r="Y255" s="1192">
        <v>0</v>
      </c>
      <c r="Z255" s="1192"/>
      <c r="AA255" s="1192"/>
      <c r="AB255" s="1192"/>
      <c r="AC255" s="1192"/>
      <c r="AD255" s="1358">
        <f t="shared" si="24"/>
        <v>1594610</v>
      </c>
      <c r="AE255" s="50" t="e">
        <f>IF(OR(#REF!="", AD255=""), 0, IFERROR((#REF!-AD255)/AD255, IF(#REF!&lt;&gt;0, 1, 0)))</f>
        <v>#REF!</v>
      </c>
      <c r="AF255" s="1339">
        <f t="shared" si="25"/>
        <v>1.3292239377163642</v>
      </c>
      <c r="AG255" s="1308">
        <f t="shared" si="29"/>
        <v>52</v>
      </c>
    </row>
    <row r="256" spans="1:33" x14ac:dyDescent="0.3">
      <c r="A256" s="41" t="s">
        <v>861</v>
      </c>
      <c r="B256" s="1347" t="s">
        <v>879</v>
      </c>
      <c r="C256" s="1488">
        <v>0</v>
      </c>
      <c r="D256" s="1192">
        <v>0</v>
      </c>
      <c r="E256" s="1192">
        <v>200340</v>
      </c>
      <c r="F256" s="1192">
        <v>0</v>
      </c>
      <c r="G256" s="1192">
        <v>0</v>
      </c>
      <c r="H256" s="1192">
        <v>0</v>
      </c>
      <c r="I256" s="1192">
        <v>0</v>
      </c>
      <c r="J256" s="1192">
        <v>0</v>
      </c>
      <c r="K256" s="1192">
        <v>0</v>
      </c>
      <c r="L256" s="1192">
        <v>0</v>
      </c>
      <c r="M256" s="1192">
        <v>0</v>
      </c>
      <c r="N256" s="1192">
        <v>0</v>
      </c>
      <c r="O256" s="1192">
        <v>0</v>
      </c>
      <c r="P256" s="1501">
        <f t="shared" si="23"/>
        <v>200340</v>
      </c>
      <c r="Q256" s="1358">
        <f t="shared" si="28"/>
        <v>200340</v>
      </c>
      <c r="R256" s="1191" t="s">
        <v>251</v>
      </c>
      <c r="S256" s="1192" t="s">
        <v>251</v>
      </c>
      <c r="T256" s="1192" t="s">
        <v>251</v>
      </c>
      <c r="U256" s="1192"/>
      <c r="V256" s="1192"/>
      <c r="W256" s="1192"/>
      <c r="X256" s="1192"/>
      <c r="Y256" s="1192"/>
      <c r="Z256" s="1192"/>
      <c r="AA256" s="1192"/>
      <c r="AB256" s="1192"/>
      <c r="AC256" s="1192"/>
      <c r="AD256" s="1358">
        <f t="shared" si="24"/>
        <v>0</v>
      </c>
      <c r="AE256" s="50" t="e">
        <f>IF(OR(#REF!="", AD256=""), 0, IFERROR((#REF!-AD256)/AD256, IF(#REF!&lt;&gt;0, 1, 0)))</f>
        <v>#REF!</v>
      </c>
      <c r="AF256" s="1339">
        <f t="shared" si="25"/>
        <v>-1</v>
      </c>
      <c r="AG256" s="1308">
        <f t="shared" si="29"/>
        <v>149</v>
      </c>
    </row>
    <row r="257" spans="1:33" x14ac:dyDescent="0.3">
      <c r="A257" s="41" t="s">
        <v>861</v>
      </c>
      <c r="B257" s="1347" t="s">
        <v>905</v>
      </c>
      <c r="C257" s="1488" t="s">
        <v>251</v>
      </c>
      <c r="D257" s="1192" t="s">
        <v>251</v>
      </c>
      <c r="E257" s="1192" t="s">
        <v>251</v>
      </c>
      <c r="F257" s="1192" t="s">
        <v>251</v>
      </c>
      <c r="G257" s="1192" t="s">
        <v>251</v>
      </c>
      <c r="H257" s="1192" t="s">
        <v>251</v>
      </c>
      <c r="I257" s="1192" t="s">
        <v>251</v>
      </c>
      <c r="J257" s="1192" t="s">
        <v>251</v>
      </c>
      <c r="K257" s="1192"/>
      <c r="L257" s="1192" t="s">
        <v>251</v>
      </c>
      <c r="M257" s="1192" t="s">
        <v>251</v>
      </c>
      <c r="N257" s="1192" t="s">
        <v>251</v>
      </c>
      <c r="O257" s="1192" t="s">
        <v>251</v>
      </c>
      <c r="P257" s="1501">
        <f t="shared" si="23"/>
        <v>0</v>
      </c>
      <c r="Q257" s="1358">
        <f t="shared" si="28"/>
        <v>0</v>
      </c>
      <c r="R257" s="1191" t="s">
        <v>251</v>
      </c>
      <c r="S257" s="1192" t="s">
        <v>251</v>
      </c>
      <c r="T257" s="1192" t="s">
        <v>251</v>
      </c>
      <c r="U257" s="1192"/>
      <c r="V257" s="1192"/>
      <c r="W257" s="1192"/>
      <c r="X257" s="1192"/>
      <c r="Y257" s="1192"/>
      <c r="Z257" s="1192"/>
      <c r="AA257" s="1192"/>
      <c r="AB257" s="1192"/>
      <c r="AC257" s="1192"/>
      <c r="AD257" s="1358">
        <f t="shared" si="24"/>
        <v>0</v>
      </c>
      <c r="AE257" s="50" t="e">
        <f>IF(OR(#REF!="", AD257=""), 0, IFERROR((#REF!-AD257)/AD257, IF(#REF!&lt;&gt;0, 1, 0)))</f>
        <v>#REF!</v>
      </c>
      <c r="AF257" s="1339">
        <f t="shared" si="25"/>
        <v>0</v>
      </c>
      <c r="AG257" s="1308">
        <f t="shared" si="29"/>
        <v>149</v>
      </c>
    </row>
    <row r="258" spans="1:33" x14ac:dyDescent="0.3">
      <c r="A258" s="41" t="s">
        <v>861</v>
      </c>
      <c r="B258" s="1347" t="s">
        <v>895</v>
      </c>
      <c r="C258" s="1488" t="s">
        <v>251</v>
      </c>
      <c r="D258" s="1192" t="s">
        <v>251</v>
      </c>
      <c r="E258" s="1192" t="s">
        <v>251</v>
      </c>
      <c r="F258" s="1192" t="s">
        <v>251</v>
      </c>
      <c r="G258" s="1192" t="s">
        <v>251</v>
      </c>
      <c r="H258" s="1192" t="s">
        <v>251</v>
      </c>
      <c r="I258" s="1192" t="s">
        <v>251</v>
      </c>
      <c r="J258" s="1192" t="s">
        <v>251</v>
      </c>
      <c r="K258" s="1192"/>
      <c r="L258" s="1192" t="s">
        <v>251</v>
      </c>
      <c r="M258" s="1192" t="s">
        <v>251</v>
      </c>
      <c r="N258" s="1192" t="s">
        <v>251</v>
      </c>
      <c r="O258" s="1192" t="s">
        <v>251</v>
      </c>
      <c r="P258" s="1501">
        <f t="shared" si="23"/>
        <v>0</v>
      </c>
      <c r="Q258" s="1358">
        <f t="shared" si="28"/>
        <v>0</v>
      </c>
      <c r="R258" s="1191" t="s">
        <v>251</v>
      </c>
      <c r="S258" s="1192" t="s">
        <v>251</v>
      </c>
      <c r="T258" s="1192" t="s">
        <v>251</v>
      </c>
      <c r="U258" s="1192"/>
      <c r="V258" s="1192"/>
      <c r="W258" s="1192"/>
      <c r="X258" s="1192"/>
      <c r="Y258" s="1192"/>
      <c r="Z258" s="1192"/>
      <c r="AA258" s="1192"/>
      <c r="AB258" s="1192"/>
      <c r="AC258" s="1192"/>
      <c r="AD258" s="1358">
        <f t="shared" si="24"/>
        <v>0</v>
      </c>
      <c r="AE258" s="50" t="e">
        <f>IF(OR(#REF!="", AD258=""), 0, IFERROR((#REF!-AD258)/AD258, IF(#REF!&lt;&gt;0, 1, 0)))</f>
        <v>#REF!</v>
      </c>
      <c r="AF258" s="1339">
        <f t="shared" si="25"/>
        <v>0</v>
      </c>
      <c r="AG258" s="1308">
        <f t="shared" si="29"/>
        <v>149</v>
      </c>
    </row>
    <row r="259" spans="1:33" x14ac:dyDescent="0.3">
      <c r="A259" s="41" t="s">
        <v>861</v>
      </c>
      <c r="B259" s="1347" t="s">
        <v>880</v>
      </c>
      <c r="C259" s="1488" t="s">
        <v>251</v>
      </c>
      <c r="D259" s="1192" t="s">
        <v>251</v>
      </c>
      <c r="E259" s="1192" t="s">
        <v>251</v>
      </c>
      <c r="F259" s="1192" t="s">
        <v>251</v>
      </c>
      <c r="G259" s="1192" t="s">
        <v>251</v>
      </c>
      <c r="H259" s="1192" t="s">
        <v>251</v>
      </c>
      <c r="I259" s="1192" t="s">
        <v>251</v>
      </c>
      <c r="J259" s="1192" t="s">
        <v>251</v>
      </c>
      <c r="K259" s="1192"/>
      <c r="L259" s="1192" t="s">
        <v>251</v>
      </c>
      <c r="M259" s="1192" t="s">
        <v>251</v>
      </c>
      <c r="N259" s="1192" t="s">
        <v>251</v>
      </c>
      <c r="O259" s="1192" t="s">
        <v>251</v>
      </c>
      <c r="P259" s="1501">
        <f t="shared" si="23"/>
        <v>0</v>
      </c>
      <c r="Q259" s="1358">
        <f t="shared" si="28"/>
        <v>0</v>
      </c>
      <c r="R259" s="1191" t="s">
        <v>251</v>
      </c>
      <c r="S259" s="1192" t="s">
        <v>251</v>
      </c>
      <c r="T259" s="1192" t="s">
        <v>251</v>
      </c>
      <c r="U259" s="1192"/>
      <c r="V259" s="1192"/>
      <c r="W259" s="1192"/>
      <c r="X259" s="1192"/>
      <c r="Y259" s="1192"/>
      <c r="Z259" s="1192"/>
      <c r="AA259" s="1192"/>
      <c r="AB259" s="1192"/>
      <c r="AC259" s="1192"/>
      <c r="AD259" s="1358">
        <f t="shared" si="24"/>
        <v>0</v>
      </c>
      <c r="AE259" s="50" t="e">
        <f>IF(OR(#REF!="", AD259=""), 0, IFERROR((#REF!-AD259)/AD259, IF(#REF!&lt;&gt;0, 1, 0)))</f>
        <v>#REF!</v>
      </c>
      <c r="AF259" s="1339">
        <f t="shared" si="25"/>
        <v>0</v>
      </c>
      <c r="AG259" s="1308">
        <f t="shared" si="29"/>
        <v>149</v>
      </c>
    </row>
    <row r="260" spans="1:33" x14ac:dyDescent="0.3">
      <c r="A260" s="41" t="s">
        <v>861</v>
      </c>
      <c r="B260" s="1347" t="s">
        <v>881</v>
      </c>
      <c r="C260" s="1488" t="s">
        <v>251</v>
      </c>
      <c r="D260" s="1192" t="s">
        <v>251</v>
      </c>
      <c r="E260" s="1192" t="s">
        <v>251</v>
      </c>
      <c r="F260" s="1192" t="s">
        <v>251</v>
      </c>
      <c r="G260" s="1192" t="s">
        <v>251</v>
      </c>
      <c r="H260" s="1192" t="s">
        <v>251</v>
      </c>
      <c r="I260" s="1192" t="s">
        <v>251</v>
      </c>
      <c r="J260" s="1192" t="s">
        <v>251</v>
      </c>
      <c r="K260" s="1192"/>
      <c r="L260" s="1192" t="s">
        <v>251</v>
      </c>
      <c r="M260" s="1192" t="s">
        <v>251</v>
      </c>
      <c r="N260" s="1192" t="s">
        <v>251</v>
      </c>
      <c r="O260" s="1192" t="s">
        <v>251</v>
      </c>
      <c r="P260" s="1501">
        <f t="shared" si="23"/>
        <v>0</v>
      </c>
      <c r="Q260" s="1358">
        <f t="shared" si="28"/>
        <v>0</v>
      </c>
      <c r="R260" s="1191" t="s">
        <v>251</v>
      </c>
      <c r="S260" s="1192" t="s">
        <v>251</v>
      </c>
      <c r="T260" s="1192" t="s">
        <v>251</v>
      </c>
      <c r="U260" s="1192"/>
      <c r="V260" s="1192"/>
      <c r="W260" s="1192"/>
      <c r="X260" s="1192"/>
      <c r="Y260" s="1192"/>
      <c r="Z260" s="1192"/>
      <c r="AA260" s="1192"/>
      <c r="AB260" s="1192"/>
      <c r="AC260" s="1192"/>
      <c r="AD260" s="1358">
        <f t="shared" si="24"/>
        <v>0</v>
      </c>
      <c r="AE260" s="50" t="e">
        <f>IF(OR(#REF!="", AD260=""), 0, IFERROR((#REF!-AD260)/AD260, IF(#REF!&lt;&gt;0, 1, 0)))</f>
        <v>#REF!</v>
      </c>
      <c r="AF260" s="1339">
        <f t="shared" si="25"/>
        <v>0</v>
      </c>
      <c r="AG260" s="1308">
        <f t="shared" si="29"/>
        <v>149</v>
      </c>
    </row>
    <row r="261" spans="1:33" x14ac:dyDescent="0.3">
      <c r="A261" s="41" t="s">
        <v>861</v>
      </c>
      <c r="B261" s="1347" t="s">
        <v>882</v>
      </c>
      <c r="C261" s="1488" t="s">
        <v>251</v>
      </c>
      <c r="D261" s="1192" t="s">
        <v>251</v>
      </c>
      <c r="E261" s="1192" t="s">
        <v>251</v>
      </c>
      <c r="F261" s="1192" t="s">
        <v>251</v>
      </c>
      <c r="G261" s="1192" t="s">
        <v>251</v>
      </c>
      <c r="H261" s="1192" t="s">
        <v>251</v>
      </c>
      <c r="I261" s="1192" t="s">
        <v>251</v>
      </c>
      <c r="J261" s="1192" t="s">
        <v>251</v>
      </c>
      <c r="K261" s="1192"/>
      <c r="L261" s="1192" t="s">
        <v>251</v>
      </c>
      <c r="M261" s="1192" t="s">
        <v>251</v>
      </c>
      <c r="N261" s="1192" t="s">
        <v>251</v>
      </c>
      <c r="O261" s="1192" t="s">
        <v>251</v>
      </c>
      <c r="P261" s="1501">
        <f t="shared" si="23"/>
        <v>0</v>
      </c>
      <c r="Q261" s="1358">
        <f t="shared" si="28"/>
        <v>0</v>
      </c>
      <c r="R261" s="1191" t="s">
        <v>251</v>
      </c>
      <c r="S261" s="1192" t="s">
        <v>251</v>
      </c>
      <c r="T261" s="1192" t="s">
        <v>251</v>
      </c>
      <c r="U261" s="1192"/>
      <c r="V261" s="1192"/>
      <c r="W261" s="1192"/>
      <c r="X261" s="1192"/>
      <c r="Y261" s="1192"/>
      <c r="Z261" s="1192"/>
      <c r="AA261" s="1192"/>
      <c r="AB261" s="1192"/>
      <c r="AC261" s="1192"/>
      <c r="AD261" s="1358">
        <f t="shared" si="24"/>
        <v>0</v>
      </c>
      <c r="AE261" s="50" t="e">
        <f>IF(OR(#REF!="", AD261=""), 0, IFERROR((#REF!-AD261)/AD261, IF(#REF!&lt;&gt;0, 1, 0)))</f>
        <v>#REF!</v>
      </c>
      <c r="AF261" s="1339">
        <f t="shared" si="25"/>
        <v>0</v>
      </c>
      <c r="AG261" s="1308">
        <f t="shared" si="29"/>
        <v>149</v>
      </c>
    </row>
    <row r="262" spans="1:33" x14ac:dyDescent="0.3">
      <c r="A262" s="41" t="s">
        <v>861</v>
      </c>
      <c r="B262" s="1347" t="s">
        <v>888</v>
      </c>
      <c r="C262" s="1488"/>
      <c r="D262" s="1192"/>
      <c r="E262" s="1192"/>
      <c r="F262" s="1192"/>
      <c r="G262" s="1192">
        <v>334560</v>
      </c>
      <c r="H262" s="1192">
        <v>0</v>
      </c>
      <c r="I262" s="1192">
        <v>0</v>
      </c>
      <c r="J262" s="1192">
        <v>0</v>
      </c>
      <c r="K262" s="1192">
        <v>0</v>
      </c>
      <c r="L262" s="1192">
        <v>0</v>
      </c>
      <c r="M262" s="1192">
        <v>0</v>
      </c>
      <c r="N262" s="1192">
        <v>0</v>
      </c>
      <c r="O262" s="1192">
        <v>0</v>
      </c>
      <c r="P262" s="1501">
        <f t="shared" si="23"/>
        <v>334560</v>
      </c>
      <c r="Q262" s="1358">
        <f t="shared" si="28"/>
        <v>334560</v>
      </c>
      <c r="R262" s="1191" t="s">
        <v>251</v>
      </c>
      <c r="S262" s="1192" t="s">
        <v>251</v>
      </c>
      <c r="T262" s="1192" t="s">
        <v>251</v>
      </c>
      <c r="U262" s="1192">
        <v>301380</v>
      </c>
      <c r="V262" s="1192">
        <v>378440</v>
      </c>
      <c r="W262" s="1192">
        <v>0</v>
      </c>
      <c r="X262" s="1192">
        <v>0</v>
      </c>
      <c r="Y262" s="1192">
        <v>0</v>
      </c>
      <c r="Z262" s="1192"/>
      <c r="AA262" s="1192"/>
      <c r="AB262" s="1192"/>
      <c r="AC262" s="1192"/>
      <c r="AD262" s="1358">
        <f t="shared" si="24"/>
        <v>679820</v>
      </c>
      <c r="AE262" s="50"/>
      <c r="AF262" s="1339">
        <f t="shared" si="25"/>
        <v>1.0319823051171688</v>
      </c>
      <c r="AG262" s="1308">
        <f t="shared" si="29"/>
        <v>88</v>
      </c>
    </row>
    <row r="263" spans="1:33" x14ac:dyDescent="0.3">
      <c r="A263" s="41" t="s">
        <v>861</v>
      </c>
      <c r="B263" s="1347" t="s">
        <v>826</v>
      </c>
      <c r="C263" s="1488"/>
      <c r="D263" s="1192"/>
      <c r="E263" s="1192"/>
      <c r="F263" s="1192"/>
      <c r="G263" s="1192"/>
      <c r="H263" s="1192"/>
      <c r="I263" s="1192"/>
      <c r="J263" s="1192">
        <v>1993220</v>
      </c>
      <c r="K263" s="1192"/>
      <c r="L263" s="1192">
        <v>0</v>
      </c>
      <c r="M263" s="1192">
        <v>2065570</v>
      </c>
      <c r="N263" s="1192">
        <v>0</v>
      </c>
      <c r="O263" s="1192">
        <v>0</v>
      </c>
      <c r="P263" s="1501">
        <f t="shared" ref="P263:P326" si="30">SUM(C263:I263,K263)</f>
        <v>0</v>
      </c>
      <c r="Q263" s="1358">
        <f t="shared" si="28"/>
        <v>4058790</v>
      </c>
      <c r="R263" s="1191" t="s">
        <v>251</v>
      </c>
      <c r="S263" s="1192" t="s">
        <v>251</v>
      </c>
      <c r="T263" s="1192" t="s">
        <v>251</v>
      </c>
      <c r="U263" s="1192"/>
      <c r="V263" s="1192"/>
      <c r="W263" s="1192"/>
      <c r="X263" s="1192"/>
      <c r="Y263" s="1192">
        <v>6437920</v>
      </c>
      <c r="Z263" s="1192"/>
      <c r="AA263" s="1192"/>
      <c r="AB263" s="1192"/>
      <c r="AC263" s="1192"/>
      <c r="AD263" s="1358">
        <f t="shared" si="24"/>
        <v>6437920</v>
      </c>
      <c r="AE263" s="50"/>
      <c r="AF263" s="1339">
        <f t="shared" si="25"/>
        <v>1</v>
      </c>
      <c r="AG263" s="1308">
        <f t="shared" si="29"/>
        <v>10</v>
      </c>
    </row>
    <row r="264" spans="1:33" x14ac:dyDescent="0.3">
      <c r="A264" s="41" t="s">
        <v>861</v>
      </c>
      <c r="B264" s="1347" t="s">
        <v>196</v>
      </c>
      <c r="C264" s="1488"/>
      <c r="D264" s="1192"/>
      <c r="E264" s="1192"/>
      <c r="F264" s="1192"/>
      <c r="G264" s="1192"/>
      <c r="H264" s="1192"/>
      <c r="I264" s="1192"/>
      <c r="J264" s="1192">
        <v>321300</v>
      </c>
      <c r="K264" s="1192"/>
      <c r="L264" s="1192">
        <v>0</v>
      </c>
      <c r="M264" s="1192">
        <v>789710</v>
      </c>
      <c r="N264" s="1192">
        <v>0</v>
      </c>
      <c r="O264" s="1192">
        <v>0</v>
      </c>
      <c r="P264" s="1501">
        <f t="shared" si="30"/>
        <v>0</v>
      </c>
      <c r="Q264" s="1358">
        <f t="shared" si="28"/>
        <v>1111010</v>
      </c>
      <c r="R264" s="1191" t="s">
        <v>251</v>
      </c>
      <c r="S264" s="1192" t="s">
        <v>251</v>
      </c>
      <c r="T264" s="1192" t="s">
        <v>251</v>
      </c>
      <c r="U264" s="1192">
        <v>948780</v>
      </c>
      <c r="V264" s="1192">
        <v>0</v>
      </c>
      <c r="W264" s="1192">
        <v>0</v>
      </c>
      <c r="X264" s="1192">
        <v>0</v>
      </c>
      <c r="Y264" s="1192">
        <v>0</v>
      </c>
      <c r="Z264" s="1192"/>
      <c r="AA264" s="1192"/>
      <c r="AB264" s="1192"/>
      <c r="AC264" s="1192"/>
      <c r="AD264" s="1358">
        <f t="shared" si="24"/>
        <v>948780</v>
      </c>
      <c r="AE264" s="50"/>
      <c r="AF264" s="1339">
        <f t="shared" si="25"/>
        <v>1</v>
      </c>
      <c r="AG264" s="1308">
        <f t="shared" si="29"/>
        <v>73</v>
      </c>
    </row>
    <row r="265" spans="1:33" x14ac:dyDescent="0.3">
      <c r="A265" s="41" t="s">
        <v>861</v>
      </c>
      <c r="B265" s="1347" t="s">
        <v>2422</v>
      </c>
      <c r="C265" s="1488"/>
      <c r="D265" s="1192"/>
      <c r="E265" s="1192"/>
      <c r="F265" s="1192"/>
      <c r="G265" s="1192"/>
      <c r="H265" s="1192"/>
      <c r="I265" s="1192"/>
      <c r="J265" s="1192">
        <v>386330</v>
      </c>
      <c r="K265" s="1192"/>
      <c r="L265" s="1192">
        <v>0</v>
      </c>
      <c r="M265" s="1192">
        <v>0</v>
      </c>
      <c r="N265" s="1192">
        <v>0</v>
      </c>
      <c r="O265" s="1192">
        <v>0</v>
      </c>
      <c r="P265" s="1501">
        <f t="shared" si="30"/>
        <v>0</v>
      </c>
      <c r="Q265" s="1358">
        <f t="shared" si="28"/>
        <v>386330</v>
      </c>
      <c r="R265" s="1191" t="s">
        <v>251</v>
      </c>
      <c r="S265" s="1192" t="s">
        <v>251</v>
      </c>
      <c r="T265" s="1192" t="s">
        <v>251</v>
      </c>
      <c r="U265" s="1192"/>
      <c r="V265" s="1192">
        <v>486810</v>
      </c>
      <c r="W265" s="1192">
        <v>0</v>
      </c>
      <c r="X265" s="1192">
        <v>0</v>
      </c>
      <c r="Y265" s="1192">
        <v>0</v>
      </c>
      <c r="Z265" s="1192"/>
      <c r="AA265" s="1192"/>
      <c r="AB265" s="1192"/>
      <c r="AC265" s="1192"/>
      <c r="AD265" s="1358">
        <f t="shared" si="24"/>
        <v>486810</v>
      </c>
      <c r="AE265" s="50"/>
      <c r="AF265" s="1339">
        <f t="shared" si="25"/>
        <v>1</v>
      </c>
      <c r="AG265" s="1308">
        <f t="shared" si="29"/>
        <v>106</v>
      </c>
    </row>
    <row r="266" spans="1:33" x14ac:dyDescent="0.3">
      <c r="A266" s="41" t="s">
        <v>861</v>
      </c>
      <c r="B266" s="1347" t="s">
        <v>2423</v>
      </c>
      <c r="C266" s="1488"/>
      <c r="D266" s="1192"/>
      <c r="E266" s="1192"/>
      <c r="F266" s="1192"/>
      <c r="G266" s="1192"/>
      <c r="H266" s="1192"/>
      <c r="I266" s="1192"/>
      <c r="J266" s="1192">
        <v>199810</v>
      </c>
      <c r="K266" s="1192">
        <v>199810</v>
      </c>
      <c r="L266" s="1192">
        <v>0</v>
      </c>
      <c r="M266" s="1192">
        <v>0</v>
      </c>
      <c r="N266" s="1192">
        <v>0</v>
      </c>
      <c r="O266" s="1192">
        <v>0</v>
      </c>
      <c r="P266" s="1501">
        <f t="shared" si="30"/>
        <v>199810</v>
      </c>
      <c r="Q266" s="1358">
        <f t="shared" si="28"/>
        <v>199810</v>
      </c>
      <c r="R266" s="1191" t="s">
        <v>251</v>
      </c>
      <c r="S266" s="1192" t="s">
        <v>251</v>
      </c>
      <c r="T266" s="1192" t="s">
        <v>251</v>
      </c>
      <c r="U266" s="1192"/>
      <c r="V266" s="1192"/>
      <c r="W266" s="1192"/>
      <c r="X266" s="1192"/>
      <c r="Y266" s="1192"/>
      <c r="Z266" s="1192"/>
      <c r="AA266" s="1192"/>
      <c r="AB266" s="1192"/>
      <c r="AC266" s="1192"/>
      <c r="AD266" s="1358">
        <f t="shared" si="24"/>
        <v>0</v>
      </c>
      <c r="AE266" s="50"/>
      <c r="AF266" s="1339">
        <f t="shared" si="25"/>
        <v>-1</v>
      </c>
      <c r="AG266" s="1308">
        <f t="shared" si="29"/>
        <v>149</v>
      </c>
    </row>
    <row r="267" spans="1:33" x14ac:dyDescent="0.3">
      <c r="A267" s="41" t="s">
        <v>861</v>
      </c>
      <c r="B267" s="1347" t="s">
        <v>2425</v>
      </c>
      <c r="C267" s="1488"/>
      <c r="D267" s="1192"/>
      <c r="E267" s="1192"/>
      <c r="F267" s="1192"/>
      <c r="G267" s="1192"/>
      <c r="H267" s="1192"/>
      <c r="I267" s="1192"/>
      <c r="J267" s="1192"/>
      <c r="K267" s="1192"/>
      <c r="L267" s="1192">
        <v>805620</v>
      </c>
      <c r="M267" s="1192">
        <v>0</v>
      </c>
      <c r="N267" s="1192">
        <v>0</v>
      </c>
      <c r="O267" s="1192">
        <v>0</v>
      </c>
      <c r="P267" s="1501">
        <f t="shared" si="30"/>
        <v>0</v>
      </c>
      <c r="Q267" s="1358">
        <f t="shared" si="28"/>
        <v>805620</v>
      </c>
      <c r="R267" s="1191" t="s">
        <v>251</v>
      </c>
      <c r="S267" s="1192" t="s">
        <v>251</v>
      </c>
      <c r="T267" s="1192" t="s">
        <v>251</v>
      </c>
      <c r="U267" s="1192"/>
      <c r="V267" s="1192"/>
      <c r="W267" s="1192"/>
      <c r="X267" s="1192"/>
      <c r="Y267" s="1192"/>
      <c r="Z267" s="1192"/>
      <c r="AA267" s="1192"/>
      <c r="AB267" s="1192"/>
      <c r="AC267" s="1192"/>
      <c r="AD267" s="1358">
        <f t="shared" si="24"/>
        <v>0</v>
      </c>
      <c r="AE267" s="50"/>
      <c r="AF267" s="1339">
        <f t="shared" si="25"/>
        <v>0</v>
      </c>
      <c r="AG267" s="1308">
        <f t="shared" si="29"/>
        <v>149</v>
      </c>
    </row>
    <row r="268" spans="1:33" x14ac:dyDescent="0.3">
      <c r="A268" s="41" t="s">
        <v>861</v>
      </c>
      <c r="B268" s="1347" t="s">
        <v>2426</v>
      </c>
      <c r="C268" s="1488"/>
      <c r="D268" s="1192"/>
      <c r="E268" s="1192"/>
      <c r="F268" s="1192"/>
      <c r="G268" s="1192"/>
      <c r="H268" s="1192"/>
      <c r="I268" s="1192"/>
      <c r="J268" s="1192"/>
      <c r="K268" s="1192"/>
      <c r="L268" s="1192">
        <v>323260</v>
      </c>
      <c r="M268" s="1192">
        <v>261790</v>
      </c>
      <c r="N268" s="1192">
        <v>0</v>
      </c>
      <c r="O268" s="1192">
        <v>0</v>
      </c>
      <c r="P268" s="1501">
        <f t="shared" si="30"/>
        <v>0</v>
      </c>
      <c r="Q268" s="1358">
        <f t="shared" si="28"/>
        <v>585050</v>
      </c>
      <c r="R268" s="1191" t="s">
        <v>251</v>
      </c>
      <c r="S268" s="1192" t="s">
        <v>251</v>
      </c>
      <c r="T268" s="1192" t="s">
        <v>251</v>
      </c>
      <c r="U268" s="1192"/>
      <c r="V268" s="1192"/>
      <c r="W268" s="1192"/>
      <c r="X268" s="1192"/>
      <c r="Y268" s="1192"/>
      <c r="Z268" s="1192"/>
      <c r="AA268" s="1192"/>
      <c r="AB268" s="1192"/>
      <c r="AC268" s="1192"/>
      <c r="AD268" s="1358">
        <f t="shared" si="24"/>
        <v>0</v>
      </c>
      <c r="AE268" s="50"/>
      <c r="AF268" s="1339">
        <f t="shared" si="25"/>
        <v>0</v>
      </c>
      <c r="AG268" s="1308">
        <f t="shared" si="29"/>
        <v>149</v>
      </c>
    </row>
    <row r="269" spans="1:33" x14ac:dyDescent="0.3">
      <c r="A269" s="41" t="s">
        <v>861</v>
      </c>
      <c r="B269" s="1347" t="s">
        <v>2427</v>
      </c>
      <c r="C269" s="1488"/>
      <c r="D269" s="1192"/>
      <c r="E269" s="1192"/>
      <c r="F269" s="1192"/>
      <c r="G269" s="1192"/>
      <c r="H269" s="1192"/>
      <c r="I269" s="1192"/>
      <c r="J269" s="1192"/>
      <c r="K269" s="1192"/>
      <c r="L269" s="1192">
        <v>443560</v>
      </c>
      <c r="M269" s="1192">
        <v>0</v>
      </c>
      <c r="N269" s="1192">
        <v>0</v>
      </c>
      <c r="O269" s="1192">
        <v>0</v>
      </c>
      <c r="P269" s="1501">
        <f t="shared" si="30"/>
        <v>0</v>
      </c>
      <c r="Q269" s="1358">
        <f t="shared" si="28"/>
        <v>443560</v>
      </c>
      <c r="R269" s="1191" t="s">
        <v>251</v>
      </c>
      <c r="S269" s="1192" t="s">
        <v>251</v>
      </c>
      <c r="T269" s="1192" t="s">
        <v>251</v>
      </c>
      <c r="U269" s="1192"/>
      <c r="V269" s="1192"/>
      <c r="W269" s="1192"/>
      <c r="X269" s="1192"/>
      <c r="Y269" s="1192"/>
      <c r="Z269" s="1192"/>
      <c r="AA269" s="1192"/>
      <c r="AB269" s="1192"/>
      <c r="AC269" s="1192"/>
      <c r="AD269" s="1358">
        <f t="shared" si="24"/>
        <v>0</v>
      </c>
      <c r="AE269" s="50"/>
      <c r="AF269" s="1339">
        <f t="shared" si="25"/>
        <v>0</v>
      </c>
      <c r="AG269" s="1308">
        <f t="shared" si="29"/>
        <v>149</v>
      </c>
    </row>
    <row r="270" spans="1:33" x14ac:dyDescent="0.3">
      <c r="A270" s="41" t="s">
        <v>861</v>
      </c>
      <c r="B270" s="1347" t="s">
        <v>2428</v>
      </c>
      <c r="C270" s="1488"/>
      <c r="D270" s="1192"/>
      <c r="E270" s="1192"/>
      <c r="F270" s="1192"/>
      <c r="G270" s="1192"/>
      <c r="H270" s="1192"/>
      <c r="I270" s="1192"/>
      <c r="J270" s="1192"/>
      <c r="K270" s="1192"/>
      <c r="L270" s="1192">
        <v>231080</v>
      </c>
      <c r="M270" s="1192">
        <v>0</v>
      </c>
      <c r="N270" s="1192">
        <v>0</v>
      </c>
      <c r="O270" s="1192">
        <v>0</v>
      </c>
      <c r="P270" s="1501">
        <f t="shared" si="30"/>
        <v>0</v>
      </c>
      <c r="Q270" s="1358">
        <f t="shared" si="28"/>
        <v>231080</v>
      </c>
      <c r="R270" s="1191" t="s">
        <v>251</v>
      </c>
      <c r="S270" s="1192" t="s">
        <v>251</v>
      </c>
      <c r="T270" s="1192" t="s">
        <v>251</v>
      </c>
      <c r="U270" s="1192"/>
      <c r="V270" s="1192"/>
      <c r="W270" s="1192"/>
      <c r="X270" s="1192"/>
      <c r="Y270" s="1192"/>
      <c r="Z270" s="1192"/>
      <c r="AA270" s="1192"/>
      <c r="AB270" s="1192"/>
      <c r="AC270" s="1192"/>
      <c r="AD270" s="1358">
        <f t="shared" si="24"/>
        <v>0</v>
      </c>
      <c r="AE270" s="50"/>
      <c r="AF270" s="1339">
        <f t="shared" si="25"/>
        <v>0</v>
      </c>
      <c r="AG270" s="1308">
        <f t="shared" si="29"/>
        <v>149</v>
      </c>
    </row>
    <row r="271" spans="1:33" x14ac:dyDescent="0.3">
      <c r="A271" s="41" t="s">
        <v>861</v>
      </c>
      <c r="B271" s="1347" t="s">
        <v>2429</v>
      </c>
      <c r="C271" s="1488"/>
      <c r="D271" s="1192"/>
      <c r="E271" s="1192"/>
      <c r="F271" s="1192"/>
      <c r="G271" s="1192"/>
      <c r="H271" s="1192"/>
      <c r="I271" s="1192"/>
      <c r="J271" s="1192"/>
      <c r="K271" s="1192"/>
      <c r="L271" s="1192">
        <v>194890</v>
      </c>
      <c r="M271" s="1192">
        <v>0</v>
      </c>
      <c r="N271" s="1192">
        <v>0</v>
      </c>
      <c r="O271" s="1192">
        <v>0</v>
      </c>
      <c r="P271" s="1501">
        <f t="shared" si="30"/>
        <v>0</v>
      </c>
      <c r="Q271" s="1358">
        <f t="shared" si="28"/>
        <v>194890</v>
      </c>
      <c r="R271" s="1191" t="s">
        <v>251</v>
      </c>
      <c r="S271" s="1192" t="s">
        <v>251</v>
      </c>
      <c r="T271" s="1192" t="s">
        <v>251</v>
      </c>
      <c r="U271" s="1192">
        <v>232190</v>
      </c>
      <c r="V271" s="1192">
        <v>501740</v>
      </c>
      <c r="W271" s="1192">
        <v>0</v>
      </c>
      <c r="X271" s="1192">
        <v>0</v>
      </c>
      <c r="Y271" s="1192">
        <v>0</v>
      </c>
      <c r="Z271" s="1192"/>
      <c r="AA271" s="1192"/>
      <c r="AB271" s="1192"/>
      <c r="AC271" s="1192"/>
      <c r="AD271" s="1358">
        <f t="shared" si="24"/>
        <v>733930</v>
      </c>
      <c r="AE271" s="50"/>
      <c r="AF271" s="1339">
        <f t="shared" si="25"/>
        <v>1</v>
      </c>
      <c r="AG271" s="1308">
        <f t="shared" si="29"/>
        <v>82</v>
      </c>
    </row>
    <row r="272" spans="1:33" x14ac:dyDescent="0.3">
      <c r="A272" s="41" t="s">
        <v>861</v>
      </c>
      <c r="B272" s="1347" t="s">
        <v>2432</v>
      </c>
      <c r="C272" s="1488"/>
      <c r="D272" s="1192"/>
      <c r="E272" s="1192"/>
      <c r="F272" s="1192"/>
      <c r="G272" s="1192"/>
      <c r="H272" s="1192"/>
      <c r="I272" s="1192"/>
      <c r="J272" s="1192"/>
      <c r="K272" s="1192"/>
      <c r="L272" s="1192"/>
      <c r="M272" s="1192">
        <v>196590</v>
      </c>
      <c r="N272" s="1192">
        <v>0</v>
      </c>
      <c r="O272" s="1192">
        <v>0</v>
      </c>
      <c r="P272" s="1501">
        <f t="shared" si="30"/>
        <v>0</v>
      </c>
      <c r="Q272" s="1358">
        <f t="shared" si="28"/>
        <v>196590</v>
      </c>
      <c r="R272" s="1191" t="s">
        <v>251</v>
      </c>
      <c r="S272" s="1192" t="s">
        <v>251</v>
      </c>
      <c r="T272" s="1192" t="s">
        <v>251</v>
      </c>
      <c r="U272" s="1192"/>
      <c r="V272" s="1192"/>
      <c r="W272" s="1192"/>
      <c r="X272" s="1192"/>
      <c r="Y272" s="1192"/>
      <c r="Z272" s="1192"/>
      <c r="AA272" s="1192"/>
      <c r="AB272" s="1192"/>
      <c r="AC272" s="1192"/>
      <c r="AD272" s="1358">
        <f t="shared" si="24"/>
        <v>0</v>
      </c>
      <c r="AE272" s="50"/>
      <c r="AF272" s="1339">
        <f t="shared" si="25"/>
        <v>0</v>
      </c>
      <c r="AG272" s="1308">
        <f t="shared" si="29"/>
        <v>149</v>
      </c>
    </row>
    <row r="273" spans="1:33" x14ac:dyDescent="0.3">
      <c r="A273" s="41" t="s">
        <v>861</v>
      </c>
      <c r="B273" s="1347" t="s">
        <v>2438</v>
      </c>
      <c r="C273" s="1488"/>
      <c r="D273" s="1192"/>
      <c r="E273" s="1192"/>
      <c r="F273" s="1192"/>
      <c r="G273" s="1192"/>
      <c r="H273" s="1192"/>
      <c r="I273" s="1192"/>
      <c r="J273" s="1192"/>
      <c r="K273" s="1192"/>
      <c r="L273" s="1192"/>
      <c r="M273" s="1192"/>
      <c r="N273" s="1192"/>
      <c r="O273" s="1192">
        <v>207920</v>
      </c>
      <c r="P273" s="1501">
        <f t="shared" si="30"/>
        <v>0</v>
      </c>
      <c r="Q273" s="1358">
        <f t="shared" si="28"/>
        <v>207920</v>
      </c>
      <c r="R273" s="1191" t="s">
        <v>251</v>
      </c>
      <c r="S273" s="1192" t="s">
        <v>251</v>
      </c>
      <c r="T273" s="1192" t="s">
        <v>251</v>
      </c>
      <c r="U273" s="1192"/>
      <c r="V273" s="1192"/>
      <c r="W273" s="1192"/>
      <c r="X273" s="1192"/>
      <c r="Y273" s="1192"/>
      <c r="Z273" s="1192"/>
      <c r="AA273" s="1192"/>
      <c r="AB273" s="1192"/>
      <c r="AC273" s="1192"/>
      <c r="AD273" s="1358">
        <f t="shared" si="24"/>
        <v>0</v>
      </c>
      <c r="AE273" s="50"/>
      <c r="AF273" s="1339">
        <f t="shared" si="25"/>
        <v>0</v>
      </c>
      <c r="AG273" s="1308">
        <f t="shared" si="29"/>
        <v>149</v>
      </c>
    </row>
    <row r="274" spans="1:33" x14ac:dyDescent="0.3">
      <c r="A274" s="41" t="s">
        <v>861</v>
      </c>
      <c r="B274" s="1347" t="s">
        <v>1175</v>
      </c>
      <c r="C274" s="1488"/>
      <c r="D274" s="1192"/>
      <c r="E274" s="1192"/>
      <c r="F274" s="1192"/>
      <c r="G274" s="1192"/>
      <c r="H274" s="1192"/>
      <c r="I274" s="1192"/>
      <c r="J274" s="1192"/>
      <c r="K274" s="1192"/>
      <c r="L274" s="1192"/>
      <c r="M274" s="1192"/>
      <c r="N274" s="1192"/>
      <c r="O274" s="1192"/>
      <c r="P274" s="1501">
        <f t="shared" si="30"/>
        <v>0</v>
      </c>
      <c r="Q274" s="1358">
        <f t="shared" si="28"/>
        <v>0</v>
      </c>
      <c r="R274" s="1191"/>
      <c r="S274" s="1192"/>
      <c r="T274" s="1192">
        <v>605520</v>
      </c>
      <c r="U274" s="1192">
        <v>0</v>
      </c>
      <c r="V274" s="1192">
        <v>0</v>
      </c>
      <c r="W274" s="1192">
        <v>0</v>
      </c>
      <c r="X274" s="1192">
        <v>0</v>
      </c>
      <c r="Y274" s="1192">
        <v>0</v>
      </c>
      <c r="Z274" s="1192"/>
      <c r="AA274" s="1192"/>
      <c r="AB274" s="1192"/>
      <c r="AC274" s="1192"/>
      <c r="AD274" s="1358">
        <f t="shared" si="24"/>
        <v>605520</v>
      </c>
      <c r="AE274" s="50"/>
      <c r="AF274" s="1339">
        <f t="shared" si="25"/>
        <v>1</v>
      </c>
      <c r="AG274" s="1308">
        <f t="shared" si="29"/>
        <v>96</v>
      </c>
    </row>
    <row r="275" spans="1:33" x14ac:dyDescent="0.3">
      <c r="A275" s="41" t="s">
        <v>861</v>
      </c>
      <c r="B275" s="1347" t="s">
        <v>2760</v>
      </c>
      <c r="C275" s="1488"/>
      <c r="D275" s="1192"/>
      <c r="E275" s="1192"/>
      <c r="F275" s="1192"/>
      <c r="G275" s="1192"/>
      <c r="H275" s="1192"/>
      <c r="I275" s="1192"/>
      <c r="J275" s="1192"/>
      <c r="K275" s="1192"/>
      <c r="L275" s="1192"/>
      <c r="M275" s="1192"/>
      <c r="N275" s="1192"/>
      <c r="O275" s="1192"/>
      <c r="P275" s="1501">
        <f t="shared" si="30"/>
        <v>0</v>
      </c>
      <c r="Q275" s="1358">
        <f t="shared" si="28"/>
        <v>0</v>
      </c>
      <c r="R275" s="1191"/>
      <c r="S275" s="1192"/>
      <c r="T275" s="1192"/>
      <c r="U275" s="1192">
        <v>475370</v>
      </c>
      <c r="V275" s="1192">
        <v>0</v>
      </c>
      <c r="W275" s="1192">
        <v>0</v>
      </c>
      <c r="X275" s="1192">
        <v>0</v>
      </c>
      <c r="Y275" s="1192">
        <v>0</v>
      </c>
      <c r="Z275" s="1192"/>
      <c r="AA275" s="1192"/>
      <c r="AB275" s="1192"/>
      <c r="AC275" s="1192"/>
      <c r="AD275" s="1358">
        <f t="shared" si="24"/>
        <v>475370</v>
      </c>
      <c r="AE275" s="50"/>
      <c r="AF275" s="1339">
        <f t="shared" si="25"/>
        <v>1</v>
      </c>
      <c r="AG275" s="1308">
        <f t="shared" si="29"/>
        <v>107</v>
      </c>
    </row>
    <row r="276" spans="1:33" x14ac:dyDescent="0.3">
      <c r="A276" s="41" t="s">
        <v>861</v>
      </c>
      <c r="B276" s="1347" t="s">
        <v>2761</v>
      </c>
      <c r="C276" s="1488"/>
      <c r="D276" s="1192"/>
      <c r="E276" s="1192"/>
      <c r="F276" s="1192"/>
      <c r="G276" s="1192"/>
      <c r="H276" s="1192"/>
      <c r="I276" s="1192"/>
      <c r="J276" s="1192"/>
      <c r="K276" s="1192"/>
      <c r="L276" s="1192"/>
      <c r="M276" s="1192"/>
      <c r="N276" s="1192"/>
      <c r="O276" s="1192"/>
      <c r="P276" s="1501">
        <f t="shared" si="30"/>
        <v>0</v>
      </c>
      <c r="Q276" s="1358">
        <f t="shared" si="28"/>
        <v>0</v>
      </c>
      <c r="R276" s="1191"/>
      <c r="S276" s="1192"/>
      <c r="T276" s="1192"/>
      <c r="U276" s="1192">
        <v>236210</v>
      </c>
      <c r="V276" s="1192">
        <v>0</v>
      </c>
      <c r="W276" s="1192">
        <v>0</v>
      </c>
      <c r="X276" s="1192">
        <v>0</v>
      </c>
      <c r="Y276" s="1192">
        <v>0</v>
      </c>
      <c r="Z276" s="1192"/>
      <c r="AA276" s="1192"/>
      <c r="AB276" s="1192"/>
      <c r="AC276" s="1192"/>
      <c r="AD276" s="1358">
        <f t="shared" si="24"/>
        <v>236210</v>
      </c>
      <c r="AE276" s="50"/>
      <c r="AF276" s="1339">
        <f t="shared" si="25"/>
        <v>1</v>
      </c>
      <c r="AG276" s="1308">
        <f t="shared" si="29"/>
        <v>130</v>
      </c>
    </row>
    <row r="277" spans="1:33" x14ac:dyDescent="0.3">
      <c r="A277" s="41" t="s">
        <v>861</v>
      </c>
      <c r="B277" s="1347" t="s">
        <v>802</v>
      </c>
      <c r="C277" s="1488"/>
      <c r="D277" s="1192"/>
      <c r="E277" s="1192"/>
      <c r="F277" s="1192"/>
      <c r="G277" s="1192"/>
      <c r="H277" s="1192"/>
      <c r="I277" s="1192"/>
      <c r="J277" s="1192"/>
      <c r="K277" s="1192"/>
      <c r="L277" s="1192"/>
      <c r="M277" s="1192"/>
      <c r="N277" s="1192"/>
      <c r="O277" s="1192"/>
      <c r="P277" s="1501">
        <f t="shared" si="30"/>
        <v>0</v>
      </c>
      <c r="Q277" s="1358">
        <f t="shared" si="28"/>
        <v>0</v>
      </c>
      <c r="R277" s="1191"/>
      <c r="S277" s="1192"/>
      <c r="T277" s="1192"/>
      <c r="U277" s="1192"/>
      <c r="V277" s="1192">
        <v>503420</v>
      </c>
      <c r="W277" s="1192">
        <v>0</v>
      </c>
      <c r="X277" s="1192">
        <v>0</v>
      </c>
      <c r="Y277" s="1192">
        <v>0</v>
      </c>
      <c r="Z277" s="1192"/>
      <c r="AA277" s="1192"/>
      <c r="AB277" s="1192"/>
      <c r="AC277" s="1192"/>
      <c r="AD277" s="1358">
        <f t="shared" si="24"/>
        <v>503420</v>
      </c>
      <c r="AE277" s="50"/>
      <c r="AF277" s="1339">
        <f t="shared" si="25"/>
        <v>1</v>
      </c>
      <c r="AG277" s="1308">
        <f t="shared" si="29"/>
        <v>103</v>
      </c>
    </row>
    <row r="278" spans="1:33" x14ac:dyDescent="0.3">
      <c r="A278" s="41" t="s">
        <v>861</v>
      </c>
      <c r="B278" s="1347" t="s">
        <v>2831</v>
      </c>
      <c r="C278" s="1488"/>
      <c r="D278" s="1192"/>
      <c r="E278" s="1192"/>
      <c r="F278" s="1192"/>
      <c r="G278" s="1192"/>
      <c r="H278" s="1192"/>
      <c r="I278" s="1192"/>
      <c r="J278" s="1192"/>
      <c r="K278" s="1192"/>
      <c r="L278" s="1192"/>
      <c r="M278" s="1192"/>
      <c r="N278" s="1192"/>
      <c r="O278" s="1192"/>
      <c r="P278" s="1501">
        <f t="shared" si="30"/>
        <v>0</v>
      </c>
      <c r="Q278" s="1358">
        <f t="shared" si="28"/>
        <v>0</v>
      </c>
      <c r="R278" s="1191"/>
      <c r="S278" s="1192"/>
      <c r="T278" s="1192"/>
      <c r="U278" s="1192"/>
      <c r="V278" s="1192">
        <v>694400</v>
      </c>
      <c r="W278" s="1192"/>
      <c r="X278" s="1192"/>
      <c r="Y278" s="1192"/>
      <c r="Z278" s="1192"/>
      <c r="AA278" s="1192"/>
      <c r="AB278" s="1192"/>
      <c r="AC278" s="1192"/>
      <c r="AD278" s="1358">
        <f t="shared" si="24"/>
        <v>694400</v>
      </c>
      <c r="AE278" s="50"/>
      <c r="AF278" s="1339">
        <f t="shared" si="25"/>
        <v>1</v>
      </c>
      <c r="AG278" s="1308">
        <f t="shared" si="29"/>
        <v>85</v>
      </c>
    </row>
    <row r="279" spans="1:33" x14ac:dyDescent="0.3">
      <c r="A279" s="41" t="s">
        <v>861</v>
      </c>
      <c r="B279" s="1347" t="s">
        <v>2887</v>
      </c>
      <c r="C279" s="1488"/>
      <c r="D279" s="1192"/>
      <c r="E279" s="1192"/>
      <c r="F279" s="1192"/>
      <c r="G279" s="1192"/>
      <c r="H279" s="1192"/>
      <c r="I279" s="1192"/>
      <c r="J279" s="1192"/>
      <c r="K279" s="1192"/>
      <c r="L279" s="1192"/>
      <c r="M279" s="1192"/>
      <c r="N279" s="1192"/>
      <c r="O279" s="1192"/>
      <c r="P279" s="1501">
        <f t="shared" si="30"/>
        <v>0</v>
      </c>
      <c r="Q279" s="1358">
        <f t="shared" si="28"/>
        <v>0</v>
      </c>
      <c r="R279" s="1191"/>
      <c r="S279" s="1192"/>
      <c r="T279" s="1192"/>
      <c r="U279" s="1192"/>
      <c r="V279" s="1192"/>
      <c r="W279" s="1192">
        <v>824320</v>
      </c>
      <c r="X279" s="1192">
        <v>0</v>
      </c>
      <c r="Y279" s="1192">
        <v>1102720</v>
      </c>
      <c r="Z279" s="1192"/>
      <c r="AA279" s="1192"/>
      <c r="AB279" s="1192"/>
      <c r="AC279" s="1192"/>
      <c r="AD279" s="1358">
        <f t="shared" si="24"/>
        <v>1927040</v>
      </c>
      <c r="AE279" s="50"/>
      <c r="AF279" s="1339">
        <f t="shared" si="25"/>
        <v>1</v>
      </c>
      <c r="AG279" s="1308">
        <f t="shared" si="29"/>
        <v>40</v>
      </c>
    </row>
    <row r="280" spans="1:33" x14ac:dyDescent="0.3">
      <c r="A280" s="41" t="s">
        <v>861</v>
      </c>
      <c r="B280" s="1347" t="s">
        <v>2888</v>
      </c>
      <c r="C280" s="1488"/>
      <c r="D280" s="1192"/>
      <c r="E280" s="1192"/>
      <c r="F280" s="1192"/>
      <c r="G280" s="1192"/>
      <c r="H280" s="1192"/>
      <c r="I280" s="1192"/>
      <c r="J280" s="1192"/>
      <c r="K280" s="1192"/>
      <c r="L280" s="1192"/>
      <c r="M280" s="1192"/>
      <c r="N280" s="1192"/>
      <c r="O280" s="1192"/>
      <c r="P280" s="1501">
        <f t="shared" si="30"/>
        <v>0</v>
      </c>
      <c r="Q280" s="1358">
        <f t="shared" si="28"/>
        <v>0</v>
      </c>
      <c r="R280" s="1191"/>
      <c r="S280" s="1192"/>
      <c r="T280" s="1192"/>
      <c r="U280" s="1192"/>
      <c r="V280" s="1192"/>
      <c r="W280" s="1192">
        <v>220840</v>
      </c>
      <c r="X280" s="1192">
        <v>0</v>
      </c>
      <c r="Y280" s="1192">
        <v>0</v>
      </c>
      <c r="Z280" s="1192"/>
      <c r="AA280" s="1192"/>
      <c r="AB280" s="1192"/>
      <c r="AC280" s="1192"/>
      <c r="AD280" s="1358">
        <f t="shared" si="24"/>
        <v>220840</v>
      </c>
      <c r="AE280" s="50"/>
      <c r="AF280" s="1339">
        <f t="shared" si="25"/>
        <v>1</v>
      </c>
      <c r="AG280" s="1308">
        <f t="shared" si="29"/>
        <v>133</v>
      </c>
    </row>
    <row r="281" spans="1:33" x14ac:dyDescent="0.3">
      <c r="A281" s="42" t="s">
        <v>883</v>
      </c>
      <c r="B281" s="1348" t="s">
        <v>906</v>
      </c>
      <c r="C281" s="1489">
        <v>2129460</v>
      </c>
      <c r="D281" s="1193">
        <v>1535490</v>
      </c>
      <c r="E281" s="1193">
        <v>3967340</v>
      </c>
      <c r="F281" s="1193">
        <v>2932970</v>
      </c>
      <c r="G281" s="1193">
        <v>196070</v>
      </c>
      <c r="H281" s="1193">
        <v>877040</v>
      </c>
      <c r="I281" s="1193">
        <v>2233590</v>
      </c>
      <c r="J281" s="1193">
        <v>1197600</v>
      </c>
      <c r="K281" s="1193">
        <v>1197600</v>
      </c>
      <c r="L281" s="1193">
        <v>0</v>
      </c>
      <c r="M281" s="1193">
        <v>0</v>
      </c>
      <c r="N281" s="1193">
        <v>0</v>
      </c>
      <c r="O281" s="1193">
        <v>0</v>
      </c>
      <c r="P281" s="1501">
        <f t="shared" si="30"/>
        <v>15069560</v>
      </c>
      <c r="Q281" s="1360">
        <f t="shared" si="28"/>
        <v>15069560</v>
      </c>
      <c r="R281" s="1359" t="s">
        <v>251</v>
      </c>
      <c r="S281" s="1193" t="s">
        <v>251</v>
      </c>
      <c r="T281" s="1193" t="s">
        <v>251</v>
      </c>
      <c r="U281" s="1193"/>
      <c r="V281" s="1193"/>
      <c r="W281" s="1193"/>
      <c r="X281" s="1193"/>
      <c r="Y281" s="1193"/>
      <c r="Z281" s="1193"/>
      <c r="AA281" s="1193"/>
      <c r="AB281" s="1193"/>
      <c r="AC281" s="1193"/>
      <c r="AD281" s="1360">
        <f t="shared" si="24"/>
        <v>0</v>
      </c>
      <c r="AE281" s="1365" t="e">
        <f>IF(OR(#REF!="", AD281=""), 0, IFERROR((#REF!-AD281)/AD281, IF(#REF!&lt;&gt;0, 1, 0)))</f>
        <v>#REF!</v>
      </c>
      <c r="AF281" s="1340">
        <f t="shared" si="25"/>
        <v>-1</v>
      </c>
      <c r="AG281" s="1309">
        <f t="shared" si="29"/>
        <v>149</v>
      </c>
    </row>
    <row r="282" spans="1:33" x14ac:dyDescent="0.3">
      <c r="A282" s="42" t="s">
        <v>883</v>
      </c>
      <c r="B282" s="1348" t="s">
        <v>883</v>
      </c>
      <c r="C282" s="1489"/>
      <c r="D282" s="1193"/>
      <c r="E282" s="1193"/>
      <c r="F282" s="1193"/>
      <c r="G282" s="1193"/>
      <c r="H282" s="1193"/>
      <c r="I282" s="1193"/>
      <c r="J282" s="1193"/>
      <c r="K282" s="1193"/>
      <c r="L282" s="1193">
        <v>1173310</v>
      </c>
      <c r="M282" s="1193">
        <v>3657130</v>
      </c>
      <c r="N282" s="1193">
        <v>1392320</v>
      </c>
      <c r="O282" s="1193">
        <v>208040</v>
      </c>
      <c r="P282" s="1501">
        <f t="shared" si="30"/>
        <v>0</v>
      </c>
      <c r="Q282" s="1360">
        <f t="shared" si="28"/>
        <v>6430800</v>
      </c>
      <c r="R282" s="1359">
        <v>3063230</v>
      </c>
      <c r="S282" s="1193">
        <v>277460</v>
      </c>
      <c r="T282" s="1193">
        <v>213290</v>
      </c>
      <c r="U282" s="1193">
        <v>410610</v>
      </c>
      <c r="V282" s="1193">
        <v>0</v>
      </c>
      <c r="W282" s="1193">
        <v>0</v>
      </c>
      <c r="X282" s="1193">
        <v>0</v>
      </c>
      <c r="Y282" s="1193">
        <v>0</v>
      </c>
      <c r="Z282" s="1193"/>
      <c r="AA282" s="1193"/>
      <c r="AB282" s="1193"/>
      <c r="AC282" s="1193"/>
      <c r="AD282" s="1360">
        <f t="shared" si="24"/>
        <v>3964590</v>
      </c>
      <c r="AE282" s="1365"/>
      <c r="AF282" s="1340">
        <f t="shared" si="25"/>
        <v>1</v>
      </c>
      <c r="AG282" s="1309">
        <f t="shared" si="29"/>
        <v>18</v>
      </c>
    </row>
    <row r="283" spans="1:33" x14ac:dyDescent="0.3">
      <c r="A283" s="42" t="s">
        <v>883</v>
      </c>
      <c r="B283" s="1348" t="s">
        <v>2889</v>
      </c>
      <c r="C283" s="1489"/>
      <c r="D283" s="1193"/>
      <c r="E283" s="1193"/>
      <c r="F283" s="1193"/>
      <c r="G283" s="1193"/>
      <c r="H283" s="1193"/>
      <c r="I283" s="1193"/>
      <c r="J283" s="1193"/>
      <c r="K283" s="1193"/>
      <c r="L283" s="1193"/>
      <c r="M283" s="1193"/>
      <c r="N283" s="1193"/>
      <c r="O283" s="1193"/>
      <c r="P283" s="1501">
        <f t="shared" si="30"/>
        <v>0</v>
      </c>
      <c r="Q283" s="1360">
        <f t="shared" si="28"/>
        <v>0</v>
      </c>
      <c r="R283" s="1359"/>
      <c r="S283" s="1193"/>
      <c r="T283" s="1193"/>
      <c r="U283" s="1193"/>
      <c r="V283" s="1193"/>
      <c r="W283" s="1193"/>
      <c r="X283" s="1193">
        <v>435100</v>
      </c>
      <c r="Y283" s="1193">
        <v>1301660</v>
      </c>
      <c r="Z283" s="1193"/>
      <c r="AA283" s="1193"/>
      <c r="AB283" s="1193"/>
      <c r="AC283" s="1193"/>
      <c r="AD283" s="1360">
        <f t="shared" si="24"/>
        <v>1736760</v>
      </c>
      <c r="AE283" s="1365"/>
      <c r="AF283" s="1340">
        <f t="shared" si="25"/>
        <v>1</v>
      </c>
      <c r="AG283" s="1309">
        <f t="shared" si="29"/>
        <v>46</v>
      </c>
    </row>
    <row r="284" spans="1:33" x14ac:dyDescent="0.3">
      <c r="A284" s="43" t="s">
        <v>759</v>
      </c>
      <c r="B284" s="1349" t="s">
        <v>885</v>
      </c>
      <c r="C284" s="1490">
        <v>0</v>
      </c>
      <c r="D284" s="1195">
        <v>0</v>
      </c>
      <c r="E284" s="1195">
        <v>508050</v>
      </c>
      <c r="F284" s="1195">
        <v>2832410</v>
      </c>
      <c r="G284" s="1195">
        <v>1259110</v>
      </c>
      <c r="H284" s="1195">
        <v>2076810</v>
      </c>
      <c r="I284" s="1195">
        <v>0</v>
      </c>
      <c r="J284" s="1195">
        <v>192700</v>
      </c>
      <c r="K284" s="1195">
        <v>192700</v>
      </c>
      <c r="L284" s="1195">
        <v>0</v>
      </c>
      <c r="M284" s="1195">
        <v>0</v>
      </c>
      <c r="N284" s="1195">
        <v>0</v>
      </c>
      <c r="O284" s="1195">
        <v>0</v>
      </c>
      <c r="P284" s="1501">
        <f t="shared" si="30"/>
        <v>6869080</v>
      </c>
      <c r="Q284" s="1361">
        <f t="shared" si="28"/>
        <v>6869080</v>
      </c>
      <c r="R284" s="1194" t="s">
        <v>251</v>
      </c>
      <c r="S284" s="1195" t="s">
        <v>251</v>
      </c>
      <c r="T284" s="1195" t="s">
        <v>251</v>
      </c>
      <c r="U284" s="1195"/>
      <c r="V284" s="1195"/>
      <c r="W284" s="1195"/>
      <c r="X284" s="1195"/>
      <c r="Y284" s="1195"/>
      <c r="Z284" s="1195"/>
      <c r="AA284" s="1195"/>
      <c r="AB284" s="1195"/>
      <c r="AC284" s="1195"/>
      <c r="AD284" s="1361">
        <f t="shared" si="24"/>
        <v>0</v>
      </c>
      <c r="AE284" s="51" t="e">
        <f>IF(OR(#REF!="", AD284=""), 0, IFERROR((#REF!-AD284)/AD284, IF(#REF!&lt;&gt;0, 1, 0)))</f>
        <v>#REF!</v>
      </c>
      <c r="AF284" s="1341">
        <f t="shared" si="25"/>
        <v>-1</v>
      </c>
      <c r="AG284" s="1310">
        <f t="shared" si="29"/>
        <v>149</v>
      </c>
    </row>
    <row r="285" spans="1:33" x14ac:dyDescent="0.3">
      <c r="A285" s="43" t="s">
        <v>759</v>
      </c>
      <c r="B285" s="1349" t="s">
        <v>884</v>
      </c>
      <c r="C285" s="1490">
        <v>0</v>
      </c>
      <c r="D285" s="1195">
        <v>0</v>
      </c>
      <c r="E285" s="1195">
        <v>0</v>
      </c>
      <c r="F285" s="1195">
        <v>0</v>
      </c>
      <c r="G285" s="1195">
        <v>2004620</v>
      </c>
      <c r="H285" s="1195">
        <v>272110</v>
      </c>
      <c r="I285" s="1195">
        <v>0</v>
      </c>
      <c r="J285" s="1195">
        <v>0</v>
      </c>
      <c r="K285" s="1195">
        <v>0</v>
      </c>
      <c r="L285" s="1195">
        <v>0</v>
      </c>
      <c r="M285" s="1195">
        <v>0</v>
      </c>
      <c r="N285" s="1195">
        <v>0</v>
      </c>
      <c r="O285" s="1195">
        <v>0</v>
      </c>
      <c r="P285" s="1501">
        <f t="shared" si="30"/>
        <v>2276730</v>
      </c>
      <c r="Q285" s="1361">
        <f t="shared" si="28"/>
        <v>2276730</v>
      </c>
      <c r="R285" s="1194" t="s">
        <v>251</v>
      </c>
      <c r="S285" s="1195" t="s">
        <v>251</v>
      </c>
      <c r="T285" s="1195" t="s">
        <v>251</v>
      </c>
      <c r="U285" s="1195"/>
      <c r="V285" s="1195"/>
      <c r="W285" s="1195"/>
      <c r="X285" s="1195"/>
      <c r="Y285" s="1195"/>
      <c r="Z285" s="1195"/>
      <c r="AA285" s="1195"/>
      <c r="AB285" s="1195"/>
      <c r="AC285" s="1195"/>
      <c r="AD285" s="1361">
        <f t="shared" ref="AD285:AD328" si="31">SUM(R285:AC285)</f>
        <v>0</v>
      </c>
      <c r="AE285" s="51" t="e">
        <f>IF(OR(#REF!="", AD285=""), 0, IFERROR((#REF!-AD285)/AD285, IF(#REF!&lt;&gt;0, 1, 0)))</f>
        <v>#REF!</v>
      </c>
      <c r="AF285" s="1341">
        <f t="shared" ref="AF285:AF329" si="32">IF(OR(AD285="",P285=""), 0, IFERROR((AD285-P285)/P285, IF(AD285&lt;&gt;0, 1, 0)))</f>
        <v>-1</v>
      </c>
      <c r="AG285" s="1310">
        <f t="shared" si="29"/>
        <v>149</v>
      </c>
    </row>
    <row r="286" spans="1:33" x14ac:dyDescent="0.3">
      <c r="A286" s="43" t="s">
        <v>759</v>
      </c>
      <c r="B286" s="1349" t="s">
        <v>886</v>
      </c>
      <c r="C286" s="1490">
        <v>1037740</v>
      </c>
      <c r="D286" s="1195">
        <v>422910</v>
      </c>
      <c r="E286" s="1195">
        <v>1516590</v>
      </c>
      <c r="F286" s="1195">
        <v>0</v>
      </c>
      <c r="G286" s="1195">
        <v>0</v>
      </c>
      <c r="H286" s="1195">
        <v>0</v>
      </c>
      <c r="I286" s="1195">
        <v>0</v>
      </c>
      <c r="J286" s="1195">
        <v>0</v>
      </c>
      <c r="K286" s="1195">
        <v>0</v>
      </c>
      <c r="L286" s="1195">
        <v>0</v>
      </c>
      <c r="M286" s="1195">
        <v>0</v>
      </c>
      <c r="N286" s="1195">
        <v>0</v>
      </c>
      <c r="O286" s="1195">
        <v>0</v>
      </c>
      <c r="P286" s="1501">
        <f t="shared" si="30"/>
        <v>2977240</v>
      </c>
      <c r="Q286" s="1361">
        <f t="shared" si="28"/>
        <v>2977240</v>
      </c>
      <c r="R286" s="1194" t="s">
        <v>251</v>
      </c>
      <c r="S286" s="1195" t="s">
        <v>251</v>
      </c>
      <c r="T286" s="1195" t="s">
        <v>251</v>
      </c>
      <c r="U286" s="1195"/>
      <c r="V286" s="1195"/>
      <c r="W286" s="1195"/>
      <c r="X286" s="1195"/>
      <c r="Y286" s="1195"/>
      <c r="Z286" s="1195"/>
      <c r="AA286" s="1195"/>
      <c r="AB286" s="1195"/>
      <c r="AC286" s="1195"/>
      <c r="AD286" s="1361">
        <f t="shared" si="31"/>
        <v>0</v>
      </c>
      <c r="AE286" s="51" t="e">
        <f>IF(OR(#REF!="", AD286=""), 0, IFERROR((#REF!-AD286)/AD286, IF(#REF!&lt;&gt;0, 1, 0)))</f>
        <v>#REF!</v>
      </c>
      <c r="AF286" s="1341">
        <f t="shared" si="32"/>
        <v>-1</v>
      </c>
      <c r="AG286" s="1310">
        <f t="shared" si="29"/>
        <v>149</v>
      </c>
    </row>
    <row r="287" spans="1:33" x14ac:dyDescent="0.3">
      <c r="A287" s="43" t="s">
        <v>759</v>
      </c>
      <c r="B287" s="1349" t="s">
        <v>887</v>
      </c>
      <c r="C287" s="1490">
        <v>0</v>
      </c>
      <c r="D287" s="1195">
        <v>0</v>
      </c>
      <c r="E287" s="1195">
        <v>1815950</v>
      </c>
      <c r="F287" s="1195">
        <v>0</v>
      </c>
      <c r="G287" s="1195">
        <v>0</v>
      </c>
      <c r="H287" s="1195">
        <v>0</v>
      </c>
      <c r="I287" s="1195">
        <v>0</v>
      </c>
      <c r="J287" s="1195">
        <v>0</v>
      </c>
      <c r="K287" s="1195">
        <v>0</v>
      </c>
      <c r="L287" s="1195">
        <v>0</v>
      </c>
      <c r="M287" s="1195">
        <v>0</v>
      </c>
      <c r="N287" s="1195">
        <v>0</v>
      </c>
      <c r="O287" s="1195">
        <v>0</v>
      </c>
      <c r="P287" s="1501">
        <f t="shared" si="30"/>
        <v>1815950</v>
      </c>
      <c r="Q287" s="1361">
        <f t="shared" ref="Q287:Q328" si="33">SUM(C287:J287,L287:O287)</f>
        <v>1815950</v>
      </c>
      <c r="R287" s="1194" t="s">
        <v>251</v>
      </c>
      <c r="S287" s="1195" t="s">
        <v>251</v>
      </c>
      <c r="T287" s="1195" t="s">
        <v>251</v>
      </c>
      <c r="U287" s="1195"/>
      <c r="V287" s="1195"/>
      <c r="W287" s="1195"/>
      <c r="X287" s="1195"/>
      <c r="Y287" s="1195"/>
      <c r="Z287" s="1195"/>
      <c r="AA287" s="1195"/>
      <c r="AB287" s="1195"/>
      <c r="AC287" s="1195"/>
      <c r="AD287" s="1361">
        <f t="shared" si="31"/>
        <v>0</v>
      </c>
      <c r="AE287" s="51" t="e">
        <f>IF(OR(#REF!="", AD287=""), 0, IFERROR((#REF!-AD287)/AD287, IF(#REF!&lt;&gt;0, 1, 0)))</f>
        <v>#REF!</v>
      </c>
      <c r="AF287" s="1341">
        <f t="shared" si="32"/>
        <v>-1</v>
      </c>
      <c r="AG287" s="1310">
        <f t="shared" si="29"/>
        <v>149</v>
      </c>
    </row>
    <row r="288" spans="1:33" x14ac:dyDescent="0.3">
      <c r="A288" s="43" t="s">
        <v>759</v>
      </c>
      <c r="B288" s="1349" t="s">
        <v>888</v>
      </c>
      <c r="C288" s="1490">
        <v>0</v>
      </c>
      <c r="D288" s="1195">
        <v>0</v>
      </c>
      <c r="E288" s="1195">
        <v>0</v>
      </c>
      <c r="F288" s="1195">
        <v>472350</v>
      </c>
      <c r="G288" s="1195">
        <v>236050</v>
      </c>
      <c r="H288" s="1195">
        <v>0</v>
      </c>
      <c r="I288" s="1195">
        <v>0</v>
      </c>
      <c r="J288" s="1195">
        <v>0</v>
      </c>
      <c r="K288" s="1195">
        <v>0</v>
      </c>
      <c r="L288" s="1195">
        <v>0</v>
      </c>
      <c r="M288" s="1195">
        <v>0</v>
      </c>
      <c r="N288" s="1195">
        <v>0</v>
      </c>
      <c r="O288" s="1195">
        <v>0</v>
      </c>
      <c r="P288" s="1501">
        <f t="shared" si="30"/>
        <v>708400</v>
      </c>
      <c r="Q288" s="1361">
        <f t="shared" si="33"/>
        <v>708400</v>
      </c>
      <c r="R288" s="1194" t="s">
        <v>251</v>
      </c>
      <c r="S288" s="1195" t="s">
        <v>251</v>
      </c>
      <c r="T288" s="1195" t="s">
        <v>251</v>
      </c>
      <c r="U288" s="1195"/>
      <c r="V288" s="1195"/>
      <c r="W288" s="1195"/>
      <c r="X288" s="1195"/>
      <c r="Y288" s="1195"/>
      <c r="Z288" s="1195"/>
      <c r="AA288" s="1195"/>
      <c r="AB288" s="1195"/>
      <c r="AC288" s="1195"/>
      <c r="AD288" s="1361">
        <f t="shared" si="31"/>
        <v>0</v>
      </c>
      <c r="AE288" s="51" t="e">
        <f>IF(OR(#REF!="", AD288=""), 0, IFERROR((#REF!-AD288)/AD288, IF(#REF!&lt;&gt;0, 1, 0)))</f>
        <v>#REF!</v>
      </c>
      <c r="AF288" s="1341">
        <f t="shared" si="32"/>
        <v>-1</v>
      </c>
      <c r="AG288" s="1310">
        <f t="shared" si="29"/>
        <v>149</v>
      </c>
    </row>
    <row r="289" spans="1:33" x14ac:dyDescent="0.3">
      <c r="A289" s="43" t="s">
        <v>759</v>
      </c>
      <c r="B289" s="1349" t="s">
        <v>889</v>
      </c>
      <c r="C289" s="1490">
        <v>0</v>
      </c>
      <c r="D289" s="1195">
        <v>0</v>
      </c>
      <c r="E289" s="1195">
        <v>571440</v>
      </c>
      <c r="F289" s="1195">
        <v>198190</v>
      </c>
      <c r="G289" s="1195">
        <v>804310</v>
      </c>
      <c r="H289" s="1195">
        <v>0</v>
      </c>
      <c r="I289" s="1195">
        <v>0</v>
      </c>
      <c r="J289" s="1195">
        <v>0</v>
      </c>
      <c r="K289" s="1195">
        <v>0</v>
      </c>
      <c r="L289" s="1195">
        <v>1538880</v>
      </c>
      <c r="M289" s="1195">
        <v>297080</v>
      </c>
      <c r="N289" s="1195">
        <v>0</v>
      </c>
      <c r="O289" s="1195">
        <v>0</v>
      </c>
      <c r="P289" s="1501">
        <f t="shared" si="30"/>
        <v>1573940</v>
      </c>
      <c r="Q289" s="1361">
        <f t="shared" si="33"/>
        <v>3409900</v>
      </c>
      <c r="R289" s="1194">
        <v>3880900</v>
      </c>
      <c r="S289" s="1195" t="s">
        <v>251</v>
      </c>
      <c r="T289" s="1195">
        <v>0</v>
      </c>
      <c r="U289" s="1195">
        <v>1863080</v>
      </c>
      <c r="V289" s="1195">
        <v>0</v>
      </c>
      <c r="W289" s="1195">
        <v>0</v>
      </c>
      <c r="X289" s="1195">
        <v>0</v>
      </c>
      <c r="Y289" s="1195">
        <v>0</v>
      </c>
      <c r="Z289" s="1195"/>
      <c r="AA289" s="1195"/>
      <c r="AB289" s="1195"/>
      <c r="AC289" s="1195"/>
      <c r="AD289" s="1361">
        <f t="shared" si="31"/>
        <v>5743980</v>
      </c>
      <c r="AE289" s="51" t="e">
        <f>IF(OR(#REF!="", AD289=""), 0, IFERROR((#REF!-AD289)/AD289, IF(#REF!&lt;&gt;0, 1, 0)))</f>
        <v>#REF!</v>
      </c>
      <c r="AF289" s="1341">
        <f t="shared" si="32"/>
        <v>2.649427551240835</v>
      </c>
      <c r="AG289" s="1310">
        <f t="shared" si="29"/>
        <v>13</v>
      </c>
    </row>
    <row r="290" spans="1:33" x14ac:dyDescent="0.3">
      <c r="A290" s="43" t="s">
        <v>759</v>
      </c>
      <c r="B290" s="1349" t="s">
        <v>896</v>
      </c>
      <c r="C290" s="1490">
        <v>0</v>
      </c>
      <c r="D290" s="1195">
        <v>0</v>
      </c>
      <c r="E290" s="1195">
        <v>0</v>
      </c>
      <c r="F290" s="1195">
        <v>0</v>
      </c>
      <c r="G290" s="1195">
        <v>42020</v>
      </c>
      <c r="H290" s="1195">
        <v>0</v>
      </c>
      <c r="I290" s="1195">
        <v>0</v>
      </c>
      <c r="J290" s="1195">
        <v>0</v>
      </c>
      <c r="K290" s="1195">
        <v>0</v>
      </c>
      <c r="L290" s="1195">
        <v>0</v>
      </c>
      <c r="M290" s="1195">
        <v>1030130</v>
      </c>
      <c r="N290" s="1195">
        <v>124110</v>
      </c>
      <c r="O290" s="1195">
        <v>180810</v>
      </c>
      <c r="P290" s="1501">
        <f t="shared" si="30"/>
        <v>42020</v>
      </c>
      <c r="Q290" s="1361">
        <f t="shared" si="33"/>
        <v>1377070</v>
      </c>
      <c r="R290" s="1194" t="s">
        <v>251</v>
      </c>
      <c r="S290" s="1195" t="s">
        <v>251</v>
      </c>
      <c r="T290" s="1195" t="s">
        <v>251</v>
      </c>
      <c r="U290" s="1195"/>
      <c r="V290" s="1195"/>
      <c r="W290" s="1195"/>
      <c r="X290" s="1195"/>
      <c r="Y290" s="1195"/>
      <c r="Z290" s="1195"/>
      <c r="AA290" s="1195"/>
      <c r="AB290" s="1195"/>
      <c r="AC290" s="1195"/>
      <c r="AD290" s="1361">
        <f t="shared" si="31"/>
        <v>0</v>
      </c>
      <c r="AE290" s="51" t="e">
        <f>IF(OR(#REF!="", AD290=""), 0, IFERROR((#REF!-AD290)/AD290, IF(#REF!&lt;&gt;0, 1, 0)))</f>
        <v>#REF!</v>
      </c>
      <c r="AF290" s="1341">
        <f t="shared" si="32"/>
        <v>-1</v>
      </c>
      <c r="AG290" s="1310">
        <f t="shared" si="29"/>
        <v>149</v>
      </c>
    </row>
    <row r="291" spans="1:33" x14ac:dyDescent="0.3">
      <c r="A291" s="43" t="s">
        <v>759</v>
      </c>
      <c r="B291" s="1349" t="s">
        <v>890</v>
      </c>
      <c r="C291" s="1490">
        <v>0</v>
      </c>
      <c r="D291" s="1195">
        <v>0</v>
      </c>
      <c r="E291" s="1195">
        <v>0</v>
      </c>
      <c r="F291" s="1195">
        <v>346910</v>
      </c>
      <c r="G291" s="1195">
        <v>0</v>
      </c>
      <c r="H291" s="1195">
        <v>0</v>
      </c>
      <c r="I291" s="1195">
        <v>0</v>
      </c>
      <c r="J291" s="1195">
        <v>0</v>
      </c>
      <c r="K291" s="1195">
        <v>0</v>
      </c>
      <c r="L291" s="1195">
        <v>0</v>
      </c>
      <c r="M291" s="1195">
        <v>0</v>
      </c>
      <c r="N291" s="1195">
        <v>0</v>
      </c>
      <c r="O291" s="1195">
        <v>0</v>
      </c>
      <c r="P291" s="1501">
        <f t="shared" si="30"/>
        <v>346910</v>
      </c>
      <c r="Q291" s="1361">
        <f t="shared" si="33"/>
        <v>346910</v>
      </c>
      <c r="R291" s="1194" t="s">
        <v>251</v>
      </c>
      <c r="S291" s="1195" t="s">
        <v>251</v>
      </c>
      <c r="T291" s="1195" t="s">
        <v>251</v>
      </c>
      <c r="U291" s="1195"/>
      <c r="V291" s="1195"/>
      <c r="W291" s="1195"/>
      <c r="X291" s="1195"/>
      <c r="Y291" s="1195"/>
      <c r="Z291" s="1195"/>
      <c r="AA291" s="1195"/>
      <c r="AB291" s="1195"/>
      <c r="AC291" s="1195"/>
      <c r="AD291" s="1361">
        <f t="shared" si="31"/>
        <v>0</v>
      </c>
      <c r="AE291" s="51" t="e">
        <f>IF(OR(#REF!="", AD291=""), 0, IFERROR((#REF!-AD291)/AD291, IF(#REF!&lt;&gt;0, 1, 0)))</f>
        <v>#REF!</v>
      </c>
      <c r="AF291" s="1341">
        <f t="shared" si="32"/>
        <v>-1</v>
      </c>
      <c r="AG291" s="1310">
        <f t="shared" si="29"/>
        <v>149</v>
      </c>
    </row>
    <row r="292" spans="1:33" x14ac:dyDescent="0.3">
      <c r="A292" s="43" t="s">
        <v>759</v>
      </c>
      <c r="B292" s="1349" t="s">
        <v>891</v>
      </c>
      <c r="C292" s="1490">
        <v>0</v>
      </c>
      <c r="D292" s="1195">
        <v>0</v>
      </c>
      <c r="E292" s="1195">
        <v>0</v>
      </c>
      <c r="F292" s="1195">
        <v>1618900</v>
      </c>
      <c r="G292" s="1195">
        <v>0</v>
      </c>
      <c r="H292" s="1195">
        <v>0</v>
      </c>
      <c r="I292" s="1195">
        <v>0</v>
      </c>
      <c r="J292" s="1195">
        <v>0</v>
      </c>
      <c r="K292" s="1195">
        <v>0</v>
      </c>
      <c r="L292" s="1195">
        <v>0</v>
      </c>
      <c r="M292" s="1195">
        <v>0</v>
      </c>
      <c r="N292" s="1195">
        <v>0</v>
      </c>
      <c r="O292" s="1195">
        <v>0</v>
      </c>
      <c r="P292" s="1501">
        <f t="shared" si="30"/>
        <v>1618900</v>
      </c>
      <c r="Q292" s="1361">
        <f t="shared" si="33"/>
        <v>1618900</v>
      </c>
      <c r="R292" s="1194" t="s">
        <v>251</v>
      </c>
      <c r="S292" s="1195" t="s">
        <v>251</v>
      </c>
      <c r="T292" s="1195" t="s">
        <v>251</v>
      </c>
      <c r="U292" s="1195"/>
      <c r="V292" s="1195"/>
      <c r="W292" s="1195"/>
      <c r="X292" s="1195"/>
      <c r="Y292" s="1195"/>
      <c r="Z292" s="1195"/>
      <c r="AA292" s="1195"/>
      <c r="AB292" s="1195"/>
      <c r="AC292" s="1195"/>
      <c r="AD292" s="1361">
        <f t="shared" si="31"/>
        <v>0</v>
      </c>
      <c r="AE292" s="51" t="e">
        <f>IF(OR(#REF!="", AD292=""), 0, IFERROR((#REF!-AD292)/AD292, IF(#REF!&lt;&gt;0, 1, 0)))</f>
        <v>#REF!</v>
      </c>
      <c r="AF292" s="1341">
        <f t="shared" si="32"/>
        <v>-1</v>
      </c>
      <c r="AG292" s="1310">
        <f t="shared" si="29"/>
        <v>149</v>
      </c>
    </row>
    <row r="293" spans="1:33" x14ac:dyDescent="0.3">
      <c r="A293" s="43" t="s">
        <v>759</v>
      </c>
      <c r="B293" s="1349" t="s">
        <v>892</v>
      </c>
      <c r="C293" s="1490">
        <v>0</v>
      </c>
      <c r="D293" s="1195">
        <v>0</v>
      </c>
      <c r="E293" s="1195">
        <v>0</v>
      </c>
      <c r="F293" s="1195">
        <v>0</v>
      </c>
      <c r="G293" s="1195">
        <v>93150</v>
      </c>
      <c r="H293" s="1195">
        <v>0</v>
      </c>
      <c r="I293" s="1195">
        <v>0</v>
      </c>
      <c r="J293" s="1195">
        <v>0</v>
      </c>
      <c r="K293" s="1195">
        <v>0</v>
      </c>
      <c r="L293" s="1195">
        <v>0</v>
      </c>
      <c r="M293" s="1195">
        <v>0</v>
      </c>
      <c r="N293" s="1195">
        <v>0</v>
      </c>
      <c r="O293" s="1195">
        <v>0</v>
      </c>
      <c r="P293" s="1501">
        <f t="shared" si="30"/>
        <v>93150</v>
      </c>
      <c r="Q293" s="1361">
        <f t="shared" si="33"/>
        <v>93150</v>
      </c>
      <c r="R293" s="1194" t="s">
        <v>251</v>
      </c>
      <c r="S293" s="1195" t="s">
        <v>251</v>
      </c>
      <c r="T293" s="1195" t="s">
        <v>251</v>
      </c>
      <c r="U293" s="1195"/>
      <c r="V293" s="1195">
        <v>9696630</v>
      </c>
      <c r="W293" s="1195">
        <v>3940310</v>
      </c>
      <c r="X293" s="1195">
        <v>5465670</v>
      </c>
      <c r="Y293" s="1195">
        <v>1616760</v>
      </c>
      <c r="Z293" s="1195"/>
      <c r="AA293" s="1195"/>
      <c r="AB293" s="1195"/>
      <c r="AC293" s="1195"/>
      <c r="AD293" s="1361">
        <f t="shared" si="31"/>
        <v>20719370</v>
      </c>
      <c r="AE293" s="51" t="e">
        <f>IF(OR(#REF!="", AD293=""), 0, IFERROR((#REF!-AD293)/AD293, IF(#REF!&lt;&gt;0, 1, 0)))</f>
        <v>#REF!</v>
      </c>
      <c r="AF293" s="1341">
        <f t="shared" si="32"/>
        <v>221.43016639828235</v>
      </c>
      <c r="AG293" s="1310">
        <f t="shared" ref="AG293:AG328" si="34">IFERROR(_xlfn.RANK.EQ(AD293, $AD$2:$AD$328), "")</f>
        <v>3</v>
      </c>
    </row>
    <row r="294" spans="1:33" x14ac:dyDescent="0.3">
      <c r="A294" s="43" t="s">
        <v>759</v>
      </c>
      <c r="B294" s="1349" t="s">
        <v>893</v>
      </c>
      <c r="C294" s="1490">
        <v>0</v>
      </c>
      <c r="D294" s="1195">
        <v>0</v>
      </c>
      <c r="E294" s="1195">
        <v>0</v>
      </c>
      <c r="F294" s="1195">
        <v>0</v>
      </c>
      <c r="G294" s="1195">
        <v>307170</v>
      </c>
      <c r="H294" s="1195">
        <v>0</v>
      </c>
      <c r="I294" s="1195">
        <v>0</v>
      </c>
      <c r="J294" s="1195">
        <v>0</v>
      </c>
      <c r="K294" s="1195">
        <v>0</v>
      </c>
      <c r="L294" s="1195">
        <v>0</v>
      </c>
      <c r="M294" s="1195">
        <v>0</v>
      </c>
      <c r="N294" s="1195">
        <v>0</v>
      </c>
      <c r="O294" s="1195">
        <v>0</v>
      </c>
      <c r="P294" s="1501">
        <f t="shared" si="30"/>
        <v>307170</v>
      </c>
      <c r="Q294" s="1361">
        <f t="shared" si="33"/>
        <v>307170</v>
      </c>
      <c r="R294" s="1194" t="s">
        <v>251</v>
      </c>
      <c r="S294" s="1195" t="s">
        <v>251</v>
      </c>
      <c r="T294" s="1195" t="s">
        <v>251</v>
      </c>
      <c r="U294" s="1195"/>
      <c r="V294" s="1195"/>
      <c r="W294" s="1195"/>
      <c r="X294" s="1195"/>
      <c r="Y294" s="1195"/>
      <c r="Z294" s="1195"/>
      <c r="AA294" s="1195"/>
      <c r="AB294" s="1195"/>
      <c r="AC294" s="1195"/>
      <c r="AD294" s="1361">
        <f t="shared" si="31"/>
        <v>0</v>
      </c>
      <c r="AE294" s="51" t="e">
        <f>IF(OR(#REF!="", AD294=""), 0, IFERROR((#REF!-AD294)/AD294, IF(#REF!&lt;&gt;0, 1, 0)))</f>
        <v>#REF!</v>
      </c>
      <c r="AF294" s="1341">
        <f t="shared" si="32"/>
        <v>-1</v>
      </c>
      <c r="AG294" s="1310">
        <f t="shared" si="34"/>
        <v>149</v>
      </c>
    </row>
    <row r="295" spans="1:33" x14ac:dyDescent="0.3">
      <c r="A295" s="43" t="s">
        <v>759</v>
      </c>
      <c r="B295" s="1349" t="s">
        <v>898</v>
      </c>
      <c r="C295" s="1490">
        <v>0</v>
      </c>
      <c r="D295" s="1195">
        <v>0</v>
      </c>
      <c r="E295" s="1195">
        <v>75430</v>
      </c>
      <c r="F295" s="1195">
        <v>0</v>
      </c>
      <c r="G295" s="1195">
        <v>0</v>
      </c>
      <c r="H295" s="1195">
        <v>0</v>
      </c>
      <c r="I295" s="1195">
        <v>0</v>
      </c>
      <c r="J295" s="1195">
        <v>0</v>
      </c>
      <c r="K295" s="1195">
        <v>0</v>
      </c>
      <c r="L295" s="1195">
        <v>0</v>
      </c>
      <c r="M295" s="1195">
        <v>0</v>
      </c>
      <c r="N295" s="1195">
        <v>0</v>
      </c>
      <c r="O295" s="1195">
        <v>0</v>
      </c>
      <c r="P295" s="1501">
        <f t="shared" si="30"/>
        <v>75430</v>
      </c>
      <c r="Q295" s="1361">
        <f t="shared" si="33"/>
        <v>75430</v>
      </c>
      <c r="R295" s="1194" t="s">
        <v>251</v>
      </c>
      <c r="S295" s="1195" t="s">
        <v>251</v>
      </c>
      <c r="T295" s="1195" t="s">
        <v>251</v>
      </c>
      <c r="U295" s="1195"/>
      <c r="V295" s="1195"/>
      <c r="W295" s="1195"/>
      <c r="X295" s="1195"/>
      <c r="Y295" s="1195"/>
      <c r="Z295" s="1195"/>
      <c r="AA295" s="1195"/>
      <c r="AB295" s="1195"/>
      <c r="AC295" s="1195"/>
      <c r="AD295" s="1361">
        <f t="shared" si="31"/>
        <v>0</v>
      </c>
      <c r="AE295" s="51" t="e">
        <f>IF(OR(#REF!="", AD295=""), 0, IFERROR((#REF!-AD295)/AD295, IF(#REF!&lt;&gt;0, 1, 0)))</f>
        <v>#REF!</v>
      </c>
      <c r="AF295" s="1341">
        <f t="shared" si="32"/>
        <v>-1</v>
      </c>
      <c r="AG295" s="1310">
        <f t="shared" si="34"/>
        <v>149</v>
      </c>
    </row>
    <row r="296" spans="1:33" x14ac:dyDescent="0.3">
      <c r="A296" s="43" t="s">
        <v>759</v>
      </c>
      <c r="B296" s="1349" t="s">
        <v>354</v>
      </c>
      <c r="C296" s="1490">
        <v>0</v>
      </c>
      <c r="D296" s="1195">
        <v>0</v>
      </c>
      <c r="E296" s="1195">
        <v>0</v>
      </c>
      <c r="F296" s="1195">
        <v>0</v>
      </c>
      <c r="G296" s="1195">
        <v>67080</v>
      </c>
      <c r="H296" s="1195">
        <v>0</v>
      </c>
      <c r="I296" s="1195">
        <v>0</v>
      </c>
      <c r="J296" s="1195">
        <v>0</v>
      </c>
      <c r="K296" s="1195">
        <v>0</v>
      </c>
      <c r="L296" s="1195">
        <v>0</v>
      </c>
      <c r="M296" s="1195">
        <v>0</v>
      </c>
      <c r="N296" s="1195">
        <v>0</v>
      </c>
      <c r="O296" s="1195">
        <v>0</v>
      </c>
      <c r="P296" s="1501">
        <f t="shared" si="30"/>
        <v>67080</v>
      </c>
      <c r="Q296" s="1361">
        <f t="shared" si="33"/>
        <v>67080</v>
      </c>
      <c r="R296" s="1194" t="s">
        <v>251</v>
      </c>
      <c r="S296" s="1195" t="s">
        <v>251</v>
      </c>
      <c r="T296" s="1195" t="s">
        <v>251</v>
      </c>
      <c r="U296" s="1195"/>
      <c r="V296" s="1195"/>
      <c r="W296" s="1195"/>
      <c r="X296" s="1195"/>
      <c r="Y296" s="1195"/>
      <c r="Z296" s="1195"/>
      <c r="AA296" s="1195"/>
      <c r="AB296" s="1195"/>
      <c r="AC296" s="1195"/>
      <c r="AD296" s="1361">
        <f t="shared" si="31"/>
        <v>0</v>
      </c>
      <c r="AE296" s="51" t="e">
        <f>IF(OR(#REF!="", AD296=""), 0, IFERROR((#REF!-AD296)/AD296, IF(#REF!&lt;&gt;0, 1, 0)))</f>
        <v>#REF!</v>
      </c>
      <c r="AF296" s="1341">
        <f t="shared" si="32"/>
        <v>-1</v>
      </c>
      <c r="AG296" s="1310">
        <f t="shared" si="34"/>
        <v>149</v>
      </c>
    </row>
    <row r="297" spans="1:33" x14ac:dyDescent="0.3">
      <c r="A297" s="43" t="s">
        <v>759</v>
      </c>
      <c r="B297" s="1349" t="s">
        <v>900</v>
      </c>
      <c r="C297" s="1490">
        <v>0</v>
      </c>
      <c r="D297" s="1195">
        <v>0</v>
      </c>
      <c r="E297" s="1195">
        <v>0</v>
      </c>
      <c r="F297" s="1195">
        <v>0</v>
      </c>
      <c r="G297" s="1195">
        <v>193810</v>
      </c>
      <c r="H297" s="1195">
        <v>0</v>
      </c>
      <c r="I297" s="1195">
        <v>0</v>
      </c>
      <c r="J297" s="1195">
        <v>0</v>
      </c>
      <c r="K297" s="1195"/>
      <c r="L297" s="1195">
        <v>0</v>
      </c>
      <c r="M297" s="1195">
        <v>0</v>
      </c>
      <c r="N297" s="1195">
        <v>0</v>
      </c>
      <c r="O297" s="1195">
        <v>0</v>
      </c>
      <c r="P297" s="1501">
        <f t="shared" si="30"/>
        <v>193810</v>
      </c>
      <c r="Q297" s="1361">
        <f t="shared" si="33"/>
        <v>193810</v>
      </c>
      <c r="R297" s="1194" t="s">
        <v>251</v>
      </c>
      <c r="S297" s="1195" t="s">
        <v>251</v>
      </c>
      <c r="T297" s="1195" t="s">
        <v>251</v>
      </c>
      <c r="U297" s="1195"/>
      <c r="V297" s="1195"/>
      <c r="W297" s="1195"/>
      <c r="X297" s="1195"/>
      <c r="Y297" s="1195"/>
      <c r="Z297" s="1195"/>
      <c r="AA297" s="1195"/>
      <c r="AB297" s="1195"/>
      <c r="AC297" s="1195"/>
      <c r="AD297" s="1361">
        <f t="shared" si="31"/>
        <v>0</v>
      </c>
      <c r="AE297" s="51" t="e">
        <f>IF(OR(#REF!="", AD297=""), 0, IFERROR((#REF!-AD297)/AD297, IF(#REF!&lt;&gt;0, 1, 0)))</f>
        <v>#REF!</v>
      </c>
      <c r="AF297" s="1341">
        <f t="shared" si="32"/>
        <v>-1</v>
      </c>
      <c r="AG297" s="1310">
        <f t="shared" si="34"/>
        <v>149</v>
      </c>
    </row>
    <row r="298" spans="1:33" x14ac:dyDescent="0.3">
      <c r="A298" s="43" t="s">
        <v>759</v>
      </c>
      <c r="B298" s="1349" t="s">
        <v>905</v>
      </c>
      <c r="C298" s="1490" t="s">
        <v>251</v>
      </c>
      <c r="D298" s="1195" t="s">
        <v>251</v>
      </c>
      <c r="E298" s="1195" t="s">
        <v>251</v>
      </c>
      <c r="F298" s="1195" t="s">
        <v>251</v>
      </c>
      <c r="G298" s="1195" t="s">
        <v>251</v>
      </c>
      <c r="H298" s="1195" t="s">
        <v>251</v>
      </c>
      <c r="I298" s="1195" t="s">
        <v>251</v>
      </c>
      <c r="J298" s="1195" t="s">
        <v>251</v>
      </c>
      <c r="K298" s="1195"/>
      <c r="L298" s="1195" t="s">
        <v>251</v>
      </c>
      <c r="M298" s="1195" t="s">
        <v>251</v>
      </c>
      <c r="N298" s="1195" t="s">
        <v>251</v>
      </c>
      <c r="O298" s="1195" t="s">
        <v>251</v>
      </c>
      <c r="P298" s="1501">
        <f t="shared" si="30"/>
        <v>0</v>
      </c>
      <c r="Q298" s="1361">
        <f t="shared" si="33"/>
        <v>0</v>
      </c>
      <c r="R298" s="1194" t="s">
        <v>251</v>
      </c>
      <c r="S298" s="1195" t="s">
        <v>251</v>
      </c>
      <c r="T298" s="1195" t="s">
        <v>251</v>
      </c>
      <c r="U298" s="1195"/>
      <c r="V298" s="1195"/>
      <c r="W298" s="1195"/>
      <c r="X298" s="1195"/>
      <c r="Y298" s="1195"/>
      <c r="Z298" s="1195"/>
      <c r="AA298" s="1195"/>
      <c r="AB298" s="1195"/>
      <c r="AC298" s="1195"/>
      <c r="AD298" s="1361">
        <f t="shared" si="31"/>
        <v>0</v>
      </c>
      <c r="AE298" s="51" t="e">
        <f>IF(OR(#REF!="", AD298=""), 0, IFERROR((#REF!-AD298)/AD298, IF(#REF!&lt;&gt;0, 1, 0)))</f>
        <v>#REF!</v>
      </c>
      <c r="AF298" s="1341">
        <f t="shared" si="32"/>
        <v>0</v>
      </c>
      <c r="AG298" s="1310">
        <f t="shared" si="34"/>
        <v>149</v>
      </c>
    </row>
    <row r="299" spans="1:33" x14ac:dyDescent="0.3">
      <c r="A299" s="43" t="s">
        <v>759</v>
      </c>
      <c r="B299" s="1349" t="s">
        <v>894</v>
      </c>
      <c r="C299" s="1490" t="s">
        <v>251</v>
      </c>
      <c r="D299" s="1195" t="s">
        <v>251</v>
      </c>
      <c r="E299" s="1195" t="s">
        <v>251</v>
      </c>
      <c r="F299" s="1195" t="s">
        <v>251</v>
      </c>
      <c r="G299" s="1195" t="s">
        <v>251</v>
      </c>
      <c r="H299" s="1195" t="s">
        <v>251</v>
      </c>
      <c r="I299" s="1195" t="s">
        <v>251</v>
      </c>
      <c r="J299" s="1195" t="s">
        <v>251</v>
      </c>
      <c r="K299" s="1195"/>
      <c r="L299" s="1195" t="s">
        <v>251</v>
      </c>
      <c r="M299" s="1195" t="s">
        <v>251</v>
      </c>
      <c r="N299" s="1195" t="s">
        <v>251</v>
      </c>
      <c r="O299" s="1195" t="s">
        <v>251</v>
      </c>
      <c r="P299" s="1501">
        <f t="shared" si="30"/>
        <v>0</v>
      </c>
      <c r="Q299" s="1361">
        <f t="shared" si="33"/>
        <v>0</v>
      </c>
      <c r="R299" s="1194" t="s">
        <v>251</v>
      </c>
      <c r="S299" s="1195" t="s">
        <v>251</v>
      </c>
      <c r="T299" s="1195" t="s">
        <v>251</v>
      </c>
      <c r="U299" s="1195"/>
      <c r="V299" s="1195"/>
      <c r="W299" s="1195"/>
      <c r="X299" s="1195"/>
      <c r="Y299" s="1195"/>
      <c r="Z299" s="1195"/>
      <c r="AA299" s="1195"/>
      <c r="AB299" s="1195"/>
      <c r="AC299" s="1195"/>
      <c r="AD299" s="1361">
        <f t="shared" si="31"/>
        <v>0</v>
      </c>
      <c r="AE299" s="51" t="e">
        <f>IF(OR(#REF!="", AD299=""), 0, IFERROR((#REF!-AD299)/AD299, IF(#REF!&lt;&gt;0, 1, 0)))</f>
        <v>#REF!</v>
      </c>
      <c r="AF299" s="1341">
        <f t="shared" si="32"/>
        <v>0</v>
      </c>
      <c r="AG299" s="1310">
        <f t="shared" si="34"/>
        <v>149</v>
      </c>
    </row>
    <row r="300" spans="1:33" x14ac:dyDescent="0.3">
      <c r="A300" s="43" t="s">
        <v>759</v>
      </c>
      <c r="B300" s="1349" t="s">
        <v>1794</v>
      </c>
      <c r="C300" s="1490" t="s">
        <v>251</v>
      </c>
      <c r="D300" s="1195" t="s">
        <v>251</v>
      </c>
      <c r="E300" s="1195" t="s">
        <v>251</v>
      </c>
      <c r="F300" s="1195" t="s">
        <v>251</v>
      </c>
      <c r="G300" s="1195" t="s">
        <v>251</v>
      </c>
      <c r="H300" s="1195" t="s">
        <v>251</v>
      </c>
      <c r="I300" s="1195" t="s">
        <v>251</v>
      </c>
      <c r="J300" s="1195" t="s">
        <v>251</v>
      </c>
      <c r="K300" s="1195"/>
      <c r="L300" s="1195" t="s">
        <v>251</v>
      </c>
      <c r="M300" s="1195" t="s">
        <v>251</v>
      </c>
      <c r="N300" s="1195" t="s">
        <v>251</v>
      </c>
      <c r="O300" s="1195" t="s">
        <v>251</v>
      </c>
      <c r="P300" s="1501">
        <f t="shared" si="30"/>
        <v>0</v>
      </c>
      <c r="Q300" s="1361">
        <f t="shared" si="33"/>
        <v>0</v>
      </c>
      <c r="R300" s="1194" t="s">
        <v>251</v>
      </c>
      <c r="S300" s="1195" t="s">
        <v>251</v>
      </c>
      <c r="T300" s="1195" t="s">
        <v>251</v>
      </c>
      <c r="U300" s="1195"/>
      <c r="V300" s="1195"/>
      <c r="W300" s="1195"/>
      <c r="X300" s="1195"/>
      <c r="Y300" s="1195"/>
      <c r="Z300" s="1195"/>
      <c r="AA300" s="1195"/>
      <c r="AB300" s="1195"/>
      <c r="AC300" s="1195"/>
      <c r="AD300" s="1361">
        <f t="shared" si="31"/>
        <v>0</v>
      </c>
      <c r="AE300" s="51" t="e">
        <f>IF(OR(#REF!="", AD300=""), 0, IFERROR((#REF!-AD300)/AD300, IF(#REF!&lt;&gt;0, 1, 0)))</f>
        <v>#REF!</v>
      </c>
      <c r="AF300" s="1341">
        <f t="shared" si="32"/>
        <v>0</v>
      </c>
      <c r="AG300" s="1310">
        <f t="shared" si="34"/>
        <v>149</v>
      </c>
    </row>
    <row r="301" spans="1:33" x14ac:dyDescent="0.3">
      <c r="A301" s="43" t="s">
        <v>759</v>
      </c>
      <c r="B301" s="1349" t="s">
        <v>1945</v>
      </c>
      <c r="C301" s="1490"/>
      <c r="D301" s="1195"/>
      <c r="E301" s="1195"/>
      <c r="F301" s="1195"/>
      <c r="G301" s="1195"/>
      <c r="H301" s="1195"/>
      <c r="I301" s="1195"/>
      <c r="J301" s="1195" t="s">
        <v>251</v>
      </c>
      <c r="K301" s="1195"/>
      <c r="L301" s="1195" t="s">
        <v>251</v>
      </c>
      <c r="M301" s="1195" t="s">
        <v>251</v>
      </c>
      <c r="N301" s="1195" t="s">
        <v>251</v>
      </c>
      <c r="O301" s="1195" t="s">
        <v>251</v>
      </c>
      <c r="P301" s="1501">
        <f t="shared" si="30"/>
        <v>0</v>
      </c>
      <c r="Q301" s="1361">
        <f t="shared" si="33"/>
        <v>0</v>
      </c>
      <c r="R301" s="1194" t="s">
        <v>251</v>
      </c>
      <c r="S301" s="1195" t="s">
        <v>251</v>
      </c>
      <c r="T301" s="1195" t="s">
        <v>251</v>
      </c>
      <c r="U301" s="1195"/>
      <c r="V301" s="1195"/>
      <c r="W301" s="1195"/>
      <c r="X301" s="1195"/>
      <c r="Y301" s="1195"/>
      <c r="Z301" s="1195"/>
      <c r="AA301" s="1195"/>
      <c r="AB301" s="1195"/>
      <c r="AC301" s="1195"/>
      <c r="AD301" s="1361">
        <f t="shared" si="31"/>
        <v>0</v>
      </c>
      <c r="AE301" s="51"/>
      <c r="AF301" s="1341">
        <f t="shared" si="32"/>
        <v>0</v>
      </c>
      <c r="AG301" s="1310">
        <f t="shared" si="34"/>
        <v>149</v>
      </c>
    </row>
    <row r="302" spans="1:33" x14ac:dyDescent="0.3">
      <c r="A302" s="43" t="s">
        <v>759</v>
      </c>
      <c r="B302" s="1349" t="s">
        <v>2418</v>
      </c>
      <c r="C302" s="1490" t="s">
        <v>251</v>
      </c>
      <c r="D302" s="1195" t="s">
        <v>251</v>
      </c>
      <c r="E302" s="1195" t="s">
        <v>251</v>
      </c>
      <c r="F302" s="1195" t="s">
        <v>251</v>
      </c>
      <c r="G302" s="1195" t="s">
        <v>251</v>
      </c>
      <c r="H302" s="1195" t="s">
        <v>251</v>
      </c>
      <c r="I302" s="1195">
        <v>191000</v>
      </c>
      <c r="J302" s="1195">
        <v>408670</v>
      </c>
      <c r="K302" s="1195">
        <v>408670</v>
      </c>
      <c r="L302" s="1195">
        <v>0</v>
      </c>
      <c r="M302" s="1195">
        <v>0</v>
      </c>
      <c r="N302" s="1195">
        <v>0</v>
      </c>
      <c r="O302" s="1195">
        <v>0</v>
      </c>
      <c r="P302" s="1501">
        <f t="shared" si="30"/>
        <v>599670</v>
      </c>
      <c r="Q302" s="1361">
        <f t="shared" si="33"/>
        <v>599670</v>
      </c>
      <c r="R302" s="1194" t="s">
        <v>251</v>
      </c>
      <c r="S302" s="1195" t="s">
        <v>251</v>
      </c>
      <c r="T302" s="1195" t="s">
        <v>251</v>
      </c>
      <c r="U302" s="1195"/>
      <c r="V302" s="1195"/>
      <c r="W302" s="1195"/>
      <c r="X302" s="1195"/>
      <c r="Y302" s="1195"/>
      <c r="Z302" s="1195"/>
      <c r="AA302" s="1195"/>
      <c r="AB302" s="1195"/>
      <c r="AC302" s="1195"/>
      <c r="AD302" s="1361">
        <f t="shared" si="31"/>
        <v>0</v>
      </c>
      <c r="AE302" s="51" t="e">
        <f>IF(OR(#REF!="", AD302=""), 0, IFERROR((#REF!-AD302)/AD302, IF(#REF!&lt;&gt;0, 1, 0)))</f>
        <v>#REF!</v>
      </c>
      <c r="AF302" s="1341">
        <f t="shared" si="32"/>
        <v>-1</v>
      </c>
      <c r="AG302" s="1310">
        <f t="shared" si="34"/>
        <v>149</v>
      </c>
    </row>
    <row r="303" spans="1:33" x14ac:dyDescent="0.3">
      <c r="A303" s="43" t="s">
        <v>759</v>
      </c>
      <c r="B303" s="1349" t="s">
        <v>2430</v>
      </c>
      <c r="C303" s="1490"/>
      <c r="D303" s="1195"/>
      <c r="E303" s="1195"/>
      <c r="F303" s="1195"/>
      <c r="G303" s="1195"/>
      <c r="H303" s="1195"/>
      <c r="I303" s="1195"/>
      <c r="J303" s="1195"/>
      <c r="K303" s="1195"/>
      <c r="L303" s="1195">
        <v>1768180</v>
      </c>
      <c r="M303" s="1195">
        <v>0</v>
      </c>
      <c r="N303" s="1195">
        <v>0</v>
      </c>
      <c r="O303" s="1195">
        <v>0</v>
      </c>
      <c r="P303" s="1501">
        <f t="shared" si="30"/>
        <v>0</v>
      </c>
      <c r="Q303" s="1361">
        <f t="shared" si="33"/>
        <v>1768180</v>
      </c>
      <c r="R303" s="1194" t="s">
        <v>251</v>
      </c>
      <c r="S303" s="1195" t="s">
        <v>251</v>
      </c>
      <c r="T303" s="1195" t="s">
        <v>251</v>
      </c>
      <c r="U303" s="1195"/>
      <c r="V303" s="1195"/>
      <c r="W303" s="1195"/>
      <c r="X303" s="1195"/>
      <c r="Y303" s="1195"/>
      <c r="Z303" s="1195"/>
      <c r="AA303" s="1195"/>
      <c r="AB303" s="1195"/>
      <c r="AC303" s="1195"/>
      <c r="AD303" s="1361">
        <f t="shared" si="31"/>
        <v>0</v>
      </c>
      <c r="AE303" s="51"/>
      <c r="AF303" s="1341">
        <f t="shared" si="32"/>
        <v>0</v>
      </c>
      <c r="AG303" s="1310">
        <f t="shared" si="34"/>
        <v>149</v>
      </c>
    </row>
    <row r="304" spans="1:33" x14ac:dyDescent="0.3">
      <c r="A304" s="43" t="s">
        <v>759</v>
      </c>
      <c r="B304" s="1349" t="s">
        <v>787</v>
      </c>
      <c r="C304" s="1490"/>
      <c r="D304" s="1195"/>
      <c r="E304" s="1195"/>
      <c r="F304" s="1195"/>
      <c r="G304" s="1195"/>
      <c r="H304" s="1195"/>
      <c r="I304" s="1195"/>
      <c r="J304" s="1195"/>
      <c r="K304" s="1195"/>
      <c r="L304" s="1195"/>
      <c r="M304" s="1195">
        <v>53360</v>
      </c>
      <c r="N304" s="1195">
        <v>45270</v>
      </c>
      <c r="O304" s="1195">
        <v>0</v>
      </c>
      <c r="P304" s="1501">
        <f t="shared" si="30"/>
        <v>0</v>
      </c>
      <c r="Q304" s="1361">
        <f t="shared" si="33"/>
        <v>98630</v>
      </c>
      <c r="R304" s="1194" t="s">
        <v>251</v>
      </c>
      <c r="S304" s="1195" t="s">
        <v>251</v>
      </c>
      <c r="T304" s="1195" t="s">
        <v>251</v>
      </c>
      <c r="U304" s="1195"/>
      <c r="V304" s="1195"/>
      <c r="W304" s="1195"/>
      <c r="X304" s="1195"/>
      <c r="Y304" s="1195"/>
      <c r="Z304" s="1195"/>
      <c r="AA304" s="1195"/>
      <c r="AB304" s="1195"/>
      <c r="AC304" s="1195"/>
      <c r="AD304" s="1361">
        <f t="shared" si="31"/>
        <v>0</v>
      </c>
      <c r="AE304" s="51"/>
      <c r="AF304" s="1341">
        <f t="shared" si="32"/>
        <v>0</v>
      </c>
      <c r="AG304" s="1310">
        <f t="shared" si="34"/>
        <v>149</v>
      </c>
    </row>
    <row r="305" spans="1:33" x14ac:dyDescent="0.3">
      <c r="A305" s="43" t="s">
        <v>759</v>
      </c>
      <c r="B305" s="1349" t="s">
        <v>2433</v>
      </c>
      <c r="C305" s="1490"/>
      <c r="D305" s="1195"/>
      <c r="E305" s="1195"/>
      <c r="F305" s="1195"/>
      <c r="G305" s="1195"/>
      <c r="H305" s="1195"/>
      <c r="I305" s="1195"/>
      <c r="J305" s="1195"/>
      <c r="K305" s="1195"/>
      <c r="L305" s="1195"/>
      <c r="M305" s="1195">
        <v>2159730</v>
      </c>
      <c r="N305" s="1195">
        <v>0</v>
      </c>
      <c r="O305" s="1195">
        <v>0</v>
      </c>
      <c r="P305" s="1501">
        <f t="shared" si="30"/>
        <v>0</v>
      </c>
      <c r="Q305" s="1361">
        <f t="shared" si="33"/>
        <v>2159730</v>
      </c>
      <c r="R305" s="1194" t="s">
        <v>251</v>
      </c>
      <c r="S305" s="1195" t="s">
        <v>251</v>
      </c>
      <c r="T305" s="1195" t="s">
        <v>251</v>
      </c>
      <c r="U305" s="1195"/>
      <c r="V305" s="1195"/>
      <c r="W305" s="1195"/>
      <c r="X305" s="1195"/>
      <c r="Y305" s="1195"/>
      <c r="Z305" s="1195"/>
      <c r="AA305" s="1195"/>
      <c r="AB305" s="1195"/>
      <c r="AC305" s="1195"/>
      <c r="AD305" s="1361">
        <f t="shared" si="31"/>
        <v>0</v>
      </c>
      <c r="AE305" s="51"/>
      <c r="AF305" s="1341">
        <f t="shared" si="32"/>
        <v>0</v>
      </c>
      <c r="AG305" s="1310">
        <f t="shared" si="34"/>
        <v>149</v>
      </c>
    </row>
    <row r="306" spans="1:33" x14ac:dyDescent="0.3">
      <c r="A306" s="43" t="s">
        <v>759</v>
      </c>
      <c r="B306" s="1349" t="s">
        <v>793</v>
      </c>
      <c r="C306" s="1490"/>
      <c r="D306" s="1195"/>
      <c r="E306" s="1195"/>
      <c r="F306" s="1195"/>
      <c r="G306" s="1195"/>
      <c r="H306" s="1195"/>
      <c r="I306" s="1195"/>
      <c r="J306" s="1195"/>
      <c r="K306" s="1195"/>
      <c r="L306" s="1195"/>
      <c r="M306" s="1195">
        <v>438030</v>
      </c>
      <c r="N306" s="1195">
        <v>23870</v>
      </c>
      <c r="O306" s="1195">
        <v>0</v>
      </c>
      <c r="P306" s="1501">
        <f t="shared" si="30"/>
        <v>0</v>
      </c>
      <c r="Q306" s="1361">
        <f t="shared" si="33"/>
        <v>461900</v>
      </c>
      <c r="R306" s="1194" t="s">
        <v>251</v>
      </c>
      <c r="S306" s="1195" t="s">
        <v>251</v>
      </c>
      <c r="T306" s="1195">
        <v>0</v>
      </c>
      <c r="U306" s="1195">
        <v>0</v>
      </c>
      <c r="V306" s="1195">
        <v>0</v>
      </c>
      <c r="W306" s="1195">
        <v>0</v>
      </c>
      <c r="X306" s="1195">
        <v>0</v>
      </c>
      <c r="Y306" s="1195">
        <v>0</v>
      </c>
      <c r="Z306" s="1195"/>
      <c r="AA306" s="1195"/>
      <c r="AB306" s="1195"/>
      <c r="AC306" s="1195"/>
      <c r="AD306" s="1361">
        <f t="shared" si="31"/>
        <v>0</v>
      </c>
      <c r="AE306" s="51"/>
      <c r="AF306" s="1341">
        <f t="shared" si="32"/>
        <v>0</v>
      </c>
      <c r="AG306" s="1310">
        <f t="shared" si="34"/>
        <v>149</v>
      </c>
    </row>
    <row r="307" spans="1:33" x14ac:dyDescent="0.3">
      <c r="A307" s="43" t="s">
        <v>759</v>
      </c>
      <c r="B307" s="1349" t="s">
        <v>2436</v>
      </c>
      <c r="C307" s="1490"/>
      <c r="D307" s="1195"/>
      <c r="E307" s="1195"/>
      <c r="F307" s="1195"/>
      <c r="G307" s="1195"/>
      <c r="H307" s="1195"/>
      <c r="I307" s="1195"/>
      <c r="J307" s="1195"/>
      <c r="K307" s="1195"/>
      <c r="L307" s="1195"/>
      <c r="M307" s="1195"/>
      <c r="N307" s="1195">
        <v>318440</v>
      </c>
      <c r="O307" s="1195">
        <v>0</v>
      </c>
      <c r="P307" s="1501">
        <f t="shared" si="30"/>
        <v>0</v>
      </c>
      <c r="Q307" s="1361">
        <f t="shared" si="33"/>
        <v>318440</v>
      </c>
      <c r="R307" s="1194" t="s">
        <v>251</v>
      </c>
      <c r="S307" s="1195" t="s">
        <v>251</v>
      </c>
      <c r="T307" s="1195" t="s">
        <v>251</v>
      </c>
      <c r="U307" s="1195"/>
      <c r="V307" s="1195"/>
      <c r="W307" s="1195"/>
      <c r="X307" s="1195"/>
      <c r="Y307" s="1195"/>
      <c r="Z307" s="1195"/>
      <c r="AA307" s="1195"/>
      <c r="AB307" s="1195"/>
      <c r="AC307" s="1195"/>
      <c r="AD307" s="1361">
        <f t="shared" si="31"/>
        <v>0</v>
      </c>
      <c r="AE307" s="51"/>
      <c r="AF307" s="1341">
        <f t="shared" si="32"/>
        <v>0</v>
      </c>
      <c r="AG307" s="1310">
        <f t="shared" si="34"/>
        <v>149</v>
      </c>
    </row>
    <row r="308" spans="1:33" x14ac:dyDescent="0.3">
      <c r="A308" s="43" t="s">
        <v>759</v>
      </c>
      <c r="B308" s="1349" t="s">
        <v>2437</v>
      </c>
      <c r="C308" s="1490"/>
      <c r="D308" s="1195"/>
      <c r="E308" s="1195"/>
      <c r="F308" s="1195"/>
      <c r="G308" s="1195"/>
      <c r="H308" s="1195"/>
      <c r="I308" s="1195"/>
      <c r="J308" s="1195"/>
      <c r="K308" s="1195"/>
      <c r="L308" s="1195"/>
      <c r="M308" s="1195"/>
      <c r="N308" s="1195">
        <v>234350</v>
      </c>
      <c r="O308" s="1195">
        <v>0</v>
      </c>
      <c r="P308" s="1501">
        <f t="shared" si="30"/>
        <v>0</v>
      </c>
      <c r="Q308" s="1361">
        <f t="shared" si="33"/>
        <v>234350</v>
      </c>
      <c r="R308" s="1194" t="s">
        <v>251</v>
      </c>
      <c r="S308" s="1195" t="s">
        <v>251</v>
      </c>
      <c r="T308" s="1195" t="s">
        <v>251</v>
      </c>
      <c r="U308" s="1195"/>
      <c r="V308" s="1195"/>
      <c r="W308" s="1195"/>
      <c r="X308" s="1195"/>
      <c r="Y308" s="1195"/>
      <c r="Z308" s="1195"/>
      <c r="AA308" s="1195"/>
      <c r="AB308" s="1195"/>
      <c r="AC308" s="1195"/>
      <c r="AD308" s="1361">
        <f t="shared" si="31"/>
        <v>0</v>
      </c>
      <c r="AE308" s="51"/>
      <c r="AF308" s="1341">
        <f t="shared" si="32"/>
        <v>0</v>
      </c>
      <c r="AG308" s="1310">
        <f t="shared" si="34"/>
        <v>149</v>
      </c>
    </row>
    <row r="309" spans="1:33" x14ac:dyDescent="0.3">
      <c r="A309" s="43" t="s">
        <v>759</v>
      </c>
      <c r="B309" s="1349" t="s">
        <v>991</v>
      </c>
      <c r="C309" s="1490"/>
      <c r="D309" s="1195"/>
      <c r="E309" s="1195"/>
      <c r="F309" s="1195"/>
      <c r="G309" s="1195"/>
      <c r="H309" s="1195"/>
      <c r="I309" s="1195"/>
      <c r="J309" s="1195"/>
      <c r="K309" s="1195"/>
      <c r="L309" s="1195"/>
      <c r="M309" s="1195"/>
      <c r="N309" s="1195"/>
      <c r="O309" s="1195">
        <v>849990</v>
      </c>
      <c r="P309" s="1501">
        <f t="shared" si="30"/>
        <v>0</v>
      </c>
      <c r="Q309" s="1361">
        <f t="shared" si="33"/>
        <v>849990</v>
      </c>
      <c r="R309" s="1194" t="s">
        <v>251</v>
      </c>
      <c r="S309" s="1195" t="s">
        <v>251</v>
      </c>
      <c r="T309" s="1195" t="s">
        <v>251</v>
      </c>
      <c r="U309" s="1195">
        <v>215500</v>
      </c>
      <c r="V309" s="1195"/>
      <c r="W309" s="1195"/>
      <c r="X309" s="1195"/>
      <c r="Y309" s="1195"/>
      <c r="Z309" s="1195"/>
      <c r="AA309" s="1195"/>
      <c r="AB309" s="1195"/>
      <c r="AC309" s="1195"/>
      <c r="AD309" s="1361">
        <f t="shared" si="31"/>
        <v>215500</v>
      </c>
      <c r="AE309" s="51"/>
      <c r="AF309" s="1341">
        <f t="shared" si="32"/>
        <v>1</v>
      </c>
      <c r="AG309" s="1310">
        <f t="shared" si="34"/>
        <v>136</v>
      </c>
    </row>
    <row r="310" spans="1:33" x14ac:dyDescent="0.3">
      <c r="A310" s="43" t="s">
        <v>759</v>
      </c>
      <c r="B310" s="1350" t="s">
        <v>708</v>
      </c>
      <c r="C310" s="1490"/>
      <c r="D310" s="1195"/>
      <c r="E310" s="1195"/>
      <c r="F310" s="1195"/>
      <c r="G310" s="1195"/>
      <c r="H310" s="1195"/>
      <c r="I310" s="1195"/>
      <c r="J310" s="1195"/>
      <c r="K310" s="1195"/>
      <c r="L310" s="1195"/>
      <c r="M310" s="1195"/>
      <c r="N310" s="1195"/>
      <c r="O310" s="1195"/>
      <c r="P310" s="1501">
        <f t="shared" si="30"/>
        <v>0</v>
      </c>
      <c r="Q310" s="1361">
        <f t="shared" si="33"/>
        <v>0</v>
      </c>
      <c r="R310" s="1194">
        <v>497920</v>
      </c>
      <c r="S310" s="1195" t="s">
        <v>251</v>
      </c>
      <c r="T310" s="1195">
        <v>0</v>
      </c>
      <c r="U310" s="1195"/>
      <c r="V310" s="1195"/>
      <c r="W310" s="1195"/>
      <c r="X310" s="1195"/>
      <c r="Y310" s="1195"/>
      <c r="Z310" s="1195"/>
      <c r="AA310" s="1195"/>
      <c r="AB310" s="1195"/>
      <c r="AC310" s="1195"/>
      <c r="AD310" s="1361">
        <f t="shared" si="31"/>
        <v>497920</v>
      </c>
      <c r="AE310" s="51"/>
      <c r="AF310" s="1341">
        <f t="shared" si="32"/>
        <v>1</v>
      </c>
      <c r="AG310" s="1310">
        <f t="shared" si="34"/>
        <v>105</v>
      </c>
    </row>
    <row r="311" spans="1:33" x14ac:dyDescent="0.3">
      <c r="A311" s="43" t="s">
        <v>759</v>
      </c>
      <c r="B311" s="1350" t="s">
        <v>2475</v>
      </c>
      <c r="C311" s="1490"/>
      <c r="D311" s="1195"/>
      <c r="E311" s="1195"/>
      <c r="F311" s="1195"/>
      <c r="G311" s="1195"/>
      <c r="H311" s="1195"/>
      <c r="I311" s="1195"/>
      <c r="J311" s="1195"/>
      <c r="K311" s="1195"/>
      <c r="L311" s="1195"/>
      <c r="M311" s="1195"/>
      <c r="N311" s="1195"/>
      <c r="O311" s="1195"/>
      <c r="P311" s="1501">
        <f t="shared" si="30"/>
        <v>0</v>
      </c>
      <c r="Q311" s="1361">
        <f t="shared" si="33"/>
        <v>0</v>
      </c>
      <c r="R311" s="1194">
        <v>2129370</v>
      </c>
      <c r="S311" s="1195">
        <v>1194640</v>
      </c>
      <c r="T311" s="1195">
        <v>0</v>
      </c>
      <c r="U311" s="1195">
        <v>30200</v>
      </c>
      <c r="V311" s="1195">
        <v>0</v>
      </c>
      <c r="W311" s="1195">
        <v>0</v>
      </c>
      <c r="X311" s="1195"/>
      <c r="Y311" s="1195"/>
      <c r="Z311" s="1195"/>
      <c r="AA311" s="1195"/>
      <c r="AB311" s="1195"/>
      <c r="AC311" s="1195"/>
      <c r="AD311" s="1361">
        <f t="shared" si="31"/>
        <v>3354210</v>
      </c>
      <c r="AE311" s="51"/>
      <c r="AF311" s="1341">
        <f t="shared" si="32"/>
        <v>1</v>
      </c>
      <c r="AG311" s="1310">
        <f t="shared" si="34"/>
        <v>28</v>
      </c>
    </row>
    <row r="312" spans="1:33" x14ac:dyDescent="0.3">
      <c r="A312" s="43" t="s">
        <v>759</v>
      </c>
      <c r="B312" s="1448" t="s">
        <v>2509</v>
      </c>
      <c r="C312" s="1300"/>
      <c r="D312" s="1449"/>
      <c r="E312" s="1449"/>
      <c r="F312" s="1449"/>
      <c r="G312" s="1449"/>
      <c r="H312" s="1449"/>
      <c r="I312" s="1449"/>
      <c r="J312" s="1449"/>
      <c r="K312" s="1449"/>
      <c r="L312" s="1449"/>
      <c r="M312" s="1449"/>
      <c r="N312" s="1449"/>
      <c r="O312" s="1449"/>
      <c r="P312" s="1501">
        <f t="shared" si="30"/>
        <v>0</v>
      </c>
      <c r="Q312" s="1361">
        <f t="shared" si="33"/>
        <v>0</v>
      </c>
      <c r="R312" s="1299"/>
      <c r="S312" s="1449"/>
      <c r="T312" s="1449">
        <v>841390</v>
      </c>
      <c r="U312" s="1449">
        <v>88650</v>
      </c>
      <c r="V312" s="1449">
        <v>7425530</v>
      </c>
      <c r="W312" s="1449">
        <v>199890</v>
      </c>
      <c r="X312" s="1449">
        <v>0</v>
      </c>
      <c r="Y312" s="1449">
        <v>0</v>
      </c>
      <c r="Z312" s="1449"/>
      <c r="AA312" s="1449"/>
      <c r="AB312" s="1449"/>
      <c r="AC312" s="1449"/>
      <c r="AD312" s="1361">
        <f t="shared" si="31"/>
        <v>8555460</v>
      </c>
      <c r="AE312" s="51"/>
      <c r="AF312" s="1341">
        <f t="shared" si="32"/>
        <v>1</v>
      </c>
      <c r="AG312" s="1310">
        <f t="shared" si="34"/>
        <v>6</v>
      </c>
    </row>
    <row r="313" spans="1:33" x14ac:dyDescent="0.3">
      <c r="A313" s="1472" t="s">
        <v>759</v>
      </c>
      <c r="B313" s="1448" t="s">
        <v>2476</v>
      </c>
      <c r="C313" s="1300"/>
      <c r="D313" s="1449"/>
      <c r="E313" s="1449"/>
      <c r="F313" s="1449"/>
      <c r="G313" s="1449"/>
      <c r="H313" s="1449"/>
      <c r="I313" s="1449"/>
      <c r="J313" s="1449"/>
      <c r="K313" s="1449"/>
      <c r="L313" s="1449"/>
      <c r="M313" s="1449"/>
      <c r="N313" s="1449"/>
      <c r="O313" s="1449"/>
      <c r="P313" s="1501">
        <f t="shared" si="30"/>
        <v>0</v>
      </c>
      <c r="Q313" s="1361">
        <f t="shared" si="33"/>
        <v>0</v>
      </c>
      <c r="R313" s="1299">
        <v>412250</v>
      </c>
      <c r="S313" s="1449" t="s">
        <v>251</v>
      </c>
      <c r="T313" s="1449">
        <v>0</v>
      </c>
      <c r="U313" s="1449"/>
      <c r="V313" s="1449">
        <v>0</v>
      </c>
      <c r="W313" s="1449">
        <v>0</v>
      </c>
      <c r="X313" s="1449">
        <v>0</v>
      </c>
      <c r="Y313" s="1449">
        <v>0</v>
      </c>
      <c r="Z313" s="1449"/>
      <c r="AA313" s="1449"/>
      <c r="AB313" s="1449"/>
      <c r="AC313" s="1449"/>
      <c r="AD313" s="1473">
        <f t="shared" si="31"/>
        <v>412250</v>
      </c>
      <c r="AE313" s="1473">
        <f>SUM(S313:AD313)</f>
        <v>412250</v>
      </c>
      <c r="AF313" s="1341">
        <f t="shared" si="32"/>
        <v>1</v>
      </c>
      <c r="AG313" s="1310">
        <f t="shared" si="34"/>
        <v>113</v>
      </c>
    </row>
    <row r="314" spans="1:33" x14ac:dyDescent="0.3">
      <c r="A314" s="43" t="s">
        <v>759</v>
      </c>
      <c r="B314" s="1350" t="s">
        <v>802</v>
      </c>
      <c r="C314" s="1490"/>
      <c r="D314" s="1195"/>
      <c r="E314" s="1195"/>
      <c r="F314" s="1195"/>
      <c r="G314" s="1195"/>
      <c r="H314" s="1195"/>
      <c r="I314" s="1195"/>
      <c r="J314" s="1195"/>
      <c r="K314" s="1195"/>
      <c r="L314" s="1195"/>
      <c r="M314" s="1195"/>
      <c r="N314" s="1195"/>
      <c r="O314" s="1195"/>
      <c r="P314" s="1501">
        <f t="shared" si="30"/>
        <v>0</v>
      </c>
      <c r="Q314" s="1361">
        <f t="shared" si="33"/>
        <v>0</v>
      </c>
      <c r="R314" s="1195"/>
      <c r="S314" s="1195"/>
      <c r="T314" s="1195"/>
      <c r="U314" s="1195">
        <v>216320</v>
      </c>
      <c r="V314" s="1195">
        <v>0</v>
      </c>
      <c r="W314" s="1195">
        <v>0</v>
      </c>
      <c r="X314" s="1195">
        <v>0</v>
      </c>
      <c r="Y314" s="1195">
        <v>0</v>
      </c>
      <c r="Z314" s="1195"/>
      <c r="AA314" s="1195"/>
      <c r="AB314" s="1195"/>
      <c r="AC314" s="1195"/>
      <c r="AD314" s="1473">
        <f t="shared" si="31"/>
        <v>216320</v>
      </c>
      <c r="AE314" s="1341"/>
      <c r="AF314" s="1341">
        <f t="shared" si="32"/>
        <v>1</v>
      </c>
      <c r="AG314" s="1310">
        <f t="shared" si="34"/>
        <v>135</v>
      </c>
    </row>
    <row r="315" spans="1:33" x14ac:dyDescent="0.3">
      <c r="A315" s="43" t="s">
        <v>759</v>
      </c>
      <c r="B315" s="1350" t="s">
        <v>2832</v>
      </c>
      <c r="C315" s="1504"/>
      <c r="D315" s="1504"/>
      <c r="E315" s="1504"/>
      <c r="F315" s="1504"/>
      <c r="G315" s="1504"/>
      <c r="H315" s="1504"/>
      <c r="I315" s="1504"/>
      <c r="J315" s="1504"/>
      <c r="K315" s="1504"/>
      <c r="L315" s="1504"/>
      <c r="M315" s="1504"/>
      <c r="N315" s="1504"/>
      <c r="O315" s="1504"/>
      <c r="P315" s="1501">
        <f t="shared" si="30"/>
        <v>0</v>
      </c>
      <c r="Q315" s="1361">
        <f t="shared" si="33"/>
        <v>0</v>
      </c>
      <c r="R315" s="1504"/>
      <c r="S315" s="1504"/>
      <c r="T315" s="1504"/>
      <c r="U315" s="1504"/>
      <c r="V315" s="1504">
        <v>898580</v>
      </c>
      <c r="W315" s="1504">
        <v>811750</v>
      </c>
      <c r="X315" s="1504">
        <v>0</v>
      </c>
      <c r="Y315" s="1504">
        <v>0</v>
      </c>
      <c r="Z315" s="1504"/>
      <c r="AA315" s="1504"/>
      <c r="AB315" s="1504"/>
      <c r="AC315" s="1504"/>
      <c r="AD315" s="1473">
        <f t="shared" si="31"/>
        <v>1710330</v>
      </c>
      <c r="AE315" s="1505"/>
      <c r="AF315" s="1341">
        <f t="shared" si="32"/>
        <v>1</v>
      </c>
      <c r="AG315" s="1310">
        <f t="shared" si="34"/>
        <v>47</v>
      </c>
    </row>
    <row r="316" spans="1:33" x14ac:dyDescent="0.3">
      <c r="A316" s="43" t="s">
        <v>759</v>
      </c>
      <c r="B316" s="1350" t="s">
        <v>2833</v>
      </c>
      <c r="C316" s="1504"/>
      <c r="D316" s="1504"/>
      <c r="E316" s="1504"/>
      <c r="F316" s="1504"/>
      <c r="G316" s="1504"/>
      <c r="H316" s="1504"/>
      <c r="I316" s="1504"/>
      <c r="J316" s="1504"/>
      <c r="K316" s="1504"/>
      <c r="L316" s="1504"/>
      <c r="M316" s="1504"/>
      <c r="N316" s="1504"/>
      <c r="O316" s="1504"/>
      <c r="P316" s="1501">
        <f t="shared" si="30"/>
        <v>0</v>
      </c>
      <c r="Q316" s="1361">
        <f t="shared" si="33"/>
        <v>0</v>
      </c>
      <c r="R316" s="1504"/>
      <c r="S316" s="1504"/>
      <c r="T316" s="1504"/>
      <c r="U316" s="1504"/>
      <c r="V316" s="1504">
        <v>505440</v>
      </c>
      <c r="W316" s="1504">
        <v>0</v>
      </c>
      <c r="X316" s="1504">
        <v>0</v>
      </c>
      <c r="Y316" s="1504">
        <v>295460</v>
      </c>
      <c r="Z316" s="1504"/>
      <c r="AA316" s="1504"/>
      <c r="AB316" s="1504"/>
      <c r="AC316" s="1504"/>
      <c r="AD316" s="1473">
        <f t="shared" si="31"/>
        <v>800900</v>
      </c>
      <c r="AE316" s="1505"/>
      <c r="AF316" s="1341">
        <f t="shared" si="32"/>
        <v>1</v>
      </c>
      <c r="AG316" s="1310">
        <f t="shared" si="34"/>
        <v>80</v>
      </c>
    </row>
    <row r="317" spans="1:33" x14ac:dyDescent="0.3">
      <c r="A317" s="43" t="s">
        <v>759</v>
      </c>
      <c r="B317" s="1350" t="s">
        <v>2834</v>
      </c>
      <c r="C317" s="1504"/>
      <c r="D317" s="1504"/>
      <c r="E317" s="1504"/>
      <c r="F317" s="1504"/>
      <c r="G317" s="1504"/>
      <c r="H317" s="1504"/>
      <c r="I317" s="1504"/>
      <c r="J317" s="1504"/>
      <c r="K317" s="1504"/>
      <c r="L317" s="1504"/>
      <c r="M317" s="1504"/>
      <c r="N317" s="1504"/>
      <c r="O317" s="1504"/>
      <c r="P317" s="1501">
        <f t="shared" si="30"/>
        <v>0</v>
      </c>
      <c r="Q317" s="1361">
        <f t="shared" si="33"/>
        <v>0</v>
      </c>
      <c r="R317" s="1504"/>
      <c r="S317" s="1504"/>
      <c r="T317" s="1504"/>
      <c r="U317" s="1504"/>
      <c r="V317" s="1504">
        <v>442830</v>
      </c>
      <c r="W317" s="1504">
        <v>200030</v>
      </c>
      <c r="X317" s="1504">
        <v>0</v>
      </c>
      <c r="Y317" s="1504">
        <v>0</v>
      </c>
      <c r="Z317" s="1504"/>
      <c r="AA317" s="1504"/>
      <c r="AB317" s="1504"/>
      <c r="AC317" s="1504"/>
      <c r="AD317" s="1473">
        <f t="shared" si="31"/>
        <v>642860</v>
      </c>
      <c r="AE317" s="1505"/>
      <c r="AF317" s="1341">
        <f t="shared" si="32"/>
        <v>1</v>
      </c>
      <c r="AG317" s="1310">
        <f t="shared" si="34"/>
        <v>92</v>
      </c>
    </row>
    <row r="318" spans="1:33" x14ac:dyDescent="0.3">
      <c r="A318" s="43" t="s">
        <v>759</v>
      </c>
      <c r="B318" s="1350" t="s">
        <v>2609</v>
      </c>
      <c r="C318" s="1504"/>
      <c r="D318" s="1504"/>
      <c r="E318" s="1504"/>
      <c r="F318" s="1504"/>
      <c r="G318" s="1504"/>
      <c r="H318" s="1504"/>
      <c r="I318" s="1504"/>
      <c r="J318" s="1504"/>
      <c r="K318" s="1504"/>
      <c r="L318" s="1504"/>
      <c r="M318" s="1504"/>
      <c r="N318" s="1504"/>
      <c r="O318" s="1504"/>
      <c r="P318" s="1501">
        <f t="shared" si="30"/>
        <v>0</v>
      </c>
      <c r="Q318" s="1361">
        <f t="shared" si="33"/>
        <v>0</v>
      </c>
      <c r="R318" s="1504"/>
      <c r="S318" s="1504"/>
      <c r="T318" s="1504"/>
      <c r="U318" s="1504"/>
      <c r="V318" s="1504"/>
      <c r="W318" s="1504">
        <v>439530</v>
      </c>
      <c r="X318" s="1504">
        <v>0</v>
      </c>
      <c r="Y318" s="1504">
        <v>0</v>
      </c>
      <c r="Z318" s="1504"/>
      <c r="AA318" s="1504"/>
      <c r="AB318" s="1504"/>
      <c r="AC318" s="1504"/>
      <c r="AD318" s="1473">
        <f t="shared" si="31"/>
        <v>439530</v>
      </c>
      <c r="AE318" s="1505"/>
      <c r="AF318" s="1341">
        <f t="shared" si="32"/>
        <v>1</v>
      </c>
      <c r="AG318" s="1310">
        <f t="shared" si="34"/>
        <v>109</v>
      </c>
    </row>
    <row r="319" spans="1:33" x14ac:dyDescent="0.3">
      <c r="A319" s="43" t="s">
        <v>759</v>
      </c>
      <c r="B319" s="1350" t="s">
        <v>2889</v>
      </c>
      <c r="C319" s="1504"/>
      <c r="D319" s="1504"/>
      <c r="E319" s="1504"/>
      <c r="F319" s="1504"/>
      <c r="G319" s="1504"/>
      <c r="H319" s="1504"/>
      <c r="I319" s="1504"/>
      <c r="J319" s="1504"/>
      <c r="K319" s="1504"/>
      <c r="L319" s="1504"/>
      <c r="M319" s="1504"/>
      <c r="N319" s="1504"/>
      <c r="O319" s="1504"/>
      <c r="P319" s="1501">
        <f t="shared" si="30"/>
        <v>0</v>
      </c>
      <c r="Q319" s="1361">
        <f t="shared" si="33"/>
        <v>0</v>
      </c>
      <c r="R319" s="1504"/>
      <c r="S319" s="1504"/>
      <c r="T319" s="1504"/>
      <c r="U319" s="1504"/>
      <c r="V319" s="1504"/>
      <c r="W319" s="1504">
        <v>3927540</v>
      </c>
      <c r="X319" s="1504">
        <v>2309890</v>
      </c>
      <c r="Y319" s="1504">
        <v>0</v>
      </c>
      <c r="Z319" s="1504"/>
      <c r="AA319" s="1504"/>
      <c r="AB319" s="1504"/>
      <c r="AC319" s="1504"/>
      <c r="AD319" s="1473">
        <f t="shared" si="31"/>
        <v>6237430</v>
      </c>
      <c r="AE319" s="1505"/>
      <c r="AF319" s="1341">
        <f t="shared" si="32"/>
        <v>1</v>
      </c>
      <c r="AG319" s="1310">
        <f t="shared" si="34"/>
        <v>11</v>
      </c>
    </row>
    <row r="320" spans="1:33" x14ac:dyDescent="0.3">
      <c r="A320" s="43" t="s">
        <v>759</v>
      </c>
      <c r="B320" s="1350" t="s">
        <v>877</v>
      </c>
      <c r="C320" s="1504"/>
      <c r="D320" s="1504"/>
      <c r="E320" s="1504"/>
      <c r="F320" s="1504"/>
      <c r="G320" s="1504"/>
      <c r="H320" s="1504"/>
      <c r="I320" s="1504"/>
      <c r="J320" s="1504"/>
      <c r="K320" s="1504"/>
      <c r="L320" s="1504"/>
      <c r="M320" s="1504"/>
      <c r="N320" s="1504"/>
      <c r="O320" s="1504"/>
      <c r="P320" s="1501">
        <f t="shared" si="30"/>
        <v>0</v>
      </c>
      <c r="Q320" s="1361">
        <f t="shared" si="33"/>
        <v>0</v>
      </c>
      <c r="R320" s="1504"/>
      <c r="S320" s="1504"/>
      <c r="T320" s="1504"/>
      <c r="U320" s="1504"/>
      <c r="V320" s="1504"/>
      <c r="W320" s="1504">
        <v>739590</v>
      </c>
      <c r="X320" s="1504"/>
      <c r="Y320" s="1504"/>
      <c r="Z320" s="1504"/>
      <c r="AA320" s="1504"/>
      <c r="AB320" s="1504"/>
      <c r="AC320" s="1504"/>
      <c r="AD320" s="1473">
        <f t="shared" si="31"/>
        <v>739590</v>
      </c>
      <c r="AE320" s="1505"/>
      <c r="AF320" s="1341">
        <f t="shared" si="32"/>
        <v>1</v>
      </c>
      <c r="AG320" s="1310">
        <f t="shared" si="34"/>
        <v>81</v>
      </c>
    </row>
    <row r="321" spans="1:33" x14ac:dyDescent="0.3">
      <c r="A321" s="43" t="s">
        <v>759</v>
      </c>
      <c r="B321" s="1350" t="s">
        <v>2849</v>
      </c>
      <c r="C321" s="1504"/>
      <c r="D321" s="1504"/>
      <c r="E321" s="1504"/>
      <c r="F321" s="1504"/>
      <c r="G321" s="1504"/>
      <c r="H321" s="1504"/>
      <c r="I321" s="1504"/>
      <c r="J321" s="1504"/>
      <c r="K321" s="1504">
        <v>0</v>
      </c>
      <c r="L321" s="1504"/>
      <c r="M321" s="1504"/>
      <c r="N321" s="1504"/>
      <c r="O321" s="1504"/>
      <c r="P321" s="1501">
        <f t="shared" si="30"/>
        <v>0</v>
      </c>
      <c r="Q321" s="1361">
        <f t="shared" si="33"/>
        <v>0</v>
      </c>
      <c r="R321" s="1504"/>
      <c r="S321" s="1504"/>
      <c r="T321" s="1504"/>
      <c r="U321" s="1504"/>
      <c r="V321" s="1504"/>
      <c r="W321" s="1504"/>
      <c r="X321" s="1504">
        <v>618760</v>
      </c>
      <c r="Y321" s="1504">
        <v>0</v>
      </c>
      <c r="Z321" s="1504"/>
      <c r="AA321" s="1504"/>
      <c r="AB321" s="1504"/>
      <c r="AC321" s="1504"/>
      <c r="AD321" s="1473">
        <f t="shared" si="31"/>
        <v>618760</v>
      </c>
      <c r="AE321" s="1505"/>
      <c r="AF321" s="1341">
        <f t="shared" si="32"/>
        <v>1</v>
      </c>
      <c r="AG321" s="1310">
        <f t="shared" si="34"/>
        <v>93</v>
      </c>
    </row>
    <row r="322" spans="1:33" x14ac:dyDescent="0.3">
      <c r="A322" s="43" t="s">
        <v>759</v>
      </c>
      <c r="B322" s="1350" t="s">
        <v>2913</v>
      </c>
      <c r="C322" s="1504"/>
      <c r="D322" s="1504"/>
      <c r="E322" s="1504"/>
      <c r="F322" s="1504"/>
      <c r="G322" s="1504"/>
      <c r="H322" s="1504"/>
      <c r="I322" s="1504"/>
      <c r="J322" s="1504"/>
      <c r="K322" s="1504"/>
      <c r="L322" s="1504"/>
      <c r="M322" s="1504"/>
      <c r="N322" s="1504"/>
      <c r="O322" s="1504"/>
      <c r="P322" s="1501">
        <f t="shared" si="30"/>
        <v>0</v>
      </c>
      <c r="Q322" s="1361">
        <f t="shared" si="33"/>
        <v>0</v>
      </c>
      <c r="R322" s="1504"/>
      <c r="S322" s="1504"/>
      <c r="T322" s="1504"/>
      <c r="U322" s="1504"/>
      <c r="V322" s="1504"/>
      <c r="W322" s="1504">
        <v>253590</v>
      </c>
      <c r="X322" s="1504"/>
      <c r="Y322" s="1504"/>
      <c r="Z322" s="1504"/>
      <c r="AA322" s="1504"/>
      <c r="AB322" s="1504"/>
      <c r="AC322" s="1504"/>
      <c r="AD322" s="1473">
        <f t="shared" si="31"/>
        <v>253590</v>
      </c>
      <c r="AE322" s="1505"/>
      <c r="AF322" s="1341">
        <f t="shared" si="32"/>
        <v>1</v>
      </c>
      <c r="AG322" s="1310">
        <f t="shared" si="34"/>
        <v>128</v>
      </c>
    </row>
    <row r="323" spans="1:33" x14ac:dyDescent="0.3">
      <c r="A323" s="43" t="s">
        <v>759</v>
      </c>
      <c r="B323" s="1514" t="s">
        <v>630</v>
      </c>
      <c r="C323" s="1504"/>
      <c r="D323" s="1504"/>
      <c r="E323" s="1504"/>
      <c r="F323" s="1504"/>
      <c r="G323" s="1504"/>
      <c r="H323" s="1504"/>
      <c r="I323" s="1504"/>
      <c r="J323" s="1504"/>
      <c r="K323" s="1504"/>
      <c r="L323" s="1504"/>
      <c r="M323" s="1504"/>
      <c r="N323" s="1504"/>
      <c r="O323" s="1504"/>
      <c r="P323" s="1501">
        <f t="shared" si="30"/>
        <v>0</v>
      </c>
      <c r="Q323" s="1361">
        <f t="shared" si="33"/>
        <v>0</v>
      </c>
      <c r="R323" s="1504"/>
      <c r="S323" s="1504"/>
      <c r="T323" s="1504"/>
      <c r="U323" s="1504"/>
      <c r="V323" s="1504"/>
      <c r="W323" s="1504"/>
      <c r="X323" s="1504">
        <v>616840</v>
      </c>
      <c r="Y323" s="1504">
        <v>0</v>
      </c>
      <c r="Z323" s="1504"/>
      <c r="AA323" s="1504"/>
      <c r="AB323" s="1504"/>
      <c r="AC323" s="1504"/>
      <c r="AD323" s="1473">
        <f t="shared" si="31"/>
        <v>616840</v>
      </c>
      <c r="AE323" s="1505"/>
      <c r="AF323" s="1341">
        <f t="shared" si="32"/>
        <v>1</v>
      </c>
      <c r="AG323" s="1310">
        <f t="shared" si="34"/>
        <v>94</v>
      </c>
    </row>
    <row r="324" spans="1:33" x14ac:dyDescent="0.3">
      <c r="A324" s="43" t="s">
        <v>759</v>
      </c>
      <c r="B324" s="1514" t="s">
        <v>2975</v>
      </c>
      <c r="C324" s="1504"/>
      <c r="D324" s="1504"/>
      <c r="E324" s="1504"/>
      <c r="F324" s="1504"/>
      <c r="G324" s="1504"/>
      <c r="H324" s="1504"/>
      <c r="I324" s="1504"/>
      <c r="J324" s="1504"/>
      <c r="K324" s="1504"/>
      <c r="L324" s="1504"/>
      <c r="M324" s="1504"/>
      <c r="N324" s="1504"/>
      <c r="O324" s="1504"/>
      <c r="P324" s="1501">
        <f t="shared" si="30"/>
        <v>0</v>
      </c>
      <c r="Q324" s="1361">
        <f t="shared" si="33"/>
        <v>0</v>
      </c>
      <c r="R324" s="1504"/>
      <c r="S324" s="1504"/>
      <c r="T324" s="1504"/>
      <c r="U324" s="1504"/>
      <c r="V324" s="1504"/>
      <c r="W324" s="1504"/>
      <c r="X324" s="1504">
        <v>1255190</v>
      </c>
      <c r="Y324" s="1504">
        <v>0</v>
      </c>
      <c r="Z324" s="1504"/>
      <c r="AA324" s="1504"/>
      <c r="AB324" s="1504"/>
      <c r="AC324" s="1504"/>
      <c r="AD324" s="1473">
        <f t="shared" si="31"/>
        <v>1255190</v>
      </c>
      <c r="AE324" s="1505"/>
      <c r="AF324" s="1341">
        <f t="shared" si="32"/>
        <v>1</v>
      </c>
      <c r="AG324" s="1310">
        <f t="shared" si="34"/>
        <v>65</v>
      </c>
    </row>
    <row r="325" spans="1:33" x14ac:dyDescent="0.3">
      <c r="A325" s="43" t="s">
        <v>759</v>
      </c>
      <c r="B325" s="1514" t="s">
        <v>844</v>
      </c>
      <c r="C325" s="1504"/>
      <c r="D325" s="1504"/>
      <c r="E325" s="1504"/>
      <c r="F325" s="1504"/>
      <c r="G325" s="1504"/>
      <c r="H325" s="1504"/>
      <c r="I325" s="1504"/>
      <c r="J325" s="1504"/>
      <c r="K325" s="1504"/>
      <c r="L325" s="1504"/>
      <c r="M325" s="1504"/>
      <c r="N325" s="1504"/>
      <c r="O325" s="1504"/>
      <c r="P325" s="1501">
        <f t="shared" si="30"/>
        <v>0</v>
      </c>
      <c r="Q325" s="1361">
        <f t="shared" si="33"/>
        <v>0</v>
      </c>
      <c r="R325" s="1504"/>
      <c r="S325" s="1504"/>
      <c r="T325" s="1504"/>
      <c r="U325" s="1504"/>
      <c r="V325" s="1504"/>
      <c r="W325" s="1504"/>
      <c r="X325" s="1504"/>
      <c r="Y325" s="1504">
        <v>164570</v>
      </c>
      <c r="Z325" s="1504"/>
      <c r="AA325" s="1504"/>
      <c r="AB325" s="1504"/>
      <c r="AC325" s="1504"/>
      <c r="AD325" s="1473">
        <f t="shared" si="31"/>
        <v>164570</v>
      </c>
      <c r="AE325" s="1505"/>
      <c r="AF325" s="1341">
        <f t="shared" si="32"/>
        <v>1</v>
      </c>
      <c r="AG325" s="1310">
        <f t="shared" si="34"/>
        <v>144</v>
      </c>
    </row>
    <row r="326" spans="1:33" x14ac:dyDescent="0.3">
      <c r="A326" s="43" t="s">
        <v>759</v>
      </c>
      <c r="B326" s="1514" t="s">
        <v>29</v>
      </c>
      <c r="C326" s="1504"/>
      <c r="D326" s="1504"/>
      <c r="E326" s="1504"/>
      <c r="F326" s="1504"/>
      <c r="G326" s="1504"/>
      <c r="H326" s="1504"/>
      <c r="I326" s="1504"/>
      <c r="J326" s="1504"/>
      <c r="K326" s="1504"/>
      <c r="L326" s="1504"/>
      <c r="M326" s="1504"/>
      <c r="N326" s="1504"/>
      <c r="O326" s="1504"/>
      <c r="P326" s="1501">
        <f t="shared" si="30"/>
        <v>0</v>
      </c>
      <c r="Q326" s="1361">
        <f t="shared" si="33"/>
        <v>0</v>
      </c>
      <c r="R326" s="1504"/>
      <c r="S326" s="1504"/>
      <c r="T326" s="1504"/>
      <c r="U326" s="1504"/>
      <c r="V326" s="1504"/>
      <c r="W326" s="1504"/>
      <c r="X326" s="1504"/>
      <c r="Y326" s="1504">
        <v>396420</v>
      </c>
      <c r="Z326" s="1504"/>
      <c r="AA326" s="1504"/>
      <c r="AB326" s="1504"/>
      <c r="AC326" s="1504"/>
      <c r="AD326" s="1473">
        <f t="shared" si="31"/>
        <v>396420</v>
      </c>
      <c r="AE326" s="1505"/>
      <c r="AF326" s="1341">
        <f t="shared" si="32"/>
        <v>1</v>
      </c>
      <c r="AG326" s="1310">
        <f t="shared" si="34"/>
        <v>115</v>
      </c>
    </row>
    <row r="327" spans="1:33" x14ac:dyDescent="0.3">
      <c r="A327" s="43" t="s">
        <v>759</v>
      </c>
      <c r="B327" s="1514" t="s">
        <v>723</v>
      </c>
      <c r="C327" s="1504"/>
      <c r="D327" s="1504"/>
      <c r="E327" s="1504"/>
      <c r="F327" s="1504"/>
      <c r="G327" s="1504"/>
      <c r="H327" s="1504"/>
      <c r="I327" s="1504"/>
      <c r="J327" s="1504"/>
      <c r="K327" s="1504"/>
      <c r="L327" s="1504"/>
      <c r="M327" s="1504"/>
      <c r="N327" s="1504"/>
      <c r="O327" s="1504"/>
      <c r="P327" s="1501">
        <f t="shared" ref="P327:P328" si="35">SUM(C327:I327,K327)</f>
        <v>0</v>
      </c>
      <c r="Q327" s="1361">
        <f t="shared" si="33"/>
        <v>0</v>
      </c>
      <c r="R327" s="1504"/>
      <c r="S327" s="1504"/>
      <c r="T327" s="1504"/>
      <c r="U327" s="1504"/>
      <c r="V327" s="1504"/>
      <c r="W327" s="1504"/>
      <c r="X327" s="1504"/>
      <c r="Y327" s="1504">
        <v>138400</v>
      </c>
      <c r="Z327" s="1504"/>
      <c r="AA327" s="1504"/>
      <c r="AB327" s="1504"/>
      <c r="AC327" s="1504"/>
      <c r="AD327" s="1473">
        <f t="shared" si="31"/>
        <v>138400</v>
      </c>
      <c r="AE327" s="1505"/>
      <c r="AF327" s="1341">
        <f t="shared" si="32"/>
        <v>1</v>
      </c>
      <c r="AG327" s="1310">
        <f t="shared" si="34"/>
        <v>146</v>
      </c>
    </row>
    <row r="328" spans="1:33" x14ac:dyDescent="0.3">
      <c r="A328" s="43" t="s">
        <v>759</v>
      </c>
      <c r="B328" s="1514" t="s">
        <v>3053</v>
      </c>
      <c r="C328" s="1504"/>
      <c r="D328" s="1504"/>
      <c r="E328" s="1504"/>
      <c r="F328" s="1504"/>
      <c r="G328" s="1504"/>
      <c r="H328" s="1504"/>
      <c r="I328" s="1504"/>
      <c r="J328" s="1504"/>
      <c r="K328" s="1504"/>
      <c r="L328" s="1504"/>
      <c r="M328" s="1504"/>
      <c r="N328" s="1504"/>
      <c r="O328" s="1504"/>
      <c r="P328" s="1501">
        <f t="shared" si="35"/>
        <v>0</v>
      </c>
      <c r="Q328" s="1361">
        <f t="shared" si="33"/>
        <v>0</v>
      </c>
      <c r="R328" s="1504"/>
      <c r="S328" s="1504"/>
      <c r="T328" s="1504"/>
      <c r="U328" s="1504"/>
      <c r="V328" s="1504"/>
      <c r="W328" s="1504"/>
      <c r="X328" s="1504"/>
      <c r="Y328" s="1504">
        <v>91020</v>
      </c>
      <c r="Z328" s="1504"/>
      <c r="AA328" s="1504"/>
      <c r="AB328" s="1504"/>
      <c r="AC328" s="1504"/>
      <c r="AD328" s="1473">
        <f t="shared" si="31"/>
        <v>91020</v>
      </c>
      <c r="AE328" s="1505"/>
      <c r="AF328" s="1341">
        <f t="shared" si="32"/>
        <v>1</v>
      </c>
      <c r="AG328" s="1310">
        <f t="shared" si="34"/>
        <v>148</v>
      </c>
    </row>
    <row r="329" spans="1:33" ht="17.25" thickBot="1" x14ac:dyDescent="0.35">
      <c r="A329" s="1544" t="s">
        <v>250</v>
      </c>
      <c r="B329" s="1545"/>
      <c r="C329" s="1196">
        <f>SUM(C2:C328)</f>
        <v>32208510</v>
      </c>
      <c r="D329" s="1196">
        <f t="shared" ref="D329:AD329" si="36">SUM(D2:D328)</f>
        <v>31273450</v>
      </c>
      <c r="E329" s="1196">
        <f t="shared" si="36"/>
        <v>71007470</v>
      </c>
      <c r="F329" s="1196">
        <f t="shared" si="36"/>
        <v>73217350</v>
      </c>
      <c r="G329" s="1196">
        <f t="shared" si="36"/>
        <v>39389440</v>
      </c>
      <c r="H329" s="1196">
        <f t="shared" si="36"/>
        <v>30040150</v>
      </c>
      <c r="I329" s="1196">
        <f t="shared" si="36"/>
        <v>32747040</v>
      </c>
      <c r="J329" s="1196">
        <f t="shared" si="36"/>
        <v>63099030</v>
      </c>
      <c r="K329" s="1196">
        <f t="shared" si="36"/>
        <v>47260850</v>
      </c>
      <c r="L329" s="1196">
        <f t="shared" si="36"/>
        <v>81823040</v>
      </c>
      <c r="M329" s="1196">
        <f t="shared" si="36"/>
        <v>51239770</v>
      </c>
      <c r="N329" s="1196">
        <f t="shared" si="36"/>
        <v>44229680</v>
      </c>
      <c r="O329" s="1196">
        <f t="shared" si="36"/>
        <v>109100040</v>
      </c>
      <c r="P329" s="1196">
        <f t="shared" si="36"/>
        <v>357144260</v>
      </c>
      <c r="Q329" s="1196">
        <f t="shared" si="36"/>
        <v>659374970</v>
      </c>
      <c r="R329" s="1196">
        <f t="shared" si="36"/>
        <v>97465030</v>
      </c>
      <c r="S329" s="1196">
        <f t="shared" si="36"/>
        <v>7542200</v>
      </c>
      <c r="T329" s="1196">
        <f t="shared" si="36"/>
        <v>41210380</v>
      </c>
      <c r="U329" s="1196">
        <f t="shared" si="36"/>
        <v>77378270</v>
      </c>
      <c r="V329" s="1196">
        <f t="shared" si="36"/>
        <v>97984430</v>
      </c>
      <c r="W329" s="1196">
        <f t="shared" si="36"/>
        <v>52995360</v>
      </c>
      <c r="X329" s="1196">
        <f t="shared" si="36"/>
        <v>64190010</v>
      </c>
      <c r="Y329" s="1196">
        <f t="shared" si="36"/>
        <v>49725680</v>
      </c>
      <c r="Z329" s="1196">
        <f t="shared" si="36"/>
        <v>0</v>
      </c>
      <c r="AA329" s="1196">
        <f t="shared" si="36"/>
        <v>0</v>
      </c>
      <c r="AB329" s="1196">
        <f t="shared" si="36"/>
        <v>0</v>
      </c>
      <c r="AC329" s="1196">
        <f t="shared" si="36"/>
        <v>0</v>
      </c>
      <c r="AD329" s="1196">
        <f t="shared" si="36"/>
        <v>488491360</v>
      </c>
      <c r="AE329" s="1196" t="e">
        <f t="shared" ref="AE329" si="37">SUM(AE2:AE324)</f>
        <v>#REF!</v>
      </c>
      <c r="AF329" s="1304">
        <f t="shared" si="32"/>
        <v>0.36777043539772974</v>
      </c>
      <c r="AG329" s="1305"/>
    </row>
  </sheetData>
  <mergeCells count="1">
    <mergeCell ref="A329:B329"/>
  </mergeCells>
  <phoneticPr fontId="2" type="noConversion"/>
  <pageMargins left="0.7" right="0.7" top="0.75" bottom="0.75" header="0.3" footer="0.3"/>
  <pageSetup paperSize="9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6B48-214C-415B-9D6F-724F99AB114A}">
  <dimension ref="A1:AL289"/>
  <sheetViews>
    <sheetView topLeftCell="R17" zoomScale="70" zoomScaleNormal="70" workbookViewId="0">
      <selection activeCell="P1" sqref="P1:P1048576"/>
    </sheetView>
  </sheetViews>
  <sheetFormatPr defaultRowHeight="16.5" x14ac:dyDescent="0.3"/>
  <cols>
    <col min="1" max="1" width="23.5" style="1" customWidth="1"/>
    <col min="2" max="2" width="44.25" style="1" customWidth="1"/>
    <col min="3" max="10" width="13.625" style="30" customWidth="1"/>
    <col min="11" max="11" width="13.625" style="30" hidden="1" customWidth="1"/>
    <col min="12" max="15" width="13.625" style="30" customWidth="1"/>
    <col min="16" max="16" width="13.625" style="30" hidden="1" customWidth="1"/>
    <col min="17" max="17" width="13.625" style="1297" customWidth="1"/>
    <col min="18" max="29" width="13.625" style="30" customWidth="1"/>
    <col min="30" max="30" width="13.625" style="1297" customWidth="1"/>
    <col min="31" max="32" width="10.625" customWidth="1"/>
    <col min="34" max="34" width="35.625" customWidth="1"/>
    <col min="35" max="38" width="20.625" customWidth="1"/>
    <col min="41" max="41" width="15.375" customWidth="1"/>
  </cols>
  <sheetData>
    <row r="1" spans="1:38" ht="33.75" thickBot="1" x14ac:dyDescent="0.35">
      <c r="A1" s="35" t="s">
        <v>0</v>
      </c>
      <c r="B1" s="36" t="s">
        <v>1</v>
      </c>
      <c r="C1" s="1187" t="s">
        <v>2366</v>
      </c>
      <c r="D1" s="1187" t="s">
        <v>2367</v>
      </c>
      <c r="E1" s="1187" t="s">
        <v>2368</v>
      </c>
      <c r="F1" s="1187" t="s">
        <v>2369</v>
      </c>
      <c r="G1" s="1187" t="s">
        <v>2370</v>
      </c>
      <c r="H1" s="1187" t="s">
        <v>2371</v>
      </c>
      <c r="I1" s="1187" t="s">
        <v>2372</v>
      </c>
      <c r="J1" s="1187" t="s">
        <v>2373</v>
      </c>
      <c r="K1" s="1406" t="s">
        <v>3035</v>
      </c>
      <c r="L1" s="1187" t="s">
        <v>2374</v>
      </c>
      <c r="M1" s="1187" t="s">
        <v>2375</v>
      </c>
      <c r="N1" s="1187" t="s">
        <v>2376</v>
      </c>
      <c r="O1" s="1187" t="s">
        <v>2377</v>
      </c>
      <c r="P1" s="1495" t="s">
        <v>3037</v>
      </c>
      <c r="Q1" s="1197" t="s">
        <v>2378</v>
      </c>
      <c r="R1" s="1301" t="s">
        <v>2527</v>
      </c>
      <c r="S1" s="1301" t="s">
        <v>2577</v>
      </c>
      <c r="T1" s="1301" t="s">
        <v>2634</v>
      </c>
      <c r="U1" s="1301" t="s">
        <v>2727</v>
      </c>
      <c r="V1" s="1301" t="s">
        <v>2805</v>
      </c>
      <c r="W1" s="1406" t="s">
        <v>2891</v>
      </c>
      <c r="X1" s="1301" t="s">
        <v>2979</v>
      </c>
      <c r="Y1" s="1406" t="s">
        <v>3038</v>
      </c>
      <c r="Z1" s="1187" t="s">
        <v>2407</v>
      </c>
      <c r="AA1" s="1187" t="s">
        <v>2408</v>
      </c>
      <c r="AB1" s="1187" t="s">
        <v>2409</v>
      </c>
      <c r="AC1" s="1187" t="s">
        <v>2410</v>
      </c>
      <c r="AD1" s="1197" t="s">
        <v>2411</v>
      </c>
      <c r="AE1" s="482" t="s">
        <v>2414</v>
      </c>
      <c r="AF1" s="532" t="s">
        <v>516</v>
      </c>
    </row>
    <row r="2" spans="1:38" ht="17.25" thickBot="1" x14ac:dyDescent="0.35">
      <c r="A2" s="52" t="s">
        <v>910</v>
      </c>
      <c r="B2" s="1198" t="s">
        <v>911</v>
      </c>
      <c r="C2" s="1199">
        <v>1150670</v>
      </c>
      <c r="D2" s="1200">
        <v>0</v>
      </c>
      <c r="E2" s="1200">
        <v>112110</v>
      </c>
      <c r="F2" s="1200">
        <v>460470</v>
      </c>
      <c r="G2" s="1200">
        <v>498810</v>
      </c>
      <c r="H2" s="1200">
        <v>2261420</v>
      </c>
      <c r="I2" s="1200">
        <v>5145540</v>
      </c>
      <c r="J2" s="1200">
        <v>668620</v>
      </c>
      <c r="K2" s="1200">
        <v>668620</v>
      </c>
      <c r="L2" s="1200">
        <v>40610</v>
      </c>
      <c r="M2" s="1200"/>
      <c r="N2" s="1200">
        <v>476310</v>
      </c>
      <c r="O2" s="1200">
        <v>810710</v>
      </c>
      <c r="P2" s="1503">
        <f>SUM(C2:I2,K2)</f>
        <v>10297640</v>
      </c>
      <c r="Q2" s="1201">
        <f>SUM(C2:J2,L2:O2)</f>
        <v>11625270</v>
      </c>
      <c r="R2" s="1199">
        <v>849230</v>
      </c>
      <c r="S2" s="1200" t="s">
        <v>251</v>
      </c>
      <c r="T2" s="1200">
        <v>0</v>
      </c>
      <c r="U2" s="1200">
        <v>0</v>
      </c>
      <c r="V2" s="1200">
        <v>790000</v>
      </c>
      <c r="W2" s="1200">
        <v>338000</v>
      </c>
      <c r="X2" s="1200">
        <v>3438340</v>
      </c>
      <c r="Y2" s="1200">
        <v>1356660</v>
      </c>
      <c r="Z2" s="1200"/>
      <c r="AA2" s="1200"/>
      <c r="AB2" s="1200"/>
      <c r="AC2" s="1200"/>
      <c r="AD2" s="1201">
        <f>SUM(R2:AC2)</f>
        <v>6772230</v>
      </c>
      <c r="AE2" s="50">
        <f t="shared" ref="AE2:AE33" si="0">IF(OR(AD2="",P2=""), 0, IFERROR((AD2-P2)/P2, IF(AD2&lt;&gt;0, 1, 0)))</f>
        <v>-0.34235125718125708</v>
      </c>
      <c r="AF2" s="33">
        <f>IFERROR(_xlfn.RANK.EQ(AD2, $AD$2:$AD$288), "")</f>
        <v>23</v>
      </c>
    </row>
    <row r="3" spans="1:38" x14ac:dyDescent="0.3">
      <c r="A3" s="52" t="s">
        <v>910</v>
      </c>
      <c r="B3" s="1198" t="s">
        <v>912</v>
      </c>
      <c r="C3" s="1191">
        <v>2425380</v>
      </c>
      <c r="D3" s="1192">
        <v>0</v>
      </c>
      <c r="E3" s="1192">
        <v>1053020</v>
      </c>
      <c r="F3" s="1192">
        <v>3023370</v>
      </c>
      <c r="G3" s="1192">
        <v>3461840</v>
      </c>
      <c r="H3" s="1192">
        <v>3226490</v>
      </c>
      <c r="I3" s="1192">
        <v>1028950</v>
      </c>
      <c r="J3" s="1192">
        <v>1463900</v>
      </c>
      <c r="K3" s="1192">
        <v>946440</v>
      </c>
      <c r="L3" s="1192">
        <v>713970</v>
      </c>
      <c r="M3" s="1192">
        <v>1541000</v>
      </c>
      <c r="N3" s="1192">
        <v>1387980</v>
      </c>
      <c r="O3" s="1192">
        <v>623970</v>
      </c>
      <c r="P3" s="1502">
        <f>SUM(C3:I3,K3)</f>
        <v>15165490</v>
      </c>
      <c r="Q3" s="1202">
        <f>SUM(C3:J3,L3:O3)</f>
        <v>19949870</v>
      </c>
      <c r="R3" s="1191">
        <v>3715500</v>
      </c>
      <c r="S3" s="1192">
        <v>224990</v>
      </c>
      <c r="T3" s="1192">
        <v>1431000</v>
      </c>
      <c r="U3" s="1192">
        <v>4053600</v>
      </c>
      <c r="V3" s="1192">
        <v>1970460</v>
      </c>
      <c r="W3" s="1192">
        <v>1474840</v>
      </c>
      <c r="X3" s="1192">
        <v>4666760</v>
      </c>
      <c r="Y3" s="1192">
        <v>417480</v>
      </c>
      <c r="Z3" s="1192"/>
      <c r="AA3" s="1192"/>
      <c r="AB3" s="1192"/>
      <c r="AC3" s="1192"/>
      <c r="AD3" s="1202">
        <f>SUM(R3:AC3)</f>
        <v>17954630</v>
      </c>
      <c r="AE3" s="50">
        <f t="shared" si="0"/>
        <v>0.18391360912176263</v>
      </c>
      <c r="AF3" s="33">
        <f>IFERROR(_xlfn.RANK.EQ(AD3, $AD$2:$AD$288), "")</f>
        <v>9</v>
      </c>
      <c r="AH3" s="1386" t="s">
        <v>2477</v>
      </c>
      <c r="AI3" s="1397" t="s">
        <v>2836</v>
      </c>
      <c r="AJ3" s="1397" t="s">
        <v>2837</v>
      </c>
      <c r="AK3" s="1400" t="s">
        <v>784</v>
      </c>
      <c r="AL3" s="1401" t="s">
        <v>515</v>
      </c>
    </row>
    <row r="4" spans="1:38" x14ac:dyDescent="0.3">
      <c r="A4" s="53" t="s">
        <v>910</v>
      </c>
      <c r="B4" s="1198" t="s">
        <v>913</v>
      </c>
      <c r="C4" s="1191">
        <v>358830</v>
      </c>
      <c r="D4" s="1192">
        <v>0</v>
      </c>
      <c r="E4" s="1192">
        <v>851960</v>
      </c>
      <c r="F4" s="1192">
        <v>817070</v>
      </c>
      <c r="G4" s="1192">
        <v>415450</v>
      </c>
      <c r="H4" s="1192">
        <v>627970</v>
      </c>
      <c r="I4" s="1192">
        <v>730030</v>
      </c>
      <c r="J4" s="1192">
        <v>1356870</v>
      </c>
      <c r="K4" s="1192">
        <v>886620</v>
      </c>
      <c r="L4" s="1192">
        <v>706430</v>
      </c>
      <c r="M4" s="1192">
        <v>823550</v>
      </c>
      <c r="N4" s="1192">
        <v>548000</v>
      </c>
      <c r="O4" s="1192">
        <v>311000</v>
      </c>
      <c r="P4" s="1502">
        <f t="shared" ref="P4:P67" si="1">SUM(C4:I4,K4)</f>
        <v>4687930</v>
      </c>
      <c r="Q4" s="1202">
        <f t="shared" ref="Q4:Q67" si="2">SUM(C4:J4,L4:O4)</f>
        <v>7547160</v>
      </c>
      <c r="R4" s="1191">
        <v>954090</v>
      </c>
      <c r="S4" s="1192">
        <v>177800</v>
      </c>
      <c r="T4" s="1192">
        <v>360000</v>
      </c>
      <c r="U4" s="1192">
        <v>972150</v>
      </c>
      <c r="V4" s="1192">
        <v>750070</v>
      </c>
      <c r="W4" s="1192">
        <v>795400</v>
      </c>
      <c r="X4" s="1192">
        <v>141000</v>
      </c>
      <c r="Y4" s="1192">
        <v>145000</v>
      </c>
      <c r="Z4" s="1192"/>
      <c r="AA4" s="1192"/>
      <c r="AB4" s="1192"/>
      <c r="AC4" s="1192"/>
      <c r="AD4" s="1202">
        <f t="shared" ref="AD4:AD74" si="3">SUM(R4:AC4)</f>
        <v>4295510</v>
      </c>
      <c r="AE4" s="50">
        <f t="shared" si="0"/>
        <v>-8.3708587798879255E-2</v>
      </c>
      <c r="AF4" s="33">
        <f t="shared" ref="AF4:AF67" si="4">IFERROR(_xlfn.RANK.EQ(AD4, $AD$2:$AD$288), "")</f>
        <v>32</v>
      </c>
      <c r="AH4" s="1370" t="s">
        <v>759</v>
      </c>
      <c r="AI4" s="1398">
        <v>59020150</v>
      </c>
      <c r="AJ4" s="1507">
        <v>141244450</v>
      </c>
      <c r="AK4" s="1391">
        <f>AJ4-AI4</f>
        <v>82224300</v>
      </c>
      <c r="AL4" s="1030">
        <f>IFERROR((AJ4-AI4)/AI4, 0)</f>
        <v>1.3931564050582725</v>
      </c>
    </row>
    <row r="5" spans="1:38" x14ac:dyDescent="0.3">
      <c r="A5" s="53" t="s">
        <v>910</v>
      </c>
      <c r="B5" s="1198" t="s">
        <v>914</v>
      </c>
      <c r="C5" s="1191">
        <v>0</v>
      </c>
      <c r="D5" s="1192">
        <v>652720</v>
      </c>
      <c r="E5" s="1192">
        <v>0</v>
      </c>
      <c r="F5" s="1192">
        <v>0</v>
      </c>
      <c r="G5" s="1192">
        <v>0</v>
      </c>
      <c r="H5" s="1192">
        <v>0</v>
      </c>
      <c r="I5" s="1192">
        <v>0</v>
      </c>
      <c r="J5" s="1192">
        <v>0</v>
      </c>
      <c r="K5" s="1192">
        <v>0</v>
      </c>
      <c r="L5" s="1192">
        <v>0</v>
      </c>
      <c r="M5" s="1192"/>
      <c r="N5" s="1192">
        <v>0</v>
      </c>
      <c r="O5" s="1192">
        <v>0</v>
      </c>
      <c r="P5" s="1502">
        <f t="shared" si="1"/>
        <v>652720</v>
      </c>
      <c r="Q5" s="1202">
        <f t="shared" si="2"/>
        <v>652720</v>
      </c>
      <c r="R5" s="1191" t="s">
        <v>251</v>
      </c>
      <c r="S5" s="1192" t="s">
        <v>251</v>
      </c>
      <c r="T5" s="1192" t="s">
        <v>251</v>
      </c>
      <c r="U5" s="1192"/>
      <c r="V5" s="1192"/>
      <c r="W5" s="1192"/>
      <c r="X5" s="1192"/>
      <c r="Y5" s="1192"/>
      <c r="Z5" s="1192"/>
      <c r="AA5" s="1192"/>
      <c r="AB5" s="1192"/>
      <c r="AC5" s="1192"/>
      <c r="AD5" s="1202">
        <f t="shared" si="3"/>
        <v>0</v>
      </c>
      <c r="AE5" s="50">
        <f t="shared" si="0"/>
        <v>-1</v>
      </c>
      <c r="AF5" s="33">
        <f t="shared" si="4"/>
        <v>119</v>
      </c>
      <c r="AH5" s="1370" t="s">
        <v>2611</v>
      </c>
      <c r="AI5" s="1398">
        <v>1067080</v>
      </c>
      <c r="AJ5" s="1398">
        <v>52058430</v>
      </c>
      <c r="AK5" s="1391">
        <f t="shared" ref="AK5:AK43" si="5">AJ5-AI5</f>
        <v>50991350</v>
      </c>
      <c r="AL5" s="1030">
        <f t="shared" ref="AL5:AL43" si="6">IFERROR((AJ5-AI5)/AI5, 0)</f>
        <v>47.785873598980395</v>
      </c>
    </row>
    <row r="6" spans="1:38" x14ac:dyDescent="0.3">
      <c r="A6" s="52" t="s">
        <v>910</v>
      </c>
      <c r="B6" s="1198" t="s">
        <v>915</v>
      </c>
      <c r="C6" s="1191">
        <v>0</v>
      </c>
      <c r="D6" s="1192">
        <v>0</v>
      </c>
      <c r="E6" s="1192">
        <v>0</v>
      </c>
      <c r="F6" s="1192">
        <v>285600</v>
      </c>
      <c r="G6" s="1192">
        <v>1205940</v>
      </c>
      <c r="H6" s="1192">
        <v>923950</v>
      </c>
      <c r="I6" s="1192">
        <v>423990</v>
      </c>
      <c r="J6" s="1192">
        <v>0</v>
      </c>
      <c r="K6" s="1192">
        <v>0</v>
      </c>
      <c r="L6" s="1192">
        <v>329990</v>
      </c>
      <c r="M6" s="1192">
        <v>412000</v>
      </c>
      <c r="N6" s="1192">
        <v>1255460</v>
      </c>
      <c r="O6" s="1192">
        <v>359960</v>
      </c>
      <c r="P6" s="1502">
        <f t="shared" si="1"/>
        <v>2839480</v>
      </c>
      <c r="Q6" s="1202">
        <f t="shared" si="2"/>
        <v>5196890</v>
      </c>
      <c r="R6" s="1191">
        <v>442500</v>
      </c>
      <c r="S6" s="1192" t="s">
        <v>251</v>
      </c>
      <c r="T6" s="1192">
        <v>60000</v>
      </c>
      <c r="U6" s="1192">
        <v>270000</v>
      </c>
      <c r="V6" s="1192">
        <v>600000</v>
      </c>
      <c r="W6" s="1192">
        <v>966000</v>
      </c>
      <c r="X6" s="1192">
        <v>492000</v>
      </c>
      <c r="Y6" s="1192">
        <v>402000</v>
      </c>
      <c r="Z6" s="1192"/>
      <c r="AA6" s="1192"/>
      <c r="AB6" s="1192"/>
      <c r="AC6" s="1192"/>
      <c r="AD6" s="1202">
        <f t="shared" si="3"/>
        <v>3232500</v>
      </c>
      <c r="AE6" s="50">
        <f t="shared" si="0"/>
        <v>0.13841266710806205</v>
      </c>
      <c r="AF6" s="33">
        <f t="shared" si="4"/>
        <v>40</v>
      </c>
      <c r="AH6" s="1370" t="s">
        <v>931</v>
      </c>
      <c r="AI6" s="1398">
        <v>13421740</v>
      </c>
      <c r="AJ6" s="1398">
        <v>42431060</v>
      </c>
      <c r="AK6" s="1391">
        <f t="shared" si="5"/>
        <v>29009320</v>
      </c>
      <c r="AL6" s="1030">
        <f t="shared" si="6"/>
        <v>2.1613680491501102</v>
      </c>
    </row>
    <row r="7" spans="1:38" x14ac:dyDescent="0.3">
      <c r="A7" s="52" t="s">
        <v>910</v>
      </c>
      <c r="B7" s="1198" t="s">
        <v>916</v>
      </c>
      <c r="C7" s="1191">
        <v>335090</v>
      </c>
      <c r="D7" s="1192">
        <v>0</v>
      </c>
      <c r="E7" s="1192">
        <v>0</v>
      </c>
      <c r="F7" s="1192">
        <v>235990</v>
      </c>
      <c r="G7" s="1192">
        <v>143000</v>
      </c>
      <c r="H7" s="1192">
        <v>0</v>
      </c>
      <c r="I7" s="1192">
        <v>139990</v>
      </c>
      <c r="J7" s="1192">
        <v>140000</v>
      </c>
      <c r="K7" s="1192">
        <v>140000</v>
      </c>
      <c r="L7" s="1192">
        <v>0</v>
      </c>
      <c r="M7" s="1192"/>
      <c r="N7" s="1192">
        <v>0</v>
      </c>
      <c r="O7" s="1192">
        <v>139990</v>
      </c>
      <c r="P7" s="1502">
        <f t="shared" si="1"/>
        <v>994070</v>
      </c>
      <c r="Q7" s="1202">
        <f t="shared" si="2"/>
        <v>1134060</v>
      </c>
      <c r="R7" s="1191" t="s">
        <v>251</v>
      </c>
      <c r="S7" s="1192" t="s">
        <v>251</v>
      </c>
      <c r="T7" s="1192">
        <v>40450</v>
      </c>
      <c r="U7" s="1192">
        <v>0</v>
      </c>
      <c r="V7" s="1192">
        <v>0</v>
      </c>
      <c r="W7" s="1192">
        <v>0</v>
      </c>
      <c r="X7" s="1192">
        <v>204980</v>
      </c>
      <c r="Y7" s="1192">
        <v>136000</v>
      </c>
      <c r="Z7" s="1192"/>
      <c r="AA7" s="1192"/>
      <c r="AB7" s="1192"/>
      <c r="AC7" s="1192"/>
      <c r="AD7" s="1202">
        <f t="shared" si="3"/>
        <v>381430</v>
      </c>
      <c r="AE7" s="50">
        <f t="shared" si="0"/>
        <v>-0.6162946271389339</v>
      </c>
      <c r="AF7" s="33">
        <f t="shared" si="4"/>
        <v>95</v>
      </c>
      <c r="AH7" s="1370" t="s">
        <v>2751</v>
      </c>
      <c r="AI7" s="1398">
        <v>0</v>
      </c>
      <c r="AJ7" s="1398">
        <v>40424460</v>
      </c>
      <c r="AK7" s="1391">
        <f t="shared" si="5"/>
        <v>40424460</v>
      </c>
      <c r="AL7" s="1030">
        <f t="shared" si="6"/>
        <v>0</v>
      </c>
    </row>
    <row r="8" spans="1:38" x14ac:dyDescent="0.3">
      <c r="A8" s="52" t="s">
        <v>910</v>
      </c>
      <c r="B8" s="1198" t="s">
        <v>917</v>
      </c>
      <c r="C8" s="1191">
        <v>0</v>
      </c>
      <c r="D8" s="1192">
        <v>0</v>
      </c>
      <c r="E8" s="1192">
        <v>0</v>
      </c>
      <c r="F8" s="1192">
        <v>601530</v>
      </c>
      <c r="G8" s="1192">
        <v>0</v>
      </c>
      <c r="H8" s="1192">
        <v>0</v>
      </c>
      <c r="I8" s="1192">
        <v>0</v>
      </c>
      <c r="J8" s="1192">
        <v>0</v>
      </c>
      <c r="K8" s="1192">
        <v>0</v>
      </c>
      <c r="L8" s="1192">
        <v>0</v>
      </c>
      <c r="M8" s="1192"/>
      <c r="N8" s="1192">
        <v>0</v>
      </c>
      <c r="O8" s="1192">
        <v>0</v>
      </c>
      <c r="P8" s="1502">
        <f t="shared" si="1"/>
        <v>601530</v>
      </c>
      <c r="Q8" s="1202">
        <f t="shared" si="2"/>
        <v>601530</v>
      </c>
      <c r="R8" s="1191" t="s">
        <v>251</v>
      </c>
      <c r="S8" s="1192" t="s">
        <v>251</v>
      </c>
      <c r="T8" s="1192" t="s">
        <v>251</v>
      </c>
      <c r="U8" s="1192"/>
      <c r="V8" s="1192"/>
      <c r="W8" s="1192"/>
      <c r="X8" s="1192"/>
      <c r="Y8" s="1192"/>
      <c r="Z8" s="1192"/>
      <c r="AA8" s="1192"/>
      <c r="AB8" s="1192"/>
      <c r="AC8" s="1192"/>
      <c r="AD8" s="1202">
        <f t="shared" si="3"/>
        <v>0</v>
      </c>
      <c r="AE8" s="50">
        <f t="shared" si="0"/>
        <v>-1</v>
      </c>
      <c r="AF8" s="33">
        <f t="shared" si="4"/>
        <v>119</v>
      </c>
      <c r="AH8" s="1370" t="s">
        <v>972</v>
      </c>
      <c r="AI8" s="1398">
        <v>23137330</v>
      </c>
      <c r="AJ8" s="1398">
        <v>39786260</v>
      </c>
      <c r="AK8" s="1391">
        <f t="shared" si="5"/>
        <v>16648930</v>
      </c>
      <c r="AL8" s="1030">
        <f t="shared" si="6"/>
        <v>0.71957006275140645</v>
      </c>
    </row>
    <row r="9" spans="1:38" x14ac:dyDescent="0.3">
      <c r="A9" s="52" t="s">
        <v>910</v>
      </c>
      <c r="B9" s="1198" t="s">
        <v>918</v>
      </c>
      <c r="C9" s="1191">
        <v>0</v>
      </c>
      <c r="D9" s="1192">
        <v>0</v>
      </c>
      <c r="E9" s="1192">
        <v>338300</v>
      </c>
      <c r="F9" s="1192">
        <v>198480</v>
      </c>
      <c r="G9" s="1192">
        <v>0</v>
      </c>
      <c r="H9" s="1192">
        <v>221980</v>
      </c>
      <c r="I9" s="1192">
        <v>0</v>
      </c>
      <c r="J9" s="1192">
        <v>0</v>
      </c>
      <c r="K9" s="1192">
        <v>0</v>
      </c>
      <c r="L9" s="1192">
        <v>0</v>
      </c>
      <c r="M9" s="1192">
        <v>142000</v>
      </c>
      <c r="N9" s="1192">
        <v>0</v>
      </c>
      <c r="O9" s="1192">
        <v>0</v>
      </c>
      <c r="P9" s="1502">
        <f t="shared" si="1"/>
        <v>758760</v>
      </c>
      <c r="Q9" s="1202">
        <f t="shared" si="2"/>
        <v>900760</v>
      </c>
      <c r="R9" s="1191" t="s">
        <v>251</v>
      </c>
      <c r="S9" s="1192" t="s">
        <v>251</v>
      </c>
      <c r="T9" s="1192" t="s">
        <v>251</v>
      </c>
      <c r="U9" s="1192">
        <v>0</v>
      </c>
      <c r="V9" s="1192">
        <v>0</v>
      </c>
      <c r="W9" s="1192">
        <v>0</v>
      </c>
      <c r="X9" s="1192">
        <v>0</v>
      </c>
      <c r="Y9" s="1192">
        <v>0</v>
      </c>
      <c r="Z9" s="1192"/>
      <c r="AA9" s="1192"/>
      <c r="AB9" s="1192"/>
      <c r="AC9" s="1192"/>
      <c r="AD9" s="1202">
        <f t="shared" si="3"/>
        <v>0</v>
      </c>
      <c r="AE9" s="50">
        <f t="shared" si="0"/>
        <v>-1</v>
      </c>
      <c r="AF9" s="33">
        <f t="shared" si="4"/>
        <v>119</v>
      </c>
      <c r="AH9" s="1370" t="s">
        <v>950</v>
      </c>
      <c r="AI9" s="1398">
        <v>77596530</v>
      </c>
      <c r="AJ9" s="1398">
        <v>35379150</v>
      </c>
      <c r="AK9" s="1391">
        <f t="shared" si="5"/>
        <v>-42217380</v>
      </c>
      <c r="AL9" s="1030">
        <f t="shared" si="6"/>
        <v>-0.54406273064014588</v>
      </c>
    </row>
    <row r="10" spans="1:38" x14ac:dyDescent="0.3">
      <c r="A10" s="53" t="s">
        <v>910</v>
      </c>
      <c r="B10" s="1198" t="s">
        <v>919</v>
      </c>
      <c r="C10" s="1191">
        <v>0</v>
      </c>
      <c r="D10" s="1192">
        <v>0</v>
      </c>
      <c r="E10" s="1192">
        <v>0</v>
      </c>
      <c r="F10" s="1192">
        <v>0</v>
      </c>
      <c r="G10" s="1192">
        <v>475370</v>
      </c>
      <c r="H10" s="1192">
        <v>225370</v>
      </c>
      <c r="I10" s="1192">
        <v>381080</v>
      </c>
      <c r="J10" s="1192">
        <v>575850</v>
      </c>
      <c r="K10" s="1192">
        <v>575850</v>
      </c>
      <c r="L10" s="1192">
        <v>0</v>
      </c>
      <c r="M10" s="1192"/>
      <c r="N10" s="1192">
        <v>0</v>
      </c>
      <c r="O10" s="1192">
        <v>0</v>
      </c>
      <c r="P10" s="1502">
        <f t="shared" si="1"/>
        <v>1657670</v>
      </c>
      <c r="Q10" s="1202">
        <f t="shared" si="2"/>
        <v>1657670</v>
      </c>
      <c r="R10" s="1191">
        <v>391450</v>
      </c>
      <c r="S10" s="1192" t="s">
        <v>251</v>
      </c>
      <c r="T10" s="1192">
        <v>0</v>
      </c>
      <c r="U10" s="1192">
        <v>0</v>
      </c>
      <c r="V10" s="1192">
        <v>0</v>
      </c>
      <c r="W10" s="1192">
        <v>0</v>
      </c>
      <c r="X10" s="1192">
        <v>0</v>
      </c>
      <c r="Y10" s="1192">
        <v>0</v>
      </c>
      <c r="Z10" s="1192"/>
      <c r="AA10" s="1192"/>
      <c r="AB10" s="1192"/>
      <c r="AC10" s="1192"/>
      <c r="AD10" s="1202">
        <f t="shared" si="3"/>
        <v>391450</v>
      </c>
      <c r="AE10" s="50">
        <f t="shared" si="0"/>
        <v>-0.76385529086006265</v>
      </c>
      <c r="AF10" s="33">
        <f t="shared" si="4"/>
        <v>94</v>
      </c>
      <c r="AH10" s="1370" t="s">
        <v>910</v>
      </c>
      <c r="AI10" s="1398">
        <v>38678300</v>
      </c>
      <c r="AJ10" s="1398">
        <v>33027750</v>
      </c>
      <c r="AK10" s="1391">
        <f t="shared" si="5"/>
        <v>-5650550</v>
      </c>
      <c r="AL10" s="1030">
        <f t="shared" si="6"/>
        <v>-0.14609096056445087</v>
      </c>
    </row>
    <row r="11" spans="1:38" x14ac:dyDescent="0.3">
      <c r="A11" s="53" t="s">
        <v>910</v>
      </c>
      <c r="B11" s="1198" t="s">
        <v>920</v>
      </c>
      <c r="C11" s="1191">
        <v>98000</v>
      </c>
      <c r="D11" s="1192">
        <v>322000</v>
      </c>
      <c r="E11" s="1192">
        <v>0</v>
      </c>
      <c r="F11" s="1192">
        <v>0</v>
      </c>
      <c r="G11" s="1192">
        <v>0</v>
      </c>
      <c r="H11" s="1192">
        <v>0</v>
      </c>
      <c r="I11" s="1192">
        <v>0</v>
      </c>
      <c r="J11" s="1192">
        <v>0</v>
      </c>
      <c r="K11" s="1192">
        <v>0</v>
      </c>
      <c r="L11" s="1192">
        <v>0</v>
      </c>
      <c r="M11" s="1192"/>
      <c r="N11" s="1192">
        <v>0</v>
      </c>
      <c r="O11" s="1192">
        <v>0</v>
      </c>
      <c r="P11" s="1502">
        <f t="shared" si="1"/>
        <v>420000</v>
      </c>
      <c r="Q11" s="1202">
        <f t="shared" si="2"/>
        <v>420000</v>
      </c>
      <c r="R11" s="1191" t="s">
        <v>251</v>
      </c>
      <c r="S11" s="1192" t="s">
        <v>251</v>
      </c>
      <c r="T11" s="1192" t="s">
        <v>251</v>
      </c>
      <c r="U11" s="1192"/>
      <c r="V11" s="1192"/>
      <c r="W11" s="1192"/>
      <c r="X11" s="1192"/>
      <c r="Y11" s="1192"/>
      <c r="Z11" s="1192"/>
      <c r="AA11" s="1192"/>
      <c r="AB11" s="1192"/>
      <c r="AC11" s="1192"/>
      <c r="AD11" s="1202">
        <f t="shared" si="3"/>
        <v>0</v>
      </c>
      <c r="AE11" s="50">
        <f t="shared" si="0"/>
        <v>-1</v>
      </c>
      <c r="AF11" s="33">
        <f t="shared" si="4"/>
        <v>119</v>
      </c>
      <c r="AH11" s="1370" t="s">
        <v>675</v>
      </c>
      <c r="AI11" s="1398">
        <v>0</v>
      </c>
      <c r="AJ11" s="1398">
        <v>31959960</v>
      </c>
      <c r="AK11" s="1391">
        <f t="shared" si="5"/>
        <v>31959960</v>
      </c>
      <c r="AL11" s="1030">
        <f t="shared" si="6"/>
        <v>0</v>
      </c>
    </row>
    <row r="12" spans="1:38" x14ac:dyDescent="0.3">
      <c r="A12" s="52" t="s">
        <v>910</v>
      </c>
      <c r="B12" s="1198" t="s">
        <v>921</v>
      </c>
      <c r="C12" s="1191">
        <v>0</v>
      </c>
      <c r="D12" s="1192">
        <v>0</v>
      </c>
      <c r="E12" s="1192">
        <v>503010</v>
      </c>
      <c r="F12" s="1192">
        <v>0</v>
      </c>
      <c r="G12" s="1192">
        <v>0</v>
      </c>
      <c r="H12" s="1192">
        <v>0</v>
      </c>
      <c r="I12" s="1192">
        <v>0</v>
      </c>
      <c r="J12" s="1192">
        <v>0</v>
      </c>
      <c r="K12" s="1192">
        <v>0</v>
      </c>
      <c r="L12" s="1192">
        <v>0</v>
      </c>
      <c r="M12" s="1192"/>
      <c r="N12" s="1192">
        <v>0</v>
      </c>
      <c r="O12" s="1192">
        <v>0</v>
      </c>
      <c r="P12" s="1502">
        <f t="shared" si="1"/>
        <v>503010</v>
      </c>
      <c r="Q12" s="1202">
        <f t="shared" si="2"/>
        <v>503010</v>
      </c>
      <c r="R12" s="1191" t="s">
        <v>251</v>
      </c>
      <c r="S12" s="1192" t="s">
        <v>251</v>
      </c>
      <c r="T12" s="1192" t="s">
        <v>251</v>
      </c>
      <c r="U12" s="1192"/>
      <c r="V12" s="1192"/>
      <c r="W12" s="1192"/>
      <c r="X12" s="1192"/>
      <c r="Y12" s="1192"/>
      <c r="Z12" s="1192"/>
      <c r="AA12" s="1192"/>
      <c r="AB12" s="1192"/>
      <c r="AC12" s="1192"/>
      <c r="AD12" s="1202">
        <f t="shared" si="3"/>
        <v>0</v>
      </c>
      <c r="AE12" s="50">
        <f t="shared" si="0"/>
        <v>-1</v>
      </c>
      <c r="AF12" s="33">
        <f t="shared" si="4"/>
        <v>119</v>
      </c>
      <c r="AH12" s="1370" t="s">
        <v>970</v>
      </c>
      <c r="AI12" s="1398">
        <v>5023410</v>
      </c>
      <c r="AJ12" s="1398">
        <v>17900370</v>
      </c>
      <c r="AK12" s="1391">
        <f t="shared" si="5"/>
        <v>12876960</v>
      </c>
      <c r="AL12" s="1030">
        <f t="shared" si="6"/>
        <v>2.5633902070505892</v>
      </c>
    </row>
    <row r="13" spans="1:38" x14ac:dyDescent="0.3">
      <c r="A13" s="53" t="s">
        <v>910</v>
      </c>
      <c r="B13" s="1198" t="s">
        <v>922</v>
      </c>
      <c r="C13" s="1191" t="s">
        <v>251</v>
      </c>
      <c r="D13" s="1192" t="s">
        <v>251</v>
      </c>
      <c r="E13" s="1192" t="s">
        <v>251</v>
      </c>
      <c r="F13" s="1192" t="s">
        <v>251</v>
      </c>
      <c r="G13" s="1192" t="s">
        <v>251</v>
      </c>
      <c r="H13" s="1192" t="s">
        <v>251</v>
      </c>
      <c r="I13" s="1192" t="s">
        <v>251</v>
      </c>
      <c r="J13" s="1192" t="s">
        <v>251</v>
      </c>
      <c r="K13" s="1192"/>
      <c r="L13" s="1192" t="s">
        <v>251</v>
      </c>
      <c r="M13" s="1192"/>
      <c r="N13" s="1192" t="s">
        <v>251</v>
      </c>
      <c r="O13" s="1192" t="s">
        <v>251</v>
      </c>
      <c r="P13" s="1502">
        <f t="shared" si="1"/>
        <v>0</v>
      </c>
      <c r="Q13" s="1202">
        <f t="shared" si="2"/>
        <v>0</v>
      </c>
      <c r="R13" s="1191" t="s">
        <v>251</v>
      </c>
      <c r="S13" s="1192" t="s">
        <v>251</v>
      </c>
      <c r="T13" s="1192" t="s">
        <v>251</v>
      </c>
      <c r="U13" s="1192"/>
      <c r="V13" s="1192"/>
      <c r="W13" s="1192"/>
      <c r="X13" s="1192"/>
      <c r="Y13" s="1192"/>
      <c r="Z13" s="1192"/>
      <c r="AA13" s="1192"/>
      <c r="AB13" s="1192"/>
      <c r="AC13" s="1192"/>
      <c r="AD13" s="1202">
        <f t="shared" si="3"/>
        <v>0</v>
      </c>
      <c r="AE13" s="50">
        <f t="shared" si="0"/>
        <v>0</v>
      </c>
      <c r="AF13" s="33">
        <f t="shared" si="4"/>
        <v>119</v>
      </c>
      <c r="AH13" s="1370" t="s">
        <v>733</v>
      </c>
      <c r="AI13" s="1398">
        <v>93030740</v>
      </c>
      <c r="AJ13" s="1398">
        <v>17181840</v>
      </c>
      <c r="AK13" s="1391">
        <f t="shared" si="5"/>
        <v>-75848900</v>
      </c>
      <c r="AL13" s="1030">
        <f t="shared" si="6"/>
        <v>-0.8153100792275757</v>
      </c>
    </row>
    <row r="14" spans="1:38" x14ac:dyDescent="0.3">
      <c r="A14" s="53" t="s">
        <v>910</v>
      </c>
      <c r="B14" s="1198" t="s">
        <v>923</v>
      </c>
      <c r="C14" s="1191" t="s">
        <v>251</v>
      </c>
      <c r="D14" s="1192" t="s">
        <v>251</v>
      </c>
      <c r="E14" s="1192" t="s">
        <v>251</v>
      </c>
      <c r="F14" s="1192" t="s">
        <v>251</v>
      </c>
      <c r="G14" s="1192" t="s">
        <v>251</v>
      </c>
      <c r="H14" s="1192" t="s">
        <v>251</v>
      </c>
      <c r="I14" s="1192" t="s">
        <v>251</v>
      </c>
      <c r="J14" s="1192" t="s">
        <v>251</v>
      </c>
      <c r="K14" s="1192"/>
      <c r="L14" s="1192" t="s">
        <v>251</v>
      </c>
      <c r="M14" s="1192"/>
      <c r="N14" s="1192" t="s">
        <v>251</v>
      </c>
      <c r="O14" s="1192" t="s">
        <v>251</v>
      </c>
      <c r="P14" s="1502">
        <f t="shared" si="1"/>
        <v>0</v>
      </c>
      <c r="Q14" s="1202">
        <f t="shared" si="2"/>
        <v>0</v>
      </c>
      <c r="R14" s="1191" t="s">
        <v>251</v>
      </c>
      <c r="S14" s="1192" t="s">
        <v>251</v>
      </c>
      <c r="T14" s="1192" t="s">
        <v>251</v>
      </c>
      <c r="U14" s="1192"/>
      <c r="V14" s="1192"/>
      <c r="W14" s="1192"/>
      <c r="X14" s="1192"/>
      <c r="Y14" s="1192"/>
      <c r="Z14" s="1192"/>
      <c r="AA14" s="1192"/>
      <c r="AB14" s="1192"/>
      <c r="AC14" s="1192"/>
      <c r="AD14" s="1202">
        <f t="shared" si="3"/>
        <v>0</v>
      </c>
      <c r="AE14" s="50">
        <f t="shared" si="0"/>
        <v>0</v>
      </c>
      <c r="AF14" s="33">
        <f t="shared" si="4"/>
        <v>119</v>
      </c>
      <c r="AH14" s="1370" t="s">
        <v>785</v>
      </c>
      <c r="AI14" s="1398">
        <v>47735490</v>
      </c>
      <c r="AJ14" s="1398">
        <v>16858300</v>
      </c>
      <c r="AK14" s="1391">
        <f t="shared" si="5"/>
        <v>-30877190</v>
      </c>
      <c r="AL14" s="1030">
        <f t="shared" si="6"/>
        <v>-0.64683928037608918</v>
      </c>
    </row>
    <row r="15" spans="1:38" x14ac:dyDescent="0.3">
      <c r="A15" s="52" t="s">
        <v>910</v>
      </c>
      <c r="B15" s="1198" t="s">
        <v>924</v>
      </c>
      <c r="C15" s="1191" t="s">
        <v>251</v>
      </c>
      <c r="D15" s="1192" t="s">
        <v>251</v>
      </c>
      <c r="E15" s="1192" t="s">
        <v>251</v>
      </c>
      <c r="F15" s="1192" t="s">
        <v>251</v>
      </c>
      <c r="G15" s="1192" t="s">
        <v>251</v>
      </c>
      <c r="H15" s="1192" t="s">
        <v>251</v>
      </c>
      <c r="I15" s="1192" t="s">
        <v>251</v>
      </c>
      <c r="J15" s="1192" t="s">
        <v>251</v>
      </c>
      <c r="K15" s="1192"/>
      <c r="L15" s="1192" t="s">
        <v>251</v>
      </c>
      <c r="M15" s="1192"/>
      <c r="N15" s="1192" t="s">
        <v>251</v>
      </c>
      <c r="O15" s="1192" t="s">
        <v>251</v>
      </c>
      <c r="P15" s="1502">
        <f t="shared" si="1"/>
        <v>0</v>
      </c>
      <c r="Q15" s="1202">
        <f t="shared" si="2"/>
        <v>0</v>
      </c>
      <c r="R15" s="1191" t="s">
        <v>251</v>
      </c>
      <c r="S15" s="1192" t="s">
        <v>251</v>
      </c>
      <c r="T15" s="1192" t="s">
        <v>251</v>
      </c>
      <c r="U15" s="1192"/>
      <c r="V15" s="1192"/>
      <c r="W15" s="1192"/>
      <c r="X15" s="1192"/>
      <c r="Y15" s="1192"/>
      <c r="Z15" s="1192"/>
      <c r="AA15" s="1192"/>
      <c r="AB15" s="1192"/>
      <c r="AC15" s="1192"/>
      <c r="AD15" s="1202">
        <f t="shared" si="3"/>
        <v>0</v>
      </c>
      <c r="AE15" s="50">
        <f t="shared" si="0"/>
        <v>0</v>
      </c>
      <c r="AF15" s="33">
        <f t="shared" si="4"/>
        <v>119</v>
      </c>
      <c r="AH15" s="1370" t="s">
        <v>2470</v>
      </c>
      <c r="AI15" s="1398">
        <v>0</v>
      </c>
      <c r="AJ15" s="1398">
        <v>13316320</v>
      </c>
      <c r="AK15" s="1391">
        <f t="shared" si="5"/>
        <v>13316320</v>
      </c>
      <c r="AL15" s="1030">
        <f t="shared" si="6"/>
        <v>0</v>
      </c>
    </row>
    <row r="16" spans="1:38" x14ac:dyDescent="0.3">
      <c r="A16" s="52" t="s">
        <v>910</v>
      </c>
      <c r="B16" s="1198" t="s">
        <v>925</v>
      </c>
      <c r="C16" s="1191" t="s">
        <v>251</v>
      </c>
      <c r="D16" s="1192" t="s">
        <v>251</v>
      </c>
      <c r="E16" s="1192" t="s">
        <v>251</v>
      </c>
      <c r="F16" s="1192" t="s">
        <v>251</v>
      </c>
      <c r="G16" s="1192" t="s">
        <v>251</v>
      </c>
      <c r="H16" s="1192" t="s">
        <v>251</v>
      </c>
      <c r="I16" s="1192" t="s">
        <v>251</v>
      </c>
      <c r="J16" s="1192" t="s">
        <v>251</v>
      </c>
      <c r="K16" s="1192"/>
      <c r="L16" s="1192" t="s">
        <v>251</v>
      </c>
      <c r="M16" s="1192"/>
      <c r="N16" s="1192" t="s">
        <v>251</v>
      </c>
      <c r="O16" s="1192" t="s">
        <v>251</v>
      </c>
      <c r="P16" s="1502">
        <f t="shared" si="1"/>
        <v>0</v>
      </c>
      <c r="Q16" s="1202">
        <f t="shared" si="2"/>
        <v>0</v>
      </c>
      <c r="R16" s="1191" t="s">
        <v>251</v>
      </c>
      <c r="S16" s="1192" t="s">
        <v>251</v>
      </c>
      <c r="T16" s="1192" t="s">
        <v>251</v>
      </c>
      <c r="U16" s="1192"/>
      <c r="V16" s="1192"/>
      <c r="W16" s="1192"/>
      <c r="X16" s="1192"/>
      <c r="Y16" s="1192"/>
      <c r="Z16" s="1192"/>
      <c r="AA16" s="1192"/>
      <c r="AB16" s="1192"/>
      <c r="AC16" s="1192"/>
      <c r="AD16" s="1202">
        <f t="shared" si="3"/>
        <v>0</v>
      </c>
      <c r="AE16" s="50">
        <f t="shared" si="0"/>
        <v>0</v>
      </c>
      <c r="AF16" s="33">
        <f t="shared" si="4"/>
        <v>119</v>
      </c>
      <c r="AH16" s="1370" t="s">
        <v>929</v>
      </c>
      <c r="AI16" s="1398">
        <v>16224900</v>
      </c>
      <c r="AJ16" s="1398">
        <v>11838160</v>
      </c>
      <c r="AK16" s="1391">
        <f t="shared" si="5"/>
        <v>-4386740</v>
      </c>
      <c r="AL16" s="1030">
        <f t="shared" si="6"/>
        <v>-0.27037084974329578</v>
      </c>
    </row>
    <row r="17" spans="1:38" x14ac:dyDescent="0.3">
      <c r="A17" s="52" t="s">
        <v>910</v>
      </c>
      <c r="B17" s="1198" t="s">
        <v>926</v>
      </c>
      <c r="C17" s="1191" t="s">
        <v>251</v>
      </c>
      <c r="D17" s="1192" t="s">
        <v>251</v>
      </c>
      <c r="E17" s="1192" t="s">
        <v>251</v>
      </c>
      <c r="F17" s="1192" t="s">
        <v>251</v>
      </c>
      <c r="G17" s="1192" t="s">
        <v>251</v>
      </c>
      <c r="H17" s="1192" t="s">
        <v>251</v>
      </c>
      <c r="I17" s="1192" t="s">
        <v>251</v>
      </c>
      <c r="J17" s="1192" t="s">
        <v>251</v>
      </c>
      <c r="K17" s="1192"/>
      <c r="L17" s="1192" t="s">
        <v>251</v>
      </c>
      <c r="M17" s="1192"/>
      <c r="N17" s="1192" t="s">
        <v>251</v>
      </c>
      <c r="O17" s="1192" t="s">
        <v>251</v>
      </c>
      <c r="P17" s="1502">
        <f t="shared" si="1"/>
        <v>0</v>
      </c>
      <c r="Q17" s="1202">
        <f t="shared" si="2"/>
        <v>0</v>
      </c>
      <c r="R17" s="1191" t="s">
        <v>251</v>
      </c>
      <c r="S17" s="1192" t="s">
        <v>251</v>
      </c>
      <c r="T17" s="1192" t="s">
        <v>251</v>
      </c>
      <c r="U17" s="1192"/>
      <c r="V17" s="1192"/>
      <c r="W17" s="1192"/>
      <c r="X17" s="1192"/>
      <c r="Y17" s="1192"/>
      <c r="Z17" s="1192"/>
      <c r="AA17" s="1192"/>
      <c r="AB17" s="1192"/>
      <c r="AC17" s="1192"/>
      <c r="AD17" s="1202">
        <f t="shared" si="3"/>
        <v>0</v>
      </c>
      <c r="AE17" s="50">
        <f t="shared" si="0"/>
        <v>0</v>
      </c>
      <c r="AF17" s="33">
        <f t="shared" si="4"/>
        <v>119</v>
      </c>
      <c r="AH17" s="1370" t="s">
        <v>954</v>
      </c>
      <c r="AI17" s="1398">
        <v>14903800</v>
      </c>
      <c r="AJ17" s="1398">
        <v>9829070</v>
      </c>
      <c r="AK17" s="1391">
        <f t="shared" si="5"/>
        <v>-5074730</v>
      </c>
      <c r="AL17" s="1030">
        <f t="shared" si="6"/>
        <v>-0.34049906735195051</v>
      </c>
    </row>
    <row r="18" spans="1:38" x14ac:dyDescent="0.3">
      <c r="A18" s="52" t="s">
        <v>910</v>
      </c>
      <c r="B18" s="1198" t="s">
        <v>927</v>
      </c>
      <c r="C18" s="1191" t="s">
        <v>251</v>
      </c>
      <c r="D18" s="1192" t="s">
        <v>251</v>
      </c>
      <c r="E18" s="1192" t="s">
        <v>251</v>
      </c>
      <c r="F18" s="1192" t="s">
        <v>251</v>
      </c>
      <c r="G18" s="1192" t="s">
        <v>251</v>
      </c>
      <c r="H18" s="1192" t="s">
        <v>251</v>
      </c>
      <c r="I18" s="1192" t="s">
        <v>251</v>
      </c>
      <c r="J18" s="1192" t="s">
        <v>251</v>
      </c>
      <c r="K18" s="1192"/>
      <c r="L18" s="1192" t="s">
        <v>251</v>
      </c>
      <c r="M18" s="1192"/>
      <c r="N18" s="1192" t="s">
        <v>251</v>
      </c>
      <c r="O18" s="1192" t="s">
        <v>251</v>
      </c>
      <c r="P18" s="1502">
        <f t="shared" si="1"/>
        <v>0</v>
      </c>
      <c r="Q18" s="1202">
        <f t="shared" si="2"/>
        <v>0</v>
      </c>
      <c r="R18" s="1191" t="s">
        <v>251</v>
      </c>
      <c r="S18" s="1192" t="s">
        <v>251</v>
      </c>
      <c r="T18" s="1192" t="s">
        <v>251</v>
      </c>
      <c r="U18" s="1192"/>
      <c r="V18" s="1192"/>
      <c r="W18" s="1192"/>
      <c r="X18" s="1192"/>
      <c r="Y18" s="1192"/>
      <c r="Z18" s="1192"/>
      <c r="AA18" s="1192"/>
      <c r="AB18" s="1192"/>
      <c r="AC18" s="1192"/>
      <c r="AD18" s="1202">
        <f t="shared" si="3"/>
        <v>0</v>
      </c>
      <c r="AE18" s="50">
        <f t="shared" si="0"/>
        <v>0</v>
      </c>
      <c r="AF18" s="33">
        <f t="shared" si="4"/>
        <v>119</v>
      </c>
      <c r="AH18" s="1370" t="s">
        <v>948</v>
      </c>
      <c r="AI18" s="1398">
        <v>8425090</v>
      </c>
      <c r="AJ18" s="1398">
        <v>9438500</v>
      </c>
      <c r="AK18" s="1391">
        <f t="shared" si="5"/>
        <v>1013410</v>
      </c>
      <c r="AL18" s="1030">
        <f t="shared" si="6"/>
        <v>0.12028476847131603</v>
      </c>
    </row>
    <row r="19" spans="1:38" x14ac:dyDescent="0.3">
      <c r="A19" s="52" t="s">
        <v>910</v>
      </c>
      <c r="B19" s="1198" t="s">
        <v>928</v>
      </c>
      <c r="C19" s="1191" t="s">
        <v>251</v>
      </c>
      <c r="D19" s="1192" t="s">
        <v>251</v>
      </c>
      <c r="E19" s="1192" t="s">
        <v>251</v>
      </c>
      <c r="F19" s="1192" t="s">
        <v>251</v>
      </c>
      <c r="G19" s="1192" t="s">
        <v>251</v>
      </c>
      <c r="H19" s="1192" t="s">
        <v>251</v>
      </c>
      <c r="I19" s="1192" t="s">
        <v>251</v>
      </c>
      <c r="J19" s="1192" t="s">
        <v>251</v>
      </c>
      <c r="K19" s="1192"/>
      <c r="L19" s="1192" t="s">
        <v>251</v>
      </c>
      <c r="M19" s="1192"/>
      <c r="N19" s="1192" t="s">
        <v>251</v>
      </c>
      <c r="O19" s="1192" t="s">
        <v>251</v>
      </c>
      <c r="P19" s="1502">
        <f t="shared" si="1"/>
        <v>0</v>
      </c>
      <c r="Q19" s="1202">
        <f t="shared" si="2"/>
        <v>0</v>
      </c>
      <c r="R19" s="1191" t="s">
        <v>251</v>
      </c>
      <c r="S19" s="1192" t="s">
        <v>251</v>
      </c>
      <c r="T19" s="1192" t="s">
        <v>251</v>
      </c>
      <c r="U19" s="1192"/>
      <c r="V19" s="1192"/>
      <c r="W19" s="1192"/>
      <c r="X19" s="1192"/>
      <c r="Y19" s="1192"/>
      <c r="Z19" s="1192"/>
      <c r="AA19" s="1192"/>
      <c r="AB19" s="1192"/>
      <c r="AC19" s="1192"/>
      <c r="AD19" s="1202">
        <f t="shared" si="3"/>
        <v>0</v>
      </c>
      <c r="AE19" s="50">
        <f t="shared" si="0"/>
        <v>0</v>
      </c>
      <c r="AF19" s="33">
        <f t="shared" si="4"/>
        <v>119</v>
      </c>
      <c r="AH19" s="1370" t="s">
        <v>961</v>
      </c>
      <c r="AI19" s="1398">
        <v>4982420</v>
      </c>
      <c r="AJ19" s="1398">
        <v>8070060</v>
      </c>
      <c r="AK19" s="1391">
        <f t="shared" si="5"/>
        <v>3087640</v>
      </c>
      <c r="AL19" s="1030">
        <f t="shared" si="6"/>
        <v>0.61970688942321206</v>
      </c>
    </row>
    <row r="20" spans="1:38" x14ac:dyDescent="0.3">
      <c r="A20" s="52" t="s">
        <v>910</v>
      </c>
      <c r="B20" s="1198" t="s">
        <v>910</v>
      </c>
      <c r="C20" s="1191"/>
      <c r="D20" s="1192"/>
      <c r="E20" s="1192"/>
      <c r="F20" s="1192"/>
      <c r="G20" s="1192"/>
      <c r="H20" s="1192"/>
      <c r="I20" s="1192">
        <v>100000</v>
      </c>
      <c r="J20" s="1192">
        <v>0</v>
      </c>
      <c r="K20" s="1192">
        <v>0</v>
      </c>
      <c r="L20" s="1192">
        <v>0</v>
      </c>
      <c r="M20" s="1192"/>
      <c r="N20" s="1192">
        <v>0</v>
      </c>
      <c r="O20" s="1192">
        <v>0</v>
      </c>
      <c r="P20" s="1502">
        <f t="shared" si="1"/>
        <v>100000</v>
      </c>
      <c r="Q20" s="1202">
        <f t="shared" si="2"/>
        <v>100000</v>
      </c>
      <c r="R20" s="1191" t="s">
        <v>251</v>
      </c>
      <c r="S20" s="1192" t="s">
        <v>251</v>
      </c>
      <c r="T20" s="1192" t="s">
        <v>251</v>
      </c>
      <c r="U20" s="1192"/>
      <c r="V20" s="1192"/>
      <c r="W20" s="1192"/>
      <c r="X20" s="1192"/>
      <c r="Y20" s="1192"/>
      <c r="Z20" s="1192"/>
      <c r="AA20" s="1192"/>
      <c r="AB20" s="1192"/>
      <c r="AC20" s="1192"/>
      <c r="AD20" s="1202">
        <f t="shared" si="3"/>
        <v>0</v>
      </c>
      <c r="AE20" s="50">
        <f t="shared" si="0"/>
        <v>-1</v>
      </c>
      <c r="AF20" s="33">
        <f t="shared" si="4"/>
        <v>119</v>
      </c>
      <c r="AH20" s="1370" t="s">
        <v>974</v>
      </c>
      <c r="AI20" s="1398">
        <v>4749510</v>
      </c>
      <c r="AJ20" s="1398">
        <v>7595930</v>
      </c>
      <c r="AK20" s="1391">
        <f t="shared" si="5"/>
        <v>2846420</v>
      </c>
      <c r="AL20" s="1030">
        <f t="shared" si="6"/>
        <v>0.59930813915540759</v>
      </c>
    </row>
    <row r="21" spans="1:38" x14ac:dyDescent="0.3">
      <c r="A21" s="52" t="s">
        <v>910</v>
      </c>
      <c r="B21" s="1198" t="s">
        <v>982</v>
      </c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502">
        <f t="shared" si="1"/>
        <v>0</v>
      </c>
      <c r="Q21" s="1202">
        <f t="shared" si="2"/>
        <v>0</v>
      </c>
      <c r="R21" s="1191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202">
        <f t="shared" si="3"/>
        <v>0</v>
      </c>
      <c r="AE21" s="50">
        <f t="shared" si="0"/>
        <v>0</v>
      </c>
      <c r="AF21" s="33">
        <f t="shared" si="4"/>
        <v>119</v>
      </c>
      <c r="AH21" s="1370" t="s">
        <v>1327</v>
      </c>
      <c r="AI21" s="1398">
        <v>0</v>
      </c>
      <c r="AJ21" s="1398">
        <v>6037970</v>
      </c>
      <c r="AK21" s="1391">
        <f t="shared" si="5"/>
        <v>6037970</v>
      </c>
      <c r="AL21" s="1030">
        <f t="shared" si="6"/>
        <v>0</v>
      </c>
    </row>
    <row r="22" spans="1:38" x14ac:dyDescent="0.3">
      <c r="A22" s="54" t="s">
        <v>929</v>
      </c>
      <c r="B22" s="1203" t="s">
        <v>929</v>
      </c>
      <c r="C22" s="1204">
        <v>2015770</v>
      </c>
      <c r="D22" s="1205">
        <v>1166480</v>
      </c>
      <c r="E22" s="1205">
        <v>1994010</v>
      </c>
      <c r="F22" s="1205">
        <v>3679790</v>
      </c>
      <c r="G22" s="1205">
        <v>616640</v>
      </c>
      <c r="H22" s="1205">
        <v>948100</v>
      </c>
      <c r="I22" s="1205">
        <v>2289620</v>
      </c>
      <c r="J22" s="1205">
        <v>4120980</v>
      </c>
      <c r="K22" s="1205">
        <v>3514490</v>
      </c>
      <c r="L22" s="1205">
        <v>2683180</v>
      </c>
      <c r="M22" s="1205"/>
      <c r="N22" s="1205">
        <v>0</v>
      </c>
      <c r="O22" s="1205">
        <v>1242780</v>
      </c>
      <c r="P22" s="1502">
        <f t="shared" si="1"/>
        <v>16224900</v>
      </c>
      <c r="Q22" s="1206">
        <f>SUM(C22:J22,L22:O22)</f>
        <v>20757350</v>
      </c>
      <c r="R22" s="1204">
        <v>2353220</v>
      </c>
      <c r="S22" s="1205">
        <v>263120</v>
      </c>
      <c r="T22" s="1205">
        <v>1528600</v>
      </c>
      <c r="U22" s="1205">
        <v>2283790</v>
      </c>
      <c r="V22" s="1205">
        <v>1575120</v>
      </c>
      <c r="W22" s="1205">
        <v>1054170</v>
      </c>
      <c r="X22" s="1205">
        <v>633600</v>
      </c>
      <c r="Y22" s="1205">
        <v>2146540</v>
      </c>
      <c r="Z22" s="1205"/>
      <c r="AA22" s="1205"/>
      <c r="AB22" s="1205"/>
      <c r="AC22" s="1205"/>
      <c r="AD22" s="1206">
        <f>SUM(R22:AC22)</f>
        <v>11838160</v>
      </c>
      <c r="AE22" s="84">
        <f t="shared" si="0"/>
        <v>-0.27037084974329578</v>
      </c>
      <c r="AF22" s="85">
        <f>IFERROR(_xlfn.RANK.EQ(AD22, $AD$2:$AD$288), "")</f>
        <v>13</v>
      </c>
      <c r="AH22" s="1370" t="s">
        <v>997</v>
      </c>
      <c r="AI22" s="1398">
        <v>217000</v>
      </c>
      <c r="AJ22" s="1398">
        <v>4956600</v>
      </c>
      <c r="AK22" s="1391">
        <f t="shared" si="5"/>
        <v>4739600</v>
      </c>
      <c r="AL22" s="1030">
        <f t="shared" si="6"/>
        <v>21.84147465437788</v>
      </c>
    </row>
    <row r="23" spans="1:38" x14ac:dyDescent="0.3">
      <c r="A23" s="55" t="s">
        <v>929</v>
      </c>
      <c r="B23" s="1203" t="s">
        <v>930</v>
      </c>
      <c r="C23" s="1204">
        <v>0</v>
      </c>
      <c r="D23" s="1205">
        <v>0</v>
      </c>
      <c r="E23" s="1205">
        <v>0</v>
      </c>
      <c r="F23" s="1205">
        <v>0</v>
      </c>
      <c r="G23" s="1205">
        <v>0</v>
      </c>
      <c r="H23" s="1205">
        <v>0</v>
      </c>
      <c r="I23" s="1205">
        <v>0</v>
      </c>
      <c r="J23" s="1205">
        <v>0</v>
      </c>
      <c r="K23" s="1205">
        <v>0</v>
      </c>
      <c r="L23" s="1205">
        <v>0</v>
      </c>
      <c r="M23" s="1205"/>
      <c r="N23" s="1205">
        <v>0</v>
      </c>
      <c r="O23" s="1205">
        <v>0</v>
      </c>
      <c r="P23" s="1502">
        <f t="shared" si="1"/>
        <v>0</v>
      </c>
      <c r="Q23" s="1206">
        <f t="shared" si="2"/>
        <v>0</v>
      </c>
      <c r="R23" s="1204" t="s">
        <v>251</v>
      </c>
      <c r="S23" s="1205" t="s">
        <v>251</v>
      </c>
      <c r="T23" s="1205" t="s">
        <v>251</v>
      </c>
      <c r="U23" s="1205"/>
      <c r="V23" s="1205"/>
      <c r="W23" s="1205"/>
      <c r="X23" s="1205"/>
      <c r="Y23" s="1205"/>
      <c r="Z23" s="1205"/>
      <c r="AA23" s="1205"/>
      <c r="AB23" s="1205"/>
      <c r="AC23" s="1205"/>
      <c r="AD23" s="1206">
        <f t="shared" si="3"/>
        <v>0</v>
      </c>
      <c r="AE23" s="84">
        <f t="shared" si="0"/>
        <v>0</v>
      </c>
      <c r="AF23" s="85">
        <f t="shared" si="4"/>
        <v>119</v>
      </c>
      <c r="AH23" s="1370" t="s">
        <v>1184</v>
      </c>
      <c r="AI23" s="1398">
        <v>0</v>
      </c>
      <c r="AJ23" s="1398">
        <v>4762570</v>
      </c>
      <c r="AK23" s="1391">
        <f t="shared" si="5"/>
        <v>4762570</v>
      </c>
      <c r="AL23" s="1030">
        <f t="shared" si="6"/>
        <v>0</v>
      </c>
    </row>
    <row r="24" spans="1:38" x14ac:dyDescent="0.3">
      <c r="A24" s="1326" t="s">
        <v>935</v>
      </c>
      <c r="B24" s="1274" t="s">
        <v>2122</v>
      </c>
      <c r="C24" s="732"/>
      <c r="D24" s="733"/>
      <c r="E24" s="733"/>
      <c r="F24" s="733"/>
      <c r="G24" s="733"/>
      <c r="H24" s="733"/>
      <c r="I24" s="733"/>
      <c r="J24" s="733"/>
      <c r="K24" s="733"/>
      <c r="L24" s="733"/>
      <c r="M24" s="733">
        <v>230000</v>
      </c>
      <c r="N24" s="733">
        <v>0</v>
      </c>
      <c r="O24" s="733">
        <v>0</v>
      </c>
      <c r="P24" s="1502">
        <f t="shared" si="1"/>
        <v>0</v>
      </c>
      <c r="Q24" s="1275">
        <f t="shared" si="2"/>
        <v>230000</v>
      </c>
      <c r="R24" s="732" t="s">
        <v>251</v>
      </c>
      <c r="S24" s="733" t="s">
        <v>251</v>
      </c>
      <c r="T24" s="733" t="s">
        <v>251</v>
      </c>
      <c r="U24" s="733"/>
      <c r="V24" s="733"/>
      <c r="W24" s="733"/>
      <c r="X24" s="733"/>
      <c r="Y24" s="733"/>
      <c r="Z24" s="733"/>
      <c r="AA24" s="733"/>
      <c r="AB24" s="733"/>
      <c r="AC24" s="733"/>
      <c r="AD24" s="1275">
        <f t="shared" si="3"/>
        <v>0</v>
      </c>
      <c r="AE24" s="1124">
        <f t="shared" si="0"/>
        <v>0</v>
      </c>
      <c r="AF24" s="1276">
        <f t="shared" si="4"/>
        <v>119</v>
      </c>
      <c r="AH24" s="1370" t="s">
        <v>1344</v>
      </c>
      <c r="AI24" s="1398">
        <v>0</v>
      </c>
      <c r="AJ24" s="1398">
        <v>3566430</v>
      </c>
      <c r="AK24" s="1391">
        <f t="shared" si="5"/>
        <v>3566430</v>
      </c>
      <c r="AL24" s="1030">
        <f t="shared" si="6"/>
        <v>0</v>
      </c>
    </row>
    <row r="25" spans="1:38" x14ac:dyDescent="0.3">
      <c r="A25" s="56" t="s">
        <v>931</v>
      </c>
      <c r="B25" s="1207" t="s">
        <v>932</v>
      </c>
      <c r="C25" s="1208" t="s">
        <v>251</v>
      </c>
      <c r="D25" s="1209" t="s">
        <v>251</v>
      </c>
      <c r="E25" s="1209" t="s">
        <v>251</v>
      </c>
      <c r="F25" s="1209" t="s">
        <v>251</v>
      </c>
      <c r="G25" s="1209" t="s">
        <v>251</v>
      </c>
      <c r="H25" s="1209" t="s">
        <v>251</v>
      </c>
      <c r="I25" s="1209" t="s">
        <v>251</v>
      </c>
      <c r="J25" s="1209" t="s">
        <v>251</v>
      </c>
      <c r="K25" s="1209"/>
      <c r="L25" s="1209" t="s">
        <v>251</v>
      </c>
      <c r="M25" s="1209"/>
      <c r="N25" s="1209" t="s">
        <v>251</v>
      </c>
      <c r="O25" s="1209" t="s">
        <v>251</v>
      </c>
      <c r="P25" s="1502">
        <f t="shared" si="1"/>
        <v>0</v>
      </c>
      <c r="Q25" s="1210">
        <f t="shared" si="2"/>
        <v>0</v>
      </c>
      <c r="R25" s="1208" t="s">
        <v>251</v>
      </c>
      <c r="S25" s="1209" t="s">
        <v>251</v>
      </c>
      <c r="T25" s="1209" t="s">
        <v>251</v>
      </c>
      <c r="U25" s="1209"/>
      <c r="V25" s="1209"/>
      <c r="W25" s="1209"/>
      <c r="X25" s="1209"/>
      <c r="Y25" s="1209"/>
      <c r="Z25" s="1209"/>
      <c r="AA25" s="1209"/>
      <c r="AB25" s="1209"/>
      <c r="AC25" s="1209"/>
      <c r="AD25" s="1210">
        <f t="shared" si="3"/>
        <v>0</v>
      </c>
      <c r="AE25" s="86">
        <f t="shared" si="0"/>
        <v>0</v>
      </c>
      <c r="AF25" s="87">
        <f t="shared" si="4"/>
        <v>119</v>
      </c>
      <c r="AH25" s="1370" t="s">
        <v>990</v>
      </c>
      <c r="AI25" s="1398">
        <v>2199100</v>
      </c>
      <c r="AJ25" s="1398">
        <v>3056070</v>
      </c>
      <c r="AK25" s="1391">
        <f t="shared" si="5"/>
        <v>856970</v>
      </c>
      <c r="AL25" s="1030">
        <f t="shared" si="6"/>
        <v>0.38969123732435995</v>
      </c>
    </row>
    <row r="26" spans="1:38" x14ac:dyDescent="0.3">
      <c r="A26" s="57" t="s">
        <v>2439</v>
      </c>
      <c r="B26" s="1207" t="s">
        <v>933</v>
      </c>
      <c r="C26" s="1211">
        <v>2403060</v>
      </c>
      <c r="D26" s="1209">
        <v>571030</v>
      </c>
      <c r="E26" s="1212">
        <v>339640</v>
      </c>
      <c r="F26" s="1212" t="s">
        <v>251</v>
      </c>
      <c r="G26" s="1212" t="s">
        <v>251</v>
      </c>
      <c r="H26" s="1212">
        <v>6060</v>
      </c>
      <c r="I26" s="1212">
        <v>40590</v>
      </c>
      <c r="J26" s="1212">
        <v>439190</v>
      </c>
      <c r="K26" s="1212">
        <v>29460</v>
      </c>
      <c r="L26" s="1212">
        <v>9560</v>
      </c>
      <c r="M26" s="1212"/>
      <c r="N26" s="1212" t="s">
        <v>251</v>
      </c>
      <c r="O26" s="1212">
        <v>1314390</v>
      </c>
      <c r="P26" s="1502">
        <f t="shared" si="1"/>
        <v>3389840</v>
      </c>
      <c r="Q26" s="1210">
        <f t="shared" si="2"/>
        <v>5123520</v>
      </c>
      <c r="R26" s="1211">
        <v>21500</v>
      </c>
      <c r="S26" s="1209">
        <v>5610</v>
      </c>
      <c r="T26" s="1212">
        <v>620</v>
      </c>
      <c r="U26" s="1212"/>
      <c r="V26" s="1212"/>
      <c r="W26" s="1212"/>
      <c r="X26" s="1212"/>
      <c r="Y26" s="1212"/>
      <c r="Z26" s="1212"/>
      <c r="AA26" s="1212"/>
      <c r="AB26" s="1212"/>
      <c r="AC26" s="1212"/>
      <c r="AD26" s="1210">
        <f t="shared" si="3"/>
        <v>27730</v>
      </c>
      <c r="AE26" s="86">
        <f t="shared" si="0"/>
        <v>-0.99181967290491591</v>
      </c>
      <c r="AF26" s="87">
        <f t="shared" si="4"/>
        <v>117</v>
      </c>
      <c r="AH26" s="1370" t="s">
        <v>1448</v>
      </c>
      <c r="AI26" s="1398">
        <v>22690</v>
      </c>
      <c r="AJ26" s="1398">
        <v>2648870</v>
      </c>
      <c r="AK26" s="1391">
        <f t="shared" si="5"/>
        <v>2626180</v>
      </c>
      <c r="AL26" s="1030">
        <f t="shared" si="6"/>
        <v>115.74173644777434</v>
      </c>
    </row>
    <row r="27" spans="1:38" x14ac:dyDescent="0.3">
      <c r="A27" s="56" t="s">
        <v>931</v>
      </c>
      <c r="B27" s="1207" t="s">
        <v>934</v>
      </c>
      <c r="C27" s="1208" t="s">
        <v>251</v>
      </c>
      <c r="D27" s="1209" t="s">
        <v>251</v>
      </c>
      <c r="E27" s="1209" t="s">
        <v>251</v>
      </c>
      <c r="F27" s="1209" t="s">
        <v>251</v>
      </c>
      <c r="G27" s="1209" t="s">
        <v>251</v>
      </c>
      <c r="H27" s="1209" t="s">
        <v>251</v>
      </c>
      <c r="I27" s="1209" t="s">
        <v>251</v>
      </c>
      <c r="J27" s="1209" t="s">
        <v>251</v>
      </c>
      <c r="K27" s="1209"/>
      <c r="L27" s="1209" t="s">
        <v>251</v>
      </c>
      <c r="M27" s="1209"/>
      <c r="N27" s="1209" t="s">
        <v>251</v>
      </c>
      <c r="O27" s="1209" t="s">
        <v>251</v>
      </c>
      <c r="P27" s="1502">
        <f t="shared" si="1"/>
        <v>0</v>
      </c>
      <c r="Q27" s="1210">
        <f t="shared" si="2"/>
        <v>0</v>
      </c>
      <c r="R27" s="1208" t="s">
        <v>251</v>
      </c>
      <c r="S27" s="1209" t="s">
        <v>251</v>
      </c>
      <c r="T27" s="1209" t="s">
        <v>251</v>
      </c>
      <c r="U27" s="1209"/>
      <c r="V27" s="1209"/>
      <c r="W27" s="1209"/>
      <c r="X27" s="1209"/>
      <c r="Y27" s="1209"/>
      <c r="Z27" s="1209"/>
      <c r="AA27" s="1209"/>
      <c r="AB27" s="1209"/>
      <c r="AC27" s="1209"/>
      <c r="AD27" s="1210">
        <f t="shared" si="3"/>
        <v>0</v>
      </c>
      <c r="AE27" s="86">
        <f t="shared" si="0"/>
        <v>0</v>
      </c>
      <c r="AF27" s="87">
        <f t="shared" si="4"/>
        <v>119</v>
      </c>
      <c r="AH27" s="1370" t="s">
        <v>804</v>
      </c>
      <c r="AI27" s="1398">
        <v>0</v>
      </c>
      <c r="AJ27" s="1398">
        <v>2516010</v>
      </c>
      <c r="AK27" s="1391">
        <f t="shared" si="5"/>
        <v>2516010</v>
      </c>
      <c r="AL27" s="1030">
        <f t="shared" si="6"/>
        <v>0</v>
      </c>
    </row>
    <row r="28" spans="1:38" x14ac:dyDescent="0.3">
      <c r="A28" s="57" t="s">
        <v>931</v>
      </c>
      <c r="B28" s="1207" t="s">
        <v>935</v>
      </c>
      <c r="C28" s="1211">
        <v>538000</v>
      </c>
      <c r="D28" s="1209">
        <v>337800</v>
      </c>
      <c r="E28" s="1209">
        <v>1256130</v>
      </c>
      <c r="F28" s="1209" t="s">
        <v>251</v>
      </c>
      <c r="G28" s="1209" t="s">
        <v>251</v>
      </c>
      <c r="H28" s="1209" t="s">
        <v>251</v>
      </c>
      <c r="I28" s="1209">
        <v>533960</v>
      </c>
      <c r="J28" s="1209">
        <v>592000</v>
      </c>
      <c r="K28" s="1209">
        <v>592000</v>
      </c>
      <c r="L28" s="1209">
        <v>1052990</v>
      </c>
      <c r="M28" s="1209">
        <v>509000</v>
      </c>
      <c r="N28" s="1209">
        <v>520970</v>
      </c>
      <c r="O28" s="1209">
        <v>545000</v>
      </c>
      <c r="P28" s="1502">
        <f t="shared" si="1"/>
        <v>3257890</v>
      </c>
      <c r="Q28" s="1210">
        <f t="shared" si="2"/>
        <v>5885850</v>
      </c>
      <c r="R28" s="1211">
        <v>859150</v>
      </c>
      <c r="S28" s="1209" t="s">
        <v>251</v>
      </c>
      <c r="T28" s="1209">
        <v>1438000</v>
      </c>
      <c r="U28" s="1209"/>
      <c r="V28" s="1209"/>
      <c r="W28" s="1209">
        <v>220940</v>
      </c>
      <c r="X28" s="1209">
        <v>1806970</v>
      </c>
      <c r="Y28" s="1209">
        <v>2626000</v>
      </c>
      <c r="Z28" s="1209"/>
      <c r="AA28" s="1209"/>
      <c r="AB28" s="1209"/>
      <c r="AC28" s="1209"/>
      <c r="AD28" s="1210">
        <f t="shared" si="3"/>
        <v>6951060</v>
      </c>
      <c r="AE28" s="86">
        <f t="shared" si="0"/>
        <v>1.1336079487029949</v>
      </c>
      <c r="AF28" s="87">
        <f t="shared" si="4"/>
        <v>22</v>
      </c>
      <c r="AH28" s="1370" t="s">
        <v>2448</v>
      </c>
      <c r="AI28" s="1398">
        <v>1012520</v>
      </c>
      <c r="AJ28" s="1398">
        <v>700800</v>
      </c>
      <c r="AK28" s="1391">
        <f t="shared" si="5"/>
        <v>-311720</v>
      </c>
      <c r="AL28" s="1030">
        <f t="shared" si="6"/>
        <v>-0.3078655236439774</v>
      </c>
    </row>
    <row r="29" spans="1:38" x14ac:dyDescent="0.3">
      <c r="A29" s="56" t="s">
        <v>931</v>
      </c>
      <c r="B29" s="1207" t="s">
        <v>936</v>
      </c>
      <c r="C29" s="1208" t="s">
        <v>251</v>
      </c>
      <c r="D29" s="1209" t="s">
        <v>251</v>
      </c>
      <c r="E29" s="1209" t="s">
        <v>251</v>
      </c>
      <c r="F29" s="1209" t="s">
        <v>251</v>
      </c>
      <c r="G29" s="1209">
        <v>1434700</v>
      </c>
      <c r="H29" s="1209" t="s">
        <v>251</v>
      </c>
      <c r="I29" s="1209" t="s">
        <v>251</v>
      </c>
      <c r="J29" s="1209" t="s">
        <v>251</v>
      </c>
      <c r="K29" s="1209"/>
      <c r="L29" s="1209" t="s">
        <v>251</v>
      </c>
      <c r="M29" s="1209"/>
      <c r="N29" s="1209" t="s">
        <v>251</v>
      </c>
      <c r="O29" s="1209" t="s">
        <v>251</v>
      </c>
      <c r="P29" s="1502">
        <f t="shared" si="1"/>
        <v>1434700</v>
      </c>
      <c r="Q29" s="1210">
        <f t="shared" si="2"/>
        <v>1434700</v>
      </c>
      <c r="R29" s="1208" t="s">
        <v>251</v>
      </c>
      <c r="S29" s="1209" t="s">
        <v>251</v>
      </c>
      <c r="T29" s="1209" t="s">
        <v>251</v>
      </c>
      <c r="U29" s="1209"/>
      <c r="V29" s="1209"/>
      <c r="W29" s="1209"/>
      <c r="X29" s="1209"/>
      <c r="Y29" s="1209"/>
      <c r="Z29" s="1209"/>
      <c r="AA29" s="1209"/>
      <c r="AB29" s="1209"/>
      <c r="AC29" s="1209"/>
      <c r="AD29" s="1210">
        <f t="shared" si="3"/>
        <v>0</v>
      </c>
      <c r="AE29" s="86">
        <f t="shared" si="0"/>
        <v>-1</v>
      </c>
      <c r="AF29" s="87">
        <f t="shared" si="4"/>
        <v>119</v>
      </c>
      <c r="AH29" s="1370" t="s">
        <v>981</v>
      </c>
      <c r="AI29" s="1398">
        <v>4205180</v>
      </c>
      <c r="AJ29" s="1398">
        <v>559640</v>
      </c>
      <c r="AK29" s="1391">
        <f t="shared" si="5"/>
        <v>-3645540</v>
      </c>
      <c r="AL29" s="1030">
        <f t="shared" si="6"/>
        <v>-0.86691651724777541</v>
      </c>
    </row>
    <row r="30" spans="1:38" x14ac:dyDescent="0.3">
      <c r="A30" s="56" t="s">
        <v>931</v>
      </c>
      <c r="B30" s="1207" t="s">
        <v>937</v>
      </c>
      <c r="C30" s="1208" t="s">
        <v>251</v>
      </c>
      <c r="D30" s="1209" t="s">
        <v>251</v>
      </c>
      <c r="E30" s="1209">
        <v>742640</v>
      </c>
      <c r="F30" s="1209" t="s">
        <v>251</v>
      </c>
      <c r="G30" s="1209" t="s">
        <v>251</v>
      </c>
      <c r="H30" s="1209" t="s">
        <v>251</v>
      </c>
      <c r="I30" s="1209" t="s">
        <v>251</v>
      </c>
      <c r="J30" s="1209" t="s">
        <v>251</v>
      </c>
      <c r="K30" s="1209"/>
      <c r="L30" s="1209" t="s">
        <v>251</v>
      </c>
      <c r="M30" s="1209"/>
      <c r="N30" s="1209" t="s">
        <v>251</v>
      </c>
      <c r="O30" s="1209" t="s">
        <v>251</v>
      </c>
      <c r="P30" s="1502">
        <f t="shared" si="1"/>
        <v>742640</v>
      </c>
      <c r="Q30" s="1210">
        <f t="shared" si="2"/>
        <v>742640</v>
      </c>
      <c r="R30" s="1208" t="s">
        <v>251</v>
      </c>
      <c r="S30" s="1209" t="s">
        <v>251</v>
      </c>
      <c r="T30" s="1209" t="s">
        <v>251</v>
      </c>
      <c r="U30" s="1209"/>
      <c r="V30" s="1209"/>
      <c r="W30" s="1209"/>
      <c r="X30" s="1209"/>
      <c r="Y30" s="1209"/>
      <c r="Z30" s="1209"/>
      <c r="AA30" s="1209"/>
      <c r="AB30" s="1209"/>
      <c r="AC30" s="1209"/>
      <c r="AD30" s="1210">
        <f t="shared" si="3"/>
        <v>0</v>
      </c>
      <c r="AE30" s="86">
        <f t="shared" si="0"/>
        <v>-1</v>
      </c>
      <c r="AF30" s="87">
        <f t="shared" si="4"/>
        <v>119</v>
      </c>
      <c r="AH30" s="1370" t="s">
        <v>1500</v>
      </c>
      <c r="AI30" s="1398">
        <v>0</v>
      </c>
      <c r="AJ30" s="1398">
        <v>325990</v>
      </c>
      <c r="AK30" s="1391">
        <f t="shared" si="5"/>
        <v>325990</v>
      </c>
      <c r="AL30" s="1030">
        <f t="shared" si="6"/>
        <v>0</v>
      </c>
    </row>
    <row r="31" spans="1:38" x14ac:dyDescent="0.3">
      <c r="A31" s="56" t="s">
        <v>931</v>
      </c>
      <c r="B31" s="1207" t="s">
        <v>938</v>
      </c>
      <c r="C31" s="1208">
        <v>3760</v>
      </c>
      <c r="D31" s="1209">
        <v>5750</v>
      </c>
      <c r="E31" s="1209">
        <v>1720</v>
      </c>
      <c r="F31" s="1209" t="s">
        <v>251</v>
      </c>
      <c r="G31" s="1209" t="s">
        <v>251</v>
      </c>
      <c r="H31" s="1209" t="s">
        <v>251</v>
      </c>
      <c r="I31" s="1209" t="s">
        <v>251</v>
      </c>
      <c r="J31" s="1209" t="s">
        <v>251</v>
      </c>
      <c r="K31" s="1209"/>
      <c r="L31" s="1209" t="s">
        <v>251</v>
      </c>
      <c r="M31" s="1209"/>
      <c r="N31" s="1209" t="s">
        <v>251</v>
      </c>
      <c r="O31" s="1209" t="s">
        <v>251</v>
      </c>
      <c r="P31" s="1502">
        <f t="shared" si="1"/>
        <v>11230</v>
      </c>
      <c r="Q31" s="1210">
        <f t="shared" si="2"/>
        <v>11230</v>
      </c>
      <c r="R31" s="1208" t="s">
        <v>251</v>
      </c>
      <c r="S31" s="1209" t="s">
        <v>251</v>
      </c>
      <c r="T31" s="1209" t="s">
        <v>251</v>
      </c>
      <c r="U31" s="1209"/>
      <c r="V31" s="1209"/>
      <c r="W31" s="1209"/>
      <c r="X31" s="1209"/>
      <c r="Y31" s="1209"/>
      <c r="Z31" s="1209"/>
      <c r="AA31" s="1209"/>
      <c r="AB31" s="1209"/>
      <c r="AC31" s="1209"/>
      <c r="AD31" s="1210">
        <f t="shared" si="3"/>
        <v>0</v>
      </c>
      <c r="AE31" s="86">
        <f t="shared" si="0"/>
        <v>-1</v>
      </c>
      <c r="AF31" s="87">
        <f t="shared" si="4"/>
        <v>119</v>
      </c>
      <c r="AH31" s="1370" t="s">
        <v>2978</v>
      </c>
      <c r="AI31" s="1398">
        <v>0</v>
      </c>
      <c r="AJ31" s="1398">
        <v>58770</v>
      </c>
      <c r="AK31" s="1391">
        <f t="shared" si="5"/>
        <v>58770</v>
      </c>
      <c r="AL31" s="1030">
        <f t="shared" si="6"/>
        <v>0</v>
      </c>
    </row>
    <row r="32" spans="1:38" x14ac:dyDescent="0.3">
      <c r="A32" s="57" t="s">
        <v>931</v>
      </c>
      <c r="B32" s="1207" t="s">
        <v>939</v>
      </c>
      <c r="C32" s="1211" t="s">
        <v>251</v>
      </c>
      <c r="D32" s="1209" t="s">
        <v>251</v>
      </c>
      <c r="E32" s="1209" t="s">
        <v>251</v>
      </c>
      <c r="F32" s="1209" t="s">
        <v>251</v>
      </c>
      <c r="G32" s="1209" t="s">
        <v>251</v>
      </c>
      <c r="H32" s="1209" t="s">
        <v>251</v>
      </c>
      <c r="I32" s="1209" t="s">
        <v>251</v>
      </c>
      <c r="J32" s="1209" t="s">
        <v>2449</v>
      </c>
      <c r="K32" s="1209"/>
      <c r="L32" s="1209" t="s">
        <v>251</v>
      </c>
      <c r="M32" s="1209"/>
      <c r="N32" s="1209" t="s">
        <v>251</v>
      </c>
      <c r="O32" s="1209" t="s">
        <v>251</v>
      </c>
      <c r="P32" s="1502">
        <f t="shared" si="1"/>
        <v>0</v>
      </c>
      <c r="Q32" s="1210">
        <f t="shared" si="2"/>
        <v>0</v>
      </c>
      <c r="R32" s="1211" t="s">
        <v>251</v>
      </c>
      <c r="S32" s="1209" t="s">
        <v>251</v>
      </c>
      <c r="T32" s="1209" t="s">
        <v>251</v>
      </c>
      <c r="U32" s="1209"/>
      <c r="V32" s="1209"/>
      <c r="W32" s="1209"/>
      <c r="X32" s="1209"/>
      <c r="Y32" s="1209"/>
      <c r="Z32" s="1209"/>
      <c r="AA32" s="1209"/>
      <c r="AB32" s="1209"/>
      <c r="AC32" s="1209"/>
      <c r="AD32" s="1210">
        <f t="shared" si="3"/>
        <v>0</v>
      </c>
      <c r="AE32" s="86">
        <f t="shared" si="0"/>
        <v>0</v>
      </c>
      <c r="AF32" s="87">
        <f t="shared" si="4"/>
        <v>119</v>
      </c>
      <c r="AH32" s="1370" t="s">
        <v>980</v>
      </c>
      <c r="AI32" s="1398">
        <v>1397230</v>
      </c>
      <c r="AJ32" s="1398">
        <v>0</v>
      </c>
      <c r="AK32" s="1391">
        <f t="shared" si="5"/>
        <v>-1397230</v>
      </c>
      <c r="AL32" s="1030">
        <f t="shared" si="6"/>
        <v>-1</v>
      </c>
    </row>
    <row r="33" spans="1:38" x14ac:dyDescent="0.3">
      <c r="A33" s="57" t="s">
        <v>931</v>
      </c>
      <c r="B33" s="1207" t="s">
        <v>940</v>
      </c>
      <c r="C33" s="1211" t="s">
        <v>251</v>
      </c>
      <c r="D33" s="1209" t="s">
        <v>251</v>
      </c>
      <c r="E33" s="1209" t="s">
        <v>251</v>
      </c>
      <c r="F33" s="1209" t="s">
        <v>251</v>
      </c>
      <c r="G33" s="1209" t="s">
        <v>251</v>
      </c>
      <c r="H33" s="1209" t="s">
        <v>251</v>
      </c>
      <c r="I33" s="1209" t="s">
        <v>251</v>
      </c>
      <c r="J33" s="1209" t="s">
        <v>251</v>
      </c>
      <c r="K33" s="1209"/>
      <c r="L33" s="1209" t="s">
        <v>251</v>
      </c>
      <c r="M33" s="1209"/>
      <c r="N33" s="1209" t="s">
        <v>251</v>
      </c>
      <c r="O33" s="1209" t="s">
        <v>251</v>
      </c>
      <c r="P33" s="1502">
        <f t="shared" si="1"/>
        <v>0</v>
      </c>
      <c r="Q33" s="1210">
        <f t="shared" si="2"/>
        <v>0</v>
      </c>
      <c r="R33" s="1211" t="s">
        <v>251</v>
      </c>
      <c r="S33" s="1209" t="s">
        <v>251</v>
      </c>
      <c r="T33" s="1209" t="s">
        <v>251</v>
      </c>
      <c r="U33" s="1209"/>
      <c r="V33" s="1209"/>
      <c r="W33" s="1209"/>
      <c r="X33" s="1209"/>
      <c r="Y33" s="1209"/>
      <c r="Z33" s="1209"/>
      <c r="AA33" s="1209"/>
      <c r="AB33" s="1209"/>
      <c r="AC33" s="1209"/>
      <c r="AD33" s="1210">
        <f t="shared" si="3"/>
        <v>0</v>
      </c>
      <c r="AE33" s="86">
        <f t="shared" si="0"/>
        <v>0</v>
      </c>
      <c r="AF33" s="87">
        <f t="shared" si="4"/>
        <v>119</v>
      </c>
      <c r="AH33" s="1370" t="s">
        <v>984</v>
      </c>
      <c r="AI33" s="1398">
        <v>2674100</v>
      </c>
      <c r="AJ33" s="1398">
        <v>0</v>
      </c>
      <c r="AK33" s="1391">
        <f t="shared" si="5"/>
        <v>-2674100</v>
      </c>
      <c r="AL33" s="1030">
        <f t="shared" si="6"/>
        <v>-1</v>
      </c>
    </row>
    <row r="34" spans="1:38" x14ac:dyDescent="0.3">
      <c r="A34" s="57" t="s">
        <v>931</v>
      </c>
      <c r="B34" s="1207" t="s">
        <v>941</v>
      </c>
      <c r="C34" s="1208" t="s">
        <v>251</v>
      </c>
      <c r="D34" s="1209" t="s">
        <v>251</v>
      </c>
      <c r="E34" s="1209" t="s">
        <v>251</v>
      </c>
      <c r="F34" s="1209" t="s">
        <v>251</v>
      </c>
      <c r="G34" s="1209" t="s">
        <v>251</v>
      </c>
      <c r="H34" s="1209" t="s">
        <v>251</v>
      </c>
      <c r="I34" s="1209" t="s">
        <v>251</v>
      </c>
      <c r="J34" s="1209" t="s">
        <v>251</v>
      </c>
      <c r="K34" s="1209"/>
      <c r="L34" s="1209" t="s">
        <v>251</v>
      </c>
      <c r="M34" s="1209"/>
      <c r="N34" s="1209">
        <v>5120</v>
      </c>
      <c r="O34" s="1209">
        <v>4450</v>
      </c>
      <c r="P34" s="1502">
        <f t="shared" si="1"/>
        <v>0</v>
      </c>
      <c r="Q34" s="1210">
        <f t="shared" si="2"/>
        <v>9570</v>
      </c>
      <c r="R34" s="1208" t="s">
        <v>251</v>
      </c>
      <c r="S34" s="1209" t="s">
        <v>251</v>
      </c>
      <c r="T34" s="1209" t="s">
        <v>251</v>
      </c>
      <c r="U34" s="1209"/>
      <c r="V34" s="1209"/>
      <c r="W34" s="1209"/>
      <c r="X34" s="1209"/>
      <c r="Y34" s="1209"/>
      <c r="Z34" s="1209"/>
      <c r="AA34" s="1209"/>
      <c r="AB34" s="1209"/>
      <c r="AC34" s="1209"/>
      <c r="AD34" s="1210">
        <f t="shared" si="3"/>
        <v>0</v>
      </c>
      <c r="AE34" s="86">
        <f t="shared" ref="AE34:AE65" si="7">IF(OR(AD34="",P34=""), 0, IFERROR((AD34-P34)/P34, IF(AD34&lt;&gt;0, 1, 0)))</f>
        <v>0</v>
      </c>
      <c r="AF34" s="87">
        <f t="shared" si="4"/>
        <v>119</v>
      </c>
      <c r="AH34" s="1370" t="s">
        <v>992</v>
      </c>
      <c r="AI34" s="1398">
        <v>2151580</v>
      </c>
      <c r="AJ34" s="1398">
        <v>0</v>
      </c>
      <c r="AK34" s="1391">
        <f t="shared" si="5"/>
        <v>-2151580</v>
      </c>
      <c r="AL34" s="1030">
        <f t="shared" si="6"/>
        <v>-1</v>
      </c>
    </row>
    <row r="35" spans="1:38" x14ac:dyDescent="0.3">
      <c r="A35" s="57" t="s">
        <v>931</v>
      </c>
      <c r="B35" s="1207" t="s">
        <v>942</v>
      </c>
      <c r="C35" s="1208" t="s">
        <v>251</v>
      </c>
      <c r="D35" s="1209" t="s">
        <v>251</v>
      </c>
      <c r="E35" s="1209" t="s">
        <v>251</v>
      </c>
      <c r="F35" s="1209" t="s">
        <v>251</v>
      </c>
      <c r="G35" s="1209" t="s">
        <v>251</v>
      </c>
      <c r="H35" s="1209" t="s">
        <v>251</v>
      </c>
      <c r="I35" s="1209" t="s">
        <v>251</v>
      </c>
      <c r="J35" s="1209" t="s">
        <v>251</v>
      </c>
      <c r="K35" s="1209"/>
      <c r="L35" s="1209" t="s">
        <v>251</v>
      </c>
      <c r="M35" s="1209"/>
      <c r="N35" s="1209" t="s">
        <v>251</v>
      </c>
      <c r="O35" s="1209">
        <v>1550</v>
      </c>
      <c r="P35" s="1502">
        <f t="shared" si="1"/>
        <v>0</v>
      </c>
      <c r="Q35" s="1210">
        <f t="shared" si="2"/>
        <v>1550</v>
      </c>
      <c r="R35" s="1208" t="s">
        <v>251</v>
      </c>
      <c r="S35" s="1209" t="s">
        <v>251</v>
      </c>
      <c r="T35" s="1209" t="s">
        <v>251</v>
      </c>
      <c r="U35" s="1209"/>
      <c r="V35" s="1209"/>
      <c r="W35" s="1209"/>
      <c r="X35" s="1209"/>
      <c r="Y35" s="1209"/>
      <c r="Z35" s="1209"/>
      <c r="AA35" s="1209"/>
      <c r="AB35" s="1209"/>
      <c r="AC35" s="1209"/>
      <c r="AD35" s="1210">
        <f t="shared" si="3"/>
        <v>0</v>
      </c>
      <c r="AE35" s="86">
        <f t="shared" si="7"/>
        <v>0</v>
      </c>
      <c r="AF35" s="87">
        <f t="shared" si="4"/>
        <v>119</v>
      </c>
      <c r="AH35" s="1370" t="s">
        <v>924</v>
      </c>
      <c r="AI35" s="1398">
        <v>72990</v>
      </c>
      <c r="AJ35" s="1398">
        <v>0</v>
      </c>
      <c r="AK35" s="1391">
        <f t="shared" si="5"/>
        <v>-72990</v>
      </c>
      <c r="AL35" s="1030">
        <f t="shared" si="6"/>
        <v>-1</v>
      </c>
    </row>
    <row r="36" spans="1:38" x14ac:dyDescent="0.3">
      <c r="A36" s="57" t="s">
        <v>931</v>
      </c>
      <c r="B36" s="1207" t="s">
        <v>943</v>
      </c>
      <c r="C36" s="1208" t="s">
        <v>251</v>
      </c>
      <c r="D36" s="1212" t="s">
        <v>251</v>
      </c>
      <c r="E36" s="1209" t="s">
        <v>251</v>
      </c>
      <c r="F36" s="1209" t="s">
        <v>251</v>
      </c>
      <c r="G36" s="1209" t="s">
        <v>251</v>
      </c>
      <c r="H36" s="1209" t="s">
        <v>251</v>
      </c>
      <c r="I36" s="1209" t="s">
        <v>251</v>
      </c>
      <c r="J36" s="1209" t="s">
        <v>251</v>
      </c>
      <c r="K36" s="1209"/>
      <c r="L36" s="1209" t="s">
        <v>251</v>
      </c>
      <c r="M36" s="1209"/>
      <c r="N36" s="1209" t="s">
        <v>251</v>
      </c>
      <c r="O36" s="1209" t="s">
        <v>251</v>
      </c>
      <c r="P36" s="1502">
        <f t="shared" si="1"/>
        <v>0</v>
      </c>
      <c r="Q36" s="1210">
        <f t="shared" si="2"/>
        <v>0</v>
      </c>
      <c r="R36" s="1208" t="s">
        <v>251</v>
      </c>
      <c r="S36" s="1212" t="s">
        <v>251</v>
      </c>
      <c r="T36" s="1209" t="s">
        <v>251</v>
      </c>
      <c r="U36" s="1209"/>
      <c r="V36" s="1209"/>
      <c r="W36" s="1209"/>
      <c r="X36" s="1209"/>
      <c r="Y36" s="1209"/>
      <c r="Z36" s="1209"/>
      <c r="AA36" s="1209"/>
      <c r="AB36" s="1209"/>
      <c r="AC36" s="1209"/>
      <c r="AD36" s="1210">
        <f t="shared" si="3"/>
        <v>0</v>
      </c>
      <c r="AE36" s="86">
        <f t="shared" si="7"/>
        <v>0</v>
      </c>
      <c r="AF36" s="87">
        <f t="shared" si="4"/>
        <v>119</v>
      </c>
      <c r="AH36" s="1370" t="s">
        <v>935</v>
      </c>
      <c r="AI36" s="1398">
        <v>0</v>
      </c>
      <c r="AJ36" s="1398">
        <v>0</v>
      </c>
      <c r="AK36" s="1391">
        <f t="shared" si="5"/>
        <v>0</v>
      </c>
      <c r="AL36" s="1030">
        <f t="shared" si="6"/>
        <v>0</v>
      </c>
    </row>
    <row r="37" spans="1:38" x14ac:dyDescent="0.3">
      <c r="A37" s="57" t="s">
        <v>931</v>
      </c>
      <c r="B37" s="1207" t="s">
        <v>944</v>
      </c>
      <c r="C37" s="1208" t="s">
        <v>251</v>
      </c>
      <c r="D37" s="1209" t="s">
        <v>251</v>
      </c>
      <c r="E37" s="1209" t="s">
        <v>251</v>
      </c>
      <c r="F37" s="1209" t="s">
        <v>251</v>
      </c>
      <c r="G37" s="1209" t="s">
        <v>251</v>
      </c>
      <c r="H37" s="1209" t="s">
        <v>251</v>
      </c>
      <c r="I37" s="1209" t="s">
        <v>251</v>
      </c>
      <c r="J37" s="1209" t="s">
        <v>251</v>
      </c>
      <c r="K37" s="1209"/>
      <c r="L37" s="1209" t="s">
        <v>251</v>
      </c>
      <c r="M37" s="1209"/>
      <c r="N37" s="1209" t="s">
        <v>251</v>
      </c>
      <c r="O37" s="1209" t="s">
        <v>251</v>
      </c>
      <c r="P37" s="1502">
        <f t="shared" si="1"/>
        <v>0</v>
      </c>
      <c r="Q37" s="1210">
        <f t="shared" si="2"/>
        <v>0</v>
      </c>
      <c r="R37" s="1208" t="s">
        <v>251</v>
      </c>
      <c r="S37" s="1209" t="s">
        <v>251</v>
      </c>
      <c r="T37" s="1209" t="s">
        <v>251</v>
      </c>
      <c r="U37" s="1209"/>
      <c r="V37" s="1209"/>
      <c r="W37" s="1209"/>
      <c r="X37" s="1209"/>
      <c r="Y37" s="1209"/>
      <c r="Z37" s="1209"/>
      <c r="AA37" s="1209"/>
      <c r="AB37" s="1209"/>
      <c r="AC37" s="1209"/>
      <c r="AD37" s="1210">
        <f t="shared" si="3"/>
        <v>0</v>
      </c>
      <c r="AE37" s="86">
        <f t="shared" si="7"/>
        <v>0</v>
      </c>
      <c r="AF37" s="87">
        <f t="shared" si="4"/>
        <v>119</v>
      </c>
      <c r="AH37" s="1370" t="s">
        <v>976</v>
      </c>
      <c r="AI37" s="1398">
        <v>12920590</v>
      </c>
      <c r="AJ37" s="1398">
        <v>0</v>
      </c>
      <c r="AK37" s="1391">
        <f t="shared" si="5"/>
        <v>-12920590</v>
      </c>
      <c r="AL37" s="1030">
        <f t="shared" si="6"/>
        <v>-1</v>
      </c>
    </row>
    <row r="38" spans="1:38" x14ac:dyDescent="0.3">
      <c r="A38" s="57" t="s">
        <v>931</v>
      </c>
      <c r="B38" s="1207" t="s">
        <v>945</v>
      </c>
      <c r="C38" s="1208" t="s">
        <v>251</v>
      </c>
      <c r="D38" s="1209" t="s">
        <v>251</v>
      </c>
      <c r="E38" s="1209" t="s">
        <v>251</v>
      </c>
      <c r="F38" s="1209" t="s">
        <v>251</v>
      </c>
      <c r="G38" s="1209" t="s">
        <v>251</v>
      </c>
      <c r="H38" s="1209" t="s">
        <v>251</v>
      </c>
      <c r="I38" s="1209" t="s">
        <v>251</v>
      </c>
      <c r="J38" s="1209" t="s">
        <v>251</v>
      </c>
      <c r="K38" s="1209"/>
      <c r="L38" s="1209" t="s">
        <v>251</v>
      </c>
      <c r="M38" s="1209"/>
      <c r="N38" s="1209" t="s">
        <v>251</v>
      </c>
      <c r="O38" s="1209" t="s">
        <v>251</v>
      </c>
      <c r="P38" s="1502">
        <f t="shared" si="1"/>
        <v>0</v>
      </c>
      <c r="Q38" s="1210">
        <f t="shared" si="2"/>
        <v>0</v>
      </c>
      <c r="R38" s="1208" t="s">
        <v>251</v>
      </c>
      <c r="S38" s="1209" t="s">
        <v>251</v>
      </c>
      <c r="T38" s="1209" t="s">
        <v>251</v>
      </c>
      <c r="U38" s="1209"/>
      <c r="V38" s="1209"/>
      <c r="W38" s="1209"/>
      <c r="X38" s="1209"/>
      <c r="Y38" s="1209"/>
      <c r="Z38" s="1209"/>
      <c r="AA38" s="1209"/>
      <c r="AB38" s="1209"/>
      <c r="AC38" s="1209"/>
      <c r="AD38" s="1210">
        <f t="shared" si="3"/>
        <v>0</v>
      </c>
      <c r="AE38" s="86">
        <f t="shared" si="7"/>
        <v>0</v>
      </c>
      <c r="AF38" s="87">
        <f t="shared" si="4"/>
        <v>119</v>
      </c>
      <c r="AH38" s="1370" t="s">
        <v>1005</v>
      </c>
      <c r="AI38" s="1398">
        <v>0</v>
      </c>
      <c r="AJ38" s="1398">
        <v>0</v>
      </c>
      <c r="AK38" s="1391">
        <f t="shared" si="5"/>
        <v>0</v>
      </c>
      <c r="AL38" s="1030">
        <f t="shared" si="6"/>
        <v>0</v>
      </c>
    </row>
    <row r="39" spans="1:38" x14ac:dyDescent="0.3">
      <c r="A39" s="57" t="s">
        <v>931</v>
      </c>
      <c r="B39" s="1207" t="s">
        <v>946</v>
      </c>
      <c r="C39" s="1208" t="s">
        <v>251</v>
      </c>
      <c r="D39" s="1209" t="s">
        <v>251</v>
      </c>
      <c r="E39" s="1209" t="s">
        <v>251</v>
      </c>
      <c r="F39" s="1209" t="s">
        <v>251</v>
      </c>
      <c r="G39" s="1209" t="s">
        <v>251</v>
      </c>
      <c r="H39" s="1209" t="s">
        <v>251</v>
      </c>
      <c r="I39" s="1209" t="s">
        <v>251</v>
      </c>
      <c r="J39" s="1209" t="s">
        <v>251</v>
      </c>
      <c r="K39" s="1209"/>
      <c r="L39" s="1209" t="s">
        <v>251</v>
      </c>
      <c r="M39" s="1209"/>
      <c r="N39" s="1209" t="s">
        <v>251</v>
      </c>
      <c r="O39" s="1209" t="s">
        <v>251</v>
      </c>
      <c r="P39" s="1502">
        <f t="shared" si="1"/>
        <v>0</v>
      </c>
      <c r="Q39" s="1210">
        <f t="shared" si="2"/>
        <v>0</v>
      </c>
      <c r="R39" s="1208" t="s">
        <v>251</v>
      </c>
      <c r="S39" s="1209" t="s">
        <v>251</v>
      </c>
      <c r="T39" s="1209" t="s">
        <v>251</v>
      </c>
      <c r="U39" s="1209"/>
      <c r="V39" s="1209"/>
      <c r="W39" s="1209"/>
      <c r="X39" s="1209"/>
      <c r="Y39" s="1209"/>
      <c r="Z39" s="1209"/>
      <c r="AA39" s="1209"/>
      <c r="AB39" s="1209"/>
      <c r="AC39" s="1209"/>
      <c r="AD39" s="1210">
        <f t="shared" si="3"/>
        <v>0</v>
      </c>
      <c r="AE39" s="86">
        <f t="shared" si="7"/>
        <v>0</v>
      </c>
      <c r="AF39" s="87">
        <f t="shared" si="4"/>
        <v>119</v>
      </c>
      <c r="AH39" s="1370" t="s">
        <v>696</v>
      </c>
      <c r="AI39" s="1398">
        <v>1652840</v>
      </c>
      <c r="AJ39" s="1398">
        <v>0</v>
      </c>
      <c r="AK39" s="1391">
        <f t="shared" si="5"/>
        <v>-1652840</v>
      </c>
      <c r="AL39" s="1030">
        <f t="shared" si="6"/>
        <v>-1</v>
      </c>
    </row>
    <row r="40" spans="1:38" x14ac:dyDescent="0.3">
      <c r="A40" s="57" t="s">
        <v>931</v>
      </c>
      <c r="B40" s="1207" t="s">
        <v>947</v>
      </c>
      <c r="C40" s="1208" t="s">
        <v>251</v>
      </c>
      <c r="D40" s="1209" t="s">
        <v>251</v>
      </c>
      <c r="E40" s="1209" t="s">
        <v>251</v>
      </c>
      <c r="F40" s="1209" t="s">
        <v>251</v>
      </c>
      <c r="G40" s="1209" t="s">
        <v>251</v>
      </c>
      <c r="H40" s="1209" t="s">
        <v>251</v>
      </c>
      <c r="I40" s="1209" t="s">
        <v>251</v>
      </c>
      <c r="J40" s="1209" t="s">
        <v>251</v>
      </c>
      <c r="K40" s="1209"/>
      <c r="L40" s="1209" t="s">
        <v>251</v>
      </c>
      <c r="M40" s="1209"/>
      <c r="N40" s="1209" t="s">
        <v>251</v>
      </c>
      <c r="O40" s="1209" t="s">
        <v>251</v>
      </c>
      <c r="P40" s="1502">
        <f t="shared" si="1"/>
        <v>0</v>
      </c>
      <c r="Q40" s="1210">
        <f t="shared" si="2"/>
        <v>0</v>
      </c>
      <c r="R40" s="1208" t="s">
        <v>251</v>
      </c>
      <c r="S40" s="1209" t="s">
        <v>251</v>
      </c>
      <c r="T40" s="1209" t="s">
        <v>251</v>
      </c>
      <c r="U40" s="1209"/>
      <c r="V40" s="1209"/>
      <c r="W40" s="1209"/>
      <c r="X40" s="1209"/>
      <c r="Y40" s="1209"/>
      <c r="Z40" s="1209"/>
      <c r="AA40" s="1209"/>
      <c r="AB40" s="1209"/>
      <c r="AC40" s="1209"/>
      <c r="AD40" s="1210">
        <f t="shared" si="3"/>
        <v>0</v>
      </c>
      <c r="AE40" s="86">
        <f t="shared" si="7"/>
        <v>0</v>
      </c>
      <c r="AF40" s="87">
        <f t="shared" si="4"/>
        <v>119</v>
      </c>
      <c r="AH40" s="1370" t="s">
        <v>1004</v>
      </c>
      <c r="AI40" s="1398">
        <v>0</v>
      </c>
      <c r="AJ40" s="1398">
        <v>0</v>
      </c>
      <c r="AK40" s="1391">
        <f t="shared" si="5"/>
        <v>0</v>
      </c>
      <c r="AL40" s="1030">
        <f t="shared" si="6"/>
        <v>0</v>
      </c>
    </row>
    <row r="41" spans="1:38" x14ac:dyDescent="0.3">
      <c r="A41" s="57" t="s">
        <v>931</v>
      </c>
      <c r="B41" s="1207" t="s">
        <v>2440</v>
      </c>
      <c r="C41" s="1208">
        <v>29860</v>
      </c>
      <c r="D41" s="1209" t="s">
        <v>251</v>
      </c>
      <c r="E41" s="1209">
        <v>4553900</v>
      </c>
      <c r="F41" s="1209" t="s">
        <v>251</v>
      </c>
      <c r="G41" s="1209">
        <v>1680</v>
      </c>
      <c r="H41" s="1209" t="s">
        <v>251</v>
      </c>
      <c r="I41" s="1209" t="s">
        <v>251</v>
      </c>
      <c r="J41" s="1209" t="s">
        <v>251</v>
      </c>
      <c r="K41" s="1209"/>
      <c r="L41" s="1209" t="s">
        <v>251</v>
      </c>
      <c r="M41" s="1209"/>
      <c r="N41" s="1209">
        <v>8220</v>
      </c>
      <c r="O41" s="1209">
        <v>23560</v>
      </c>
      <c r="P41" s="1502">
        <f t="shared" si="1"/>
        <v>4585440</v>
      </c>
      <c r="Q41" s="1210">
        <f>SUM(C41:J41,L41:O41)</f>
        <v>4617220</v>
      </c>
      <c r="R41" s="1208" t="s">
        <v>251</v>
      </c>
      <c r="S41" s="1209" t="s">
        <v>251</v>
      </c>
      <c r="T41" s="1209" t="s">
        <v>251</v>
      </c>
      <c r="U41" s="1209">
        <v>7479140</v>
      </c>
      <c r="V41" s="1209"/>
      <c r="W41" s="1209">
        <v>1655740</v>
      </c>
      <c r="X41" s="1209"/>
      <c r="Y41" s="1209"/>
      <c r="Z41" s="1209"/>
      <c r="AA41" s="1209"/>
      <c r="AB41" s="1209"/>
      <c r="AC41" s="1209"/>
      <c r="AD41" s="1210">
        <f t="shared" si="3"/>
        <v>9134880</v>
      </c>
      <c r="AE41" s="86">
        <f t="shared" si="7"/>
        <v>0.9921490631215325</v>
      </c>
      <c r="AF41" s="87">
        <f>IFERROR(_xlfn.RANK.EQ(AD41, $AD$2:$AD$288), "")</f>
        <v>16</v>
      </c>
      <c r="AH41" s="1370" t="s">
        <v>996</v>
      </c>
      <c r="AI41" s="1398">
        <v>215560</v>
      </c>
      <c r="AJ41" s="1398">
        <v>0</v>
      </c>
      <c r="AK41" s="1391">
        <f t="shared" si="5"/>
        <v>-215560</v>
      </c>
      <c r="AL41" s="1030">
        <f t="shared" si="6"/>
        <v>-1</v>
      </c>
    </row>
    <row r="42" spans="1:38" x14ac:dyDescent="0.3">
      <c r="A42" s="57" t="s">
        <v>931</v>
      </c>
      <c r="B42" s="1207" t="s">
        <v>2275</v>
      </c>
      <c r="C42" s="1208"/>
      <c r="D42" s="1209"/>
      <c r="E42" s="1209"/>
      <c r="F42" s="1209"/>
      <c r="G42" s="1209"/>
      <c r="H42" s="1209"/>
      <c r="I42" s="1209"/>
      <c r="J42" s="1209"/>
      <c r="K42" s="1209"/>
      <c r="L42" s="1209"/>
      <c r="M42" s="1209"/>
      <c r="N42" s="1209"/>
      <c r="O42" s="1209"/>
      <c r="P42" s="1502">
        <f t="shared" si="1"/>
        <v>0</v>
      </c>
      <c r="Q42" s="1210">
        <f t="shared" si="2"/>
        <v>0</v>
      </c>
      <c r="R42" s="1208"/>
      <c r="S42" s="1209"/>
      <c r="T42" s="1209"/>
      <c r="U42" s="1209"/>
      <c r="V42" s="1209"/>
      <c r="W42" s="1209"/>
      <c r="X42" s="1209">
        <v>22519720</v>
      </c>
      <c r="Y42" s="1209"/>
      <c r="Z42" s="1209"/>
      <c r="AA42" s="1209"/>
      <c r="AB42" s="1209"/>
      <c r="AC42" s="1209"/>
      <c r="AD42" s="1210">
        <f t="shared" si="3"/>
        <v>22519720</v>
      </c>
      <c r="AE42" s="86">
        <f t="shared" si="7"/>
        <v>1</v>
      </c>
      <c r="AF42" s="87">
        <f t="shared" si="4"/>
        <v>6</v>
      </c>
      <c r="AH42" s="1370" t="s">
        <v>1000</v>
      </c>
      <c r="AI42" s="1398">
        <v>460980</v>
      </c>
      <c r="AJ42" s="1398">
        <v>0</v>
      </c>
      <c r="AK42" s="1391">
        <f t="shared" si="5"/>
        <v>-460980</v>
      </c>
      <c r="AL42" s="1030">
        <f t="shared" si="6"/>
        <v>-1</v>
      </c>
    </row>
    <row r="43" spans="1:38" x14ac:dyDescent="0.3">
      <c r="A43" s="57" t="s">
        <v>931</v>
      </c>
      <c r="B43" s="1207" t="s">
        <v>2440</v>
      </c>
      <c r="C43" s="1208"/>
      <c r="D43" s="1209"/>
      <c r="E43" s="1209"/>
      <c r="F43" s="1209"/>
      <c r="G43" s="1209"/>
      <c r="H43" s="1209"/>
      <c r="I43" s="1209"/>
      <c r="J43" s="1209"/>
      <c r="K43" s="1209"/>
      <c r="L43" s="1209"/>
      <c r="M43" s="1209"/>
      <c r="N43" s="1209"/>
      <c r="O43" s="1209"/>
      <c r="P43" s="1502">
        <f t="shared" si="1"/>
        <v>0</v>
      </c>
      <c r="Q43" s="1210">
        <f t="shared" si="2"/>
        <v>0</v>
      </c>
      <c r="R43" s="1208"/>
      <c r="S43" s="1209"/>
      <c r="T43" s="1209"/>
      <c r="U43" s="1209"/>
      <c r="V43" s="1209"/>
      <c r="W43" s="1209"/>
      <c r="X43" s="1209">
        <v>3797670</v>
      </c>
      <c r="Y43" s="1209"/>
      <c r="Z43" s="1209"/>
      <c r="AA43" s="1209"/>
      <c r="AB43" s="1209"/>
      <c r="AC43" s="1209"/>
      <c r="AD43" s="1210">
        <f t="shared" si="3"/>
        <v>3797670</v>
      </c>
      <c r="AE43" s="86">
        <f t="shared" si="7"/>
        <v>1</v>
      </c>
      <c r="AF43" s="87">
        <f t="shared" si="4"/>
        <v>35</v>
      </c>
      <c r="AH43" s="1370" t="s">
        <v>1001</v>
      </c>
      <c r="AI43" s="1398">
        <v>0</v>
      </c>
      <c r="AJ43" s="1398">
        <v>0</v>
      </c>
      <c r="AK43" s="1391">
        <f t="shared" si="5"/>
        <v>0</v>
      </c>
      <c r="AL43" s="1030">
        <f t="shared" si="6"/>
        <v>0</v>
      </c>
    </row>
    <row r="44" spans="1:38" ht="17.25" thickBot="1" x14ac:dyDescent="0.35">
      <c r="A44" s="58" t="s">
        <v>948</v>
      </c>
      <c r="B44" s="1213" t="s">
        <v>916</v>
      </c>
      <c r="C44" s="1214">
        <v>1372090</v>
      </c>
      <c r="D44" s="1215">
        <v>0</v>
      </c>
      <c r="E44" s="1215">
        <v>554100</v>
      </c>
      <c r="F44" s="1215">
        <v>1029000</v>
      </c>
      <c r="G44" s="1215">
        <v>257300</v>
      </c>
      <c r="H44" s="1215">
        <v>0</v>
      </c>
      <c r="I44" s="1215">
        <v>1117550</v>
      </c>
      <c r="J44" s="1215">
        <v>844360</v>
      </c>
      <c r="K44" s="1215">
        <v>178180</v>
      </c>
      <c r="L44" s="1215">
        <v>776560</v>
      </c>
      <c r="M44" s="1215">
        <v>109480</v>
      </c>
      <c r="N44" s="1215">
        <v>466970</v>
      </c>
      <c r="O44" s="1215">
        <v>304830</v>
      </c>
      <c r="P44" s="1502">
        <f t="shared" si="1"/>
        <v>4508220</v>
      </c>
      <c r="Q44" s="1216">
        <f t="shared" si="2"/>
        <v>6832240</v>
      </c>
      <c r="R44" s="1214">
        <v>125750</v>
      </c>
      <c r="S44" s="1215" t="s">
        <v>251</v>
      </c>
      <c r="T44" s="1215">
        <v>0</v>
      </c>
      <c r="U44" s="1215">
        <v>525000</v>
      </c>
      <c r="V44" s="1215">
        <v>1168540</v>
      </c>
      <c r="W44" s="1215">
        <v>399950</v>
      </c>
      <c r="X44" s="1215">
        <v>1001950</v>
      </c>
      <c r="Y44" s="1215">
        <v>366000</v>
      </c>
      <c r="Z44" s="1215"/>
      <c r="AA44" s="1215"/>
      <c r="AB44" s="1215"/>
      <c r="AC44" s="1215"/>
      <c r="AD44" s="1216">
        <f t="shared" si="3"/>
        <v>3587190</v>
      </c>
      <c r="AE44" s="26">
        <f t="shared" si="7"/>
        <v>-0.20430014506834182</v>
      </c>
      <c r="AF44" s="88">
        <f t="shared" si="4"/>
        <v>36</v>
      </c>
      <c r="AH44" s="1388" t="s">
        <v>783</v>
      </c>
      <c r="AI44" s="1399">
        <v>437198850</v>
      </c>
      <c r="AJ44" s="1399">
        <v>557529790</v>
      </c>
      <c r="AK44" s="1392">
        <f>AJ44-AI44</f>
        <v>120330940</v>
      </c>
      <c r="AL44" s="1396">
        <f t="shared" ref="AL44" si="8">IFERROR((AJ44-AI44)/AI44, 0)</f>
        <v>0.27523160227891724</v>
      </c>
    </row>
    <row r="45" spans="1:38" x14ac:dyDescent="0.3">
      <c r="A45" s="58" t="s">
        <v>948</v>
      </c>
      <c r="B45" s="1213" t="s">
        <v>949</v>
      </c>
      <c r="C45" s="1214" t="s">
        <v>251</v>
      </c>
      <c r="D45" s="1215" t="s">
        <v>251</v>
      </c>
      <c r="E45" s="1215" t="s">
        <v>251</v>
      </c>
      <c r="F45" s="1215" t="s">
        <v>251</v>
      </c>
      <c r="G45" s="1215" t="s">
        <v>251</v>
      </c>
      <c r="H45" s="1215" t="s">
        <v>251</v>
      </c>
      <c r="I45" s="1215" t="s">
        <v>251</v>
      </c>
      <c r="J45" s="1215" t="s">
        <v>251</v>
      </c>
      <c r="K45" s="1215"/>
      <c r="L45" s="1215" t="s">
        <v>251</v>
      </c>
      <c r="M45" s="1215"/>
      <c r="N45" s="1215" t="s">
        <v>251</v>
      </c>
      <c r="O45" s="1215" t="s">
        <v>251</v>
      </c>
      <c r="P45" s="1502">
        <f t="shared" si="1"/>
        <v>0</v>
      </c>
      <c r="Q45" s="1216">
        <f t="shared" si="2"/>
        <v>0</v>
      </c>
      <c r="R45" s="1214" t="s">
        <v>251</v>
      </c>
      <c r="S45" s="1215" t="s">
        <v>251</v>
      </c>
      <c r="T45" s="1215" t="s">
        <v>251</v>
      </c>
      <c r="U45" s="1215"/>
      <c r="V45" s="1215"/>
      <c r="W45" s="1215"/>
      <c r="X45" s="1215"/>
      <c r="Y45" s="1215"/>
      <c r="Z45" s="1215"/>
      <c r="AA45" s="1215"/>
      <c r="AB45" s="1215"/>
      <c r="AC45" s="1215"/>
      <c r="AD45" s="1216">
        <f t="shared" si="3"/>
        <v>0</v>
      </c>
      <c r="AE45" s="26">
        <f t="shared" si="7"/>
        <v>0</v>
      </c>
      <c r="AF45" s="88">
        <f t="shared" si="4"/>
        <v>119</v>
      </c>
    </row>
    <row r="46" spans="1:38" x14ac:dyDescent="0.3">
      <c r="A46" s="58" t="s">
        <v>948</v>
      </c>
      <c r="B46" s="1213" t="s">
        <v>2441</v>
      </c>
      <c r="C46" s="1214">
        <v>775650</v>
      </c>
      <c r="D46" s="1215">
        <v>0</v>
      </c>
      <c r="E46" s="1215">
        <v>989100</v>
      </c>
      <c r="F46" s="1215">
        <v>950240</v>
      </c>
      <c r="G46" s="1215">
        <v>0</v>
      </c>
      <c r="H46" s="1215">
        <v>0</v>
      </c>
      <c r="I46" s="1215">
        <v>40000</v>
      </c>
      <c r="J46" s="1215">
        <v>804230</v>
      </c>
      <c r="K46" s="1215">
        <v>804230</v>
      </c>
      <c r="L46" s="1215">
        <v>889540</v>
      </c>
      <c r="M46" s="1215"/>
      <c r="N46" s="1215">
        <v>259970</v>
      </c>
      <c r="O46" s="1215">
        <v>445590</v>
      </c>
      <c r="P46" s="1502">
        <f t="shared" si="1"/>
        <v>3559220</v>
      </c>
      <c r="Q46" s="1216">
        <f t="shared" si="2"/>
        <v>5154320</v>
      </c>
      <c r="R46" s="1214">
        <v>952480</v>
      </c>
      <c r="S46" s="1215">
        <v>249520</v>
      </c>
      <c r="T46" s="1215">
        <v>0</v>
      </c>
      <c r="U46" s="1215">
        <v>1507640</v>
      </c>
      <c r="V46" s="1215">
        <v>749080</v>
      </c>
      <c r="W46" s="1215">
        <v>304990</v>
      </c>
      <c r="X46" s="1215">
        <v>509990</v>
      </c>
      <c r="Y46" s="1215">
        <v>0</v>
      </c>
      <c r="Z46" s="1215"/>
      <c r="AA46" s="1215"/>
      <c r="AB46" s="1215"/>
      <c r="AC46" s="1215"/>
      <c r="AD46" s="1216">
        <f t="shared" si="3"/>
        <v>4273700</v>
      </c>
      <c r="AE46" s="26">
        <f t="shared" si="7"/>
        <v>0.20074061170705942</v>
      </c>
      <c r="AF46" s="88">
        <f t="shared" si="4"/>
        <v>33</v>
      </c>
    </row>
    <row r="47" spans="1:38" x14ac:dyDescent="0.3">
      <c r="A47" s="58" t="s">
        <v>948</v>
      </c>
      <c r="B47" s="1213" t="s">
        <v>2451</v>
      </c>
      <c r="C47" s="1214"/>
      <c r="D47" s="1215"/>
      <c r="E47" s="1215"/>
      <c r="F47" s="1215"/>
      <c r="G47" s="1215"/>
      <c r="H47" s="1215"/>
      <c r="I47" s="1215"/>
      <c r="J47" s="1215">
        <v>357650</v>
      </c>
      <c r="K47" s="1215">
        <v>357650</v>
      </c>
      <c r="L47" s="1215">
        <v>0</v>
      </c>
      <c r="M47" s="1215"/>
      <c r="N47" s="1215">
        <v>0</v>
      </c>
      <c r="O47" s="1215">
        <v>0</v>
      </c>
      <c r="P47" s="1502">
        <f t="shared" si="1"/>
        <v>357650</v>
      </c>
      <c r="Q47" s="1216">
        <f t="shared" si="2"/>
        <v>357650</v>
      </c>
      <c r="R47" s="1214" t="s">
        <v>251</v>
      </c>
      <c r="S47" s="1215" t="s">
        <v>251</v>
      </c>
      <c r="T47" s="1215" t="s">
        <v>251</v>
      </c>
      <c r="U47" s="1215">
        <v>0</v>
      </c>
      <c r="V47" s="1215">
        <v>0</v>
      </c>
      <c r="W47" s="1215">
        <v>1079730</v>
      </c>
      <c r="X47" s="1215">
        <v>497880</v>
      </c>
      <c r="Y47" s="1215">
        <v>0</v>
      </c>
      <c r="Z47" s="1215"/>
      <c r="AA47" s="1215"/>
      <c r="AB47" s="1215"/>
      <c r="AC47" s="1215"/>
      <c r="AD47" s="1216">
        <f t="shared" si="3"/>
        <v>1577610</v>
      </c>
      <c r="AE47" s="26">
        <f t="shared" si="7"/>
        <v>3.4110443170697611</v>
      </c>
      <c r="AF47" s="88">
        <f t="shared" si="4"/>
        <v>59</v>
      </c>
    </row>
    <row r="48" spans="1:38" x14ac:dyDescent="0.3">
      <c r="A48" s="58" t="s">
        <v>948</v>
      </c>
      <c r="B48" s="1213" t="s">
        <v>2453</v>
      </c>
      <c r="C48" s="1214"/>
      <c r="D48" s="1215"/>
      <c r="E48" s="1215"/>
      <c r="F48" s="1215"/>
      <c r="G48" s="1215"/>
      <c r="H48" s="1215"/>
      <c r="I48" s="1215"/>
      <c r="J48" s="1215">
        <v>89990</v>
      </c>
      <c r="K48" s="1215"/>
      <c r="L48" s="1215">
        <v>0</v>
      </c>
      <c r="M48" s="1215"/>
      <c r="N48" s="1215">
        <v>0</v>
      </c>
      <c r="O48" s="1215">
        <v>0</v>
      </c>
      <c r="P48" s="1502">
        <f t="shared" si="1"/>
        <v>0</v>
      </c>
      <c r="Q48" s="1216">
        <f t="shared" si="2"/>
        <v>89990</v>
      </c>
      <c r="R48" s="1214" t="s">
        <v>251</v>
      </c>
      <c r="S48" s="1215" t="s">
        <v>251</v>
      </c>
      <c r="T48" s="1215" t="s">
        <v>251</v>
      </c>
      <c r="U48" s="1215"/>
      <c r="V48" s="1215"/>
      <c r="W48" s="1215"/>
      <c r="X48" s="1215"/>
      <c r="Y48" s="1215"/>
      <c r="Z48" s="1215"/>
      <c r="AA48" s="1215"/>
      <c r="AB48" s="1215"/>
      <c r="AC48" s="1215"/>
      <c r="AD48" s="1216">
        <f t="shared" si="3"/>
        <v>0</v>
      </c>
      <c r="AE48" s="26">
        <f t="shared" si="7"/>
        <v>0</v>
      </c>
      <c r="AF48" s="88">
        <f t="shared" si="4"/>
        <v>119</v>
      </c>
    </row>
    <row r="49" spans="1:32" x14ac:dyDescent="0.3">
      <c r="A49" s="58" t="s">
        <v>948</v>
      </c>
      <c r="B49" s="1213" t="s">
        <v>2454</v>
      </c>
      <c r="C49" s="1214"/>
      <c r="D49" s="1215"/>
      <c r="E49" s="1215"/>
      <c r="F49" s="1215"/>
      <c r="G49" s="1215"/>
      <c r="H49" s="1215"/>
      <c r="I49" s="1215"/>
      <c r="J49" s="1215">
        <v>77760</v>
      </c>
      <c r="K49" s="1215"/>
      <c r="L49" s="1215">
        <v>0</v>
      </c>
      <c r="M49" s="1215"/>
      <c r="N49" s="1215">
        <v>0</v>
      </c>
      <c r="O49" s="1215">
        <v>0</v>
      </c>
      <c r="P49" s="1502">
        <f t="shared" si="1"/>
        <v>0</v>
      </c>
      <c r="Q49" s="1216">
        <f t="shared" si="2"/>
        <v>77760</v>
      </c>
      <c r="R49" s="1214" t="s">
        <v>251</v>
      </c>
      <c r="S49" s="1215" t="s">
        <v>251</v>
      </c>
      <c r="T49" s="1215" t="s">
        <v>251</v>
      </c>
      <c r="U49" s="1215"/>
      <c r="V49" s="1215"/>
      <c r="W49" s="1215"/>
      <c r="X49" s="1215"/>
      <c r="Y49" s="1215"/>
      <c r="Z49" s="1215"/>
      <c r="AA49" s="1215"/>
      <c r="AB49" s="1215"/>
      <c r="AC49" s="1215"/>
      <c r="AD49" s="1216">
        <f t="shared" si="3"/>
        <v>0</v>
      </c>
      <c r="AE49" s="26">
        <f t="shared" si="7"/>
        <v>0</v>
      </c>
      <c r="AF49" s="88">
        <f t="shared" si="4"/>
        <v>119</v>
      </c>
    </row>
    <row r="50" spans="1:32" x14ac:dyDescent="0.3">
      <c r="A50" s="59" t="s">
        <v>950</v>
      </c>
      <c r="B50" s="1217" t="s">
        <v>951</v>
      </c>
      <c r="C50" s="1218">
        <v>16866900</v>
      </c>
      <c r="D50" s="1219">
        <v>174000</v>
      </c>
      <c r="E50" s="1219">
        <v>9676950</v>
      </c>
      <c r="F50" s="1219">
        <v>2724890</v>
      </c>
      <c r="G50" s="1219">
        <v>3042610</v>
      </c>
      <c r="H50" s="1219">
        <v>6202190</v>
      </c>
      <c r="I50" s="1219">
        <v>34543390</v>
      </c>
      <c r="J50" s="1219">
        <v>1996950</v>
      </c>
      <c r="K50" s="1219">
        <v>1696750</v>
      </c>
      <c r="L50" s="1219">
        <v>1444420</v>
      </c>
      <c r="M50" s="1219">
        <v>462450</v>
      </c>
      <c r="N50" s="1219">
        <v>696900</v>
      </c>
      <c r="O50" s="1219">
        <v>0</v>
      </c>
      <c r="P50" s="1502">
        <f t="shared" si="1"/>
        <v>74927680</v>
      </c>
      <c r="Q50" s="1220">
        <f t="shared" si="2"/>
        <v>77831650</v>
      </c>
      <c r="R50" s="1218">
        <v>3770000</v>
      </c>
      <c r="S50" s="1219">
        <v>2629990</v>
      </c>
      <c r="T50" s="1219">
        <v>0</v>
      </c>
      <c r="U50" s="1219">
        <v>0</v>
      </c>
      <c r="V50" s="1219">
        <v>0</v>
      </c>
      <c r="W50" s="1219">
        <v>8205520</v>
      </c>
      <c r="X50" s="1219">
        <v>611980</v>
      </c>
      <c r="Y50" s="1219">
        <v>3293040</v>
      </c>
      <c r="Z50" s="1219"/>
      <c r="AA50" s="1219"/>
      <c r="AB50" s="1219"/>
      <c r="AC50" s="1219"/>
      <c r="AD50" s="1220">
        <f t="shared" si="3"/>
        <v>18510530</v>
      </c>
      <c r="AE50" s="89">
        <f t="shared" si="7"/>
        <v>-0.75295471580062268</v>
      </c>
      <c r="AF50" s="90">
        <f t="shared" si="4"/>
        <v>8</v>
      </c>
    </row>
    <row r="51" spans="1:32" x14ac:dyDescent="0.3">
      <c r="A51" s="59" t="s">
        <v>950</v>
      </c>
      <c r="B51" s="1217" t="s">
        <v>952</v>
      </c>
      <c r="C51" s="1218">
        <v>1922710</v>
      </c>
      <c r="D51" s="1219">
        <v>0</v>
      </c>
      <c r="E51" s="1219">
        <v>37810</v>
      </c>
      <c r="F51" s="1219">
        <v>0</v>
      </c>
      <c r="G51" s="1219">
        <v>205290</v>
      </c>
      <c r="H51" s="1219">
        <v>0</v>
      </c>
      <c r="I51" s="1219">
        <v>165990</v>
      </c>
      <c r="J51" s="1219">
        <v>166000</v>
      </c>
      <c r="K51" s="1219">
        <v>0</v>
      </c>
      <c r="L51" s="1219">
        <v>0</v>
      </c>
      <c r="M51" s="1219">
        <v>383670</v>
      </c>
      <c r="N51" s="1219">
        <v>0</v>
      </c>
      <c r="O51" s="1219">
        <v>0</v>
      </c>
      <c r="P51" s="1502">
        <f t="shared" si="1"/>
        <v>2331800</v>
      </c>
      <c r="Q51" s="1220">
        <f t="shared" si="2"/>
        <v>2881470</v>
      </c>
      <c r="R51" s="1218">
        <v>47480</v>
      </c>
      <c r="S51" s="1219" t="s">
        <v>251</v>
      </c>
      <c r="T51" s="1219">
        <v>0</v>
      </c>
      <c r="U51" s="1219">
        <v>175000</v>
      </c>
      <c r="V51" s="1219">
        <v>0</v>
      </c>
      <c r="W51" s="1219">
        <v>0</v>
      </c>
      <c r="X51" s="1219">
        <v>0</v>
      </c>
      <c r="Y51" s="1219">
        <v>0</v>
      </c>
      <c r="Z51" s="1219"/>
      <c r="AA51" s="1219"/>
      <c r="AB51" s="1219"/>
      <c r="AC51" s="1219"/>
      <c r="AD51" s="1220">
        <f t="shared" si="3"/>
        <v>222480</v>
      </c>
      <c r="AE51" s="89">
        <f t="shared" si="7"/>
        <v>-0.90458872973668414</v>
      </c>
      <c r="AF51" s="90">
        <f t="shared" si="4"/>
        <v>106</v>
      </c>
    </row>
    <row r="52" spans="1:32" x14ac:dyDescent="0.3">
      <c r="A52" s="59" t="s">
        <v>950</v>
      </c>
      <c r="B52" s="1217" t="s">
        <v>953</v>
      </c>
      <c r="C52" s="1218">
        <v>0</v>
      </c>
      <c r="D52" s="1219">
        <v>0</v>
      </c>
      <c r="E52" s="1219">
        <v>0</v>
      </c>
      <c r="F52" s="1219">
        <v>0</v>
      </c>
      <c r="G52" s="1219">
        <v>0</v>
      </c>
      <c r="H52" s="1219">
        <v>0</v>
      </c>
      <c r="I52" s="1219">
        <v>337050</v>
      </c>
      <c r="J52" s="1219">
        <v>1023060</v>
      </c>
      <c r="K52" s="1219">
        <v>0</v>
      </c>
      <c r="L52" s="1219">
        <v>199000</v>
      </c>
      <c r="M52" s="1219"/>
      <c r="N52" s="1219">
        <v>0</v>
      </c>
      <c r="O52" s="1219">
        <v>0</v>
      </c>
      <c r="P52" s="1502">
        <f t="shared" si="1"/>
        <v>337050</v>
      </c>
      <c r="Q52" s="1220">
        <f t="shared" si="2"/>
        <v>1559110</v>
      </c>
      <c r="R52" s="1218">
        <v>152000</v>
      </c>
      <c r="S52" s="1219">
        <v>6840000</v>
      </c>
      <c r="T52" s="1219">
        <v>712500</v>
      </c>
      <c r="U52" s="1219">
        <v>923800</v>
      </c>
      <c r="V52" s="1219">
        <v>2510000</v>
      </c>
      <c r="W52" s="1219">
        <v>672480</v>
      </c>
      <c r="X52" s="1219">
        <v>4835360</v>
      </c>
      <c r="Y52" s="1219">
        <v>0</v>
      </c>
      <c r="Z52" s="1219"/>
      <c r="AA52" s="1219"/>
      <c r="AB52" s="1219"/>
      <c r="AC52" s="1219"/>
      <c r="AD52" s="1220">
        <f t="shared" si="3"/>
        <v>16646140</v>
      </c>
      <c r="AE52" s="89">
        <f t="shared" si="7"/>
        <v>48.3877466251298</v>
      </c>
      <c r="AF52" s="90">
        <f t="shared" si="4"/>
        <v>10</v>
      </c>
    </row>
    <row r="53" spans="1:32" x14ac:dyDescent="0.3">
      <c r="A53" s="60" t="s">
        <v>954</v>
      </c>
      <c r="B53" s="1221" t="s">
        <v>955</v>
      </c>
      <c r="C53" s="1222">
        <v>3636420</v>
      </c>
      <c r="D53" s="1223">
        <v>325910</v>
      </c>
      <c r="E53" s="1223">
        <v>0</v>
      </c>
      <c r="F53" s="1223">
        <v>0</v>
      </c>
      <c r="G53" s="1223">
        <v>770130</v>
      </c>
      <c r="H53" s="1223">
        <v>1678050</v>
      </c>
      <c r="I53" s="1223">
        <v>5043360</v>
      </c>
      <c r="J53" s="1223">
        <v>2698170</v>
      </c>
      <c r="K53" s="1223">
        <v>2546380</v>
      </c>
      <c r="L53" s="1223">
        <v>0</v>
      </c>
      <c r="M53" s="1223"/>
      <c r="N53" s="1223">
        <v>2408190</v>
      </c>
      <c r="O53" s="1223">
        <v>0</v>
      </c>
      <c r="P53" s="1502">
        <f t="shared" si="1"/>
        <v>14000250</v>
      </c>
      <c r="Q53" s="1224">
        <f t="shared" si="2"/>
        <v>16560230</v>
      </c>
      <c r="R53" s="1222">
        <v>1301280</v>
      </c>
      <c r="S53" s="1223" t="s">
        <v>251</v>
      </c>
      <c r="T53" s="1223">
        <v>0</v>
      </c>
      <c r="U53" s="1223">
        <v>0</v>
      </c>
      <c r="V53" s="1223">
        <v>465240</v>
      </c>
      <c r="W53" s="1223">
        <v>2363080</v>
      </c>
      <c r="X53" s="1223">
        <v>1824190</v>
      </c>
      <c r="Y53" s="1223">
        <v>2984510</v>
      </c>
      <c r="Z53" s="1223"/>
      <c r="AA53" s="1223"/>
      <c r="AB53" s="1223"/>
      <c r="AC53" s="1223"/>
      <c r="AD53" s="1224">
        <f t="shared" si="3"/>
        <v>8938300</v>
      </c>
      <c r="AE53" s="91">
        <f t="shared" si="7"/>
        <v>-0.36156140068927339</v>
      </c>
      <c r="AF53" s="92">
        <f t="shared" si="4"/>
        <v>18</v>
      </c>
    </row>
    <row r="54" spans="1:32" x14ac:dyDescent="0.3">
      <c r="A54" s="61" t="s">
        <v>954</v>
      </c>
      <c r="B54" s="1221" t="s">
        <v>956</v>
      </c>
      <c r="C54" s="1222" t="s">
        <v>251</v>
      </c>
      <c r="D54" s="1223" t="s">
        <v>251</v>
      </c>
      <c r="E54" s="1223" t="s">
        <v>251</v>
      </c>
      <c r="F54" s="1223" t="s">
        <v>251</v>
      </c>
      <c r="G54" s="1223" t="s">
        <v>251</v>
      </c>
      <c r="H54" s="1223" t="s">
        <v>251</v>
      </c>
      <c r="I54" s="1223" t="s">
        <v>251</v>
      </c>
      <c r="J54" s="1223" t="s">
        <v>251</v>
      </c>
      <c r="K54" s="1223"/>
      <c r="L54" s="1223" t="s">
        <v>251</v>
      </c>
      <c r="M54" s="1223"/>
      <c r="N54" s="1223" t="s">
        <v>251</v>
      </c>
      <c r="O54" s="1223" t="s">
        <v>251</v>
      </c>
      <c r="P54" s="1502">
        <f t="shared" si="1"/>
        <v>0</v>
      </c>
      <c r="Q54" s="1224">
        <f t="shared" si="2"/>
        <v>0</v>
      </c>
      <c r="R54" s="1222" t="s">
        <v>251</v>
      </c>
      <c r="S54" s="1223" t="s">
        <v>251</v>
      </c>
      <c r="T54" s="1223" t="s">
        <v>251</v>
      </c>
      <c r="U54" s="1223"/>
      <c r="V54" s="1223"/>
      <c r="W54" s="1223"/>
      <c r="X54" s="1223"/>
      <c r="Y54" s="1223"/>
      <c r="Z54" s="1223"/>
      <c r="AA54" s="1223"/>
      <c r="AB54" s="1223"/>
      <c r="AC54" s="1223"/>
      <c r="AD54" s="1224">
        <f t="shared" si="3"/>
        <v>0</v>
      </c>
      <c r="AE54" s="91">
        <f t="shared" si="7"/>
        <v>0</v>
      </c>
      <c r="AF54" s="92">
        <f t="shared" si="4"/>
        <v>119</v>
      </c>
    </row>
    <row r="55" spans="1:32" x14ac:dyDescent="0.3">
      <c r="A55" s="60" t="s">
        <v>954</v>
      </c>
      <c r="B55" s="1221" t="s">
        <v>957</v>
      </c>
      <c r="C55" s="1222">
        <v>182830</v>
      </c>
      <c r="D55" s="1223">
        <v>0</v>
      </c>
      <c r="E55" s="1223">
        <v>0</v>
      </c>
      <c r="F55" s="1223">
        <v>0</v>
      </c>
      <c r="G55" s="1223">
        <v>0</v>
      </c>
      <c r="H55" s="1223">
        <v>163000</v>
      </c>
      <c r="I55" s="1223">
        <v>0</v>
      </c>
      <c r="J55" s="1223">
        <v>557720</v>
      </c>
      <c r="K55" s="1223">
        <v>557720</v>
      </c>
      <c r="L55" s="1223">
        <v>0</v>
      </c>
      <c r="M55" s="1223"/>
      <c r="N55" s="1223">
        <v>338000</v>
      </c>
      <c r="O55" s="1223">
        <v>0</v>
      </c>
      <c r="P55" s="1502">
        <f t="shared" si="1"/>
        <v>903550</v>
      </c>
      <c r="Q55" s="1224">
        <f t="shared" si="2"/>
        <v>1241550</v>
      </c>
      <c r="R55" s="1222">
        <v>306790</v>
      </c>
      <c r="S55" s="1223" t="s">
        <v>251</v>
      </c>
      <c r="T55" s="1223">
        <v>0</v>
      </c>
      <c r="U55" s="1223">
        <v>0</v>
      </c>
      <c r="V55" s="1223">
        <v>0</v>
      </c>
      <c r="W55" s="1223">
        <v>0</v>
      </c>
      <c r="X55" s="1223">
        <v>0</v>
      </c>
      <c r="Y55" s="1223">
        <v>583980</v>
      </c>
      <c r="Z55" s="1223"/>
      <c r="AA55" s="1223"/>
      <c r="AB55" s="1223"/>
      <c r="AC55" s="1223"/>
      <c r="AD55" s="1224">
        <f t="shared" si="3"/>
        <v>890770</v>
      </c>
      <c r="AE55" s="91">
        <f t="shared" si="7"/>
        <v>-1.4144208953572022E-2</v>
      </c>
      <c r="AF55" s="92">
        <f t="shared" si="4"/>
        <v>69</v>
      </c>
    </row>
    <row r="56" spans="1:32" x14ac:dyDescent="0.3">
      <c r="A56" s="60" t="s">
        <v>954</v>
      </c>
      <c r="B56" s="1221" t="s">
        <v>958</v>
      </c>
      <c r="C56" s="1222" t="s">
        <v>251</v>
      </c>
      <c r="D56" s="1223" t="s">
        <v>251</v>
      </c>
      <c r="E56" s="1223" t="s">
        <v>251</v>
      </c>
      <c r="F56" s="1223" t="s">
        <v>251</v>
      </c>
      <c r="G56" s="1223" t="s">
        <v>251</v>
      </c>
      <c r="H56" s="1223" t="s">
        <v>251</v>
      </c>
      <c r="I56" s="1223" t="s">
        <v>251</v>
      </c>
      <c r="J56" s="1223" t="s">
        <v>251</v>
      </c>
      <c r="K56" s="1223"/>
      <c r="L56" s="1223" t="s">
        <v>251</v>
      </c>
      <c r="M56" s="1223"/>
      <c r="N56" s="1223" t="s">
        <v>251</v>
      </c>
      <c r="O56" s="1223" t="s">
        <v>251</v>
      </c>
      <c r="P56" s="1502">
        <f t="shared" si="1"/>
        <v>0</v>
      </c>
      <c r="Q56" s="1224">
        <f t="shared" si="2"/>
        <v>0</v>
      </c>
      <c r="R56" s="1222" t="s">
        <v>251</v>
      </c>
      <c r="S56" s="1223" t="s">
        <v>251</v>
      </c>
      <c r="T56" s="1223" t="s">
        <v>251</v>
      </c>
      <c r="U56" s="1223"/>
      <c r="V56" s="1223"/>
      <c r="W56" s="1223"/>
      <c r="X56" s="1223"/>
      <c r="Y56" s="1223"/>
      <c r="Z56" s="1223"/>
      <c r="AA56" s="1223"/>
      <c r="AB56" s="1223"/>
      <c r="AC56" s="1223"/>
      <c r="AD56" s="1224">
        <f t="shared" si="3"/>
        <v>0</v>
      </c>
      <c r="AE56" s="91">
        <f t="shared" si="7"/>
        <v>0</v>
      </c>
      <c r="AF56" s="92">
        <f t="shared" si="4"/>
        <v>119</v>
      </c>
    </row>
    <row r="57" spans="1:32" x14ac:dyDescent="0.3">
      <c r="A57" s="62" t="s">
        <v>2612</v>
      </c>
      <c r="B57" s="1225" t="s">
        <v>959</v>
      </c>
      <c r="C57" s="1226" t="s">
        <v>251</v>
      </c>
      <c r="D57" s="1227" t="s">
        <v>251</v>
      </c>
      <c r="E57" s="1227" t="s">
        <v>251</v>
      </c>
      <c r="F57" s="1227">
        <v>29784970</v>
      </c>
      <c r="G57" s="1227">
        <v>11081660</v>
      </c>
      <c r="H57" s="1227">
        <v>15342490</v>
      </c>
      <c r="I57" s="1227">
        <v>14042130</v>
      </c>
      <c r="J57" s="1227" t="s">
        <v>251</v>
      </c>
      <c r="K57" s="1227"/>
      <c r="L57" s="1227" t="s">
        <v>251</v>
      </c>
      <c r="M57" s="1227"/>
      <c r="N57" s="1227" t="s">
        <v>251</v>
      </c>
      <c r="O57" s="1227" t="s">
        <v>251</v>
      </c>
      <c r="P57" s="1502">
        <f t="shared" si="1"/>
        <v>70251250</v>
      </c>
      <c r="Q57" s="1228">
        <f t="shared" si="2"/>
        <v>70251250</v>
      </c>
      <c r="R57" s="1226" t="s">
        <v>251</v>
      </c>
      <c r="S57" s="1227" t="s">
        <v>251</v>
      </c>
      <c r="T57" s="1227" t="s">
        <v>251</v>
      </c>
      <c r="U57" s="1227"/>
      <c r="V57" s="1227"/>
      <c r="W57" s="1227"/>
      <c r="X57" s="1227"/>
      <c r="Y57" s="1227"/>
      <c r="Z57" s="1227"/>
      <c r="AA57" s="1227"/>
      <c r="AB57" s="1227"/>
      <c r="AC57" s="1227"/>
      <c r="AD57" s="1228">
        <f t="shared" si="3"/>
        <v>0</v>
      </c>
      <c r="AE57" s="27">
        <f t="shared" si="7"/>
        <v>-1</v>
      </c>
      <c r="AF57" s="93">
        <f t="shared" si="4"/>
        <v>119</v>
      </c>
    </row>
    <row r="58" spans="1:32" x14ac:dyDescent="0.3">
      <c r="A58" s="62" t="s">
        <v>733</v>
      </c>
      <c r="B58" s="1225" t="s">
        <v>785</v>
      </c>
      <c r="C58" s="1226" t="s">
        <v>251</v>
      </c>
      <c r="D58" s="1227">
        <v>4557680</v>
      </c>
      <c r="E58" s="1227">
        <v>8596060</v>
      </c>
      <c r="F58" s="1227">
        <v>637480</v>
      </c>
      <c r="G58" s="1227">
        <v>2305600</v>
      </c>
      <c r="H58" s="1227">
        <v>0</v>
      </c>
      <c r="I58" s="1227">
        <v>614600</v>
      </c>
      <c r="J58" s="1227">
        <v>1067080</v>
      </c>
      <c r="K58" s="1227"/>
      <c r="L58" s="1227">
        <v>0</v>
      </c>
      <c r="M58" s="1227"/>
      <c r="N58" s="1227">
        <v>667160</v>
      </c>
      <c r="O58" s="1227">
        <v>0</v>
      </c>
      <c r="P58" s="1502">
        <f t="shared" si="1"/>
        <v>16711420</v>
      </c>
      <c r="Q58" s="1228">
        <f t="shared" si="2"/>
        <v>18445660</v>
      </c>
      <c r="R58" s="1226" t="s">
        <v>251</v>
      </c>
      <c r="S58" s="1227">
        <v>4769490</v>
      </c>
      <c r="T58" s="1227" t="s">
        <v>251</v>
      </c>
      <c r="U58" s="1227"/>
      <c r="V58" s="1227"/>
      <c r="W58" s="1227"/>
      <c r="X58" s="1227"/>
      <c r="Y58" s="1227"/>
      <c r="Z58" s="1227"/>
      <c r="AA58" s="1227"/>
      <c r="AB58" s="1227"/>
      <c r="AC58" s="1227"/>
      <c r="AD58" s="1228">
        <f t="shared" si="3"/>
        <v>4769490</v>
      </c>
      <c r="AE58" s="27">
        <f t="shared" si="7"/>
        <v>-0.7145969642316452</v>
      </c>
      <c r="AF58" s="93">
        <f t="shared" si="4"/>
        <v>30</v>
      </c>
    </row>
    <row r="59" spans="1:32" x14ac:dyDescent="0.3">
      <c r="A59" s="62" t="s">
        <v>733</v>
      </c>
      <c r="B59" s="1225" t="s">
        <v>960</v>
      </c>
      <c r="C59" s="1226" t="s">
        <v>251</v>
      </c>
      <c r="D59" s="1227">
        <v>1375710</v>
      </c>
      <c r="E59" s="1227">
        <v>4524960</v>
      </c>
      <c r="F59" s="1227">
        <v>0</v>
      </c>
      <c r="G59" s="1227">
        <v>0</v>
      </c>
      <c r="H59" s="1227">
        <v>0</v>
      </c>
      <c r="I59" s="1227">
        <v>0</v>
      </c>
      <c r="J59" s="1227">
        <v>0</v>
      </c>
      <c r="K59" s="1227"/>
      <c r="L59" s="1227">
        <v>0</v>
      </c>
      <c r="M59" s="1227"/>
      <c r="N59" s="1227">
        <v>0</v>
      </c>
      <c r="O59" s="1227">
        <v>0</v>
      </c>
      <c r="P59" s="1502">
        <f t="shared" si="1"/>
        <v>5900670</v>
      </c>
      <c r="Q59" s="1228">
        <f t="shared" si="2"/>
        <v>5900670</v>
      </c>
      <c r="R59" s="1226" t="s">
        <v>251</v>
      </c>
      <c r="S59" s="1227" t="s">
        <v>251</v>
      </c>
      <c r="T59" s="1227" t="s">
        <v>251</v>
      </c>
      <c r="U59" s="1227"/>
      <c r="V59" s="1227"/>
      <c r="W59" s="1227"/>
      <c r="X59" s="1227"/>
      <c r="Y59" s="1227"/>
      <c r="Z59" s="1227"/>
      <c r="AA59" s="1227"/>
      <c r="AB59" s="1227"/>
      <c r="AC59" s="1227"/>
      <c r="AD59" s="1228">
        <f t="shared" si="3"/>
        <v>0</v>
      </c>
      <c r="AE59" s="27">
        <f t="shared" si="7"/>
        <v>-1</v>
      </c>
      <c r="AF59" s="93">
        <f t="shared" si="4"/>
        <v>119</v>
      </c>
    </row>
    <row r="60" spans="1:32" x14ac:dyDescent="0.3">
      <c r="A60" s="62" t="s">
        <v>733</v>
      </c>
      <c r="B60" s="1225" t="s">
        <v>2452</v>
      </c>
      <c r="C60" s="1226"/>
      <c r="D60" s="1227"/>
      <c r="E60" s="1227"/>
      <c r="F60" s="1227"/>
      <c r="G60" s="1227"/>
      <c r="H60" s="1227"/>
      <c r="I60" s="1227"/>
      <c r="J60" s="1227">
        <v>167400</v>
      </c>
      <c r="K60" s="1227">
        <v>167400</v>
      </c>
      <c r="L60" s="1227" t="s">
        <v>251</v>
      </c>
      <c r="M60" s="1227"/>
      <c r="N60" s="1227" t="s">
        <v>251</v>
      </c>
      <c r="O60" s="1227" t="s">
        <v>251</v>
      </c>
      <c r="P60" s="1502">
        <f t="shared" si="1"/>
        <v>167400</v>
      </c>
      <c r="Q60" s="1228">
        <f>SUM(C60:J60,L60:O60)</f>
        <v>167400</v>
      </c>
      <c r="R60" s="1226" t="s">
        <v>251</v>
      </c>
      <c r="S60" s="1227" t="s">
        <v>251</v>
      </c>
      <c r="T60" s="1227" t="s">
        <v>251</v>
      </c>
      <c r="U60" s="1227"/>
      <c r="V60" s="1227"/>
      <c r="W60" s="1227"/>
      <c r="X60" s="1227"/>
      <c r="Y60" s="1227"/>
      <c r="Z60" s="1227"/>
      <c r="AA60" s="1227"/>
      <c r="AB60" s="1227"/>
      <c r="AC60" s="1227"/>
      <c r="AD60" s="1228">
        <f>SUM(R60:AC60)</f>
        <v>0</v>
      </c>
      <c r="AE60" s="27">
        <f t="shared" si="7"/>
        <v>-1</v>
      </c>
      <c r="AF60" s="93">
        <f>IFERROR(_xlfn.RANK.EQ(AD60, $AD$2:$AD$288), "")</f>
        <v>119</v>
      </c>
    </row>
    <row r="61" spans="1:32" x14ac:dyDescent="0.3">
      <c r="A61" s="62" t="s">
        <v>733</v>
      </c>
      <c r="B61" s="1225" t="s">
        <v>2460</v>
      </c>
      <c r="C61" s="1226"/>
      <c r="D61" s="1227"/>
      <c r="E61" s="1227"/>
      <c r="F61" s="1227"/>
      <c r="G61" s="1227"/>
      <c r="H61" s="1227"/>
      <c r="I61" s="1227"/>
      <c r="J61" s="1227"/>
      <c r="K61" s="1227"/>
      <c r="L61" s="1227"/>
      <c r="M61" s="1227">
        <v>7506080</v>
      </c>
      <c r="N61" s="1227">
        <v>7256760</v>
      </c>
      <c r="O61" s="1227" t="s">
        <v>251</v>
      </c>
      <c r="P61" s="1502">
        <f t="shared" si="1"/>
        <v>0</v>
      </c>
      <c r="Q61" s="1228">
        <f t="shared" si="2"/>
        <v>14762840</v>
      </c>
      <c r="R61" s="1226">
        <v>12412350</v>
      </c>
      <c r="S61" s="1227" t="s">
        <v>251</v>
      </c>
      <c r="T61" s="1227" t="s">
        <v>251</v>
      </c>
      <c r="U61" s="1227"/>
      <c r="V61" s="1227"/>
      <c r="W61" s="1227"/>
      <c r="X61" s="1227"/>
      <c r="Y61" s="1227"/>
      <c r="Z61" s="1227"/>
      <c r="AA61" s="1227"/>
      <c r="AB61" s="1227"/>
      <c r="AC61" s="1227"/>
      <c r="AD61" s="1228">
        <f t="shared" si="3"/>
        <v>12412350</v>
      </c>
      <c r="AE61" s="27">
        <f t="shared" si="7"/>
        <v>1</v>
      </c>
      <c r="AF61" s="93">
        <f t="shared" si="4"/>
        <v>12</v>
      </c>
    </row>
    <row r="62" spans="1:32" x14ac:dyDescent="0.3">
      <c r="A62" s="1327" t="s">
        <v>2470</v>
      </c>
      <c r="B62" s="1328" t="s">
        <v>918</v>
      </c>
      <c r="C62" s="1329"/>
      <c r="D62" s="1330"/>
      <c r="E62" s="1330"/>
      <c r="F62" s="1330"/>
      <c r="G62" s="1330"/>
      <c r="H62" s="1330"/>
      <c r="I62" s="1330"/>
      <c r="J62" s="1330"/>
      <c r="K62" s="1330"/>
      <c r="L62" s="1330"/>
      <c r="M62" s="1330"/>
      <c r="N62" s="1330"/>
      <c r="O62" s="1330"/>
      <c r="P62" s="1502">
        <f t="shared" si="1"/>
        <v>0</v>
      </c>
      <c r="Q62" s="1331">
        <f t="shared" si="2"/>
        <v>0</v>
      </c>
      <c r="R62" s="1329">
        <v>1190080</v>
      </c>
      <c r="S62" s="1330" t="s">
        <v>251</v>
      </c>
      <c r="T62" s="1330">
        <v>1582530</v>
      </c>
      <c r="U62" s="1330">
        <v>1521640</v>
      </c>
      <c r="V62" s="1330">
        <v>777910</v>
      </c>
      <c r="W62" s="1330">
        <v>0</v>
      </c>
      <c r="X62" s="1330">
        <v>1472430</v>
      </c>
      <c r="Y62" s="1330">
        <v>152620</v>
      </c>
      <c r="Z62" s="1330"/>
      <c r="AA62" s="1330"/>
      <c r="AB62" s="1330"/>
      <c r="AC62" s="1330"/>
      <c r="AD62" s="1331">
        <f t="shared" si="3"/>
        <v>6697210</v>
      </c>
      <c r="AE62" s="1332">
        <f t="shared" si="7"/>
        <v>1</v>
      </c>
      <c r="AF62" s="1333">
        <f t="shared" si="4"/>
        <v>24</v>
      </c>
    </row>
    <row r="63" spans="1:32" x14ac:dyDescent="0.3">
      <c r="A63" s="1327" t="s">
        <v>2470</v>
      </c>
      <c r="B63" s="1328" t="s">
        <v>2535</v>
      </c>
      <c r="C63" s="1329"/>
      <c r="D63" s="1330"/>
      <c r="E63" s="1330"/>
      <c r="F63" s="1330"/>
      <c r="G63" s="1330"/>
      <c r="H63" s="1330"/>
      <c r="I63" s="1330"/>
      <c r="J63" s="1330"/>
      <c r="K63" s="1330"/>
      <c r="L63" s="1330"/>
      <c r="M63" s="1330"/>
      <c r="N63" s="1330"/>
      <c r="O63" s="1330"/>
      <c r="P63" s="1502">
        <f t="shared" si="1"/>
        <v>0</v>
      </c>
      <c r="Q63" s="1331">
        <f t="shared" si="2"/>
        <v>0</v>
      </c>
      <c r="R63" s="1329">
        <v>492000</v>
      </c>
      <c r="S63" s="1330" t="s">
        <v>251</v>
      </c>
      <c r="T63" s="1330">
        <v>0</v>
      </c>
      <c r="U63" s="1330">
        <v>964980</v>
      </c>
      <c r="V63" s="1330">
        <v>929820</v>
      </c>
      <c r="W63" s="1330">
        <v>2493950</v>
      </c>
      <c r="X63" s="1330">
        <v>672990</v>
      </c>
      <c r="Y63" s="1330">
        <v>307460</v>
      </c>
      <c r="Z63" s="1330"/>
      <c r="AA63" s="1330"/>
      <c r="AB63" s="1330"/>
      <c r="AC63" s="1330"/>
      <c r="AD63" s="1331">
        <f t="shared" si="3"/>
        <v>5861200</v>
      </c>
      <c r="AE63" s="1332">
        <f t="shared" si="7"/>
        <v>1</v>
      </c>
      <c r="AF63" s="1333">
        <f t="shared" si="4"/>
        <v>26</v>
      </c>
    </row>
    <row r="64" spans="1:32" x14ac:dyDescent="0.3">
      <c r="A64" s="1327" t="s">
        <v>2470</v>
      </c>
      <c r="B64" s="1328" t="s">
        <v>2722</v>
      </c>
      <c r="C64" s="1329"/>
      <c r="D64" s="1330"/>
      <c r="E64" s="1330"/>
      <c r="F64" s="1330"/>
      <c r="G64" s="1330"/>
      <c r="H64" s="1330"/>
      <c r="I64" s="1330"/>
      <c r="J64" s="1330"/>
      <c r="K64" s="1330"/>
      <c r="L64" s="1330"/>
      <c r="M64" s="1330"/>
      <c r="N64" s="1330"/>
      <c r="O64" s="1330"/>
      <c r="P64" s="1502">
        <f t="shared" si="1"/>
        <v>0</v>
      </c>
      <c r="Q64" s="1331">
        <f t="shared" si="2"/>
        <v>0</v>
      </c>
      <c r="R64" s="1329"/>
      <c r="S64" s="1330"/>
      <c r="T64" s="1330"/>
      <c r="U64" s="1330">
        <v>217630</v>
      </c>
      <c r="V64" s="1330">
        <v>0</v>
      </c>
      <c r="W64" s="1330">
        <v>0</v>
      </c>
      <c r="X64" s="1330">
        <v>0</v>
      </c>
      <c r="Y64" s="1330">
        <v>0</v>
      </c>
      <c r="Z64" s="1330"/>
      <c r="AA64" s="1330"/>
      <c r="AB64" s="1330"/>
      <c r="AC64" s="1330"/>
      <c r="AD64" s="1331">
        <f t="shared" si="3"/>
        <v>217630</v>
      </c>
      <c r="AE64" s="1332">
        <f t="shared" si="7"/>
        <v>1</v>
      </c>
      <c r="AF64" s="1333">
        <f t="shared" si="4"/>
        <v>107</v>
      </c>
    </row>
    <row r="65" spans="1:32" x14ac:dyDescent="0.3">
      <c r="A65" s="1327" t="s">
        <v>2470</v>
      </c>
      <c r="B65" s="1328" t="s">
        <v>2802</v>
      </c>
      <c r="C65" s="1329"/>
      <c r="D65" s="1330"/>
      <c r="E65" s="1330"/>
      <c r="F65" s="1330"/>
      <c r="G65" s="1330"/>
      <c r="H65" s="1330"/>
      <c r="I65" s="1330"/>
      <c r="J65" s="1330"/>
      <c r="K65" s="1330"/>
      <c r="L65" s="1330"/>
      <c r="M65" s="1330"/>
      <c r="N65" s="1330"/>
      <c r="O65" s="1330"/>
      <c r="P65" s="1502">
        <f t="shared" si="1"/>
        <v>0</v>
      </c>
      <c r="Q65" s="1331">
        <f t="shared" si="2"/>
        <v>0</v>
      </c>
      <c r="R65" s="1329"/>
      <c r="S65" s="1330"/>
      <c r="T65" s="1330"/>
      <c r="U65" s="1330"/>
      <c r="V65" s="1330">
        <v>420280</v>
      </c>
      <c r="W65" s="1330">
        <v>0</v>
      </c>
      <c r="X65" s="1330">
        <v>0</v>
      </c>
      <c r="Y65" s="1330">
        <v>0</v>
      </c>
      <c r="Z65" s="1330"/>
      <c r="AA65" s="1330"/>
      <c r="AB65" s="1330"/>
      <c r="AC65" s="1330"/>
      <c r="AD65" s="1331">
        <f t="shared" si="3"/>
        <v>420280</v>
      </c>
      <c r="AE65" s="1332">
        <f t="shared" si="7"/>
        <v>1</v>
      </c>
      <c r="AF65" s="1333">
        <f t="shared" si="4"/>
        <v>90</v>
      </c>
    </row>
    <row r="66" spans="1:32" x14ac:dyDescent="0.3">
      <c r="A66" s="1327" t="s">
        <v>2470</v>
      </c>
      <c r="B66" s="1328" t="s">
        <v>2890</v>
      </c>
      <c r="C66" s="1329"/>
      <c r="D66" s="1330"/>
      <c r="E66" s="1330"/>
      <c r="F66" s="1330"/>
      <c r="G66" s="1330"/>
      <c r="H66" s="1330"/>
      <c r="I66" s="1330"/>
      <c r="J66" s="1330"/>
      <c r="K66" s="1330"/>
      <c r="L66" s="1330"/>
      <c r="M66" s="1330"/>
      <c r="N66" s="1330"/>
      <c r="O66" s="1330"/>
      <c r="P66" s="1502">
        <f t="shared" si="1"/>
        <v>0</v>
      </c>
      <c r="Q66" s="1331">
        <f t="shared" si="2"/>
        <v>0</v>
      </c>
      <c r="R66" s="1329"/>
      <c r="S66" s="1330"/>
      <c r="T66" s="1330"/>
      <c r="U66" s="1330"/>
      <c r="V66" s="1330"/>
      <c r="W66" s="1330">
        <v>120000</v>
      </c>
      <c r="X66" s="1330">
        <v>0</v>
      </c>
      <c r="Y66" s="1330">
        <v>0</v>
      </c>
      <c r="Z66" s="1330"/>
      <c r="AA66" s="1330"/>
      <c r="AB66" s="1330"/>
      <c r="AC66" s="1330"/>
      <c r="AD66" s="1331">
        <f t="shared" si="3"/>
        <v>120000</v>
      </c>
      <c r="AE66" s="1332">
        <f t="shared" ref="AE66:AE72" si="9">IF(OR(AD66="",P66=""), 0, IFERROR((AD66-P66)/P66, IF(AD66&lt;&gt;0, 1, 0)))</f>
        <v>1</v>
      </c>
      <c r="AF66" s="1333">
        <f t="shared" si="4"/>
        <v>112</v>
      </c>
    </row>
    <row r="67" spans="1:32" x14ac:dyDescent="0.3">
      <c r="A67" s="63" t="s">
        <v>961</v>
      </c>
      <c r="B67" s="1229" t="s">
        <v>962</v>
      </c>
      <c r="C67" s="1230">
        <v>571350</v>
      </c>
      <c r="D67" s="1231">
        <v>156000</v>
      </c>
      <c r="E67" s="1231">
        <v>0</v>
      </c>
      <c r="F67" s="1231">
        <v>0</v>
      </c>
      <c r="G67" s="1231">
        <v>0</v>
      </c>
      <c r="H67" s="1231">
        <v>0</v>
      </c>
      <c r="I67" s="1231">
        <v>0</v>
      </c>
      <c r="J67" s="1231">
        <v>0</v>
      </c>
      <c r="K67" s="1231">
        <v>0</v>
      </c>
      <c r="L67" s="1231">
        <v>0</v>
      </c>
      <c r="M67" s="1231"/>
      <c r="N67" s="1231">
        <v>0</v>
      </c>
      <c r="O67" s="1231">
        <v>0</v>
      </c>
      <c r="P67" s="1502">
        <f t="shared" si="1"/>
        <v>727350</v>
      </c>
      <c r="Q67" s="1232">
        <f t="shared" si="2"/>
        <v>727350</v>
      </c>
      <c r="R67" s="1230" t="s">
        <v>251</v>
      </c>
      <c r="S67" s="1231" t="s">
        <v>251</v>
      </c>
      <c r="T67" s="1231" t="s">
        <v>251</v>
      </c>
      <c r="U67" s="1231"/>
      <c r="V67" s="1231"/>
      <c r="W67" s="1231"/>
      <c r="X67" s="1231"/>
      <c r="Y67" s="1231"/>
      <c r="Z67" s="1231"/>
      <c r="AA67" s="1231"/>
      <c r="AB67" s="1231"/>
      <c r="AC67" s="1231"/>
      <c r="AD67" s="1232">
        <f t="shared" si="3"/>
        <v>0</v>
      </c>
      <c r="AE67" s="94">
        <f t="shared" si="9"/>
        <v>-1</v>
      </c>
      <c r="AF67" s="95">
        <f t="shared" si="4"/>
        <v>119</v>
      </c>
    </row>
    <row r="68" spans="1:32" x14ac:dyDescent="0.3">
      <c r="A68" s="63" t="s">
        <v>961</v>
      </c>
      <c r="B68" s="1229" t="s">
        <v>963</v>
      </c>
      <c r="C68" s="1230" t="s">
        <v>251</v>
      </c>
      <c r="D68" s="1231" t="s">
        <v>251</v>
      </c>
      <c r="E68" s="1231" t="s">
        <v>251</v>
      </c>
      <c r="F68" s="1231" t="s">
        <v>251</v>
      </c>
      <c r="G68" s="1231" t="s">
        <v>251</v>
      </c>
      <c r="H68" s="1231" t="s">
        <v>251</v>
      </c>
      <c r="I68" s="1231" t="s">
        <v>251</v>
      </c>
      <c r="J68" s="1231" t="s">
        <v>251</v>
      </c>
      <c r="K68" s="1231"/>
      <c r="L68" s="1231" t="s">
        <v>251</v>
      </c>
      <c r="M68" s="1231"/>
      <c r="N68" s="1231" t="s">
        <v>251</v>
      </c>
      <c r="O68" s="1231" t="s">
        <v>251</v>
      </c>
      <c r="P68" s="1502">
        <f t="shared" ref="P68:P133" si="10">SUM(C68:I68,K68)</f>
        <v>0</v>
      </c>
      <c r="Q68" s="1232">
        <f t="shared" ref="Q68:Q78" si="11">SUM(C68:J68,L68:O68)</f>
        <v>0</v>
      </c>
      <c r="R68" s="1230" t="s">
        <v>251</v>
      </c>
      <c r="S68" s="1231" t="s">
        <v>251</v>
      </c>
      <c r="T68" s="1231" t="s">
        <v>251</v>
      </c>
      <c r="U68" s="1231"/>
      <c r="V68" s="1231"/>
      <c r="W68" s="1231"/>
      <c r="X68" s="1231"/>
      <c r="Y68" s="1231"/>
      <c r="Z68" s="1231"/>
      <c r="AA68" s="1231"/>
      <c r="AB68" s="1231"/>
      <c r="AC68" s="1231"/>
      <c r="AD68" s="1232">
        <f t="shared" si="3"/>
        <v>0</v>
      </c>
      <c r="AE68" s="94">
        <f t="shared" si="9"/>
        <v>0</v>
      </c>
      <c r="AF68" s="95">
        <f t="shared" ref="AF68:AF78" si="12">IFERROR(_xlfn.RANK.EQ(AD68, $AD$2:$AD$288), "")</f>
        <v>119</v>
      </c>
    </row>
    <row r="69" spans="1:32" x14ac:dyDescent="0.3">
      <c r="A69" s="63" t="s">
        <v>961</v>
      </c>
      <c r="B69" s="1229" t="s">
        <v>914</v>
      </c>
      <c r="C69" s="1230">
        <v>0</v>
      </c>
      <c r="D69" s="1231">
        <v>436000</v>
      </c>
      <c r="E69" s="1231">
        <v>0</v>
      </c>
      <c r="F69" s="1231">
        <v>0</v>
      </c>
      <c r="G69" s="1231">
        <v>0</v>
      </c>
      <c r="H69" s="1231">
        <v>0</v>
      </c>
      <c r="I69" s="1231">
        <v>0</v>
      </c>
      <c r="J69" s="1231">
        <v>0</v>
      </c>
      <c r="K69" s="1231">
        <v>0</v>
      </c>
      <c r="L69" s="1231">
        <v>0</v>
      </c>
      <c r="M69" s="1231"/>
      <c r="N69" s="1231">
        <v>0</v>
      </c>
      <c r="O69" s="1231">
        <v>0</v>
      </c>
      <c r="P69" s="1502">
        <f t="shared" si="10"/>
        <v>436000</v>
      </c>
      <c r="Q69" s="1232">
        <f t="shared" si="11"/>
        <v>436000</v>
      </c>
      <c r="R69" s="1230" t="s">
        <v>251</v>
      </c>
      <c r="S69" s="1231" t="s">
        <v>251</v>
      </c>
      <c r="T69" s="1231" t="s">
        <v>251</v>
      </c>
      <c r="U69" s="1231"/>
      <c r="V69" s="1231"/>
      <c r="W69" s="1231"/>
      <c r="X69" s="1231"/>
      <c r="Y69" s="1231"/>
      <c r="Z69" s="1231"/>
      <c r="AA69" s="1231"/>
      <c r="AB69" s="1231"/>
      <c r="AC69" s="1231"/>
      <c r="AD69" s="1232">
        <f t="shared" si="3"/>
        <v>0</v>
      </c>
      <c r="AE69" s="94">
        <f t="shared" si="9"/>
        <v>-1</v>
      </c>
      <c r="AF69" s="95">
        <f t="shared" si="12"/>
        <v>119</v>
      </c>
    </row>
    <row r="70" spans="1:32" x14ac:dyDescent="0.3">
      <c r="A70" s="64" t="s">
        <v>961</v>
      </c>
      <c r="B70" s="1229" t="s">
        <v>919</v>
      </c>
      <c r="C70" s="1230">
        <v>454020</v>
      </c>
      <c r="D70" s="1231">
        <v>0</v>
      </c>
      <c r="E70" s="1231">
        <v>0</v>
      </c>
      <c r="F70" s="1231">
        <v>0</v>
      </c>
      <c r="G70" s="1231">
        <v>0</v>
      </c>
      <c r="H70" s="1231">
        <v>1383830</v>
      </c>
      <c r="I70" s="1231">
        <v>1220530</v>
      </c>
      <c r="J70" s="1231">
        <v>554850</v>
      </c>
      <c r="K70" s="1231">
        <v>343030</v>
      </c>
      <c r="L70" s="1231">
        <v>227810</v>
      </c>
      <c r="M70" s="1231"/>
      <c r="N70" s="1231">
        <v>242100</v>
      </c>
      <c r="O70" s="1231">
        <v>1529460</v>
      </c>
      <c r="P70" s="1502">
        <f t="shared" si="10"/>
        <v>3401410</v>
      </c>
      <c r="Q70" s="1232">
        <f t="shared" si="11"/>
        <v>5612600</v>
      </c>
      <c r="R70" s="1230">
        <v>755660</v>
      </c>
      <c r="S70" s="1231">
        <v>206800</v>
      </c>
      <c r="T70" s="1231">
        <v>596600</v>
      </c>
      <c r="U70" s="1231">
        <v>497200</v>
      </c>
      <c r="V70" s="1231">
        <v>0</v>
      </c>
      <c r="W70" s="1231">
        <v>928730</v>
      </c>
      <c r="X70" s="1231">
        <v>330990</v>
      </c>
      <c r="Y70" s="1231">
        <v>188770</v>
      </c>
      <c r="Z70" s="1231"/>
      <c r="AA70" s="1231"/>
      <c r="AB70" s="1231"/>
      <c r="AC70" s="1231"/>
      <c r="AD70" s="1232">
        <f t="shared" si="3"/>
        <v>3504750</v>
      </c>
      <c r="AE70" s="94">
        <f t="shared" si="9"/>
        <v>3.0381518252724605E-2</v>
      </c>
      <c r="AF70" s="95">
        <f t="shared" si="12"/>
        <v>38</v>
      </c>
    </row>
    <row r="71" spans="1:32" x14ac:dyDescent="0.3">
      <c r="A71" s="64" t="s">
        <v>961</v>
      </c>
      <c r="B71" s="1229" t="s">
        <v>930</v>
      </c>
      <c r="C71" s="1230">
        <v>351510</v>
      </c>
      <c r="D71" s="1231">
        <v>0</v>
      </c>
      <c r="E71" s="1231">
        <v>0</v>
      </c>
      <c r="F71" s="1231">
        <v>0</v>
      </c>
      <c r="G71" s="1231">
        <v>0</v>
      </c>
      <c r="H71" s="1231">
        <v>0</v>
      </c>
      <c r="I71" s="1231">
        <v>0</v>
      </c>
      <c r="J71" s="1231">
        <v>0</v>
      </c>
      <c r="K71" s="1231">
        <v>0</v>
      </c>
      <c r="L71" s="1231">
        <v>0</v>
      </c>
      <c r="M71" s="1231"/>
      <c r="N71" s="1231">
        <v>0</v>
      </c>
      <c r="O71" s="1231">
        <v>0</v>
      </c>
      <c r="P71" s="1502">
        <f t="shared" si="10"/>
        <v>351510</v>
      </c>
      <c r="Q71" s="1232">
        <f t="shared" si="11"/>
        <v>351510</v>
      </c>
      <c r="R71" s="1230" t="s">
        <v>251</v>
      </c>
      <c r="S71" s="1231" t="s">
        <v>251</v>
      </c>
      <c r="T71" s="1231" t="s">
        <v>251</v>
      </c>
      <c r="U71" s="1231"/>
      <c r="V71" s="1231"/>
      <c r="W71" s="1231"/>
      <c r="X71" s="1231"/>
      <c r="Y71" s="1231"/>
      <c r="Z71" s="1231"/>
      <c r="AA71" s="1231"/>
      <c r="AB71" s="1231"/>
      <c r="AC71" s="1231"/>
      <c r="AD71" s="1232">
        <f t="shared" si="3"/>
        <v>0</v>
      </c>
      <c r="AE71" s="94">
        <f t="shared" si="9"/>
        <v>-1</v>
      </c>
      <c r="AF71" s="95">
        <f t="shared" si="12"/>
        <v>119</v>
      </c>
    </row>
    <row r="72" spans="1:32" x14ac:dyDescent="0.3">
      <c r="A72" s="63" t="s">
        <v>961</v>
      </c>
      <c r="B72" s="1229" t="s">
        <v>964</v>
      </c>
      <c r="C72" s="1230">
        <v>0</v>
      </c>
      <c r="D72" s="1231">
        <v>0</v>
      </c>
      <c r="E72" s="1231">
        <v>0</v>
      </c>
      <c r="F72" s="1231">
        <v>0</v>
      </c>
      <c r="G72" s="1231">
        <v>0</v>
      </c>
      <c r="H72" s="1231">
        <v>0</v>
      </c>
      <c r="I72" s="1231">
        <v>0</v>
      </c>
      <c r="J72" s="1231">
        <v>66150</v>
      </c>
      <c r="K72" s="1231">
        <v>66150</v>
      </c>
      <c r="L72" s="1231">
        <v>0</v>
      </c>
      <c r="M72" s="1231"/>
      <c r="N72" s="1231">
        <v>0</v>
      </c>
      <c r="O72" s="1231">
        <v>0</v>
      </c>
      <c r="P72" s="1502">
        <f t="shared" si="10"/>
        <v>66150</v>
      </c>
      <c r="Q72" s="1232">
        <f t="shared" si="11"/>
        <v>66150</v>
      </c>
      <c r="R72" s="1230" t="s">
        <v>251</v>
      </c>
      <c r="S72" s="1231" t="s">
        <v>251</v>
      </c>
      <c r="T72" s="1231" t="s">
        <v>251</v>
      </c>
      <c r="U72" s="1231"/>
      <c r="V72" s="1231"/>
      <c r="W72" s="1231"/>
      <c r="X72" s="1231"/>
      <c r="Y72" s="1231"/>
      <c r="Z72" s="1231"/>
      <c r="AA72" s="1231"/>
      <c r="AB72" s="1231"/>
      <c r="AC72" s="1231"/>
      <c r="AD72" s="1232">
        <f t="shared" si="3"/>
        <v>0</v>
      </c>
      <c r="AE72" s="94">
        <f t="shared" si="9"/>
        <v>-1</v>
      </c>
      <c r="AF72" s="95">
        <f t="shared" si="12"/>
        <v>119</v>
      </c>
    </row>
    <row r="73" spans="1:32" x14ac:dyDescent="0.3">
      <c r="A73" s="64" t="s">
        <v>961</v>
      </c>
      <c r="B73" s="1229" t="s">
        <v>965</v>
      </c>
      <c r="C73" s="1230" t="s">
        <v>251</v>
      </c>
      <c r="D73" s="1231" t="s">
        <v>251</v>
      </c>
      <c r="E73" s="1231" t="s">
        <v>251</v>
      </c>
      <c r="F73" s="1231" t="s">
        <v>251</v>
      </c>
      <c r="G73" s="1231" t="s">
        <v>251</v>
      </c>
      <c r="H73" s="1231" t="s">
        <v>251</v>
      </c>
      <c r="I73" s="1231" t="s">
        <v>251</v>
      </c>
      <c r="J73" s="1231" t="s">
        <v>251</v>
      </c>
      <c r="K73" s="1231"/>
      <c r="L73" s="1231" t="s">
        <v>251</v>
      </c>
      <c r="M73" s="1231"/>
      <c r="N73" s="1231" t="s">
        <v>251</v>
      </c>
      <c r="O73" s="1231" t="s">
        <v>251</v>
      </c>
      <c r="P73" s="1502">
        <f t="shared" si="10"/>
        <v>0</v>
      </c>
      <c r="Q73" s="1232">
        <f t="shared" si="11"/>
        <v>0</v>
      </c>
      <c r="R73" s="1230" t="s">
        <v>251</v>
      </c>
      <c r="S73" s="1231" t="s">
        <v>251</v>
      </c>
      <c r="T73" s="1231" t="s">
        <v>251</v>
      </c>
      <c r="U73" s="1231"/>
      <c r="V73" s="1231">
        <v>409990</v>
      </c>
      <c r="W73" s="1231">
        <v>0</v>
      </c>
      <c r="X73" s="1231"/>
      <c r="Y73" s="1231"/>
      <c r="Z73" s="1231"/>
      <c r="AA73" s="1231"/>
      <c r="AB73" s="1231"/>
      <c r="AC73" s="1231"/>
      <c r="AD73" s="1232">
        <f t="shared" si="3"/>
        <v>409990</v>
      </c>
      <c r="AE73" s="94">
        <f t="shared" ref="AE73:AE83" si="13">IF(OR(AD73="",P73=""), 0, IFERROR((AD73-P73)/P73, IF(AD73&lt;&gt;0, 1, 0)))</f>
        <v>1</v>
      </c>
      <c r="AF73" s="95">
        <f t="shared" si="12"/>
        <v>91</v>
      </c>
    </row>
    <row r="74" spans="1:32" x14ac:dyDescent="0.3">
      <c r="A74" s="64" t="s">
        <v>961</v>
      </c>
      <c r="B74" s="1229" t="s">
        <v>2466</v>
      </c>
      <c r="C74" s="1230"/>
      <c r="D74" s="1231"/>
      <c r="E74" s="1231"/>
      <c r="F74" s="1231"/>
      <c r="G74" s="1231"/>
      <c r="H74" s="1231"/>
      <c r="I74" s="1231"/>
      <c r="J74" s="1231"/>
      <c r="K74" s="1231"/>
      <c r="L74" s="1231"/>
      <c r="M74" s="1231"/>
      <c r="N74" s="1231"/>
      <c r="O74" s="1231">
        <v>1950</v>
      </c>
      <c r="P74" s="1502">
        <f t="shared" si="10"/>
        <v>0</v>
      </c>
      <c r="Q74" s="1232">
        <f t="shared" si="11"/>
        <v>1950</v>
      </c>
      <c r="R74" s="1230" t="s">
        <v>251</v>
      </c>
      <c r="S74" s="1231" t="s">
        <v>251</v>
      </c>
      <c r="T74" s="1231" t="s">
        <v>251</v>
      </c>
      <c r="U74" s="1231"/>
      <c r="V74" s="1231"/>
      <c r="W74" s="1231"/>
      <c r="X74" s="1231"/>
      <c r="Y74" s="1231"/>
      <c r="Z74" s="1231"/>
      <c r="AA74" s="1231"/>
      <c r="AB74" s="1231"/>
      <c r="AC74" s="1231"/>
      <c r="AD74" s="1232">
        <f t="shared" si="3"/>
        <v>0</v>
      </c>
      <c r="AE74" s="94">
        <f t="shared" si="13"/>
        <v>0</v>
      </c>
      <c r="AF74" s="95">
        <f t="shared" si="12"/>
        <v>119</v>
      </c>
    </row>
    <row r="75" spans="1:32" x14ac:dyDescent="0.3">
      <c r="A75" s="64" t="s">
        <v>961</v>
      </c>
      <c r="B75" s="1229" t="s">
        <v>2613</v>
      </c>
      <c r="C75" s="1230"/>
      <c r="D75" s="1231"/>
      <c r="E75" s="1231"/>
      <c r="F75" s="1231"/>
      <c r="G75" s="1231"/>
      <c r="H75" s="1231"/>
      <c r="I75" s="1231"/>
      <c r="J75" s="1231"/>
      <c r="K75" s="1231"/>
      <c r="L75" s="1231"/>
      <c r="M75" s="1231"/>
      <c r="N75" s="1231"/>
      <c r="O75" s="1231"/>
      <c r="P75" s="1502">
        <f t="shared" si="10"/>
        <v>0</v>
      </c>
      <c r="Q75" s="1232">
        <f t="shared" si="11"/>
        <v>0</v>
      </c>
      <c r="R75" s="1230"/>
      <c r="S75" s="1231"/>
      <c r="T75" s="1231">
        <v>281000</v>
      </c>
      <c r="U75" s="1231">
        <v>0</v>
      </c>
      <c r="V75" s="1231">
        <v>0</v>
      </c>
      <c r="W75" s="1231">
        <v>0</v>
      </c>
      <c r="X75" s="1231">
        <v>0</v>
      </c>
      <c r="Y75" s="1231">
        <v>0</v>
      </c>
      <c r="Z75" s="1231"/>
      <c r="AA75" s="1231"/>
      <c r="AB75" s="1231"/>
      <c r="AC75" s="1231"/>
      <c r="AD75" s="1232">
        <f t="shared" ref="AD75:AD81" si="14">SUM(R75:AC75)</f>
        <v>281000</v>
      </c>
      <c r="AE75" s="94">
        <f t="shared" si="13"/>
        <v>1</v>
      </c>
      <c r="AF75" s="95">
        <f t="shared" si="12"/>
        <v>104</v>
      </c>
    </row>
    <row r="76" spans="1:32" x14ac:dyDescent="0.3">
      <c r="A76" s="64" t="s">
        <v>961</v>
      </c>
      <c r="B76" s="1229" t="s">
        <v>2723</v>
      </c>
      <c r="C76" s="1230"/>
      <c r="D76" s="1231"/>
      <c r="E76" s="1231"/>
      <c r="F76" s="1231"/>
      <c r="G76" s="1231"/>
      <c r="H76" s="1231"/>
      <c r="I76" s="1231"/>
      <c r="J76" s="1231"/>
      <c r="K76" s="1231"/>
      <c r="L76" s="1231"/>
      <c r="M76" s="1231"/>
      <c r="N76" s="1231"/>
      <c r="O76" s="1231"/>
      <c r="P76" s="1502">
        <f t="shared" si="10"/>
        <v>0</v>
      </c>
      <c r="Q76" s="1232">
        <f t="shared" si="11"/>
        <v>0</v>
      </c>
      <c r="R76" s="1230"/>
      <c r="S76" s="1231"/>
      <c r="T76" s="1231"/>
      <c r="U76" s="1231">
        <v>474950</v>
      </c>
      <c r="V76" s="1231">
        <v>0</v>
      </c>
      <c r="W76" s="1231">
        <v>0</v>
      </c>
      <c r="X76" s="1231">
        <v>0</v>
      </c>
      <c r="Y76" s="1231">
        <v>0</v>
      </c>
      <c r="Z76" s="1231"/>
      <c r="AA76" s="1231"/>
      <c r="AB76" s="1231"/>
      <c r="AC76" s="1231"/>
      <c r="AD76" s="1232">
        <f t="shared" si="14"/>
        <v>474950</v>
      </c>
      <c r="AE76" s="94">
        <f t="shared" si="13"/>
        <v>1</v>
      </c>
      <c r="AF76" s="95">
        <f t="shared" si="12"/>
        <v>87</v>
      </c>
    </row>
    <row r="77" spans="1:32" x14ac:dyDescent="0.3">
      <c r="A77" s="64" t="s">
        <v>961</v>
      </c>
      <c r="B77" s="1229" t="s">
        <v>2008</v>
      </c>
      <c r="C77" s="1230"/>
      <c r="D77" s="1231"/>
      <c r="E77" s="1231"/>
      <c r="F77" s="1231"/>
      <c r="G77" s="1231"/>
      <c r="H77" s="1231"/>
      <c r="I77" s="1231"/>
      <c r="J77" s="1231"/>
      <c r="K77" s="1231"/>
      <c r="L77" s="1231"/>
      <c r="M77" s="1231"/>
      <c r="N77" s="1231"/>
      <c r="O77" s="1231"/>
      <c r="P77" s="1502">
        <f t="shared" si="10"/>
        <v>0</v>
      </c>
      <c r="Q77" s="1232">
        <f t="shared" si="11"/>
        <v>0</v>
      </c>
      <c r="R77" s="1230"/>
      <c r="S77" s="1231"/>
      <c r="T77" s="1231"/>
      <c r="U77" s="1231">
        <v>320000</v>
      </c>
      <c r="V77" s="1231">
        <v>0</v>
      </c>
      <c r="W77" s="1231">
        <v>0</v>
      </c>
      <c r="X77" s="1231">
        <v>0</v>
      </c>
      <c r="Y77" s="1231">
        <v>0</v>
      </c>
      <c r="Z77" s="1231"/>
      <c r="AA77" s="1231"/>
      <c r="AB77" s="1231"/>
      <c r="AC77" s="1231"/>
      <c r="AD77" s="1232">
        <f t="shared" si="14"/>
        <v>320000</v>
      </c>
      <c r="AE77" s="94">
        <f t="shared" si="13"/>
        <v>1</v>
      </c>
      <c r="AF77" s="95">
        <f t="shared" si="12"/>
        <v>100</v>
      </c>
    </row>
    <row r="78" spans="1:32" x14ac:dyDescent="0.3">
      <c r="A78" s="64" t="s">
        <v>961</v>
      </c>
      <c r="B78" s="1229" t="s">
        <v>998</v>
      </c>
      <c r="C78" s="1230"/>
      <c r="D78" s="1231"/>
      <c r="E78" s="1231"/>
      <c r="F78" s="1231"/>
      <c r="G78" s="1231"/>
      <c r="H78" s="1231"/>
      <c r="I78" s="1231"/>
      <c r="J78" s="1231"/>
      <c r="K78" s="1231"/>
      <c r="L78" s="1231"/>
      <c r="M78" s="1231"/>
      <c r="N78" s="1231"/>
      <c r="O78" s="1231"/>
      <c r="P78" s="1502">
        <f t="shared" si="10"/>
        <v>0</v>
      </c>
      <c r="Q78" s="1232">
        <f t="shared" si="11"/>
        <v>0</v>
      </c>
      <c r="R78" s="1230"/>
      <c r="S78" s="1231"/>
      <c r="T78" s="1231"/>
      <c r="U78" s="1231"/>
      <c r="V78" s="1231">
        <v>0</v>
      </c>
      <c r="W78" s="1231">
        <v>0</v>
      </c>
      <c r="X78" s="1231">
        <v>0</v>
      </c>
      <c r="Y78" s="1231">
        <v>0</v>
      </c>
      <c r="Z78" s="1231"/>
      <c r="AA78" s="1231"/>
      <c r="AB78" s="1231"/>
      <c r="AC78" s="1231"/>
      <c r="AD78" s="1232">
        <f t="shared" si="14"/>
        <v>0</v>
      </c>
      <c r="AE78" s="94">
        <f t="shared" si="13"/>
        <v>0</v>
      </c>
      <c r="AF78" s="95">
        <f t="shared" si="12"/>
        <v>119</v>
      </c>
    </row>
    <row r="79" spans="1:32" x14ac:dyDescent="0.3">
      <c r="A79" s="64" t="s">
        <v>961</v>
      </c>
      <c r="B79" s="1229" t="s">
        <v>2456</v>
      </c>
      <c r="C79" s="1230"/>
      <c r="D79" s="1231"/>
      <c r="E79" s="1231"/>
      <c r="F79" s="1231"/>
      <c r="G79" s="1231"/>
      <c r="H79" s="1231"/>
      <c r="I79" s="1231"/>
      <c r="J79" s="1231"/>
      <c r="K79" s="1231"/>
      <c r="L79" s="1231"/>
      <c r="M79" s="1231"/>
      <c r="N79" s="1231"/>
      <c r="O79" s="1231"/>
      <c r="P79" s="1502">
        <f t="shared" si="10"/>
        <v>0</v>
      </c>
      <c r="Q79" s="1232">
        <f>SUM(C79:J79,L79:O79)</f>
        <v>0</v>
      </c>
      <c r="R79" s="1230"/>
      <c r="S79" s="1231"/>
      <c r="T79" s="1231"/>
      <c r="U79" s="1231"/>
      <c r="V79" s="1231"/>
      <c r="W79" s="1231"/>
      <c r="X79" s="1231">
        <v>1702470</v>
      </c>
      <c r="Y79" s="1231"/>
      <c r="Z79" s="1231"/>
      <c r="AA79" s="1231"/>
      <c r="AB79" s="1231"/>
      <c r="AC79" s="1231"/>
      <c r="AD79" s="1232">
        <f t="shared" si="14"/>
        <v>1702470</v>
      </c>
      <c r="AE79" s="94">
        <f t="shared" si="13"/>
        <v>1</v>
      </c>
      <c r="AF79" s="95">
        <f>IFERROR(_xlfn.RANK.EQ(AD79, $AD$2:$AD$288), "")</f>
        <v>58</v>
      </c>
    </row>
    <row r="80" spans="1:32" x14ac:dyDescent="0.3">
      <c r="A80" s="64" t="s">
        <v>961</v>
      </c>
      <c r="B80" s="1229" t="s">
        <v>2976</v>
      </c>
      <c r="C80" s="1230"/>
      <c r="D80" s="1231"/>
      <c r="E80" s="1231"/>
      <c r="F80" s="1231"/>
      <c r="G80" s="1231"/>
      <c r="H80" s="1231"/>
      <c r="I80" s="1231"/>
      <c r="J80" s="1231"/>
      <c r="K80" s="1231"/>
      <c r="L80" s="1231"/>
      <c r="M80" s="1231"/>
      <c r="N80" s="1231"/>
      <c r="O80" s="1231"/>
      <c r="P80" s="1502">
        <f t="shared" si="10"/>
        <v>0</v>
      </c>
      <c r="Q80" s="1232">
        <f t="shared" ref="Q80:Q97" si="15">SUM(C80:J80,L80:O80)</f>
        <v>0</v>
      </c>
      <c r="R80" s="1230"/>
      <c r="S80" s="1231"/>
      <c r="T80" s="1231"/>
      <c r="U80" s="1231"/>
      <c r="V80" s="1231"/>
      <c r="W80" s="1231"/>
      <c r="X80" s="1231">
        <v>1376900</v>
      </c>
      <c r="Y80" s="1231">
        <v>0</v>
      </c>
      <c r="Z80" s="1231"/>
      <c r="AA80" s="1231"/>
      <c r="AB80" s="1231"/>
      <c r="AC80" s="1231"/>
      <c r="AD80" s="1232">
        <f t="shared" si="14"/>
        <v>1376900</v>
      </c>
      <c r="AE80" s="94">
        <f t="shared" si="13"/>
        <v>1</v>
      </c>
      <c r="AF80" s="95">
        <f t="shared" ref="AF80:AF97" si="16">IFERROR(_xlfn.RANK.EQ(AD80, $AD$2:$AD$288), "")</f>
        <v>61</v>
      </c>
    </row>
    <row r="81" spans="1:32" x14ac:dyDescent="0.3">
      <c r="A81" s="64" t="s">
        <v>961</v>
      </c>
      <c r="B81" s="1229" t="s">
        <v>2917</v>
      </c>
      <c r="C81" s="1230"/>
      <c r="D81" s="1231"/>
      <c r="E81" s="1231"/>
      <c r="F81" s="1231"/>
      <c r="G81" s="1231"/>
      <c r="H81" s="1231"/>
      <c r="I81" s="1231"/>
      <c r="J81" s="1231"/>
      <c r="K81" s="1231"/>
      <c r="L81" s="1231"/>
      <c r="M81" s="1231"/>
      <c r="N81" s="1231"/>
      <c r="O81" s="1231"/>
      <c r="P81" s="1502">
        <f t="shared" si="10"/>
        <v>0</v>
      </c>
      <c r="Q81" s="1232">
        <f t="shared" si="15"/>
        <v>0</v>
      </c>
      <c r="R81" s="1230"/>
      <c r="S81" s="1231"/>
      <c r="T81" s="1231"/>
      <c r="U81" s="1231"/>
      <c r="V81" s="1231"/>
      <c r="W81" s="1231"/>
      <c r="X81" s="1231">
        <v>0</v>
      </c>
      <c r="Y81" s="1231"/>
      <c r="Z81" s="1231"/>
      <c r="AA81" s="1231"/>
      <c r="AB81" s="1231"/>
      <c r="AC81" s="1231"/>
      <c r="AD81" s="1232">
        <f t="shared" si="14"/>
        <v>0</v>
      </c>
      <c r="AE81" s="94">
        <f t="shared" si="13"/>
        <v>0</v>
      </c>
      <c r="AF81" s="95">
        <f t="shared" si="16"/>
        <v>119</v>
      </c>
    </row>
    <row r="82" spans="1:32" x14ac:dyDescent="0.3">
      <c r="A82" s="65" t="s">
        <v>785</v>
      </c>
      <c r="B82" s="1233" t="s">
        <v>966</v>
      </c>
      <c r="C82" s="1234" t="s">
        <v>251</v>
      </c>
      <c r="D82" s="1235" t="s">
        <v>251</v>
      </c>
      <c r="E82" s="1235" t="s">
        <v>251</v>
      </c>
      <c r="F82" s="1235" t="s">
        <v>251</v>
      </c>
      <c r="G82" s="1235" t="s">
        <v>251</v>
      </c>
      <c r="H82" s="1235" t="s">
        <v>251</v>
      </c>
      <c r="I82" s="1235" t="s">
        <v>251</v>
      </c>
      <c r="J82" s="1235" t="s">
        <v>251</v>
      </c>
      <c r="K82" s="1235"/>
      <c r="L82" s="1235" t="s">
        <v>251</v>
      </c>
      <c r="M82" s="1235"/>
      <c r="N82" s="1235" t="s">
        <v>251</v>
      </c>
      <c r="O82" s="1235" t="s">
        <v>251</v>
      </c>
      <c r="P82" s="1502">
        <f t="shared" si="10"/>
        <v>0</v>
      </c>
      <c r="Q82" s="1236">
        <f t="shared" si="15"/>
        <v>0</v>
      </c>
      <c r="R82" s="1234" t="s">
        <v>251</v>
      </c>
      <c r="S82" s="1235" t="s">
        <v>251</v>
      </c>
      <c r="T82" s="1235" t="s">
        <v>251</v>
      </c>
      <c r="U82" s="1235"/>
      <c r="V82" s="1235"/>
      <c r="W82" s="1235"/>
      <c r="X82" s="1235"/>
      <c r="Y82" s="1235"/>
      <c r="Z82" s="1235"/>
      <c r="AA82" s="1235"/>
      <c r="AB82" s="1235"/>
      <c r="AC82" s="1235"/>
      <c r="AD82" s="1236">
        <f t="shared" ref="AD82:AD91" si="17">SUM(R82:AC82)</f>
        <v>0</v>
      </c>
      <c r="AE82" s="96">
        <f t="shared" si="13"/>
        <v>0</v>
      </c>
      <c r="AF82" s="97">
        <f t="shared" si="16"/>
        <v>119</v>
      </c>
    </row>
    <row r="83" spans="1:32" x14ac:dyDescent="0.3">
      <c r="A83" s="65" t="s">
        <v>785</v>
      </c>
      <c r="B83" s="1233" t="s">
        <v>967</v>
      </c>
      <c r="C83" s="1234">
        <v>0</v>
      </c>
      <c r="D83" s="1235">
        <v>31540</v>
      </c>
      <c r="E83" s="1235">
        <v>7102280</v>
      </c>
      <c r="F83" s="1235">
        <v>1183940</v>
      </c>
      <c r="G83" s="1235">
        <v>0</v>
      </c>
      <c r="H83" s="1235">
        <v>0</v>
      </c>
      <c r="I83" s="1235">
        <v>0</v>
      </c>
      <c r="J83" s="1235">
        <v>0</v>
      </c>
      <c r="K83" s="1235">
        <v>0</v>
      </c>
      <c r="L83" s="1235">
        <v>0</v>
      </c>
      <c r="M83" s="1235"/>
      <c r="N83" s="1235">
        <v>0</v>
      </c>
      <c r="O83" s="1235">
        <v>0</v>
      </c>
      <c r="P83" s="1502">
        <f t="shared" si="10"/>
        <v>8317760</v>
      </c>
      <c r="Q83" s="1236">
        <f t="shared" si="15"/>
        <v>8317760</v>
      </c>
      <c r="R83" s="1234" t="s">
        <v>251</v>
      </c>
      <c r="S83" s="1235" t="s">
        <v>251</v>
      </c>
      <c r="T83" s="1235" t="s">
        <v>251</v>
      </c>
      <c r="U83" s="1235"/>
      <c r="V83" s="1235"/>
      <c r="W83" s="1235"/>
      <c r="X83" s="1235"/>
      <c r="Y83" s="1235">
        <v>0</v>
      </c>
      <c r="Z83" s="1235"/>
      <c r="AA83" s="1235"/>
      <c r="AB83" s="1235"/>
      <c r="AC83" s="1235"/>
      <c r="AD83" s="1236">
        <f t="shared" si="17"/>
        <v>0</v>
      </c>
      <c r="AE83" s="96">
        <f t="shared" si="13"/>
        <v>-1</v>
      </c>
      <c r="AF83" s="97">
        <f t="shared" si="16"/>
        <v>119</v>
      </c>
    </row>
    <row r="84" spans="1:32" x14ac:dyDescent="0.3">
      <c r="A84" s="65" t="s">
        <v>785</v>
      </c>
      <c r="B84" s="1233" t="s">
        <v>968</v>
      </c>
      <c r="C84" s="1234">
        <v>0</v>
      </c>
      <c r="D84" s="1235">
        <v>406360</v>
      </c>
      <c r="E84" s="1235">
        <v>0</v>
      </c>
      <c r="F84" s="1235">
        <v>226460</v>
      </c>
      <c r="G84" s="1235">
        <v>0</v>
      </c>
      <c r="H84" s="1235">
        <v>0</v>
      </c>
      <c r="I84" s="1235">
        <v>0</v>
      </c>
      <c r="J84" s="1235">
        <v>0</v>
      </c>
      <c r="K84" s="1235">
        <v>0</v>
      </c>
      <c r="L84" s="1235">
        <v>0</v>
      </c>
      <c r="M84" s="1235"/>
      <c r="N84" s="1235">
        <v>0</v>
      </c>
      <c r="O84" s="1235">
        <v>0</v>
      </c>
      <c r="P84" s="1502">
        <f t="shared" si="10"/>
        <v>632820</v>
      </c>
      <c r="Q84" s="1236">
        <f t="shared" si="15"/>
        <v>632820</v>
      </c>
      <c r="R84" s="1234">
        <v>200000</v>
      </c>
      <c r="S84" s="1235" t="s">
        <v>251</v>
      </c>
      <c r="T84" s="1235">
        <v>0</v>
      </c>
      <c r="U84" s="1235">
        <v>0</v>
      </c>
      <c r="V84" s="1235">
        <v>0</v>
      </c>
      <c r="W84" s="1235">
        <v>0</v>
      </c>
      <c r="X84" s="1235">
        <v>0</v>
      </c>
      <c r="Y84" s="1235">
        <v>0</v>
      </c>
      <c r="Z84" s="1235"/>
      <c r="AA84" s="1235"/>
      <c r="AB84" s="1235"/>
      <c r="AC84" s="1235"/>
      <c r="AD84" s="1236">
        <f t="shared" si="17"/>
        <v>200000</v>
      </c>
      <c r="AE84" s="96">
        <f>IF(OR(AD84="",P84=""), 0, IFERROR((AD84-P84)/P84, IF(AD84&lt;&gt;0, 1, 0)))</f>
        <v>-0.68395436301001866</v>
      </c>
      <c r="AF84" s="97">
        <f t="shared" si="16"/>
        <v>109</v>
      </c>
    </row>
    <row r="85" spans="1:32" x14ac:dyDescent="0.3">
      <c r="A85" s="65" t="s">
        <v>785</v>
      </c>
      <c r="B85" s="1233" t="s">
        <v>785</v>
      </c>
      <c r="C85" s="1234">
        <v>0</v>
      </c>
      <c r="D85" s="1235">
        <v>471020</v>
      </c>
      <c r="E85" s="1235">
        <v>0</v>
      </c>
      <c r="F85" s="1235">
        <v>0</v>
      </c>
      <c r="G85" s="1235">
        <v>0</v>
      </c>
      <c r="H85" s="1235">
        <v>0</v>
      </c>
      <c r="I85" s="1235">
        <v>0</v>
      </c>
      <c r="J85" s="1235">
        <v>0</v>
      </c>
      <c r="K85" s="1235">
        <v>0</v>
      </c>
      <c r="L85" s="1235">
        <v>0</v>
      </c>
      <c r="M85" s="1235"/>
      <c r="N85" s="1235">
        <v>0</v>
      </c>
      <c r="O85" s="1235">
        <v>0</v>
      </c>
      <c r="P85" s="1502">
        <f t="shared" si="10"/>
        <v>471020</v>
      </c>
      <c r="Q85" s="1236">
        <f t="shared" si="15"/>
        <v>471020</v>
      </c>
      <c r="R85" s="1234">
        <v>328000</v>
      </c>
      <c r="S85" s="1235" t="s">
        <v>251</v>
      </c>
      <c r="T85" s="1235" t="s">
        <v>251</v>
      </c>
      <c r="U85" s="1235"/>
      <c r="V85" s="1235"/>
      <c r="W85" s="1235"/>
      <c r="X85" s="1235"/>
      <c r="Y85" s="1235"/>
      <c r="Z85" s="1235"/>
      <c r="AA85" s="1235"/>
      <c r="AB85" s="1235"/>
      <c r="AC85" s="1235"/>
      <c r="AD85" s="1236">
        <f t="shared" si="17"/>
        <v>328000</v>
      </c>
      <c r="AE85" s="96">
        <f t="shared" ref="AE85:AE108" si="18">IF(OR(AD85="",P85=""), 0, IFERROR((AD85-P85)/P85, IF(AD85&lt;&gt;0, 1, 0)))</f>
        <v>-0.30363891129888326</v>
      </c>
      <c r="AF85" s="97">
        <f t="shared" si="16"/>
        <v>97</v>
      </c>
    </row>
    <row r="86" spans="1:32" x14ac:dyDescent="0.3">
      <c r="A86" s="65" t="s">
        <v>785</v>
      </c>
      <c r="B86" s="1233" t="s">
        <v>969</v>
      </c>
      <c r="C86" s="1234">
        <v>0</v>
      </c>
      <c r="D86" s="1235">
        <v>0</v>
      </c>
      <c r="E86" s="1235">
        <v>0</v>
      </c>
      <c r="F86" s="1235">
        <v>0</v>
      </c>
      <c r="G86" s="1235">
        <v>0</v>
      </c>
      <c r="H86" s="1235">
        <v>0</v>
      </c>
      <c r="I86" s="1235">
        <v>0</v>
      </c>
      <c r="J86" s="1235">
        <v>0</v>
      </c>
      <c r="K86" s="1235">
        <v>0</v>
      </c>
      <c r="L86" s="1235">
        <v>0</v>
      </c>
      <c r="M86" s="1235"/>
      <c r="N86" s="1235">
        <v>0</v>
      </c>
      <c r="O86" s="1235">
        <v>0</v>
      </c>
      <c r="P86" s="1502">
        <f t="shared" si="10"/>
        <v>0</v>
      </c>
      <c r="Q86" s="1236">
        <f t="shared" si="15"/>
        <v>0</v>
      </c>
      <c r="R86" s="1234" t="s">
        <v>251</v>
      </c>
      <c r="S86" s="1235" t="s">
        <v>251</v>
      </c>
      <c r="T86" s="1235" t="s">
        <v>251</v>
      </c>
      <c r="U86" s="1235"/>
      <c r="V86" s="1235"/>
      <c r="W86" s="1235"/>
      <c r="X86" s="1235"/>
      <c r="Y86" s="1235"/>
      <c r="Z86" s="1235"/>
      <c r="AA86" s="1235"/>
      <c r="AB86" s="1235"/>
      <c r="AC86" s="1235"/>
      <c r="AD86" s="1236">
        <f t="shared" si="17"/>
        <v>0</v>
      </c>
      <c r="AE86" s="96">
        <f t="shared" si="18"/>
        <v>0</v>
      </c>
      <c r="AF86" s="97">
        <f t="shared" si="16"/>
        <v>119</v>
      </c>
    </row>
    <row r="87" spans="1:32" x14ac:dyDescent="0.3">
      <c r="A87" s="65" t="s">
        <v>785</v>
      </c>
      <c r="B87" s="1233" t="s">
        <v>2443</v>
      </c>
      <c r="C87" s="1234"/>
      <c r="D87" s="1235">
        <v>3976160</v>
      </c>
      <c r="E87" s="1235">
        <v>0</v>
      </c>
      <c r="F87" s="1235">
        <v>16937190</v>
      </c>
      <c r="G87" s="1235">
        <v>7914780</v>
      </c>
      <c r="H87" s="1235">
        <v>1000210</v>
      </c>
      <c r="I87" s="1235">
        <v>3286190</v>
      </c>
      <c r="J87" s="1235">
        <v>0</v>
      </c>
      <c r="K87" s="1235">
        <v>0</v>
      </c>
      <c r="L87" s="1235">
        <v>0</v>
      </c>
      <c r="M87" s="1235"/>
      <c r="N87" s="1235">
        <v>0</v>
      </c>
      <c r="O87" s="1235">
        <v>8169920</v>
      </c>
      <c r="P87" s="1502">
        <f t="shared" si="10"/>
        <v>33114530</v>
      </c>
      <c r="Q87" s="1236">
        <f t="shared" si="15"/>
        <v>41284450</v>
      </c>
      <c r="R87" s="1234">
        <v>6368710</v>
      </c>
      <c r="S87" s="1235" t="s">
        <v>251</v>
      </c>
      <c r="T87" s="1235">
        <v>0</v>
      </c>
      <c r="U87" s="1235">
        <v>0</v>
      </c>
      <c r="V87" s="1235">
        <v>0</v>
      </c>
      <c r="W87" s="1235">
        <v>0</v>
      </c>
      <c r="X87" s="1235">
        <v>0</v>
      </c>
      <c r="Y87" s="1235">
        <v>0</v>
      </c>
      <c r="Z87" s="1235"/>
      <c r="AA87" s="1235"/>
      <c r="AB87" s="1235"/>
      <c r="AC87" s="1235"/>
      <c r="AD87" s="1236">
        <f t="shared" si="17"/>
        <v>6368710</v>
      </c>
      <c r="AE87" s="96">
        <f t="shared" si="18"/>
        <v>-0.80767626778939638</v>
      </c>
      <c r="AF87" s="97">
        <f t="shared" si="16"/>
        <v>25</v>
      </c>
    </row>
    <row r="88" spans="1:32" x14ac:dyDescent="0.3">
      <c r="A88" s="65" t="s">
        <v>785</v>
      </c>
      <c r="B88" s="1233" t="s">
        <v>2446</v>
      </c>
      <c r="C88" s="1234"/>
      <c r="D88" s="1235"/>
      <c r="E88" s="1235"/>
      <c r="F88" s="1235"/>
      <c r="G88" s="1235"/>
      <c r="H88" s="1235"/>
      <c r="I88" s="1235">
        <v>5199360</v>
      </c>
      <c r="J88" s="1235">
        <v>0</v>
      </c>
      <c r="K88" s="1235">
        <v>0</v>
      </c>
      <c r="L88" s="1235">
        <v>0</v>
      </c>
      <c r="M88" s="1235"/>
      <c r="N88" s="1235">
        <v>0</v>
      </c>
      <c r="O88" s="1235">
        <v>0</v>
      </c>
      <c r="P88" s="1502">
        <f t="shared" si="10"/>
        <v>5199360</v>
      </c>
      <c r="Q88" s="1236">
        <f t="shared" si="15"/>
        <v>5199360</v>
      </c>
      <c r="R88" s="1234" t="s">
        <v>251</v>
      </c>
      <c r="S88" s="1235" t="s">
        <v>251</v>
      </c>
      <c r="T88" s="1235" t="s">
        <v>251</v>
      </c>
      <c r="U88" s="1235"/>
      <c r="V88" s="1235"/>
      <c r="W88" s="1235"/>
      <c r="X88" s="1235"/>
      <c r="Y88" s="1235"/>
      <c r="Z88" s="1235"/>
      <c r="AA88" s="1235"/>
      <c r="AB88" s="1235"/>
      <c r="AC88" s="1235"/>
      <c r="AD88" s="1236">
        <f t="shared" si="17"/>
        <v>0</v>
      </c>
      <c r="AE88" s="96">
        <f t="shared" si="18"/>
        <v>-1</v>
      </c>
      <c r="AF88" s="97">
        <f t="shared" si="16"/>
        <v>119</v>
      </c>
    </row>
    <row r="89" spans="1:32" x14ac:dyDescent="0.3">
      <c r="A89" s="65" t="s">
        <v>785</v>
      </c>
      <c r="B89" s="1233" t="s">
        <v>2469</v>
      </c>
      <c r="C89" s="1234"/>
      <c r="D89" s="1235"/>
      <c r="E89" s="1235"/>
      <c r="F89" s="1235"/>
      <c r="G89" s="1235"/>
      <c r="H89" s="1235"/>
      <c r="I89" s="1235"/>
      <c r="J89" s="1235"/>
      <c r="K89" s="1235"/>
      <c r="L89" s="1235"/>
      <c r="M89" s="1235"/>
      <c r="N89" s="1235"/>
      <c r="O89" s="1235"/>
      <c r="P89" s="1502">
        <f t="shared" si="10"/>
        <v>0</v>
      </c>
      <c r="Q89" s="1236">
        <f t="shared" si="15"/>
        <v>0</v>
      </c>
      <c r="R89" s="1234">
        <v>6725840</v>
      </c>
      <c r="S89" s="1235" t="s">
        <v>251</v>
      </c>
      <c r="T89" s="1235">
        <v>650220</v>
      </c>
      <c r="U89" s="1235">
        <v>0</v>
      </c>
      <c r="V89" s="1235">
        <v>0</v>
      </c>
      <c r="W89" s="1235">
        <v>0</v>
      </c>
      <c r="X89" s="1235">
        <v>0</v>
      </c>
      <c r="Y89" s="1235">
        <v>0</v>
      </c>
      <c r="Z89" s="1235"/>
      <c r="AA89" s="1235"/>
      <c r="AB89" s="1235"/>
      <c r="AC89" s="1235"/>
      <c r="AD89" s="1236">
        <f t="shared" si="17"/>
        <v>7376060</v>
      </c>
      <c r="AE89" s="96">
        <f t="shared" si="18"/>
        <v>1</v>
      </c>
      <c r="AF89" s="97">
        <f t="shared" si="16"/>
        <v>19</v>
      </c>
    </row>
    <row r="90" spans="1:32" x14ac:dyDescent="0.3">
      <c r="A90" s="65" t="s">
        <v>785</v>
      </c>
      <c r="B90" s="1233" t="s">
        <v>2275</v>
      </c>
      <c r="C90" s="1234"/>
      <c r="D90" s="1235"/>
      <c r="E90" s="1235"/>
      <c r="F90" s="1235"/>
      <c r="G90" s="1235"/>
      <c r="H90" s="1235"/>
      <c r="I90" s="1235"/>
      <c r="J90" s="1235"/>
      <c r="K90" s="1235"/>
      <c r="L90" s="1235"/>
      <c r="M90" s="1235"/>
      <c r="N90" s="1235"/>
      <c r="O90" s="1235"/>
      <c r="P90" s="1502">
        <f t="shared" si="10"/>
        <v>0</v>
      </c>
      <c r="Q90" s="1236">
        <f t="shared" si="15"/>
        <v>0</v>
      </c>
      <c r="R90" s="1234">
        <v>359540</v>
      </c>
      <c r="S90" s="1235" t="s">
        <v>251</v>
      </c>
      <c r="T90" s="1235" t="s">
        <v>251</v>
      </c>
      <c r="U90" s="1235"/>
      <c r="V90" s="1235"/>
      <c r="W90" s="1235"/>
      <c r="X90" s="1235"/>
      <c r="Y90" s="1235"/>
      <c r="Z90" s="1235"/>
      <c r="AA90" s="1235"/>
      <c r="AB90" s="1235"/>
      <c r="AC90" s="1235"/>
      <c r="AD90" s="1236">
        <f t="shared" si="17"/>
        <v>359540</v>
      </c>
      <c r="AE90" s="96">
        <f t="shared" si="18"/>
        <v>1</v>
      </c>
      <c r="AF90" s="97">
        <f t="shared" si="16"/>
        <v>96</v>
      </c>
    </row>
    <row r="91" spans="1:32" x14ac:dyDescent="0.3">
      <c r="A91" s="65" t="s">
        <v>785</v>
      </c>
      <c r="B91" s="1233" t="s">
        <v>2977</v>
      </c>
      <c r="C91" s="1234"/>
      <c r="D91" s="1235"/>
      <c r="E91" s="1235"/>
      <c r="F91" s="1235"/>
      <c r="G91" s="1235"/>
      <c r="H91" s="1235"/>
      <c r="I91" s="1235"/>
      <c r="J91" s="1235"/>
      <c r="K91" s="1235"/>
      <c r="L91" s="1235"/>
      <c r="M91" s="1235"/>
      <c r="N91" s="1235"/>
      <c r="O91" s="1235"/>
      <c r="P91" s="1502">
        <f t="shared" si="10"/>
        <v>0</v>
      </c>
      <c r="Q91" s="1236">
        <f t="shared" si="15"/>
        <v>0</v>
      </c>
      <c r="R91" s="1234"/>
      <c r="S91" s="1235"/>
      <c r="T91" s="1235"/>
      <c r="U91" s="1235"/>
      <c r="V91" s="1235"/>
      <c r="W91" s="1235"/>
      <c r="X91" s="1235">
        <v>2225990</v>
      </c>
      <c r="Y91" s="1235"/>
      <c r="Z91" s="1235"/>
      <c r="AA91" s="1235"/>
      <c r="AB91" s="1235"/>
      <c r="AC91" s="1235"/>
      <c r="AD91" s="1236">
        <f t="shared" si="17"/>
        <v>2225990</v>
      </c>
      <c r="AE91" s="96">
        <f t="shared" si="18"/>
        <v>1</v>
      </c>
      <c r="AF91" s="97">
        <f t="shared" si="16"/>
        <v>51</v>
      </c>
    </row>
    <row r="92" spans="1:32" x14ac:dyDescent="0.3">
      <c r="A92" s="66" t="s">
        <v>970</v>
      </c>
      <c r="B92" s="1237" t="s">
        <v>971</v>
      </c>
      <c r="C92" s="1238">
        <v>527990</v>
      </c>
      <c r="D92" s="1239">
        <v>281740</v>
      </c>
      <c r="E92" s="1239">
        <v>1075130</v>
      </c>
      <c r="F92" s="1239">
        <v>1520030</v>
      </c>
      <c r="G92" s="1239">
        <v>0</v>
      </c>
      <c r="H92" s="1239">
        <v>270530</v>
      </c>
      <c r="I92" s="1239">
        <v>0</v>
      </c>
      <c r="J92" s="1239">
        <v>1497970</v>
      </c>
      <c r="K92" s="1239">
        <v>997990</v>
      </c>
      <c r="L92" s="1239">
        <v>479990</v>
      </c>
      <c r="M92" s="1239"/>
      <c r="N92" s="1239">
        <v>0</v>
      </c>
      <c r="O92" s="1239">
        <v>0</v>
      </c>
      <c r="P92" s="1502">
        <f t="shared" si="10"/>
        <v>4673410</v>
      </c>
      <c r="Q92" s="1240">
        <f t="shared" si="15"/>
        <v>5653380</v>
      </c>
      <c r="R92" s="1238" t="s">
        <v>251</v>
      </c>
      <c r="S92" s="1239" t="s">
        <v>251</v>
      </c>
      <c r="T92" s="1239" t="s">
        <v>251</v>
      </c>
      <c r="U92" s="1239"/>
      <c r="V92" s="1239"/>
      <c r="W92" s="1239"/>
      <c r="X92" s="1239"/>
      <c r="Y92" s="1239"/>
      <c r="Z92" s="1239"/>
      <c r="AA92" s="1239"/>
      <c r="AB92" s="1239"/>
      <c r="AC92" s="1239"/>
      <c r="AD92" s="1240">
        <f t="shared" ref="AD92:AD113" si="19">SUM(R92:AC92)</f>
        <v>0</v>
      </c>
      <c r="AE92" s="100">
        <f t="shared" si="18"/>
        <v>-1</v>
      </c>
      <c r="AF92" s="101">
        <f t="shared" si="16"/>
        <v>119</v>
      </c>
    </row>
    <row r="93" spans="1:32" x14ac:dyDescent="0.3">
      <c r="A93" s="66" t="s">
        <v>970</v>
      </c>
      <c r="B93" s="1237" t="s">
        <v>972</v>
      </c>
      <c r="C93" s="1238">
        <v>0</v>
      </c>
      <c r="D93" s="1239">
        <v>350000</v>
      </c>
      <c r="E93" s="1239">
        <v>0</v>
      </c>
      <c r="F93" s="1239">
        <v>0</v>
      </c>
      <c r="G93" s="1239">
        <v>0</v>
      </c>
      <c r="H93" s="1239">
        <v>0</v>
      </c>
      <c r="I93" s="1239">
        <v>0</v>
      </c>
      <c r="J93" s="1239">
        <v>0</v>
      </c>
      <c r="K93" s="1239">
        <v>0</v>
      </c>
      <c r="L93" s="1239">
        <v>0</v>
      </c>
      <c r="M93" s="1239"/>
      <c r="N93" s="1239">
        <v>0</v>
      </c>
      <c r="O93" s="1239">
        <v>0</v>
      </c>
      <c r="P93" s="1502">
        <f t="shared" si="10"/>
        <v>350000</v>
      </c>
      <c r="Q93" s="1240">
        <f t="shared" si="15"/>
        <v>350000</v>
      </c>
      <c r="R93" s="1238" t="s">
        <v>251</v>
      </c>
      <c r="S93" s="1239" t="s">
        <v>251</v>
      </c>
      <c r="T93" s="1239" t="s">
        <v>251</v>
      </c>
      <c r="U93" s="1239"/>
      <c r="V93" s="1239"/>
      <c r="W93" s="1239"/>
      <c r="X93" s="1239"/>
      <c r="Y93" s="1239"/>
      <c r="Z93" s="1239"/>
      <c r="AA93" s="1239"/>
      <c r="AB93" s="1239"/>
      <c r="AC93" s="1239"/>
      <c r="AD93" s="1240">
        <f t="shared" si="19"/>
        <v>0</v>
      </c>
      <c r="AE93" s="100">
        <f t="shared" si="18"/>
        <v>-1</v>
      </c>
      <c r="AF93" s="101">
        <f t="shared" si="16"/>
        <v>119</v>
      </c>
    </row>
    <row r="94" spans="1:32" x14ac:dyDescent="0.3">
      <c r="A94" s="67" t="s">
        <v>970</v>
      </c>
      <c r="B94" s="1237" t="s">
        <v>970</v>
      </c>
      <c r="C94" s="1238" t="s">
        <v>251</v>
      </c>
      <c r="D94" s="1239" t="s">
        <v>251</v>
      </c>
      <c r="E94" s="1239" t="s">
        <v>251</v>
      </c>
      <c r="F94" s="1239" t="s">
        <v>251</v>
      </c>
      <c r="G94" s="1239" t="s">
        <v>251</v>
      </c>
      <c r="H94" s="1239" t="s">
        <v>251</v>
      </c>
      <c r="I94" s="1239" t="s">
        <v>251</v>
      </c>
      <c r="J94" s="1239" t="s">
        <v>251</v>
      </c>
      <c r="K94" s="1239"/>
      <c r="L94" s="1239" t="s">
        <v>251</v>
      </c>
      <c r="M94" s="1239"/>
      <c r="N94" s="1239" t="s">
        <v>251</v>
      </c>
      <c r="O94" s="1239" t="s">
        <v>251</v>
      </c>
      <c r="P94" s="1502">
        <f t="shared" si="10"/>
        <v>0</v>
      </c>
      <c r="Q94" s="1240">
        <f t="shared" si="15"/>
        <v>0</v>
      </c>
      <c r="R94" s="1238" t="s">
        <v>251</v>
      </c>
      <c r="S94" s="1239" t="s">
        <v>251</v>
      </c>
      <c r="T94" s="1239" t="s">
        <v>251</v>
      </c>
      <c r="U94" s="1239"/>
      <c r="V94" s="1239"/>
      <c r="W94" s="1239"/>
      <c r="X94" s="1239"/>
      <c r="Y94" s="1239"/>
      <c r="Z94" s="1239"/>
      <c r="AA94" s="1239"/>
      <c r="AB94" s="1239"/>
      <c r="AC94" s="1239"/>
      <c r="AD94" s="1240">
        <f t="shared" si="19"/>
        <v>0</v>
      </c>
      <c r="AE94" s="100">
        <f t="shared" si="18"/>
        <v>0</v>
      </c>
      <c r="AF94" s="101">
        <f t="shared" si="16"/>
        <v>119</v>
      </c>
    </row>
    <row r="95" spans="1:32" x14ac:dyDescent="0.3">
      <c r="A95" s="67" t="s">
        <v>970</v>
      </c>
      <c r="B95" s="1237" t="s">
        <v>973</v>
      </c>
      <c r="C95" s="1238" t="s">
        <v>251</v>
      </c>
      <c r="D95" s="1239" t="s">
        <v>251</v>
      </c>
      <c r="E95" s="1239" t="s">
        <v>251</v>
      </c>
      <c r="F95" s="1239" t="s">
        <v>251</v>
      </c>
      <c r="G95" s="1239" t="s">
        <v>251</v>
      </c>
      <c r="H95" s="1239" t="s">
        <v>251</v>
      </c>
      <c r="I95" s="1239" t="s">
        <v>251</v>
      </c>
      <c r="J95" s="1239" t="s">
        <v>251</v>
      </c>
      <c r="K95" s="1239"/>
      <c r="L95" s="1239" t="s">
        <v>251</v>
      </c>
      <c r="M95" s="1239"/>
      <c r="N95" s="1239" t="s">
        <v>251</v>
      </c>
      <c r="O95" s="1239" t="s">
        <v>251</v>
      </c>
      <c r="P95" s="1502">
        <f t="shared" si="10"/>
        <v>0</v>
      </c>
      <c r="Q95" s="1240">
        <f t="shared" si="15"/>
        <v>0</v>
      </c>
      <c r="R95" s="1238" t="s">
        <v>251</v>
      </c>
      <c r="S95" s="1239" t="s">
        <v>251</v>
      </c>
      <c r="T95" s="1239" t="s">
        <v>251</v>
      </c>
      <c r="U95" s="1239"/>
      <c r="V95" s="1239"/>
      <c r="W95" s="1239"/>
      <c r="X95" s="1239"/>
      <c r="Y95" s="1239"/>
      <c r="Z95" s="1239"/>
      <c r="AA95" s="1239"/>
      <c r="AB95" s="1239"/>
      <c r="AC95" s="1239"/>
      <c r="AD95" s="1240">
        <f t="shared" si="19"/>
        <v>0</v>
      </c>
      <c r="AE95" s="100">
        <f t="shared" si="18"/>
        <v>0</v>
      </c>
      <c r="AF95" s="101">
        <f t="shared" si="16"/>
        <v>119</v>
      </c>
    </row>
    <row r="96" spans="1:32" x14ac:dyDescent="0.3">
      <c r="A96" s="67" t="s">
        <v>970</v>
      </c>
      <c r="B96" s="1237" t="s">
        <v>2458</v>
      </c>
      <c r="C96" s="1238"/>
      <c r="D96" s="1239"/>
      <c r="E96" s="1239"/>
      <c r="F96" s="1239"/>
      <c r="G96" s="1239"/>
      <c r="H96" s="1239"/>
      <c r="I96" s="1239"/>
      <c r="J96" s="1239"/>
      <c r="K96" s="1239"/>
      <c r="L96" s="1239">
        <v>12577690</v>
      </c>
      <c r="M96" s="1239"/>
      <c r="N96" s="1239">
        <v>0</v>
      </c>
      <c r="O96" s="1239">
        <v>0</v>
      </c>
      <c r="P96" s="1502">
        <f t="shared" si="10"/>
        <v>0</v>
      </c>
      <c r="Q96" s="1240">
        <f t="shared" si="15"/>
        <v>12577690</v>
      </c>
      <c r="R96" s="1238">
        <v>1620000</v>
      </c>
      <c r="S96" s="1239" t="s">
        <v>251</v>
      </c>
      <c r="T96" s="1239">
        <v>7787120</v>
      </c>
      <c r="U96" s="1239">
        <v>2219990</v>
      </c>
      <c r="V96" s="1239">
        <v>650000</v>
      </c>
      <c r="W96" s="1239">
        <v>0</v>
      </c>
      <c r="X96" s="1239">
        <v>3463980</v>
      </c>
      <c r="Y96" s="1239">
        <v>23510</v>
      </c>
      <c r="Z96" s="1239"/>
      <c r="AA96" s="1239"/>
      <c r="AB96" s="1239"/>
      <c r="AC96" s="1239"/>
      <c r="AD96" s="1240">
        <f t="shared" si="19"/>
        <v>15764600</v>
      </c>
      <c r="AE96" s="100">
        <f t="shared" si="18"/>
        <v>1</v>
      </c>
      <c r="AF96" s="101">
        <f t="shared" si="16"/>
        <v>11</v>
      </c>
    </row>
    <row r="97" spans="1:32" x14ac:dyDescent="0.3">
      <c r="A97" s="67" t="s">
        <v>970</v>
      </c>
      <c r="B97" s="1237" t="s">
        <v>967</v>
      </c>
      <c r="C97" s="1238"/>
      <c r="D97" s="1239"/>
      <c r="E97" s="1239"/>
      <c r="F97" s="1239"/>
      <c r="G97" s="1239"/>
      <c r="H97" s="1239"/>
      <c r="I97" s="1239"/>
      <c r="J97" s="1239"/>
      <c r="K97" s="1239"/>
      <c r="L97" s="1239"/>
      <c r="M97" s="1239"/>
      <c r="N97" s="1239"/>
      <c r="O97" s="1239"/>
      <c r="P97" s="1502">
        <f t="shared" si="10"/>
        <v>0</v>
      </c>
      <c r="Q97" s="1240">
        <f t="shared" si="15"/>
        <v>0</v>
      </c>
      <c r="R97" s="1238"/>
      <c r="S97" s="1239"/>
      <c r="T97" s="1239"/>
      <c r="U97" s="1239">
        <v>1080670</v>
      </c>
      <c r="V97" s="1239">
        <v>0</v>
      </c>
      <c r="W97" s="1239">
        <v>0</v>
      </c>
      <c r="X97" s="1239">
        <v>0</v>
      </c>
      <c r="Y97" s="1239">
        <v>0</v>
      </c>
      <c r="Z97" s="1239"/>
      <c r="AA97" s="1239"/>
      <c r="AB97" s="1239"/>
      <c r="AC97" s="1239"/>
      <c r="AD97" s="1240">
        <f t="shared" si="19"/>
        <v>1080670</v>
      </c>
      <c r="AE97" s="100">
        <f t="shared" si="18"/>
        <v>1</v>
      </c>
      <c r="AF97" s="101">
        <f t="shared" si="16"/>
        <v>65</v>
      </c>
    </row>
    <row r="98" spans="1:32" x14ac:dyDescent="0.3">
      <c r="A98" s="67" t="s">
        <v>970</v>
      </c>
      <c r="B98" s="1237" t="s">
        <v>1015</v>
      </c>
      <c r="C98" s="1238"/>
      <c r="D98" s="1239"/>
      <c r="E98" s="1239"/>
      <c r="F98" s="1239"/>
      <c r="G98" s="1239"/>
      <c r="H98" s="1239"/>
      <c r="I98" s="1239"/>
      <c r="J98" s="1239"/>
      <c r="K98" s="1239"/>
      <c r="L98" s="1239"/>
      <c r="M98" s="1239"/>
      <c r="N98" s="1239"/>
      <c r="O98" s="1239"/>
      <c r="P98" s="1502">
        <f t="shared" si="10"/>
        <v>0</v>
      </c>
      <c r="Q98" s="1240">
        <f>SUM(C98:J98,L98:O98)</f>
        <v>0</v>
      </c>
      <c r="R98" s="1238"/>
      <c r="S98" s="1239"/>
      <c r="T98" s="1239"/>
      <c r="U98" s="1239"/>
      <c r="V98" s="1239">
        <v>0</v>
      </c>
      <c r="W98" s="1239">
        <v>0</v>
      </c>
      <c r="X98" s="1239">
        <v>0</v>
      </c>
      <c r="Y98" s="1239">
        <v>0</v>
      </c>
      <c r="Z98" s="1239"/>
      <c r="AA98" s="1239"/>
      <c r="AB98" s="1239"/>
      <c r="AC98" s="1239"/>
      <c r="AD98" s="1240">
        <f t="shared" si="19"/>
        <v>0</v>
      </c>
      <c r="AE98" s="100">
        <f t="shared" si="18"/>
        <v>0</v>
      </c>
      <c r="AF98" s="101">
        <f>IFERROR(_xlfn.RANK.EQ(AD98, $AD$2:$AD$288), "")</f>
        <v>119</v>
      </c>
    </row>
    <row r="99" spans="1:32" x14ac:dyDescent="0.3">
      <c r="A99" s="67" t="s">
        <v>970</v>
      </c>
      <c r="B99" s="1237" t="s">
        <v>2803</v>
      </c>
      <c r="C99" s="1238"/>
      <c r="D99" s="1239"/>
      <c r="E99" s="1239"/>
      <c r="F99" s="1239"/>
      <c r="G99" s="1239"/>
      <c r="H99" s="1239"/>
      <c r="I99" s="1239"/>
      <c r="J99" s="1239"/>
      <c r="K99" s="1239"/>
      <c r="L99" s="1239"/>
      <c r="M99" s="1239"/>
      <c r="N99" s="1239"/>
      <c r="O99" s="1239"/>
      <c r="P99" s="1502">
        <f t="shared" si="10"/>
        <v>0</v>
      </c>
      <c r="Q99" s="1240">
        <f t="shared" ref="Q99:Q118" si="20">SUM(C99:J99,L99:O99)</f>
        <v>0</v>
      </c>
      <c r="R99" s="1238"/>
      <c r="S99" s="1239"/>
      <c r="T99" s="1239"/>
      <c r="U99" s="1239"/>
      <c r="V99" s="1239">
        <v>544990</v>
      </c>
      <c r="W99" s="1239"/>
      <c r="X99" s="1239"/>
      <c r="Y99" s="1239"/>
      <c r="Z99" s="1239"/>
      <c r="AA99" s="1239"/>
      <c r="AB99" s="1239"/>
      <c r="AC99" s="1239"/>
      <c r="AD99" s="1240">
        <f t="shared" si="19"/>
        <v>544990</v>
      </c>
      <c r="AE99" s="100">
        <f t="shared" si="18"/>
        <v>1</v>
      </c>
      <c r="AF99" s="101">
        <f t="shared" ref="AF99:AF116" si="21">IFERROR(_xlfn.RANK.EQ(AD99, $AD$2:$AD$288), "")</f>
        <v>79</v>
      </c>
    </row>
    <row r="100" spans="1:32" x14ac:dyDescent="0.3">
      <c r="A100" s="67" t="s">
        <v>970</v>
      </c>
      <c r="B100" s="1237" t="s">
        <v>2742</v>
      </c>
      <c r="C100" s="1238"/>
      <c r="D100" s="1239"/>
      <c r="E100" s="1239"/>
      <c r="F100" s="1239"/>
      <c r="G100" s="1239"/>
      <c r="H100" s="1239"/>
      <c r="I100" s="1239"/>
      <c r="J100" s="1239"/>
      <c r="K100" s="1239"/>
      <c r="L100" s="1239"/>
      <c r="M100" s="1239"/>
      <c r="N100" s="1239"/>
      <c r="O100" s="1239"/>
      <c r="P100" s="1502">
        <f t="shared" si="10"/>
        <v>0</v>
      </c>
      <c r="Q100" s="1240">
        <f t="shared" si="20"/>
        <v>0</v>
      </c>
      <c r="R100" s="1238"/>
      <c r="S100" s="1239"/>
      <c r="T100" s="1239"/>
      <c r="U100" s="1239"/>
      <c r="V100" s="1239"/>
      <c r="W100" s="1239">
        <v>0</v>
      </c>
      <c r="X100" s="1239"/>
      <c r="Y100" s="1239"/>
      <c r="Z100" s="1239"/>
      <c r="AA100" s="1239"/>
      <c r="AB100" s="1239"/>
      <c r="AC100" s="1239"/>
      <c r="AD100" s="1240">
        <f t="shared" si="19"/>
        <v>0</v>
      </c>
      <c r="AE100" s="100">
        <f t="shared" si="18"/>
        <v>0</v>
      </c>
      <c r="AF100" s="101">
        <f t="shared" si="21"/>
        <v>119</v>
      </c>
    </row>
    <row r="101" spans="1:32" x14ac:dyDescent="0.3">
      <c r="A101" s="67" t="s">
        <v>970</v>
      </c>
      <c r="B101" s="1237" t="s">
        <v>1053</v>
      </c>
      <c r="C101" s="1238"/>
      <c r="D101" s="1239"/>
      <c r="E101" s="1239"/>
      <c r="F101" s="1239"/>
      <c r="G101" s="1239"/>
      <c r="H101" s="1239"/>
      <c r="I101" s="1239"/>
      <c r="J101" s="1239"/>
      <c r="K101" s="1239"/>
      <c r="L101" s="1239"/>
      <c r="M101" s="1239"/>
      <c r="N101" s="1239"/>
      <c r="O101" s="1239"/>
      <c r="P101" s="1502">
        <f t="shared" si="10"/>
        <v>0</v>
      </c>
      <c r="Q101" s="1240">
        <f t="shared" si="20"/>
        <v>0</v>
      </c>
      <c r="R101" s="1238"/>
      <c r="S101" s="1239"/>
      <c r="T101" s="1239"/>
      <c r="U101" s="1239"/>
      <c r="V101" s="1239"/>
      <c r="W101" s="1239"/>
      <c r="X101" s="1239">
        <v>0</v>
      </c>
      <c r="Y101" s="1239">
        <v>0</v>
      </c>
      <c r="Z101" s="1239"/>
      <c r="AA101" s="1239"/>
      <c r="AB101" s="1239"/>
      <c r="AC101" s="1239"/>
      <c r="AD101" s="1240">
        <f t="shared" si="19"/>
        <v>0</v>
      </c>
      <c r="AE101" s="100">
        <f t="shared" si="18"/>
        <v>0</v>
      </c>
      <c r="AF101" s="101">
        <f t="shared" si="21"/>
        <v>119</v>
      </c>
    </row>
    <row r="102" spans="1:32" x14ac:dyDescent="0.3">
      <c r="A102" s="67" t="s">
        <v>970</v>
      </c>
      <c r="B102" s="1237" t="s">
        <v>2473</v>
      </c>
      <c r="C102" s="1238"/>
      <c r="D102" s="1239"/>
      <c r="E102" s="1239"/>
      <c r="F102" s="1239"/>
      <c r="G102" s="1239"/>
      <c r="H102" s="1239"/>
      <c r="I102" s="1239"/>
      <c r="J102" s="1239"/>
      <c r="K102" s="1239"/>
      <c r="L102" s="1239"/>
      <c r="M102" s="1239"/>
      <c r="N102" s="1239"/>
      <c r="O102" s="1239"/>
      <c r="P102" s="1502">
        <f t="shared" si="10"/>
        <v>0</v>
      </c>
      <c r="Q102" s="1240">
        <f t="shared" si="20"/>
        <v>0</v>
      </c>
      <c r="R102" s="1238"/>
      <c r="S102" s="1239"/>
      <c r="T102" s="1239"/>
      <c r="U102" s="1239"/>
      <c r="V102" s="1239"/>
      <c r="W102" s="1239"/>
      <c r="X102" s="1239"/>
      <c r="Y102" s="1239">
        <v>228120</v>
      </c>
      <c r="Z102" s="1239"/>
      <c r="AA102" s="1239"/>
      <c r="AB102" s="1239"/>
      <c r="AC102" s="1239"/>
      <c r="AD102" s="1240">
        <f t="shared" si="19"/>
        <v>228120</v>
      </c>
      <c r="AE102" s="100">
        <f t="shared" si="18"/>
        <v>1</v>
      </c>
      <c r="AF102" s="101">
        <f t="shared" si="21"/>
        <v>105</v>
      </c>
    </row>
    <row r="103" spans="1:32" x14ac:dyDescent="0.3">
      <c r="A103" s="67" t="s">
        <v>970</v>
      </c>
      <c r="B103" s="1237" t="s">
        <v>3054</v>
      </c>
      <c r="C103" s="1238"/>
      <c r="D103" s="1239"/>
      <c r="E103" s="1239"/>
      <c r="F103" s="1239"/>
      <c r="G103" s="1239"/>
      <c r="H103" s="1239"/>
      <c r="I103" s="1239"/>
      <c r="J103" s="1239"/>
      <c r="K103" s="1239"/>
      <c r="L103" s="1239"/>
      <c r="M103" s="1239"/>
      <c r="N103" s="1239"/>
      <c r="O103" s="1239"/>
      <c r="P103" s="1502">
        <f t="shared" si="10"/>
        <v>0</v>
      </c>
      <c r="Q103" s="1240">
        <f t="shared" si="20"/>
        <v>0</v>
      </c>
      <c r="R103" s="1238"/>
      <c r="S103" s="1239"/>
      <c r="T103" s="1239"/>
      <c r="U103" s="1239"/>
      <c r="V103" s="1239"/>
      <c r="W103" s="1239"/>
      <c r="X103" s="1239"/>
      <c r="Y103" s="1239">
        <v>281990</v>
      </c>
      <c r="Z103" s="1239"/>
      <c r="AA103" s="1239"/>
      <c r="AB103" s="1239"/>
      <c r="AC103" s="1239"/>
      <c r="AD103" s="1240">
        <f t="shared" si="19"/>
        <v>281990</v>
      </c>
      <c r="AE103" s="100">
        <f t="shared" si="18"/>
        <v>1</v>
      </c>
      <c r="AF103" s="101">
        <f t="shared" si="21"/>
        <v>103</v>
      </c>
    </row>
    <row r="104" spans="1:32" x14ac:dyDescent="0.3">
      <c r="A104" s="68" t="s">
        <v>974</v>
      </c>
      <c r="B104" s="1241" t="s">
        <v>972</v>
      </c>
      <c r="C104" s="1242">
        <v>1743040</v>
      </c>
      <c r="D104" s="1243">
        <v>0</v>
      </c>
      <c r="E104" s="1243">
        <v>536000</v>
      </c>
      <c r="F104" s="1243">
        <v>1052000</v>
      </c>
      <c r="G104" s="1243">
        <v>0</v>
      </c>
      <c r="H104" s="1243">
        <v>0</v>
      </c>
      <c r="I104" s="1243">
        <v>257990</v>
      </c>
      <c r="J104" s="1243">
        <v>0</v>
      </c>
      <c r="K104" s="1243">
        <v>0</v>
      </c>
      <c r="L104" s="1243">
        <v>0</v>
      </c>
      <c r="M104" s="1243"/>
      <c r="N104" s="1243">
        <v>0</v>
      </c>
      <c r="O104" s="1243">
        <v>0</v>
      </c>
      <c r="P104" s="1502">
        <f t="shared" si="10"/>
        <v>3589030</v>
      </c>
      <c r="Q104" s="1244">
        <f t="shared" si="20"/>
        <v>3589030</v>
      </c>
      <c r="R104" s="1242" t="s">
        <v>251</v>
      </c>
      <c r="S104" s="1243" t="s">
        <v>251</v>
      </c>
      <c r="T104" s="1243" t="s">
        <v>251</v>
      </c>
      <c r="U104" s="1243">
        <v>0</v>
      </c>
      <c r="V104" s="1243">
        <v>573970</v>
      </c>
      <c r="W104" s="1243">
        <v>0</v>
      </c>
      <c r="X104" s="1243">
        <v>2151270</v>
      </c>
      <c r="Y104" s="1243">
        <v>0</v>
      </c>
      <c r="Z104" s="1243"/>
      <c r="AA104" s="1243"/>
      <c r="AB104" s="1243"/>
      <c r="AC104" s="1243"/>
      <c r="AD104" s="1244">
        <f t="shared" si="19"/>
        <v>2725240</v>
      </c>
      <c r="AE104" s="98">
        <f t="shared" si="18"/>
        <v>-0.24067505704884049</v>
      </c>
      <c r="AF104" s="99">
        <f t="shared" si="21"/>
        <v>45</v>
      </c>
    </row>
    <row r="105" spans="1:32" x14ac:dyDescent="0.3">
      <c r="A105" s="68" t="s">
        <v>974</v>
      </c>
      <c r="B105" s="1241" t="s">
        <v>951</v>
      </c>
      <c r="C105" s="1242">
        <v>1160480</v>
      </c>
      <c r="D105" s="1243">
        <v>0</v>
      </c>
      <c r="E105" s="1243">
        <v>0</v>
      </c>
      <c r="F105" s="1243">
        <v>0</v>
      </c>
      <c r="G105" s="1243">
        <v>0</v>
      </c>
      <c r="H105" s="1243">
        <v>0</v>
      </c>
      <c r="I105" s="1243">
        <v>0</v>
      </c>
      <c r="J105" s="1243">
        <v>0</v>
      </c>
      <c r="K105" s="1243">
        <v>0</v>
      </c>
      <c r="L105" s="1243">
        <v>0</v>
      </c>
      <c r="M105" s="1243"/>
      <c r="N105" s="1243">
        <v>0</v>
      </c>
      <c r="O105" s="1243">
        <v>0</v>
      </c>
      <c r="P105" s="1502">
        <f t="shared" si="10"/>
        <v>1160480</v>
      </c>
      <c r="Q105" s="1244">
        <f t="shared" si="20"/>
        <v>1160480</v>
      </c>
      <c r="R105" s="1242" t="s">
        <v>251</v>
      </c>
      <c r="S105" s="1243" t="s">
        <v>251</v>
      </c>
      <c r="T105" s="1243" t="s">
        <v>251</v>
      </c>
      <c r="U105" s="1243"/>
      <c r="V105" s="1243"/>
      <c r="W105" s="1243"/>
      <c r="X105" s="1243">
        <v>257950</v>
      </c>
      <c r="Y105" s="1243">
        <v>3604750</v>
      </c>
      <c r="Z105" s="1243"/>
      <c r="AA105" s="1243"/>
      <c r="AB105" s="1243"/>
      <c r="AC105" s="1243"/>
      <c r="AD105" s="1244">
        <f t="shared" si="19"/>
        <v>3862700</v>
      </c>
      <c r="AE105" s="98">
        <f t="shared" si="18"/>
        <v>2.3285364676685512</v>
      </c>
      <c r="AF105" s="99">
        <f t="shared" si="21"/>
        <v>34</v>
      </c>
    </row>
    <row r="106" spans="1:32" x14ac:dyDescent="0.3">
      <c r="A106" s="69" t="s">
        <v>974</v>
      </c>
      <c r="B106" s="1241" t="s">
        <v>975</v>
      </c>
      <c r="C106" s="1242" t="s">
        <v>251</v>
      </c>
      <c r="D106" s="1243" t="s">
        <v>251</v>
      </c>
      <c r="E106" s="1243" t="s">
        <v>251</v>
      </c>
      <c r="F106" s="1243" t="s">
        <v>251</v>
      </c>
      <c r="G106" s="1243" t="s">
        <v>251</v>
      </c>
      <c r="H106" s="1243" t="s">
        <v>251</v>
      </c>
      <c r="I106" s="1243" t="s">
        <v>251</v>
      </c>
      <c r="J106" s="1243" t="s">
        <v>251</v>
      </c>
      <c r="K106" s="1243"/>
      <c r="L106" s="1243" t="s">
        <v>251</v>
      </c>
      <c r="M106" s="1243"/>
      <c r="N106" s="1243" t="s">
        <v>251</v>
      </c>
      <c r="O106" s="1243" t="s">
        <v>251</v>
      </c>
      <c r="P106" s="1502">
        <f t="shared" si="10"/>
        <v>0</v>
      </c>
      <c r="Q106" s="1244">
        <f t="shared" si="20"/>
        <v>0</v>
      </c>
      <c r="R106" s="1242" t="s">
        <v>251</v>
      </c>
      <c r="S106" s="1243" t="s">
        <v>251</v>
      </c>
      <c r="T106" s="1243" t="s">
        <v>251</v>
      </c>
      <c r="U106" s="1243"/>
      <c r="V106" s="1243"/>
      <c r="W106" s="1243"/>
      <c r="X106" s="1243"/>
      <c r="Y106" s="1243"/>
      <c r="Z106" s="1243"/>
      <c r="AA106" s="1243"/>
      <c r="AB106" s="1243"/>
      <c r="AC106" s="1243"/>
      <c r="AD106" s="1244">
        <f t="shared" si="19"/>
        <v>0</v>
      </c>
      <c r="AE106" s="98">
        <f t="shared" si="18"/>
        <v>0</v>
      </c>
      <c r="AF106" s="99">
        <f t="shared" si="21"/>
        <v>119</v>
      </c>
    </row>
    <row r="107" spans="1:32" x14ac:dyDescent="0.3">
      <c r="A107" s="69" t="s">
        <v>974</v>
      </c>
      <c r="B107" s="1241" t="s">
        <v>2459</v>
      </c>
      <c r="C107" s="1242"/>
      <c r="D107" s="1243"/>
      <c r="E107" s="1243"/>
      <c r="F107" s="1243"/>
      <c r="G107" s="1243"/>
      <c r="H107" s="1243"/>
      <c r="I107" s="1243"/>
      <c r="J107" s="1243"/>
      <c r="K107" s="1243"/>
      <c r="L107" s="1243">
        <v>520990</v>
      </c>
      <c r="M107" s="1243"/>
      <c r="N107" s="1243">
        <v>0</v>
      </c>
      <c r="O107" s="1243">
        <v>0</v>
      </c>
      <c r="P107" s="1502">
        <f t="shared" si="10"/>
        <v>0</v>
      </c>
      <c r="Q107" s="1244">
        <f t="shared" si="20"/>
        <v>520990</v>
      </c>
      <c r="R107" s="1242" t="s">
        <v>251</v>
      </c>
      <c r="S107" s="1243" t="s">
        <v>251</v>
      </c>
      <c r="T107" s="1243" t="s">
        <v>251</v>
      </c>
      <c r="U107" s="1243"/>
      <c r="V107" s="1243"/>
      <c r="W107" s="1243"/>
      <c r="X107" s="1243"/>
      <c r="Y107" s="1243"/>
      <c r="Z107" s="1243"/>
      <c r="AA107" s="1243"/>
      <c r="AB107" s="1243"/>
      <c r="AC107" s="1243"/>
      <c r="AD107" s="1244">
        <f t="shared" si="19"/>
        <v>0</v>
      </c>
      <c r="AE107" s="98">
        <f t="shared" si="18"/>
        <v>0</v>
      </c>
      <c r="AF107" s="99">
        <f t="shared" si="21"/>
        <v>119</v>
      </c>
    </row>
    <row r="108" spans="1:32" x14ac:dyDescent="0.3">
      <c r="A108" s="69" t="s">
        <v>974</v>
      </c>
      <c r="B108" s="1241" t="s">
        <v>953</v>
      </c>
      <c r="C108" s="1242"/>
      <c r="D108" s="1243"/>
      <c r="E108" s="1243"/>
      <c r="F108" s="1243"/>
      <c r="G108" s="1243"/>
      <c r="H108" s="1243"/>
      <c r="I108" s="1243"/>
      <c r="J108" s="1243"/>
      <c r="K108" s="1243"/>
      <c r="L108" s="1243"/>
      <c r="M108" s="1243"/>
      <c r="N108" s="1243"/>
      <c r="O108" s="1243"/>
      <c r="P108" s="1502">
        <f t="shared" si="10"/>
        <v>0</v>
      </c>
      <c r="Q108" s="1244">
        <f t="shared" si="20"/>
        <v>0</v>
      </c>
      <c r="R108" s="1242"/>
      <c r="S108" s="1243"/>
      <c r="T108" s="1243">
        <v>60000</v>
      </c>
      <c r="U108" s="1243">
        <v>698000</v>
      </c>
      <c r="V108" s="1243">
        <v>249990</v>
      </c>
      <c r="W108" s="1243">
        <v>0</v>
      </c>
      <c r="X108" s="1243">
        <v>0</v>
      </c>
      <c r="Y108" s="1243">
        <v>0</v>
      </c>
      <c r="Z108" s="1243"/>
      <c r="AA108" s="1243"/>
      <c r="AB108" s="1243"/>
      <c r="AC108" s="1243"/>
      <c r="AD108" s="1244">
        <f t="shared" si="19"/>
        <v>1007990</v>
      </c>
      <c r="AE108" s="98">
        <f t="shared" si="18"/>
        <v>1</v>
      </c>
      <c r="AF108" s="99">
        <f t="shared" si="21"/>
        <v>66</v>
      </c>
    </row>
    <row r="109" spans="1:32" x14ac:dyDescent="0.3">
      <c r="A109" s="69" t="s">
        <v>974</v>
      </c>
      <c r="B109" s="1241" t="s">
        <v>2724</v>
      </c>
      <c r="C109" s="1242"/>
      <c r="D109" s="1243"/>
      <c r="E109" s="1243"/>
      <c r="F109" s="1243"/>
      <c r="G109" s="1243"/>
      <c r="H109" s="1243"/>
      <c r="I109" s="1243"/>
      <c r="J109" s="1243"/>
      <c r="K109" s="1243"/>
      <c r="L109" s="1243"/>
      <c r="M109" s="1243"/>
      <c r="N109" s="1243"/>
      <c r="O109" s="1243"/>
      <c r="P109" s="1502">
        <f t="shared" si="10"/>
        <v>0</v>
      </c>
      <c r="Q109" s="1244">
        <f t="shared" si="20"/>
        <v>0</v>
      </c>
      <c r="R109" s="1242"/>
      <c r="S109" s="1243"/>
      <c r="T109" s="1243"/>
      <c r="U109" s="1243"/>
      <c r="V109" s="1243"/>
      <c r="W109" s="1243"/>
      <c r="X109" s="1243"/>
      <c r="Y109" s="1243"/>
      <c r="Z109" s="1243"/>
      <c r="AA109" s="1243"/>
      <c r="AB109" s="1243"/>
      <c r="AC109" s="1243"/>
      <c r="AD109" s="1244">
        <f t="shared" si="19"/>
        <v>0</v>
      </c>
      <c r="AE109" s="98">
        <f>IF(OR(AD109="",P109=""), 0, IFERROR((AD109-P109)/P109, IF(AD109&lt;&gt;0, 1, 0)))</f>
        <v>0</v>
      </c>
      <c r="AF109" s="99">
        <f t="shared" si="21"/>
        <v>119</v>
      </c>
    </row>
    <row r="110" spans="1:32" x14ac:dyDescent="0.3">
      <c r="A110" s="55" t="s">
        <v>976</v>
      </c>
      <c r="B110" s="1203" t="s">
        <v>977</v>
      </c>
      <c r="C110" s="1204">
        <v>0</v>
      </c>
      <c r="D110" s="1205">
        <v>0</v>
      </c>
      <c r="E110" s="1205">
        <v>0</v>
      </c>
      <c r="F110" s="1205">
        <v>0</v>
      </c>
      <c r="G110" s="1205">
        <v>4807990</v>
      </c>
      <c r="H110" s="1205">
        <v>6072160</v>
      </c>
      <c r="I110" s="1205">
        <v>0</v>
      </c>
      <c r="J110" s="1205">
        <v>0</v>
      </c>
      <c r="K110" s="1205">
        <v>0</v>
      </c>
      <c r="L110" s="1205">
        <v>0</v>
      </c>
      <c r="M110" s="1205"/>
      <c r="N110" s="1205">
        <v>0</v>
      </c>
      <c r="O110" s="1205">
        <v>0</v>
      </c>
      <c r="P110" s="1502">
        <f t="shared" si="10"/>
        <v>10880150</v>
      </c>
      <c r="Q110" s="1206">
        <f t="shared" si="20"/>
        <v>10880150</v>
      </c>
      <c r="R110" s="1204" t="s">
        <v>251</v>
      </c>
      <c r="S110" s="1205" t="s">
        <v>251</v>
      </c>
      <c r="T110" s="1205" t="s">
        <v>251</v>
      </c>
      <c r="U110" s="1205"/>
      <c r="V110" s="1205"/>
      <c r="W110" s="1205"/>
      <c r="X110" s="1205"/>
      <c r="Y110" s="1205"/>
      <c r="Z110" s="1205"/>
      <c r="AA110" s="1205"/>
      <c r="AB110" s="1205"/>
      <c r="AC110" s="1205"/>
      <c r="AD110" s="1206">
        <f t="shared" si="19"/>
        <v>0</v>
      </c>
      <c r="AE110" s="84">
        <f t="shared" ref="AE110:AE126" si="22">IF(OR(AD110="",P110=""), 0, IFERROR((AD110-P110)/P110, IF(AD110&lt;&gt;0, 1, 0)))</f>
        <v>-1</v>
      </c>
      <c r="AF110" s="85">
        <f t="shared" si="21"/>
        <v>119</v>
      </c>
    </row>
    <row r="111" spans="1:32" x14ac:dyDescent="0.3">
      <c r="A111" s="55" t="s">
        <v>976</v>
      </c>
      <c r="B111" s="1203" t="s">
        <v>971</v>
      </c>
      <c r="C111" s="1204">
        <v>918480</v>
      </c>
      <c r="D111" s="1205">
        <v>0</v>
      </c>
      <c r="E111" s="1205">
        <v>0</v>
      </c>
      <c r="F111" s="1205">
        <v>0</v>
      </c>
      <c r="G111" s="1205">
        <v>629970</v>
      </c>
      <c r="H111" s="1205">
        <v>0</v>
      </c>
      <c r="I111" s="1205">
        <v>0</v>
      </c>
      <c r="J111" s="1205">
        <v>695990</v>
      </c>
      <c r="K111" s="1205">
        <v>260000</v>
      </c>
      <c r="L111" s="1205">
        <v>1115980</v>
      </c>
      <c r="M111" s="1205"/>
      <c r="N111" s="1205">
        <v>448080</v>
      </c>
      <c r="O111" s="1205">
        <v>400000</v>
      </c>
      <c r="P111" s="1502">
        <f t="shared" si="10"/>
        <v>1808450</v>
      </c>
      <c r="Q111" s="1206">
        <f t="shared" si="20"/>
        <v>4208500</v>
      </c>
      <c r="R111" s="1204" t="s">
        <v>251</v>
      </c>
      <c r="S111" s="1205" t="s">
        <v>251</v>
      </c>
      <c r="T111" s="1205" t="s">
        <v>251</v>
      </c>
      <c r="U111" s="1205"/>
      <c r="V111" s="1205"/>
      <c r="W111" s="1205"/>
      <c r="X111" s="1205"/>
      <c r="Y111" s="1205"/>
      <c r="Z111" s="1205"/>
      <c r="AA111" s="1205"/>
      <c r="AB111" s="1205"/>
      <c r="AC111" s="1205"/>
      <c r="AD111" s="1206">
        <f t="shared" si="19"/>
        <v>0</v>
      </c>
      <c r="AE111" s="84">
        <f t="shared" si="22"/>
        <v>-1</v>
      </c>
      <c r="AF111" s="85">
        <f t="shared" si="21"/>
        <v>119</v>
      </c>
    </row>
    <row r="112" spans="1:32" x14ac:dyDescent="0.3">
      <c r="A112" s="55" t="s">
        <v>976</v>
      </c>
      <c r="B112" s="1203" t="s">
        <v>978</v>
      </c>
      <c r="C112" s="1204">
        <v>0</v>
      </c>
      <c r="D112" s="1205">
        <v>0</v>
      </c>
      <c r="E112" s="1205">
        <v>0</v>
      </c>
      <c r="F112" s="1205">
        <v>0</v>
      </c>
      <c r="G112" s="1205">
        <v>231990</v>
      </c>
      <c r="H112" s="1205">
        <v>0</v>
      </c>
      <c r="I112" s="1205">
        <v>0</v>
      </c>
      <c r="J112" s="1205">
        <v>0</v>
      </c>
      <c r="K112" s="1205">
        <v>0</v>
      </c>
      <c r="L112" s="1205">
        <v>0</v>
      </c>
      <c r="M112" s="1205"/>
      <c r="N112" s="1205">
        <v>0</v>
      </c>
      <c r="O112" s="1205">
        <v>0</v>
      </c>
      <c r="P112" s="1502">
        <f t="shared" si="10"/>
        <v>231990</v>
      </c>
      <c r="Q112" s="1206">
        <f t="shared" si="20"/>
        <v>231990</v>
      </c>
      <c r="R112" s="1204" t="s">
        <v>251</v>
      </c>
      <c r="S112" s="1205" t="s">
        <v>251</v>
      </c>
      <c r="T112" s="1205" t="s">
        <v>251</v>
      </c>
      <c r="U112" s="1205"/>
      <c r="V112" s="1205"/>
      <c r="W112" s="1205"/>
      <c r="X112" s="1205"/>
      <c r="Y112" s="1205"/>
      <c r="Z112" s="1205"/>
      <c r="AA112" s="1205"/>
      <c r="AB112" s="1205"/>
      <c r="AC112" s="1205"/>
      <c r="AD112" s="1206">
        <f t="shared" si="19"/>
        <v>0</v>
      </c>
      <c r="AE112" s="84">
        <f t="shared" si="22"/>
        <v>-1</v>
      </c>
      <c r="AF112" s="85">
        <f t="shared" si="21"/>
        <v>119</v>
      </c>
    </row>
    <row r="113" spans="1:32" x14ac:dyDescent="0.3">
      <c r="A113" s="70" t="s">
        <v>972</v>
      </c>
      <c r="B113" s="1245" t="s">
        <v>972</v>
      </c>
      <c r="C113" s="1246">
        <v>8864460</v>
      </c>
      <c r="D113" s="1247">
        <v>3838400</v>
      </c>
      <c r="E113" s="1247">
        <v>545770</v>
      </c>
      <c r="F113" s="1247">
        <v>0</v>
      </c>
      <c r="G113" s="1247">
        <v>0</v>
      </c>
      <c r="H113" s="1247">
        <v>56000</v>
      </c>
      <c r="I113" s="1247">
        <v>1435670</v>
      </c>
      <c r="J113" s="1247">
        <v>2036220</v>
      </c>
      <c r="K113" s="1247">
        <v>1743230</v>
      </c>
      <c r="L113" s="1247">
        <v>0</v>
      </c>
      <c r="M113" s="1247"/>
      <c r="N113" s="1247">
        <v>0</v>
      </c>
      <c r="O113" s="1247">
        <v>8816000</v>
      </c>
      <c r="P113" s="1502">
        <f>SUM(C113:I113,K113)</f>
        <v>16483530</v>
      </c>
      <c r="Q113" s="1248">
        <f t="shared" si="20"/>
        <v>25592520</v>
      </c>
      <c r="R113" s="1246">
        <v>12518880</v>
      </c>
      <c r="S113" s="1247" t="s">
        <v>251</v>
      </c>
      <c r="T113" s="1247">
        <v>10454000</v>
      </c>
      <c r="U113" s="1247">
        <v>1336000</v>
      </c>
      <c r="V113" s="1247">
        <v>4799990</v>
      </c>
      <c r="W113" s="1247">
        <v>9649980</v>
      </c>
      <c r="X113" s="1247">
        <v>134460</v>
      </c>
      <c r="Y113" s="1247">
        <v>332480</v>
      </c>
      <c r="Z113" s="1247"/>
      <c r="AA113" s="1247"/>
      <c r="AB113" s="1247"/>
      <c r="AC113" s="1247"/>
      <c r="AD113" s="1248">
        <f t="shared" si="19"/>
        <v>39225790</v>
      </c>
      <c r="AE113" s="102">
        <f t="shared" si="22"/>
        <v>1.379695975315967</v>
      </c>
      <c r="AF113" s="103">
        <f t="shared" si="21"/>
        <v>2</v>
      </c>
    </row>
    <row r="114" spans="1:32" x14ac:dyDescent="0.3">
      <c r="A114" s="70" t="s">
        <v>972</v>
      </c>
      <c r="B114" s="1245" t="s">
        <v>977</v>
      </c>
      <c r="C114" s="1246">
        <v>4211400</v>
      </c>
      <c r="D114" s="1247">
        <v>0</v>
      </c>
      <c r="E114" s="1247">
        <v>0</v>
      </c>
      <c r="F114" s="1247">
        <v>0</v>
      </c>
      <c r="G114" s="1247">
        <v>0</v>
      </c>
      <c r="H114" s="1247">
        <v>0</v>
      </c>
      <c r="I114" s="1247">
        <v>0</v>
      </c>
      <c r="J114" s="1247">
        <v>0</v>
      </c>
      <c r="K114" s="1247">
        <v>0</v>
      </c>
      <c r="L114" s="1247">
        <v>0</v>
      </c>
      <c r="M114" s="1247"/>
      <c r="N114" s="1247">
        <v>0</v>
      </c>
      <c r="O114" s="1247">
        <v>0</v>
      </c>
      <c r="P114" s="1502">
        <f t="shared" si="10"/>
        <v>4211400</v>
      </c>
      <c r="Q114" s="1248">
        <f t="shared" si="20"/>
        <v>4211400</v>
      </c>
      <c r="R114" s="1246" t="s">
        <v>251</v>
      </c>
      <c r="S114" s="1247" t="s">
        <v>251</v>
      </c>
      <c r="T114" s="1247" t="s">
        <v>251</v>
      </c>
      <c r="U114" s="1247">
        <v>0</v>
      </c>
      <c r="V114" s="1247">
        <v>0</v>
      </c>
      <c r="W114" s="1247">
        <v>449990</v>
      </c>
      <c r="X114" s="1247">
        <v>110480</v>
      </c>
      <c r="Y114" s="1247">
        <v>0</v>
      </c>
      <c r="Z114" s="1247"/>
      <c r="AA114" s="1247"/>
      <c r="AB114" s="1247"/>
      <c r="AC114" s="1247"/>
      <c r="AD114" s="1248">
        <f>SUM(R114:AC114)</f>
        <v>560470</v>
      </c>
      <c r="AE114" s="102">
        <f t="shared" si="22"/>
        <v>-0.86691598993208907</v>
      </c>
      <c r="AF114" s="103">
        <f t="shared" si="21"/>
        <v>77</v>
      </c>
    </row>
    <row r="115" spans="1:32" x14ac:dyDescent="0.3">
      <c r="A115" s="71" t="s">
        <v>972</v>
      </c>
      <c r="B115" s="1245" t="s">
        <v>979</v>
      </c>
      <c r="C115" s="1246">
        <v>0</v>
      </c>
      <c r="D115" s="1247">
        <v>15000</v>
      </c>
      <c r="E115" s="1247">
        <v>2427400</v>
      </c>
      <c r="F115" s="1247">
        <v>0</v>
      </c>
      <c r="G115" s="1247">
        <v>0</v>
      </c>
      <c r="H115" s="1247">
        <v>0</v>
      </c>
      <c r="I115" s="1247">
        <v>0</v>
      </c>
      <c r="J115" s="1247">
        <v>0</v>
      </c>
      <c r="K115" s="1247">
        <v>0</v>
      </c>
      <c r="L115" s="1247">
        <v>0</v>
      </c>
      <c r="M115" s="1247"/>
      <c r="N115" s="1247">
        <v>0</v>
      </c>
      <c r="O115" s="1247">
        <v>0</v>
      </c>
      <c r="P115" s="1502">
        <f t="shared" si="10"/>
        <v>2442400</v>
      </c>
      <c r="Q115" s="1248">
        <f t="shared" si="20"/>
        <v>2442400</v>
      </c>
      <c r="R115" s="1246" t="s">
        <v>251</v>
      </c>
      <c r="S115" s="1247" t="s">
        <v>251</v>
      </c>
      <c r="T115" s="1247" t="s">
        <v>251</v>
      </c>
      <c r="U115" s="1247"/>
      <c r="V115" s="1247"/>
      <c r="W115" s="1247"/>
      <c r="X115" s="1247"/>
      <c r="Y115" s="1247"/>
      <c r="Z115" s="1247"/>
      <c r="AA115" s="1247"/>
      <c r="AB115" s="1247"/>
      <c r="AC115" s="1247"/>
      <c r="AD115" s="1248">
        <f t="shared" ref="AD115:AD131" si="23">SUM(R115:AC115)</f>
        <v>0</v>
      </c>
      <c r="AE115" s="102">
        <f t="shared" si="22"/>
        <v>-1</v>
      </c>
      <c r="AF115" s="103">
        <f t="shared" si="21"/>
        <v>119</v>
      </c>
    </row>
    <row r="116" spans="1:32" x14ac:dyDescent="0.3">
      <c r="A116" s="72" t="s">
        <v>980</v>
      </c>
      <c r="B116" s="1249" t="s">
        <v>956</v>
      </c>
      <c r="C116" s="1250">
        <v>0</v>
      </c>
      <c r="D116" s="1251">
        <v>0</v>
      </c>
      <c r="E116" s="1251">
        <v>832400</v>
      </c>
      <c r="F116" s="1251">
        <v>0</v>
      </c>
      <c r="G116" s="1251">
        <v>0</v>
      </c>
      <c r="H116" s="1251">
        <v>0</v>
      </c>
      <c r="I116" s="1251">
        <v>0</v>
      </c>
      <c r="J116" s="1251">
        <v>0</v>
      </c>
      <c r="K116" s="1251">
        <v>0</v>
      </c>
      <c r="L116" s="1251">
        <v>0</v>
      </c>
      <c r="M116" s="1251"/>
      <c r="N116" s="1251">
        <v>0</v>
      </c>
      <c r="O116" s="1251">
        <v>0</v>
      </c>
      <c r="P116" s="1502">
        <f t="shared" si="10"/>
        <v>832400</v>
      </c>
      <c r="Q116" s="1252">
        <f t="shared" si="20"/>
        <v>832400</v>
      </c>
      <c r="R116" s="1250" t="s">
        <v>251</v>
      </c>
      <c r="S116" s="1251" t="s">
        <v>251</v>
      </c>
      <c r="T116" s="1251" t="s">
        <v>251</v>
      </c>
      <c r="U116" s="1251"/>
      <c r="V116" s="1251"/>
      <c r="W116" s="1251"/>
      <c r="X116" s="1251"/>
      <c r="Y116" s="1251"/>
      <c r="Z116" s="1251"/>
      <c r="AA116" s="1251"/>
      <c r="AB116" s="1251"/>
      <c r="AC116" s="1251"/>
      <c r="AD116" s="1252">
        <f t="shared" si="23"/>
        <v>0</v>
      </c>
      <c r="AE116" s="104">
        <f t="shared" si="22"/>
        <v>-1</v>
      </c>
      <c r="AF116" s="105">
        <f t="shared" si="21"/>
        <v>119</v>
      </c>
    </row>
    <row r="117" spans="1:32" x14ac:dyDescent="0.3">
      <c r="A117" s="73" t="s">
        <v>980</v>
      </c>
      <c r="B117" s="1249" t="s">
        <v>980</v>
      </c>
      <c r="C117" s="1250">
        <v>0</v>
      </c>
      <c r="D117" s="1251">
        <v>564830</v>
      </c>
      <c r="E117" s="1251">
        <v>0</v>
      </c>
      <c r="F117" s="1251">
        <v>0</v>
      </c>
      <c r="G117" s="1251">
        <v>0</v>
      </c>
      <c r="H117" s="1251">
        <v>0</v>
      </c>
      <c r="I117" s="1251">
        <v>0</v>
      </c>
      <c r="J117" s="1251">
        <v>0</v>
      </c>
      <c r="K117" s="1251">
        <v>0</v>
      </c>
      <c r="L117" s="1251">
        <v>0</v>
      </c>
      <c r="M117" s="1251"/>
      <c r="N117" s="1251">
        <v>0</v>
      </c>
      <c r="O117" s="1251">
        <v>0</v>
      </c>
      <c r="P117" s="1502">
        <f t="shared" si="10"/>
        <v>564830</v>
      </c>
      <c r="Q117" s="1252">
        <f t="shared" si="20"/>
        <v>564830</v>
      </c>
      <c r="R117" s="1250" t="s">
        <v>251</v>
      </c>
      <c r="S117" s="1251" t="s">
        <v>251</v>
      </c>
      <c r="T117" s="1251" t="s">
        <v>251</v>
      </c>
      <c r="U117" s="1251"/>
      <c r="V117" s="1251"/>
      <c r="W117" s="1251"/>
      <c r="X117" s="1251"/>
      <c r="Y117" s="1251"/>
      <c r="Z117" s="1251"/>
      <c r="AA117" s="1251"/>
      <c r="AB117" s="1251"/>
      <c r="AC117" s="1251"/>
      <c r="AD117" s="1252">
        <f t="shared" si="23"/>
        <v>0</v>
      </c>
      <c r="AE117" s="104">
        <f t="shared" si="22"/>
        <v>-1</v>
      </c>
      <c r="AF117" s="105">
        <f>IFERROR(_xlfn.RANK.EQ(AD117, $AD$2:$AD$288), "")</f>
        <v>119</v>
      </c>
    </row>
    <row r="118" spans="1:32" x14ac:dyDescent="0.3">
      <c r="A118" s="74" t="s">
        <v>981</v>
      </c>
      <c r="B118" s="1253" t="s">
        <v>982</v>
      </c>
      <c r="C118" s="1254">
        <v>0</v>
      </c>
      <c r="D118" s="1255">
        <v>0</v>
      </c>
      <c r="E118" s="1255">
        <v>174930</v>
      </c>
      <c r="F118" s="1255">
        <v>705700</v>
      </c>
      <c r="G118" s="1255">
        <v>352060</v>
      </c>
      <c r="H118" s="1255">
        <v>0</v>
      </c>
      <c r="I118" s="1255">
        <v>687090</v>
      </c>
      <c r="J118" s="1255">
        <v>398030</v>
      </c>
      <c r="K118" s="1255">
        <v>398030</v>
      </c>
      <c r="L118" s="1255">
        <v>0</v>
      </c>
      <c r="M118" s="1255"/>
      <c r="N118" s="1255">
        <v>0</v>
      </c>
      <c r="O118" s="1255">
        <v>577520</v>
      </c>
      <c r="P118" s="1502">
        <f t="shared" si="10"/>
        <v>2317810</v>
      </c>
      <c r="Q118" s="1256">
        <f t="shared" si="20"/>
        <v>2895330</v>
      </c>
      <c r="R118" s="1254" t="s">
        <v>251</v>
      </c>
      <c r="S118" s="1255" t="s">
        <v>251</v>
      </c>
      <c r="T118" s="1255" t="s">
        <v>251</v>
      </c>
      <c r="U118" s="1255"/>
      <c r="V118" s="1255">
        <v>290000</v>
      </c>
      <c r="W118" s="1255">
        <v>0</v>
      </c>
      <c r="X118" s="1255">
        <v>269640</v>
      </c>
      <c r="Y118" s="1255">
        <v>0</v>
      </c>
      <c r="Z118" s="1255"/>
      <c r="AA118" s="1255"/>
      <c r="AB118" s="1255"/>
      <c r="AC118" s="1255"/>
      <c r="AD118" s="1256">
        <f t="shared" si="23"/>
        <v>559640</v>
      </c>
      <c r="AE118" s="106">
        <f t="shared" si="22"/>
        <v>-0.75854793964992817</v>
      </c>
      <c r="AF118" s="107">
        <f t="shared" ref="AF118:AF135" si="24">IFERROR(_xlfn.RANK.EQ(AD118, $AD$2:$AD$288), "")</f>
        <v>78</v>
      </c>
    </row>
    <row r="119" spans="1:32" x14ac:dyDescent="0.3">
      <c r="A119" s="75" t="s">
        <v>981</v>
      </c>
      <c r="B119" s="1253" t="s">
        <v>918</v>
      </c>
      <c r="C119" s="1254">
        <v>0</v>
      </c>
      <c r="D119" s="1255">
        <v>0</v>
      </c>
      <c r="E119" s="1255">
        <v>311940</v>
      </c>
      <c r="F119" s="1255">
        <v>153030</v>
      </c>
      <c r="G119" s="1255">
        <v>322000</v>
      </c>
      <c r="H119" s="1255">
        <v>0</v>
      </c>
      <c r="I119" s="1255">
        <v>0</v>
      </c>
      <c r="J119" s="1255">
        <v>0</v>
      </c>
      <c r="K119" s="1255">
        <v>0</v>
      </c>
      <c r="L119" s="1255">
        <v>152930</v>
      </c>
      <c r="M119" s="1255"/>
      <c r="N119" s="1255">
        <v>0</v>
      </c>
      <c r="O119" s="1255">
        <v>0</v>
      </c>
      <c r="P119" s="1502">
        <f t="shared" si="10"/>
        <v>786970</v>
      </c>
      <c r="Q119" s="1256">
        <f>SUM(C119:J119,L119:O119)</f>
        <v>939900</v>
      </c>
      <c r="R119" s="1254" t="s">
        <v>251</v>
      </c>
      <c r="S119" s="1255" t="s">
        <v>251</v>
      </c>
      <c r="T119" s="1255" t="s">
        <v>251</v>
      </c>
      <c r="U119" s="1255"/>
      <c r="V119" s="1255"/>
      <c r="W119" s="1255"/>
      <c r="X119" s="1255"/>
      <c r="Y119" s="1255"/>
      <c r="Z119" s="1255"/>
      <c r="AA119" s="1255"/>
      <c r="AB119" s="1255"/>
      <c r="AC119" s="1255"/>
      <c r="AD119" s="1256">
        <f t="shared" si="23"/>
        <v>0</v>
      </c>
      <c r="AE119" s="106">
        <f t="shared" si="22"/>
        <v>-1</v>
      </c>
      <c r="AF119" s="107">
        <f t="shared" si="24"/>
        <v>119</v>
      </c>
    </row>
    <row r="120" spans="1:32" x14ac:dyDescent="0.3">
      <c r="A120" s="75" t="s">
        <v>981</v>
      </c>
      <c r="B120" s="1253" t="s">
        <v>983</v>
      </c>
      <c r="C120" s="1254">
        <v>0</v>
      </c>
      <c r="D120" s="1255">
        <v>198400</v>
      </c>
      <c r="E120" s="1255">
        <v>0</v>
      </c>
      <c r="F120" s="1255">
        <v>0</v>
      </c>
      <c r="G120" s="1255">
        <v>0</v>
      </c>
      <c r="H120" s="1255">
        <v>0</v>
      </c>
      <c r="I120" s="1255">
        <v>0</v>
      </c>
      <c r="J120" s="1255">
        <v>0</v>
      </c>
      <c r="K120" s="1255">
        <v>0</v>
      </c>
      <c r="L120" s="1255">
        <v>0</v>
      </c>
      <c r="M120" s="1255"/>
      <c r="N120" s="1255">
        <v>0</v>
      </c>
      <c r="O120" s="1255">
        <v>0</v>
      </c>
      <c r="P120" s="1502">
        <f t="shared" si="10"/>
        <v>198400</v>
      </c>
      <c r="Q120" s="1256">
        <f t="shared" ref="Q120:Q138" si="25">SUM(C120:J120,L120:O120)</f>
        <v>198400</v>
      </c>
      <c r="R120" s="1254" t="s">
        <v>251</v>
      </c>
      <c r="S120" s="1255" t="s">
        <v>251</v>
      </c>
      <c r="T120" s="1255" t="s">
        <v>251</v>
      </c>
      <c r="U120" s="1255"/>
      <c r="V120" s="1255"/>
      <c r="W120" s="1255"/>
      <c r="X120" s="1255"/>
      <c r="Y120" s="1255"/>
      <c r="Z120" s="1255"/>
      <c r="AA120" s="1255"/>
      <c r="AB120" s="1255"/>
      <c r="AC120" s="1255"/>
      <c r="AD120" s="1256">
        <f t="shared" si="23"/>
        <v>0</v>
      </c>
      <c r="AE120" s="106">
        <f t="shared" si="22"/>
        <v>-1</v>
      </c>
      <c r="AF120" s="107">
        <f t="shared" si="24"/>
        <v>119</v>
      </c>
    </row>
    <row r="121" spans="1:32" x14ac:dyDescent="0.3">
      <c r="A121" s="75" t="s">
        <v>981</v>
      </c>
      <c r="B121" s="1253" t="s">
        <v>2450</v>
      </c>
      <c r="C121" s="1254"/>
      <c r="D121" s="1255"/>
      <c r="E121" s="1255"/>
      <c r="F121" s="1255"/>
      <c r="G121" s="1255"/>
      <c r="H121" s="1255"/>
      <c r="I121" s="1255"/>
      <c r="J121" s="1255">
        <v>902000</v>
      </c>
      <c r="K121" s="1255">
        <v>902000</v>
      </c>
      <c r="L121" s="1255">
        <v>0</v>
      </c>
      <c r="M121" s="1255"/>
      <c r="N121" s="1255">
        <v>0</v>
      </c>
      <c r="O121" s="1255">
        <v>0</v>
      </c>
      <c r="P121" s="1502">
        <f t="shared" si="10"/>
        <v>902000</v>
      </c>
      <c r="Q121" s="1256">
        <f t="shared" si="25"/>
        <v>902000</v>
      </c>
      <c r="R121" s="1254" t="s">
        <v>251</v>
      </c>
      <c r="S121" s="1255" t="s">
        <v>251</v>
      </c>
      <c r="T121" s="1255" t="s">
        <v>251</v>
      </c>
      <c r="U121" s="1255"/>
      <c r="V121" s="1255"/>
      <c r="W121" s="1255"/>
      <c r="X121" s="1255"/>
      <c r="Y121" s="1255"/>
      <c r="Z121" s="1255"/>
      <c r="AA121" s="1255"/>
      <c r="AB121" s="1255"/>
      <c r="AC121" s="1255"/>
      <c r="AD121" s="1256">
        <f t="shared" si="23"/>
        <v>0</v>
      </c>
      <c r="AE121" s="106">
        <f t="shared" si="22"/>
        <v>-1</v>
      </c>
      <c r="AF121" s="107">
        <f t="shared" si="24"/>
        <v>119</v>
      </c>
    </row>
    <row r="122" spans="1:32" x14ac:dyDescent="0.3">
      <c r="A122" s="76" t="s">
        <v>984</v>
      </c>
      <c r="B122" s="1257" t="s">
        <v>985</v>
      </c>
      <c r="C122" s="803">
        <v>0</v>
      </c>
      <c r="D122" s="804">
        <v>0</v>
      </c>
      <c r="E122" s="804">
        <v>793280</v>
      </c>
      <c r="F122" s="804">
        <v>0</v>
      </c>
      <c r="G122" s="804">
        <v>0</v>
      </c>
      <c r="H122" s="804">
        <v>0</v>
      </c>
      <c r="I122" s="804">
        <v>0</v>
      </c>
      <c r="J122" s="804">
        <v>0</v>
      </c>
      <c r="K122" s="804">
        <v>0</v>
      </c>
      <c r="L122" s="804">
        <v>0</v>
      </c>
      <c r="M122" s="804"/>
      <c r="N122" s="804">
        <v>0</v>
      </c>
      <c r="O122" s="804">
        <v>0</v>
      </c>
      <c r="P122" s="1502">
        <f t="shared" si="10"/>
        <v>793280</v>
      </c>
      <c r="Q122" s="1258">
        <f t="shared" si="25"/>
        <v>793280</v>
      </c>
      <c r="R122" s="803" t="s">
        <v>251</v>
      </c>
      <c r="S122" s="804" t="s">
        <v>251</v>
      </c>
      <c r="T122" s="804" t="s">
        <v>251</v>
      </c>
      <c r="U122" s="804"/>
      <c r="V122" s="804"/>
      <c r="W122" s="804"/>
      <c r="X122" s="804"/>
      <c r="Y122" s="804"/>
      <c r="Z122" s="804"/>
      <c r="AA122" s="804"/>
      <c r="AB122" s="804"/>
      <c r="AC122" s="804"/>
      <c r="AD122" s="1258">
        <f t="shared" si="23"/>
        <v>0</v>
      </c>
      <c r="AE122" s="111">
        <f t="shared" si="22"/>
        <v>-1</v>
      </c>
      <c r="AF122" s="112">
        <f t="shared" si="24"/>
        <v>119</v>
      </c>
    </row>
    <row r="123" spans="1:32" x14ac:dyDescent="0.3">
      <c r="A123" s="76" t="s">
        <v>984</v>
      </c>
      <c r="B123" s="1257" t="s">
        <v>986</v>
      </c>
      <c r="C123" s="803">
        <v>0</v>
      </c>
      <c r="D123" s="804">
        <v>0</v>
      </c>
      <c r="E123" s="804">
        <v>633550</v>
      </c>
      <c r="F123" s="804">
        <v>0</v>
      </c>
      <c r="G123" s="804">
        <v>0</v>
      </c>
      <c r="H123" s="804">
        <v>0</v>
      </c>
      <c r="I123" s="804">
        <v>0</v>
      </c>
      <c r="J123" s="804">
        <v>0</v>
      </c>
      <c r="K123" s="804">
        <v>0</v>
      </c>
      <c r="L123" s="804">
        <v>0</v>
      </c>
      <c r="M123" s="804"/>
      <c r="N123" s="804">
        <v>0</v>
      </c>
      <c r="O123" s="804">
        <v>0</v>
      </c>
      <c r="P123" s="1502">
        <f t="shared" si="10"/>
        <v>633550</v>
      </c>
      <c r="Q123" s="1258">
        <f t="shared" si="25"/>
        <v>633550</v>
      </c>
      <c r="R123" s="803" t="s">
        <v>251</v>
      </c>
      <c r="S123" s="804" t="s">
        <v>251</v>
      </c>
      <c r="T123" s="804" t="s">
        <v>251</v>
      </c>
      <c r="U123" s="804"/>
      <c r="V123" s="804"/>
      <c r="W123" s="804"/>
      <c r="X123" s="804"/>
      <c r="Y123" s="804"/>
      <c r="Z123" s="804"/>
      <c r="AA123" s="804"/>
      <c r="AB123" s="804"/>
      <c r="AC123" s="804"/>
      <c r="AD123" s="1258">
        <f t="shared" si="23"/>
        <v>0</v>
      </c>
      <c r="AE123" s="111">
        <f t="shared" si="22"/>
        <v>-1</v>
      </c>
      <c r="AF123" s="112">
        <f t="shared" si="24"/>
        <v>119</v>
      </c>
    </row>
    <row r="124" spans="1:32" x14ac:dyDescent="0.3">
      <c r="A124" s="76" t="s">
        <v>984</v>
      </c>
      <c r="B124" s="1257" t="s">
        <v>987</v>
      </c>
      <c r="C124" s="803">
        <v>0</v>
      </c>
      <c r="D124" s="804">
        <v>0</v>
      </c>
      <c r="E124" s="804">
        <v>527410</v>
      </c>
      <c r="F124" s="804">
        <v>0</v>
      </c>
      <c r="G124" s="804">
        <v>0</v>
      </c>
      <c r="H124" s="804">
        <v>0</v>
      </c>
      <c r="I124" s="804">
        <v>0</v>
      </c>
      <c r="J124" s="804">
        <v>0</v>
      </c>
      <c r="K124" s="804">
        <v>0</v>
      </c>
      <c r="L124" s="804">
        <v>0</v>
      </c>
      <c r="M124" s="804"/>
      <c r="N124" s="804">
        <v>0</v>
      </c>
      <c r="O124" s="804">
        <v>0</v>
      </c>
      <c r="P124" s="1502">
        <f t="shared" si="10"/>
        <v>527410</v>
      </c>
      <c r="Q124" s="1258">
        <f t="shared" si="25"/>
        <v>527410</v>
      </c>
      <c r="R124" s="803" t="s">
        <v>251</v>
      </c>
      <c r="S124" s="804" t="s">
        <v>251</v>
      </c>
      <c r="T124" s="804" t="s">
        <v>251</v>
      </c>
      <c r="U124" s="804"/>
      <c r="V124" s="804"/>
      <c r="W124" s="804"/>
      <c r="X124" s="804"/>
      <c r="Y124" s="804"/>
      <c r="Z124" s="804"/>
      <c r="AA124" s="804"/>
      <c r="AB124" s="804"/>
      <c r="AC124" s="804"/>
      <c r="AD124" s="1258">
        <f t="shared" si="23"/>
        <v>0</v>
      </c>
      <c r="AE124" s="111">
        <f t="shared" si="22"/>
        <v>-1</v>
      </c>
      <c r="AF124" s="112">
        <f t="shared" si="24"/>
        <v>119</v>
      </c>
    </row>
    <row r="125" spans="1:32" x14ac:dyDescent="0.3">
      <c r="A125" s="76" t="s">
        <v>984</v>
      </c>
      <c r="B125" s="1257" t="s">
        <v>988</v>
      </c>
      <c r="C125" s="803">
        <v>0</v>
      </c>
      <c r="D125" s="804">
        <v>0</v>
      </c>
      <c r="E125" s="804">
        <v>377540</v>
      </c>
      <c r="F125" s="804">
        <v>0</v>
      </c>
      <c r="G125" s="804">
        <v>0</v>
      </c>
      <c r="H125" s="804">
        <v>0</v>
      </c>
      <c r="I125" s="804">
        <v>0</v>
      </c>
      <c r="J125" s="804">
        <v>0</v>
      </c>
      <c r="K125" s="804">
        <v>0</v>
      </c>
      <c r="L125" s="804">
        <v>0</v>
      </c>
      <c r="M125" s="804"/>
      <c r="N125" s="804">
        <v>0</v>
      </c>
      <c r="O125" s="804">
        <v>0</v>
      </c>
      <c r="P125" s="1502">
        <f t="shared" si="10"/>
        <v>377540</v>
      </c>
      <c r="Q125" s="1258">
        <f t="shared" si="25"/>
        <v>377540</v>
      </c>
      <c r="R125" s="803" t="s">
        <v>251</v>
      </c>
      <c r="S125" s="804" t="s">
        <v>251</v>
      </c>
      <c r="T125" s="804" t="s">
        <v>251</v>
      </c>
      <c r="U125" s="804"/>
      <c r="V125" s="804"/>
      <c r="W125" s="804"/>
      <c r="X125" s="804"/>
      <c r="Y125" s="804"/>
      <c r="Z125" s="804"/>
      <c r="AA125" s="804"/>
      <c r="AB125" s="804"/>
      <c r="AC125" s="804"/>
      <c r="AD125" s="1258">
        <f t="shared" si="23"/>
        <v>0</v>
      </c>
      <c r="AE125" s="111">
        <f t="shared" si="22"/>
        <v>-1</v>
      </c>
      <c r="AF125" s="112">
        <f t="shared" si="24"/>
        <v>119</v>
      </c>
    </row>
    <row r="126" spans="1:32" x14ac:dyDescent="0.3">
      <c r="A126" s="76" t="s">
        <v>984</v>
      </c>
      <c r="B126" s="1257" t="s">
        <v>989</v>
      </c>
      <c r="C126" s="803">
        <v>0</v>
      </c>
      <c r="D126" s="804">
        <v>0</v>
      </c>
      <c r="E126" s="804">
        <v>342320</v>
      </c>
      <c r="F126" s="804">
        <v>0</v>
      </c>
      <c r="G126" s="804">
        <v>0</v>
      </c>
      <c r="H126" s="804">
        <v>0</v>
      </c>
      <c r="I126" s="804">
        <v>0</v>
      </c>
      <c r="J126" s="804">
        <v>0</v>
      </c>
      <c r="K126" s="804">
        <v>0</v>
      </c>
      <c r="L126" s="804">
        <v>0</v>
      </c>
      <c r="M126" s="804"/>
      <c r="N126" s="804">
        <v>0</v>
      </c>
      <c r="O126" s="804">
        <v>0</v>
      </c>
      <c r="P126" s="1502">
        <f t="shared" si="10"/>
        <v>342320</v>
      </c>
      <c r="Q126" s="1258">
        <f t="shared" si="25"/>
        <v>342320</v>
      </c>
      <c r="R126" s="803" t="s">
        <v>251</v>
      </c>
      <c r="S126" s="804" t="s">
        <v>251</v>
      </c>
      <c r="T126" s="804" t="s">
        <v>251</v>
      </c>
      <c r="U126" s="804"/>
      <c r="V126" s="804"/>
      <c r="W126" s="804"/>
      <c r="X126" s="804"/>
      <c r="Y126" s="804"/>
      <c r="Z126" s="804"/>
      <c r="AA126" s="804"/>
      <c r="AB126" s="804"/>
      <c r="AC126" s="804"/>
      <c r="AD126" s="1258">
        <f t="shared" si="23"/>
        <v>0</v>
      </c>
      <c r="AE126" s="111">
        <f t="shared" si="22"/>
        <v>-1</v>
      </c>
      <c r="AF126" s="112">
        <f t="shared" si="24"/>
        <v>119</v>
      </c>
    </row>
    <row r="127" spans="1:32" x14ac:dyDescent="0.3">
      <c r="A127" s="77" t="s">
        <v>990</v>
      </c>
      <c r="B127" s="1259" t="s">
        <v>991</v>
      </c>
      <c r="C127" s="1260">
        <v>0</v>
      </c>
      <c r="D127" s="1261">
        <v>670230</v>
      </c>
      <c r="E127" s="1261">
        <v>0</v>
      </c>
      <c r="F127" s="1261">
        <v>0</v>
      </c>
      <c r="G127" s="1261">
        <v>0</v>
      </c>
      <c r="H127" s="1261">
        <v>0</v>
      </c>
      <c r="I127" s="1261">
        <v>0</v>
      </c>
      <c r="J127" s="1261">
        <v>0</v>
      </c>
      <c r="K127" s="1261">
        <v>0</v>
      </c>
      <c r="L127" s="1261">
        <v>0</v>
      </c>
      <c r="M127" s="1261"/>
      <c r="N127" s="1261">
        <v>0</v>
      </c>
      <c r="O127" s="1261">
        <v>0</v>
      </c>
      <c r="P127" s="1502">
        <f t="shared" si="10"/>
        <v>670230</v>
      </c>
      <c r="Q127" s="1262">
        <f t="shared" si="25"/>
        <v>670230</v>
      </c>
      <c r="R127" s="1260" t="s">
        <v>251</v>
      </c>
      <c r="S127" s="1261" t="s">
        <v>251</v>
      </c>
      <c r="T127" s="1261" t="s">
        <v>251</v>
      </c>
      <c r="U127" s="1261"/>
      <c r="V127" s="1261"/>
      <c r="W127" s="1261"/>
      <c r="X127" s="1261"/>
      <c r="Y127" s="1261"/>
      <c r="Z127" s="1261"/>
      <c r="AA127" s="1261"/>
      <c r="AB127" s="1261"/>
      <c r="AC127" s="1261"/>
      <c r="AD127" s="1262">
        <f t="shared" si="23"/>
        <v>0</v>
      </c>
      <c r="AE127" s="113">
        <f>IF(OR(AD127="",P127=""), 0, IFERROR((AD127-P127)/P127, IF(AD127&lt;&gt;0, 1, 0)))</f>
        <v>-1</v>
      </c>
      <c r="AF127" s="114">
        <f t="shared" si="24"/>
        <v>119</v>
      </c>
    </row>
    <row r="128" spans="1:32" x14ac:dyDescent="0.3">
      <c r="A128" s="77" t="s">
        <v>990</v>
      </c>
      <c r="B128" s="1259" t="s">
        <v>1022</v>
      </c>
      <c r="C128" s="1260"/>
      <c r="D128" s="1261"/>
      <c r="E128" s="1261"/>
      <c r="F128" s="1261"/>
      <c r="G128" s="1261"/>
      <c r="H128" s="1261"/>
      <c r="I128" s="1261">
        <v>1376540</v>
      </c>
      <c r="J128" s="1261">
        <v>152330</v>
      </c>
      <c r="K128" s="1261">
        <v>152330</v>
      </c>
      <c r="L128" s="1261">
        <v>0</v>
      </c>
      <c r="M128" s="1261"/>
      <c r="N128" s="1261">
        <v>0</v>
      </c>
      <c r="O128" s="1261">
        <v>0</v>
      </c>
      <c r="P128" s="1502">
        <f t="shared" si="10"/>
        <v>1528870</v>
      </c>
      <c r="Q128" s="1262">
        <f t="shared" si="25"/>
        <v>1528870</v>
      </c>
      <c r="R128" s="1260">
        <v>1192100</v>
      </c>
      <c r="S128" s="1261" t="s">
        <v>251</v>
      </c>
      <c r="T128" s="1261">
        <v>165990</v>
      </c>
      <c r="U128" s="1261">
        <v>0</v>
      </c>
      <c r="V128" s="1261">
        <v>0</v>
      </c>
      <c r="W128" s="1261">
        <v>0</v>
      </c>
      <c r="X128" s="1261">
        <v>0</v>
      </c>
      <c r="Y128" s="1261">
        <v>1697980</v>
      </c>
      <c r="Z128" s="1261"/>
      <c r="AA128" s="1261"/>
      <c r="AB128" s="1261"/>
      <c r="AC128" s="1261"/>
      <c r="AD128" s="1262">
        <f t="shared" si="23"/>
        <v>3056070</v>
      </c>
      <c r="AE128" s="113">
        <f t="shared" ref="AE128:AE148" si="26">IF(OR(AD128="",P128=""), 0, IFERROR((AD128-P128)/P128, IF(AD128&lt;&gt;0, 1, 0)))</f>
        <v>0.99890768999326296</v>
      </c>
      <c r="AF128" s="114">
        <f t="shared" si="24"/>
        <v>43</v>
      </c>
    </row>
    <row r="129" spans="1:32" x14ac:dyDescent="0.3">
      <c r="A129" s="1263" t="s">
        <v>992</v>
      </c>
      <c r="B129" s="1264" t="s">
        <v>992</v>
      </c>
      <c r="C129" s="768">
        <v>0</v>
      </c>
      <c r="D129" s="769">
        <v>1190230</v>
      </c>
      <c r="E129" s="769">
        <v>961350</v>
      </c>
      <c r="F129" s="769">
        <v>0</v>
      </c>
      <c r="G129" s="769">
        <v>0</v>
      </c>
      <c r="H129" s="769">
        <v>0</v>
      </c>
      <c r="I129" s="769">
        <v>0</v>
      </c>
      <c r="J129" s="769">
        <v>0</v>
      </c>
      <c r="K129" s="769">
        <v>0</v>
      </c>
      <c r="L129" s="769">
        <v>0</v>
      </c>
      <c r="M129" s="769"/>
      <c r="N129" s="769">
        <v>0</v>
      </c>
      <c r="O129" s="769">
        <v>0</v>
      </c>
      <c r="P129" s="1502">
        <f t="shared" si="10"/>
        <v>2151580</v>
      </c>
      <c r="Q129" s="1265">
        <f t="shared" si="25"/>
        <v>2151580</v>
      </c>
      <c r="R129" s="768" t="s">
        <v>251</v>
      </c>
      <c r="S129" s="769" t="s">
        <v>251</v>
      </c>
      <c r="T129" s="769" t="s">
        <v>251</v>
      </c>
      <c r="U129" s="769"/>
      <c r="V129" s="769"/>
      <c r="W129" s="769"/>
      <c r="X129" s="769"/>
      <c r="Y129" s="769"/>
      <c r="Z129" s="769"/>
      <c r="AA129" s="769"/>
      <c r="AB129" s="769"/>
      <c r="AC129" s="769"/>
      <c r="AD129" s="1265">
        <f t="shared" si="23"/>
        <v>0</v>
      </c>
      <c r="AE129" s="1164">
        <f t="shared" si="26"/>
        <v>-1</v>
      </c>
      <c r="AF129" s="1266">
        <f t="shared" si="24"/>
        <v>119</v>
      </c>
    </row>
    <row r="130" spans="1:32" x14ac:dyDescent="0.3">
      <c r="A130" s="1263" t="s">
        <v>992</v>
      </c>
      <c r="B130" s="1264" t="s">
        <v>993</v>
      </c>
      <c r="C130" s="768" t="s">
        <v>251</v>
      </c>
      <c r="D130" s="769" t="s">
        <v>251</v>
      </c>
      <c r="E130" s="769" t="s">
        <v>251</v>
      </c>
      <c r="F130" s="769" t="s">
        <v>251</v>
      </c>
      <c r="G130" s="769" t="s">
        <v>251</v>
      </c>
      <c r="H130" s="769" t="s">
        <v>251</v>
      </c>
      <c r="I130" s="769" t="s">
        <v>251</v>
      </c>
      <c r="J130" s="769" t="s">
        <v>251</v>
      </c>
      <c r="K130" s="769"/>
      <c r="L130" s="769" t="s">
        <v>251</v>
      </c>
      <c r="M130" s="769"/>
      <c r="N130" s="769" t="s">
        <v>251</v>
      </c>
      <c r="O130" s="769" t="s">
        <v>251</v>
      </c>
      <c r="P130" s="1502">
        <f t="shared" si="10"/>
        <v>0</v>
      </c>
      <c r="Q130" s="1265">
        <f t="shared" si="25"/>
        <v>0</v>
      </c>
      <c r="R130" s="768" t="s">
        <v>251</v>
      </c>
      <c r="S130" s="769" t="s">
        <v>251</v>
      </c>
      <c r="T130" s="769" t="s">
        <v>251</v>
      </c>
      <c r="U130" s="769"/>
      <c r="V130" s="769"/>
      <c r="W130" s="769"/>
      <c r="X130" s="769"/>
      <c r="Y130" s="769"/>
      <c r="Z130" s="769"/>
      <c r="AA130" s="769"/>
      <c r="AB130" s="769"/>
      <c r="AC130" s="769"/>
      <c r="AD130" s="1265">
        <f t="shared" si="23"/>
        <v>0</v>
      </c>
      <c r="AE130" s="1164">
        <f t="shared" si="26"/>
        <v>0</v>
      </c>
      <c r="AF130" s="1266">
        <f t="shared" si="24"/>
        <v>119</v>
      </c>
    </row>
    <row r="131" spans="1:32" x14ac:dyDescent="0.3">
      <c r="A131" s="1263" t="s">
        <v>992</v>
      </c>
      <c r="B131" s="1264" t="s">
        <v>994</v>
      </c>
      <c r="C131" s="768" t="s">
        <v>251</v>
      </c>
      <c r="D131" s="769" t="s">
        <v>251</v>
      </c>
      <c r="E131" s="769" t="s">
        <v>251</v>
      </c>
      <c r="F131" s="769" t="s">
        <v>251</v>
      </c>
      <c r="G131" s="769" t="s">
        <v>251</v>
      </c>
      <c r="H131" s="769" t="s">
        <v>251</v>
      </c>
      <c r="I131" s="769" t="s">
        <v>251</v>
      </c>
      <c r="J131" s="769" t="s">
        <v>251</v>
      </c>
      <c r="K131" s="769"/>
      <c r="L131" s="769" t="s">
        <v>251</v>
      </c>
      <c r="M131" s="769"/>
      <c r="N131" s="769" t="s">
        <v>251</v>
      </c>
      <c r="O131" s="769" t="s">
        <v>251</v>
      </c>
      <c r="P131" s="1502">
        <f t="shared" si="10"/>
        <v>0</v>
      </c>
      <c r="Q131" s="1265">
        <f t="shared" si="25"/>
        <v>0</v>
      </c>
      <c r="R131" s="768" t="s">
        <v>251</v>
      </c>
      <c r="S131" s="769" t="s">
        <v>251</v>
      </c>
      <c r="T131" s="769" t="s">
        <v>251</v>
      </c>
      <c r="U131" s="769"/>
      <c r="V131" s="769"/>
      <c r="W131" s="769"/>
      <c r="X131" s="769"/>
      <c r="Y131" s="769"/>
      <c r="Z131" s="769"/>
      <c r="AA131" s="769"/>
      <c r="AB131" s="769"/>
      <c r="AC131" s="769"/>
      <c r="AD131" s="1265">
        <f t="shared" si="23"/>
        <v>0</v>
      </c>
      <c r="AE131" s="1164">
        <f t="shared" si="26"/>
        <v>0</v>
      </c>
      <c r="AF131" s="1266">
        <f t="shared" si="24"/>
        <v>119</v>
      </c>
    </row>
    <row r="132" spans="1:32" x14ac:dyDescent="0.3">
      <c r="A132" s="1312" t="s">
        <v>2448</v>
      </c>
      <c r="B132" s="1313" t="s">
        <v>2447</v>
      </c>
      <c r="C132" s="1314"/>
      <c r="D132" s="1315"/>
      <c r="E132" s="1315"/>
      <c r="F132" s="1315"/>
      <c r="G132" s="1315"/>
      <c r="H132" s="1315"/>
      <c r="I132" s="1315">
        <v>377200</v>
      </c>
      <c r="J132" s="1315">
        <v>0</v>
      </c>
      <c r="K132" s="1315">
        <v>0</v>
      </c>
      <c r="L132" s="1315">
        <v>0</v>
      </c>
      <c r="M132" s="1315"/>
      <c r="N132" s="1315">
        <v>0</v>
      </c>
      <c r="O132" s="1315">
        <v>0</v>
      </c>
      <c r="P132" s="1502">
        <f t="shared" si="10"/>
        <v>377200</v>
      </c>
      <c r="Q132" s="1316">
        <f t="shared" si="25"/>
        <v>377200</v>
      </c>
      <c r="R132" s="1314" t="s">
        <v>251</v>
      </c>
      <c r="S132" s="1315" t="s">
        <v>251</v>
      </c>
      <c r="T132" s="1315" t="s">
        <v>251</v>
      </c>
      <c r="U132" s="1315"/>
      <c r="V132" s="1315"/>
      <c r="W132" s="1315"/>
      <c r="X132" s="1315"/>
      <c r="Y132" s="1315">
        <v>0</v>
      </c>
      <c r="Z132" s="1315"/>
      <c r="AA132" s="1315"/>
      <c r="AB132" s="1315"/>
      <c r="AC132" s="1315"/>
      <c r="AD132" s="1316">
        <f>SUM(R132:AC132)</f>
        <v>0</v>
      </c>
      <c r="AE132" s="1317">
        <f t="shared" si="26"/>
        <v>-1</v>
      </c>
      <c r="AF132" s="1318">
        <f t="shared" si="24"/>
        <v>119</v>
      </c>
    </row>
    <row r="133" spans="1:32" x14ac:dyDescent="0.3">
      <c r="A133" s="1312" t="s">
        <v>2448</v>
      </c>
      <c r="B133" s="1313" t="s">
        <v>1396</v>
      </c>
      <c r="C133" s="1314"/>
      <c r="D133" s="1315"/>
      <c r="E133" s="1315"/>
      <c r="F133" s="1315"/>
      <c r="G133" s="1315"/>
      <c r="H133" s="1315"/>
      <c r="I133" s="1315"/>
      <c r="J133" s="1315">
        <v>635320</v>
      </c>
      <c r="K133" s="1315">
        <v>635320</v>
      </c>
      <c r="L133" s="1315">
        <v>67050</v>
      </c>
      <c r="M133" s="1315"/>
      <c r="N133" s="1315">
        <v>0</v>
      </c>
      <c r="O133" s="1315">
        <v>0</v>
      </c>
      <c r="P133" s="1502">
        <f t="shared" si="10"/>
        <v>635320</v>
      </c>
      <c r="Q133" s="1316">
        <f t="shared" si="25"/>
        <v>702370</v>
      </c>
      <c r="R133" s="1314" t="s">
        <v>251</v>
      </c>
      <c r="S133" s="1315" t="s">
        <v>251</v>
      </c>
      <c r="T133" s="1315">
        <v>0</v>
      </c>
      <c r="U133" s="1315">
        <v>0</v>
      </c>
      <c r="V133" s="1315">
        <v>0</v>
      </c>
      <c r="W133" s="1315">
        <v>0</v>
      </c>
      <c r="X133" s="1315">
        <v>0</v>
      </c>
      <c r="Y133" s="1315">
        <v>0</v>
      </c>
      <c r="Z133" s="1315"/>
      <c r="AA133" s="1315"/>
      <c r="AB133" s="1315"/>
      <c r="AC133" s="1315"/>
      <c r="AD133" s="1316">
        <f t="shared" ref="AD133:AD134" si="27">SUM(R133:AC133)</f>
        <v>0</v>
      </c>
      <c r="AE133" s="1317">
        <f t="shared" si="26"/>
        <v>-1</v>
      </c>
      <c r="AF133" s="1318">
        <f t="shared" si="24"/>
        <v>119</v>
      </c>
    </row>
    <row r="134" spans="1:32" x14ac:dyDescent="0.3">
      <c r="A134" s="1312" t="s">
        <v>2448</v>
      </c>
      <c r="B134" s="1313" t="s">
        <v>2444</v>
      </c>
      <c r="C134" s="1314"/>
      <c r="D134" s="1315"/>
      <c r="E134" s="1315"/>
      <c r="F134" s="1315"/>
      <c r="G134" s="1315"/>
      <c r="H134" s="1315"/>
      <c r="I134" s="1315"/>
      <c r="J134" s="1315"/>
      <c r="K134" s="1315"/>
      <c r="L134" s="1315"/>
      <c r="M134" s="1315"/>
      <c r="N134" s="1315"/>
      <c r="O134" s="1315"/>
      <c r="P134" s="1502">
        <f t="shared" ref="P134:P201" si="28">SUM(C134:I134,K134)</f>
        <v>0</v>
      </c>
      <c r="Q134" s="1316">
        <f t="shared" si="25"/>
        <v>0</v>
      </c>
      <c r="R134" s="1314"/>
      <c r="S134" s="1315"/>
      <c r="T134" s="1315"/>
      <c r="U134" s="1315"/>
      <c r="V134" s="1315"/>
      <c r="W134" s="1315">
        <v>276150</v>
      </c>
      <c r="X134" s="1315">
        <v>424650</v>
      </c>
      <c r="Y134" s="1315">
        <v>0</v>
      </c>
      <c r="Z134" s="1315"/>
      <c r="AA134" s="1315"/>
      <c r="AB134" s="1315"/>
      <c r="AC134" s="1315"/>
      <c r="AD134" s="1316">
        <f t="shared" si="27"/>
        <v>700800</v>
      </c>
      <c r="AE134" s="1317">
        <f t="shared" si="26"/>
        <v>1</v>
      </c>
      <c r="AF134" s="1318">
        <f t="shared" si="24"/>
        <v>73</v>
      </c>
    </row>
    <row r="135" spans="1:32" x14ac:dyDescent="0.3">
      <c r="A135" s="1319" t="s">
        <v>1448</v>
      </c>
      <c r="B135" s="1320" t="s">
        <v>2447</v>
      </c>
      <c r="C135" s="1321"/>
      <c r="D135" s="1322"/>
      <c r="E135" s="1322"/>
      <c r="F135" s="1322"/>
      <c r="G135" s="1322"/>
      <c r="H135" s="1322"/>
      <c r="I135" s="1322">
        <v>22690</v>
      </c>
      <c r="J135" s="1322">
        <v>0</v>
      </c>
      <c r="K135" s="1322">
        <v>0</v>
      </c>
      <c r="L135" s="1322">
        <v>0</v>
      </c>
      <c r="M135" s="1322"/>
      <c r="N135" s="1322">
        <v>0</v>
      </c>
      <c r="O135" s="1322">
        <v>0</v>
      </c>
      <c r="P135" s="1502">
        <f t="shared" si="28"/>
        <v>22690</v>
      </c>
      <c r="Q135" s="1323">
        <f t="shared" si="25"/>
        <v>22690</v>
      </c>
      <c r="R135" s="1321" t="s">
        <v>251</v>
      </c>
      <c r="S135" s="1322" t="s">
        <v>251</v>
      </c>
      <c r="T135" s="1322" t="s">
        <v>251</v>
      </c>
      <c r="U135" s="1322"/>
      <c r="V135" s="1322"/>
      <c r="W135" s="1322"/>
      <c r="X135" s="1322">
        <v>409980</v>
      </c>
      <c r="Y135" s="1322">
        <v>0</v>
      </c>
      <c r="Z135" s="1322"/>
      <c r="AA135" s="1322"/>
      <c r="AB135" s="1322"/>
      <c r="AC135" s="1322"/>
      <c r="AD135" s="1323">
        <f t="shared" ref="AD135:AD153" si="29">SUM(R135:AC135)</f>
        <v>409980</v>
      </c>
      <c r="AE135" s="1324">
        <f t="shared" si="26"/>
        <v>17.068752754517408</v>
      </c>
      <c r="AF135" s="1325">
        <f t="shared" si="24"/>
        <v>92</v>
      </c>
    </row>
    <row r="136" spans="1:32" x14ac:dyDescent="0.3">
      <c r="A136" s="1319" t="s">
        <v>1448</v>
      </c>
      <c r="B136" s="1320" t="s">
        <v>1396</v>
      </c>
      <c r="C136" s="1321"/>
      <c r="D136" s="1322"/>
      <c r="E136" s="1322"/>
      <c r="F136" s="1322"/>
      <c r="G136" s="1322"/>
      <c r="H136" s="1322"/>
      <c r="I136" s="1322"/>
      <c r="J136" s="1322"/>
      <c r="K136" s="1322"/>
      <c r="L136" s="1322"/>
      <c r="M136" s="1322"/>
      <c r="N136" s="1322"/>
      <c r="O136" s="1322"/>
      <c r="P136" s="1502">
        <f t="shared" si="28"/>
        <v>0</v>
      </c>
      <c r="Q136" s="1323">
        <f t="shared" si="25"/>
        <v>0</v>
      </c>
      <c r="R136" s="1321"/>
      <c r="S136" s="1322">
        <v>393980</v>
      </c>
      <c r="T136" s="1322">
        <v>0</v>
      </c>
      <c r="U136" s="1322">
        <v>0</v>
      </c>
      <c r="V136" s="1322">
        <v>0</v>
      </c>
      <c r="W136" s="1322">
        <v>0</v>
      </c>
      <c r="X136" s="1322">
        <v>0</v>
      </c>
      <c r="Y136" s="1322">
        <v>1064550</v>
      </c>
      <c r="Z136" s="1322"/>
      <c r="AA136" s="1322"/>
      <c r="AB136" s="1322"/>
      <c r="AC136" s="1322"/>
      <c r="AD136" s="1323">
        <f t="shared" si="29"/>
        <v>1458530</v>
      </c>
      <c r="AE136" s="1324">
        <f t="shared" si="26"/>
        <v>1</v>
      </c>
      <c r="AF136" s="1325">
        <f>IFERROR(_xlfn.RANK.EQ(AD136, $AD$2:$AD$288), "")</f>
        <v>60</v>
      </c>
    </row>
    <row r="137" spans="1:32" x14ac:dyDescent="0.3">
      <c r="A137" s="1319" t="s">
        <v>1448</v>
      </c>
      <c r="B137" s="1320" t="s">
        <v>2915</v>
      </c>
      <c r="C137" s="1321"/>
      <c r="D137" s="1322"/>
      <c r="E137" s="1322"/>
      <c r="F137" s="1322"/>
      <c r="G137" s="1322"/>
      <c r="H137" s="1322"/>
      <c r="I137" s="1322"/>
      <c r="J137" s="1322"/>
      <c r="K137" s="1322"/>
      <c r="L137" s="1322"/>
      <c r="M137" s="1322"/>
      <c r="N137" s="1322"/>
      <c r="O137" s="1322"/>
      <c r="P137" s="1502">
        <f t="shared" si="28"/>
        <v>0</v>
      </c>
      <c r="Q137" s="1323">
        <f t="shared" si="25"/>
        <v>0</v>
      </c>
      <c r="R137" s="1321"/>
      <c r="S137" s="1322"/>
      <c r="T137" s="1322"/>
      <c r="U137" s="1322"/>
      <c r="V137" s="1322"/>
      <c r="W137" s="1322">
        <v>291380</v>
      </c>
      <c r="X137" s="1322">
        <v>168520</v>
      </c>
      <c r="Y137" s="1322">
        <v>0</v>
      </c>
      <c r="Z137" s="1322"/>
      <c r="AA137" s="1322"/>
      <c r="AB137" s="1322"/>
      <c r="AC137" s="1322"/>
      <c r="AD137" s="1323">
        <f t="shared" si="29"/>
        <v>459900</v>
      </c>
      <c r="AE137" s="1324">
        <f t="shared" si="26"/>
        <v>1</v>
      </c>
      <c r="AF137" s="1325">
        <f t="shared" ref="AF137:AF154" si="30">IFERROR(_xlfn.RANK.EQ(AD137, $AD$2:$AD$288), "")</f>
        <v>89</v>
      </c>
    </row>
    <row r="138" spans="1:32" x14ac:dyDescent="0.3">
      <c r="A138" s="1319" t="s">
        <v>1448</v>
      </c>
      <c r="B138" s="1320" t="s">
        <v>3055</v>
      </c>
      <c r="C138" s="1321"/>
      <c r="D138" s="1322"/>
      <c r="E138" s="1322"/>
      <c r="F138" s="1322"/>
      <c r="G138" s="1322"/>
      <c r="H138" s="1322"/>
      <c r="I138" s="1322"/>
      <c r="J138" s="1322"/>
      <c r="K138" s="1322"/>
      <c r="L138" s="1322"/>
      <c r="M138" s="1322"/>
      <c r="N138" s="1322"/>
      <c r="O138" s="1322"/>
      <c r="P138" s="1502">
        <f t="shared" si="28"/>
        <v>0</v>
      </c>
      <c r="Q138" s="1323">
        <f t="shared" si="25"/>
        <v>0</v>
      </c>
      <c r="R138" s="1321"/>
      <c r="S138" s="1322"/>
      <c r="T138" s="1322"/>
      <c r="U138" s="1322"/>
      <c r="V138" s="1322"/>
      <c r="W138" s="1322"/>
      <c r="X138" s="1322"/>
      <c r="Y138" s="1322">
        <v>320460</v>
      </c>
      <c r="Z138" s="1322"/>
      <c r="AA138" s="1322"/>
      <c r="AB138" s="1322"/>
      <c r="AC138" s="1322"/>
      <c r="AD138" s="1323">
        <f t="shared" si="29"/>
        <v>320460</v>
      </c>
      <c r="AE138" s="1324">
        <f t="shared" si="26"/>
        <v>1</v>
      </c>
      <c r="AF138" s="1325">
        <f t="shared" si="30"/>
        <v>99</v>
      </c>
    </row>
    <row r="139" spans="1:32" x14ac:dyDescent="0.3">
      <c r="A139" s="78" t="s">
        <v>696</v>
      </c>
      <c r="B139" s="1267" t="s">
        <v>696</v>
      </c>
      <c r="C139" s="809">
        <v>547190</v>
      </c>
      <c r="D139" s="810">
        <v>152650</v>
      </c>
      <c r="E139" s="810">
        <v>0</v>
      </c>
      <c r="F139" s="810">
        <v>0</v>
      </c>
      <c r="G139" s="810">
        <v>0</v>
      </c>
      <c r="H139" s="810">
        <v>0</v>
      </c>
      <c r="I139" s="810">
        <v>0</v>
      </c>
      <c r="J139" s="810">
        <v>0</v>
      </c>
      <c r="K139" s="810">
        <v>0</v>
      </c>
      <c r="L139" s="810">
        <v>0</v>
      </c>
      <c r="M139" s="810"/>
      <c r="N139" s="810">
        <v>0</v>
      </c>
      <c r="O139" s="810">
        <v>0</v>
      </c>
      <c r="P139" s="1502">
        <f t="shared" si="28"/>
        <v>699840</v>
      </c>
      <c r="Q139" s="1268">
        <f>SUM(C139:J139,L139:O139)</f>
        <v>699840</v>
      </c>
      <c r="R139" s="809" t="s">
        <v>251</v>
      </c>
      <c r="S139" s="810" t="s">
        <v>251</v>
      </c>
      <c r="T139" s="810" t="s">
        <v>251</v>
      </c>
      <c r="U139" s="810"/>
      <c r="V139" s="810"/>
      <c r="W139" s="810"/>
      <c r="X139" s="810"/>
      <c r="Y139" s="810"/>
      <c r="Z139" s="810"/>
      <c r="AA139" s="810"/>
      <c r="AB139" s="810"/>
      <c r="AC139" s="810"/>
      <c r="AD139" s="1268">
        <f t="shared" si="29"/>
        <v>0</v>
      </c>
      <c r="AE139" s="118">
        <f t="shared" si="26"/>
        <v>-1</v>
      </c>
      <c r="AF139" s="119">
        <f t="shared" si="30"/>
        <v>119</v>
      </c>
    </row>
    <row r="140" spans="1:32" x14ac:dyDescent="0.3">
      <c r="A140" s="78" t="s">
        <v>696</v>
      </c>
      <c r="B140" s="1267" t="s">
        <v>995</v>
      </c>
      <c r="C140" s="809" t="s">
        <v>251</v>
      </c>
      <c r="D140" s="810" t="s">
        <v>251</v>
      </c>
      <c r="E140" s="810" t="s">
        <v>251</v>
      </c>
      <c r="F140" s="810" t="s">
        <v>251</v>
      </c>
      <c r="G140" s="810" t="s">
        <v>251</v>
      </c>
      <c r="H140" s="810" t="s">
        <v>251</v>
      </c>
      <c r="I140" s="810" t="s">
        <v>251</v>
      </c>
      <c r="J140" s="810" t="s">
        <v>251</v>
      </c>
      <c r="K140" s="810"/>
      <c r="L140" s="810" t="s">
        <v>251</v>
      </c>
      <c r="M140" s="810"/>
      <c r="N140" s="810" t="s">
        <v>251</v>
      </c>
      <c r="O140" s="810" t="s">
        <v>251</v>
      </c>
      <c r="P140" s="1502">
        <f t="shared" si="28"/>
        <v>0</v>
      </c>
      <c r="Q140" s="1268">
        <f t="shared" ref="Q140:Q157" si="31">SUM(C140:J140,L140:O140)</f>
        <v>0</v>
      </c>
      <c r="R140" s="809" t="s">
        <v>251</v>
      </c>
      <c r="S140" s="810" t="s">
        <v>251</v>
      </c>
      <c r="T140" s="810" t="s">
        <v>251</v>
      </c>
      <c r="U140" s="810"/>
      <c r="V140" s="810"/>
      <c r="W140" s="810"/>
      <c r="X140" s="810"/>
      <c r="Y140" s="810"/>
      <c r="Z140" s="810"/>
      <c r="AA140" s="810"/>
      <c r="AB140" s="810"/>
      <c r="AC140" s="810"/>
      <c r="AD140" s="1268">
        <f t="shared" si="29"/>
        <v>0</v>
      </c>
      <c r="AE140" s="118">
        <f t="shared" si="26"/>
        <v>0</v>
      </c>
      <c r="AF140" s="119">
        <f t="shared" si="30"/>
        <v>119</v>
      </c>
    </row>
    <row r="141" spans="1:32" x14ac:dyDescent="0.3">
      <c r="A141" s="78" t="s">
        <v>696</v>
      </c>
      <c r="B141" s="1267" t="s">
        <v>2444</v>
      </c>
      <c r="C141" s="809"/>
      <c r="D141" s="810"/>
      <c r="E141" s="810">
        <v>334330</v>
      </c>
      <c r="F141" s="810">
        <v>0</v>
      </c>
      <c r="G141" s="810">
        <v>0</v>
      </c>
      <c r="H141" s="810">
        <v>618670</v>
      </c>
      <c r="I141" s="810">
        <v>0</v>
      </c>
      <c r="J141" s="810">
        <v>1005080</v>
      </c>
      <c r="K141" s="810">
        <v>0</v>
      </c>
      <c r="L141" s="810">
        <v>2724180</v>
      </c>
      <c r="M141" s="810"/>
      <c r="N141" s="810">
        <v>0</v>
      </c>
      <c r="O141" s="810">
        <v>0</v>
      </c>
      <c r="P141" s="1502">
        <f t="shared" si="28"/>
        <v>953000</v>
      </c>
      <c r="Q141" s="1268">
        <f t="shared" si="31"/>
        <v>4682260</v>
      </c>
      <c r="R141" s="809" t="s">
        <v>251</v>
      </c>
      <c r="S141" s="810" t="s">
        <v>251</v>
      </c>
      <c r="T141" s="810" t="s">
        <v>251</v>
      </c>
      <c r="U141" s="810"/>
      <c r="V141" s="810"/>
      <c r="W141" s="810"/>
      <c r="X141" s="810"/>
      <c r="Y141" s="810"/>
      <c r="Z141" s="810"/>
      <c r="AA141" s="810"/>
      <c r="AB141" s="810"/>
      <c r="AC141" s="810"/>
      <c r="AD141" s="1268">
        <f t="shared" si="29"/>
        <v>0</v>
      </c>
      <c r="AE141" s="118">
        <f t="shared" si="26"/>
        <v>-1</v>
      </c>
      <c r="AF141" s="119">
        <f t="shared" si="30"/>
        <v>119</v>
      </c>
    </row>
    <row r="142" spans="1:32" x14ac:dyDescent="0.3">
      <c r="A142" s="79" t="s">
        <v>996</v>
      </c>
      <c r="B142" s="1269" t="s">
        <v>996</v>
      </c>
      <c r="C142" s="1270">
        <v>0</v>
      </c>
      <c r="D142" s="1271">
        <v>215560</v>
      </c>
      <c r="E142" s="1271">
        <v>0</v>
      </c>
      <c r="F142" s="1271">
        <v>0</v>
      </c>
      <c r="G142" s="1271">
        <v>0</v>
      </c>
      <c r="H142" s="1271">
        <v>0</v>
      </c>
      <c r="I142" s="1271">
        <v>0</v>
      </c>
      <c r="J142" s="1271">
        <v>0</v>
      </c>
      <c r="K142" s="1271">
        <v>0</v>
      </c>
      <c r="L142" s="1271">
        <v>0</v>
      </c>
      <c r="M142" s="1271"/>
      <c r="N142" s="1271">
        <v>0</v>
      </c>
      <c r="O142" s="1271">
        <v>0</v>
      </c>
      <c r="P142" s="1502">
        <f t="shared" si="28"/>
        <v>215560</v>
      </c>
      <c r="Q142" s="1272">
        <f t="shared" si="31"/>
        <v>215560</v>
      </c>
      <c r="R142" s="1270" t="s">
        <v>251</v>
      </c>
      <c r="S142" s="1271" t="s">
        <v>251</v>
      </c>
      <c r="T142" s="1271" t="s">
        <v>251</v>
      </c>
      <c r="U142" s="1271"/>
      <c r="V142" s="1271"/>
      <c r="W142" s="1271"/>
      <c r="X142" s="1271"/>
      <c r="Y142" s="1271"/>
      <c r="Z142" s="1271"/>
      <c r="AA142" s="1271"/>
      <c r="AB142" s="1271"/>
      <c r="AC142" s="1271"/>
      <c r="AD142" s="1272">
        <f t="shared" si="29"/>
        <v>0</v>
      </c>
      <c r="AE142" s="120">
        <f t="shared" si="26"/>
        <v>-1</v>
      </c>
      <c r="AF142" s="121">
        <f t="shared" si="30"/>
        <v>119</v>
      </c>
    </row>
    <row r="143" spans="1:32" x14ac:dyDescent="0.3">
      <c r="A143" s="1273" t="s">
        <v>997</v>
      </c>
      <c r="B143" s="1274" t="s">
        <v>998</v>
      </c>
      <c r="C143" s="732">
        <v>0</v>
      </c>
      <c r="D143" s="733">
        <v>0</v>
      </c>
      <c r="E143" s="733">
        <v>217000</v>
      </c>
      <c r="F143" s="733">
        <v>0</v>
      </c>
      <c r="G143" s="733">
        <v>0</v>
      </c>
      <c r="H143" s="733">
        <v>0</v>
      </c>
      <c r="I143" s="733">
        <v>0</v>
      </c>
      <c r="J143" s="733">
        <v>0</v>
      </c>
      <c r="K143" s="733">
        <v>0</v>
      </c>
      <c r="L143" s="733">
        <v>0</v>
      </c>
      <c r="M143" s="733"/>
      <c r="N143" s="733">
        <v>0</v>
      </c>
      <c r="O143" s="733">
        <v>0</v>
      </c>
      <c r="P143" s="1502">
        <f t="shared" si="28"/>
        <v>217000</v>
      </c>
      <c r="Q143" s="1275">
        <f t="shared" si="31"/>
        <v>217000</v>
      </c>
      <c r="R143" s="732" t="s">
        <v>251</v>
      </c>
      <c r="S143" s="733" t="s">
        <v>251</v>
      </c>
      <c r="T143" s="733" t="s">
        <v>251</v>
      </c>
      <c r="U143" s="733"/>
      <c r="V143" s="733">
        <v>92690</v>
      </c>
      <c r="W143" s="733">
        <v>0</v>
      </c>
      <c r="X143" s="733">
        <v>1422500</v>
      </c>
      <c r="Y143" s="733">
        <v>1317490</v>
      </c>
      <c r="Z143" s="733"/>
      <c r="AA143" s="733"/>
      <c r="AB143" s="733"/>
      <c r="AC143" s="733"/>
      <c r="AD143" s="1275">
        <f t="shared" si="29"/>
        <v>2832680</v>
      </c>
      <c r="AE143" s="1124">
        <f t="shared" si="26"/>
        <v>12.053824884792627</v>
      </c>
      <c r="AF143" s="1276">
        <f t="shared" si="30"/>
        <v>44</v>
      </c>
    </row>
    <row r="144" spans="1:32" x14ac:dyDescent="0.3">
      <c r="A144" s="1273" t="s">
        <v>997</v>
      </c>
      <c r="B144" s="1274" t="s">
        <v>999</v>
      </c>
      <c r="C144" s="732" t="s">
        <v>251</v>
      </c>
      <c r="D144" s="733" t="s">
        <v>251</v>
      </c>
      <c r="E144" s="733" t="s">
        <v>251</v>
      </c>
      <c r="F144" s="733" t="s">
        <v>251</v>
      </c>
      <c r="G144" s="733" t="s">
        <v>251</v>
      </c>
      <c r="H144" s="733" t="s">
        <v>251</v>
      </c>
      <c r="I144" s="733" t="s">
        <v>251</v>
      </c>
      <c r="J144" s="733" t="s">
        <v>251</v>
      </c>
      <c r="K144" s="733"/>
      <c r="L144" s="733" t="s">
        <v>251</v>
      </c>
      <c r="M144" s="733"/>
      <c r="N144" s="733" t="s">
        <v>251</v>
      </c>
      <c r="O144" s="733" t="s">
        <v>251</v>
      </c>
      <c r="P144" s="1502">
        <f t="shared" si="28"/>
        <v>0</v>
      </c>
      <c r="Q144" s="1275">
        <f t="shared" si="31"/>
        <v>0</v>
      </c>
      <c r="R144" s="732" t="s">
        <v>251</v>
      </c>
      <c r="S144" s="733" t="s">
        <v>251</v>
      </c>
      <c r="T144" s="733" t="s">
        <v>251</v>
      </c>
      <c r="U144" s="733"/>
      <c r="V144" s="733"/>
      <c r="W144" s="733"/>
      <c r="X144" s="733"/>
      <c r="Y144" s="733"/>
      <c r="Z144" s="733"/>
      <c r="AA144" s="733"/>
      <c r="AB144" s="733"/>
      <c r="AC144" s="733"/>
      <c r="AD144" s="1275">
        <f t="shared" si="29"/>
        <v>0</v>
      </c>
      <c r="AE144" s="1124">
        <f t="shared" si="26"/>
        <v>0</v>
      </c>
      <c r="AF144" s="1276">
        <f t="shared" si="30"/>
        <v>119</v>
      </c>
    </row>
    <row r="145" spans="1:32" x14ac:dyDescent="0.3">
      <c r="A145" s="1273" t="s">
        <v>997</v>
      </c>
      <c r="B145" s="1274" t="s">
        <v>951</v>
      </c>
      <c r="C145" s="732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1502">
        <f t="shared" si="28"/>
        <v>0</v>
      </c>
      <c r="Q145" s="1275">
        <f t="shared" si="31"/>
        <v>0</v>
      </c>
      <c r="R145" s="732"/>
      <c r="S145" s="733"/>
      <c r="T145" s="733"/>
      <c r="U145" s="733"/>
      <c r="V145" s="733"/>
      <c r="W145" s="733"/>
      <c r="X145" s="733">
        <v>2123920</v>
      </c>
      <c r="Y145" s="733">
        <v>0</v>
      </c>
      <c r="Z145" s="733"/>
      <c r="AA145" s="733"/>
      <c r="AB145" s="733"/>
      <c r="AC145" s="733"/>
      <c r="AD145" s="1275">
        <f t="shared" si="29"/>
        <v>2123920</v>
      </c>
      <c r="AE145" s="1124">
        <f t="shared" si="26"/>
        <v>1</v>
      </c>
      <c r="AF145" s="1276">
        <f t="shared" si="30"/>
        <v>52</v>
      </c>
    </row>
    <row r="146" spans="1:32" x14ac:dyDescent="0.3">
      <c r="A146" s="80" t="s">
        <v>1000</v>
      </c>
      <c r="B146" s="1277" t="s">
        <v>1000</v>
      </c>
      <c r="C146" s="1278">
        <v>0</v>
      </c>
      <c r="D146" s="1279">
        <v>460980</v>
      </c>
      <c r="E146" s="1279">
        <v>0</v>
      </c>
      <c r="F146" s="1279">
        <v>0</v>
      </c>
      <c r="G146" s="1279">
        <v>0</v>
      </c>
      <c r="H146" s="1279">
        <v>0</v>
      </c>
      <c r="I146" s="1279">
        <v>0</v>
      </c>
      <c r="J146" s="1279">
        <v>0</v>
      </c>
      <c r="K146" s="1279">
        <v>0</v>
      </c>
      <c r="L146" s="1279">
        <v>0</v>
      </c>
      <c r="M146" s="1279"/>
      <c r="N146" s="1279">
        <v>0</v>
      </c>
      <c r="O146" s="1279">
        <v>0</v>
      </c>
      <c r="P146" s="1502">
        <f t="shared" si="28"/>
        <v>460980</v>
      </c>
      <c r="Q146" s="1280">
        <f t="shared" si="31"/>
        <v>460980</v>
      </c>
      <c r="R146" s="1278" t="s">
        <v>251</v>
      </c>
      <c r="S146" s="1279" t="s">
        <v>251</v>
      </c>
      <c r="T146" s="1279" t="s">
        <v>251</v>
      </c>
      <c r="U146" s="1279"/>
      <c r="V146" s="1279"/>
      <c r="W146" s="1279"/>
      <c r="X146" s="1279"/>
      <c r="Y146" s="1279"/>
      <c r="Z146" s="1279"/>
      <c r="AA146" s="1279"/>
      <c r="AB146" s="1279"/>
      <c r="AC146" s="1279"/>
      <c r="AD146" s="1280">
        <f t="shared" si="29"/>
        <v>0</v>
      </c>
      <c r="AE146" s="127">
        <f t="shared" si="26"/>
        <v>-1</v>
      </c>
      <c r="AF146" s="128">
        <f t="shared" si="30"/>
        <v>119</v>
      </c>
    </row>
    <row r="147" spans="1:32" x14ac:dyDescent="0.3">
      <c r="A147" s="81" t="s">
        <v>1001</v>
      </c>
      <c r="B147" s="1281" t="s">
        <v>1001</v>
      </c>
      <c r="C147" s="1282" t="s">
        <v>251</v>
      </c>
      <c r="D147" s="1283" t="s">
        <v>251</v>
      </c>
      <c r="E147" s="1283" t="s">
        <v>251</v>
      </c>
      <c r="F147" s="1283" t="s">
        <v>251</v>
      </c>
      <c r="G147" s="1283" t="s">
        <v>251</v>
      </c>
      <c r="H147" s="1283" t="s">
        <v>251</v>
      </c>
      <c r="I147" s="1283" t="s">
        <v>251</v>
      </c>
      <c r="J147" s="1283" t="s">
        <v>251</v>
      </c>
      <c r="K147" s="1283"/>
      <c r="L147" s="1283" t="s">
        <v>251</v>
      </c>
      <c r="M147" s="1283"/>
      <c r="N147" s="1283" t="s">
        <v>251</v>
      </c>
      <c r="O147" s="1283" t="s">
        <v>251</v>
      </c>
      <c r="P147" s="1502">
        <f t="shared" si="28"/>
        <v>0</v>
      </c>
      <c r="Q147" s="1284">
        <f t="shared" si="31"/>
        <v>0</v>
      </c>
      <c r="R147" s="1282" t="s">
        <v>251</v>
      </c>
      <c r="S147" s="1283" t="s">
        <v>251</v>
      </c>
      <c r="T147" s="1283" t="s">
        <v>251</v>
      </c>
      <c r="U147" s="1283"/>
      <c r="V147" s="1283"/>
      <c r="W147" s="1283"/>
      <c r="X147" s="1283"/>
      <c r="Y147" s="1283"/>
      <c r="Z147" s="1283"/>
      <c r="AA147" s="1283"/>
      <c r="AB147" s="1283"/>
      <c r="AC147" s="1283"/>
      <c r="AD147" s="1284">
        <f t="shared" si="29"/>
        <v>0</v>
      </c>
      <c r="AE147" s="129">
        <f t="shared" si="26"/>
        <v>0</v>
      </c>
      <c r="AF147" s="130">
        <f t="shared" si="30"/>
        <v>119</v>
      </c>
    </row>
    <row r="148" spans="1:32" x14ac:dyDescent="0.3">
      <c r="A148" s="81" t="s">
        <v>1001</v>
      </c>
      <c r="B148" s="1281" t="s">
        <v>1002</v>
      </c>
      <c r="C148" s="1282" t="s">
        <v>251</v>
      </c>
      <c r="D148" s="1283" t="s">
        <v>251</v>
      </c>
      <c r="E148" s="1283" t="s">
        <v>251</v>
      </c>
      <c r="F148" s="1283" t="s">
        <v>251</v>
      </c>
      <c r="G148" s="1283" t="s">
        <v>251</v>
      </c>
      <c r="H148" s="1283" t="s">
        <v>251</v>
      </c>
      <c r="I148" s="1283" t="s">
        <v>251</v>
      </c>
      <c r="J148" s="1283" t="s">
        <v>251</v>
      </c>
      <c r="K148" s="1283"/>
      <c r="L148" s="1283" t="s">
        <v>251</v>
      </c>
      <c r="M148" s="1283"/>
      <c r="N148" s="1283" t="s">
        <v>251</v>
      </c>
      <c r="O148" s="1283" t="s">
        <v>251</v>
      </c>
      <c r="P148" s="1502">
        <f t="shared" si="28"/>
        <v>0</v>
      </c>
      <c r="Q148" s="1284">
        <f t="shared" si="31"/>
        <v>0</v>
      </c>
      <c r="R148" s="1282" t="s">
        <v>251</v>
      </c>
      <c r="S148" s="1283" t="s">
        <v>251</v>
      </c>
      <c r="T148" s="1283" t="s">
        <v>251</v>
      </c>
      <c r="U148" s="1283"/>
      <c r="V148" s="1283"/>
      <c r="W148" s="1283"/>
      <c r="X148" s="1283"/>
      <c r="Y148" s="1283"/>
      <c r="Z148" s="1283"/>
      <c r="AA148" s="1283"/>
      <c r="AB148" s="1283"/>
      <c r="AC148" s="1283"/>
      <c r="AD148" s="1284">
        <f t="shared" si="29"/>
        <v>0</v>
      </c>
      <c r="AE148" s="129">
        <f t="shared" si="26"/>
        <v>0</v>
      </c>
      <c r="AF148" s="130">
        <f t="shared" si="30"/>
        <v>119</v>
      </c>
    </row>
    <row r="149" spans="1:32" x14ac:dyDescent="0.3">
      <c r="A149" s="82" t="s">
        <v>924</v>
      </c>
      <c r="B149" s="1285" t="s">
        <v>924</v>
      </c>
      <c r="C149" s="1286" t="s">
        <v>251</v>
      </c>
      <c r="D149" s="1287" t="s">
        <v>251</v>
      </c>
      <c r="E149" s="1287" t="s">
        <v>251</v>
      </c>
      <c r="F149" s="1287" t="s">
        <v>251</v>
      </c>
      <c r="G149" s="1287" t="s">
        <v>251</v>
      </c>
      <c r="H149" s="1287" t="s">
        <v>251</v>
      </c>
      <c r="I149" s="1287" t="s">
        <v>251</v>
      </c>
      <c r="J149" s="1287" t="s">
        <v>251</v>
      </c>
      <c r="K149" s="1287"/>
      <c r="L149" s="1287" t="s">
        <v>251</v>
      </c>
      <c r="M149" s="1287"/>
      <c r="N149" s="1287" t="s">
        <v>251</v>
      </c>
      <c r="O149" s="1287" t="s">
        <v>251</v>
      </c>
      <c r="P149" s="1502">
        <f t="shared" si="28"/>
        <v>0</v>
      </c>
      <c r="Q149" s="1288">
        <f t="shared" si="31"/>
        <v>0</v>
      </c>
      <c r="R149" s="1286" t="s">
        <v>251</v>
      </c>
      <c r="S149" s="1287" t="s">
        <v>251</v>
      </c>
      <c r="T149" s="1287" t="s">
        <v>251</v>
      </c>
      <c r="U149" s="1287"/>
      <c r="V149" s="1287"/>
      <c r="W149" s="1287"/>
      <c r="X149" s="1287"/>
      <c r="Y149" s="1287"/>
      <c r="Z149" s="1287"/>
      <c r="AA149" s="1287"/>
      <c r="AB149" s="1287"/>
      <c r="AC149" s="1287"/>
      <c r="AD149" s="1288">
        <f t="shared" si="29"/>
        <v>0</v>
      </c>
      <c r="AE149" s="131">
        <f>IF(OR(AD149="",P149=""), 0, IFERROR((AD149-P149)/P149, IF(AD149&lt;&gt;0, 1, 0)))</f>
        <v>0</v>
      </c>
      <c r="AF149" s="132">
        <f t="shared" si="30"/>
        <v>119</v>
      </c>
    </row>
    <row r="150" spans="1:32" x14ac:dyDescent="0.3">
      <c r="A150" s="82" t="s">
        <v>924</v>
      </c>
      <c r="B150" s="1285" t="s">
        <v>1003</v>
      </c>
      <c r="C150" s="1286" t="s">
        <v>251</v>
      </c>
      <c r="D150" s="1287" t="s">
        <v>251</v>
      </c>
      <c r="E150" s="1287" t="s">
        <v>251</v>
      </c>
      <c r="F150" s="1287" t="s">
        <v>251</v>
      </c>
      <c r="G150" s="1287" t="s">
        <v>251</v>
      </c>
      <c r="H150" s="1287" t="s">
        <v>251</v>
      </c>
      <c r="I150" s="1287" t="s">
        <v>251</v>
      </c>
      <c r="J150" s="1287" t="s">
        <v>251</v>
      </c>
      <c r="K150" s="1287"/>
      <c r="L150" s="1287" t="s">
        <v>251</v>
      </c>
      <c r="M150" s="1287"/>
      <c r="N150" s="1287" t="s">
        <v>251</v>
      </c>
      <c r="O150" s="1287" t="s">
        <v>251</v>
      </c>
      <c r="P150" s="1502">
        <f t="shared" si="28"/>
        <v>0</v>
      </c>
      <c r="Q150" s="1288">
        <f t="shared" si="31"/>
        <v>0</v>
      </c>
      <c r="R150" s="1286" t="s">
        <v>251</v>
      </c>
      <c r="S150" s="1287" t="s">
        <v>251</v>
      </c>
      <c r="T150" s="1287" t="s">
        <v>251</v>
      </c>
      <c r="U150" s="1287"/>
      <c r="V150" s="1287"/>
      <c r="W150" s="1287"/>
      <c r="X150" s="1287"/>
      <c r="Y150" s="1287"/>
      <c r="Z150" s="1287"/>
      <c r="AA150" s="1287"/>
      <c r="AB150" s="1287"/>
      <c r="AC150" s="1287"/>
      <c r="AD150" s="1288">
        <f t="shared" si="29"/>
        <v>0</v>
      </c>
      <c r="AE150" s="131">
        <f t="shared" ref="AE150:AE227" si="32">IF(OR(AD150="",P150=""), 0, IFERROR((AD150-P150)/P150, IF(AD150&lt;&gt;0, 1, 0)))</f>
        <v>0</v>
      </c>
      <c r="AF150" s="132">
        <f t="shared" si="30"/>
        <v>119</v>
      </c>
    </row>
    <row r="151" spans="1:32" x14ac:dyDescent="0.3">
      <c r="A151" s="82" t="s">
        <v>924</v>
      </c>
      <c r="B151" s="1289" t="s">
        <v>920</v>
      </c>
      <c r="C151" s="1286">
        <v>0</v>
      </c>
      <c r="D151" s="1287">
        <v>0</v>
      </c>
      <c r="E151" s="1287">
        <v>72990</v>
      </c>
      <c r="F151" s="1287">
        <v>0</v>
      </c>
      <c r="G151" s="1287">
        <v>0</v>
      </c>
      <c r="H151" s="1287">
        <v>0</v>
      </c>
      <c r="I151" s="1287">
        <v>0</v>
      </c>
      <c r="J151" s="1287">
        <v>0</v>
      </c>
      <c r="K151" s="1287">
        <v>0</v>
      </c>
      <c r="L151" s="1287">
        <v>0</v>
      </c>
      <c r="M151" s="1287"/>
      <c r="N151" s="1287">
        <v>0</v>
      </c>
      <c r="O151" s="1287">
        <v>0</v>
      </c>
      <c r="P151" s="1502">
        <f t="shared" si="28"/>
        <v>72990</v>
      </c>
      <c r="Q151" s="1288">
        <f t="shared" si="31"/>
        <v>72990</v>
      </c>
      <c r="R151" s="1286" t="s">
        <v>251</v>
      </c>
      <c r="S151" s="1287" t="s">
        <v>251</v>
      </c>
      <c r="T151" s="1287" t="s">
        <v>251</v>
      </c>
      <c r="U151" s="1287"/>
      <c r="V151" s="1287"/>
      <c r="W151" s="1287"/>
      <c r="X151" s="1287"/>
      <c r="Y151" s="1287"/>
      <c r="Z151" s="1287"/>
      <c r="AA151" s="1287"/>
      <c r="AB151" s="1287"/>
      <c r="AC151" s="1287"/>
      <c r="AD151" s="1288">
        <f t="shared" si="29"/>
        <v>0</v>
      </c>
      <c r="AE151" s="131">
        <f t="shared" si="32"/>
        <v>-1</v>
      </c>
      <c r="AF151" s="132">
        <f t="shared" si="30"/>
        <v>119</v>
      </c>
    </row>
    <row r="152" spans="1:32" x14ac:dyDescent="0.3">
      <c r="A152" s="74" t="s">
        <v>1004</v>
      </c>
      <c r="B152" s="1253" t="s">
        <v>956</v>
      </c>
      <c r="C152" s="1254" t="s">
        <v>251</v>
      </c>
      <c r="D152" s="1255" t="s">
        <v>251</v>
      </c>
      <c r="E152" s="1255" t="s">
        <v>251</v>
      </c>
      <c r="F152" s="1255" t="s">
        <v>251</v>
      </c>
      <c r="G152" s="1255" t="s">
        <v>251</v>
      </c>
      <c r="H152" s="1255" t="s">
        <v>251</v>
      </c>
      <c r="I152" s="1255" t="s">
        <v>251</v>
      </c>
      <c r="J152" s="1255" t="s">
        <v>251</v>
      </c>
      <c r="K152" s="1255"/>
      <c r="L152" s="1255" t="s">
        <v>251</v>
      </c>
      <c r="M152" s="1255"/>
      <c r="N152" s="1255" t="s">
        <v>251</v>
      </c>
      <c r="O152" s="1255" t="s">
        <v>251</v>
      </c>
      <c r="P152" s="1502">
        <f t="shared" si="28"/>
        <v>0</v>
      </c>
      <c r="Q152" s="1256">
        <f t="shared" si="31"/>
        <v>0</v>
      </c>
      <c r="R152" s="1254" t="s">
        <v>251</v>
      </c>
      <c r="S152" s="1255" t="s">
        <v>251</v>
      </c>
      <c r="T152" s="1255" t="s">
        <v>251</v>
      </c>
      <c r="U152" s="1255"/>
      <c r="V152" s="1255"/>
      <c r="W152" s="1255"/>
      <c r="X152" s="1255"/>
      <c r="Y152" s="1255"/>
      <c r="Z152" s="1255"/>
      <c r="AA152" s="1255"/>
      <c r="AB152" s="1255"/>
      <c r="AC152" s="1255"/>
      <c r="AD152" s="1256">
        <f t="shared" si="29"/>
        <v>0</v>
      </c>
      <c r="AE152" s="106">
        <f t="shared" si="32"/>
        <v>0</v>
      </c>
      <c r="AF152" s="107">
        <f t="shared" si="30"/>
        <v>119</v>
      </c>
    </row>
    <row r="153" spans="1:32" x14ac:dyDescent="0.3">
      <c r="A153" s="83" t="s">
        <v>1005</v>
      </c>
      <c r="B153" s="1290" t="s">
        <v>971</v>
      </c>
      <c r="C153" s="1291" t="s">
        <v>251</v>
      </c>
      <c r="D153" s="1292" t="s">
        <v>251</v>
      </c>
      <c r="E153" s="1292" t="s">
        <v>251</v>
      </c>
      <c r="F153" s="1292" t="s">
        <v>251</v>
      </c>
      <c r="G153" s="1292" t="s">
        <v>251</v>
      </c>
      <c r="H153" s="1292" t="s">
        <v>251</v>
      </c>
      <c r="I153" s="1292" t="s">
        <v>251</v>
      </c>
      <c r="J153" s="1292" t="s">
        <v>251</v>
      </c>
      <c r="K153" s="1292"/>
      <c r="L153" s="1292" t="s">
        <v>251</v>
      </c>
      <c r="M153" s="1292"/>
      <c r="N153" s="1292" t="s">
        <v>251</v>
      </c>
      <c r="O153" s="1292" t="s">
        <v>251</v>
      </c>
      <c r="P153" s="1502">
        <f t="shared" si="28"/>
        <v>0</v>
      </c>
      <c r="Q153" s="1293">
        <f t="shared" si="31"/>
        <v>0</v>
      </c>
      <c r="R153" s="1291" t="s">
        <v>251</v>
      </c>
      <c r="S153" s="1292" t="s">
        <v>251</v>
      </c>
      <c r="T153" s="1292" t="s">
        <v>251</v>
      </c>
      <c r="U153" s="1292"/>
      <c r="V153" s="1292"/>
      <c r="W153" s="1292"/>
      <c r="X153" s="1292"/>
      <c r="Y153" s="1292"/>
      <c r="Z153" s="1292"/>
      <c r="AA153" s="1292"/>
      <c r="AB153" s="1292"/>
      <c r="AC153" s="1292"/>
      <c r="AD153" s="1293">
        <f t="shared" si="29"/>
        <v>0</v>
      </c>
      <c r="AE153" s="135">
        <f t="shared" si="32"/>
        <v>0</v>
      </c>
      <c r="AF153" s="136">
        <f t="shared" si="30"/>
        <v>119</v>
      </c>
    </row>
    <row r="154" spans="1:32" x14ac:dyDescent="0.3">
      <c r="A154" s="58" t="s">
        <v>2611</v>
      </c>
      <c r="B154" s="1213" t="s">
        <v>2460</v>
      </c>
      <c r="C154" s="1441"/>
      <c r="D154" s="1442"/>
      <c r="E154" s="1442"/>
      <c r="F154" s="1442"/>
      <c r="G154" s="1442"/>
      <c r="H154" s="1442"/>
      <c r="I154" s="1442"/>
      <c r="J154" s="1442"/>
      <c r="K154" s="1442"/>
      <c r="L154" s="1442"/>
      <c r="M154" s="1442"/>
      <c r="N154" s="1442"/>
      <c r="O154" s="1442"/>
      <c r="P154" s="1502">
        <f t="shared" si="28"/>
        <v>0</v>
      </c>
      <c r="Q154" s="1443">
        <f t="shared" si="31"/>
        <v>0</v>
      </c>
      <c r="R154" s="1441"/>
      <c r="S154" s="1442"/>
      <c r="T154" s="1442">
        <v>17995550</v>
      </c>
      <c r="U154" s="1442">
        <v>0</v>
      </c>
      <c r="V154" s="1442">
        <v>16161600</v>
      </c>
      <c r="W154" s="1442">
        <v>7576790</v>
      </c>
      <c r="X154" s="1442">
        <v>7194990</v>
      </c>
      <c r="Y154" s="1442">
        <v>495500</v>
      </c>
      <c r="Z154" s="1442"/>
      <c r="AA154" s="1442"/>
      <c r="AB154" s="1442"/>
      <c r="AC154" s="1442"/>
      <c r="AD154" s="1443">
        <f>SUM(R154:AC154)</f>
        <v>49424430</v>
      </c>
      <c r="AE154" s="1444">
        <f t="shared" si="32"/>
        <v>1</v>
      </c>
      <c r="AF154" s="1445">
        <f t="shared" si="30"/>
        <v>1</v>
      </c>
    </row>
    <row r="155" spans="1:32" x14ac:dyDescent="0.3">
      <c r="A155" s="58" t="s">
        <v>2611</v>
      </c>
      <c r="B155" s="1213" t="s">
        <v>785</v>
      </c>
      <c r="C155" s="1441"/>
      <c r="D155" s="1442"/>
      <c r="E155" s="1442"/>
      <c r="F155" s="1442"/>
      <c r="G155" s="1442"/>
      <c r="H155" s="1442"/>
      <c r="I155" s="1442"/>
      <c r="J155" s="1442"/>
      <c r="K155" s="1442">
        <v>1067080</v>
      </c>
      <c r="L155" s="1442"/>
      <c r="M155" s="1442"/>
      <c r="N155" s="1442"/>
      <c r="O155" s="1442"/>
      <c r="P155" s="1502">
        <f t="shared" si="28"/>
        <v>1067080</v>
      </c>
      <c r="Q155" s="1443">
        <f t="shared" si="31"/>
        <v>0</v>
      </c>
      <c r="R155" s="1441"/>
      <c r="S155" s="1442"/>
      <c r="T155" s="1442">
        <v>0</v>
      </c>
      <c r="U155" s="1442">
        <v>1710900</v>
      </c>
      <c r="V155" s="1442">
        <v>0</v>
      </c>
      <c r="W155" s="1442">
        <v>0</v>
      </c>
      <c r="X155" s="1442">
        <v>823100</v>
      </c>
      <c r="Y155" s="1442">
        <v>0</v>
      </c>
      <c r="Z155" s="1442"/>
      <c r="AA155" s="1442"/>
      <c r="AB155" s="1442"/>
      <c r="AC155" s="1442"/>
      <c r="AD155" s="1443">
        <f t="shared" ref="AD155:AD157" si="33">SUM(R155:AC155)</f>
        <v>2534000</v>
      </c>
      <c r="AE155" s="1444">
        <f t="shared" si="32"/>
        <v>1.3747048018892678</v>
      </c>
      <c r="AF155" s="1445">
        <f t="shared" ref="AF155:AF186" si="34">IFERROR(_xlfn.RANK.EQ(AD155, $AD$2:$AD$288), "")</f>
        <v>47</v>
      </c>
    </row>
    <row r="156" spans="1:32" x14ac:dyDescent="0.3">
      <c r="A156" s="58" t="s">
        <v>2611</v>
      </c>
      <c r="B156" s="1213" t="s">
        <v>2835</v>
      </c>
      <c r="C156" s="1441"/>
      <c r="D156" s="1442"/>
      <c r="E156" s="1442"/>
      <c r="F156" s="1442"/>
      <c r="G156" s="1442"/>
      <c r="H156" s="1442"/>
      <c r="I156" s="1442"/>
      <c r="J156" s="1442"/>
      <c r="K156" s="1442"/>
      <c r="L156" s="1442"/>
      <c r="M156" s="1442"/>
      <c r="N156" s="1442"/>
      <c r="O156" s="1442"/>
      <c r="P156" s="1502">
        <f t="shared" si="28"/>
        <v>0</v>
      </c>
      <c r="Q156" s="1443">
        <f t="shared" si="31"/>
        <v>0</v>
      </c>
      <c r="R156" s="1441"/>
      <c r="S156" s="1442"/>
      <c r="T156" s="1442"/>
      <c r="U156" s="1442"/>
      <c r="V156" s="1442">
        <v>100000</v>
      </c>
      <c r="W156" s="1442"/>
      <c r="X156" s="1442"/>
      <c r="Y156" s="1442"/>
      <c r="Z156" s="1442"/>
      <c r="AA156" s="1442"/>
      <c r="AB156" s="1442"/>
      <c r="AC156" s="1442"/>
      <c r="AD156" s="1443">
        <f t="shared" si="33"/>
        <v>100000</v>
      </c>
      <c r="AE156" s="1444">
        <f t="shared" si="32"/>
        <v>1</v>
      </c>
      <c r="AF156" s="1445">
        <f t="shared" si="34"/>
        <v>113</v>
      </c>
    </row>
    <row r="157" spans="1:32" x14ac:dyDescent="0.3">
      <c r="A157" s="58" t="s">
        <v>2611</v>
      </c>
      <c r="B157" s="1213" t="s">
        <v>2916</v>
      </c>
      <c r="C157" s="1441"/>
      <c r="D157" s="1442"/>
      <c r="E157" s="1442"/>
      <c r="F157" s="1442"/>
      <c r="G157" s="1442"/>
      <c r="H157" s="1442"/>
      <c r="I157" s="1442"/>
      <c r="J157" s="1442"/>
      <c r="K157" s="1442"/>
      <c r="L157" s="1442"/>
      <c r="M157" s="1442"/>
      <c r="N157" s="1442"/>
      <c r="O157" s="1442"/>
      <c r="P157" s="1502">
        <f t="shared" si="28"/>
        <v>0</v>
      </c>
      <c r="Q157" s="1443">
        <f t="shared" si="31"/>
        <v>0</v>
      </c>
      <c r="R157" s="1441"/>
      <c r="S157" s="1442"/>
      <c r="T157" s="1442"/>
      <c r="U157" s="1442"/>
      <c r="V157" s="1442"/>
      <c r="W157" s="1442">
        <v>0</v>
      </c>
      <c r="X157" s="1442">
        <v>0</v>
      </c>
      <c r="Y157" s="1442">
        <v>0</v>
      </c>
      <c r="Z157" s="1442"/>
      <c r="AA157" s="1442"/>
      <c r="AB157" s="1442"/>
      <c r="AC157" s="1442"/>
      <c r="AD157" s="1443">
        <f t="shared" si="33"/>
        <v>0</v>
      </c>
      <c r="AE157" s="1444">
        <f t="shared" si="32"/>
        <v>0</v>
      </c>
      <c r="AF157" s="1445">
        <f t="shared" si="34"/>
        <v>119</v>
      </c>
    </row>
    <row r="158" spans="1:32" x14ac:dyDescent="0.3">
      <c r="A158" s="1474" t="s">
        <v>1344</v>
      </c>
      <c r="B158" s="1475" t="s">
        <v>1344</v>
      </c>
      <c r="C158" s="801"/>
      <c r="D158" s="802"/>
      <c r="E158" s="802"/>
      <c r="F158" s="802"/>
      <c r="G158" s="802"/>
      <c r="H158" s="802"/>
      <c r="I158" s="802"/>
      <c r="J158" s="802"/>
      <c r="K158" s="802"/>
      <c r="L158" s="802"/>
      <c r="M158" s="802"/>
      <c r="N158" s="802"/>
      <c r="O158" s="802"/>
      <c r="P158" s="1502">
        <f t="shared" si="28"/>
        <v>0</v>
      </c>
      <c r="Q158" s="1476">
        <f>SUM(C158:J158,L158:O158)</f>
        <v>0</v>
      </c>
      <c r="R158" s="801"/>
      <c r="S158" s="802"/>
      <c r="T158" s="802"/>
      <c r="U158" s="802">
        <v>3566430</v>
      </c>
      <c r="V158" s="802">
        <v>0</v>
      </c>
      <c r="W158" s="802">
        <v>0</v>
      </c>
      <c r="X158" s="802">
        <v>0</v>
      </c>
      <c r="Y158" s="802">
        <v>0</v>
      </c>
      <c r="Z158" s="802"/>
      <c r="AA158" s="802"/>
      <c r="AB158" s="802"/>
      <c r="AC158" s="802"/>
      <c r="AD158" s="1476">
        <f t="shared" ref="AD158:AD171" si="35">SUM(R158:AC158)</f>
        <v>3566430</v>
      </c>
      <c r="AE158" s="1477">
        <f t="shared" si="32"/>
        <v>1</v>
      </c>
      <c r="AF158" s="1478">
        <f t="shared" si="34"/>
        <v>37</v>
      </c>
    </row>
    <row r="159" spans="1:32" x14ac:dyDescent="0.3">
      <c r="A159" s="1479" t="s">
        <v>1184</v>
      </c>
      <c r="B159" s="1480" t="s">
        <v>2726</v>
      </c>
      <c r="C159" s="730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1"/>
      <c r="P159" s="1502">
        <f t="shared" si="28"/>
        <v>0</v>
      </c>
      <c r="Q159" s="1481">
        <f t="shared" ref="Q159:Q225" si="36">SUM(C159:J159,L159:O159)</f>
        <v>0</v>
      </c>
      <c r="R159" s="730"/>
      <c r="S159" s="731"/>
      <c r="T159" s="731"/>
      <c r="U159" s="731">
        <v>363410</v>
      </c>
      <c r="V159" s="731">
        <v>345850</v>
      </c>
      <c r="W159" s="731">
        <v>0</v>
      </c>
      <c r="X159" s="731">
        <v>0</v>
      </c>
      <c r="Y159" s="731">
        <v>0</v>
      </c>
      <c r="Z159" s="731"/>
      <c r="AA159" s="731"/>
      <c r="AB159" s="731"/>
      <c r="AC159" s="731"/>
      <c r="AD159" s="1481">
        <f t="shared" si="35"/>
        <v>709260</v>
      </c>
      <c r="AE159" s="1482">
        <f t="shared" si="32"/>
        <v>1</v>
      </c>
      <c r="AF159" s="1483">
        <f t="shared" si="34"/>
        <v>72</v>
      </c>
    </row>
    <row r="160" spans="1:32" x14ac:dyDescent="0.3">
      <c r="A160" s="1479" t="s">
        <v>1184</v>
      </c>
      <c r="B160" s="1480" t="s">
        <v>1192</v>
      </c>
      <c r="C160" s="730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1"/>
      <c r="P160" s="1502">
        <f t="shared" si="28"/>
        <v>0</v>
      </c>
      <c r="Q160" s="1481">
        <f t="shared" si="36"/>
        <v>0</v>
      </c>
      <c r="R160" s="730"/>
      <c r="S160" s="731"/>
      <c r="T160" s="731"/>
      <c r="U160" s="731"/>
      <c r="V160" s="731">
        <v>675900</v>
      </c>
      <c r="W160" s="731">
        <v>700870</v>
      </c>
      <c r="X160" s="731">
        <v>2006910</v>
      </c>
      <c r="Y160" s="731">
        <v>0</v>
      </c>
      <c r="Z160" s="731"/>
      <c r="AA160" s="731"/>
      <c r="AB160" s="731"/>
      <c r="AC160" s="731"/>
      <c r="AD160" s="1481">
        <f t="shared" si="35"/>
        <v>3383680</v>
      </c>
      <c r="AE160" s="1482">
        <f t="shared" si="32"/>
        <v>1</v>
      </c>
      <c r="AF160" s="1483">
        <f t="shared" si="34"/>
        <v>39</v>
      </c>
    </row>
    <row r="161" spans="1:32" x14ac:dyDescent="0.3">
      <c r="A161" s="1479" t="s">
        <v>1184</v>
      </c>
      <c r="B161" s="1480" t="s">
        <v>2054</v>
      </c>
      <c r="C161" s="730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1"/>
      <c r="P161" s="1502">
        <f t="shared" si="28"/>
        <v>0</v>
      </c>
      <c r="Q161" s="1481">
        <f t="shared" si="36"/>
        <v>0</v>
      </c>
      <c r="R161" s="730"/>
      <c r="S161" s="731"/>
      <c r="T161" s="731"/>
      <c r="U161" s="731"/>
      <c r="V161" s="731"/>
      <c r="W161" s="731"/>
      <c r="X161" s="731">
        <v>669630</v>
      </c>
      <c r="Y161" s="731">
        <v>0</v>
      </c>
      <c r="Z161" s="731"/>
      <c r="AA161" s="731"/>
      <c r="AB161" s="731"/>
      <c r="AC161" s="731"/>
      <c r="AD161" s="1481">
        <f t="shared" si="35"/>
        <v>669630</v>
      </c>
      <c r="AE161" s="1482">
        <f t="shared" si="32"/>
        <v>1</v>
      </c>
      <c r="AF161" s="1483">
        <f t="shared" si="34"/>
        <v>75</v>
      </c>
    </row>
    <row r="162" spans="1:32" x14ac:dyDescent="0.3">
      <c r="A162" s="1263" t="s">
        <v>675</v>
      </c>
      <c r="B162" s="1264" t="s">
        <v>394</v>
      </c>
      <c r="C162" s="768"/>
      <c r="D162" s="769"/>
      <c r="E162" s="769"/>
      <c r="F162" s="769"/>
      <c r="G162" s="769"/>
      <c r="H162" s="769"/>
      <c r="I162" s="769"/>
      <c r="J162" s="769"/>
      <c r="K162" s="769"/>
      <c r="L162" s="769"/>
      <c r="M162" s="769"/>
      <c r="N162" s="769"/>
      <c r="O162" s="769"/>
      <c r="P162" s="1502">
        <f t="shared" si="28"/>
        <v>0</v>
      </c>
      <c r="Q162" s="1265">
        <f t="shared" si="36"/>
        <v>0</v>
      </c>
      <c r="R162" s="768"/>
      <c r="S162" s="769"/>
      <c r="T162" s="769"/>
      <c r="U162" s="769"/>
      <c r="V162" s="769">
        <v>559990</v>
      </c>
      <c r="W162" s="769">
        <v>1809970</v>
      </c>
      <c r="X162" s="769">
        <v>29080000</v>
      </c>
      <c r="Y162" s="769">
        <v>0</v>
      </c>
      <c r="Z162" s="769"/>
      <c r="AA162" s="769"/>
      <c r="AB162" s="769"/>
      <c r="AC162" s="769"/>
      <c r="AD162" s="1265">
        <f t="shared" si="35"/>
        <v>31449960</v>
      </c>
      <c r="AE162" s="1164">
        <f t="shared" si="32"/>
        <v>1</v>
      </c>
      <c r="AF162" s="1266">
        <f t="shared" si="34"/>
        <v>4</v>
      </c>
    </row>
    <row r="163" spans="1:32" x14ac:dyDescent="0.3">
      <c r="A163" s="1263" t="s">
        <v>675</v>
      </c>
      <c r="B163" s="1264" t="s">
        <v>1830</v>
      </c>
      <c r="C163" s="768"/>
      <c r="D163" s="769"/>
      <c r="E163" s="769"/>
      <c r="F163" s="769"/>
      <c r="G163" s="769"/>
      <c r="H163" s="769"/>
      <c r="I163" s="769"/>
      <c r="J163" s="769"/>
      <c r="K163" s="769"/>
      <c r="L163" s="769"/>
      <c r="M163" s="769"/>
      <c r="N163" s="769"/>
      <c r="O163" s="769"/>
      <c r="P163" s="1502">
        <f t="shared" si="28"/>
        <v>0</v>
      </c>
      <c r="Q163" s="1265">
        <f t="shared" si="36"/>
        <v>0</v>
      </c>
      <c r="R163" s="768"/>
      <c r="S163" s="769"/>
      <c r="T163" s="769"/>
      <c r="U163" s="769"/>
      <c r="V163" s="769"/>
      <c r="W163" s="769"/>
      <c r="X163" s="769"/>
      <c r="Y163" s="769">
        <v>510000</v>
      </c>
      <c r="Z163" s="769"/>
      <c r="AA163" s="769"/>
      <c r="AB163" s="769"/>
      <c r="AC163" s="769"/>
      <c r="AD163" s="1265">
        <f t="shared" si="35"/>
        <v>510000</v>
      </c>
      <c r="AE163" s="1164">
        <f t="shared" si="32"/>
        <v>1</v>
      </c>
      <c r="AF163" s="1266">
        <f t="shared" si="34"/>
        <v>83</v>
      </c>
    </row>
    <row r="164" spans="1:32" x14ac:dyDescent="0.3">
      <c r="A164" s="1273" t="s">
        <v>2751</v>
      </c>
      <c r="B164" s="1274" t="s">
        <v>977</v>
      </c>
      <c r="C164" s="732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1502">
        <f t="shared" si="28"/>
        <v>0</v>
      </c>
      <c r="Q164" s="1275">
        <f t="shared" si="36"/>
        <v>0</v>
      </c>
      <c r="R164" s="732"/>
      <c r="S164" s="733"/>
      <c r="T164" s="733"/>
      <c r="U164" s="733"/>
      <c r="V164" s="733"/>
      <c r="W164" s="733"/>
      <c r="X164" s="733">
        <v>19822460</v>
      </c>
      <c r="Y164" s="733">
        <v>14400000</v>
      </c>
      <c r="Z164" s="733"/>
      <c r="AA164" s="733"/>
      <c r="AB164" s="733"/>
      <c r="AC164" s="733"/>
      <c r="AD164" s="1275">
        <f t="shared" si="35"/>
        <v>34222460</v>
      </c>
      <c r="AE164" s="1124">
        <f t="shared" si="32"/>
        <v>1</v>
      </c>
      <c r="AF164" s="1276">
        <f t="shared" si="34"/>
        <v>3</v>
      </c>
    </row>
    <row r="165" spans="1:32" x14ac:dyDescent="0.3">
      <c r="A165" s="1273" t="s">
        <v>2751</v>
      </c>
      <c r="B165" s="1274" t="s">
        <v>971</v>
      </c>
      <c r="C165" s="732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1502">
        <f t="shared" si="28"/>
        <v>0</v>
      </c>
      <c r="Q165" s="1275">
        <f t="shared" si="36"/>
        <v>0</v>
      </c>
      <c r="R165" s="732"/>
      <c r="S165" s="733"/>
      <c r="T165" s="733"/>
      <c r="U165" s="733"/>
      <c r="V165" s="733"/>
      <c r="W165" s="733"/>
      <c r="X165" s="733">
        <v>3760000</v>
      </c>
      <c r="Y165" s="733">
        <v>1594000</v>
      </c>
      <c r="Z165" s="733"/>
      <c r="AA165" s="733"/>
      <c r="AB165" s="733"/>
      <c r="AC165" s="733"/>
      <c r="AD165" s="1275">
        <f t="shared" si="35"/>
        <v>5354000</v>
      </c>
      <c r="AE165" s="1124">
        <f t="shared" si="32"/>
        <v>1</v>
      </c>
      <c r="AF165" s="1276">
        <f t="shared" si="34"/>
        <v>29</v>
      </c>
    </row>
    <row r="166" spans="1:32" x14ac:dyDescent="0.3">
      <c r="A166" s="1273" t="s">
        <v>2751</v>
      </c>
      <c r="B166" s="1274" t="s">
        <v>972</v>
      </c>
      <c r="C166" s="732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1502">
        <f t="shared" si="28"/>
        <v>0</v>
      </c>
      <c r="Q166" s="1275">
        <f t="shared" si="36"/>
        <v>0</v>
      </c>
      <c r="R166" s="732"/>
      <c r="S166" s="733"/>
      <c r="T166" s="733"/>
      <c r="U166" s="733"/>
      <c r="V166" s="733"/>
      <c r="W166" s="733"/>
      <c r="X166" s="733"/>
      <c r="Y166" s="733">
        <v>848000</v>
      </c>
      <c r="Z166" s="733"/>
      <c r="AA166" s="733"/>
      <c r="AB166" s="733"/>
      <c r="AC166" s="733"/>
      <c r="AD166" s="1275">
        <f t="shared" si="35"/>
        <v>848000</v>
      </c>
      <c r="AE166" s="1124">
        <f t="shared" si="32"/>
        <v>1</v>
      </c>
      <c r="AF166" s="1276">
        <f t="shared" si="34"/>
        <v>70</v>
      </c>
    </row>
    <row r="167" spans="1:32" x14ac:dyDescent="0.3">
      <c r="A167" s="1515" t="s">
        <v>1327</v>
      </c>
      <c r="B167" s="1516" t="s">
        <v>972</v>
      </c>
      <c r="C167" s="1517"/>
      <c r="D167" s="1518"/>
      <c r="E167" s="1518"/>
      <c r="F167" s="1518"/>
      <c r="G167" s="1518"/>
      <c r="H167" s="1518"/>
      <c r="I167" s="1518"/>
      <c r="J167" s="1518"/>
      <c r="K167" s="1518"/>
      <c r="L167" s="1518"/>
      <c r="M167" s="1518"/>
      <c r="N167" s="1518"/>
      <c r="O167" s="1518"/>
      <c r="P167" s="1502">
        <f t="shared" si="28"/>
        <v>0</v>
      </c>
      <c r="Q167" s="1519">
        <f t="shared" si="36"/>
        <v>0</v>
      </c>
      <c r="R167" s="1517"/>
      <c r="S167" s="1518"/>
      <c r="T167" s="1518"/>
      <c r="U167" s="1518"/>
      <c r="V167" s="1518"/>
      <c r="W167" s="1518"/>
      <c r="X167" s="1518">
        <v>5542470</v>
      </c>
      <c r="Y167" s="1518">
        <v>0</v>
      </c>
      <c r="Z167" s="1518"/>
      <c r="AA167" s="1518"/>
      <c r="AB167" s="1518"/>
      <c r="AC167" s="1518"/>
      <c r="AD167" s="1519">
        <f t="shared" si="35"/>
        <v>5542470</v>
      </c>
      <c r="AE167" s="1520">
        <f t="shared" si="32"/>
        <v>1</v>
      </c>
      <c r="AF167" s="1521">
        <f t="shared" si="34"/>
        <v>28</v>
      </c>
    </row>
    <row r="168" spans="1:32" x14ac:dyDescent="0.3">
      <c r="A168" s="1515" t="s">
        <v>1327</v>
      </c>
      <c r="B168" s="1516" t="s">
        <v>1014</v>
      </c>
      <c r="C168" s="1517"/>
      <c r="D168" s="1518"/>
      <c r="E168" s="1518"/>
      <c r="F168" s="1518"/>
      <c r="G168" s="1518"/>
      <c r="H168" s="1518"/>
      <c r="I168" s="1518"/>
      <c r="J168" s="1518"/>
      <c r="K168" s="1518"/>
      <c r="L168" s="1518"/>
      <c r="M168" s="1518"/>
      <c r="N168" s="1518"/>
      <c r="O168" s="1518"/>
      <c r="P168" s="1502">
        <f t="shared" si="28"/>
        <v>0</v>
      </c>
      <c r="Q168" s="1519">
        <f t="shared" si="36"/>
        <v>0</v>
      </c>
      <c r="R168" s="1517"/>
      <c r="S168" s="1518"/>
      <c r="T168" s="1518"/>
      <c r="U168" s="1518"/>
      <c r="V168" s="1518"/>
      <c r="W168" s="1518"/>
      <c r="X168" s="1518">
        <v>495500</v>
      </c>
      <c r="Y168" s="1518">
        <v>0</v>
      </c>
      <c r="Z168" s="1518"/>
      <c r="AA168" s="1518"/>
      <c r="AB168" s="1518"/>
      <c r="AC168" s="1518"/>
      <c r="AD168" s="1519">
        <f t="shared" si="35"/>
        <v>495500</v>
      </c>
      <c r="AE168" s="1520">
        <f t="shared" si="32"/>
        <v>1</v>
      </c>
      <c r="AF168" s="1521">
        <f t="shared" si="34"/>
        <v>85</v>
      </c>
    </row>
    <row r="169" spans="1:32" x14ac:dyDescent="0.3">
      <c r="A169" s="1522" t="s">
        <v>1500</v>
      </c>
      <c r="B169" s="1523" t="s">
        <v>998</v>
      </c>
      <c r="C169" s="1524"/>
      <c r="D169" s="1525"/>
      <c r="E169" s="1525"/>
      <c r="F169" s="1525"/>
      <c r="G169" s="1525"/>
      <c r="H169" s="1525"/>
      <c r="I169" s="1525"/>
      <c r="J169" s="1525"/>
      <c r="K169" s="1525"/>
      <c r="L169" s="1525"/>
      <c r="M169" s="1525"/>
      <c r="N169" s="1525"/>
      <c r="O169" s="1525"/>
      <c r="P169" s="1502">
        <f t="shared" si="28"/>
        <v>0</v>
      </c>
      <c r="Q169" s="1526">
        <f t="shared" si="36"/>
        <v>0</v>
      </c>
      <c r="R169" s="1524"/>
      <c r="S169" s="1525"/>
      <c r="T169" s="1525"/>
      <c r="U169" s="1525"/>
      <c r="V169" s="1525"/>
      <c r="W169" s="1525"/>
      <c r="X169" s="1525">
        <v>325990</v>
      </c>
      <c r="Y169" s="1525">
        <v>0</v>
      </c>
      <c r="Z169" s="1525"/>
      <c r="AA169" s="1525"/>
      <c r="AB169" s="1525"/>
      <c r="AC169" s="1525"/>
      <c r="AD169" s="1526">
        <f t="shared" si="35"/>
        <v>325990</v>
      </c>
      <c r="AE169" s="1527">
        <f t="shared" si="32"/>
        <v>1</v>
      </c>
      <c r="AF169" s="1528">
        <f t="shared" si="34"/>
        <v>98</v>
      </c>
    </row>
    <row r="170" spans="1:32" x14ac:dyDescent="0.3">
      <c r="A170" s="1529" t="s">
        <v>2978</v>
      </c>
      <c r="B170" s="1530" t="s">
        <v>2444</v>
      </c>
      <c r="C170" s="840"/>
      <c r="D170" s="725"/>
      <c r="E170" s="725"/>
      <c r="F170" s="725"/>
      <c r="G170" s="725"/>
      <c r="H170" s="725"/>
      <c r="I170" s="725"/>
      <c r="J170" s="725"/>
      <c r="K170" s="725"/>
      <c r="L170" s="725"/>
      <c r="M170" s="725"/>
      <c r="N170" s="725"/>
      <c r="O170" s="725"/>
      <c r="P170" s="1502">
        <f t="shared" si="28"/>
        <v>0</v>
      </c>
      <c r="Q170" s="1531">
        <f t="shared" si="36"/>
        <v>0</v>
      </c>
      <c r="R170" s="840"/>
      <c r="S170" s="725"/>
      <c r="T170" s="725"/>
      <c r="U170" s="725"/>
      <c r="V170" s="725"/>
      <c r="W170" s="725"/>
      <c r="X170" s="725">
        <v>58770</v>
      </c>
      <c r="Y170" s="725">
        <v>0</v>
      </c>
      <c r="Z170" s="725"/>
      <c r="AA170" s="725"/>
      <c r="AB170" s="725"/>
      <c r="AC170" s="725"/>
      <c r="AD170" s="1531">
        <f t="shared" si="35"/>
        <v>58770</v>
      </c>
      <c r="AE170" s="1532">
        <f t="shared" si="32"/>
        <v>1</v>
      </c>
      <c r="AF170" s="1533">
        <f t="shared" si="34"/>
        <v>116</v>
      </c>
    </row>
    <row r="171" spans="1:32" x14ac:dyDescent="0.3">
      <c r="A171" s="1534" t="s">
        <v>804</v>
      </c>
      <c r="B171" s="1535" t="s">
        <v>2444</v>
      </c>
      <c r="C171" s="1536"/>
      <c r="D171" s="1537"/>
      <c r="E171" s="1537"/>
      <c r="F171" s="1537"/>
      <c r="G171" s="1537"/>
      <c r="H171" s="1537"/>
      <c r="I171" s="1537"/>
      <c r="J171" s="1537"/>
      <c r="K171" s="1537"/>
      <c r="L171" s="1537"/>
      <c r="M171" s="1537"/>
      <c r="N171" s="1537"/>
      <c r="O171" s="1537"/>
      <c r="P171" s="1538">
        <f t="shared" si="28"/>
        <v>0</v>
      </c>
      <c r="Q171" s="1539">
        <f t="shared" si="36"/>
        <v>0</v>
      </c>
      <c r="R171" s="1536"/>
      <c r="S171" s="1537"/>
      <c r="T171" s="1537"/>
      <c r="U171" s="1537"/>
      <c r="V171" s="1537"/>
      <c r="W171" s="1537"/>
      <c r="X171" s="1537"/>
      <c r="Y171" s="1537">
        <v>2516010</v>
      </c>
      <c r="Z171" s="1537"/>
      <c r="AA171" s="1537"/>
      <c r="AB171" s="1537"/>
      <c r="AC171" s="1537"/>
      <c r="AD171" s="1539">
        <f t="shared" si="35"/>
        <v>2516010</v>
      </c>
      <c r="AE171" s="1540">
        <f t="shared" si="32"/>
        <v>1</v>
      </c>
      <c r="AF171" s="1541">
        <f t="shared" si="34"/>
        <v>48</v>
      </c>
    </row>
    <row r="172" spans="1:32" x14ac:dyDescent="0.3">
      <c r="A172" s="133" t="s">
        <v>759</v>
      </c>
      <c r="B172" s="1294" t="s">
        <v>1006</v>
      </c>
      <c r="C172" s="1194" t="s">
        <v>251</v>
      </c>
      <c r="D172" s="1195" t="s">
        <v>251</v>
      </c>
      <c r="E172" s="1195" t="s">
        <v>251</v>
      </c>
      <c r="F172" s="1195" t="s">
        <v>251</v>
      </c>
      <c r="G172" s="1195" t="s">
        <v>251</v>
      </c>
      <c r="H172" s="1195" t="s">
        <v>251</v>
      </c>
      <c r="I172" s="1195" t="s">
        <v>251</v>
      </c>
      <c r="J172" s="1195" t="s">
        <v>251</v>
      </c>
      <c r="K172" s="1195"/>
      <c r="L172" s="1195" t="s">
        <v>251</v>
      </c>
      <c r="M172" s="1195"/>
      <c r="N172" s="1195" t="s">
        <v>251</v>
      </c>
      <c r="O172" s="1195" t="s">
        <v>251</v>
      </c>
      <c r="P172" s="1502">
        <f t="shared" si="28"/>
        <v>0</v>
      </c>
      <c r="Q172" s="1295">
        <f t="shared" si="36"/>
        <v>0</v>
      </c>
      <c r="R172" s="1194" t="s">
        <v>251</v>
      </c>
      <c r="S172" s="1195" t="s">
        <v>251</v>
      </c>
      <c r="T172" s="1195" t="s">
        <v>251</v>
      </c>
      <c r="U172" s="1195"/>
      <c r="V172" s="1195"/>
      <c r="W172" s="1195"/>
      <c r="X172" s="1195"/>
      <c r="Y172" s="1195"/>
      <c r="Z172" s="1195"/>
      <c r="AA172" s="1195"/>
      <c r="AB172" s="1195"/>
      <c r="AC172" s="1195"/>
      <c r="AD172" s="1295">
        <f t="shared" ref="AD172:AD234" si="37">SUM(R172:AC172)</f>
        <v>0</v>
      </c>
      <c r="AE172" s="51">
        <f t="shared" si="32"/>
        <v>0</v>
      </c>
      <c r="AF172" s="34">
        <f t="shared" si="34"/>
        <v>119</v>
      </c>
    </row>
    <row r="173" spans="1:32" x14ac:dyDescent="0.3">
      <c r="A173" s="134" t="s">
        <v>759</v>
      </c>
      <c r="B173" s="1294" t="s">
        <v>1007</v>
      </c>
      <c r="C173" s="1194">
        <v>0</v>
      </c>
      <c r="D173" s="1195">
        <v>0</v>
      </c>
      <c r="E173" s="1195">
        <v>0</v>
      </c>
      <c r="F173" s="1195">
        <v>0</v>
      </c>
      <c r="G173" s="1195">
        <v>199750</v>
      </c>
      <c r="H173" s="1195">
        <v>0</v>
      </c>
      <c r="I173" s="1195">
        <v>0</v>
      </c>
      <c r="J173" s="1195">
        <v>0</v>
      </c>
      <c r="K173" s="1195">
        <v>0</v>
      </c>
      <c r="L173" s="1195">
        <v>0</v>
      </c>
      <c r="M173" s="1195"/>
      <c r="N173" s="1195">
        <v>0</v>
      </c>
      <c r="O173" s="1195">
        <v>0</v>
      </c>
      <c r="P173" s="1502">
        <f t="shared" si="28"/>
        <v>199750</v>
      </c>
      <c r="Q173" s="1295">
        <f t="shared" si="36"/>
        <v>199750</v>
      </c>
      <c r="R173" s="1194" t="s">
        <v>251</v>
      </c>
      <c r="S173" s="1195" t="s">
        <v>251</v>
      </c>
      <c r="T173" s="1195" t="s">
        <v>251</v>
      </c>
      <c r="U173" s="1195"/>
      <c r="V173" s="1195"/>
      <c r="W173" s="1195"/>
      <c r="X173" s="1195"/>
      <c r="Y173" s="1195"/>
      <c r="Z173" s="1195"/>
      <c r="AA173" s="1195"/>
      <c r="AB173" s="1195"/>
      <c r="AC173" s="1195"/>
      <c r="AD173" s="1295">
        <f t="shared" si="37"/>
        <v>0</v>
      </c>
      <c r="AE173" s="51">
        <f t="shared" si="32"/>
        <v>-1</v>
      </c>
      <c r="AF173" s="34">
        <f t="shared" si="34"/>
        <v>119</v>
      </c>
    </row>
    <row r="174" spans="1:32" x14ac:dyDescent="0.3">
      <c r="A174" s="133" t="s">
        <v>759</v>
      </c>
      <c r="B174" s="1294" t="s">
        <v>1008</v>
      </c>
      <c r="C174" s="1194" t="s">
        <v>251</v>
      </c>
      <c r="D174" s="1195" t="s">
        <v>251</v>
      </c>
      <c r="E174" s="1195" t="s">
        <v>251</v>
      </c>
      <c r="F174" s="1195" t="s">
        <v>251</v>
      </c>
      <c r="G174" s="1195" t="s">
        <v>251</v>
      </c>
      <c r="H174" s="1195" t="s">
        <v>251</v>
      </c>
      <c r="I174" s="1195" t="s">
        <v>251</v>
      </c>
      <c r="J174" s="1195" t="s">
        <v>251</v>
      </c>
      <c r="K174" s="1195"/>
      <c r="L174" s="1195" t="s">
        <v>251</v>
      </c>
      <c r="M174" s="1195"/>
      <c r="N174" s="1195" t="s">
        <v>251</v>
      </c>
      <c r="O174" s="1195" t="s">
        <v>251</v>
      </c>
      <c r="P174" s="1502">
        <f t="shared" si="28"/>
        <v>0</v>
      </c>
      <c r="Q174" s="1295">
        <f t="shared" si="36"/>
        <v>0</v>
      </c>
      <c r="R174" s="1194" t="s">
        <v>251</v>
      </c>
      <c r="S174" s="1195" t="s">
        <v>251</v>
      </c>
      <c r="T174" s="1195" t="s">
        <v>251</v>
      </c>
      <c r="U174" s="1195"/>
      <c r="V174" s="1195"/>
      <c r="W174" s="1195"/>
      <c r="X174" s="1195"/>
      <c r="Y174" s="1195"/>
      <c r="Z174" s="1195"/>
      <c r="AA174" s="1195"/>
      <c r="AB174" s="1195"/>
      <c r="AC174" s="1195"/>
      <c r="AD174" s="1295">
        <f t="shared" si="37"/>
        <v>0</v>
      </c>
      <c r="AE174" s="51">
        <f t="shared" si="32"/>
        <v>0</v>
      </c>
      <c r="AF174" s="34">
        <f t="shared" si="34"/>
        <v>119</v>
      </c>
    </row>
    <row r="175" spans="1:32" x14ac:dyDescent="0.3">
      <c r="A175" s="134" t="s">
        <v>759</v>
      </c>
      <c r="B175" s="1294" t="s">
        <v>925</v>
      </c>
      <c r="C175" s="1194">
        <v>1744240</v>
      </c>
      <c r="D175" s="1195">
        <v>0</v>
      </c>
      <c r="E175" s="1195">
        <v>0</v>
      </c>
      <c r="F175" s="1195">
        <v>0</v>
      </c>
      <c r="G175" s="1195">
        <v>0</v>
      </c>
      <c r="H175" s="1195">
        <v>0</v>
      </c>
      <c r="I175" s="1195">
        <v>0</v>
      </c>
      <c r="J175" s="1195">
        <v>0</v>
      </c>
      <c r="K175" s="1195">
        <v>0</v>
      </c>
      <c r="L175" s="1195">
        <v>0</v>
      </c>
      <c r="M175" s="1195"/>
      <c r="N175" s="1195">
        <v>0</v>
      </c>
      <c r="O175" s="1195">
        <v>0</v>
      </c>
      <c r="P175" s="1502">
        <f t="shared" si="28"/>
        <v>1744240</v>
      </c>
      <c r="Q175" s="1295">
        <f t="shared" si="36"/>
        <v>1744240</v>
      </c>
      <c r="R175" s="1194" t="s">
        <v>251</v>
      </c>
      <c r="S175" s="1195" t="s">
        <v>251</v>
      </c>
      <c r="T175" s="1195" t="s">
        <v>251</v>
      </c>
      <c r="U175" s="1195"/>
      <c r="V175" s="1195"/>
      <c r="W175" s="1195"/>
      <c r="X175" s="1195"/>
      <c r="Y175" s="1195"/>
      <c r="Z175" s="1195"/>
      <c r="AA175" s="1195"/>
      <c r="AB175" s="1195"/>
      <c r="AC175" s="1195"/>
      <c r="AD175" s="1295">
        <f t="shared" si="37"/>
        <v>0</v>
      </c>
      <c r="AE175" s="51">
        <f t="shared" si="32"/>
        <v>-1</v>
      </c>
      <c r="AF175" s="34">
        <f t="shared" si="34"/>
        <v>119</v>
      </c>
    </row>
    <row r="176" spans="1:32" x14ac:dyDescent="0.3">
      <c r="A176" s="133" t="s">
        <v>759</v>
      </c>
      <c r="B176" s="1294" t="s">
        <v>1009</v>
      </c>
      <c r="C176" s="1194">
        <v>191600</v>
      </c>
      <c r="D176" s="1195">
        <v>727480</v>
      </c>
      <c r="E176" s="1195">
        <v>254310</v>
      </c>
      <c r="F176" s="1195">
        <v>0</v>
      </c>
      <c r="G176" s="1195">
        <v>0</v>
      </c>
      <c r="H176" s="1195">
        <v>0</v>
      </c>
      <c r="I176" s="1195">
        <v>0</v>
      </c>
      <c r="J176" s="1195">
        <v>0</v>
      </c>
      <c r="K176" s="1195">
        <v>0</v>
      </c>
      <c r="L176" s="1195">
        <v>0</v>
      </c>
      <c r="M176" s="1195"/>
      <c r="N176" s="1195">
        <v>0</v>
      </c>
      <c r="O176" s="1195">
        <v>0</v>
      </c>
      <c r="P176" s="1502">
        <f t="shared" si="28"/>
        <v>1173390</v>
      </c>
      <c r="Q176" s="1295">
        <f t="shared" si="36"/>
        <v>1173390</v>
      </c>
      <c r="R176" s="1194" t="s">
        <v>251</v>
      </c>
      <c r="S176" s="1195" t="s">
        <v>251</v>
      </c>
      <c r="T176" s="1195" t="s">
        <v>251</v>
      </c>
      <c r="U176" s="1195"/>
      <c r="V176" s="1195"/>
      <c r="W176" s="1195"/>
      <c r="X176" s="1195"/>
      <c r="Y176" s="1195"/>
      <c r="Z176" s="1195"/>
      <c r="AA176" s="1195"/>
      <c r="AB176" s="1195"/>
      <c r="AC176" s="1195"/>
      <c r="AD176" s="1295">
        <f t="shared" si="37"/>
        <v>0</v>
      </c>
      <c r="AE176" s="51">
        <f t="shared" si="32"/>
        <v>-1</v>
      </c>
      <c r="AF176" s="34">
        <f t="shared" si="34"/>
        <v>119</v>
      </c>
    </row>
    <row r="177" spans="1:32" x14ac:dyDescent="0.3">
      <c r="A177" s="133" t="s">
        <v>759</v>
      </c>
      <c r="B177" s="1294" t="s">
        <v>1010</v>
      </c>
      <c r="C177" s="1194">
        <v>0</v>
      </c>
      <c r="D177" s="1195">
        <v>5435200</v>
      </c>
      <c r="E177" s="1195">
        <v>0</v>
      </c>
      <c r="F177" s="1195">
        <v>0</v>
      </c>
      <c r="G177" s="1195">
        <v>0</v>
      </c>
      <c r="H177" s="1195">
        <v>0</v>
      </c>
      <c r="I177" s="1195">
        <v>0</v>
      </c>
      <c r="J177" s="1195">
        <v>0</v>
      </c>
      <c r="K177" s="1195">
        <v>0</v>
      </c>
      <c r="L177" s="1195">
        <v>0</v>
      </c>
      <c r="M177" s="1195"/>
      <c r="N177" s="1195">
        <v>0</v>
      </c>
      <c r="O177" s="1195">
        <v>0</v>
      </c>
      <c r="P177" s="1502">
        <f t="shared" si="28"/>
        <v>5435200</v>
      </c>
      <c r="Q177" s="1295">
        <f t="shared" si="36"/>
        <v>5435200</v>
      </c>
      <c r="R177" s="1194" t="s">
        <v>251</v>
      </c>
      <c r="S177" s="1195" t="s">
        <v>251</v>
      </c>
      <c r="T177" s="1195" t="s">
        <v>251</v>
      </c>
      <c r="U177" s="1195"/>
      <c r="V177" s="1195"/>
      <c r="W177" s="1195"/>
      <c r="X177" s="1195"/>
      <c r="Y177" s="1195"/>
      <c r="Z177" s="1195"/>
      <c r="AA177" s="1195"/>
      <c r="AB177" s="1195"/>
      <c r="AC177" s="1195"/>
      <c r="AD177" s="1295">
        <f t="shared" si="37"/>
        <v>0</v>
      </c>
      <c r="AE177" s="51">
        <f t="shared" si="32"/>
        <v>-1</v>
      </c>
      <c r="AF177" s="34">
        <f t="shared" si="34"/>
        <v>119</v>
      </c>
    </row>
    <row r="178" spans="1:32" x14ac:dyDescent="0.3">
      <c r="A178" s="133" t="s">
        <v>759</v>
      </c>
      <c r="B178" s="1294" t="s">
        <v>1011</v>
      </c>
      <c r="C178" s="1194">
        <v>0</v>
      </c>
      <c r="D178" s="1195">
        <v>0</v>
      </c>
      <c r="E178" s="1195">
        <v>1245820</v>
      </c>
      <c r="F178" s="1195">
        <v>1537930</v>
      </c>
      <c r="G178" s="1195">
        <v>0</v>
      </c>
      <c r="H178" s="1195">
        <v>0</v>
      </c>
      <c r="I178" s="1195">
        <v>0</v>
      </c>
      <c r="J178" s="1195">
        <v>0</v>
      </c>
      <c r="K178" s="1195">
        <v>0</v>
      </c>
      <c r="L178" s="1195">
        <v>0</v>
      </c>
      <c r="M178" s="1195"/>
      <c r="N178" s="1195">
        <v>0</v>
      </c>
      <c r="O178" s="1195">
        <v>0</v>
      </c>
      <c r="P178" s="1502">
        <f t="shared" si="28"/>
        <v>2783750</v>
      </c>
      <c r="Q178" s="1295">
        <f t="shared" si="36"/>
        <v>2783750</v>
      </c>
      <c r="R178" s="1194" t="s">
        <v>251</v>
      </c>
      <c r="S178" s="1195" t="s">
        <v>251</v>
      </c>
      <c r="T178" s="1195" t="s">
        <v>251</v>
      </c>
      <c r="U178" s="1195"/>
      <c r="V178" s="1195"/>
      <c r="W178" s="1195"/>
      <c r="X178" s="1195"/>
      <c r="Y178" s="1195"/>
      <c r="Z178" s="1195"/>
      <c r="AA178" s="1195"/>
      <c r="AB178" s="1195"/>
      <c r="AC178" s="1195"/>
      <c r="AD178" s="1295">
        <f t="shared" si="37"/>
        <v>0</v>
      </c>
      <c r="AE178" s="51">
        <f t="shared" si="32"/>
        <v>-1</v>
      </c>
      <c r="AF178" s="34">
        <f t="shared" si="34"/>
        <v>119</v>
      </c>
    </row>
    <row r="179" spans="1:32" x14ac:dyDescent="0.3">
      <c r="A179" s="133" t="s">
        <v>759</v>
      </c>
      <c r="B179" s="1294" t="s">
        <v>1012</v>
      </c>
      <c r="C179" s="1194" t="s">
        <v>251</v>
      </c>
      <c r="D179" s="1195" t="s">
        <v>251</v>
      </c>
      <c r="E179" s="1195" t="s">
        <v>251</v>
      </c>
      <c r="F179" s="1195" t="s">
        <v>251</v>
      </c>
      <c r="G179" s="1195" t="s">
        <v>251</v>
      </c>
      <c r="H179" s="1195" t="s">
        <v>251</v>
      </c>
      <c r="I179" s="1195" t="s">
        <v>251</v>
      </c>
      <c r="J179" s="1195" t="s">
        <v>251</v>
      </c>
      <c r="K179" s="1195"/>
      <c r="L179" s="1195" t="s">
        <v>251</v>
      </c>
      <c r="M179" s="1195"/>
      <c r="N179" s="1195" t="s">
        <v>251</v>
      </c>
      <c r="O179" s="1195" t="s">
        <v>251</v>
      </c>
      <c r="P179" s="1502">
        <f t="shared" si="28"/>
        <v>0</v>
      </c>
      <c r="Q179" s="1295">
        <f t="shared" si="36"/>
        <v>0</v>
      </c>
      <c r="R179" s="1194" t="s">
        <v>251</v>
      </c>
      <c r="S179" s="1195" t="s">
        <v>251</v>
      </c>
      <c r="T179" s="1195" t="s">
        <v>251</v>
      </c>
      <c r="U179" s="1195"/>
      <c r="V179" s="1195"/>
      <c r="W179" s="1195"/>
      <c r="X179" s="1195"/>
      <c r="Y179" s="1195"/>
      <c r="Z179" s="1195"/>
      <c r="AA179" s="1195"/>
      <c r="AB179" s="1195"/>
      <c r="AC179" s="1195"/>
      <c r="AD179" s="1295">
        <f t="shared" si="37"/>
        <v>0</v>
      </c>
      <c r="AE179" s="51">
        <f t="shared" si="32"/>
        <v>0</v>
      </c>
      <c r="AF179" s="34">
        <f t="shared" si="34"/>
        <v>119</v>
      </c>
    </row>
    <row r="180" spans="1:32" x14ac:dyDescent="0.3">
      <c r="A180" s="133" t="s">
        <v>759</v>
      </c>
      <c r="B180" s="1294" t="s">
        <v>1013</v>
      </c>
      <c r="C180" s="1194">
        <v>3405900</v>
      </c>
      <c r="D180" s="1195">
        <v>0</v>
      </c>
      <c r="E180" s="1195">
        <v>0</v>
      </c>
      <c r="F180" s="1195">
        <v>0</v>
      </c>
      <c r="G180" s="1195">
        <v>0</v>
      </c>
      <c r="H180" s="1195">
        <v>0</v>
      </c>
      <c r="I180" s="1195">
        <v>0</v>
      </c>
      <c r="J180" s="1195">
        <v>0</v>
      </c>
      <c r="K180" s="1195">
        <v>0</v>
      </c>
      <c r="L180" s="1195">
        <v>0</v>
      </c>
      <c r="M180" s="1195"/>
      <c r="N180" s="1195">
        <v>0</v>
      </c>
      <c r="O180" s="1195">
        <v>0</v>
      </c>
      <c r="P180" s="1502">
        <f t="shared" si="28"/>
        <v>3405900</v>
      </c>
      <c r="Q180" s="1295">
        <f t="shared" si="36"/>
        <v>3405900</v>
      </c>
      <c r="R180" s="1194" t="s">
        <v>251</v>
      </c>
      <c r="S180" s="1195" t="s">
        <v>251</v>
      </c>
      <c r="T180" s="1195" t="s">
        <v>251</v>
      </c>
      <c r="U180" s="1195"/>
      <c r="V180" s="1195"/>
      <c r="W180" s="1195"/>
      <c r="X180" s="1195"/>
      <c r="Y180" s="1195"/>
      <c r="Z180" s="1195"/>
      <c r="AA180" s="1195"/>
      <c r="AB180" s="1195"/>
      <c r="AC180" s="1195"/>
      <c r="AD180" s="1295">
        <f t="shared" si="37"/>
        <v>0</v>
      </c>
      <c r="AE180" s="51">
        <f t="shared" si="32"/>
        <v>-1</v>
      </c>
      <c r="AF180" s="34">
        <f t="shared" si="34"/>
        <v>119</v>
      </c>
    </row>
    <row r="181" spans="1:32" x14ac:dyDescent="0.3">
      <c r="A181" s="133" t="s">
        <v>759</v>
      </c>
      <c r="B181" s="1294" t="s">
        <v>980</v>
      </c>
      <c r="C181" s="1194">
        <v>2677110</v>
      </c>
      <c r="D181" s="1195">
        <v>665690</v>
      </c>
      <c r="E181" s="1195">
        <v>0</v>
      </c>
      <c r="F181" s="1195">
        <v>0</v>
      </c>
      <c r="G181" s="1195">
        <v>0</v>
      </c>
      <c r="H181" s="1195">
        <v>0</v>
      </c>
      <c r="I181" s="1195">
        <v>0</v>
      </c>
      <c r="J181" s="1195">
        <v>0</v>
      </c>
      <c r="K181" s="1195">
        <v>0</v>
      </c>
      <c r="L181" s="1195">
        <v>0</v>
      </c>
      <c r="M181" s="1195"/>
      <c r="N181" s="1195">
        <v>0</v>
      </c>
      <c r="O181" s="1195">
        <v>0</v>
      </c>
      <c r="P181" s="1502">
        <f t="shared" si="28"/>
        <v>3342800</v>
      </c>
      <c r="Q181" s="1295">
        <f t="shared" si="36"/>
        <v>3342800</v>
      </c>
      <c r="R181" s="1194" t="s">
        <v>251</v>
      </c>
      <c r="S181" s="1195" t="s">
        <v>251</v>
      </c>
      <c r="T181" s="1195" t="s">
        <v>251</v>
      </c>
      <c r="U181" s="1195"/>
      <c r="V181" s="1195"/>
      <c r="W181" s="1195"/>
      <c r="X181" s="1195"/>
      <c r="Y181" s="1195"/>
      <c r="Z181" s="1195"/>
      <c r="AA181" s="1195"/>
      <c r="AB181" s="1195"/>
      <c r="AC181" s="1195"/>
      <c r="AD181" s="1295">
        <f t="shared" si="37"/>
        <v>0</v>
      </c>
      <c r="AE181" s="51">
        <f t="shared" si="32"/>
        <v>-1</v>
      </c>
      <c r="AF181" s="34">
        <f t="shared" si="34"/>
        <v>119</v>
      </c>
    </row>
    <row r="182" spans="1:32" x14ac:dyDescent="0.3">
      <c r="A182" s="133" t="s">
        <v>759</v>
      </c>
      <c r="B182" s="1294" t="s">
        <v>998</v>
      </c>
      <c r="C182" s="1194">
        <v>1087760</v>
      </c>
      <c r="D182" s="1195">
        <v>1179390</v>
      </c>
      <c r="E182" s="1195">
        <v>0</v>
      </c>
      <c r="F182" s="1195">
        <v>0</v>
      </c>
      <c r="G182" s="1195">
        <v>946880</v>
      </c>
      <c r="H182" s="1195">
        <v>0</v>
      </c>
      <c r="I182" s="1195">
        <v>1497060</v>
      </c>
      <c r="J182" s="1195">
        <v>458430</v>
      </c>
      <c r="K182" s="1195">
        <v>0</v>
      </c>
      <c r="L182" s="1195">
        <v>188990</v>
      </c>
      <c r="M182" s="1195"/>
      <c r="N182" s="1195">
        <v>527490</v>
      </c>
      <c r="O182" s="1195">
        <v>0</v>
      </c>
      <c r="P182" s="1502">
        <f t="shared" si="28"/>
        <v>4711090</v>
      </c>
      <c r="Q182" s="1295">
        <f t="shared" si="36"/>
        <v>5886000</v>
      </c>
      <c r="R182" s="1194">
        <v>3025750</v>
      </c>
      <c r="S182" s="1195">
        <v>483290</v>
      </c>
      <c r="T182" s="1195">
        <v>1473630</v>
      </c>
      <c r="U182" s="1195">
        <v>570980</v>
      </c>
      <c r="V182" s="1195">
        <v>0</v>
      </c>
      <c r="W182" s="1195">
        <v>0</v>
      </c>
      <c r="X182" s="1195">
        <v>0</v>
      </c>
      <c r="Y182" s="1195">
        <v>289800</v>
      </c>
      <c r="Z182" s="1195"/>
      <c r="AA182" s="1195"/>
      <c r="AB182" s="1195"/>
      <c r="AC182" s="1195"/>
      <c r="AD182" s="1295">
        <f t="shared" si="37"/>
        <v>5843450</v>
      </c>
      <c r="AE182" s="51">
        <f t="shared" si="32"/>
        <v>0.24036051104945988</v>
      </c>
      <c r="AF182" s="34">
        <f t="shared" si="34"/>
        <v>27</v>
      </c>
    </row>
    <row r="183" spans="1:32" x14ac:dyDescent="0.3">
      <c r="A183" s="134" t="s">
        <v>759</v>
      </c>
      <c r="B183" s="1294" t="s">
        <v>1014</v>
      </c>
      <c r="C183" s="1194">
        <v>0</v>
      </c>
      <c r="D183" s="1195">
        <v>0</v>
      </c>
      <c r="E183" s="1195">
        <v>0</v>
      </c>
      <c r="F183" s="1195">
        <v>255000</v>
      </c>
      <c r="G183" s="1195">
        <v>0</v>
      </c>
      <c r="H183" s="1195">
        <v>0</v>
      </c>
      <c r="I183" s="1195">
        <v>0</v>
      </c>
      <c r="J183" s="1195">
        <v>495500</v>
      </c>
      <c r="K183" s="1195">
        <v>495500</v>
      </c>
      <c r="L183" s="1195">
        <v>0</v>
      </c>
      <c r="M183" s="1195"/>
      <c r="N183" s="1195">
        <v>0</v>
      </c>
      <c r="O183" s="1195">
        <v>0</v>
      </c>
      <c r="P183" s="1502">
        <f t="shared" si="28"/>
        <v>750500</v>
      </c>
      <c r="Q183" s="1295">
        <f t="shared" si="36"/>
        <v>750500</v>
      </c>
      <c r="R183" s="1194" t="s">
        <v>251</v>
      </c>
      <c r="S183" s="1195" t="s">
        <v>251</v>
      </c>
      <c r="T183" s="1195" t="s">
        <v>251</v>
      </c>
      <c r="U183" s="1195"/>
      <c r="V183" s="1195"/>
      <c r="W183" s="1195"/>
      <c r="X183" s="1195">
        <v>495500</v>
      </c>
      <c r="Y183" s="1195">
        <v>495500</v>
      </c>
      <c r="Z183" s="1195"/>
      <c r="AA183" s="1195"/>
      <c r="AB183" s="1195"/>
      <c r="AC183" s="1195"/>
      <c r="AD183" s="1295">
        <f t="shared" si="37"/>
        <v>991000</v>
      </c>
      <c r="AE183" s="51">
        <f t="shared" si="32"/>
        <v>0.32045303131245834</v>
      </c>
      <c r="AF183" s="34">
        <f t="shared" si="34"/>
        <v>67</v>
      </c>
    </row>
    <row r="184" spans="1:32" x14ac:dyDescent="0.3">
      <c r="A184" s="133" t="s">
        <v>759</v>
      </c>
      <c r="B184" s="1294" t="s">
        <v>1015</v>
      </c>
      <c r="C184" s="1194">
        <v>0</v>
      </c>
      <c r="D184" s="1195">
        <v>0</v>
      </c>
      <c r="E184" s="1195">
        <v>0</v>
      </c>
      <c r="F184" s="1195">
        <v>0</v>
      </c>
      <c r="G184" s="1195">
        <v>2806620</v>
      </c>
      <c r="H184" s="1195">
        <v>0</v>
      </c>
      <c r="I184" s="1195">
        <v>0</v>
      </c>
      <c r="J184" s="1195">
        <v>2614360</v>
      </c>
      <c r="K184" s="1195">
        <v>0</v>
      </c>
      <c r="L184" s="1195">
        <v>2898070</v>
      </c>
      <c r="M184" s="1195">
        <v>932300</v>
      </c>
      <c r="N184" s="1195">
        <v>985610</v>
      </c>
      <c r="O184" s="1195">
        <v>0</v>
      </c>
      <c r="P184" s="1502">
        <f t="shared" si="28"/>
        <v>2806620</v>
      </c>
      <c r="Q184" s="1295">
        <f t="shared" si="36"/>
        <v>10236960</v>
      </c>
      <c r="R184" s="1194" t="s">
        <v>251</v>
      </c>
      <c r="S184" s="1195" t="s">
        <v>251</v>
      </c>
      <c r="T184" s="1195">
        <v>1110160</v>
      </c>
      <c r="U184" s="1195">
        <v>1256500</v>
      </c>
      <c r="V184" s="1195">
        <v>0</v>
      </c>
      <c r="W184" s="1195">
        <v>695100</v>
      </c>
      <c r="X184" s="1195">
        <v>0</v>
      </c>
      <c r="Y184" s="1195">
        <v>0</v>
      </c>
      <c r="Z184" s="1195"/>
      <c r="AA184" s="1195"/>
      <c r="AB184" s="1195"/>
      <c r="AC184" s="1195"/>
      <c r="AD184" s="1295">
        <f t="shared" si="37"/>
        <v>3061760</v>
      </c>
      <c r="AE184" s="51">
        <f t="shared" si="32"/>
        <v>9.0906499633010521E-2</v>
      </c>
      <c r="AF184" s="34">
        <f t="shared" si="34"/>
        <v>42</v>
      </c>
    </row>
    <row r="185" spans="1:32" x14ac:dyDescent="0.3">
      <c r="A185" s="134" t="s">
        <v>759</v>
      </c>
      <c r="B185" s="1294" t="s">
        <v>919</v>
      </c>
      <c r="C185" s="1194">
        <v>2229660</v>
      </c>
      <c r="D185" s="1195">
        <v>550140</v>
      </c>
      <c r="E185" s="1195">
        <v>0</v>
      </c>
      <c r="F185" s="1195">
        <v>0</v>
      </c>
      <c r="G185" s="1195">
        <v>0</v>
      </c>
      <c r="H185" s="1195">
        <v>0</v>
      </c>
      <c r="I185" s="1195">
        <v>0</v>
      </c>
      <c r="J185" s="1195">
        <v>0</v>
      </c>
      <c r="K185" s="1195">
        <v>0</v>
      </c>
      <c r="L185" s="1195">
        <v>0</v>
      </c>
      <c r="M185" s="1195"/>
      <c r="N185" s="1195">
        <v>0</v>
      </c>
      <c r="O185" s="1195">
        <v>0</v>
      </c>
      <c r="P185" s="1502">
        <f t="shared" si="28"/>
        <v>2779800</v>
      </c>
      <c r="Q185" s="1295">
        <f t="shared" si="36"/>
        <v>2779800</v>
      </c>
      <c r="R185" s="1194">
        <v>205460</v>
      </c>
      <c r="S185" s="1195" t="s">
        <v>251</v>
      </c>
      <c r="T185" s="1195" t="s">
        <v>251</v>
      </c>
      <c r="U185" s="1195"/>
      <c r="V185" s="1195"/>
      <c r="W185" s="1195"/>
      <c r="X185" s="1195"/>
      <c r="Y185" s="1195"/>
      <c r="Z185" s="1195"/>
      <c r="AA185" s="1195"/>
      <c r="AB185" s="1195"/>
      <c r="AC185" s="1195"/>
      <c r="AD185" s="1295">
        <f t="shared" si="37"/>
        <v>205460</v>
      </c>
      <c r="AE185" s="51">
        <f t="shared" si="32"/>
        <v>-0.92608820778473266</v>
      </c>
      <c r="AF185" s="34">
        <f t="shared" si="34"/>
        <v>108</v>
      </c>
    </row>
    <row r="186" spans="1:32" x14ac:dyDescent="0.3">
      <c r="A186" s="133" t="s">
        <v>759</v>
      </c>
      <c r="B186" s="1294" t="s">
        <v>1016</v>
      </c>
      <c r="C186" s="1194">
        <v>1418610</v>
      </c>
      <c r="D186" s="1195">
        <v>158000</v>
      </c>
      <c r="E186" s="1195">
        <v>0</v>
      </c>
      <c r="F186" s="1195">
        <v>0</v>
      </c>
      <c r="G186" s="1195">
        <v>0</v>
      </c>
      <c r="H186" s="1195">
        <v>0</v>
      </c>
      <c r="I186" s="1195">
        <v>0</v>
      </c>
      <c r="J186" s="1195">
        <v>0</v>
      </c>
      <c r="K186" s="1195">
        <v>0</v>
      </c>
      <c r="L186" s="1195">
        <v>0</v>
      </c>
      <c r="M186" s="1195"/>
      <c r="N186" s="1195">
        <v>0</v>
      </c>
      <c r="O186" s="1195">
        <v>0</v>
      </c>
      <c r="P186" s="1502">
        <f t="shared" si="28"/>
        <v>1576610</v>
      </c>
      <c r="Q186" s="1295">
        <f t="shared" si="36"/>
        <v>1576610</v>
      </c>
      <c r="R186" s="1194" t="s">
        <v>251</v>
      </c>
      <c r="S186" s="1195" t="s">
        <v>251</v>
      </c>
      <c r="T186" s="1195" t="s">
        <v>251</v>
      </c>
      <c r="U186" s="1195"/>
      <c r="V186" s="1195"/>
      <c r="W186" s="1195"/>
      <c r="X186" s="1195"/>
      <c r="Y186" s="1195"/>
      <c r="Z186" s="1195"/>
      <c r="AA186" s="1195"/>
      <c r="AB186" s="1195"/>
      <c r="AC186" s="1195"/>
      <c r="AD186" s="1295">
        <f t="shared" si="37"/>
        <v>0</v>
      </c>
      <c r="AE186" s="51">
        <f t="shared" si="32"/>
        <v>-1</v>
      </c>
      <c r="AF186" s="34">
        <f t="shared" si="34"/>
        <v>119</v>
      </c>
    </row>
    <row r="187" spans="1:32" x14ac:dyDescent="0.3">
      <c r="A187" s="133" t="s">
        <v>759</v>
      </c>
      <c r="B187" s="1294" t="s">
        <v>1017</v>
      </c>
      <c r="C187" s="1194">
        <v>1122370</v>
      </c>
      <c r="D187" s="1195">
        <v>178000</v>
      </c>
      <c r="E187" s="1195">
        <v>0</v>
      </c>
      <c r="F187" s="1195">
        <v>0</v>
      </c>
      <c r="G187" s="1195">
        <v>0</v>
      </c>
      <c r="H187" s="1195">
        <v>0</v>
      </c>
      <c r="I187" s="1195">
        <v>0</v>
      </c>
      <c r="J187" s="1195">
        <v>0</v>
      </c>
      <c r="K187" s="1195">
        <v>0</v>
      </c>
      <c r="L187" s="1195">
        <v>0</v>
      </c>
      <c r="M187" s="1195"/>
      <c r="N187" s="1195">
        <v>0</v>
      </c>
      <c r="O187" s="1195">
        <v>0</v>
      </c>
      <c r="P187" s="1502">
        <f t="shared" si="28"/>
        <v>1300370</v>
      </c>
      <c r="Q187" s="1295">
        <f t="shared" si="36"/>
        <v>1300370</v>
      </c>
      <c r="R187" s="1194" t="s">
        <v>251</v>
      </c>
      <c r="S187" s="1195" t="s">
        <v>251</v>
      </c>
      <c r="T187" s="1195" t="s">
        <v>251</v>
      </c>
      <c r="U187" s="1195"/>
      <c r="V187" s="1195"/>
      <c r="W187" s="1195"/>
      <c r="X187" s="1195"/>
      <c r="Y187" s="1195"/>
      <c r="Z187" s="1195"/>
      <c r="AA187" s="1195"/>
      <c r="AB187" s="1195"/>
      <c r="AC187" s="1195"/>
      <c r="AD187" s="1295">
        <f t="shared" si="37"/>
        <v>0</v>
      </c>
      <c r="AE187" s="51">
        <f t="shared" si="32"/>
        <v>-1</v>
      </c>
      <c r="AF187" s="34">
        <f t="shared" ref="AF187:AF219" si="38">IFERROR(_xlfn.RANK.EQ(AD187, $AD$2:$AD$288), "")</f>
        <v>119</v>
      </c>
    </row>
    <row r="188" spans="1:32" x14ac:dyDescent="0.3">
      <c r="A188" s="133" t="s">
        <v>759</v>
      </c>
      <c r="B188" s="1294" t="s">
        <v>1018</v>
      </c>
      <c r="C188" s="1194">
        <v>0</v>
      </c>
      <c r="D188" s="1195">
        <v>0</v>
      </c>
      <c r="E188" s="1195">
        <v>1721100</v>
      </c>
      <c r="F188" s="1195">
        <v>0</v>
      </c>
      <c r="G188" s="1195">
        <v>0</v>
      </c>
      <c r="H188" s="1195">
        <v>0</v>
      </c>
      <c r="I188" s="1195">
        <v>0</v>
      </c>
      <c r="J188" s="1195">
        <v>0</v>
      </c>
      <c r="K188" s="1195"/>
      <c r="L188" s="1195">
        <v>0</v>
      </c>
      <c r="M188" s="1195"/>
      <c r="N188" s="1195">
        <v>0</v>
      </c>
      <c r="O188" s="1195">
        <v>0</v>
      </c>
      <c r="P188" s="1502">
        <f t="shared" si="28"/>
        <v>1721100</v>
      </c>
      <c r="Q188" s="1295">
        <f t="shared" si="36"/>
        <v>1721100</v>
      </c>
      <c r="R188" s="1194" t="s">
        <v>251</v>
      </c>
      <c r="S188" s="1195" t="s">
        <v>251</v>
      </c>
      <c r="T188" s="1195" t="s">
        <v>251</v>
      </c>
      <c r="U188" s="1195"/>
      <c r="V188" s="1195"/>
      <c r="W188" s="1195"/>
      <c r="X188" s="1195"/>
      <c r="Y188" s="1195"/>
      <c r="Z188" s="1195"/>
      <c r="AA188" s="1195"/>
      <c r="AB188" s="1195"/>
      <c r="AC188" s="1195"/>
      <c r="AD188" s="1295">
        <f t="shared" si="37"/>
        <v>0</v>
      </c>
      <c r="AE188" s="51">
        <f t="shared" si="32"/>
        <v>-1</v>
      </c>
      <c r="AF188" s="34">
        <f t="shared" si="38"/>
        <v>119</v>
      </c>
    </row>
    <row r="189" spans="1:32" x14ac:dyDescent="0.3">
      <c r="A189" s="133" t="s">
        <v>759</v>
      </c>
      <c r="B189" s="1294" t="s">
        <v>1019</v>
      </c>
      <c r="C189" s="1194">
        <v>701610</v>
      </c>
      <c r="D189" s="1195">
        <v>0</v>
      </c>
      <c r="E189" s="1195">
        <v>0</v>
      </c>
      <c r="F189" s="1195">
        <v>611600</v>
      </c>
      <c r="G189" s="1195">
        <v>276050</v>
      </c>
      <c r="H189" s="1195">
        <v>0</v>
      </c>
      <c r="I189" s="1195">
        <v>0</v>
      </c>
      <c r="J189" s="1195">
        <v>0</v>
      </c>
      <c r="K189" s="1195">
        <v>0</v>
      </c>
      <c r="L189" s="1195">
        <v>0</v>
      </c>
      <c r="M189" s="1195"/>
      <c r="N189" s="1195">
        <v>0</v>
      </c>
      <c r="O189" s="1195">
        <v>0</v>
      </c>
      <c r="P189" s="1502">
        <f t="shared" si="28"/>
        <v>1589260</v>
      </c>
      <c r="Q189" s="1295">
        <f t="shared" si="36"/>
        <v>1589260</v>
      </c>
      <c r="R189" s="1194">
        <v>360000</v>
      </c>
      <c r="S189" s="1195" t="s">
        <v>251</v>
      </c>
      <c r="T189" s="1195">
        <v>0</v>
      </c>
      <c r="U189" s="1195">
        <v>0</v>
      </c>
      <c r="V189" s="1195">
        <v>0</v>
      </c>
      <c r="W189" s="1195">
        <v>381880</v>
      </c>
      <c r="X189" s="1195">
        <v>0</v>
      </c>
      <c r="Y189" s="1195">
        <v>0</v>
      </c>
      <c r="Z189" s="1195"/>
      <c r="AA189" s="1195"/>
      <c r="AB189" s="1195"/>
      <c r="AC189" s="1195"/>
      <c r="AD189" s="1295">
        <f t="shared" si="37"/>
        <v>741880</v>
      </c>
      <c r="AE189" s="51">
        <f t="shared" si="32"/>
        <v>-0.53319154826774728</v>
      </c>
      <c r="AF189" s="34">
        <f t="shared" si="38"/>
        <v>71</v>
      </c>
    </row>
    <row r="190" spans="1:32" x14ac:dyDescent="0.3">
      <c r="A190" s="133" t="s">
        <v>759</v>
      </c>
      <c r="B190" s="1294" t="s">
        <v>1020</v>
      </c>
      <c r="C190" s="1194">
        <v>0</v>
      </c>
      <c r="D190" s="1195">
        <v>0</v>
      </c>
      <c r="E190" s="1195">
        <v>504650</v>
      </c>
      <c r="F190" s="1195">
        <v>0</v>
      </c>
      <c r="G190" s="1195">
        <v>619400</v>
      </c>
      <c r="H190" s="1195">
        <v>899490</v>
      </c>
      <c r="I190" s="1195">
        <v>313850</v>
      </c>
      <c r="J190" s="1195">
        <v>884200</v>
      </c>
      <c r="K190" s="1195">
        <v>0</v>
      </c>
      <c r="L190" s="1195">
        <v>1236150</v>
      </c>
      <c r="M190" s="1195">
        <v>752300</v>
      </c>
      <c r="N190" s="1195">
        <v>1153700</v>
      </c>
      <c r="O190" s="1195">
        <v>0</v>
      </c>
      <c r="P190" s="1502">
        <f t="shared" si="28"/>
        <v>2337390</v>
      </c>
      <c r="Q190" s="1295">
        <f t="shared" si="36"/>
        <v>6363740</v>
      </c>
      <c r="R190" s="1194" t="s">
        <v>251</v>
      </c>
      <c r="S190" s="1195" t="s">
        <v>251</v>
      </c>
      <c r="T190" s="1195" t="s">
        <v>251</v>
      </c>
      <c r="U190" s="1195"/>
      <c r="V190" s="1195"/>
      <c r="W190" s="1195"/>
      <c r="X190" s="1195">
        <v>144480</v>
      </c>
      <c r="Y190" s="1195">
        <v>0</v>
      </c>
      <c r="Z190" s="1195"/>
      <c r="AA190" s="1195"/>
      <c r="AB190" s="1195"/>
      <c r="AC190" s="1195"/>
      <c r="AD190" s="1295">
        <f t="shared" si="37"/>
        <v>144480</v>
      </c>
      <c r="AE190" s="51">
        <f t="shared" si="32"/>
        <v>-0.9381874655063982</v>
      </c>
      <c r="AF190" s="34">
        <f t="shared" si="38"/>
        <v>110</v>
      </c>
    </row>
    <row r="191" spans="1:32" x14ac:dyDescent="0.3">
      <c r="A191" s="133" t="s">
        <v>759</v>
      </c>
      <c r="B191" s="1294" t="s">
        <v>1021</v>
      </c>
      <c r="C191" s="1194">
        <v>0</v>
      </c>
      <c r="D191" s="1195">
        <v>1444490</v>
      </c>
      <c r="E191" s="1195">
        <v>0</v>
      </c>
      <c r="F191" s="1195">
        <v>0</v>
      </c>
      <c r="G191" s="1195">
        <v>0</v>
      </c>
      <c r="H191" s="1195">
        <v>0</v>
      </c>
      <c r="I191" s="1195">
        <v>0</v>
      </c>
      <c r="J191" s="1195">
        <v>0</v>
      </c>
      <c r="K191" s="1195">
        <v>0</v>
      </c>
      <c r="L191" s="1195">
        <v>0</v>
      </c>
      <c r="M191" s="1195"/>
      <c r="N191" s="1195">
        <v>0</v>
      </c>
      <c r="O191" s="1195">
        <v>0</v>
      </c>
      <c r="P191" s="1502">
        <f t="shared" si="28"/>
        <v>1444490</v>
      </c>
      <c r="Q191" s="1295">
        <f t="shared" si="36"/>
        <v>1444490</v>
      </c>
      <c r="R191" s="1194" t="s">
        <v>251</v>
      </c>
      <c r="S191" s="1195" t="s">
        <v>251</v>
      </c>
      <c r="T191" s="1195" t="s">
        <v>251</v>
      </c>
      <c r="U191" s="1195"/>
      <c r="V191" s="1195"/>
      <c r="W191" s="1195"/>
      <c r="X191" s="1195"/>
      <c r="Y191" s="1195"/>
      <c r="Z191" s="1195"/>
      <c r="AA191" s="1195"/>
      <c r="AB191" s="1195"/>
      <c r="AC191" s="1195"/>
      <c r="AD191" s="1295">
        <f t="shared" si="37"/>
        <v>0</v>
      </c>
      <c r="AE191" s="51">
        <f t="shared" si="32"/>
        <v>-1</v>
      </c>
      <c r="AF191" s="34">
        <f t="shared" si="38"/>
        <v>119</v>
      </c>
    </row>
    <row r="192" spans="1:32" x14ac:dyDescent="0.3">
      <c r="A192" s="133" t="s">
        <v>759</v>
      </c>
      <c r="B192" s="1294" t="s">
        <v>1022</v>
      </c>
      <c r="C192" s="1194">
        <v>1103500</v>
      </c>
      <c r="D192" s="1195">
        <v>0</v>
      </c>
      <c r="E192" s="1195">
        <v>172600</v>
      </c>
      <c r="F192" s="1195">
        <v>166000</v>
      </c>
      <c r="G192" s="1195">
        <v>0</v>
      </c>
      <c r="H192" s="1195">
        <v>180420</v>
      </c>
      <c r="I192" s="1195">
        <v>0</v>
      </c>
      <c r="J192" s="1195">
        <v>1060270</v>
      </c>
      <c r="K192" s="1195">
        <v>963340</v>
      </c>
      <c r="L192" s="1195">
        <v>331980</v>
      </c>
      <c r="M192" s="1195"/>
      <c r="N192" s="1195">
        <v>0</v>
      </c>
      <c r="O192" s="1195">
        <v>321100</v>
      </c>
      <c r="P192" s="1502">
        <f t="shared" si="28"/>
        <v>2585860</v>
      </c>
      <c r="Q192" s="1295">
        <f t="shared" si="36"/>
        <v>3335870</v>
      </c>
      <c r="R192" s="1194">
        <v>342470</v>
      </c>
      <c r="S192" s="1195" t="s">
        <v>251</v>
      </c>
      <c r="T192" s="1195">
        <v>0</v>
      </c>
      <c r="U192" s="1195">
        <v>186370</v>
      </c>
      <c r="V192" s="1195">
        <v>0</v>
      </c>
      <c r="W192" s="1195">
        <v>0</v>
      </c>
      <c r="X192" s="1195">
        <v>0</v>
      </c>
      <c r="Y192" s="1195">
        <v>0</v>
      </c>
      <c r="Z192" s="1195"/>
      <c r="AA192" s="1195"/>
      <c r="AB192" s="1195"/>
      <c r="AC192" s="1195"/>
      <c r="AD192" s="1295">
        <f t="shared" si="37"/>
        <v>528840</v>
      </c>
      <c r="AE192" s="51">
        <f t="shared" si="32"/>
        <v>-0.79548776809262678</v>
      </c>
      <c r="AF192" s="34">
        <f t="shared" si="38"/>
        <v>82</v>
      </c>
    </row>
    <row r="193" spans="1:32" x14ac:dyDescent="0.3">
      <c r="A193" s="133" t="s">
        <v>759</v>
      </c>
      <c r="B193" s="1294" t="s">
        <v>1023</v>
      </c>
      <c r="C193" s="1194">
        <v>1430490</v>
      </c>
      <c r="D193" s="1195">
        <v>0</v>
      </c>
      <c r="E193" s="1195">
        <v>0</v>
      </c>
      <c r="F193" s="1195">
        <v>0</v>
      </c>
      <c r="G193" s="1195">
        <v>0</v>
      </c>
      <c r="H193" s="1195">
        <v>0</v>
      </c>
      <c r="I193" s="1195">
        <v>0</v>
      </c>
      <c r="J193" s="1195">
        <v>0</v>
      </c>
      <c r="K193" s="1195">
        <v>0</v>
      </c>
      <c r="L193" s="1195">
        <v>0</v>
      </c>
      <c r="M193" s="1195"/>
      <c r="N193" s="1195">
        <v>0</v>
      </c>
      <c r="O193" s="1195">
        <v>0</v>
      </c>
      <c r="P193" s="1502">
        <f t="shared" si="28"/>
        <v>1430490</v>
      </c>
      <c r="Q193" s="1295">
        <f t="shared" si="36"/>
        <v>1430490</v>
      </c>
      <c r="R193" s="1194" t="s">
        <v>251</v>
      </c>
      <c r="S193" s="1195" t="s">
        <v>251</v>
      </c>
      <c r="T193" s="1195" t="s">
        <v>251</v>
      </c>
      <c r="U193" s="1195"/>
      <c r="V193" s="1195"/>
      <c r="W193" s="1195"/>
      <c r="X193" s="1195"/>
      <c r="Y193" s="1195"/>
      <c r="Z193" s="1195"/>
      <c r="AA193" s="1195"/>
      <c r="AB193" s="1195"/>
      <c r="AC193" s="1195"/>
      <c r="AD193" s="1295">
        <f t="shared" si="37"/>
        <v>0</v>
      </c>
      <c r="AE193" s="51">
        <f t="shared" si="32"/>
        <v>-1</v>
      </c>
      <c r="AF193" s="34">
        <f t="shared" si="38"/>
        <v>119</v>
      </c>
    </row>
    <row r="194" spans="1:32" x14ac:dyDescent="0.3">
      <c r="A194" s="133" t="s">
        <v>759</v>
      </c>
      <c r="B194" s="1294" t="s">
        <v>973</v>
      </c>
      <c r="C194" s="1194">
        <v>426720</v>
      </c>
      <c r="D194" s="1195">
        <v>228750</v>
      </c>
      <c r="E194" s="1195">
        <v>465800</v>
      </c>
      <c r="F194" s="1195">
        <v>210350</v>
      </c>
      <c r="G194" s="1195">
        <v>0</v>
      </c>
      <c r="H194" s="1195">
        <v>0</v>
      </c>
      <c r="I194" s="1195">
        <v>0</v>
      </c>
      <c r="J194" s="1195">
        <v>626470</v>
      </c>
      <c r="K194" s="1195">
        <v>208070</v>
      </c>
      <c r="L194" s="1195">
        <v>1591580</v>
      </c>
      <c r="M194" s="1195"/>
      <c r="N194" s="1195">
        <v>0</v>
      </c>
      <c r="O194" s="1195">
        <v>0</v>
      </c>
      <c r="P194" s="1502">
        <f t="shared" si="28"/>
        <v>1539690</v>
      </c>
      <c r="Q194" s="1295">
        <f t="shared" si="36"/>
        <v>3549670</v>
      </c>
      <c r="R194" s="1194" t="s">
        <v>251</v>
      </c>
      <c r="S194" s="1195" t="s">
        <v>251</v>
      </c>
      <c r="T194" s="1195" t="s">
        <v>251</v>
      </c>
      <c r="U194" s="1195"/>
      <c r="V194" s="1195"/>
      <c r="W194" s="1195"/>
      <c r="X194" s="1195"/>
      <c r="Y194" s="1195"/>
      <c r="Z194" s="1195"/>
      <c r="AA194" s="1195"/>
      <c r="AB194" s="1195"/>
      <c r="AC194" s="1195"/>
      <c r="AD194" s="1295">
        <f t="shared" si="37"/>
        <v>0</v>
      </c>
      <c r="AE194" s="51">
        <f t="shared" si="32"/>
        <v>-1</v>
      </c>
      <c r="AF194" s="34">
        <f t="shared" si="38"/>
        <v>119</v>
      </c>
    </row>
    <row r="195" spans="1:32" x14ac:dyDescent="0.3">
      <c r="A195" s="133" t="s">
        <v>759</v>
      </c>
      <c r="B195" s="1294" t="s">
        <v>1024</v>
      </c>
      <c r="C195" s="1194">
        <v>743130</v>
      </c>
      <c r="D195" s="1195">
        <v>476640</v>
      </c>
      <c r="E195" s="1195">
        <v>0</v>
      </c>
      <c r="F195" s="1195">
        <v>0</v>
      </c>
      <c r="G195" s="1195">
        <v>0</v>
      </c>
      <c r="H195" s="1195">
        <v>0</v>
      </c>
      <c r="I195" s="1195">
        <v>0</v>
      </c>
      <c r="J195" s="1195">
        <v>0</v>
      </c>
      <c r="K195" s="1195">
        <v>0</v>
      </c>
      <c r="L195" s="1195">
        <v>0</v>
      </c>
      <c r="M195" s="1195"/>
      <c r="N195" s="1195">
        <v>0</v>
      </c>
      <c r="O195" s="1195">
        <v>0</v>
      </c>
      <c r="P195" s="1502">
        <f t="shared" si="28"/>
        <v>1219770</v>
      </c>
      <c r="Q195" s="1295">
        <f t="shared" si="36"/>
        <v>1219770</v>
      </c>
      <c r="R195" s="1194" t="s">
        <v>251</v>
      </c>
      <c r="S195" s="1195" t="s">
        <v>251</v>
      </c>
      <c r="T195" s="1195" t="s">
        <v>251</v>
      </c>
      <c r="U195" s="1195"/>
      <c r="V195" s="1195"/>
      <c r="W195" s="1195"/>
      <c r="X195" s="1195"/>
      <c r="Y195" s="1195"/>
      <c r="Z195" s="1195"/>
      <c r="AA195" s="1195"/>
      <c r="AB195" s="1195"/>
      <c r="AC195" s="1195"/>
      <c r="AD195" s="1295">
        <f t="shared" si="37"/>
        <v>0</v>
      </c>
      <c r="AE195" s="51">
        <f t="shared" si="32"/>
        <v>-1</v>
      </c>
      <c r="AF195" s="34">
        <f t="shared" si="38"/>
        <v>119</v>
      </c>
    </row>
    <row r="196" spans="1:32" x14ac:dyDescent="0.3">
      <c r="A196" s="133" t="s">
        <v>759</v>
      </c>
      <c r="B196" s="1294" t="s">
        <v>1025</v>
      </c>
      <c r="C196" s="1194">
        <v>873140</v>
      </c>
      <c r="D196" s="1195">
        <v>0</v>
      </c>
      <c r="E196" s="1195">
        <v>0</v>
      </c>
      <c r="F196" s="1195">
        <v>0</v>
      </c>
      <c r="G196" s="1195">
        <v>0</v>
      </c>
      <c r="H196" s="1195">
        <v>0</v>
      </c>
      <c r="I196" s="1195">
        <v>0</v>
      </c>
      <c r="J196" s="1195">
        <v>1177510</v>
      </c>
      <c r="K196" s="1195">
        <v>389120</v>
      </c>
      <c r="L196" s="1195">
        <v>778140</v>
      </c>
      <c r="M196" s="1195"/>
      <c r="N196" s="1195">
        <v>499990</v>
      </c>
      <c r="O196" s="1195">
        <v>0</v>
      </c>
      <c r="P196" s="1502">
        <f t="shared" si="28"/>
        <v>1262260</v>
      </c>
      <c r="Q196" s="1295">
        <f t="shared" si="36"/>
        <v>3328780</v>
      </c>
      <c r="R196" s="1194" t="s">
        <v>251</v>
      </c>
      <c r="S196" s="1195" t="s">
        <v>251</v>
      </c>
      <c r="T196" s="1195" t="s">
        <v>251</v>
      </c>
      <c r="U196" s="1195"/>
      <c r="V196" s="1195"/>
      <c r="W196" s="1195"/>
      <c r="X196" s="1195"/>
      <c r="Y196" s="1195"/>
      <c r="Z196" s="1195"/>
      <c r="AA196" s="1195"/>
      <c r="AB196" s="1195"/>
      <c r="AC196" s="1195"/>
      <c r="AD196" s="1295">
        <f t="shared" si="37"/>
        <v>0</v>
      </c>
      <c r="AE196" s="51">
        <f t="shared" si="32"/>
        <v>-1</v>
      </c>
      <c r="AF196" s="34">
        <f t="shared" si="38"/>
        <v>119</v>
      </c>
    </row>
    <row r="197" spans="1:32" x14ac:dyDescent="0.3">
      <c r="A197" s="134" t="s">
        <v>759</v>
      </c>
      <c r="B197" s="1294" t="s">
        <v>1026</v>
      </c>
      <c r="C197" s="1194">
        <v>0</v>
      </c>
      <c r="D197" s="1195">
        <v>0</v>
      </c>
      <c r="E197" s="1195">
        <v>599220</v>
      </c>
      <c r="F197" s="1195">
        <v>0</v>
      </c>
      <c r="G197" s="1195">
        <v>0</v>
      </c>
      <c r="H197" s="1195">
        <v>0</v>
      </c>
      <c r="I197" s="1195">
        <v>0</v>
      </c>
      <c r="J197" s="1195">
        <v>0</v>
      </c>
      <c r="K197" s="1195">
        <v>0</v>
      </c>
      <c r="L197" s="1195">
        <v>0</v>
      </c>
      <c r="M197" s="1195"/>
      <c r="N197" s="1195">
        <v>0</v>
      </c>
      <c r="O197" s="1195">
        <v>0</v>
      </c>
      <c r="P197" s="1502">
        <f t="shared" si="28"/>
        <v>599220</v>
      </c>
      <c r="Q197" s="1295">
        <f t="shared" si="36"/>
        <v>599220</v>
      </c>
      <c r="R197" s="1194" t="s">
        <v>251</v>
      </c>
      <c r="S197" s="1195" t="s">
        <v>251</v>
      </c>
      <c r="T197" s="1195" t="s">
        <v>251</v>
      </c>
      <c r="U197" s="1195"/>
      <c r="V197" s="1195"/>
      <c r="W197" s="1195"/>
      <c r="X197" s="1195"/>
      <c r="Y197" s="1195"/>
      <c r="Z197" s="1195"/>
      <c r="AA197" s="1195"/>
      <c r="AB197" s="1195"/>
      <c r="AC197" s="1195"/>
      <c r="AD197" s="1295">
        <f t="shared" si="37"/>
        <v>0</v>
      </c>
      <c r="AE197" s="51">
        <f t="shared" si="32"/>
        <v>-1</v>
      </c>
      <c r="AF197" s="34">
        <f t="shared" si="38"/>
        <v>119</v>
      </c>
    </row>
    <row r="198" spans="1:32" x14ac:dyDescent="0.3">
      <c r="A198" s="133" t="s">
        <v>759</v>
      </c>
      <c r="B198" s="1294" t="s">
        <v>924</v>
      </c>
      <c r="C198" s="1194">
        <v>999910</v>
      </c>
      <c r="D198" s="1195">
        <v>0</v>
      </c>
      <c r="E198" s="1195">
        <v>0</v>
      </c>
      <c r="F198" s="1195">
        <v>0</v>
      </c>
      <c r="G198" s="1195">
        <v>0</v>
      </c>
      <c r="H198" s="1195">
        <v>0</v>
      </c>
      <c r="I198" s="1195">
        <v>0</v>
      </c>
      <c r="J198" s="1195">
        <v>0</v>
      </c>
      <c r="K198" s="1195">
        <v>0</v>
      </c>
      <c r="L198" s="1195">
        <v>0</v>
      </c>
      <c r="M198" s="1195"/>
      <c r="N198" s="1195">
        <v>0</v>
      </c>
      <c r="O198" s="1195">
        <v>0</v>
      </c>
      <c r="P198" s="1502">
        <f t="shared" si="28"/>
        <v>999910</v>
      </c>
      <c r="Q198" s="1295">
        <f t="shared" si="36"/>
        <v>999910</v>
      </c>
      <c r="R198" s="1194" t="s">
        <v>251</v>
      </c>
      <c r="S198" s="1195" t="s">
        <v>251</v>
      </c>
      <c r="T198" s="1195" t="s">
        <v>251</v>
      </c>
      <c r="U198" s="1195"/>
      <c r="V198" s="1195"/>
      <c r="W198" s="1195"/>
      <c r="X198" s="1195"/>
      <c r="Y198" s="1195"/>
      <c r="Z198" s="1195"/>
      <c r="AA198" s="1195"/>
      <c r="AB198" s="1195"/>
      <c r="AC198" s="1195"/>
      <c r="AD198" s="1295">
        <f t="shared" si="37"/>
        <v>0</v>
      </c>
      <c r="AE198" s="51">
        <f t="shared" si="32"/>
        <v>-1</v>
      </c>
      <c r="AF198" s="34">
        <f t="shared" si="38"/>
        <v>119</v>
      </c>
    </row>
    <row r="199" spans="1:32" x14ac:dyDescent="0.3">
      <c r="A199" s="133" t="s">
        <v>759</v>
      </c>
      <c r="B199" s="1294" t="s">
        <v>1027</v>
      </c>
      <c r="C199" s="1194" t="s">
        <v>251</v>
      </c>
      <c r="D199" s="1195" t="s">
        <v>251</v>
      </c>
      <c r="E199" s="1195" t="s">
        <v>251</v>
      </c>
      <c r="F199" s="1195" t="s">
        <v>251</v>
      </c>
      <c r="G199" s="1195" t="s">
        <v>251</v>
      </c>
      <c r="H199" s="1195" t="s">
        <v>251</v>
      </c>
      <c r="I199" s="1195" t="s">
        <v>251</v>
      </c>
      <c r="J199" s="1195" t="s">
        <v>251</v>
      </c>
      <c r="K199" s="1195"/>
      <c r="L199" s="1195" t="s">
        <v>251</v>
      </c>
      <c r="M199" s="1195"/>
      <c r="N199" s="1195" t="s">
        <v>251</v>
      </c>
      <c r="O199" s="1195" t="s">
        <v>251</v>
      </c>
      <c r="P199" s="1502">
        <f t="shared" si="28"/>
        <v>0</v>
      </c>
      <c r="Q199" s="1295">
        <f t="shared" si="36"/>
        <v>0</v>
      </c>
      <c r="R199" s="1194" t="s">
        <v>251</v>
      </c>
      <c r="S199" s="1195" t="s">
        <v>251</v>
      </c>
      <c r="T199" s="1195" t="s">
        <v>251</v>
      </c>
      <c r="U199" s="1195"/>
      <c r="V199" s="1195"/>
      <c r="W199" s="1195"/>
      <c r="X199" s="1195"/>
      <c r="Y199" s="1195">
        <v>31103930</v>
      </c>
      <c r="Z199" s="1195"/>
      <c r="AA199" s="1195"/>
      <c r="AB199" s="1195"/>
      <c r="AC199" s="1195"/>
      <c r="AD199" s="1295">
        <f t="shared" si="37"/>
        <v>31103930</v>
      </c>
      <c r="AE199" s="51">
        <f t="shared" si="32"/>
        <v>1</v>
      </c>
      <c r="AF199" s="34">
        <f t="shared" si="38"/>
        <v>5</v>
      </c>
    </row>
    <row r="200" spans="1:32" x14ac:dyDescent="0.3">
      <c r="A200" s="133" t="s">
        <v>759</v>
      </c>
      <c r="B200" s="1294" t="s">
        <v>983</v>
      </c>
      <c r="C200" s="1194">
        <v>305000</v>
      </c>
      <c r="D200" s="1195">
        <v>210310</v>
      </c>
      <c r="E200" s="1195">
        <v>443700</v>
      </c>
      <c r="F200" s="1195">
        <v>0</v>
      </c>
      <c r="G200" s="1195">
        <v>0</v>
      </c>
      <c r="H200" s="1195">
        <v>0</v>
      </c>
      <c r="I200" s="1195">
        <v>0</v>
      </c>
      <c r="J200" s="1195">
        <v>0</v>
      </c>
      <c r="K200" s="1195">
        <v>0</v>
      </c>
      <c r="L200" s="1195">
        <v>0</v>
      </c>
      <c r="M200" s="1195"/>
      <c r="N200" s="1195">
        <v>0</v>
      </c>
      <c r="O200" s="1195">
        <v>0</v>
      </c>
      <c r="P200" s="1502">
        <f t="shared" si="28"/>
        <v>959010</v>
      </c>
      <c r="Q200" s="1295">
        <f t="shared" si="36"/>
        <v>959010</v>
      </c>
      <c r="R200" s="1194" t="s">
        <v>251</v>
      </c>
      <c r="S200" s="1195" t="s">
        <v>251</v>
      </c>
      <c r="T200" s="1195" t="s">
        <v>251</v>
      </c>
      <c r="U200" s="1195"/>
      <c r="V200" s="1195"/>
      <c r="W200" s="1195"/>
      <c r="X200" s="1195"/>
      <c r="Y200" s="1195"/>
      <c r="Z200" s="1195"/>
      <c r="AA200" s="1195"/>
      <c r="AB200" s="1195"/>
      <c r="AC200" s="1195"/>
      <c r="AD200" s="1295">
        <f t="shared" si="37"/>
        <v>0</v>
      </c>
      <c r="AE200" s="51">
        <f t="shared" si="32"/>
        <v>-1</v>
      </c>
      <c r="AF200" s="34">
        <f t="shared" si="38"/>
        <v>119</v>
      </c>
    </row>
    <row r="201" spans="1:32" x14ac:dyDescent="0.3">
      <c r="A201" s="134" t="s">
        <v>759</v>
      </c>
      <c r="B201" s="1294" t="s">
        <v>1028</v>
      </c>
      <c r="C201" s="1194" t="s">
        <v>251</v>
      </c>
      <c r="D201" s="1195" t="s">
        <v>251</v>
      </c>
      <c r="E201" s="1195" t="s">
        <v>251</v>
      </c>
      <c r="F201" s="1195" t="s">
        <v>251</v>
      </c>
      <c r="G201" s="1195" t="s">
        <v>251</v>
      </c>
      <c r="H201" s="1195" t="s">
        <v>251</v>
      </c>
      <c r="I201" s="1195" t="s">
        <v>251</v>
      </c>
      <c r="J201" s="1195" t="s">
        <v>251</v>
      </c>
      <c r="K201" s="1195"/>
      <c r="L201" s="1195" t="s">
        <v>251</v>
      </c>
      <c r="M201" s="1195"/>
      <c r="N201" s="1195" t="s">
        <v>251</v>
      </c>
      <c r="O201" s="1195" t="s">
        <v>251</v>
      </c>
      <c r="P201" s="1502">
        <f t="shared" si="28"/>
        <v>0</v>
      </c>
      <c r="Q201" s="1295">
        <f t="shared" si="36"/>
        <v>0</v>
      </c>
      <c r="R201" s="1194" t="s">
        <v>251</v>
      </c>
      <c r="S201" s="1195" t="s">
        <v>251</v>
      </c>
      <c r="T201" s="1195" t="s">
        <v>251</v>
      </c>
      <c r="U201" s="1195"/>
      <c r="V201" s="1195"/>
      <c r="W201" s="1195"/>
      <c r="X201" s="1195"/>
      <c r="Y201" s="1195"/>
      <c r="Z201" s="1195"/>
      <c r="AA201" s="1195"/>
      <c r="AB201" s="1195"/>
      <c r="AC201" s="1195"/>
      <c r="AD201" s="1295">
        <f t="shared" si="37"/>
        <v>0</v>
      </c>
      <c r="AE201" s="51">
        <f t="shared" si="32"/>
        <v>0</v>
      </c>
      <c r="AF201" s="34">
        <f t="shared" si="38"/>
        <v>119</v>
      </c>
    </row>
    <row r="202" spans="1:32" x14ac:dyDescent="0.3">
      <c r="A202" s="133" t="s">
        <v>759</v>
      </c>
      <c r="B202" s="1294" t="s">
        <v>1029</v>
      </c>
      <c r="C202" s="1194">
        <v>0</v>
      </c>
      <c r="D202" s="1195">
        <v>0</v>
      </c>
      <c r="E202" s="1195">
        <v>0</v>
      </c>
      <c r="F202" s="1195">
        <v>0</v>
      </c>
      <c r="G202" s="1195">
        <v>799950</v>
      </c>
      <c r="H202" s="1195">
        <v>0</v>
      </c>
      <c r="I202" s="1195">
        <v>0</v>
      </c>
      <c r="J202" s="1195">
        <v>471960</v>
      </c>
      <c r="K202" s="1195">
        <v>0</v>
      </c>
      <c r="L202" s="1195">
        <v>242000</v>
      </c>
      <c r="M202" s="1195"/>
      <c r="N202" s="1195">
        <v>0</v>
      </c>
      <c r="O202" s="1195">
        <v>0</v>
      </c>
      <c r="P202" s="1502">
        <f t="shared" ref="P202:P265" si="39">SUM(C202:I202,K202)</f>
        <v>799950</v>
      </c>
      <c r="Q202" s="1295">
        <f t="shared" si="36"/>
        <v>1513910</v>
      </c>
      <c r="R202" s="1194" t="s">
        <v>251</v>
      </c>
      <c r="S202" s="1195" t="s">
        <v>251</v>
      </c>
      <c r="T202" s="1195" t="s">
        <v>251</v>
      </c>
      <c r="U202" s="1195"/>
      <c r="V202" s="1195"/>
      <c r="W202" s="1195"/>
      <c r="X202" s="1195"/>
      <c r="Y202" s="1195"/>
      <c r="Z202" s="1195"/>
      <c r="AA202" s="1195"/>
      <c r="AB202" s="1195"/>
      <c r="AC202" s="1195"/>
      <c r="AD202" s="1295">
        <f t="shared" si="37"/>
        <v>0</v>
      </c>
      <c r="AE202" s="51">
        <f t="shared" si="32"/>
        <v>-1</v>
      </c>
      <c r="AF202" s="34">
        <f t="shared" si="38"/>
        <v>119</v>
      </c>
    </row>
    <row r="203" spans="1:32" x14ac:dyDescent="0.3">
      <c r="A203" s="133" t="s">
        <v>759</v>
      </c>
      <c r="B203" s="1294" t="s">
        <v>1030</v>
      </c>
      <c r="C203" s="1194">
        <v>0</v>
      </c>
      <c r="D203" s="1195">
        <v>0</v>
      </c>
      <c r="E203" s="1195">
        <v>266000</v>
      </c>
      <c r="F203" s="1195">
        <v>0</v>
      </c>
      <c r="G203" s="1195">
        <v>0</v>
      </c>
      <c r="H203" s="1195">
        <v>0</v>
      </c>
      <c r="I203" s="1195">
        <v>0</v>
      </c>
      <c r="J203" s="1195">
        <v>0</v>
      </c>
      <c r="K203" s="1195">
        <v>0</v>
      </c>
      <c r="L203" s="1195">
        <v>0</v>
      </c>
      <c r="M203" s="1195"/>
      <c r="N203" s="1195">
        <v>0</v>
      </c>
      <c r="O203" s="1195">
        <v>0</v>
      </c>
      <c r="P203" s="1502">
        <f t="shared" si="39"/>
        <v>266000</v>
      </c>
      <c r="Q203" s="1295">
        <f t="shared" si="36"/>
        <v>266000</v>
      </c>
      <c r="R203" s="1194" t="s">
        <v>251</v>
      </c>
      <c r="S203" s="1195" t="s">
        <v>251</v>
      </c>
      <c r="T203" s="1195" t="s">
        <v>251</v>
      </c>
      <c r="U203" s="1195"/>
      <c r="V203" s="1195"/>
      <c r="W203" s="1195"/>
      <c r="X203" s="1195"/>
      <c r="Y203" s="1195"/>
      <c r="Z203" s="1195"/>
      <c r="AA203" s="1195"/>
      <c r="AB203" s="1195"/>
      <c r="AC203" s="1195"/>
      <c r="AD203" s="1295">
        <f t="shared" si="37"/>
        <v>0</v>
      </c>
      <c r="AE203" s="51">
        <f t="shared" si="32"/>
        <v>-1</v>
      </c>
      <c r="AF203" s="34">
        <f t="shared" si="38"/>
        <v>119</v>
      </c>
    </row>
    <row r="204" spans="1:32" x14ac:dyDescent="0.3">
      <c r="A204" s="133" t="s">
        <v>759</v>
      </c>
      <c r="B204" s="1294" t="s">
        <v>1031</v>
      </c>
      <c r="C204" s="1194">
        <v>0</v>
      </c>
      <c r="D204" s="1195">
        <v>655100</v>
      </c>
      <c r="E204" s="1195">
        <v>0</v>
      </c>
      <c r="F204" s="1195">
        <v>0</v>
      </c>
      <c r="G204" s="1195">
        <v>0</v>
      </c>
      <c r="H204" s="1195">
        <v>0</v>
      </c>
      <c r="I204" s="1195">
        <v>0</v>
      </c>
      <c r="J204" s="1195">
        <v>0</v>
      </c>
      <c r="K204" s="1195">
        <v>0</v>
      </c>
      <c r="L204" s="1195">
        <v>0</v>
      </c>
      <c r="M204" s="1195"/>
      <c r="N204" s="1195">
        <v>0</v>
      </c>
      <c r="O204" s="1195">
        <v>0</v>
      </c>
      <c r="P204" s="1502">
        <f t="shared" si="39"/>
        <v>655100</v>
      </c>
      <c r="Q204" s="1295">
        <f t="shared" si="36"/>
        <v>655100</v>
      </c>
      <c r="R204" s="1194" t="s">
        <v>251</v>
      </c>
      <c r="S204" s="1195" t="s">
        <v>251</v>
      </c>
      <c r="T204" s="1195" t="s">
        <v>251</v>
      </c>
      <c r="U204" s="1195"/>
      <c r="V204" s="1195"/>
      <c r="W204" s="1195"/>
      <c r="X204" s="1195"/>
      <c r="Y204" s="1195"/>
      <c r="Z204" s="1195"/>
      <c r="AA204" s="1195"/>
      <c r="AB204" s="1195"/>
      <c r="AC204" s="1195"/>
      <c r="AD204" s="1295">
        <f t="shared" si="37"/>
        <v>0</v>
      </c>
      <c r="AE204" s="51">
        <f t="shared" si="32"/>
        <v>-1</v>
      </c>
      <c r="AF204" s="34">
        <f t="shared" si="38"/>
        <v>119</v>
      </c>
    </row>
    <row r="205" spans="1:32" x14ac:dyDescent="0.3">
      <c r="A205" s="133" t="s">
        <v>759</v>
      </c>
      <c r="B205" s="1294" t="s">
        <v>1032</v>
      </c>
      <c r="C205" s="1194">
        <v>380500</v>
      </c>
      <c r="D205" s="1195">
        <v>0</v>
      </c>
      <c r="E205" s="1195">
        <v>0</v>
      </c>
      <c r="F205" s="1195">
        <v>0</v>
      </c>
      <c r="G205" s="1195">
        <v>0</v>
      </c>
      <c r="H205" s="1195">
        <v>0</v>
      </c>
      <c r="I205" s="1195">
        <v>0</v>
      </c>
      <c r="J205" s="1195">
        <v>0</v>
      </c>
      <c r="K205" s="1195">
        <v>0</v>
      </c>
      <c r="L205" s="1195">
        <v>0</v>
      </c>
      <c r="M205" s="1195"/>
      <c r="N205" s="1195">
        <v>0</v>
      </c>
      <c r="O205" s="1195">
        <v>0</v>
      </c>
      <c r="P205" s="1502">
        <f t="shared" si="39"/>
        <v>380500</v>
      </c>
      <c r="Q205" s="1295">
        <f t="shared" si="36"/>
        <v>380500</v>
      </c>
      <c r="R205" s="1194" t="s">
        <v>251</v>
      </c>
      <c r="S205" s="1195" t="s">
        <v>251</v>
      </c>
      <c r="T205" s="1195" t="s">
        <v>251</v>
      </c>
      <c r="U205" s="1195"/>
      <c r="V205" s="1195"/>
      <c r="W205" s="1195"/>
      <c r="X205" s="1195"/>
      <c r="Y205" s="1195"/>
      <c r="Z205" s="1195"/>
      <c r="AA205" s="1195"/>
      <c r="AB205" s="1195"/>
      <c r="AC205" s="1195"/>
      <c r="AD205" s="1295">
        <f t="shared" si="37"/>
        <v>0</v>
      </c>
      <c r="AE205" s="51">
        <f t="shared" si="32"/>
        <v>-1</v>
      </c>
      <c r="AF205" s="34">
        <f t="shared" si="38"/>
        <v>119</v>
      </c>
    </row>
    <row r="206" spans="1:32" x14ac:dyDescent="0.3">
      <c r="A206" s="133" t="s">
        <v>759</v>
      </c>
      <c r="B206" s="1294" t="s">
        <v>1033</v>
      </c>
      <c r="C206" s="1194" t="s">
        <v>251</v>
      </c>
      <c r="D206" s="1195" t="s">
        <v>251</v>
      </c>
      <c r="E206" s="1195" t="s">
        <v>251</v>
      </c>
      <c r="F206" s="1195" t="s">
        <v>251</v>
      </c>
      <c r="G206" s="1195" t="s">
        <v>251</v>
      </c>
      <c r="H206" s="1195" t="s">
        <v>251</v>
      </c>
      <c r="I206" s="1195" t="s">
        <v>251</v>
      </c>
      <c r="J206" s="1195" t="s">
        <v>251</v>
      </c>
      <c r="K206" s="1195"/>
      <c r="L206" s="1195" t="s">
        <v>251</v>
      </c>
      <c r="M206" s="1195"/>
      <c r="N206" s="1195" t="s">
        <v>251</v>
      </c>
      <c r="O206" s="1195" t="s">
        <v>251</v>
      </c>
      <c r="P206" s="1502">
        <f t="shared" si="39"/>
        <v>0</v>
      </c>
      <c r="Q206" s="1295">
        <f t="shared" si="36"/>
        <v>0</v>
      </c>
      <c r="R206" s="1194" t="s">
        <v>251</v>
      </c>
      <c r="S206" s="1195" t="s">
        <v>251</v>
      </c>
      <c r="T206" s="1195" t="s">
        <v>251</v>
      </c>
      <c r="U206" s="1195"/>
      <c r="V206" s="1195"/>
      <c r="W206" s="1195"/>
      <c r="X206" s="1195"/>
      <c r="Y206" s="1195"/>
      <c r="Z206" s="1195"/>
      <c r="AA206" s="1195"/>
      <c r="AB206" s="1195"/>
      <c r="AC206" s="1195"/>
      <c r="AD206" s="1295">
        <f t="shared" si="37"/>
        <v>0</v>
      </c>
      <c r="AE206" s="51">
        <f t="shared" si="32"/>
        <v>0</v>
      </c>
      <c r="AF206" s="34">
        <f t="shared" si="38"/>
        <v>119</v>
      </c>
    </row>
    <row r="207" spans="1:32" x14ac:dyDescent="0.3">
      <c r="A207" s="134" t="s">
        <v>759</v>
      </c>
      <c r="B207" s="1294" t="s">
        <v>1002</v>
      </c>
      <c r="C207" s="1194">
        <v>0</v>
      </c>
      <c r="D207" s="1195">
        <v>505770</v>
      </c>
      <c r="E207" s="1195">
        <v>0</v>
      </c>
      <c r="F207" s="1195">
        <v>0</v>
      </c>
      <c r="G207" s="1195">
        <v>0</v>
      </c>
      <c r="H207" s="1195">
        <v>0</v>
      </c>
      <c r="I207" s="1195">
        <v>0</v>
      </c>
      <c r="J207" s="1195">
        <v>754980</v>
      </c>
      <c r="K207" s="1195">
        <v>0</v>
      </c>
      <c r="L207" s="1195">
        <v>0</v>
      </c>
      <c r="M207" s="1195"/>
      <c r="N207" s="1195">
        <v>0</v>
      </c>
      <c r="O207" s="1195">
        <v>0</v>
      </c>
      <c r="P207" s="1502">
        <f t="shared" si="39"/>
        <v>505770</v>
      </c>
      <c r="Q207" s="1295">
        <f t="shared" si="36"/>
        <v>1260750</v>
      </c>
      <c r="R207" s="1194" t="s">
        <v>251</v>
      </c>
      <c r="S207" s="1195" t="s">
        <v>251</v>
      </c>
      <c r="T207" s="1195" t="s">
        <v>251</v>
      </c>
      <c r="U207" s="1195"/>
      <c r="V207" s="1195"/>
      <c r="W207" s="1195"/>
      <c r="X207" s="1195"/>
      <c r="Y207" s="1195"/>
      <c r="Z207" s="1195"/>
      <c r="AA207" s="1195"/>
      <c r="AB207" s="1195"/>
      <c r="AC207" s="1195"/>
      <c r="AD207" s="1295">
        <f t="shared" si="37"/>
        <v>0</v>
      </c>
      <c r="AE207" s="51">
        <f t="shared" si="32"/>
        <v>-1</v>
      </c>
      <c r="AF207" s="34">
        <f t="shared" si="38"/>
        <v>119</v>
      </c>
    </row>
    <row r="208" spans="1:32" x14ac:dyDescent="0.3">
      <c r="A208" s="133" t="s">
        <v>759</v>
      </c>
      <c r="B208" s="1294" t="s">
        <v>693</v>
      </c>
      <c r="C208" s="1194">
        <v>0</v>
      </c>
      <c r="D208" s="1195">
        <v>0</v>
      </c>
      <c r="E208" s="1195">
        <v>439430</v>
      </c>
      <c r="F208" s="1195">
        <v>0</v>
      </c>
      <c r="G208" s="1195">
        <v>0</v>
      </c>
      <c r="H208" s="1195">
        <v>0</v>
      </c>
      <c r="I208" s="1195">
        <v>0</v>
      </c>
      <c r="J208" s="1195">
        <v>0</v>
      </c>
      <c r="K208" s="1195">
        <v>0</v>
      </c>
      <c r="L208" s="1195">
        <v>0</v>
      </c>
      <c r="M208" s="1195"/>
      <c r="N208" s="1195">
        <v>0</v>
      </c>
      <c r="O208" s="1195">
        <v>0</v>
      </c>
      <c r="P208" s="1502">
        <f t="shared" si="39"/>
        <v>439430</v>
      </c>
      <c r="Q208" s="1295">
        <f t="shared" si="36"/>
        <v>439430</v>
      </c>
      <c r="R208" s="1194" t="s">
        <v>251</v>
      </c>
      <c r="S208" s="1195" t="s">
        <v>251</v>
      </c>
      <c r="T208" s="1195" t="s">
        <v>251</v>
      </c>
      <c r="U208" s="1195"/>
      <c r="V208" s="1195"/>
      <c r="W208" s="1195"/>
      <c r="X208" s="1195"/>
      <c r="Y208" s="1195"/>
      <c r="Z208" s="1195"/>
      <c r="AA208" s="1195"/>
      <c r="AB208" s="1195"/>
      <c r="AC208" s="1195"/>
      <c r="AD208" s="1295">
        <f t="shared" si="37"/>
        <v>0</v>
      </c>
      <c r="AE208" s="51">
        <f t="shared" si="32"/>
        <v>-1</v>
      </c>
      <c r="AF208" s="34">
        <f t="shared" si="38"/>
        <v>119</v>
      </c>
    </row>
    <row r="209" spans="1:32" x14ac:dyDescent="0.3">
      <c r="A209" s="134" t="s">
        <v>759</v>
      </c>
      <c r="B209" s="1294" t="s">
        <v>964</v>
      </c>
      <c r="C209" s="1194">
        <v>421750</v>
      </c>
      <c r="D209" s="1195">
        <v>0</v>
      </c>
      <c r="E209" s="1195">
        <v>0</v>
      </c>
      <c r="F209" s="1195">
        <v>0</v>
      </c>
      <c r="G209" s="1195">
        <v>0</v>
      </c>
      <c r="H209" s="1195">
        <v>0</v>
      </c>
      <c r="I209" s="1195">
        <v>0</v>
      </c>
      <c r="J209" s="1195">
        <v>515530</v>
      </c>
      <c r="K209" s="1195">
        <v>515530</v>
      </c>
      <c r="L209" s="1195">
        <v>0</v>
      </c>
      <c r="M209" s="1195"/>
      <c r="N209" s="1195">
        <v>0</v>
      </c>
      <c r="O209" s="1195">
        <v>0</v>
      </c>
      <c r="P209" s="1502">
        <f t="shared" si="39"/>
        <v>937280</v>
      </c>
      <c r="Q209" s="1295">
        <f t="shared" si="36"/>
        <v>937280</v>
      </c>
      <c r="R209" s="1194" t="s">
        <v>251</v>
      </c>
      <c r="S209" s="1195" t="s">
        <v>251</v>
      </c>
      <c r="T209" s="1195" t="s">
        <v>251</v>
      </c>
      <c r="U209" s="1195"/>
      <c r="V209" s="1195"/>
      <c r="W209" s="1195"/>
      <c r="X209" s="1195"/>
      <c r="Y209" s="1195"/>
      <c r="Z209" s="1195"/>
      <c r="AA209" s="1195"/>
      <c r="AB209" s="1195"/>
      <c r="AC209" s="1195"/>
      <c r="AD209" s="1295">
        <f t="shared" si="37"/>
        <v>0</v>
      </c>
      <c r="AE209" s="51">
        <f t="shared" si="32"/>
        <v>-1</v>
      </c>
      <c r="AF209" s="34">
        <f t="shared" si="38"/>
        <v>119</v>
      </c>
    </row>
    <row r="210" spans="1:32" x14ac:dyDescent="0.3">
      <c r="A210" s="134" t="s">
        <v>759</v>
      </c>
      <c r="B210" s="1294" t="s">
        <v>1034</v>
      </c>
      <c r="C210" s="1194">
        <v>420000</v>
      </c>
      <c r="D210" s="1195">
        <v>0</v>
      </c>
      <c r="E210" s="1195">
        <v>0</v>
      </c>
      <c r="F210" s="1195">
        <v>0</v>
      </c>
      <c r="G210" s="1195">
        <v>0</v>
      </c>
      <c r="H210" s="1195">
        <v>0</v>
      </c>
      <c r="I210" s="1195">
        <v>0</v>
      </c>
      <c r="J210" s="1195">
        <v>514100</v>
      </c>
      <c r="K210" s="1195">
        <v>0</v>
      </c>
      <c r="L210" s="1195">
        <v>0</v>
      </c>
      <c r="M210" s="1195"/>
      <c r="N210" s="1195">
        <v>0</v>
      </c>
      <c r="O210" s="1195">
        <v>0</v>
      </c>
      <c r="P210" s="1502">
        <f t="shared" si="39"/>
        <v>420000</v>
      </c>
      <c r="Q210" s="1295">
        <f t="shared" si="36"/>
        <v>934100</v>
      </c>
      <c r="R210" s="1194" t="s">
        <v>251</v>
      </c>
      <c r="S210" s="1195" t="s">
        <v>251</v>
      </c>
      <c r="T210" s="1195" t="s">
        <v>251</v>
      </c>
      <c r="U210" s="1195">
        <v>1783000</v>
      </c>
      <c r="V210" s="1195"/>
      <c r="W210" s="1195"/>
      <c r="X210" s="1195"/>
      <c r="Y210" s="1195"/>
      <c r="Z210" s="1195"/>
      <c r="AA210" s="1195"/>
      <c r="AB210" s="1195"/>
      <c r="AC210" s="1195"/>
      <c r="AD210" s="1295">
        <f t="shared" si="37"/>
        <v>1783000</v>
      </c>
      <c r="AE210" s="51">
        <f t="shared" si="32"/>
        <v>3.2452380952380953</v>
      </c>
      <c r="AF210" s="34">
        <f t="shared" si="38"/>
        <v>55</v>
      </c>
    </row>
    <row r="211" spans="1:32" x14ac:dyDescent="0.3">
      <c r="A211" s="133" t="s">
        <v>759</v>
      </c>
      <c r="B211" s="1294" t="s">
        <v>1035</v>
      </c>
      <c r="C211" s="1194">
        <v>0</v>
      </c>
      <c r="D211" s="1195">
        <v>0</v>
      </c>
      <c r="E211" s="1195">
        <v>0</v>
      </c>
      <c r="F211" s="1195">
        <v>0</v>
      </c>
      <c r="G211" s="1195">
        <v>380000</v>
      </c>
      <c r="H211" s="1195">
        <v>0</v>
      </c>
      <c r="I211" s="1195">
        <v>0</v>
      </c>
      <c r="J211" s="1195">
        <v>186600</v>
      </c>
      <c r="K211" s="1195">
        <v>186600</v>
      </c>
      <c r="L211" s="1195">
        <v>186590</v>
      </c>
      <c r="M211" s="1195"/>
      <c r="N211" s="1195">
        <v>0</v>
      </c>
      <c r="O211" s="1195">
        <v>0</v>
      </c>
      <c r="P211" s="1502">
        <f t="shared" si="39"/>
        <v>566600</v>
      </c>
      <c r="Q211" s="1295">
        <f t="shared" si="36"/>
        <v>753190</v>
      </c>
      <c r="R211" s="1194" t="s">
        <v>251</v>
      </c>
      <c r="S211" s="1195" t="s">
        <v>251</v>
      </c>
      <c r="T211" s="1195" t="s">
        <v>251</v>
      </c>
      <c r="U211" s="1195"/>
      <c r="V211" s="1195"/>
      <c r="W211" s="1195"/>
      <c r="X211" s="1195"/>
      <c r="Y211" s="1195"/>
      <c r="Z211" s="1195"/>
      <c r="AA211" s="1195"/>
      <c r="AB211" s="1195"/>
      <c r="AC211" s="1195"/>
      <c r="AD211" s="1295">
        <f t="shared" si="37"/>
        <v>0</v>
      </c>
      <c r="AE211" s="51">
        <f t="shared" si="32"/>
        <v>-1</v>
      </c>
      <c r="AF211" s="34">
        <f t="shared" si="38"/>
        <v>119</v>
      </c>
    </row>
    <row r="212" spans="1:32" x14ac:dyDescent="0.3">
      <c r="A212" s="133" t="s">
        <v>759</v>
      </c>
      <c r="B212" s="1294" t="s">
        <v>978</v>
      </c>
      <c r="C212" s="1194">
        <v>0</v>
      </c>
      <c r="D212" s="1195">
        <v>0</v>
      </c>
      <c r="E212" s="1195">
        <v>0</v>
      </c>
      <c r="F212" s="1195">
        <v>373980</v>
      </c>
      <c r="G212" s="1195">
        <v>0</v>
      </c>
      <c r="H212" s="1195">
        <v>0</v>
      </c>
      <c r="I212" s="1195">
        <v>0</v>
      </c>
      <c r="J212" s="1195">
        <v>0</v>
      </c>
      <c r="K212" s="1195">
        <v>0</v>
      </c>
      <c r="L212" s="1195">
        <v>0</v>
      </c>
      <c r="M212" s="1195"/>
      <c r="N212" s="1195">
        <v>0</v>
      </c>
      <c r="O212" s="1195">
        <v>0</v>
      </c>
      <c r="P212" s="1502">
        <f t="shared" si="39"/>
        <v>373980</v>
      </c>
      <c r="Q212" s="1295">
        <f t="shared" si="36"/>
        <v>373980</v>
      </c>
      <c r="R212" s="1194" t="s">
        <v>251</v>
      </c>
      <c r="S212" s="1195" t="s">
        <v>251</v>
      </c>
      <c r="T212" s="1195" t="s">
        <v>251</v>
      </c>
      <c r="U212" s="1195"/>
      <c r="V212" s="1195"/>
      <c r="W212" s="1195"/>
      <c r="X212" s="1195"/>
      <c r="Y212" s="1195"/>
      <c r="Z212" s="1195"/>
      <c r="AA212" s="1195"/>
      <c r="AB212" s="1195"/>
      <c r="AC212" s="1195"/>
      <c r="AD212" s="1295">
        <f t="shared" si="37"/>
        <v>0</v>
      </c>
      <c r="AE212" s="51">
        <f t="shared" si="32"/>
        <v>-1</v>
      </c>
      <c r="AF212" s="34">
        <f t="shared" si="38"/>
        <v>119</v>
      </c>
    </row>
    <row r="213" spans="1:32" x14ac:dyDescent="0.3">
      <c r="A213" s="133" t="s">
        <v>759</v>
      </c>
      <c r="B213" s="1294" t="s">
        <v>1036</v>
      </c>
      <c r="C213" s="1194" t="s">
        <v>251</v>
      </c>
      <c r="D213" s="1195" t="s">
        <v>251</v>
      </c>
      <c r="E213" s="1195" t="s">
        <v>251</v>
      </c>
      <c r="F213" s="1195" t="s">
        <v>251</v>
      </c>
      <c r="G213" s="1195" t="s">
        <v>251</v>
      </c>
      <c r="H213" s="1195" t="s">
        <v>251</v>
      </c>
      <c r="I213" s="1195" t="s">
        <v>251</v>
      </c>
      <c r="J213" s="1195" t="s">
        <v>251</v>
      </c>
      <c r="K213" s="1195"/>
      <c r="L213" s="1195" t="s">
        <v>251</v>
      </c>
      <c r="M213" s="1195"/>
      <c r="N213" s="1195" t="s">
        <v>251</v>
      </c>
      <c r="O213" s="1195" t="s">
        <v>251</v>
      </c>
      <c r="P213" s="1502">
        <f t="shared" si="39"/>
        <v>0</v>
      </c>
      <c r="Q213" s="1295">
        <f t="shared" si="36"/>
        <v>0</v>
      </c>
      <c r="R213" s="1194" t="s">
        <v>251</v>
      </c>
      <c r="S213" s="1195" t="s">
        <v>251</v>
      </c>
      <c r="T213" s="1195" t="s">
        <v>251</v>
      </c>
      <c r="U213" s="1195"/>
      <c r="V213" s="1195"/>
      <c r="W213" s="1195"/>
      <c r="X213" s="1195"/>
      <c r="Y213" s="1195"/>
      <c r="Z213" s="1195"/>
      <c r="AA213" s="1195"/>
      <c r="AB213" s="1195"/>
      <c r="AC213" s="1195"/>
      <c r="AD213" s="1295">
        <f t="shared" si="37"/>
        <v>0</v>
      </c>
      <c r="AE213" s="51">
        <f t="shared" si="32"/>
        <v>0</v>
      </c>
      <c r="AF213" s="34">
        <f t="shared" si="38"/>
        <v>119</v>
      </c>
    </row>
    <row r="214" spans="1:32" x14ac:dyDescent="0.3">
      <c r="A214" s="133" t="s">
        <v>759</v>
      </c>
      <c r="B214" s="1294" t="s">
        <v>1037</v>
      </c>
      <c r="C214" s="1194">
        <v>0</v>
      </c>
      <c r="D214" s="1195">
        <v>0</v>
      </c>
      <c r="E214" s="1195">
        <v>0</v>
      </c>
      <c r="F214" s="1195">
        <v>0</v>
      </c>
      <c r="G214" s="1195">
        <v>238460</v>
      </c>
      <c r="H214" s="1195">
        <v>0</v>
      </c>
      <c r="I214" s="1195">
        <v>0</v>
      </c>
      <c r="J214" s="1195">
        <v>0</v>
      </c>
      <c r="K214" s="1195">
        <v>0</v>
      </c>
      <c r="L214" s="1195">
        <v>0</v>
      </c>
      <c r="M214" s="1195"/>
      <c r="N214" s="1195">
        <v>0</v>
      </c>
      <c r="O214" s="1195">
        <v>0</v>
      </c>
      <c r="P214" s="1502">
        <f t="shared" si="39"/>
        <v>238460</v>
      </c>
      <c r="Q214" s="1295">
        <f t="shared" si="36"/>
        <v>238460</v>
      </c>
      <c r="R214" s="1194" t="s">
        <v>251</v>
      </c>
      <c r="S214" s="1195" t="s">
        <v>251</v>
      </c>
      <c r="T214" s="1195" t="s">
        <v>251</v>
      </c>
      <c r="U214" s="1195"/>
      <c r="V214" s="1195"/>
      <c r="W214" s="1195"/>
      <c r="X214" s="1195"/>
      <c r="Y214" s="1195"/>
      <c r="Z214" s="1195"/>
      <c r="AA214" s="1195"/>
      <c r="AB214" s="1195"/>
      <c r="AC214" s="1195"/>
      <c r="AD214" s="1295">
        <f t="shared" si="37"/>
        <v>0</v>
      </c>
      <c r="AE214" s="51">
        <f t="shared" si="32"/>
        <v>-1</v>
      </c>
      <c r="AF214" s="34">
        <f t="shared" si="38"/>
        <v>119</v>
      </c>
    </row>
    <row r="215" spans="1:32" x14ac:dyDescent="0.3">
      <c r="A215" s="133" t="s">
        <v>759</v>
      </c>
      <c r="B215" s="1294" t="s">
        <v>1038</v>
      </c>
      <c r="C215" s="1194">
        <v>178000</v>
      </c>
      <c r="D215" s="1195">
        <v>0</v>
      </c>
      <c r="E215" s="1195">
        <v>0</v>
      </c>
      <c r="F215" s="1195">
        <v>0</v>
      </c>
      <c r="G215" s="1195">
        <v>0</v>
      </c>
      <c r="H215" s="1195">
        <v>0</v>
      </c>
      <c r="I215" s="1195">
        <v>0</v>
      </c>
      <c r="J215" s="1195">
        <v>0</v>
      </c>
      <c r="K215" s="1195">
        <v>0</v>
      </c>
      <c r="L215" s="1195">
        <v>0</v>
      </c>
      <c r="M215" s="1195"/>
      <c r="N215" s="1195">
        <v>0</v>
      </c>
      <c r="O215" s="1195">
        <v>0</v>
      </c>
      <c r="P215" s="1502">
        <f t="shared" si="39"/>
        <v>178000</v>
      </c>
      <c r="Q215" s="1295">
        <f t="shared" si="36"/>
        <v>178000</v>
      </c>
      <c r="R215" s="1194" t="s">
        <v>251</v>
      </c>
      <c r="S215" s="1195" t="s">
        <v>251</v>
      </c>
      <c r="T215" s="1195" t="s">
        <v>251</v>
      </c>
      <c r="U215" s="1195"/>
      <c r="V215" s="1195"/>
      <c r="W215" s="1195"/>
      <c r="X215" s="1195"/>
      <c r="Y215" s="1195"/>
      <c r="Z215" s="1195"/>
      <c r="AA215" s="1195"/>
      <c r="AB215" s="1195"/>
      <c r="AC215" s="1195"/>
      <c r="AD215" s="1295">
        <f t="shared" si="37"/>
        <v>0</v>
      </c>
      <c r="AE215" s="51">
        <f t="shared" si="32"/>
        <v>-1</v>
      </c>
      <c r="AF215" s="34">
        <f t="shared" si="38"/>
        <v>119</v>
      </c>
    </row>
    <row r="216" spans="1:32" x14ac:dyDescent="0.3">
      <c r="A216" s="133" t="s">
        <v>759</v>
      </c>
      <c r="B216" s="1294" t="s">
        <v>1039</v>
      </c>
      <c r="C216" s="1194">
        <v>0</v>
      </c>
      <c r="D216" s="1195">
        <v>0</v>
      </c>
      <c r="E216" s="1195">
        <v>0</v>
      </c>
      <c r="F216" s="1195">
        <v>0</v>
      </c>
      <c r="G216" s="1195">
        <v>0</v>
      </c>
      <c r="H216" s="1195">
        <v>0</v>
      </c>
      <c r="I216" s="1195">
        <v>0</v>
      </c>
      <c r="J216" s="1195">
        <v>100000</v>
      </c>
      <c r="K216" s="1195">
        <v>100000</v>
      </c>
      <c r="L216" s="1195">
        <v>0</v>
      </c>
      <c r="M216" s="1195"/>
      <c r="N216" s="1195">
        <v>0</v>
      </c>
      <c r="O216" s="1195">
        <v>0</v>
      </c>
      <c r="P216" s="1502">
        <f t="shared" si="39"/>
        <v>100000</v>
      </c>
      <c r="Q216" s="1295">
        <f t="shared" si="36"/>
        <v>100000</v>
      </c>
      <c r="R216" s="1194" t="s">
        <v>251</v>
      </c>
      <c r="S216" s="1195" t="s">
        <v>251</v>
      </c>
      <c r="T216" s="1195" t="s">
        <v>251</v>
      </c>
      <c r="U216" s="1195"/>
      <c r="V216" s="1195"/>
      <c r="W216" s="1195"/>
      <c r="X216" s="1195"/>
      <c r="Y216" s="1195"/>
      <c r="Z216" s="1195"/>
      <c r="AA216" s="1195"/>
      <c r="AB216" s="1195"/>
      <c r="AC216" s="1195"/>
      <c r="AD216" s="1295">
        <f t="shared" si="37"/>
        <v>0</v>
      </c>
      <c r="AE216" s="51">
        <f t="shared" si="32"/>
        <v>-1</v>
      </c>
      <c r="AF216" s="34">
        <f t="shared" si="38"/>
        <v>119</v>
      </c>
    </row>
    <row r="217" spans="1:32" x14ac:dyDescent="0.3">
      <c r="A217" s="133" t="s">
        <v>759</v>
      </c>
      <c r="B217" s="1294" t="s">
        <v>1040</v>
      </c>
      <c r="C217" s="1194" t="s">
        <v>251</v>
      </c>
      <c r="D217" s="1195" t="s">
        <v>251</v>
      </c>
      <c r="E217" s="1195" t="s">
        <v>251</v>
      </c>
      <c r="F217" s="1195" t="s">
        <v>251</v>
      </c>
      <c r="G217" s="1195" t="s">
        <v>251</v>
      </c>
      <c r="H217" s="1195" t="s">
        <v>251</v>
      </c>
      <c r="I217" s="1195" t="s">
        <v>251</v>
      </c>
      <c r="J217" s="1195" t="s">
        <v>251</v>
      </c>
      <c r="K217" s="1195"/>
      <c r="L217" s="1195" t="s">
        <v>251</v>
      </c>
      <c r="M217" s="1195"/>
      <c r="N217" s="1195" t="s">
        <v>251</v>
      </c>
      <c r="O217" s="1195" t="s">
        <v>251</v>
      </c>
      <c r="P217" s="1502">
        <f t="shared" si="39"/>
        <v>0</v>
      </c>
      <c r="Q217" s="1295">
        <f t="shared" si="36"/>
        <v>0</v>
      </c>
      <c r="R217" s="1194" t="s">
        <v>251</v>
      </c>
      <c r="S217" s="1195" t="s">
        <v>251</v>
      </c>
      <c r="T217" s="1195" t="s">
        <v>251</v>
      </c>
      <c r="U217" s="1195"/>
      <c r="V217" s="1195"/>
      <c r="W217" s="1195"/>
      <c r="X217" s="1195"/>
      <c r="Y217" s="1195"/>
      <c r="Z217" s="1195"/>
      <c r="AA217" s="1195"/>
      <c r="AB217" s="1195"/>
      <c r="AC217" s="1195"/>
      <c r="AD217" s="1295">
        <f t="shared" si="37"/>
        <v>0</v>
      </c>
      <c r="AE217" s="51">
        <f t="shared" si="32"/>
        <v>0</v>
      </c>
      <c r="AF217" s="34">
        <f t="shared" si="38"/>
        <v>119</v>
      </c>
    </row>
    <row r="218" spans="1:32" x14ac:dyDescent="0.3">
      <c r="A218" s="134" t="s">
        <v>759</v>
      </c>
      <c r="B218" s="1294" t="s">
        <v>996</v>
      </c>
      <c r="C218" s="1194" t="s">
        <v>251</v>
      </c>
      <c r="D218" s="1195" t="s">
        <v>251</v>
      </c>
      <c r="E218" s="1195" t="s">
        <v>251</v>
      </c>
      <c r="F218" s="1195" t="s">
        <v>251</v>
      </c>
      <c r="G218" s="1195" t="s">
        <v>251</v>
      </c>
      <c r="H218" s="1195" t="s">
        <v>251</v>
      </c>
      <c r="I218" s="1195" t="s">
        <v>251</v>
      </c>
      <c r="J218" s="1195" t="s">
        <v>251</v>
      </c>
      <c r="K218" s="1195"/>
      <c r="L218" s="1195" t="s">
        <v>251</v>
      </c>
      <c r="M218" s="1195"/>
      <c r="N218" s="1195" t="s">
        <v>251</v>
      </c>
      <c r="O218" s="1195" t="s">
        <v>251</v>
      </c>
      <c r="P218" s="1502">
        <f t="shared" si="39"/>
        <v>0</v>
      </c>
      <c r="Q218" s="1295">
        <f t="shared" si="36"/>
        <v>0</v>
      </c>
      <c r="R218" s="1194" t="s">
        <v>251</v>
      </c>
      <c r="S218" s="1195" t="s">
        <v>251</v>
      </c>
      <c r="T218" s="1195" t="s">
        <v>251</v>
      </c>
      <c r="U218" s="1195"/>
      <c r="V218" s="1195"/>
      <c r="W218" s="1195"/>
      <c r="X218" s="1195"/>
      <c r="Y218" s="1195"/>
      <c r="Z218" s="1195"/>
      <c r="AA218" s="1195"/>
      <c r="AB218" s="1195"/>
      <c r="AC218" s="1195"/>
      <c r="AD218" s="1295">
        <f t="shared" si="37"/>
        <v>0</v>
      </c>
      <c r="AE218" s="51">
        <f t="shared" si="32"/>
        <v>0</v>
      </c>
      <c r="AF218" s="34">
        <f t="shared" si="38"/>
        <v>119</v>
      </c>
    </row>
    <row r="219" spans="1:32" x14ac:dyDescent="0.3">
      <c r="A219" s="134" t="s">
        <v>759</v>
      </c>
      <c r="B219" s="1294" t="s">
        <v>1041</v>
      </c>
      <c r="C219" s="1194">
        <v>0</v>
      </c>
      <c r="D219" s="1195">
        <v>0</v>
      </c>
      <c r="E219" s="1195">
        <v>0</v>
      </c>
      <c r="F219" s="1195">
        <v>0</v>
      </c>
      <c r="G219" s="1195">
        <v>0</v>
      </c>
      <c r="H219" s="1195">
        <v>0</v>
      </c>
      <c r="I219" s="1195">
        <v>0</v>
      </c>
      <c r="J219" s="1195">
        <v>494990</v>
      </c>
      <c r="K219" s="1195"/>
      <c r="L219" s="1195">
        <v>0</v>
      </c>
      <c r="M219" s="1195">
        <v>759500</v>
      </c>
      <c r="N219" s="1195">
        <v>0</v>
      </c>
      <c r="O219" s="1195">
        <v>0</v>
      </c>
      <c r="P219" s="1502">
        <f t="shared" si="39"/>
        <v>0</v>
      </c>
      <c r="Q219" s="1295">
        <f t="shared" si="36"/>
        <v>1254490</v>
      </c>
      <c r="R219" s="1194">
        <v>264500</v>
      </c>
      <c r="S219" s="1195" t="s">
        <v>251</v>
      </c>
      <c r="T219" s="1195">
        <v>0</v>
      </c>
      <c r="U219" s="1195">
        <v>275000</v>
      </c>
      <c r="V219" s="1195">
        <v>0</v>
      </c>
      <c r="W219" s="1195">
        <v>0</v>
      </c>
      <c r="X219" s="1195">
        <v>0</v>
      </c>
      <c r="Y219" s="1195">
        <v>0</v>
      </c>
      <c r="Z219" s="1195"/>
      <c r="AA219" s="1195"/>
      <c r="AB219" s="1195"/>
      <c r="AC219" s="1195"/>
      <c r="AD219" s="1295">
        <f t="shared" si="37"/>
        <v>539500</v>
      </c>
      <c r="AE219" s="51">
        <f t="shared" si="32"/>
        <v>1</v>
      </c>
      <c r="AF219" s="34">
        <f t="shared" si="38"/>
        <v>80</v>
      </c>
    </row>
    <row r="220" spans="1:32" x14ac:dyDescent="0.3">
      <c r="A220" s="134" t="s">
        <v>759</v>
      </c>
      <c r="B220" s="1294" t="s">
        <v>1042</v>
      </c>
      <c r="C220" s="1194" t="s">
        <v>251</v>
      </c>
      <c r="D220" s="1195" t="s">
        <v>251</v>
      </c>
      <c r="E220" s="1195" t="s">
        <v>251</v>
      </c>
      <c r="F220" s="1195" t="s">
        <v>251</v>
      </c>
      <c r="G220" s="1195" t="s">
        <v>251</v>
      </c>
      <c r="H220" s="1195" t="s">
        <v>251</v>
      </c>
      <c r="I220" s="1195" t="s">
        <v>251</v>
      </c>
      <c r="J220" s="1195" t="s">
        <v>251</v>
      </c>
      <c r="K220" s="1195"/>
      <c r="L220" s="1195" t="s">
        <v>251</v>
      </c>
      <c r="M220" s="1195"/>
      <c r="N220" s="1195" t="s">
        <v>251</v>
      </c>
      <c r="O220" s="1195" t="s">
        <v>251</v>
      </c>
      <c r="P220" s="1502">
        <f t="shared" si="39"/>
        <v>0</v>
      </c>
      <c r="Q220" s="1295">
        <f t="shared" si="36"/>
        <v>0</v>
      </c>
      <c r="R220" s="1194" t="s">
        <v>251</v>
      </c>
      <c r="S220" s="1195" t="s">
        <v>251</v>
      </c>
      <c r="T220" s="1195" t="s">
        <v>251</v>
      </c>
      <c r="U220" s="1195"/>
      <c r="V220" s="1195"/>
      <c r="W220" s="1195"/>
      <c r="X220" s="1195"/>
      <c r="Y220" s="1195"/>
      <c r="Z220" s="1195"/>
      <c r="AA220" s="1195"/>
      <c r="AB220" s="1195"/>
      <c r="AC220" s="1195"/>
      <c r="AD220" s="1295">
        <f t="shared" si="37"/>
        <v>0</v>
      </c>
      <c r="AE220" s="51">
        <f t="shared" si="32"/>
        <v>0</v>
      </c>
      <c r="AF220" s="34">
        <f t="shared" ref="AF220:AF283" si="40">IFERROR(_xlfn.RANK.EQ(AD220, $AD$2:$AD$288), "")</f>
        <v>119</v>
      </c>
    </row>
    <row r="221" spans="1:32" x14ac:dyDescent="0.3">
      <c r="A221" s="134" t="s">
        <v>759</v>
      </c>
      <c r="B221" s="1294" t="s">
        <v>975</v>
      </c>
      <c r="C221" s="1194" t="s">
        <v>251</v>
      </c>
      <c r="D221" s="1195" t="s">
        <v>251</v>
      </c>
      <c r="E221" s="1195" t="s">
        <v>251</v>
      </c>
      <c r="F221" s="1195" t="s">
        <v>251</v>
      </c>
      <c r="G221" s="1195" t="s">
        <v>251</v>
      </c>
      <c r="H221" s="1195" t="s">
        <v>251</v>
      </c>
      <c r="I221" s="1195" t="s">
        <v>251</v>
      </c>
      <c r="J221" s="1195" t="s">
        <v>251</v>
      </c>
      <c r="K221" s="1195"/>
      <c r="L221" s="1195" t="s">
        <v>251</v>
      </c>
      <c r="M221" s="1195"/>
      <c r="N221" s="1195" t="s">
        <v>251</v>
      </c>
      <c r="O221" s="1195" t="s">
        <v>251</v>
      </c>
      <c r="P221" s="1502">
        <f t="shared" si="39"/>
        <v>0</v>
      </c>
      <c r="Q221" s="1295">
        <f t="shared" si="36"/>
        <v>0</v>
      </c>
      <c r="R221" s="1194" t="s">
        <v>251</v>
      </c>
      <c r="S221" s="1195" t="s">
        <v>251</v>
      </c>
      <c r="T221" s="1195" t="s">
        <v>251</v>
      </c>
      <c r="U221" s="1195"/>
      <c r="V221" s="1195"/>
      <c r="W221" s="1195"/>
      <c r="X221" s="1195"/>
      <c r="Y221" s="1195"/>
      <c r="Z221" s="1195"/>
      <c r="AA221" s="1195"/>
      <c r="AB221" s="1195"/>
      <c r="AC221" s="1195"/>
      <c r="AD221" s="1295">
        <f t="shared" si="37"/>
        <v>0</v>
      </c>
      <c r="AE221" s="51">
        <f t="shared" si="32"/>
        <v>0</v>
      </c>
      <c r="AF221" s="34">
        <f t="shared" si="40"/>
        <v>119</v>
      </c>
    </row>
    <row r="222" spans="1:32" x14ac:dyDescent="0.3">
      <c r="A222" s="134" t="s">
        <v>759</v>
      </c>
      <c r="B222" s="1294" t="s">
        <v>1043</v>
      </c>
      <c r="C222" s="1194" t="s">
        <v>251</v>
      </c>
      <c r="D222" s="1195" t="s">
        <v>251</v>
      </c>
      <c r="E222" s="1195" t="s">
        <v>251</v>
      </c>
      <c r="F222" s="1195" t="s">
        <v>251</v>
      </c>
      <c r="G222" s="1195" t="s">
        <v>251</v>
      </c>
      <c r="H222" s="1195" t="s">
        <v>251</v>
      </c>
      <c r="I222" s="1195" t="s">
        <v>251</v>
      </c>
      <c r="J222" s="1195" t="s">
        <v>251</v>
      </c>
      <c r="K222" s="1195"/>
      <c r="L222" s="1195" t="s">
        <v>251</v>
      </c>
      <c r="M222" s="1195"/>
      <c r="N222" s="1195" t="s">
        <v>251</v>
      </c>
      <c r="O222" s="1195" t="s">
        <v>251</v>
      </c>
      <c r="P222" s="1502">
        <f t="shared" si="39"/>
        <v>0</v>
      </c>
      <c r="Q222" s="1295">
        <f t="shared" si="36"/>
        <v>0</v>
      </c>
      <c r="R222" s="1194" t="s">
        <v>251</v>
      </c>
      <c r="S222" s="1195" t="s">
        <v>251</v>
      </c>
      <c r="T222" s="1195" t="s">
        <v>251</v>
      </c>
      <c r="U222" s="1195"/>
      <c r="V222" s="1195"/>
      <c r="W222" s="1195"/>
      <c r="X222" s="1195"/>
      <c r="Y222" s="1195"/>
      <c r="Z222" s="1195"/>
      <c r="AA222" s="1195"/>
      <c r="AB222" s="1195"/>
      <c r="AC222" s="1195"/>
      <c r="AD222" s="1295">
        <f t="shared" si="37"/>
        <v>0</v>
      </c>
      <c r="AE222" s="51">
        <f t="shared" si="32"/>
        <v>0</v>
      </c>
      <c r="AF222" s="34">
        <f t="shared" si="40"/>
        <v>119</v>
      </c>
    </row>
    <row r="223" spans="1:32" x14ac:dyDescent="0.3">
      <c r="A223" s="134" t="s">
        <v>759</v>
      </c>
      <c r="B223" s="1294" t="s">
        <v>1044</v>
      </c>
      <c r="C223" s="1194" t="s">
        <v>251</v>
      </c>
      <c r="D223" s="1195" t="s">
        <v>251</v>
      </c>
      <c r="E223" s="1195" t="s">
        <v>251</v>
      </c>
      <c r="F223" s="1195" t="s">
        <v>251</v>
      </c>
      <c r="G223" s="1195" t="s">
        <v>251</v>
      </c>
      <c r="H223" s="1195" t="s">
        <v>251</v>
      </c>
      <c r="I223" s="1195" t="s">
        <v>251</v>
      </c>
      <c r="J223" s="1195" t="s">
        <v>251</v>
      </c>
      <c r="K223" s="1195"/>
      <c r="L223" s="1195" t="s">
        <v>251</v>
      </c>
      <c r="M223" s="1195"/>
      <c r="N223" s="1195" t="s">
        <v>251</v>
      </c>
      <c r="O223" s="1195" t="s">
        <v>251</v>
      </c>
      <c r="P223" s="1502">
        <f t="shared" si="39"/>
        <v>0</v>
      </c>
      <c r="Q223" s="1295">
        <f t="shared" si="36"/>
        <v>0</v>
      </c>
      <c r="R223" s="1194" t="s">
        <v>251</v>
      </c>
      <c r="S223" s="1195" t="s">
        <v>251</v>
      </c>
      <c r="T223" s="1195" t="s">
        <v>251</v>
      </c>
      <c r="U223" s="1195"/>
      <c r="V223" s="1195"/>
      <c r="W223" s="1195"/>
      <c r="X223" s="1195"/>
      <c r="Y223" s="1195"/>
      <c r="Z223" s="1195"/>
      <c r="AA223" s="1195"/>
      <c r="AB223" s="1195"/>
      <c r="AC223" s="1195"/>
      <c r="AD223" s="1295">
        <f t="shared" si="37"/>
        <v>0</v>
      </c>
      <c r="AE223" s="51">
        <f t="shared" si="32"/>
        <v>0</v>
      </c>
      <c r="AF223" s="34">
        <f t="shared" si="40"/>
        <v>119</v>
      </c>
    </row>
    <row r="224" spans="1:32" x14ac:dyDescent="0.3">
      <c r="A224" s="134" t="s">
        <v>759</v>
      </c>
      <c r="B224" s="1294" t="s">
        <v>1045</v>
      </c>
      <c r="C224" s="1194" t="s">
        <v>251</v>
      </c>
      <c r="D224" s="1195" t="s">
        <v>251</v>
      </c>
      <c r="E224" s="1195" t="s">
        <v>251</v>
      </c>
      <c r="F224" s="1195" t="s">
        <v>251</v>
      </c>
      <c r="G224" s="1195" t="s">
        <v>251</v>
      </c>
      <c r="H224" s="1195" t="s">
        <v>251</v>
      </c>
      <c r="I224" s="1195" t="s">
        <v>251</v>
      </c>
      <c r="J224" s="1195" t="s">
        <v>251</v>
      </c>
      <c r="K224" s="1195"/>
      <c r="L224" s="1195" t="s">
        <v>251</v>
      </c>
      <c r="M224" s="1195"/>
      <c r="N224" s="1195" t="s">
        <v>251</v>
      </c>
      <c r="O224" s="1195" t="s">
        <v>251</v>
      </c>
      <c r="P224" s="1502">
        <f t="shared" si="39"/>
        <v>0</v>
      </c>
      <c r="Q224" s="1295">
        <f t="shared" si="36"/>
        <v>0</v>
      </c>
      <c r="R224" s="1194" t="s">
        <v>251</v>
      </c>
      <c r="S224" s="1195" t="s">
        <v>251</v>
      </c>
      <c r="T224" s="1195" t="s">
        <v>251</v>
      </c>
      <c r="U224" s="1195"/>
      <c r="V224" s="1195"/>
      <c r="W224" s="1195"/>
      <c r="X224" s="1195"/>
      <c r="Y224" s="1195"/>
      <c r="Z224" s="1195"/>
      <c r="AA224" s="1195"/>
      <c r="AB224" s="1195"/>
      <c r="AC224" s="1195"/>
      <c r="AD224" s="1295">
        <f t="shared" si="37"/>
        <v>0</v>
      </c>
      <c r="AE224" s="51">
        <f t="shared" si="32"/>
        <v>0</v>
      </c>
      <c r="AF224" s="34">
        <f t="shared" si="40"/>
        <v>119</v>
      </c>
    </row>
    <row r="225" spans="1:32" x14ac:dyDescent="0.3">
      <c r="A225" s="134" t="s">
        <v>759</v>
      </c>
      <c r="B225" s="1294" t="s">
        <v>1003</v>
      </c>
      <c r="C225" s="1194" t="s">
        <v>251</v>
      </c>
      <c r="D225" s="1195" t="s">
        <v>251</v>
      </c>
      <c r="E225" s="1195" t="s">
        <v>251</v>
      </c>
      <c r="F225" s="1195" t="s">
        <v>251</v>
      </c>
      <c r="G225" s="1195" t="s">
        <v>251</v>
      </c>
      <c r="H225" s="1195" t="s">
        <v>251</v>
      </c>
      <c r="I225" s="1195" t="s">
        <v>251</v>
      </c>
      <c r="J225" s="1195" t="s">
        <v>251</v>
      </c>
      <c r="K225" s="1195"/>
      <c r="L225" s="1195" t="s">
        <v>251</v>
      </c>
      <c r="M225" s="1195"/>
      <c r="N225" s="1195" t="s">
        <v>251</v>
      </c>
      <c r="O225" s="1195" t="s">
        <v>251</v>
      </c>
      <c r="P225" s="1502">
        <f t="shared" si="39"/>
        <v>0</v>
      </c>
      <c r="Q225" s="1295">
        <f t="shared" si="36"/>
        <v>0</v>
      </c>
      <c r="R225" s="1194" t="s">
        <v>251</v>
      </c>
      <c r="S225" s="1195" t="s">
        <v>251</v>
      </c>
      <c r="T225" s="1195" t="s">
        <v>251</v>
      </c>
      <c r="U225" s="1195"/>
      <c r="V225" s="1195"/>
      <c r="W225" s="1195"/>
      <c r="X225" s="1195"/>
      <c r="Y225" s="1195"/>
      <c r="Z225" s="1195"/>
      <c r="AA225" s="1195"/>
      <c r="AB225" s="1195"/>
      <c r="AC225" s="1195"/>
      <c r="AD225" s="1295">
        <f t="shared" si="37"/>
        <v>0</v>
      </c>
      <c r="AE225" s="51">
        <f t="shared" si="32"/>
        <v>0</v>
      </c>
      <c r="AF225" s="34">
        <f t="shared" si="40"/>
        <v>119</v>
      </c>
    </row>
    <row r="226" spans="1:32" x14ac:dyDescent="0.3">
      <c r="A226" s="134" t="s">
        <v>759</v>
      </c>
      <c r="B226" s="1294" t="s">
        <v>956</v>
      </c>
      <c r="C226" s="1194" t="s">
        <v>251</v>
      </c>
      <c r="D226" s="1195" t="s">
        <v>251</v>
      </c>
      <c r="E226" s="1195" t="s">
        <v>251</v>
      </c>
      <c r="F226" s="1195" t="s">
        <v>251</v>
      </c>
      <c r="G226" s="1195" t="s">
        <v>251</v>
      </c>
      <c r="H226" s="1195" t="s">
        <v>251</v>
      </c>
      <c r="I226" s="1195" t="s">
        <v>251</v>
      </c>
      <c r="J226" s="1195" t="s">
        <v>251</v>
      </c>
      <c r="K226" s="1195"/>
      <c r="L226" s="1195" t="s">
        <v>251</v>
      </c>
      <c r="M226" s="1195"/>
      <c r="N226" s="1195" t="s">
        <v>251</v>
      </c>
      <c r="O226" s="1195" t="s">
        <v>251</v>
      </c>
      <c r="P226" s="1502">
        <f t="shared" si="39"/>
        <v>0</v>
      </c>
      <c r="Q226" s="1295">
        <f t="shared" ref="Q226:Q288" si="41">SUM(C226:J226,L226:O226)</f>
        <v>0</v>
      </c>
      <c r="R226" s="1194" t="s">
        <v>251</v>
      </c>
      <c r="S226" s="1195" t="s">
        <v>251</v>
      </c>
      <c r="T226" s="1195" t="s">
        <v>251</v>
      </c>
      <c r="U226" s="1195"/>
      <c r="V226" s="1195"/>
      <c r="W226" s="1195"/>
      <c r="X226" s="1195"/>
      <c r="Y226" s="1195"/>
      <c r="Z226" s="1195"/>
      <c r="AA226" s="1195"/>
      <c r="AB226" s="1195"/>
      <c r="AC226" s="1195"/>
      <c r="AD226" s="1295">
        <f t="shared" si="37"/>
        <v>0</v>
      </c>
      <c r="AE226" s="51">
        <f t="shared" si="32"/>
        <v>0</v>
      </c>
      <c r="AF226" s="34">
        <f t="shared" si="40"/>
        <v>119</v>
      </c>
    </row>
    <row r="227" spans="1:32" x14ac:dyDescent="0.3">
      <c r="A227" s="134" t="s">
        <v>759</v>
      </c>
      <c r="B227" s="1294" t="s">
        <v>1046</v>
      </c>
      <c r="C227" s="1194" t="s">
        <v>251</v>
      </c>
      <c r="D227" s="1195" t="s">
        <v>251</v>
      </c>
      <c r="E227" s="1195" t="s">
        <v>251</v>
      </c>
      <c r="F227" s="1195" t="s">
        <v>251</v>
      </c>
      <c r="G227" s="1195" t="s">
        <v>251</v>
      </c>
      <c r="H227" s="1195" t="s">
        <v>251</v>
      </c>
      <c r="I227" s="1195" t="s">
        <v>251</v>
      </c>
      <c r="J227" s="1195" t="s">
        <v>251</v>
      </c>
      <c r="K227" s="1195"/>
      <c r="L227" s="1195" t="s">
        <v>251</v>
      </c>
      <c r="M227" s="1195"/>
      <c r="N227" s="1195" t="s">
        <v>251</v>
      </c>
      <c r="O227" s="1195" t="s">
        <v>251</v>
      </c>
      <c r="P227" s="1502">
        <f t="shared" si="39"/>
        <v>0</v>
      </c>
      <c r="Q227" s="1295">
        <f t="shared" si="41"/>
        <v>0</v>
      </c>
      <c r="R227" s="1194" t="s">
        <v>251</v>
      </c>
      <c r="S227" s="1195" t="s">
        <v>251</v>
      </c>
      <c r="T227" s="1195" t="s">
        <v>251</v>
      </c>
      <c r="U227" s="1195"/>
      <c r="V227" s="1195"/>
      <c r="W227" s="1195"/>
      <c r="X227" s="1195"/>
      <c r="Y227" s="1195"/>
      <c r="Z227" s="1195"/>
      <c r="AA227" s="1195"/>
      <c r="AB227" s="1195"/>
      <c r="AC227" s="1195"/>
      <c r="AD227" s="1295">
        <f t="shared" si="37"/>
        <v>0</v>
      </c>
      <c r="AE227" s="51">
        <f t="shared" si="32"/>
        <v>0</v>
      </c>
      <c r="AF227" s="34">
        <f t="shared" si="40"/>
        <v>119</v>
      </c>
    </row>
    <row r="228" spans="1:32" x14ac:dyDescent="0.3">
      <c r="A228" s="134" t="s">
        <v>759</v>
      </c>
      <c r="B228" s="1294" t="s">
        <v>1047</v>
      </c>
      <c r="C228" s="1194" t="s">
        <v>251</v>
      </c>
      <c r="D228" s="1195" t="s">
        <v>251</v>
      </c>
      <c r="E228" s="1195" t="s">
        <v>251</v>
      </c>
      <c r="F228" s="1195" t="s">
        <v>251</v>
      </c>
      <c r="G228" s="1195" t="s">
        <v>251</v>
      </c>
      <c r="H228" s="1195" t="s">
        <v>251</v>
      </c>
      <c r="I228" s="1195" t="s">
        <v>251</v>
      </c>
      <c r="J228" s="1195" t="s">
        <v>251</v>
      </c>
      <c r="K228" s="1195"/>
      <c r="L228" s="1195" t="s">
        <v>251</v>
      </c>
      <c r="M228" s="1195"/>
      <c r="N228" s="1195" t="s">
        <v>251</v>
      </c>
      <c r="O228" s="1195" t="s">
        <v>251</v>
      </c>
      <c r="P228" s="1502">
        <f t="shared" si="39"/>
        <v>0</v>
      </c>
      <c r="Q228" s="1295">
        <f t="shared" si="41"/>
        <v>0</v>
      </c>
      <c r="R228" s="1194" t="s">
        <v>251</v>
      </c>
      <c r="S228" s="1195" t="s">
        <v>251</v>
      </c>
      <c r="T228" s="1195" t="s">
        <v>251</v>
      </c>
      <c r="U228" s="1195"/>
      <c r="V228" s="1195"/>
      <c r="W228" s="1195"/>
      <c r="X228" s="1195"/>
      <c r="Y228" s="1195"/>
      <c r="Z228" s="1195"/>
      <c r="AA228" s="1195"/>
      <c r="AB228" s="1195"/>
      <c r="AC228" s="1195"/>
      <c r="AD228" s="1295">
        <f t="shared" si="37"/>
        <v>0</v>
      </c>
      <c r="AE228" s="51">
        <f t="shared" ref="AE228:AE289" si="42">IF(OR(AD228="",P228=""), 0, IFERROR((AD228-P228)/P228, IF(AD228&lt;&gt;0, 1, 0)))</f>
        <v>0</v>
      </c>
      <c r="AF228" s="34">
        <f t="shared" si="40"/>
        <v>119</v>
      </c>
    </row>
    <row r="229" spans="1:32" x14ac:dyDescent="0.3">
      <c r="A229" s="134" t="s">
        <v>759</v>
      </c>
      <c r="B229" s="1294" t="s">
        <v>1048</v>
      </c>
      <c r="C229" s="1194" t="s">
        <v>251</v>
      </c>
      <c r="D229" s="1195" t="s">
        <v>251</v>
      </c>
      <c r="E229" s="1195" t="s">
        <v>251</v>
      </c>
      <c r="F229" s="1195" t="s">
        <v>251</v>
      </c>
      <c r="G229" s="1195" t="s">
        <v>251</v>
      </c>
      <c r="H229" s="1195" t="s">
        <v>251</v>
      </c>
      <c r="I229" s="1195" t="s">
        <v>251</v>
      </c>
      <c r="J229" s="1195" t="s">
        <v>251</v>
      </c>
      <c r="K229" s="1195"/>
      <c r="L229" s="1195" t="s">
        <v>251</v>
      </c>
      <c r="M229" s="1195"/>
      <c r="N229" s="1195" t="s">
        <v>251</v>
      </c>
      <c r="O229" s="1195" t="s">
        <v>251</v>
      </c>
      <c r="P229" s="1502">
        <f t="shared" si="39"/>
        <v>0</v>
      </c>
      <c r="Q229" s="1295">
        <f t="shared" si="41"/>
        <v>0</v>
      </c>
      <c r="R229" s="1194" t="s">
        <v>251</v>
      </c>
      <c r="S229" s="1195" t="s">
        <v>251</v>
      </c>
      <c r="T229" s="1195" t="s">
        <v>251</v>
      </c>
      <c r="U229" s="1195"/>
      <c r="V229" s="1195"/>
      <c r="W229" s="1195"/>
      <c r="X229" s="1195"/>
      <c r="Y229" s="1195"/>
      <c r="Z229" s="1195"/>
      <c r="AA229" s="1195"/>
      <c r="AB229" s="1195"/>
      <c r="AC229" s="1195"/>
      <c r="AD229" s="1295">
        <f t="shared" si="37"/>
        <v>0</v>
      </c>
      <c r="AE229" s="51">
        <f t="shared" si="42"/>
        <v>0</v>
      </c>
      <c r="AF229" s="34">
        <f t="shared" si="40"/>
        <v>119</v>
      </c>
    </row>
    <row r="230" spans="1:32" x14ac:dyDescent="0.3">
      <c r="A230" s="134" t="s">
        <v>759</v>
      </c>
      <c r="B230" s="1294" t="s">
        <v>1049</v>
      </c>
      <c r="C230" s="1194" t="s">
        <v>251</v>
      </c>
      <c r="D230" s="1195" t="s">
        <v>251</v>
      </c>
      <c r="E230" s="1195" t="s">
        <v>251</v>
      </c>
      <c r="F230" s="1195" t="s">
        <v>251</v>
      </c>
      <c r="G230" s="1195" t="s">
        <v>251</v>
      </c>
      <c r="H230" s="1195" t="s">
        <v>251</v>
      </c>
      <c r="I230" s="1195" t="s">
        <v>251</v>
      </c>
      <c r="J230" s="1195" t="s">
        <v>251</v>
      </c>
      <c r="K230" s="1195"/>
      <c r="L230" s="1195" t="s">
        <v>251</v>
      </c>
      <c r="M230" s="1195"/>
      <c r="N230" s="1195" t="s">
        <v>251</v>
      </c>
      <c r="O230" s="1195" t="s">
        <v>251</v>
      </c>
      <c r="P230" s="1502">
        <f t="shared" si="39"/>
        <v>0</v>
      </c>
      <c r="Q230" s="1295">
        <f t="shared" si="41"/>
        <v>0</v>
      </c>
      <c r="R230" s="1194" t="s">
        <v>251</v>
      </c>
      <c r="S230" s="1195" t="s">
        <v>251</v>
      </c>
      <c r="T230" s="1195" t="s">
        <v>251</v>
      </c>
      <c r="U230" s="1195"/>
      <c r="V230" s="1195"/>
      <c r="W230" s="1195"/>
      <c r="X230" s="1195"/>
      <c r="Y230" s="1195"/>
      <c r="Z230" s="1195"/>
      <c r="AA230" s="1195"/>
      <c r="AB230" s="1195"/>
      <c r="AC230" s="1195"/>
      <c r="AD230" s="1295">
        <f t="shared" si="37"/>
        <v>0</v>
      </c>
      <c r="AE230" s="51">
        <f t="shared" si="42"/>
        <v>0</v>
      </c>
      <c r="AF230" s="34">
        <f t="shared" si="40"/>
        <v>119</v>
      </c>
    </row>
    <row r="231" spans="1:32" x14ac:dyDescent="0.3">
      <c r="A231" s="134" t="s">
        <v>759</v>
      </c>
      <c r="B231" s="1294" t="s">
        <v>1050</v>
      </c>
      <c r="C231" s="1194" t="s">
        <v>251</v>
      </c>
      <c r="D231" s="1195" t="s">
        <v>251</v>
      </c>
      <c r="E231" s="1195" t="s">
        <v>251</v>
      </c>
      <c r="F231" s="1195" t="s">
        <v>251</v>
      </c>
      <c r="G231" s="1195" t="s">
        <v>251</v>
      </c>
      <c r="H231" s="1195" t="s">
        <v>251</v>
      </c>
      <c r="I231" s="1195" t="s">
        <v>251</v>
      </c>
      <c r="J231" s="1195" t="s">
        <v>251</v>
      </c>
      <c r="K231" s="1195"/>
      <c r="L231" s="1195" t="s">
        <v>251</v>
      </c>
      <c r="M231" s="1195"/>
      <c r="N231" s="1195" t="s">
        <v>251</v>
      </c>
      <c r="O231" s="1195" t="s">
        <v>251</v>
      </c>
      <c r="P231" s="1502">
        <f t="shared" si="39"/>
        <v>0</v>
      </c>
      <c r="Q231" s="1295">
        <f t="shared" si="41"/>
        <v>0</v>
      </c>
      <c r="R231" s="1194" t="s">
        <v>251</v>
      </c>
      <c r="S231" s="1195" t="s">
        <v>251</v>
      </c>
      <c r="T231" s="1195" t="s">
        <v>251</v>
      </c>
      <c r="U231" s="1195"/>
      <c r="V231" s="1195"/>
      <c r="W231" s="1195"/>
      <c r="X231" s="1195"/>
      <c r="Y231" s="1195"/>
      <c r="Z231" s="1195"/>
      <c r="AA231" s="1195"/>
      <c r="AB231" s="1195"/>
      <c r="AC231" s="1195"/>
      <c r="AD231" s="1295">
        <f t="shared" si="37"/>
        <v>0</v>
      </c>
      <c r="AE231" s="51">
        <f t="shared" si="42"/>
        <v>0</v>
      </c>
      <c r="AF231" s="34">
        <f t="shared" si="40"/>
        <v>119</v>
      </c>
    </row>
    <row r="232" spans="1:32" x14ac:dyDescent="0.3">
      <c r="A232" s="134" t="s">
        <v>759</v>
      </c>
      <c r="B232" s="1294" t="s">
        <v>1051</v>
      </c>
      <c r="C232" s="1194" t="s">
        <v>251</v>
      </c>
      <c r="D232" s="1195" t="s">
        <v>251</v>
      </c>
      <c r="E232" s="1195" t="s">
        <v>251</v>
      </c>
      <c r="F232" s="1195" t="s">
        <v>251</v>
      </c>
      <c r="G232" s="1195" t="s">
        <v>251</v>
      </c>
      <c r="H232" s="1195" t="s">
        <v>251</v>
      </c>
      <c r="I232" s="1195" t="s">
        <v>251</v>
      </c>
      <c r="J232" s="1195" t="s">
        <v>251</v>
      </c>
      <c r="K232" s="1195"/>
      <c r="L232" s="1195" t="s">
        <v>251</v>
      </c>
      <c r="M232" s="1195"/>
      <c r="N232" s="1195" t="s">
        <v>251</v>
      </c>
      <c r="O232" s="1195" t="s">
        <v>251</v>
      </c>
      <c r="P232" s="1502">
        <f t="shared" si="39"/>
        <v>0</v>
      </c>
      <c r="Q232" s="1295">
        <f t="shared" si="41"/>
        <v>0</v>
      </c>
      <c r="R232" s="1194" t="s">
        <v>251</v>
      </c>
      <c r="S232" s="1195" t="s">
        <v>251</v>
      </c>
      <c r="T232" s="1195" t="s">
        <v>251</v>
      </c>
      <c r="U232" s="1195"/>
      <c r="V232" s="1195"/>
      <c r="W232" s="1195"/>
      <c r="X232" s="1195"/>
      <c r="Y232" s="1195"/>
      <c r="Z232" s="1195"/>
      <c r="AA232" s="1195"/>
      <c r="AB232" s="1195"/>
      <c r="AC232" s="1195"/>
      <c r="AD232" s="1295">
        <f t="shared" si="37"/>
        <v>0</v>
      </c>
      <c r="AE232" s="51">
        <f t="shared" si="42"/>
        <v>0</v>
      </c>
      <c r="AF232" s="34">
        <f t="shared" si="40"/>
        <v>119</v>
      </c>
    </row>
    <row r="233" spans="1:32" x14ac:dyDescent="0.3">
      <c r="A233" s="134" t="s">
        <v>759</v>
      </c>
      <c r="B233" s="1294" t="s">
        <v>1052</v>
      </c>
      <c r="C233" s="1194" t="s">
        <v>251</v>
      </c>
      <c r="D233" s="1195" t="s">
        <v>251</v>
      </c>
      <c r="E233" s="1195" t="s">
        <v>251</v>
      </c>
      <c r="F233" s="1195" t="s">
        <v>251</v>
      </c>
      <c r="G233" s="1195" t="s">
        <v>251</v>
      </c>
      <c r="H233" s="1195" t="s">
        <v>251</v>
      </c>
      <c r="I233" s="1195" t="s">
        <v>251</v>
      </c>
      <c r="J233" s="1195" t="s">
        <v>251</v>
      </c>
      <c r="K233" s="1195"/>
      <c r="L233" s="1195" t="s">
        <v>251</v>
      </c>
      <c r="M233" s="1195"/>
      <c r="N233" s="1195" t="s">
        <v>251</v>
      </c>
      <c r="O233" s="1195" t="s">
        <v>251</v>
      </c>
      <c r="P233" s="1502">
        <f t="shared" si="39"/>
        <v>0</v>
      </c>
      <c r="Q233" s="1295">
        <f t="shared" si="41"/>
        <v>0</v>
      </c>
      <c r="R233" s="1194" t="s">
        <v>251</v>
      </c>
      <c r="S233" s="1195" t="s">
        <v>251</v>
      </c>
      <c r="T233" s="1195" t="s">
        <v>251</v>
      </c>
      <c r="U233" s="1195"/>
      <c r="V233" s="1195"/>
      <c r="W233" s="1195"/>
      <c r="X233" s="1195"/>
      <c r="Y233" s="1195"/>
      <c r="Z233" s="1195"/>
      <c r="AA233" s="1195"/>
      <c r="AB233" s="1195"/>
      <c r="AC233" s="1195"/>
      <c r="AD233" s="1295">
        <f t="shared" si="37"/>
        <v>0</v>
      </c>
      <c r="AE233" s="51">
        <f t="shared" si="42"/>
        <v>0</v>
      </c>
      <c r="AF233" s="34">
        <f t="shared" si="40"/>
        <v>119</v>
      </c>
    </row>
    <row r="234" spans="1:32" x14ac:dyDescent="0.3">
      <c r="A234" s="134" t="s">
        <v>759</v>
      </c>
      <c r="B234" s="1294" t="s">
        <v>935</v>
      </c>
      <c r="C234" s="1194" t="s">
        <v>251</v>
      </c>
      <c r="D234" s="1195" t="s">
        <v>251</v>
      </c>
      <c r="E234" s="1195" t="s">
        <v>251</v>
      </c>
      <c r="F234" s="1195" t="s">
        <v>251</v>
      </c>
      <c r="G234" s="1195" t="s">
        <v>251</v>
      </c>
      <c r="H234" s="1195" t="s">
        <v>251</v>
      </c>
      <c r="I234" s="1195" t="s">
        <v>251</v>
      </c>
      <c r="J234" s="1195" t="s">
        <v>251</v>
      </c>
      <c r="K234" s="1195"/>
      <c r="L234" s="1195" t="s">
        <v>251</v>
      </c>
      <c r="M234" s="1195"/>
      <c r="N234" s="1195" t="s">
        <v>251</v>
      </c>
      <c r="O234" s="1195" t="s">
        <v>251</v>
      </c>
      <c r="P234" s="1502">
        <f t="shared" si="39"/>
        <v>0</v>
      </c>
      <c r="Q234" s="1295">
        <f t="shared" si="41"/>
        <v>0</v>
      </c>
      <c r="R234" s="1194" t="s">
        <v>251</v>
      </c>
      <c r="S234" s="1195" t="s">
        <v>251</v>
      </c>
      <c r="T234" s="1195" t="s">
        <v>251</v>
      </c>
      <c r="U234" s="1195"/>
      <c r="V234" s="1195"/>
      <c r="W234" s="1195"/>
      <c r="X234" s="1195"/>
      <c r="Y234" s="1195"/>
      <c r="Z234" s="1195"/>
      <c r="AA234" s="1195"/>
      <c r="AB234" s="1195"/>
      <c r="AC234" s="1195"/>
      <c r="AD234" s="1295">
        <f t="shared" si="37"/>
        <v>0</v>
      </c>
      <c r="AE234" s="51">
        <f t="shared" si="42"/>
        <v>0</v>
      </c>
      <c r="AF234" s="34">
        <f t="shared" si="40"/>
        <v>119</v>
      </c>
    </row>
    <row r="235" spans="1:32" x14ac:dyDescent="0.3">
      <c r="A235" s="134" t="s">
        <v>759</v>
      </c>
      <c r="B235" s="1294" t="s">
        <v>1053</v>
      </c>
      <c r="C235" s="1194" t="s">
        <v>251</v>
      </c>
      <c r="D235" s="1195" t="s">
        <v>251</v>
      </c>
      <c r="E235" s="1195" t="s">
        <v>251</v>
      </c>
      <c r="F235" s="1195" t="s">
        <v>251</v>
      </c>
      <c r="G235" s="1195" t="s">
        <v>251</v>
      </c>
      <c r="H235" s="1195" t="s">
        <v>251</v>
      </c>
      <c r="I235" s="1195" t="s">
        <v>251</v>
      </c>
      <c r="J235" s="1195" t="s">
        <v>251</v>
      </c>
      <c r="K235" s="1195"/>
      <c r="L235" s="1195" t="s">
        <v>251</v>
      </c>
      <c r="M235" s="1195"/>
      <c r="N235" s="1195" t="s">
        <v>251</v>
      </c>
      <c r="O235" s="1195" t="s">
        <v>251</v>
      </c>
      <c r="P235" s="1502">
        <f t="shared" si="39"/>
        <v>0</v>
      </c>
      <c r="Q235" s="1295">
        <f t="shared" si="41"/>
        <v>0</v>
      </c>
      <c r="R235" s="1194" t="s">
        <v>251</v>
      </c>
      <c r="S235" s="1195" t="s">
        <v>251</v>
      </c>
      <c r="T235" s="1195" t="s">
        <v>251</v>
      </c>
      <c r="U235" s="1195"/>
      <c r="V235" s="1195"/>
      <c r="W235" s="1195"/>
      <c r="X235" s="1195"/>
      <c r="Y235" s="1195"/>
      <c r="Z235" s="1195"/>
      <c r="AA235" s="1195"/>
      <c r="AB235" s="1195"/>
      <c r="AC235" s="1195"/>
      <c r="AD235" s="1295">
        <f t="shared" ref="AD235:AD288" si="43">SUM(R235:AC235)</f>
        <v>0</v>
      </c>
      <c r="AE235" s="51">
        <f t="shared" si="42"/>
        <v>0</v>
      </c>
      <c r="AF235" s="34">
        <f t="shared" si="40"/>
        <v>119</v>
      </c>
    </row>
    <row r="236" spans="1:32" x14ac:dyDescent="0.3">
      <c r="A236" s="134" t="s">
        <v>759</v>
      </c>
      <c r="B236" s="1294" t="s">
        <v>1054</v>
      </c>
      <c r="C236" s="1194" t="s">
        <v>251</v>
      </c>
      <c r="D236" s="1195" t="s">
        <v>251</v>
      </c>
      <c r="E236" s="1195" t="s">
        <v>251</v>
      </c>
      <c r="F236" s="1195" t="s">
        <v>251</v>
      </c>
      <c r="G236" s="1195" t="s">
        <v>251</v>
      </c>
      <c r="H236" s="1195" t="s">
        <v>251</v>
      </c>
      <c r="I236" s="1195" t="s">
        <v>251</v>
      </c>
      <c r="J236" s="1195" t="s">
        <v>251</v>
      </c>
      <c r="K236" s="1195"/>
      <c r="L236" s="1195" t="s">
        <v>251</v>
      </c>
      <c r="M236" s="1195"/>
      <c r="N236" s="1195" t="s">
        <v>251</v>
      </c>
      <c r="O236" s="1195" t="s">
        <v>251</v>
      </c>
      <c r="P236" s="1502">
        <f t="shared" si="39"/>
        <v>0</v>
      </c>
      <c r="Q236" s="1295">
        <f t="shared" si="41"/>
        <v>0</v>
      </c>
      <c r="R236" s="1194" t="s">
        <v>251</v>
      </c>
      <c r="S236" s="1195" t="s">
        <v>251</v>
      </c>
      <c r="T236" s="1195" t="s">
        <v>251</v>
      </c>
      <c r="U236" s="1195"/>
      <c r="V236" s="1195"/>
      <c r="W236" s="1195"/>
      <c r="X236" s="1195"/>
      <c r="Y236" s="1195"/>
      <c r="Z236" s="1195"/>
      <c r="AA236" s="1195"/>
      <c r="AB236" s="1195"/>
      <c r="AC236" s="1195"/>
      <c r="AD236" s="1295">
        <f t="shared" si="43"/>
        <v>0</v>
      </c>
      <c r="AE236" s="51">
        <f t="shared" si="42"/>
        <v>0</v>
      </c>
      <c r="AF236" s="34">
        <f t="shared" si="40"/>
        <v>119</v>
      </c>
    </row>
    <row r="237" spans="1:32" x14ac:dyDescent="0.3">
      <c r="A237" s="134" t="s">
        <v>759</v>
      </c>
      <c r="B237" s="1294" t="s">
        <v>1055</v>
      </c>
      <c r="C237" s="1194" t="s">
        <v>251</v>
      </c>
      <c r="D237" s="1195" t="s">
        <v>251</v>
      </c>
      <c r="E237" s="1195" t="s">
        <v>251</v>
      </c>
      <c r="F237" s="1195" t="s">
        <v>251</v>
      </c>
      <c r="G237" s="1195" t="s">
        <v>251</v>
      </c>
      <c r="H237" s="1195" t="s">
        <v>251</v>
      </c>
      <c r="I237" s="1195" t="s">
        <v>251</v>
      </c>
      <c r="J237" s="1195" t="s">
        <v>251</v>
      </c>
      <c r="K237" s="1195"/>
      <c r="L237" s="1195" t="s">
        <v>251</v>
      </c>
      <c r="M237" s="1195"/>
      <c r="N237" s="1195" t="s">
        <v>251</v>
      </c>
      <c r="O237" s="1195" t="s">
        <v>251</v>
      </c>
      <c r="P237" s="1502">
        <f t="shared" si="39"/>
        <v>0</v>
      </c>
      <c r="Q237" s="1295">
        <f t="shared" si="41"/>
        <v>0</v>
      </c>
      <c r="R237" s="1194" t="s">
        <v>251</v>
      </c>
      <c r="S237" s="1195" t="s">
        <v>251</v>
      </c>
      <c r="T237" s="1195" t="s">
        <v>251</v>
      </c>
      <c r="U237" s="1195"/>
      <c r="V237" s="1195"/>
      <c r="W237" s="1195"/>
      <c r="X237" s="1195"/>
      <c r="Y237" s="1195"/>
      <c r="Z237" s="1195"/>
      <c r="AA237" s="1195"/>
      <c r="AB237" s="1195"/>
      <c r="AC237" s="1195"/>
      <c r="AD237" s="1295">
        <f t="shared" si="43"/>
        <v>0</v>
      </c>
      <c r="AE237" s="51">
        <f t="shared" si="42"/>
        <v>0</v>
      </c>
      <c r="AF237" s="34">
        <f t="shared" si="40"/>
        <v>119</v>
      </c>
    </row>
    <row r="238" spans="1:32" x14ac:dyDescent="0.3">
      <c r="A238" s="134" t="s">
        <v>759</v>
      </c>
      <c r="B238" s="1294" t="s">
        <v>1056</v>
      </c>
      <c r="C238" s="1194" t="s">
        <v>251</v>
      </c>
      <c r="D238" s="1195" t="s">
        <v>251</v>
      </c>
      <c r="E238" s="1195" t="s">
        <v>251</v>
      </c>
      <c r="F238" s="1195" t="s">
        <v>251</v>
      </c>
      <c r="G238" s="1195" t="s">
        <v>251</v>
      </c>
      <c r="H238" s="1195" t="s">
        <v>251</v>
      </c>
      <c r="I238" s="1195" t="s">
        <v>251</v>
      </c>
      <c r="J238" s="1195" t="s">
        <v>251</v>
      </c>
      <c r="K238" s="1195"/>
      <c r="L238" s="1195" t="s">
        <v>251</v>
      </c>
      <c r="M238" s="1195"/>
      <c r="N238" s="1195" t="s">
        <v>251</v>
      </c>
      <c r="O238" s="1195" t="s">
        <v>251</v>
      </c>
      <c r="P238" s="1502">
        <f t="shared" si="39"/>
        <v>0</v>
      </c>
      <c r="Q238" s="1295">
        <f t="shared" si="41"/>
        <v>0</v>
      </c>
      <c r="R238" s="1194" t="s">
        <v>251</v>
      </c>
      <c r="S238" s="1195" t="s">
        <v>251</v>
      </c>
      <c r="T238" s="1195" t="s">
        <v>251</v>
      </c>
      <c r="U238" s="1195"/>
      <c r="V238" s="1195"/>
      <c r="W238" s="1195"/>
      <c r="X238" s="1195"/>
      <c r="Y238" s="1195"/>
      <c r="Z238" s="1195"/>
      <c r="AA238" s="1195"/>
      <c r="AB238" s="1195"/>
      <c r="AC238" s="1195"/>
      <c r="AD238" s="1295">
        <f t="shared" si="43"/>
        <v>0</v>
      </c>
      <c r="AE238" s="51">
        <f t="shared" si="42"/>
        <v>0</v>
      </c>
      <c r="AF238" s="34">
        <f t="shared" si="40"/>
        <v>119</v>
      </c>
    </row>
    <row r="239" spans="1:32" x14ac:dyDescent="0.3">
      <c r="A239" s="134" t="s">
        <v>759</v>
      </c>
      <c r="B239" s="1294" t="s">
        <v>1057</v>
      </c>
      <c r="C239" s="1194">
        <v>0</v>
      </c>
      <c r="D239" s="1195">
        <v>0</v>
      </c>
      <c r="E239" s="1195">
        <v>0</v>
      </c>
      <c r="F239" s="1195">
        <v>0</v>
      </c>
      <c r="G239" s="1195">
        <v>0</v>
      </c>
      <c r="H239" s="1195">
        <v>0</v>
      </c>
      <c r="I239" s="1195">
        <v>620000</v>
      </c>
      <c r="J239" s="1195">
        <v>719980</v>
      </c>
      <c r="K239" s="1195">
        <v>0</v>
      </c>
      <c r="L239" s="1195">
        <v>1697830</v>
      </c>
      <c r="M239" s="1195">
        <v>998100</v>
      </c>
      <c r="N239" s="1195">
        <v>0</v>
      </c>
      <c r="O239" s="1195">
        <v>0</v>
      </c>
      <c r="P239" s="1502">
        <f t="shared" si="39"/>
        <v>620000</v>
      </c>
      <c r="Q239" s="1295">
        <f t="shared" si="41"/>
        <v>4035910</v>
      </c>
      <c r="R239" s="1194" t="s">
        <v>251</v>
      </c>
      <c r="S239" s="1195" t="s">
        <v>251</v>
      </c>
      <c r="T239" s="1195" t="s">
        <v>251</v>
      </c>
      <c r="U239" s="1195"/>
      <c r="V239" s="1195"/>
      <c r="W239" s="1195"/>
      <c r="X239" s="1195"/>
      <c r="Y239" s="1195"/>
      <c r="Z239" s="1195"/>
      <c r="AA239" s="1195"/>
      <c r="AB239" s="1195"/>
      <c r="AC239" s="1195"/>
      <c r="AD239" s="1295">
        <f t="shared" si="43"/>
        <v>0</v>
      </c>
      <c r="AE239" s="51">
        <f t="shared" si="42"/>
        <v>-1</v>
      </c>
      <c r="AF239" s="34">
        <f t="shared" si="40"/>
        <v>119</v>
      </c>
    </row>
    <row r="240" spans="1:32" x14ac:dyDescent="0.3">
      <c r="A240" s="134" t="s">
        <v>759</v>
      </c>
      <c r="B240" s="1294" t="s">
        <v>1058</v>
      </c>
      <c r="C240" s="1194" t="s">
        <v>251</v>
      </c>
      <c r="D240" s="1195" t="s">
        <v>251</v>
      </c>
      <c r="E240" s="1195" t="s">
        <v>251</v>
      </c>
      <c r="F240" s="1195" t="s">
        <v>251</v>
      </c>
      <c r="G240" s="1195" t="s">
        <v>251</v>
      </c>
      <c r="H240" s="1195" t="s">
        <v>251</v>
      </c>
      <c r="I240" s="1195" t="s">
        <v>251</v>
      </c>
      <c r="J240" s="1195" t="s">
        <v>251</v>
      </c>
      <c r="K240" s="1195"/>
      <c r="L240" s="1195" t="s">
        <v>251</v>
      </c>
      <c r="M240" s="1195"/>
      <c r="N240" s="1195" t="s">
        <v>251</v>
      </c>
      <c r="O240" s="1195" t="s">
        <v>251</v>
      </c>
      <c r="P240" s="1502">
        <f t="shared" si="39"/>
        <v>0</v>
      </c>
      <c r="Q240" s="1295">
        <f t="shared" si="41"/>
        <v>0</v>
      </c>
      <c r="R240" s="1194" t="s">
        <v>251</v>
      </c>
      <c r="S240" s="1195" t="s">
        <v>251</v>
      </c>
      <c r="T240" s="1195" t="s">
        <v>251</v>
      </c>
      <c r="U240" s="1195"/>
      <c r="V240" s="1195"/>
      <c r="W240" s="1195"/>
      <c r="X240" s="1195"/>
      <c r="Y240" s="1195"/>
      <c r="Z240" s="1195"/>
      <c r="AA240" s="1195"/>
      <c r="AB240" s="1195"/>
      <c r="AC240" s="1195"/>
      <c r="AD240" s="1295">
        <f t="shared" si="43"/>
        <v>0</v>
      </c>
      <c r="AE240" s="51">
        <f t="shared" si="42"/>
        <v>0</v>
      </c>
      <c r="AF240" s="34">
        <f t="shared" si="40"/>
        <v>119</v>
      </c>
    </row>
    <row r="241" spans="1:32" x14ac:dyDescent="0.3">
      <c r="A241" s="134" t="s">
        <v>759</v>
      </c>
      <c r="B241" s="1294" t="s">
        <v>1059</v>
      </c>
      <c r="C241" s="1194" t="s">
        <v>251</v>
      </c>
      <c r="D241" s="1195" t="s">
        <v>251</v>
      </c>
      <c r="E241" s="1195" t="s">
        <v>251</v>
      </c>
      <c r="F241" s="1195" t="s">
        <v>251</v>
      </c>
      <c r="G241" s="1195" t="s">
        <v>251</v>
      </c>
      <c r="H241" s="1195" t="s">
        <v>251</v>
      </c>
      <c r="I241" s="1195" t="s">
        <v>251</v>
      </c>
      <c r="J241" s="1195" t="s">
        <v>251</v>
      </c>
      <c r="K241" s="1195"/>
      <c r="L241" s="1195" t="s">
        <v>251</v>
      </c>
      <c r="M241" s="1195"/>
      <c r="N241" s="1195" t="s">
        <v>251</v>
      </c>
      <c r="O241" s="1195" t="s">
        <v>251</v>
      </c>
      <c r="P241" s="1502">
        <f t="shared" si="39"/>
        <v>0</v>
      </c>
      <c r="Q241" s="1295">
        <f t="shared" si="41"/>
        <v>0</v>
      </c>
      <c r="R241" s="1194" t="s">
        <v>251</v>
      </c>
      <c r="S241" s="1195" t="s">
        <v>251</v>
      </c>
      <c r="T241" s="1195" t="s">
        <v>251</v>
      </c>
      <c r="U241" s="1195"/>
      <c r="V241" s="1195"/>
      <c r="W241" s="1195"/>
      <c r="X241" s="1195"/>
      <c r="Y241" s="1195"/>
      <c r="Z241" s="1195"/>
      <c r="AA241" s="1195"/>
      <c r="AB241" s="1195"/>
      <c r="AC241" s="1195"/>
      <c r="AD241" s="1295">
        <f t="shared" si="43"/>
        <v>0</v>
      </c>
      <c r="AE241" s="51">
        <f t="shared" si="42"/>
        <v>0</v>
      </c>
      <c r="AF241" s="34">
        <f t="shared" si="40"/>
        <v>119</v>
      </c>
    </row>
    <row r="242" spans="1:32" x14ac:dyDescent="0.3">
      <c r="A242" s="134" t="s">
        <v>759</v>
      </c>
      <c r="B242" s="1294" t="s">
        <v>1060</v>
      </c>
      <c r="C242" s="1194" t="s">
        <v>251</v>
      </c>
      <c r="D242" s="1195" t="s">
        <v>251</v>
      </c>
      <c r="E242" s="1195" t="s">
        <v>251</v>
      </c>
      <c r="F242" s="1195" t="s">
        <v>251</v>
      </c>
      <c r="G242" s="1195" t="s">
        <v>251</v>
      </c>
      <c r="H242" s="1195" t="s">
        <v>251</v>
      </c>
      <c r="I242" s="1195" t="s">
        <v>251</v>
      </c>
      <c r="J242" s="1195" t="s">
        <v>251</v>
      </c>
      <c r="K242" s="1195"/>
      <c r="L242" s="1195" t="s">
        <v>251</v>
      </c>
      <c r="M242" s="1195"/>
      <c r="N242" s="1195" t="s">
        <v>251</v>
      </c>
      <c r="O242" s="1195" t="s">
        <v>251</v>
      </c>
      <c r="P242" s="1502">
        <f t="shared" si="39"/>
        <v>0</v>
      </c>
      <c r="Q242" s="1295">
        <f t="shared" si="41"/>
        <v>0</v>
      </c>
      <c r="R242" s="1194" t="s">
        <v>251</v>
      </c>
      <c r="S242" s="1195" t="s">
        <v>251</v>
      </c>
      <c r="T242" s="1195" t="s">
        <v>251</v>
      </c>
      <c r="U242" s="1195"/>
      <c r="V242" s="1195"/>
      <c r="W242" s="1195"/>
      <c r="X242" s="1195"/>
      <c r="Y242" s="1195"/>
      <c r="Z242" s="1195"/>
      <c r="AA242" s="1195"/>
      <c r="AB242" s="1195"/>
      <c r="AC242" s="1195"/>
      <c r="AD242" s="1295">
        <f t="shared" si="43"/>
        <v>0</v>
      </c>
      <c r="AE242" s="51">
        <f t="shared" si="42"/>
        <v>0</v>
      </c>
      <c r="AF242" s="34">
        <f t="shared" si="40"/>
        <v>119</v>
      </c>
    </row>
    <row r="243" spans="1:32" x14ac:dyDescent="0.3">
      <c r="A243" s="134" t="s">
        <v>759</v>
      </c>
      <c r="B243" s="1311" t="s">
        <v>2442</v>
      </c>
      <c r="C243" s="1299">
        <v>58450</v>
      </c>
      <c r="D243" s="1300">
        <v>0</v>
      </c>
      <c r="E243" s="1300">
        <v>0</v>
      </c>
      <c r="F243" s="1300">
        <v>223780</v>
      </c>
      <c r="G243" s="1300">
        <v>0</v>
      </c>
      <c r="H243" s="1300">
        <v>0</v>
      </c>
      <c r="I243" s="1300">
        <v>0</v>
      </c>
      <c r="J243" s="1300">
        <v>0</v>
      </c>
      <c r="K243" s="1300">
        <v>0</v>
      </c>
      <c r="L243" s="1300">
        <v>0</v>
      </c>
      <c r="M243" s="1300"/>
      <c r="N243" s="1300">
        <v>0</v>
      </c>
      <c r="O243" s="1300">
        <v>453780</v>
      </c>
      <c r="P243" s="1502">
        <f t="shared" si="39"/>
        <v>282230</v>
      </c>
      <c r="Q243" s="1295">
        <f t="shared" si="41"/>
        <v>736010</v>
      </c>
      <c r="R243" s="1299" t="s">
        <v>251</v>
      </c>
      <c r="S243" s="1300" t="s">
        <v>251</v>
      </c>
      <c r="T243" s="1300" t="s">
        <v>251</v>
      </c>
      <c r="U243" s="1300"/>
      <c r="V243" s="1300"/>
      <c r="W243" s="1300"/>
      <c r="X243" s="1300">
        <v>474440</v>
      </c>
      <c r="Y243" s="1300">
        <v>0</v>
      </c>
      <c r="Z243" s="1300"/>
      <c r="AA243" s="1300"/>
      <c r="AB243" s="1300"/>
      <c r="AC243" s="1300"/>
      <c r="AD243" s="1295">
        <f t="shared" si="43"/>
        <v>474440</v>
      </c>
      <c r="AE243" s="51">
        <f t="shared" si="42"/>
        <v>0.68104028629132263</v>
      </c>
      <c r="AF243" s="34">
        <f t="shared" si="40"/>
        <v>88</v>
      </c>
    </row>
    <row r="244" spans="1:32" x14ac:dyDescent="0.3">
      <c r="A244" s="134" t="s">
        <v>759</v>
      </c>
      <c r="B244" s="1311" t="s">
        <v>1396</v>
      </c>
      <c r="C244" s="1299"/>
      <c r="D244" s="1300"/>
      <c r="E244" s="1300"/>
      <c r="F244" s="1300"/>
      <c r="G244" s="1300">
        <v>154000</v>
      </c>
      <c r="H244" s="1300">
        <v>0</v>
      </c>
      <c r="I244" s="1300">
        <v>0</v>
      </c>
      <c r="J244" s="1300">
        <v>0</v>
      </c>
      <c r="K244" s="1300">
        <v>0</v>
      </c>
      <c r="L244" s="1300">
        <v>0</v>
      </c>
      <c r="M244" s="1300"/>
      <c r="N244" s="1300">
        <v>0</v>
      </c>
      <c r="O244" s="1300">
        <v>0</v>
      </c>
      <c r="P244" s="1502">
        <f t="shared" si="39"/>
        <v>154000</v>
      </c>
      <c r="Q244" s="1295">
        <f t="shared" si="41"/>
        <v>154000</v>
      </c>
      <c r="R244" s="1299" t="s">
        <v>251</v>
      </c>
      <c r="S244" s="1300" t="s">
        <v>251</v>
      </c>
      <c r="T244" s="1300" t="s">
        <v>251</v>
      </c>
      <c r="U244" s="1300"/>
      <c r="V244" s="1300"/>
      <c r="W244" s="1300"/>
      <c r="X244" s="1300"/>
      <c r="Y244" s="1300"/>
      <c r="Z244" s="1300"/>
      <c r="AA244" s="1300"/>
      <c r="AB244" s="1300"/>
      <c r="AC244" s="1300"/>
      <c r="AD244" s="1295">
        <f t="shared" si="43"/>
        <v>0</v>
      </c>
      <c r="AE244" s="51">
        <f t="shared" si="42"/>
        <v>-1</v>
      </c>
      <c r="AF244" s="34">
        <f t="shared" si="40"/>
        <v>119</v>
      </c>
    </row>
    <row r="245" spans="1:32" x14ac:dyDescent="0.3">
      <c r="A245" s="134" t="s">
        <v>759</v>
      </c>
      <c r="B245" s="1311" t="s">
        <v>918</v>
      </c>
      <c r="C245" s="1299"/>
      <c r="D245" s="1300"/>
      <c r="E245" s="1300"/>
      <c r="F245" s="1300"/>
      <c r="G245" s="1300"/>
      <c r="H245" s="1300"/>
      <c r="I245" s="1300">
        <v>329480</v>
      </c>
      <c r="J245" s="1300">
        <v>725600</v>
      </c>
      <c r="K245" s="1300">
        <v>725600</v>
      </c>
      <c r="L245" s="1300">
        <v>2674070</v>
      </c>
      <c r="M245" s="1300">
        <v>823220</v>
      </c>
      <c r="N245" s="1300">
        <v>2151190</v>
      </c>
      <c r="O245" s="1300">
        <v>1298320</v>
      </c>
      <c r="P245" s="1502">
        <f t="shared" si="39"/>
        <v>1055080</v>
      </c>
      <c r="Q245" s="1295">
        <f t="shared" si="41"/>
        <v>8001880</v>
      </c>
      <c r="R245" s="1299" t="s">
        <v>251</v>
      </c>
      <c r="S245" s="1300" t="s">
        <v>251</v>
      </c>
      <c r="T245" s="1300" t="s">
        <v>251</v>
      </c>
      <c r="U245" s="1300"/>
      <c r="V245" s="1300"/>
      <c r="W245" s="1300"/>
      <c r="X245" s="1300"/>
      <c r="Y245" s="1300"/>
      <c r="Z245" s="1300"/>
      <c r="AA245" s="1300"/>
      <c r="AB245" s="1300"/>
      <c r="AC245" s="1300"/>
      <c r="AD245" s="1295">
        <f t="shared" si="43"/>
        <v>0</v>
      </c>
      <c r="AE245" s="51">
        <f t="shared" si="42"/>
        <v>-1</v>
      </c>
      <c r="AF245" s="34">
        <f t="shared" si="40"/>
        <v>119</v>
      </c>
    </row>
    <row r="246" spans="1:32" x14ac:dyDescent="0.3">
      <c r="A246" s="134" t="s">
        <v>759</v>
      </c>
      <c r="B246" s="1311" t="s">
        <v>2445</v>
      </c>
      <c r="C246" s="1299"/>
      <c r="D246" s="1300"/>
      <c r="E246" s="1300"/>
      <c r="F246" s="1300"/>
      <c r="G246" s="1300"/>
      <c r="H246" s="1300"/>
      <c r="I246" s="1300">
        <v>666120</v>
      </c>
      <c r="J246" s="1300">
        <v>0</v>
      </c>
      <c r="K246" s="1300">
        <v>0</v>
      </c>
      <c r="L246" s="1300">
        <v>0</v>
      </c>
      <c r="M246" s="1300"/>
      <c r="N246" s="1300">
        <v>0</v>
      </c>
      <c r="O246" s="1300">
        <v>0</v>
      </c>
      <c r="P246" s="1502">
        <f t="shared" si="39"/>
        <v>666120</v>
      </c>
      <c r="Q246" s="1295">
        <f t="shared" si="41"/>
        <v>666120</v>
      </c>
      <c r="R246" s="1299" t="s">
        <v>251</v>
      </c>
      <c r="S246" s="1300" t="s">
        <v>251</v>
      </c>
      <c r="T246" s="1300" t="s">
        <v>251</v>
      </c>
      <c r="U246" s="1300"/>
      <c r="V246" s="1300"/>
      <c r="W246" s="1300"/>
      <c r="X246" s="1300"/>
      <c r="Y246" s="1300"/>
      <c r="Z246" s="1300"/>
      <c r="AA246" s="1300"/>
      <c r="AB246" s="1300"/>
      <c r="AC246" s="1300"/>
      <c r="AD246" s="1295">
        <f t="shared" si="43"/>
        <v>0</v>
      </c>
      <c r="AE246" s="51">
        <f t="shared" si="42"/>
        <v>-1</v>
      </c>
      <c r="AF246" s="34">
        <f t="shared" si="40"/>
        <v>119</v>
      </c>
    </row>
    <row r="247" spans="1:32" x14ac:dyDescent="0.3">
      <c r="A247" s="134" t="s">
        <v>759</v>
      </c>
      <c r="B247" s="1311" t="s">
        <v>2120</v>
      </c>
      <c r="C247" s="1299"/>
      <c r="D247" s="1300"/>
      <c r="E247" s="1300"/>
      <c r="F247" s="1300"/>
      <c r="G247" s="1300"/>
      <c r="H247" s="1300"/>
      <c r="I247" s="1300">
        <v>280180</v>
      </c>
      <c r="J247" s="1300">
        <v>280170</v>
      </c>
      <c r="K247" s="1300">
        <v>280170</v>
      </c>
      <c r="L247" s="1300">
        <v>0</v>
      </c>
      <c r="M247" s="1300"/>
      <c r="N247" s="1300">
        <v>0</v>
      </c>
      <c r="O247" s="1300">
        <v>0</v>
      </c>
      <c r="P247" s="1502">
        <f t="shared" si="39"/>
        <v>560350</v>
      </c>
      <c r="Q247" s="1295">
        <f t="shared" si="41"/>
        <v>560350</v>
      </c>
      <c r="R247" s="1299" t="s">
        <v>251</v>
      </c>
      <c r="S247" s="1300" t="s">
        <v>251</v>
      </c>
      <c r="T247" s="1300" t="s">
        <v>251</v>
      </c>
      <c r="U247" s="1300"/>
      <c r="V247" s="1300"/>
      <c r="W247" s="1300"/>
      <c r="X247" s="1300"/>
      <c r="Y247" s="1300"/>
      <c r="Z247" s="1300"/>
      <c r="AA247" s="1300"/>
      <c r="AB247" s="1300"/>
      <c r="AC247" s="1300"/>
      <c r="AD247" s="1295">
        <f t="shared" si="43"/>
        <v>0</v>
      </c>
      <c r="AE247" s="51">
        <f t="shared" si="42"/>
        <v>-1</v>
      </c>
      <c r="AF247" s="34">
        <f t="shared" si="40"/>
        <v>119</v>
      </c>
    </row>
    <row r="248" spans="1:32" x14ac:dyDescent="0.3">
      <c r="A248" s="134" t="s">
        <v>759</v>
      </c>
      <c r="B248" s="1311" t="s">
        <v>969</v>
      </c>
      <c r="C248" s="1299"/>
      <c r="D248" s="1300"/>
      <c r="E248" s="1300"/>
      <c r="F248" s="1300"/>
      <c r="G248" s="1300"/>
      <c r="H248" s="1300"/>
      <c r="I248" s="1300"/>
      <c r="J248" s="1300">
        <v>122830</v>
      </c>
      <c r="K248" s="1300">
        <v>122830</v>
      </c>
      <c r="L248" s="1300">
        <v>0</v>
      </c>
      <c r="M248" s="1300"/>
      <c r="N248" s="1300">
        <v>0</v>
      </c>
      <c r="O248" s="1300">
        <v>0</v>
      </c>
      <c r="P248" s="1502">
        <f t="shared" si="39"/>
        <v>122830</v>
      </c>
      <c r="Q248" s="1295">
        <f t="shared" si="41"/>
        <v>122830</v>
      </c>
      <c r="R248" s="1299" t="s">
        <v>251</v>
      </c>
      <c r="S248" s="1300" t="s">
        <v>251</v>
      </c>
      <c r="T248" s="1300" t="s">
        <v>251</v>
      </c>
      <c r="U248" s="1300"/>
      <c r="V248" s="1300"/>
      <c r="W248" s="1300"/>
      <c r="X248" s="1300"/>
      <c r="Y248" s="1300"/>
      <c r="Z248" s="1300"/>
      <c r="AA248" s="1300"/>
      <c r="AB248" s="1300"/>
      <c r="AC248" s="1300"/>
      <c r="AD248" s="1295">
        <f t="shared" si="43"/>
        <v>0</v>
      </c>
      <c r="AE248" s="51">
        <f t="shared" si="42"/>
        <v>-1</v>
      </c>
      <c r="AF248" s="34">
        <f t="shared" si="40"/>
        <v>119</v>
      </c>
    </row>
    <row r="249" spans="1:32" x14ac:dyDescent="0.3">
      <c r="A249" s="134" t="s">
        <v>759</v>
      </c>
      <c r="B249" s="1311" t="s">
        <v>2455</v>
      </c>
      <c r="C249" s="1299"/>
      <c r="D249" s="1300"/>
      <c r="E249" s="1300"/>
      <c r="F249" s="1300"/>
      <c r="G249" s="1300"/>
      <c r="H249" s="1300"/>
      <c r="I249" s="1300"/>
      <c r="J249" s="1300"/>
      <c r="K249" s="1300"/>
      <c r="L249" s="1300">
        <v>12645590</v>
      </c>
      <c r="M249" s="1300"/>
      <c r="N249" s="1300">
        <v>0</v>
      </c>
      <c r="O249" s="1300">
        <v>0</v>
      </c>
      <c r="P249" s="1502">
        <f t="shared" si="39"/>
        <v>0</v>
      </c>
      <c r="Q249" s="1295">
        <f t="shared" si="41"/>
        <v>12645590</v>
      </c>
      <c r="R249" s="1299" t="s">
        <v>251</v>
      </c>
      <c r="S249" s="1300">
        <v>251490</v>
      </c>
      <c r="T249" s="1300">
        <v>6827310</v>
      </c>
      <c r="U249" s="1300">
        <v>0</v>
      </c>
      <c r="V249" s="1300">
        <v>0</v>
      </c>
      <c r="W249" s="1300">
        <v>0</v>
      </c>
      <c r="X249" s="1300">
        <v>0</v>
      </c>
      <c r="Y249" s="1300">
        <v>0</v>
      </c>
      <c r="Z249" s="1300"/>
      <c r="AA249" s="1300"/>
      <c r="AB249" s="1300"/>
      <c r="AC249" s="1300"/>
      <c r="AD249" s="1295">
        <f t="shared" si="43"/>
        <v>7078800</v>
      </c>
      <c r="AE249" s="51">
        <f t="shared" si="42"/>
        <v>1</v>
      </c>
      <c r="AF249" s="34">
        <f t="shared" si="40"/>
        <v>20</v>
      </c>
    </row>
    <row r="250" spans="1:32" x14ac:dyDescent="0.3">
      <c r="A250" s="134" t="s">
        <v>759</v>
      </c>
      <c r="B250" s="1311" t="s">
        <v>2456</v>
      </c>
      <c r="C250" s="1299"/>
      <c r="D250" s="1300"/>
      <c r="E250" s="1300"/>
      <c r="F250" s="1300"/>
      <c r="G250" s="1300"/>
      <c r="H250" s="1300"/>
      <c r="I250" s="1300"/>
      <c r="J250" s="1300"/>
      <c r="K250" s="1300"/>
      <c r="L250" s="1300">
        <v>1769880</v>
      </c>
      <c r="M250" s="1300"/>
      <c r="N250" s="1300">
        <v>0</v>
      </c>
      <c r="O250" s="1300">
        <v>0</v>
      </c>
      <c r="P250" s="1502">
        <f t="shared" si="39"/>
        <v>0</v>
      </c>
      <c r="Q250" s="1295">
        <f t="shared" si="41"/>
        <v>1769880</v>
      </c>
      <c r="R250" s="1299" t="s">
        <v>251</v>
      </c>
      <c r="S250" s="1300" t="s">
        <v>251</v>
      </c>
      <c r="T250" s="1300" t="s">
        <v>251</v>
      </c>
      <c r="U250" s="1300"/>
      <c r="V250" s="1300">
        <v>0</v>
      </c>
      <c r="W250" s="1300">
        <v>502470</v>
      </c>
      <c r="X250" s="1300">
        <v>0</v>
      </c>
      <c r="Y250" s="1300">
        <v>0</v>
      </c>
      <c r="Z250" s="1300"/>
      <c r="AA250" s="1300"/>
      <c r="AB250" s="1300"/>
      <c r="AC250" s="1300"/>
      <c r="AD250" s="1295">
        <f t="shared" si="43"/>
        <v>502470</v>
      </c>
      <c r="AE250" s="51">
        <f t="shared" si="42"/>
        <v>1</v>
      </c>
      <c r="AF250" s="34">
        <f t="shared" si="40"/>
        <v>84</v>
      </c>
    </row>
    <row r="251" spans="1:32" x14ac:dyDescent="0.3">
      <c r="A251" s="134" t="s">
        <v>759</v>
      </c>
      <c r="B251" s="1311" t="s">
        <v>1376</v>
      </c>
      <c r="C251" s="1299"/>
      <c r="D251" s="1300"/>
      <c r="E251" s="1300"/>
      <c r="F251" s="1300"/>
      <c r="G251" s="1300"/>
      <c r="H251" s="1300"/>
      <c r="I251" s="1300"/>
      <c r="J251" s="1300"/>
      <c r="K251" s="1300"/>
      <c r="L251" s="1300">
        <v>995160</v>
      </c>
      <c r="M251" s="1300"/>
      <c r="N251" s="1300">
        <v>0</v>
      </c>
      <c r="O251" s="1300">
        <v>0</v>
      </c>
      <c r="P251" s="1502">
        <f t="shared" si="39"/>
        <v>0</v>
      </c>
      <c r="Q251" s="1295">
        <f t="shared" si="41"/>
        <v>995160</v>
      </c>
      <c r="R251" s="1299" t="s">
        <v>251</v>
      </c>
      <c r="S251" s="1300" t="s">
        <v>251</v>
      </c>
      <c r="T251" s="1300" t="s">
        <v>251</v>
      </c>
      <c r="U251" s="1300"/>
      <c r="V251" s="1300"/>
      <c r="W251" s="1300"/>
      <c r="X251" s="1300"/>
      <c r="Y251" s="1300"/>
      <c r="Z251" s="1300"/>
      <c r="AA251" s="1300"/>
      <c r="AB251" s="1300"/>
      <c r="AC251" s="1300"/>
      <c r="AD251" s="1295">
        <f t="shared" si="43"/>
        <v>0</v>
      </c>
      <c r="AE251" s="51">
        <f t="shared" si="42"/>
        <v>0</v>
      </c>
      <c r="AF251" s="34">
        <f t="shared" si="40"/>
        <v>119</v>
      </c>
    </row>
    <row r="252" spans="1:32" x14ac:dyDescent="0.3">
      <c r="A252" s="134" t="s">
        <v>759</v>
      </c>
      <c r="B252" s="1311" t="s">
        <v>2457</v>
      </c>
      <c r="C252" s="1299"/>
      <c r="D252" s="1300"/>
      <c r="E252" s="1300"/>
      <c r="F252" s="1300"/>
      <c r="G252" s="1300"/>
      <c r="H252" s="1300"/>
      <c r="I252" s="1300"/>
      <c r="J252" s="1300"/>
      <c r="K252" s="1300"/>
      <c r="L252" s="1300">
        <v>155000</v>
      </c>
      <c r="M252" s="1300"/>
      <c r="N252" s="1300">
        <v>0</v>
      </c>
      <c r="O252" s="1300">
        <v>0</v>
      </c>
      <c r="P252" s="1502">
        <f t="shared" si="39"/>
        <v>0</v>
      </c>
      <c r="Q252" s="1295">
        <f t="shared" si="41"/>
        <v>155000</v>
      </c>
      <c r="R252" s="1299" t="s">
        <v>251</v>
      </c>
      <c r="S252" s="1300" t="s">
        <v>251</v>
      </c>
      <c r="T252" s="1300" t="s">
        <v>251</v>
      </c>
      <c r="U252" s="1300"/>
      <c r="V252" s="1300"/>
      <c r="W252" s="1300"/>
      <c r="X252" s="1300"/>
      <c r="Y252" s="1300"/>
      <c r="Z252" s="1300"/>
      <c r="AA252" s="1300"/>
      <c r="AB252" s="1300"/>
      <c r="AC252" s="1300"/>
      <c r="AD252" s="1295">
        <f t="shared" si="43"/>
        <v>0</v>
      </c>
      <c r="AE252" s="51">
        <f t="shared" si="42"/>
        <v>0</v>
      </c>
      <c r="AF252" s="34">
        <f t="shared" si="40"/>
        <v>119</v>
      </c>
    </row>
    <row r="253" spans="1:32" x14ac:dyDescent="0.3">
      <c r="A253" s="134" t="s">
        <v>759</v>
      </c>
      <c r="B253" s="1311" t="s">
        <v>1880</v>
      </c>
      <c r="C253" s="1299"/>
      <c r="D253" s="1300"/>
      <c r="E253" s="1300"/>
      <c r="F253" s="1300"/>
      <c r="G253" s="1300"/>
      <c r="H253" s="1300"/>
      <c r="I253" s="1300"/>
      <c r="J253" s="1300"/>
      <c r="K253" s="1300"/>
      <c r="L253" s="1300"/>
      <c r="M253" s="1300">
        <v>4409920</v>
      </c>
      <c r="N253" s="1300">
        <v>0</v>
      </c>
      <c r="O253" s="1300">
        <v>1980000</v>
      </c>
      <c r="P253" s="1502">
        <f t="shared" si="39"/>
        <v>0</v>
      </c>
      <c r="Q253" s="1295">
        <f t="shared" si="41"/>
        <v>6389920</v>
      </c>
      <c r="R253" s="1299" t="s">
        <v>251</v>
      </c>
      <c r="S253" s="1300" t="s">
        <v>251</v>
      </c>
      <c r="T253" s="1300" t="s">
        <v>251</v>
      </c>
      <c r="U253" s="1300"/>
      <c r="V253" s="1300"/>
      <c r="W253" s="1300"/>
      <c r="X253" s="1300"/>
      <c r="Y253" s="1300"/>
      <c r="Z253" s="1300"/>
      <c r="AA253" s="1300"/>
      <c r="AB253" s="1300"/>
      <c r="AC253" s="1300"/>
      <c r="AD253" s="1295">
        <f t="shared" si="43"/>
        <v>0</v>
      </c>
      <c r="AE253" s="51">
        <f t="shared" si="42"/>
        <v>0</v>
      </c>
      <c r="AF253" s="34">
        <f t="shared" si="40"/>
        <v>119</v>
      </c>
    </row>
    <row r="254" spans="1:32" x14ac:dyDescent="0.3">
      <c r="A254" s="134" t="s">
        <v>759</v>
      </c>
      <c r="B254" s="1311" t="s">
        <v>2440</v>
      </c>
      <c r="C254" s="1299"/>
      <c r="D254" s="1300"/>
      <c r="E254" s="1300"/>
      <c r="F254" s="1300"/>
      <c r="G254" s="1300"/>
      <c r="H254" s="1300"/>
      <c r="I254" s="1300"/>
      <c r="J254" s="1300"/>
      <c r="K254" s="1300"/>
      <c r="L254" s="1300"/>
      <c r="M254" s="1300">
        <v>1155650</v>
      </c>
      <c r="N254" s="1300">
        <v>0</v>
      </c>
      <c r="O254" s="1300">
        <v>0</v>
      </c>
      <c r="P254" s="1502">
        <f t="shared" si="39"/>
        <v>0</v>
      </c>
      <c r="Q254" s="1295">
        <f t="shared" si="41"/>
        <v>1155650</v>
      </c>
      <c r="R254" s="1299" t="s">
        <v>251</v>
      </c>
      <c r="S254" s="1300" t="s">
        <v>251</v>
      </c>
      <c r="T254" s="1300" t="s">
        <v>251</v>
      </c>
      <c r="U254" s="1300"/>
      <c r="V254" s="1300"/>
      <c r="W254" s="1300"/>
      <c r="X254" s="1300"/>
      <c r="Y254" s="1300"/>
      <c r="Z254" s="1300"/>
      <c r="AA254" s="1300"/>
      <c r="AB254" s="1300"/>
      <c r="AC254" s="1300"/>
      <c r="AD254" s="1295">
        <f t="shared" si="43"/>
        <v>0</v>
      </c>
      <c r="AE254" s="51">
        <f t="shared" si="42"/>
        <v>0</v>
      </c>
      <c r="AF254" s="34">
        <f t="shared" si="40"/>
        <v>119</v>
      </c>
    </row>
    <row r="255" spans="1:32" x14ac:dyDescent="0.3">
      <c r="A255" s="134" t="s">
        <v>759</v>
      </c>
      <c r="B255" s="1311" t="s">
        <v>933</v>
      </c>
      <c r="C255" s="1299"/>
      <c r="D255" s="1300"/>
      <c r="E255" s="1300"/>
      <c r="F255" s="1300"/>
      <c r="G255" s="1300"/>
      <c r="H255" s="1300"/>
      <c r="I255" s="1300"/>
      <c r="J255" s="1300"/>
      <c r="K255" s="1300"/>
      <c r="L255" s="1300"/>
      <c r="M255" s="1300">
        <v>2860</v>
      </c>
      <c r="N255" s="1300">
        <v>0</v>
      </c>
      <c r="O255" s="1300">
        <v>0</v>
      </c>
      <c r="P255" s="1502">
        <f t="shared" si="39"/>
        <v>0</v>
      </c>
      <c r="Q255" s="1295">
        <f t="shared" si="41"/>
        <v>2860</v>
      </c>
      <c r="R255" s="1299" t="s">
        <v>251</v>
      </c>
      <c r="S255" s="1300" t="s">
        <v>251</v>
      </c>
      <c r="T255" s="1300">
        <v>3500</v>
      </c>
      <c r="U255" s="1300">
        <v>1900</v>
      </c>
      <c r="V255" s="1300">
        <v>0</v>
      </c>
      <c r="W255" s="1300">
        <v>0</v>
      </c>
      <c r="X255" s="1300">
        <v>0</v>
      </c>
      <c r="Y255" s="1300">
        <v>0</v>
      </c>
      <c r="Z255" s="1300"/>
      <c r="AA255" s="1300"/>
      <c r="AB255" s="1300"/>
      <c r="AC255" s="1300"/>
      <c r="AD255" s="1295">
        <f t="shared" si="43"/>
        <v>5400</v>
      </c>
      <c r="AE255" s="51">
        <f t="shared" si="42"/>
        <v>1</v>
      </c>
      <c r="AF255" s="34">
        <f t="shared" si="40"/>
        <v>118</v>
      </c>
    </row>
    <row r="256" spans="1:32" x14ac:dyDescent="0.3">
      <c r="A256" s="134" t="s">
        <v>759</v>
      </c>
      <c r="B256" s="1311" t="s">
        <v>2461</v>
      </c>
      <c r="C256" s="1299"/>
      <c r="D256" s="1300"/>
      <c r="E256" s="1300"/>
      <c r="F256" s="1300"/>
      <c r="G256" s="1300"/>
      <c r="H256" s="1300"/>
      <c r="I256" s="1300"/>
      <c r="J256" s="1300"/>
      <c r="K256" s="1300"/>
      <c r="L256" s="1300"/>
      <c r="M256" s="1300">
        <v>740570</v>
      </c>
      <c r="N256" s="1300">
        <v>1090020</v>
      </c>
      <c r="O256" s="1300">
        <v>282640</v>
      </c>
      <c r="P256" s="1502">
        <f t="shared" si="39"/>
        <v>0</v>
      </c>
      <c r="Q256" s="1295">
        <f t="shared" si="41"/>
        <v>2113230</v>
      </c>
      <c r="R256" s="1299" t="s">
        <v>251</v>
      </c>
      <c r="S256" s="1300" t="s">
        <v>251</v>
      </c>
      <c r="T256" s="1300" t="s">
        <v>251</v>
      </c>
      <c r="U256" s="1300"/>
      <c r="V256" s="1300"/>
      <c r="W256" s="1300"/>
      <c r="X256" s="1300"/>
      <c r="Y256" s="1300"/>
      <c r="Z256" s="1300"/>
      <c r="AA256" s="1300"/>
      <c r="AB256" s="1300"/>
      <c r="AC256" s="1300"/>
      <c r="AD256" s="1295">
        <f t="shared" si="43"/>
        <v>0</v>
      </c>
      <c r="AE256" s="51">
        <f t="shared" si="42"/>
        <v>0</v>
      </c>
      <c r="AF256" s="34">
        <f t="shared" si="40"/>
        <v>119</v>
      </c>
    </row>
    <row r="257" spans="1:32" x14ac:dyDescent="0.3">
      <c r="A257" s="134" t="s">
        <v>759</v>
      </c>
      <c r="B257" s="1311" t="s">
        <v>1195</v>
      </c>
      <c r="C257" s="1299"/>
      <c r="D257" s="1300"/>
      <c r="E257" s="1300"/>
      <c r="F257" s="1300"/>
      <c r="G257" s="1300"/>
      <c r="H257" s="1300"/>
      <c r="I257" s="1300"/>
      <c r="J257" s="1300"/>
      <c r="K257" s="1300"/>
      <c r="L257" s="1300"/>
      <c r="M257" s="1300">
        <v>1246370</v>
      </c>
      <c r="N257" s="1300">
        <v>0</v>
      </c>
      <c r="O257" s="1300">
        <v>0</v>
      </c>
      <c r="P257" s="1502">
        <f t="shared" si="39"/>
        <v>0</v>
      </c>
      <c r="Q257" s="1295">
        <f t="shared" si="41"/>
        <v>1246370</v>
      </c>
      <c r="R257" s="1299">
        <v>2203400</v>
      </c>
      <c r="S257" s="1300" t="s">
        <v>251</v>
      </c>
      <c r="T257" s="1300">
        <v>390900</v>
      </c>
      <c r="U257" s="1300">
        <v>0</v>
      </c>
      <c r="V257" s="1300">
        <v>0</v>
      </c>
      <c r="W257" s="1300">
        <v>0</v>
      </c>
      <c r="X257" s="1300">
        <v>0</v>
      </c>
      <c r="Y257" s="1300">
        <v>0</v>
      </c>
      <c r="Z257" s="1300"/>
      <c r="AA257" s="1300"/>
      <c r="AB257" s="1300"/>
      <c r="AC257" s="1300"/>
      <c r="AD257" s="1295">
        <f t="shared" si="43"/>
        <v>2594300</v>
      </c>
      <c r="AE257" s="51">
        <f t="shared" si="42"/>
        <v>1</v>
      </c>
      <c r="AF257" s="34">
        <f t="shared" si="40"/>
        <v>46</v>
      </c>
    </row>
    <row r="258" spans="1:32" x14ac:dyDescent="0.3">
      <c r="A258" s="134" t="s">
        <v>759</v>
      </c>
      <c r="B258" s="1311" t="s">
        <v>2122</v>
      </c>
      <c r="C258" s="1299"/>
      <c r="D258" s="1300"/>
      <c r="E258" s="1300"/>
      <c r="F258" s="1300"/>
      <c r="G258" s="1300"/>
      <c r="H258" s="1300"/>
      <c r="I258" s="1300"/>
      <c r="J258" s="1300"/>
      <c r="K258" s="1300"/>
      <c r="L258" s="1300"/>
      <c r="M258" s="1300">
        <v>513460</v>
      </c>
      <c r="N258" s="1300">
        <v>271580</v>
      </c>
      <c r="O258" s="1300">
        <v>0</v>
      </c>
      <c r="P258" s="1502">
        <f t="shared" si="39"/>
        <v>0</v>
      </c>
      <c r="Q258" s="1295">
        <f t="shared" si="41"/>
        <v>785040</v>
      </c>
      <c r="R258" s="1299" t="s">
        <v>251</v>
      </c>
      <c r="S258" s="1300" t="s">
        <v>251</v>
      </c>
      <c r="T258" s="1300" t="s">
        <v>251</v>
      </c>
      <c r="U258" s="1300">
        <v>875000</v>
      </c>
      <c r="V258" s="1300">
        <v>284990</v>
      </c>
      <c r="W258" s="1300">
        <v>0</v>
      </c>
      <c r="X258" s="1300">
        <v>0</v>
      </c>
      <c r="Y258" s="1300">
        <v>0</v>
      </c>
      <c r="Z258" s="1300"/>
      <c r="AA258" s="1300"/>
      <c r="AB258" s="1300"/>
      <c r="AC258" s="1300"/>
      <c r="AD258" s="1295">
        <f t="shared" si="43"/>
        <v>1159990</v>
      </c>
      <c r="AE258" s="51">
        <f t="shared" si="42"/>
        <v>1</v>
      </c>
      <c r="AF258" s="34">
        <f t="shared" si="40"/>
        <v>63</v>
      </c>
    </row>
    <row r="259" spans="1:32" x14ac:dyDescent="0.3">
      <c r="A259" s="134" t="s">
        <v>759</v>
      </c>
      <c r="B259" s="1311" t="s">
        <v>2462</v>
      </c>
      <c r="C259" s="1299"/>
      <c r="D259" s="1300"/>
      <c r="E259" s="1300"/>
      <c r="F259" s="1300"/>
      <c r="G259" s="1300"/>
      <c r="H259" s="1300"/>
      <c r="I259" s="1300"/>
      <c r="J259" s="1300"/>
      <c r="K259" s="1300"/>
      <c r="L259" s="1300"/>
      <c r="M259" s="1300">
        <v>342470</v>
      </c>
      <c r="N259" s="1300">
        <v>0</v>
      </c>
      <c r="O259" s="1300">
        <v>0</v>
      </c>
      <c r="P259" s="1502">
        <f t="shared" si="39"/>
        <v>0</v>
      </c>
      <c r="Q259" s="1295">
        <f t="shared" si="41"/>
        <v>342470</v>
      </c>
      <c r="R259" s="1299" t="s">
        <v>251</v>
      </c>
      <c r="S259" s="1300" t="s">
        <v>251</v>
      </c>
      <c r="T259" s="1300" t="s">
        <v>251</v>
      </c>
      <c r="U259" s="1300"/>
      <c r="V259" s="1300"/>
      <c r="W259" s="1300"/>
      <c r="X259" s="1300"/>
      <c r="Y259" s="1300"/>
      <c r="Z259" s="1300"/>
      <c r="AA259" s="1300"/>
      <c r="AB259" s="1300"/>
      <c r="AC259" s="1300"/>
      <c r="AD259" s="1295">
        <f t="shared" si="43"/>
        <v>0</v>
      </c>
      <c r="AE259" s="51">
        <f t="shared" si="42"/>
        <v>0</v>
      </c>
      <c r="AF259" s="34">
        <f t="shared" si="40"/>
        <v>119</v>
      </c>
    </row>
    <row r="260" spans="1:32" x14ac:dyDescent="0.3">
      <c r="A260" s="134" t="s">
        <v>759</v>
      </c>
      <c r="B260" s="1311" t="s">
        <v>2463</v>
      </c>
      <c r="C260" s="1299"/>
      <c r="D260" s="1300"/>
      <c r="E260" s="1300"/>
      <c r="F260" s="1300"/>
      <c r="G260" s="1300"/>
      <c r="H260" s="1300"/>
      <c r="I260" s="1300"/>
      <c r="J260" s="1300"/>
      <c r="K260" s="1300"/>
      <c r="L260" s="1300"/>
      <c r="M260" s="1300">
        <v>183500</v>
      </c>
      <c r="N260" s="1300">
        <v>0</v>
      </c>
      <c r="O260" s="1300">
        <v>0</v>
      </c>
      <c r="P260" s="1502">
        <f t="shared" si="39"/>
        <v>0</v>
      </c>
      <c r="Q260" s="1295">
        <f t="shared" si="41"/>
        <v>183500</v>
      </c>
      <c r="R260" s="1299" t="s">
        <v>251</v>
      </c>
      <c r="S260" s="1300">
        <v>258490</v>
      </c>
      <c r="T260" s="1300">
        <v>0</v>
      </c>
      <c r="U260" s="1300">
        <v>0</v>
      </c>
      <c r="V260" s="1300">
        <v>214090</v>
      </c>
      <c r="W260" s="1300">
        <v>0</v>
      </c>
      <c r="X260" s="1300">
        <v>0</v>
      </c>
      <c r="Y260" s="1300">
        <v>214990</v>
      </c>
      <c r="Z260" s="1300"/>
      <c r="AA260" s="1300"/>
      <c r="AB260" s="1300"/>
      <c r="AC260" s="1300"/>
      <c r="AD260" s="1295">
        <f t="shared" si="43"/>
        <v>687570</v>
      </c>
      <c r="AE260" s="51">
        <f t="shared" si="42"/>
        <v>1</v>
      </c>
      <c r="AF260" s="34">
        <f t="shared" si="40"/>
        <v>74</v>
      </c>
    </row>
    <row r="261" spans="1:32" x14ac:dyDescent="0.3">
      <c r="A261" s="134" t="s">
        <v>759</v>
      </c>
      <c r="B261" s="1311" t="s">
        <v>2464</v>
      </c>
      <c r="C261" s="1299"/>
      <c r="D261" s="1300"/>
      <c r="E261" s="1300"/>
      <c r="F261" s="1300"/>
      <c r="G261" s="1300"/>
      <c r="H261" s="1300"/>
      <c r="I261" s="1300"/>
      <c r="J261" s="1300"/>
      <c r="K261" s="1300"/>
      <c r="L261" s="1300"/>
      <c r="M261" s="1300"/>
      <c r="N261" s="1300">
        <v>3504000</v>
      </c>
      <c r="O261" s="1300">
        <v>1024000</v>
      </c>
      <c r="P261" s="1502">
        <f t="shared" si="39"/>
        <v>0</v>
      </c>
      <c r="Q261" s="1295">
        <f t="shared" si="41"/>
        <v>4528000</v>
      </c>
      <c r="R261" s="1299">
        <v>396830</v>
      </c>
      <c r="S261" s="1300" t="s">
        <v>251</v>
      </c>
      <c r="T261" s="1300">
        <v>0</v>
      </c>
      <c r="U261" s="1300">
        <v>0</v>
      </c>
      <c r="V261" s="1300">
        <v>0</v>
      </c>
      <c r="W261" s="1300">
        <v>0</v>
      </c>
      <c r="X261" s="1300">
        <v>0</v>
      </c>
      <c r="Y261" s="1300">
        <v>0</v>
      </c>
      <c r="Z261" s="1300"/>
      <c r="AA261" s="1300"/>
      <c r="AB261" s="1300"/>
      <c r="AC261" s="1300"/>
      <c r="AD261" s="1295">
        <f t="shared" si="43"/>
        <v>396830</v>
      </c>
      <c r="AE261" s="51">
        <f t="shared" si="42"/>
        <v>1</v>
      </c>
      <c r="AF261" s="34">
        <f t="shared" si="40"/>
        <v>93</v>
      </c>
    </row>
    <row r="262" spans="1:32" x14ac:dyDescent="0.3">
      <c r="A262" s="134" t="s">
        <v>759</v>
      </c>
      <c r="B262" s="1311" t="s">
        <v>2465</v>
      </c>
      <c r="C262" s="1299"/>
      <c r="D262" s="1300"/>
      <c r="E262" s="1300"/>
      <c r="F262" s="1300"/>
      <c r="G262" s="1300"/>
      <c r="H262" s="1300"/>
      <c r="I262" s="1300"/>
      <c r="J262" s="1300"/>
      <c r="K262" s="1300"/>
      <c r="L262" s="1300"/>
      <c r="M262" s="1300"/>
      <c r="N262" s="1300">
        <v>214360</v>
      </c>
      <c r="O262" s="1300">
        <v>0</v>
      </c>
      <c r="P262" s="1502">
        <f t="shared" si="39"/>
        <v>0</v>
      </c>
      <c r="Q262" s="1295">
        <f t="shared" si="41"/>
        <v>214360</v>
      </c>
      <c r="R262" s="1299" t="s">
        <v>251</v>
      </c>
      <c r="S262" s="1300" t="s">
        <v>251</v>
      </c>
      <c r="T262" s="1300" t="s">
        <v>251</v>
      </c>
      <c r="U262" s="1300">
        <v>578740</v>
      </c>
      <c r="V262" s="1300">
        <v>0</v>
      </c>
      <c r="W262" s="1300">
        <v>150000</v>
      </c>
      <c r="X262" s="1300">
        <v>0</v>
      </c>
      <c r="Y262" s="1300">
        <v>519920</v>
      </c>
      <c r="Z262" s="1300"/>
      <c r="AA262" s="1300"/>
      <c r="AB262" s="1300"/>
      <c r="AC262" s="1300"/>
      <c r="AD262" s="1295">
        <f t="shared" si="43"/>
        <v>1248660</v>
      </c>
      <c r="AE262" s="51">
        <f t="shared" si="42"/>
        <v>1</v>
      </c>
      <c r="AF262" s="34">
        <f t="shared" si="40"/>
        <v>62</v>
      </c>
    </row>
    <row r="263" spans="1:32" x14ac:dyDescent="0.3">
      <c r="A263" s="134" t="s">
        <v>759</v>
      </c>
      <c r="B263" s="1311" t="s">
        <v>2444</v>
      </c>
      <c r="C263" s="1299"/>
      <c r="D263" s="1300"/>
      <c r="E263" s="1300"/>
      <c r="F263" s="1300"/>
      <c r="G263" s="1300"/>
      <c r="H263" s="1300"/>
      <c r="I263" s="1300"/>
      <c r="J263" s="1300"/>
      <c r="K263" s="1300"/>
      <c r="L263" s="1300"/>
      <c r="M263" s="1300"/>
      <c r="N263" s="1300"/>
      <c r="O263" s="1300">
        <v>872590</v>
      </c>
      <c r="P263" s="1502">
        <f t="shared" si="39"/>
        <v>0</v>
      </c>
      <c r="Q263" s="1295">
        <f t="shared" si="41"/>
        <v>872590</v>
      </c>
      <c r="R263" s="1299" t="s">
        <v>251</v>
      </c>
      <c r="S263" s="1300" t="s">
        <v>251</v>
      </c>
      <c r="T263" s="1300" t="s">
        <v>251</v>
      </c>
      <c r="U263" s="1300"/>
      <c r="V263" s="1300"/>
      <c r="W263" s="1300"/>
      <c r="X263" s="1300"/>
      <c r="Y263" s="1300"/>
      <c r="Z263" s="1300"/>
      <c r="AA263" s="1300"/>
      <c r="AB263" s="1300"/>
      <c r="AC263" s="1300"/>
      <c r="AD263" s="1295">
        <f t="shared" si="43"/>
        <v>0</v>
      </c>
      <c r="AE263" s="51">
        <f t="shared" si="42"/>
        <v>0</v>
      </c>
      <c r="AF263" s="34">
        <f t="shared" si="40"/>
        <v>119</v>
      </c>
    </row>
    <row r="264" spans="1:32" x14ac:dyDescent="0.3">
      <c r="A264" s="134" t="s">
        <v>759</v>
      </c>
      <c r="B264" s="1311" t="s">
        <v>718</v>
      </c>
      <c r="C264" s="1299"/>
      <c r="D264" s="1300"/>
      <c r="E264" s="1300"/>
      <c r="F264" s="1300"/>
      <c r="G264" s="1300"/>
      <c r="H264" s="1300"/>
      <c r="I264" s="1300"/>
      <c r="J264" s="1300"/>
      <c r="K264" s="1300"/>
      <c r="L264" s="1300"/>
      <c r="M264" s="1300"/>
      <c r="N264" s="1300"/>
      <c r="O264" s="1300">
        <v>1372150</v>
      </c>
      <c r="P264" s="1502">
        <f t="shared" si="39"/>
        <v>0</v>
      </c>
      <c r="Q264" s="1295">
        <f t="shared" si="41"/>
        <v>1372150</v>
      </c>
      <c r="R264" s="1299">
        <v>1453220</v>
      </c>
      <c r="S264" s="1300" t="s">
        <v>251</v>
      </c>
      <c r="T264" s="1300">
        <v>651120</v>
      </c>
      <c r="U264" s="1300">
        <v>0</v>
      </c>
      <c r="V264" s="1300">
        <v>0</v>
      </c>
      <c r="W264" s="1300">
        <v>4719160</v>
      </c>
      <c r="X264" s="1300">
        <v>3309960</v>
      </c>
      <c r="Y264" s="1300">
        <v>1410970</v>
      </c>
      <c r="Z264" s="1300"/>
      <c r="AA264" s="1300"/>
      <c r="AB264" s="1300"/>
      <c r="AC264" s="1300"/>
      <c r="AD264" s="1295">
        <f t="shared" si="43"/>
        <v>11544430</v>
      </c>
      <c r="AE264" s="51">
        <f t="shared" si="42"/>
        <v>1</v>
      </c>
      <c r="AF264" s="34">
        <f t="shared" si="40"/>
        <v>14</v>
      </c>
    </row>
    <row r="265" spans="1:32" x14ac:dyDescent="0.3">
      <c r="A265" s="134" t="s">
        <v>759</v>
      </c>
      <c r="B265" s="1311" t="s">
        <v>2467</v>
      </c>
      <c r="C265" s="1299"/>
      <c r="D265" s="1300"/>
      <c r="E265" s="1300"/>
      <c r="F265" s="1300"/>
      <c r="G265" s="1300"/>
      <c r="H265" s="1300"/>
      <c r="I265" s="1300"/>
      <c r="J265" s="1300"/>
      <c r="K265" s="1300"/>
      <c r="L265" s="1300"/>
      <c r="M265" s="1300"/>
      <c r="N265" s="1300"/>
      <c r="O265" s="1300">
        <v>249090</v>
      </c>
      <c r="P265" s="1502">
        <f t="shared" si="39"/>
        <v>0</v>
      </c>
      <c r="Q265" s="1295">
        <f t="shared" si="41"/>
        <v>249090</v>
      </c>
      <c r="R265" s="1299" t="s">
        <v>251</v>
      </c>
      <c r="S265" s="1300" t="s">
        <v>251</v>
      </c>
      <c r="T265" s="1300" t="s">
        <v>251</v>
      </c>
      <c r="U265" s="1300"/>
      <c r="V265" s="1300"/>
      <c r="W265" s="1300"/>
      <c r="X265" s="1300"/>
      <c r="Y265" s="1300"/>
      <c r="Z265" s="1300"/>
      <c r="AA265" s="1300"/>
      <c r="AB265" s="1300"/>
      <c r="AC265" s="1300"/>
      <c r="AD265" s="1295">
        <f t="shared" si="43"/>
        <v>0</v>
      </c>
      <c r="AE265" s="51">
        <f t="shared" si="42"/>
        <v>0</v>
      </c>
      <c r="AF265" s="34">
        <f t="shared" si="40"/>
        <v>119</v>
      </c>
    </row>
    <row r="266" spans="1:32" x14ac:dyDescent="0.3">
      <c r="A266" s="134" t="s">
        <v>759</v>
      </c>
      <c r="B266" s="1311" t="s">
        <v>2468</v>
      </c>
      <c r="C266" s="1299"/>
      <c r="D266" s="1300"/>
      <c r="E266" s="1300"/>
      <c r="F266" s="1300"/>
      <c r="G266" s="1300"/>
      <c r="H266" s="1300"/>
      <c r="I266" s="1300"/>
      <c r="J266" s="1300"/>
      <c r="K266" s="1300"/>
      <c r="L266" s="1300"/>
      <c r="M266" s="1300"/>
      <c r="N266" s="1300"/>
      <c r="O266" s="1300">
        <v>360</v>
      </c>
      <c r="P266" s="1502">
        <f t="shared" ref="P266:P288" si="44">SUM(C266:I266,K266)</f>
        <v>0</v>
      </c>
      <c r="Q266" s="1295">
        <f t="shared" si="41"/>
        <v>360</v>
      </c>
      <c r="R266" s="1299" t="s">
        <v>251</v>
      </c>
      <c r="S266" s="1300" t="s">
        <v>251</v>
      </c>
      <c r="T266" s="1300" t="s">
        <v>251</v>
      </c>
      <c r="U266" s="1300">
        <v>100000</v>
      </c>
      <c r="V266" s="1300">
        <v>0</v>
      </c>
      <c r="W266" s="1300">
        <v>0</v>
      </c>
      <c r="X266" s="1300">
        <v>0</v>
      </c>
      <c r="Y266" s="1300">
        <v>0</v>
      </c>
      <c r="Z266" s="1300"/>
      <c r="AA266" s="1300"/>
      <c r="AB266" s="1300"/>
      <c r="AC266" s="1300"/>
      <c r="AD266" s="1295">
        <f t="shared" si="43"/>
        <v>100000</v>
      </c>
      <c r="AE266" s="51">
        <f t="shared" si="42"/>
        <v>1</v>
      </c>
      <c r="AF266" s="34">
        <f t="shared" si="40"/>
        <v>113</v>
      </c>
    </row>
    <row r="267" spans="1:32" x14ac:dyDescent="0.3">
      <c r="A267" s="134" t="s">
        <v>759</v>
      </c>
      <c r="B267" s="1311" t="s">
        <v>2471</v>
      </c>
      <c r="C267" s="1299"/>
      <c r="D267" s="1300"/>
      <c r="E267" s="1300"/>
      <c r="F267" s="1300"/>
      <c r="G267" s="1300"/>
      <c r="H267" s="1300"/>
      <c r="I267" s="1300"/>
      <c r="J267" s="1300"/>
      <c r="K267" s="1300"/>
      <c r="L267" s="1300"/>
      <c r="M267" s="1300"/>
      <c r="N267" s="1300"/>
      <c r="O267" s="1300"/>
      <c r="P267" s="1502">
        <f t="shared" si="44"/>
        <v>0</v>
      </c>
      <c r="Q267" s="1295">
        <f t="shared" si="41"/>
        <v>0</v>
      </c>
      <c r="R267" s="1299">
        <v>7729060</v>
      </c>
      <c r="S267" s="1300" t="s">
        <v>251</v>
      </c>
      <c r="T267" s="1300">
        <v>11877350</v>
      </c>
      <c r="U267" s="1300">
        <v>958540</v>
      </c>
      <c r="V267" s="1300">
        <v>0</v>
      </c>
      <c r="W267" s="1300">
        <v>0</v>
      </c>
      <c r="X267" s="1300">
        <v>0</v>
      </c>
      <c r="Y267" s="1300">
        <v>0</v>
      </c>
      <c r="Z267" s="1300"/>
      <c r="AA267" s="1300"/>
      <c r="AB267" s="1300"/>
      <c r="AC267" s="1300"/>
      <c r="AD267" s="1295">
        <f t="shared" si="43"/>
        <v>20564950</v>
      </c>
      <c r="AE267" s="51">
        <f t="shared" si="42"/>
        <v>1</v>
      </c>
      <c r="AF267" s="34">
        <f t="shared" si="40"/>
        <v>7</v>
      </c>
    </row>
    <row r="268" spans="1:32" x14ac:dyDescent="0.3">
      <c r="A268" s="134" t="s">
        <v>759</v>
      </c>
      <c r="B268" s="1311" t="s">
        <v>971</v>
      </c>
      <c r="C268" s="1299"/>
      <c r="D268" s="1300"/>
      <c r="E268" s="1300"/>
      <c r="F268" s="1300"/>
      <c r="G268" s="1300"/>
      <c r="H268" s="1300"/>
      <c r="I268" s="1300"/>
      <c r="J268" s="1300"/>
      <c r="K268" s="1300"/>
      <c r="L268" s="1300"/>
      <c r="M268" s="1300"/>
      <c r="N268" s="1300"/>
      <c r="O268" s="1300"/>
      <c r="P268" s="1502">
        <f t="shared" si="44"/>
        <v>0</v>
      </c>
      <c r="Q268" s="1295">
        <f t="shared" si="41"/>
        <v>0</v>
      </c>
      <c r="R268" s="1299">
        <v>1841980</v>
      </c>
      <c r="S268" s="1300">
        <v>540000</v>
      </c>
      <c r="T268" s="1300">
        <v>3359520</v>
      </c>
      <c r="U268" s="1300">
        <v>2342480</v>
      </c>
      <c r="V268" s="1300">
        <v>1051160</v>
      </c>
      <c r="W268" s="1300">
        <v>0</v>
      </c>
      <c r="X268" s="1300">
        <v>0</v>
      </c>
      <c r="Y268" s="1300">
        <v>0</v>
      </c>
      <c r="Z268" s="1300"/>
      <c r="AA268" s="1300"/>
      <c r="AB268" s="1300"/>
      <c r="AC268" s="1300"/>
      <c r="AD268" s="1295">
        <f t="shared" si="43"/>
        <v>9135140</v>
      </c>
      <c r="AE268" s="51">
        <f t="shared" si="42"/>
        <v>1</v>
      </c>
      <c r="AF268" s="34">
        <f t="shared" si="40"/>
        <v>15</v>
      </c>
    </row>
    <row r="269" spans="1:32" x14ac:dyDescent="0.3">
      <c r="A269" s="134" t="s">
        <v>759</v>
      </c>
      <c r="B269" s="1311" t="s">
        <v>2472</v>
      </c>
      <c r="C269" s="1299"/>
      <c r="D269" s="1300"/>
      <c r="E269" s="1300"/>
      <c r="F269" s="1300"/>
      <c r="G269" s="1300"/>
      <c r="H269" s="1300"/>
      <c r="I269" s="1300"/>
      <c r="J269" s="1300"/>
      <c r="K269" s="1300"/>
      <c r="L269" s="1300"/>
      <c r="M269" s="1300"/>
      <c r="N269" s="1300"/>
      <c r="O269" s="1300"/>
      <c r="P269" s="1502">
        <f t="shared" si="44"/>
        <v>0</v>
      </c>
      <c r="Q269" s="1295">
        <f t="shared" si="41"/>
        <v>0</v>
      </c>
      <c r="R269" s="1299">
        <v>535000</v>
      </c>
      <c r="S269" s="1300" t="s">
        <v>251</v>
      </c>
      <c r="T269" s="1300">
        <v>0</v>
      </c>
      <c r="U269" s="1300">
        <v>0</v>
      </c>
      <c r="V269" s="1300">
        <v>0</v>
      </c>
      <c r="W269" s="1300">
        <v>0</v>
      </c>
      <c r="X269" s="1300">
        <v>0</v>
      </c>
      <c r="Y269" s="1300">
        <v>0</v>
      </c>
      <c r="Z269" s="1300"/>
      <c r="AA269" s="1300"/>
      <c r="AB269" s="1300"/>
      <c r="AC269" s="1300"/>
      <c r="AD269" s="1295">
        <f t="shared" si="43"/>
        <v>535000</v>
      </c>
      <c r="AE269" s="51">
        <f t="shared" si="42"/>
        <v>1</v>
      </c>
      <c r="AF269" s="34">
        <f t="shared" si="40"/>
        <v>81</v>
      </c>
    </row>
    <row r="270" spans="1:32" x14ac:dyDescent="0.3">
      <c r="A270" s="134" t="s">
        <v>759</v>
      </c>
      <c r="B270" s="1311" t="s">
        <v>2473</v>
      </c>
      <c r="C270" s="1299"/>
      <c r="D270" s="1300"/>
      <c r="E270" s="1300"/>
      <c r="F270" s="1300"/>
      <c r="G270" s="1300"/>
      <c r="H270" s="1300"/>
      <c r="I270" s="1300"/>
      <c r="J270" s="1300"/>
      <c r="K270" s="1300"/>
      <c r="L270" s="1300"/>
      <c r="M270" s="1300"/>
      <c r="N270" s="1300"/>
      <c r="O270" s="1300"/>
      <c r="P270" s="1502">
        <f t="shared" si="44"/>
        <v>0</v>
      </c>
      <c r="Q270" s="1295">
        <f t="shared" si="41"/>
        <v>0</v>
      </c>
      <c r="R270" s="1299">
        <v>225110</v>
      </c>
      <c r="S270" s="1300" t="s">
        <v>251</v>
      </c>
      <c r="T270" s="1300">
        <v>462100</v>
      </c>
      <c r="U270" s="1300">
        <v>239050</v>
      </c>
      <c r="V270" s="1300">
        <v>0</v>
      </c>
      <c r="W270" s="1300">
        <v>0</v>
      </c>
      <c r="X270" s="1300">
        <v>0</v>
      </c>
      <c r="Y270" s="1300">
        <v>0</v>
      </c>
      <c r="Z270" s="1300"/>
      <c r="AA270" s="1300"/>
      <c r="AB270" s="1300"/>
      <c r="AC270" s="1300"/>
      <c r="AD270" s="1295">
        <f t="shared" si="43"/>
        <v>926260</v>
      </c>
      <c r="AE270" s="51">
        <f t="shared" si="42"/>
        <v>1</v>
      </c>
      <c r="AF270" s="34">
        <f t="shared" si="40"/>
        <v>68</v>
      </c>
    </row>
    <row r="271" spans="1:32" x14ac:dyDescent="0.3">
      <c r="A271" s="134" t="s">
        <v>759</v>
      </c>
      <c r="B271" s="1311" t="s">
        <v>2536</v>
      </c>
      <c r="C271" s="1299"/>
      <c r="D271" s="1300"/>
      <c r="E271" s="1300"/>
      <c r="F271" s="1300"/>
      <c r="G271" s="1300"/>
      <c r="H271" s="1300"/>
      <c r="I271" s="1300"/>
      <c r="J271" s="1300"/>
      <c r="K271" s="1300"/>
      <c r="L271" s="1300"/>
      <c r="M271" s="1300"/>
      <c r="N271" s="1300"/>
      <c r="O271" s="1300"/>
      <c r="P271" s="1502">
        <f t="shared" si="44"/>
        <v>0</v>
      </c>
      <c r="Q271" s="1295">
        <f t="shared" si="41"/>
        <v>0</v>
      </c>
      <c r="R271" s="1299">
        <v>313990</v>
      </c>
      <c r="S271" s="1300">
        <v>314310</v>
      </c>
      <c r="T271" s="1300">
        <v>633350</v>
      </c>
      <c r="U271" s="1300">
        <v>478340</v>
      </c>
      <c r="V271" s="1300">
        <v>0</v>
      </c>
      <c r="W271" s="1300">
        <v>0</v>
      </c>
      <c r="X271" s="1300"/>
      <c r="Y271" s="1300"/>
      <c r="Z271" s="1300"/>
      <c r="AA271" s="1300"/>
      <c r="AB271" s="1300"/>
      <c r="AC271" s="1300"/>
      <c r="AD271" s="1295">
        <f t="shared" si="43"/>
        <v>1739990</v>
      </c>
      <c r="AE271" s="51">
        <f t="shared" si="42"/>
        <v>1</v>
      </c>
      <c r="AF271" s="34">
        <f t="shared" si="40"/>
        <v>57</v>
      </c>
    </row>
    <row r="272" spans="1:32" x14ac:dyDescent="0.3">
      <c r="A272" s="134" t="s">
        <v>759</v>
      </c>
      <c r="B272" s="1311" t="s">
        <v>1189</v>
      </c>
      <c r="C272" s="1299"/>
      <c r="D272" s="1300"/>
      <c r="E272" s="1300"/>
      <c r="F272" s="1300"/>
      <c r="G272" s="1300"/>
      <c r="H272" s="1300"/>
      <c r="I272" s="1300"/>
      <c r="J272" s="1300"/>
      <c r="K272" s="1300"/>
      <c r="L272" s="1300"/>
      <c r="M272" s="1300"/>
      <c r="N272" s="1300"/>
      <c r="O272" s="1300"/>
      <c r="P272" s="1502">
        <f t="shared" si="44"/>
        <v>0</v>
      </c>
      <c r="Q272" s="1295">
        <f t="shared" si="41"/>
        <v>0</v>
      </c>
      <c r="R272" s="1299"/>
      <c r="S272" s="1300"/>
      <c r="T272" s="1300">
        <v>743600</v>
      </c>
      <c r="U272" s="1300">
        <v>0</v>
      </c>
      <c r="V272" s="1300">
        <v>0</v>
      </c>
      <c r="W272" s="1300">
        <v>0</v>
      </c>
      <c r="X272" s="1300">
        <v>369450</v>
      </c>
      <c r="Y272" s="1300">
        <v>0</v>
      </c>
      <c r="Z272" s="1300"/>
      <c r="AA272" s="1300"/>
      <c r="AB272" s="1300"/>
      <c r="AC272" s="1300"/>
      <c r="AD272" s="1295">
        <f t="shared" si="43"/>
        <v>1113050</v>
      </c>
      <c r="AE272" s="51">
        <f t="shared" si="42"/>
        <v>1</v>
      </c>
      <c r="AF272" s="34">
        <f t="shared" si="40"/>
        <v>64</v>
      </c>
    </row>
    <row r="273" spans="1:32" x14ac:dyDescent="0.3">
      <c r="A273" s="134" t="s">
        <v>759</v>
      </c>
      <c r="B273" s="1311" t="s">
        <v>251</v>
      </c>
      <c r="C273" s="1299"/>
      <c r="D273" s="1300"/>
      <c r="E273" s="1300"/>
      <c r="F273" s="1300"/>
      <c r="G273" s="1300"/>
      <c r="H273" s="1300"/>
      <c r="I273" s="1300"/>
      <c r="J273" s="1300"/>
      <c r="K273" s="1300">
        <v>0</v>
      </c>
      <c r="L273" s="1300"/>
      <c r="M273" s="1300"/>
      <c r="N273" s="1300"/>
      <c r="O273" s="1300"/>
      <c r="P273" s="1502">
        <f t="shared" si="44"/>
        <v>0</v>
      </c>
      <c r="Q273" s="1295">
        <f t="shared" si="41"/>
        <v>0</v>
      </c>
      <c r="R273" s="1299"/>
      <c r="S273" s="1300"/>
      <c r="T273" s="1300">
        <v>651380</v>
      </c>
      <c r="U273" s="1300">
        <v>0</v>
      </c>
      <c r="V273" s="1300"/>
      <c r="W273" s="1300"/>
      <c r="X273" s="1300"/>
      <c r="Y273" s="1300"/>
      <c r="Z273" s="1300"/>
      <c r="AA273" s="1300"/>
      <c r="AB273" s="1300"/>
      <c r="AC273" s="1300"/>
      <c r="AD273" s="1295">
        <f t="shared" si="43"/>
        <v>651380</v>
      </c>
      <c r="AE273" s="51">
        <f t="shared" si="42"/>
        <v>1</v>
      </c>
      <c r="AF273" s="34">
        <f t="shared" si="40"/>
        <v>76</v>
      </c>
    </row>
    <row r="274" spans="1:32" x14ac:dyDescent="0.3">
      <c r="A274" s="134" t="s">
        <v>759</v>
      </c>
      <c r="B274" s="1311" t="s">
        <v>2640</v>
      </c>
      <c r="C274" s="1299"/>
      <c r="D274" s="1300"/>
      <c r="E274" s="1300"/>
      <c r="F274" s="1300"/>
      <c r="G274" s="1300"/>
      <c r="H274" s="1300"/>
      <c r="I274" s="1300"/>
      <c r="J274" s="1300"/>
      <c r="K274" s="1300"/>
      <c r="L274" s="1300"/>
      <c r="M274" s="1300"/>
      <c r="N274" s="1300"/>
      <c r="O274" s="1300"/>
      <c r="P274" s="1502">
        <f t="shared" si="44"/>
        <v>0</v>
      </c>
      <c r="Q274" s="1295">
        <f t="shared" si="41"/>
        <v>0</v>
      </c>
      <c r="R274" s="1299"/>
      <c r="S274" s="1300"/>
      <c r="T274" s="1300">
        <v>288000</v>
      </c>
      <c r="U274" s="1300">
        <v>0</v>
      </c>
      <c r="V274" s="1300">
        <v>0</v>
      </c>
      <c r="W274" s="1300">
        <v>0</v>
      </c>
      <c r="X274" s="1300">
        <v>0</v>
      </c>
      <c r="Y274" s="1300">
        <v>0</v>
      </c>
      <c r="Z274" s="1300"/>
      <c r="AA274" s="1300"/>
      <c r="AB274" s="1300"/>
      <c r="AC274" s="1300"/>
      <c r="AD274" s="1295">
        <f t="shared" si="43"/>
        <v>288000</v>
      </c>
      <c r="AE274" s="51">
        <f t="shared" si="42"/>
        <v>1</v>
      </c>
      <c r="AF274" s="34">
        <f t="shared" si="40"/>
        <v>102</v>
      </c>
    </row>
    <row r="275" spans="1:32" x14ac:dyDescent="0.3">
      <c r="A275" s="134" t="s">
        <v>759</v>
      </c>
      <c r="B275" s="1311" t="s">
        <v>2458</v>
      </c>
      <c r="C275" s="1299"/>
      <c r="D275" s="1300"/>
      <c r="E275" s="1300"/>
      <c r="F275" s="1300"/>
      <c r="G275" s="1300"/>
      <c r="H275" s="1300"/>
      <c r="I275" s="1300"/>
      <c r="J275" s="1300"/>
      <c r="K275" s="1300"/>
      <c r="L275" s="1300"/>
      <c r="M275" s="1300"/>
      <c r="N275" s="1300"/>
      <c r="O275" s="1300"/>
      <c r="P275" s="1502">
        <f t="shared" si="44"/>
        <v>0</v>
      </c>
      <c r="Q275" s="1295">
        <f t="shared" si="41"/>
        <v>0</v>
      </c>
      <c r="R275" s="1299"/>
      <c r="S275" s="1300"/>
      <c r="T275" s="1300"/>
      <c r="U275" s="1300">
        <v>2862470</v>
      </c>
      <c r="V275" s="1300">
        <v>0</v>
      </c>
      <c r="W275" s="1300">
        <v>0</v>
      </c>
      <c r="X275" s="1300">
        <v>6263980</v>
      </c>
      <c r="Y275" s="1300">
        <v>0</v>
      </c>
      <c r="Z275" s="1300"/>
      <c r="AA275" s="1300"/>
      <c r="AB275" s="1300"/>
      <c r="AC275" s="1300"/>
      <c r="AD275" s="1295">
        <f t="shared" si="43"/>
        <v>9126450</v>
      </c>
      <c r="AE275" s="51">
        <f t="shared" si="42"/>
        <v>1</v>
      </c>
      <c r="AF275" s="34">
        <f t="shared" si="40"/>
        <v>17</v>
      </c>
    </row>
    <row r="276" spans="1:32" x14ac:dyDescent="0.3">
      <c r="A276" s="134" t="s">
        <v>759</v>
      </c>
      <c r="B276" s="1311" t="s">
        <v>993</v>
      </c>
      <c r="C276" s="1299"/>
      <c r="D276" s="1300"/>
      <c r="E276" s="1300"/>
      <c r="F276" s="1300"/>
      <c r="G276" s="1300"/>
      <c r="H276" s="1300"/>
      <c r="I276" s="1300"/>
      <c r="J276" s="1300"/>
      <c r="K276" s="1300"/>
      <c r="L276" s="1300"/>
      <c r="M276" s="1300"/>
      <c r="N276" s="1300"/>
      <c r="O276" s="1300"/>
      <c r="P276" s="1502">
        <f t="shared" si="44"/>
        <v>0</v>
      </c>
      <c r="Q276" s="1295">
        <f t="shared" si="41"/>
        <v>0</v>
      </c>
      <c r="R276" s="1299"/>
      <c r="S276" s="1300"/>
      <c r="T276" s="1300"/>
      <c r="U276" s="1300">
        <v>2401150</v>
      </c>
      <c r="V276" s="1300">
        <v>0</v>
      </c>
      <c r="W276" s="1300">
        <v>0</v>
      </c>
      <c r="X276" s="1300">
        <v>0</v>
      </c>
      <c r="Y276" s="1300">
        <v>0</v>
      </c>
      <c r="Z276" s="1300"/>
      <c r="AA276" s="1300"/>
      <c r="AB276" s="1300"/>
      <c r="AC276" s="1300"/>
      <c r="AD276" s="1295">
        <f t="shared" si="43"/>
        <v>2401150</v>
      </c>
      <c r="AE276" s="51">
        <f t="shared" si="42"/>
        <v>1</v>
      </c>
      <c r="AF276" s="34">
        <f t="shared" si="40"/>
        <v>49</v>
      </c>
    </row>
    <row r="277" spans="1:32" x14ac:dyDescent="0.3">
      <c r="A277" s="134" t="s">
        <v>759</v>
      </c>
      <c r="B277" s="1311" t="s">
        <v>2725</v>
      </c>
      <c r="C277" s="1299"/>
      <c r="D277" s="1300"/>
      <c r="E277" s="1300"/>
      <c r="F277" s="1300"/>
      <c r="G277" s="1300"/>
      <c r="H277" s="1300"/>
      <c r="I277" s="1300"/>
      <c r="J277" s="1300"/>
      <c r="K277" s="1300"/>
      <c r="L277" s="1300"/>
      <c r="M277" s="1300"/>
      <c r="N277" s="1300"/>
      <c r="O277" s="1300"/>
      <c r="P277" s="1502">
        <f t="shared" si="44"/>
        <v>0</v>
      </c>
      <c r="Q277" s="1295">
        <f t="shared" si="41"/>
        <v>0</v>
      </c>
      <c r="R277" s="1299"/>
      <c r="S277" s="1300"/>
      <c r="T277" s="1300"/>
      <c r="U277" s="1300">
        <v>442290</v>
      </c>
      <c r="V277" s="1300">
        <v>0</v>
      </c>
      <c r="W277" s="1300">
        <v>585360</v>
      </c>
      <c r="X277" s="1300">
        <v>1140450</v>
      </c>
      <c r="Y277" s="1300">
        <v>230000</v>
      </c>
      <c r="Z277" s="1300"/>
      <c r="AA277" s="1300"/>
      <c r="AB277" s="1300"/>
      <c r="AC277" s="1300"/>
      <c r="AD277" s="1295">
        <f t="shared" si="43"/>
        <v>2398100</v>
      </c>
      <c r="AE277" s="51">
        <f t="shared" si="42"/>
        <v>1</v>
      </c>
      <c r="AF277" s="34">
        <f t="shared" si="40"/>
        <v>50</v>
      </c>
    </row>
    <row r="278" spans="1:32" x14ac:dyDescent="0.3">
      <c r="A278" s="134" t="s">
        <v>759</v>
      </c>
      <c r="B278" s="1311" t="s">
        <v>2762</v>
      </c>
      <c r="C278" s="1299"/>
      <c r="D278" s="1300"/>
      <c r="E278" s="1300"/>
      <c r="F278" s="1300"/>
      <c r="G278" s="1300"/>
      <c r="H278" s="1300"/>
      <c r="I278" s="1300"/>
      <c r="J278" s="1300"/>
      <c r="K278" s="1300"/>
      <c r="L278" s="1300"/>
      <c r="M278" s="1300"/>
      <c r="N278" s="1300"/>
      <c r="O278" s="1300"/>
      <c r="P278" s="1502">
        <f t="shared" si="44"/>
        <v>0</v>
      </c>
      <c r="Q278" s="1295">
        <f t="shared" si="41"/>
        <v>0</v>
      </c>
      <c r="R278" s="1299"/>
      <c r="S278" s="1300"/>
      <c r="T278" s="1300"/>
      <c r="U278" s="1300">
        <v>339100</v>
      </c>
      <c r="V278" s="1300">
        <v>369990</v>
      </c>
      <c r="W278" s="1300">
        <v>1328080</v>
      </c>
      <c r="X278" s="1300">
        <v>0</v>
      </c>
      <c r="Y278" s="1300">
        <v>0</v>
      </c>
      <c r="Z278" s="1300"/>
      <c r="AA278" s="1300"/>
      <c r="AB278" s="1300"/>
      <c r="AC278" s="1300"/>
      <c r="AD278" s="1295">
        <f t="shared" si="43"/>
        <v>2037170</v>
      </c>
      <c r="AE278" s="51">
        <f t="shared" si="42"/>
        <v>1</v>
      </c>
      <c r="AF278" s="34">
        <f t="shared" si="40"/>
        <v>53</v>
      </c>
    </row>
    <row r="279" spans="1:32" x14ac:dyDescent="0.3">
      <c r="A279" s="134" t="s">
        <v>759</v>
      </c>
      <c r="B279" s="1311" t="s">
        <v>2804</v>
      </c>
      <c r="C279" s="1299"/>
      <c r="D279" s="1300"/>
      <c r="E279" s="1300"/>
      <c r="F279" s="1300"/>
      <c r="G279" s="1300"/>
      <c r="H279" s="1300"/>
      <c r="I279" s="1300"/>
      <c r="J279" s="1300"/>
      <c r="K279" s="1300"/>
      <c r="L279" s="1300"/>
      <c r="M279" s="1300"/>
      <c r="N279" s="1300"/>
      <c r="O279" s="1300"/>
      <c r="P279" s="1502">
        <f t="shared" si="44"/>
        <v>0</v>
      </c>
      <c r="Q279" s="1295">
        <f t="shared" si="41"/>
        <v>0</v>
      </c>
      <c r="R279" s="1299"/>
      <c r="S279" s="1300"/>
      <c r="T279" s="1300"/>
      <c r="U279" s="1300"/>
      <c r="V279" s="1300">
        <v>4704070</v>
      </c>
      <c r="W279" s="1300">
        <v>0</v>
      </c>
      <c r="X279" s="1300">
        <v>0</v>
      </c>
      <c r="Y279" s="1300">
        <v>0</v>
      </c>
      <c r="Z279" s="1300"/>
      <c r="AA279" s="1300"/>
      <c r="AB279" s="1300"/>
      <c r="AC279" s="1300"/>
      <c r="AD279" s="1295">
        <f t="shared" si="43"/>
        <v>4704070</v>
      </c>
      <c r="AE279" s="51">
        <f t="shared" si="42"/>
        <v>1</v>
      </c>
      <c r="AF279" s="34">
        <f t="shared" si="40"/>
        <v>31</v>
      </c>
    </row>
    <row r="280" spans="1:32" x14ac:dyDescent="0.3">
      <c r="A280" s="134" t="s">
        <v>759</v>
      </c>
      <c r="B280" s="1311" t="s">
        <v>2917</v>
      </c>
      <c r="C280" s="1299"/>
      <c r="D280" s="1300"/>
      <c r="E280" s="1300"/>
      <c r="F280" s="1300"/>
      <c r="G280" s="1300"/>
      <c r="H280" s="1300"/>
      <c r="I280" s="1300"/>
      <c r="J280" s="1300"/>
      <c r="K280" s="1300"/>
      <c r="L280" s="1300"/>
      <c r="M280" s="1300"/>
      <c r="N280" s="1300"/>
      <c r="O280" s="1300"/>
      <c r="P280" s="1502">
        <f t="shared" si="44"/>
        <v>0</v>
      </c>
      <c r="Q280" s="1295">
        <f t="shared" si="41"/>
        <v>0</v>
      </c>
      <c r="R280" s="1299"/>
      <c r="S280" s="1300"/>
      <c r="T280" s="1300"/>
      <c r="U280" s="1300"/>
      <c r="V280" s="1300"/>
      <c r="W280" s="1300">
        <v>289990</v>
      </c>
      <c r="X280" s="1300"/>
      <c r="Y280" s="1300">
        <v>0</v>
      </c>
      <c r="Z280" s="1300"/>
      <c r="AA280" s="1300"/>
      <c r="AB280" s="1300"/>
      <c r="AC280" s="1300"/>
      <c r="AD280" s="1295">
        <f t="shared" si="43"/>
        <v>289990</v>
      </c>
      <c r="AE280" s="51">
        <f t="shared" si="42"/>
        <v>1</v>
      </c>
      <c r="AF280" s="34">
        <f t="shared" si="40"/>
        <v>101</v>
      </c>
    </row>
    <row r="281" spans="1:32" x14ac:dyDescent="0.3">
      <c r="A281" s="134" t="s">
        <v>759</v>
      </c>
      <c r="B281" s="1311" t="s">
        <v>2054</v>
      </c>
      <c r="C281" s="1299"/>
      <c r="D281" s="1300"/>
      <c r="E281" s="1300"/>
      <c r="F281" s="1300"/>
      <c r="G281" s="1300"/>
      <c r="H281" s="1300"/>
      <c r="I281" s="1300"/>
      <c r="J281" s="1300"/>
      <c r="K281" s="1300"/>
      <c r="L281" s="1300"/>
      <c r="M281" s="1300"/>
      <c r="N281" s="1300"/>
      <c r="O281" s="1300"/>
      <c r="P281" s="1502">
        <f t="shared" si="44"/>
        <v>0</v>
      </c>
      <c r="Q281" s="1295">
        <f t="shared" si="41"/>
        <v>0</v>
      </c>
      <c r="R281" s="1299"/>
      <c r="S281" s="1300"/>
      <c r="T281" s="1300"/>
      <c r="U281" s="1300"/>
      <c r="V281" s="1300"/>
      <c r="W281" s="1300"/>
      <c r="X281" s="1300">
        <v>89990</v>
      </c>
      <c r="Y281" s="1300">
        <v>0</v>
      </c>
      <c r="Z281" s="1300"/>
      <c r="AA281" s="1300"/>
      <c r="AB281" s="1300"/>
      <c r="AC281" s="1300"/>
      <c r="AD281" s="1295">
        <f t="shared" si="43"/>
        <v>89990</v>
      </c>
      <c r="AE281" s="51">
        <f t="shared" si="42"/>
        <v>1</v>
      </c>
      <c r="AF281" s="34">
        <f t="shared" si="40"/>
        <v>115</v>
      </c>
    </row>
    <row r="282" spans="1:32" x14ac:dyDescent="0.3">
      <c r="A282" s="134" t="s">
        <v>759</v>
      </c>
      <c r="B282" s="1311" t="s">
        <v>2442</v>
      </c>
      <c r="C282" s="1299"/>
      <c r="D282" s="1300"/>
      <c r="E282" s="1300"/>
      <c r="F282" s="1300"/>
      <c r="G282" s="1300"/>
      <c r="H282" s="1300"/>
      <c r="I282" s="1300"/>
      <c r="J282" s="1300"/>
      <c r="K282" s="1300"/>
      <c r="L282" s="1300"/>
      <c r="M282" s="1300"/>
      <c r="N282" s="1300"/>
      <c r="O282" s="1300"/>
      <c r="P282" s="1502">
        <f t="shared" si="44"/>
        <v>0</v>
      </c>
      <c r="Q282" s="1295">
        <f t="shared" si="41"/>
        <v>0</v>
      </c>
      <c r="R282" s="1299"/>
      <c r="S282" s="1300"/>
      <c r="T282" s="1300"/>
      <c r="U282" s="1300"/>
      <c r="V282" s="1300"/>
      <c r="W282" s="1300"/>
      <c r="X282" s="1300"/>
      <c r="Y282" s="1300"/>
      <c r="Z282" s="1300"/>
      <c r="AA282" s="1300"/>
      <c r="AB282" s="1300"/>
      <c r="AC282" s="1300"/>
      <c r="AD282" s="1295">
        <f t="shared" si="43"/>
        <v>0</v>
      </c>
      <c r="AE282" s="51">
        <f t="shared" si="42"/>
        <v>0</v>
      </c>
      <c r="AF282" s="34">
        <f t="shared" si="40"/>
        <v>119</v>
      </c>
    </row>
    <row r="283" spans="1:32" x14ac:dyDescent="0.3">
      <c r="A283" s="134" t="s">
        <v>759</v>
      </c>
      <c r="B283" s="1311" t="s">
        <v>3007</v>
      </c>
      <c r="C283" s="1299"/>
      <c r="D283" s="1300"/>
      <c r="E283" s="1300"/>
      <c r="F283" s="1300"/>
      <c r="G283" s="1300"/>
      <c r="H283" s="1300"/>
      <c r="I283" s="1300"/>
      <c r="J283" s="1300"/>
      <c r="K283" s="1300"/>
      <c r="L283" s="1300"/>
      <c r="M283" s="1300"/>
      <c r="N283" s="1300"/>
      <c r="O283" s="1300"/>
      <c r="P283" s="1502">
        <f t="shared" si="44"/>
        <v>0</v>
      </c>
      <c r="Q283" s="1295">
        <f t="shared" si="41"/>
        <v>0</v>
      </c>
      <c r="R283" s="1299"/>
      <c r="S283" s="1300"/>
      <c r="T283" s="1300"/>
      <c r="U283" s="1300"/>
      <c r="V283" s="1300"/>
      <c r="W283" s="1300"/>
      <c r="X283" s="1300">
        <v>6989720</v>
      </c>
      <c r="Y283" s="1300">
        <v>0</v>
      </c>
      <c r="Z283" s="1300"/>
      <c r="AA283" s="1300"/>
      <c r="AB283" s="1300"/>
      <c r="AC283" s="1300"/>
      <c r="AD283" s="1295">
        <f t="shared" si="43"/>
        <v>6989720</v>
      </c>
      <c r="AE283" s="51">
        <f t="shared" si="42"/>
        <v>1</v>
      </c>
      <c r="AF283" s="34">
        <f t="shared" si="40"/>
        <v>21</v>
      </c>
    </row>
    <row r="284" spans="1:32" x14ac:dyDescent="0.3">
      <c r="A284" s="134" t="s">
        <v>759</v>
      </c>
      <c r="B284" s="1311" t="s">
        <v>2535</v>
      </c>
      <c r="C284" s="1299"/>
      <c r="D284" s="1300"/>
      <c r="E284" s="1300"/>
      <c r="F284" s="1300"/>
      <c r="G284" s="1300"/>
      <c r="H284" s="1300"/>
      <c r="I284" s="1300"/>
      <c r="J284" s="1300"/>
      <c r="K284" s="1300"/>
      <c r="L284" s="1300"/>
      <c r="M284" s="1300"/>
      <c r="N284" s="1300"/>
      <c r="O284" s="1300"/>
      <c r="P284" s="1502">
        <f t="shared" si="44"/>
        <v>0</v>
      </c>
      <c r="Q284" s="1295">
        <f t="shared" si="41"/>
        <v>0</v>
      </c>
      <c r="R284" s="1299"/>
      <c r="S284" s="1300"/>
      <c r="T284" s="1300"/>
      <c r="U284" s="1300"/>
      <c r="V284" s="1300"/>
      <c r="W284" s="1300"/>
      <c r="X284" s="1300">
        <v>133990</v>
      </c>
      <c r="Y284" s="1300">
        <v>0</v>
      </c>
      <c r="Z284" s="1300"/>
      <c r="AA284" s="1300"/>
      <c r="AB284" s="1300"/>
      <c r="AC284" s="1300"/>
      <c r="AD284" s="1295">
        <f t="shared" si="43"/>
        <v>133990</v>
      </c>
      <c r="AE284" s="51">
        <f t="shared" si="42"/>
        <v>1</v>
      </c>
      <c r="AF284" s="34">
        <f t="shared" ref="AF284:AF288" si="45">IFERROR(_xlfn.RANK.EQ(AD284, $AD$2:$AD$288), "")</f>
        <v>111</v>
      </c>
    </row>
    <row r="285" spans="1:32" x14ac:dyDescent="0.3">
      <c r="A285" s="134" t="s">
        <v>759</v>
      </c>
      <c r="B285" s="1311" t="s">
        <v>2959</v>
      </c>
      <c r="C285" s="1299"/>
      <c r="D285" s="1300"/>
      <c r="E285" s="1300"/>
      <c r="F285" s="1300"/>
      <c r="G285" s="1300"/>
      <c r="H285" s="1300"/>
      <c r="I285" s="1300"/>
      <c r="J285" s="1300"/>
      <c r="K285" s="1300"/>
      <c r="L285" s="1300"/>
      <c r="M285" s="1300"/>
      <c r="N285" s="1300"/>
      <c r="O285" s="1300"/>
      <c r="P285" s="1502">
        <f t="shared" si="44"/>
        <v>0</v>
      </c>
      <c r="Q285" s="1295">
        <f t="shared" si="41"/>
        <v>0</v>
      </c>
      <c r="R285" s="1299"/>
      <c r="S285" s="1300"/>
      <c r="T285" s="1300"/>
      <c r="U285" s="1300"/>
      <c r="V285" s="1300"/>
      <c r="W285" s="1300"/>
      <c r="X285" s="1300"/>
      <c r="Y285" s="1300">
        <v>3085980</v>
      </c>
      <c r="Z285" s="1300"/>
      <c r="AA285" s="1300"/>
      <c r="AB285" s="1300"/>
      <c r="AC285" s="1300"/>
      <c r="AD285" s="1295">
        <f t="shared" si="43"/>
        <v>3085980</v>
      </c>
      <c r="AE285" s="51">
        <f t="shared" si="42"/>
        <v>1</v>
      </c>
      <c r="AF285" s="34">
        <f t="shared" si="45"/>
        <v>41</v>
      </c>
    </row>
    <row r="286" spans="1:32" x14ac:dyDescent="0.3">
      <c r="A286" s="134" t="s">
        <v>759</v>
      </c>
      <c r="B286" s="1311" t="s">
        <v>3056</v>
      </c>
      <c r="C286" s="1299"/>
      <c r="D286" s="1300"/>
      <c r="E286" s="1300"/>
      <c r="F286" s="1300"/>
      <c r="G286" s="1300"/>
      <c r="H286" s="1300"/>
      <c r="I286" s="1300"/>
      <c r="J286" s="1300"/>
      <c r="K286" s="1300"/>
      <c r="L286" s="1300"/>
      <c r="M286" s="1300"/>
      <c r="N286" s="1300"/>
      <c r="O286" s="1300"/>
      <c r="P286" s="1502">
        <f t="shared" si="44"/>
        <v>0</v>
      </c>
      <c r="Q286" s="1295">
        <f t="shared" si="41"/>
        <v>0</v>
      </c>
      <c r="R286" s="1299"/>
      <c r="S286" s="1300"/>
      <c r="T286" s="1300"/>
      <c r="U286" s="1300"/>
      <c r="V286" s="1300"/>
      <c r="W286" s="1300"/>
      <c r="X286" s="1300"/>
      <c r="Y286" s="1300">
        <v>2019910</v>
      </c>
      <c r="Z286" s="1300"/>
      <c r="AA286" s="1300"/>
      <c r="AB286" s="1300"/>
      <c r="AC286" s="1300"/>
      <c r="AD286" s="1295">
        <f t="shared" si="43"/>
        <v>2019910</v>
      </c>
      <c r="AE286" s="51">
        <f t="shared" si="42"/>
        <v>1</v>
      </c>
      <c r="AF286" s="34">
        <f t="shared" si="45"/>
        <v>54</v>
      </c>
    </row>
    <row r="287" spans="1:32" x14ac:dyDescent="0.3">
      <c r="A287" s="134" t="s">
        <v>759</v>
      </c>
      <c r="B287" s="1311" t="s">
        <v>3057</v>
      </c>
      <c r="C287" s="1299"/>
      <c r="D287" s="1300"/>
      <c r="E287" s="1300"/>
      <c r="F287" s="1300"/>
      <c r="G287" s="1300"/>
      <c r="H287" s="1300"/>
      <c r="I287" s="1300"/>
      <c r="J287" s="1300"/>
      <c r="K287" s="1300"/>
      <c r="L287" s="1300"/>
      <c r="M287" s="1300"/>
      <c r="N287" s="1300"/>
      <c r="O287" s="1300"/>
      <c r="P287" s="1502">
        <f t="shared" si="44"/>
        <v>0</v>
      </c>
      <c r="Q287" s="1295">
        <f t="shared" si="41"/>
        <v>0</v>
      </c>
      <c r="R287" s="1299"/>
      <c r="S287" s="1300"/>
      <c r="T287" s="1300"/>
      <c r="U287" s="1300"/>
      <c r="V287" s="1300"/>
      <c r="W287" s="1300"/>
      <c r="X287" s="1300"/>
      <c r="Y287" s="1300">
        <v>1782470</v>
      </c>
      <c r="Z287" s="1300"/>
      <c r="AA287" s="1300"/>
      <c r="AB287" s="1300"/>
      <c r="AC287" s="1300"/>
      <c r="AD287" s="1295">
        <f t="shared" si="43"/>
        <v>1782470</v>
      </c>
      <c r="AE287" s="51">
        <f t="shared" si="42"/>
        <v>1</v>
      </c>
      <c r="AF287" s="34">
        <f t="shared" si="45"/>
        <v>56</v>
      </c>
    </row>
    <row r="288" spans="1:32" x14ac:dyDescent="0.3">
      <c r="A288" s="134" t="s">
        <v>759</v>
      </c>
      <c r="B288" s="1311" t="s">
        <v>3058</v>
      </c>
      <c r="C288" s="1299"/>
      <c r="D288" s="1300"/>
      <c r="E288" s="1300"/>
      <c r="F288" s="1300"/>
      <c r="G288" s="1300"/>
      <c r="H288" s="1300"/>
      <c r="I288" s="1300"/>
      <c r="J288" s="1300"/>
      <c r="K288" s="1300"/>
      <c r="L288" s="1300"/>
      <c r="M288" s="1300"/>
      <c r="N288" s="1300"/>
      <c r="O288" s="1300"/>
      <c r="P288" s="1502">
        <f t="shared" si="44"/>
        <v>0</v>
      </c>
      <c r="Q288" s="1295">
        <f t="shared" si="41"/>
        <v>0</v>
      </c>
      <c r="R288" s="1299"/>
      <c r="S288" s="1300"/>
      <c r="T288" s="1300"/>
      <c r="U288" s="1300"/>
      <c r="V288" s="1300"/>
      <c r="W288" s="1300"/>
      <c r="X288" s="1300"/>
      <c r="Y288" s="1300">
        <v>495500</v>
      </c>
      <c r="Z288" s="1300"/>
      <c r="AA288" s="1300"/>
      <c r="AB288" s="1300"/>
      <c r="AC288" s="1300"/>
      <c r="AD288" s="1295">
        <f t="shared" si="43"/>
        <v>495500</v>
      </c>
      <c r="AE288" s="51">
        <f t="shared" si="42"/>
        <v>1</v>
      </c>
      <c r="AF288" s="34">
        <f t="shared" si="45"/>
        <v>85</v>
      </c>
    </row>
    <row r="289" spans="1:32" ht="17.25" thickBot="1" x14ac:dyDescent="0.35">
      <c r="A289" s="1542" t="s">
        <v>250</v>
      </c>
      <c r="B289" s="1546"/>
      <c r="C289" s="1296">
        <f>SUM(C2:C288)</f>
        <v>75384390</v>
      </c>
      <c r="D289" s="1296">
        <f t="shared" ref="D289:AD289" si="46">SUM(D2:D288)</f>
        <v>35319140</v>
      </c>
      <c r="E289" s="1296">
        <f t="shared" si="46"/>
        <v>59503670</v>
      </c>
      <c r="F289" s="1296">
        <f t="shared" si="46"/>
        <v>69585870</v>
      </c>
      <c r="G289" s="1296">
        <f t="shared" si="46"/>
        <v>46595920</v>
      </c>
      <c r="H289" s="1296">
        <f t="shared" si="46"/>
        <v>42308380</v>
      </c>
      <c r="I289" s="1296">
        <f t="shared" si="46"/>
        <v>84287770</v>
      </c>
      <c r="J289" s="1296">
        <f t="shared" si="46"/>
        <v>39355200</v>
      </c>
      <c r="K289" s="1296">
        <f t="shared" si="46"/>
        <v>24213710</v>
      </c>
      <c r="L289" s="1296">
        <f t="shared" si="46"/>
        <v>54103900</v>
      </c>
      <c r="M289" s="1296">
        <f t="shared" si="46"/>
        <v>24979450</v>
      </c>
      <c r="N289" s="1296">
        <f t="shared" si="46"/>
        <v>27384130</v>
      </c>
      <c r="O289" s="1296">
        <f t="shared" si="46"/>
        <v>33476660</v>
      </c>
      <c r="P289" s="1296">
        <f t="shared" si="46"/>
        <v>437198850</v>
      </c>
      <c r="Q289" s="1296">
        <f t="shared" si="46"/>
        <v>592284480</v>
      </c>
      <c r="R289" s="1296">
        <f t="shared" si="46"/>
        <v>79302350</v>
      </c>
      <c r="S289" s="1296">
        <f t="shared" si="46"/>
        <v>17608880</v>
      </c>
      <c r="T289" s="1296">
        <f t="shared" si="46"/>
        <v>73616100</v>
      </c>
      <c r="U289" s="1296">
        <f t="shared" si="46"/>
        <v>48852830</v>
      </c>
      <c r="V289" s="1296">
        <f t="shared" si="46"/>
        <v>44785780</v>
      </c>
      <c r="W289" s="1296">
        <f t="shared" si="46"/>
        <v>52480690</v>
      </c>
      <c r="X289" s="1296">
        <f t="shared" si="46"/>
        <v>154893290</v>
      </c>
      <c r="Y289" s="1296">
        <f t="shared" si="46"/>
        <v>85989870</v>
      </c>
      <c r="Z289" s="1296">
        <f t="shared" si="46"/>
        <v>0</v>
      </c>
      <c r="AA289" s="1296">
        <f t="shared" si="46"/>
        <v>0</v>
      </c>
      <c r="AB289" s="1296">
        <f t="shared" si="46"/>
        <v>0</v>
      </c>
      <c r="AC289" s="1296">
        <f t="shared" si="46"/>
        <v>0</v>
      </c>
      <c r="AD289" s="1296">
        <f t="shared" si="46"/>
        <v>557529790</v>
      </c>
      <c r="AE289" s="556">
        <f t="shared" si="42"/>
        <v>0.27523160227891724</v>
      </c>
      <c r="AF289" s="284"/>
    </row>
  </sheetData>
  <mergeCells count="1">
    <mergeCell ref="A289:B289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887F4-176F-4421-8D16-9B245FAC59E6}">
  <dimension ref="A2:F13"/>
  <sheetViews>
    <sheetView workbookViewId="0">
      <selection activeCell="C5" sqref="C5"/>
    </sheetView>
  </sheetViews>
  <sheetFormatPr defaultRowHeight="16.5" x14ac:dyDescent="0.3"/>
  <cols>
    <col min="1" max="1" width="15.375" customWidth="1"/>
    <col min="2" max="2" width="11.5" customWidth="1"/>
    <col min="3" max="5" width="15.625" customWidth="1"/>
    <col min="6" max="6" width="10.625" style="1371" customWidth="1"/>
  </cols>
  <sheetData>
    <row r="2" spans="1:6" ht="26.25" x14ac:dyDescent="0.3">
      <c r="A2" s="1549" t="s">
        <v>2516</v>
      </c>
      <c r="B2" s="1549"/>
      <c r="C2" s="1549"/>
      <c r="D2" s="1549"/>
      <c r="E2" s="1549"/>
      <c r="F2" s="1549"/>
    </row>
    <row r="3" spans="1:6" ht="24" customHeight="1" x14ac:dyDescent="0.3">
      <c r="A3" s="1555" t="s">
        <v>2525</v>
      </c>
      <c r="B3" s="1555"/>
      <c r="C3" s="1375" t="str">
        <f>'[1]1'!N2</f>
        <v>합계 : 25년 합계</v>
      </c>
      <c r="D3" s="1375" t="str">
        <f>'[1]1'!O2</f>
        <v>합계 : 26년 합계</v>
      </c>
      <c r="E3" s="1374" t="str">
        <f>'[1]1'!P2</f>
        <v>증감수수료</v>
      </c>
      <c r="F3" s="1376" t="str">
        <f>'[1]1'!Q2</f>
        <v>증감율</v>
      </c>
    </row>
    <row r="4" spans="1:6" ht="24.95" customHeight="1" x14ac:dyDescent="0.3">
      <c r="A4" s="1554" t="s">
        <v>2520</v>
      </c>
      <c r="B4" s="1554"/>
      <c r="C4" s="1377">
        <f>'KC part'!AI80</f>
        <v>1717194610</v>
      </c>
      <c r="D4" s="1377">
        <f>'KC part'!AJ80</f>
        <v>1867986570</v>
      </c>
      <c r="E4" s="1377">
        <f>'KC part'!AK80</f>
        <v>150791960</v>
      </c>
      <c r="F4" s="1372">
        <f>'KC part'!AL80</f>
        <v>8.7812970715066482E-2</v>
      </c>
    </row>
    <row r="5" spans="1:6" ht="24.95" customHeight="1" x14ac:dyDescent="0.3">
      <c r="A5" s="1553" t="s">
        <v>2517</v>
      </c>
      <c r="B5" s="1553"/>
      <c r="C5" s="1377">
        <f>'GB part'!AI24</f>
        <v>1140330650</v>
      </c>
      <c r="D5" s="1377">
        <f>'GB part'!AJ24</f>
        <v>1889132430</v>
      </c>
      <c r="E5" s="1377">
        <f>'GB part'!AK24</f>
        <v>748801780</v>
      </c>
      <c r="F5" s="1372">
        <f>'GB part'!AL24</f>
        <v>0.65665320843564101</v>
      </c>
    </row>
    <row r="6" spans="1:6" ht="24.95" customHeight="1" x14ac:dyDescent="0.3">
      <c r="A6" s="1550" t="s">
        <v>2526</v>
      </c>
      <c r="B6" s="1551"/>
      <c r="C6" s="1382">
        <f>SUM(C4:C5)</f>
        <v>2857525260</v>
      </c>
      <c r="D6" s="1382">
        <f>SUM(D4:D5)</f>
        <v>3757119000</v>
      </c>
      <c r="E6" s="1382">
        <f>SUM(E4:E5)</f>
        <v>899593740</v>
      </c>
      <c r="F6" s="1383">
        <f>AVERAGE(F4:F5)</f>
        <v>0.37223308957535373</v>
      </c>
    </row>
    <row r="7" spans="1:6" ht="24.95" customHeight="1" x14ac:dyDescent="0.3">
      <c r="A7" s="1553" t="s">
        <v>2518</v>
      </c>
      <c r="B7" s="1373" t="s">
        <v>2521</v>
      </c>
      <c r="C7" s="1377">
        <f>'global part1 '!AI6</f>
        <v>2127379090</v>
      </c>
      <c r="D7" s="1377">
        <f>'global part1 '!AJ6</f>
        <v>2159762500</v>
      </c>
      <c r="E7" s="1377">
        <f>'global part1 '!AK6</f>
        <v>32383410</v>
      </c>
      <c r="F7" s="1372">
        <f>'global part1 '!AL6</f>
        <v>1.5222209408855289E-2</v>
      </c>
    </row>
    <row r="8" spans="1:6" ht="24.95" customHeight="1" x14ac:dyDescent="0.3">
      <c r="A8" s="1553"/>
      <c r="B8" s="1373" t="s">
        <v>2522</v>
      </c>
      <c r="C8" s="1377">
        <f>'global part2'!AI20</f>
        <v>359936730</v>
      </c>
      <c r="D8" s="1377">
        <f>'global part2'!AJ20</f>
        <v>283671020</v>
      </c>
      <c r="E8" s="1377">
        <f>'global part2'!AK20</f>
        <v>-76265710</v>
      </c>
      <c r="F8" s="1372">
        <f>'global part2'!AL20</f>
        <v>-0.21188643348512945</v>
      </c>
    </row>
    <row r="9" spans="1:6" ht="24.95" customHeight="1" x14ac:dyDescent="0.3">
      <c r="A9" s="1548" t="s">
        <v>2526</v>
      </c>
      <c r="B9" s="1548"/>
      <c r="C9" s="1378">
        <f>SUM(C7:C8)</f>
        <v>2487315820</v>
      </c>
      <c r="D9" s="1378">
        <f>SUM(D7:D8)</f>
        <v>2443433520</v>
      </c>
      <c r="E9" s="1378">
        <f>SUM(E7:E8)</f>
        <v>-43882300</v>
      </c>
      <c r="F9" s="1379">
        <f>AVERAGE(F7:F8)</f>
        <v>-9.8332112038137076E-2</v>
      </c>
    </row>
    <row r="10" spans="1:6" ht="24.95" customHeight="1" x14ac:dyDescent="0.3">
      <c r="A10" s="1553" t="s">
        <v>2519</v>
      </c>
      <c r="B10" s="1373" t="s">
        <v>2523</v>
      </c>
      <c r="C10" s="1377">
        <f>'inspection (원단)'!AJ9</f>
        <v>357144260</v>
      </c>
      <c r="D10" s="1377">
        <f>'inspection (원단)'!AK9</f>
        <v>488491360</v>
      </c>
      <c r="E10" s="1377">
        <f>'inspection (원단)'!AL9</f>
        <v>131347100</v>
      </c>
      <c r="F10" s="1372">
        <f>'inspection (원단)'!AM9</f>
        <v>0.36777043539772974</v>
      </c>
    </row>
    <row r="11" spans="1:6" ht="24.95" customHeight="1" x14ac:dyDescent="0.3">
      <c r="A11" s="1553"/>
      <c r="B11" s="1373" t="s">
        <v>2524</v>
      </c>
      <c r="C11" s="1377">
        <f>'inspection (가먼트)'!AI44</f>
        <v>437198850</v>
      </c>
      <c r="D11" s="1377">
        <f>'inspection (가먼트)'!AJ44</f>
        <v>557529790</v>
      </c>
      <c r="E11" s="1377">
        <f>'inspection (가먼트)'!AK44</f>
        <v>120330940</v>
      </c>
      <c r="F11" s="1372">
        <f>'inspection (가먼트)'!AL44</f>
        <v>0.27523160227891724</v>
      </c>
    </row>
    <row r="12" spans="1:6" ht="24.95" customHeight="1" x14ac:dyDescent="0.3">
      <c r="A12" s="1547" t="s">
        <v>2526</v>
      </c>
      <c r="B12" s="1547"/>
      <c r="C12" s="1380">
        <f>SUM(C10:C11)</f>
        <v>794343110</v>
      </c>
      <c r="D12" s="1380">
        <f>SUM(D10:D11)</f>
        <v>1046021150</v>
      </c>
      <c r="E12" s="1380">
        <f>SUM(E10:E11)</f>
        <v>251678040</v>
      </c>
      <c r="F12" s="1381">
        <f>AVERAGE(F10:F11)</f>
        <v>0.32150101883832349</v>
      </c>
    </row>
    <row r="13" spans="1:6" ht="30" customHeight="1" x14ac:dyDescent="0.3">
      <c r="A13" s="1552" t="s">
        <v>2379</v>
      </c>
      <c r="B13" s="1552"/>
      <c r="C13" s="1384">
        <f>C12+C9+C6</f>
        <v>6139184190</v>
      </c>
      <c r="D13" s="1384">
        <f>D12+D9+D6</f>
        <v>7246573670</v>
      </c>
      <c r="E13" s="1384">
        <f>E12+E9+E6</f>
        <v>1107389480</v>
      </c>
      <c r="F13" s="1385">
        <f>IFERROR((D13-C13)/C13, 0)</f>
        <v>0.1803805596521775</v>
      </c>
    </row>
  </sheetData>
  <mergeCells count="10">
    <mergeCell ref="A12:B12"/>
    <mergeCell ref="A9:B9"/>
    <mergeCell ref="A2:F2"/>
    <mergeCell ref="A6:B6"/>
    <mergeCell ref="A13:B13"/>
    <mergeCell ref="A7:A8"/>
    <mergeCell ref="A10:A11"/>
    <mergeCell ref="A4:B4"/>
    <mergeCell ref="A5:B5"/>
    <mergeCell ref="A3:B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global part1 </vt:lpstr>
      <vt:lpstr>global part2</vt:lpstr>
      <vt:lpstr>KC part</vt:lpstr>
      <vt:lpstr>GB part</vt:lpstr>
      <vt:lpstr>KC part (이랜드 각각)</vt:lpstr>
      <vt:lpstr>inspection (원단)</vt:lpstr>
      <vt:lpstr>inspection (가먼트)</vt:lpstr>
      <vt:lpstr>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HAN</cp:lastModifiedBy>
  <cp:lastPrinted>2025-12-29T07:22:00Z</cp:lastPrinted>
  <dcterms:created xsi:type="dcterms:W3CDTF">2025-11-12T07:54:09Z</dcterms:created>
  <dcterms:modified xsi:type="dcterms:W3CDTF">2026-09-18T03:38:13Z</dcterms:modified>
</cp:coreProperties>
</file>